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ss" sheetId="1" state="visible" r:id="rId3"/>
    <sheet name="Engi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<sst xmlns="http://schemas.openxmlformats.org/spreadsheetml/2006/main" count="168" uniqueCount="135">
  <si>
    <t xml:space="preserve">helper: last from/to</t>
  </si>
  <si>
    <t xml:space="preserve">Board: columns A-H = files a-h, rows 1-8 = ranks. White = lowercase (rows 1-2), BLACK = UPPERCASE in red (rows 7-8).</t>
  </si>
  <si>
    <t xml:space="preserve">Moves: from-square + to-square (e2e4). Castle = king moves 2 (e1g1). Promotion auto-queens, or add q/r/b/n (e7e8n). En passant works.</t>
  </si>
  <si>
    <t xml:space="preserve">Bad move = red X, just overwrite it. To restart, clear the yellow cells. Check/checkmate are NOT enforced; capturing a king ends the game.</t>
  </si>
  <si>
    <t xml:space="preserve">#</t>
  </si>
  <si>
    <t xml:space="preserve">Side</t>
  </si>
  <si>
    <t xml:space="preserve">Move</t>
  </si>
  <si>
    <t xml:space="preserve">Result</t>
  </si>
  <si>
    <t xml:space="preserve">ENGINE - recalculates the position after every move. Don't edit; play on the Chess tab.</t>
  </si>
  <si>
    <t xml:space="preserve">code</t>
  </si>
  <si>
    <t xml:space="preserve">name</t>
  </si>
  <si>
    <t xml:space="preserve">Valid plies</t>
  </si>
  <si>
    <t xml:space="preserve">Last valid ply</t>
  </si>
  <si>
    <t xml:space="preserve">Last from</t>
  </si>
  <si>
    <t xml:space="preserve">Last to</t>
  </si>
  <si>
    <t xml:space="preserve">wK</t>
  </si>
  <si>
    <t xml:space="preserve">king</t>
  </si>
  <si>
    <t xml:space="preserve">wQ</t>
  </si>
  <si>
    <t xml:space="preserve">queen</t>
  </si>
  <si>
    <t xml:space="preserve">Ply</t>
  </si>
  <si>
    <t xml:space="preserve">Input</t>
  </si>
  <si>
    <t xml:space="preserve">Clean</t>
  </si>
  <si>
    <t xml:space="preserve">From</t>
  </si>
  <si>
    <t xml:space="preserve">To</t>
  </si>
  <si>
    <t xml:space="preserve">Piece</t>
  </si>
  <si>
    <t xml:space="preserve">Target</t>
  </si>
  <si>
    <t xml:space="preserve">dFile</t>
  </si>
  <si>
    <t xml:space="preserve">dRank</t>
  </si>
  <si>
    <t xml:space="preserve">Type</t>
  </si>
  <si>
    <t xml:space="preserve">Blockers</t>
  </si>
  <si>
    <t xml:space="preserve">CastleOK</t>
  </si>
  <si>
    <t xml:space="preserve">PawnOK</t>
  </si>
  <si>
    <t xml:space="preserve">ShapeOK</t>
  </si>
  <si>
    <t xml:space="preserve">Valid</t>
  </si>
  <si>
    <t xml:space="preserve">Reason</t>
  </si>
  <si>
    <t xml:space="preserve">EP target</t>
  </si>
  <si>
    <t xml:space="preserve">wK moved</t>
  </si>
  <si>
    <t xml:space="preserve">wRa moved</t>
  </si>
  <si>
    <t xml:space="preserve">wRh moved</t>
  </si>
  <si>
    <t xml:space="preserve">bK moved</t>
  </si>
  <si>
    <t xml:space="preserve">bRa moved</t>
  </si>
  <si>
    <t xml:space="preserve">bRh moved</t>
  </si>
  <si>
    <t xml:space="preserve">Castle</t>
  </si>
  <si>
    <t xml:space="preserve">En passant</t>
  </si>
  <si>
    <t xml:space="preserve">Promo</t>
  </si>
  <si>
    <t xml:space="preserve">Promo pc</t>
  </si>
  <si>
    <t xml:space="preserve">Rook from</t>
  </si>
  <si>
    <t xml:space="preserve">Rook to</t>
  </si>
  <si>
    <t xml:space="preserve">EP captured</t>
  </si>
  <si>
    <t xml:space="preserve">Description</t>
  </si>
  <si>
    <t xml:space="preserve">a1</t>
  </si>
  <si>
    <t xml:space="preserve">b1</t>
  </si>
  <si>
    <t xml:space="preserve">c1</t>
  </si>
  <si>
    <t xml:space="preserve">d1</t>
  </si>
  <si>
    <t xml:space="preserve">e1</t>
  </si>
  <si>
    <t xml:space="preserve">f1</t>
  </si>
  <si>
    <t xml:space="preserve">g1</t>
  </si>
  <si>
    <t xml:space="preserve">h1</t>
  </si>
  <si>
    <t xml:space="preserve">a2</t>
  </si>
  <si>
    <t xml:space="preserve">b2</t>
  </si>
  <si>
    <t xml:space="preserve">c2</t>
  </si>
  <si>
    <t xml:space="preserve">d2</t>
  </si>
  <si>
    <t xml:space="preserve">e2</t>
  </si>
  <si>
    <t xml:space="preserve">f2</t>
  </si>
  <si>
    <t xml:space="preserve">g2</t>
  </si>
  <si>
    <t xml:space="preserve">h2</t>
  </si>
  <si>
    <t xml:space="preserve">a3</t>
  </si>
  <si>
    <t xml:space="preserve">b3</t>
  </si>
  <si>
    <t xml:space="preserve">c3</t>
  </si>
  <si>
    <t xml:space="preserve">d3</t>
  </si>
  <si>
    <t xml:space="preserve">e3</t>
  </si>
  <si>
    <t xml:space="preserve">f3</t>
  </si>
  <si>
    <t xml:space="preserve">g3</t>
  </si>
  <si>
    <t xml:space="preserve">h3</t>
  </si>
  <si>
    <t xml:space="preserve">a4</t>
  </si>
  <si>
    <t xml:space="preserve">b4</t>
  </si>
  <si>
    <t xml:space="preserve">c4</t>
  </si>
  <si>
    <t xml:space="preserve">d4</t>
  </si>
  <si>
    <t xml:space="preserve">e4</t>
  </si>
  <si>
    <t xml:space="preserve">f4</t>
  </si>
  <si>
    <t xml:space="preserve">g4</t>
  </si>
  <si>
    <t xml:space="preserve">h4</t>
  </si>
  <si>
    <t xml:space="preserve">a5</t>
  </si>
  <si>
    <t xml:space="preserve">b5</t>
  </si>
  <si>
    <t xml:space="preserve">c5</t>
  </si>
  <si>
    <t xml:space="preserve">d5</t>
  </si>
  <si>
    <t xml:space="preserve">e5</t>
  </si>
  <si>
    <t xml:space="preserve">f5</t>
  </si>
  <si>
    <t xml:space="preserve">g5</t>
  </si>
  <si>
    <t xml:space="preserve">h5</t>
  </si>
  <si>
    <t xml:space="preserve">a6</t>
  </si>
  <si>
    <t xml:space="preserve">b6</t>
  </si>
  <si>
    <t xml:space="preserve">c6</t>
  </si>
  <si>
    <t xml:space="preserve">d6</t>
  </si>
  <si>
    <t xml:space="preserve">e6</t>
  </si>
  <si>
    <t xml:space="preserve">f6</t>
  </si>
  <si>
    <t xml:space="preserve">g6</t>
  </si>
  <si>
    <t xml:space="preserve">h6</t>
  </si>
  <si>
    <t xml:space="preserve">a7</t>
  </si>
  <si>
    <t xml:space="preserve">b7</t>
  </si>
  <si>
    <t xml:space="preserve">c7</t>
  </si>
  <si>
    <t xml:space="preserve">d7</t>
  </si>
  <si>
    <t xml:space="preserve">e7</t>
  </si>
  <si>
    <t xml:space="preserve">f7</t>
  </si>
  <si>
    <t xml:space="preserve">g7</t>
  </si>
  <si>
    <t xml:space="preserve">h7</t>
  </si>
  <si>
    <t xml:space="preserve">a8</t>
  </si>
  <si>
    <t xml:space="preserve">b8</t>
  </si>
  <si>
    <t xml:space="preserve">c8</t>
  </si>
  <si>
    <t xml:space="preserve">d8</t>
  </si>
  <si>
    <t xml:space="preserve">e8</t>
  </si>
  <si>
    <t xml:space="preserve">f8</t>
  </si>
  <si>
    <t xml:space="preserve">g8</t>
  </si>
  <si>
    <t xml:space="preserve">h8</t>
  </si>
  <si>
    <t xml:space="preserve">wR</t>
  </si>
  <si>
    <t xml:space="preserve">rook</t>
  </si>
  <si>
    <t xml:space="preserve">Start position</t>
  </si>
  <si>
    <t xml:space="preserve">wN</t>
  </si>
  <si>
    <t xml:space="preserve">wB</t>
  </si>
  <si>
    <t xml:space="preserve">wP</t>
  </si>
  <si>
    <t xml:space="preserve">bP</t>
  </si>
  <si>
    <t xml:space="preserve">bR</t>
  </si>
  <si>
    <t xml:space="preserve">bN</t>
  </si>
  <si>
    <t xml:space="preserve">bB</t>
  </si>
  <si>
    <t xml:space="preserve">bQ</t>
  </si>
  <si>
    <t xml:space="preserve">bK</t>
  </si>
  <si>
    <t xml:space="preserve">bishop</t>
  </si>
  <si>
    <t xml:space="preserve">knight</t>
  </si>
  <si>
    <t xml:space="preserve">pawn</t>
  </si>
  <si>
    <t xml:space="preserve">KING</t>
  </si>
  <si>
    <t xml:space="preserve">QUEEN</t>
  </si>
  <si>
    <t xml:space="preserve">ROOK</t>
  </si>
  <si>
    <t xml:space="preserve">BISHOP</t>
  </si>
  <si>
    <t xml:space="preserve">KNIGHT</t>
  </si>
  <si>
    <t xml:space="preserve">PAWN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</si>
</sst>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8"/>
      <color rgb="FFBFBFB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6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DE8A6"/>
        </patternFill>
      </fill>
    </dxf>
    <dxf>
      <font>
        <b val="1"/>
        <color rgb="FFC00000"/>
      </font>
    </dxf>
    <dxf>
      <font>
        <b val="1"/>
        <color rgb="FF9C0006"/>
      </font>
      <fill>
        <patternFill>
          <bgColor rgb="FFF4B6B6"/>
        </patternFill>
      </fill>
    </dxf>
    <dxf>
      <fill>
        <patternFill>
          <bgColor rgb="FFFFD54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8A6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D54F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0"/>
    <col collapsed="false" customWidth="true" hidden="false" outlineLevel="0" max="9" min="9" style="0" width="3"/>
    <col collapsed="false" customWidth="true" hidden="false" outlineLevel="0" max="10" min="10" style="0" width="5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1" t="str">
        <f aca="false">IFERROR(INDEX(Engine!$CV$2:$CV$13,MATCH(Engine!AH$305,Engine!$CU$2:$CU$13,0)),"")</f>
        <v>rook</v>
      </c>
      <c r="B1" s="1" t="str">
        <f aca="false">IFERROR(INDEX(Engine!$CV$2:$CV$13,MATCH(Engine!AI$305,Engine!$CU$2:$CU$13,0)),"")</f>
        <v>knight</v>
      </c>
      <c r="C1" s="1" t="str">
        <f aca="false">IFERROR(INDEX(Engine!$CV$2:$CV$13,MATCH(Engine!AJ$305,Engine!$CU$2:$CU$13,0)),"")</f>
        <v>bishop</v>
      </c>
      <c r="D1" s="1" t="str">
        <f aca="false">IFERROR(INDEX(Engine!$CV$2:$CV$13,MATCH(Engine!AK$305,Engine!$CU$2:$CU$13,0)),"")</f>
        <v>queen</v>
      </c>
      <c r="E1" s="1" t="str">
        <f aca="false">IFERROR(INDEX(Engine!$CV$2:$CV$13,MATCH(Engine!AL$305,Engine!$CU$2:$CU$13,0)),"")</f>
        <v>king</v>
      </c>
      <c r="F1" s="1" t="str">
        <f aca="false">IFERROR(INDEX(Engine!$CV$2:$CV$13,MATCH(Engine!AM$305,Engine!$CU$2:$CU$13,0)),"")</f>
        <v>bishop</v>
      </c>
      <c r="G1" s="1" t="str">
        <f aca="false">IFERROR(INDEX(Engine!$CV$2:$CV$13,MATCH(Engine!AN$305,Engine!$CU$2:$CU$13,0)),"")</f>
        <v>knight</v>
      </c>
      <c r="H1" s="1" t="str">
        <f aca="false">IFERROR(INDEX(Engine!$CV$2:$CV$13,MATCH(Engine!AO$305,Engine!$CU$2:$CU$13,0)),"")</f>
        <v>rook</v>
      </c>
      <c r="J1" s="2" t="str">
        <f aca="false">IF(COUNTIF(Engine!$AH$305:$CS$305,"bK")=0,"White wins - Black king captured",IF(COUNTIF(Engine!$AH$305:$CS$305,"wK")=0,"Black wins - White king captured",IF(MOD(Engine!$B$2,2)=0,"White","Black")&amp;" to move  (move "&amp;(INT(Engine!$B$2/2)+1)&amp;")"))</f>
        <v>White to move  (move 1)</v>
      </c>
      <c r="Z1" s="3" t="s">
        <v>0</v>
      </c>
      <c r="AA1" s="3" t="n">
        <f aca="false">Engine!$F$2</f>
        <v>0</v>
      </c>
      <c r="AB1" s="3" t="n">
        <f aca="false">Engine!$H$2</f>
        <v>0</v>
      </c>
    </row>
    <row r="2" customFormat="false" ht="15" hidden="false" customHeight="false" outlineLevel="0" collapsed="false">
      <c r="A2" s="1" t="str">
        <f aca="false">IFERROR(INDEX(Engine!$CV$2:$CV$13,MATCH(Engine!AP$305,Engine!$CU$2:$CU$13,0)),"")</f>
        <v>pawn</v>
      </c>
      <c r="B2" s="1" t="str">
        <f aca="false">IFERROR(INDEX(Engine!$CV$2:$CV$13,MATCH(Engine!AQ$305,Engine!$CU$2:$CU$13,0)),"")</f>
        <v>pawn</v>
      </c>
      <c r="C2" s="1" t="str">
        <f aca="false">IFERROR(INDEX(Engine!$CV$2:$CV$13,MATCH(Engine!AR$305,Engine!$CU$2:$CU$13,0)),"")</f>
        <v>pawn</v>
      </c>
      <c r="D2" s="1" t="str">
        <f aca="false">IFERROR(INDEX(Engine!$CV$2:$CV$13,MATCH(Engine!AS$305,Engine!$CU$2:$CU$13,0)),"")</f>
        <v>pawn</v>
      </c>
      <c r="E2" s="1" t="str">
        <f aca="false">IFERROR(INDEX(Engine!$CV$2:$CV$13,MATCH(Engine!AT$305,Engine!$CU$2:$CU$13,0)),"")</f>
        <v>pawn</v>
      </c>
      <c r="F2" s="1" t="str">
        <f aca="false">IFERROR(INDEX(Engine!$CV$2:$CV$13,MATCH(Engine!AU$305,Engine!$CU$2:$CU$13,0)),"")</f>
        <v>pawn</v>
      </c>
      <c r="G2" s="1" t="str">
        <f aca="false">IFERROR(INDEX(Engine!$CV$2:$CV$13,MATCH(Engine!AV$305,Engine!$CU$2:$CU$13,0)),"")</f>
        <v>pawn</v>
      </c>
      <c r="H2" s="1" t="str">
        <f aca="false">IFERROR(INDEX(Engine!$CV$2:$CV$13,MATCH(Engine!AW$305,Engine!$CU$2:$CU$13,0)),"")</f>
        <v>pawn</v>
      </c>
      <c r="J2" s="4" t="str">
        <f aca="false">IF(COUNTA($L$10:$L$309)=0,"Type White's first move in the yellow cell below, e.g. e2e4","Last entry: "&amp;INDEX($M$10:$M$309,COUNTA($L$10:$L$309)))</f>
        <v>Type White's first move in the yellow cell below, e.g. e2e4</v>
      </c>
    </row>
    <row r="3" customFormat="false" ht="15" hidden="false" customHeight="false" outlineLevel="0" collapsed="false">
      <c r="A3" s="1" t="str">
        <f aca="false">IFERROR(INDEX(Engine!$CV$2:$CV$13,MATCH(Engine!AX$305,Engine!$CU$2:$CU$13,0)),"")</f>
        <v/>
      </c>
      <c r="B3" s="1" t="str">
        <f aca="false">IFERROR(INDEX(Engine!$CV$2:$CV$13,MATCH(Engine!AY$305,Engine!$CU$2:$CU$13,0)),"")</f>
        <v/>
      </c>
      <c r="C3" s="1" t="str">
        <f aca="false">IFERROR(INDEX(Engine!$CV$2:$CV$13,MATCH(Engine!AZ$305,Engine!$CU$2:$CU$13,0)),"")</f>
        <v/>
      </c>
      <c r="D3" s="1" t="str">
        <f aca="false">IFERROR(INDEX(Engine!$CV$2:$CV$13,MATCH(Engine!BA$305,Engine!$CU$2:$CU$13,0)),"")</f>
        <v/>
      </c>
      <c r="E3" s="1" t="str">
        <f aca="false">IFERROR(INDEX(Engine!$CV$2:$CV$13,MATCH(Engine!BB$305,Engine!$CU$2:$CU$13,0)),"")</f>
        <v/>
      </c>
      <c r="F3" s="1" t="str">
        <f aca="false">IFERROR(INDEX(Engine!$CV$2:$CV$13,MATCH(Engine!BC$305,Engine!$CU$2:$CU$13,0)),"")</f>
        <v/>
      </c>
      <c r="G3" s="1" t="str">
        <f aca="false">IFERROR(INDEX(Engine!$CV$2:$CV$13,MATCH(Engine!BD$305,Engine!$CU$2:$CU$13,0)),"")</f>
        <v/>
      </c>
      <c r="H3" s="1" t="str">
        <f aca="false">IFERROR(INDEX(Engine!$CV$2:$CV$13,MATCH(Engine!BE$305,Engine!$CU$2:$CU$13,0)),"")</f>
        <v/>
      </c>
      <c r="J3" s="4" t="s">
        <v>1</v>
      </c>
    </row>
    <row r="4" customFormat="false" ht="15" hidden="false" customHeight="false" outlineLevel="0" collapsed="false">
      <c r="A4" s="1" t="str">
        <f aca="false">IFERROR(INDEX(Engine!$CV$2:$CV$13,MATCH(Engine!BF$305,Engine!$CU$2:$CU$13,0)),"")</f>
        <v/>
      </c>
      <c r="B4" s="1" t="str">
        <f aca="false">IFERROR(INDEX(Engine!$CV$2:$CV$13,MATCH(Engine!BG$305,Engine!$CU$2:$CU$13,0)),"")</f>
        <v/>
      </c>
      <c r="C4" s="1" t="str">
        <f aca="false">IFERROR(INDEX(Engine!$CV$2:$CV$13,MATCH(Engine!BH$305,Engine!$CU$2:$CU$13,0)),"")</f>
        <v/>
      </c>
      <c r="D4" s="1" t="str">
        <f aca="false">IFERROR(INDEX(Engine!$CV$2:$CV$13,MATCH(Engine!BI$305,Engine!$CU$2:$CU$13,0)),"")</f>
        <v/>
      </c>
      <c r="E4" s="1" t="str">
        <f aca="false">IFERROR(INDEX(Engine!$CV$2:$CV$13,MATCH(Engine!BJ$305,Engine!$CU$2:$CU$13,0)),"")</f>
        <v/>
      </c>
      <c r="F4" s="1" t="str">
        <f aca="false">IFERROR(INDEX(Engine!$CV$2:$CV$13,MATCH(Engine!BK$305,Engine!$CU$2:$CU$13,0)),"")</f>
        <v/>
      </c>
      <c r="G4" s="1" t="str">
        <f aca="false">IFERROR(INDEX(Engine!$CV$2:$CV$13,MATCH(Engine!BL$305,Engine!$CU$2:$CU$13,0)),"")</f>
        <v/>
      </c>
      <c r="H4" s="1" t="str">
        <f aca="false">IFERROR(INDEX(Engine!$CV$2:$CV$13,MATCH(Engine!BM$305,Engine!$CU$2:$CU$13,0)),"")</f>
        <v/>
      </c>
      <c r="J4" s="4" t="s">
        <v>2</v>
      </c>
    </row>
    <row r="5" customFormat="false" ht="15" hidden="false" customHeight="false" outlineLevel="0" collapsed="false">
      <c r="A5" s="1" t="str">
        <f aca="false">IFERROR(INDEX(Engine!$CV$2:$CV$13,MATCH(Engine!BN$305,Engine!$CU$2:$CU$13,0)),"")</f>
        <v/>
      </c>
      <c r="B5" s="1" t="str">
        <f aca="false">IFERROR(INDEX(Engine!$CV$2:$CV$13,MATCH(Engine!BO$305,Engine!$CU$2:$CU$13,0)),"")</f>
        <v/>
      </c>
      <c r="C5" s="1" t="str">
        <f aca="false">IFERROR(INDEX(Engine!$CV$2:$CV$13,MATCH(Engine!BP$305,Engine!$CU$2:$CU$13,0)),"")</f>
        <v/>
      </c>
      <c r="D5" s="1" t="str">
        <f aca="false">IFERROR(INDEX(Engine!$CV$2:$CV$13,MATCH(Engine!BQ$305,Engine!$CU$2:$CU$13,0)),"")</f>
        <v/>
      </c>
      <c r="E5" s="1" t="str">
        <f aca="false">IFERROR(INDEX(Engine!$CV$2:$CV$13,MATCH(Engine!BR$305,Engine!$CU$2:$CU$13,0)),"")</f>
        <v/>
      </c>
      <c r="F5" s="1" t="str">
        <f aca="false">IFERROR(INDEX(Engine!$CV$2:$CV$13,MATCH(Engine!BS$305,Engine!$CU$2:$CU$13,0)),"")</f>
        <v/>
      </c>
      <c r="G5" s="1" t="str">
        <f aca="false">IFERROR(INDEX(Engine!$CV$2:$CV$13,MATCH(Engine!BT$305,Engine!$CU$2:$CU$13,0)),"")</f>
        <v/>
      </c>
      <c r="H5" s="1" t="str">
        <f aca="false">IFERROR(INDEX(Engine!$CV$2:$CV$13,MATCH(Engine!BU$305,Engine!$CU$2:$CU$13,0)),"")</f>
        <v/>
      </c>
      <c r="J5" s="4" t="s">
        <v>3</v>
      </c>
    </row>
    <row r="6" customFormat="false" ht="15" hidden="false" customHeight="false" outlineLevel="0" collapsed="false">
      <c r="A6" s="1" t="str">
        <f aca="false">IFERROR(INDEX(Engine!$CV$2:$CV$13,MATCH(Engine!BV$305,Engine!$CU$2:$CU$13,0)),"")</f>
        <v/>
      </c>
      <c r="B6" s="1" t="str">
        <f aca="false">IFERROR(INDEX(Engine!$CV$2:$CV$13,MATCH(Engine!BW$305,Engine!$CU$2:$CU$13,0)),"")</f>
        <v/>
      </c>
      <c r="C6" s="1" t="str">
        <f aca="false">IFERROR(INDEX(Engine!$CV$2:$CV$13,MATCH(Engine!BX$305,Engine!$CU$2:$CU$13,0)),"")</f>
        <v/>
      </c>
      <c r="D6" s="1" t="str">
        <f aca="false">IFERROR(INDEX(Engine!$CV$2:$CV$13,MATCH(Engine!BY$305,Engine!$CU$2:$CU$13,0)),"")</f>
        <v/>
      </c>
      <c r="E6" s="1" t="str">
        <f aca="false">IFERROR(INDEX(Engine!$CV$2:$CV$13,MATCH(Engine!BZ$305,Engine!$CU$2:$CU$13,0)),"")</f>
        <v/>
      </c>
      <c r="F6" s="1" t="str">
        <f aca="false">IFERROR(INDEX(Engine!$CV$2:$CV$13,MATCH(Engine!CA$305,Engine!$CU$2:$CU$13,0)),"")</f>
        <v/>
      </c>
      <c r="G6" s="1" t="str">
        <f aca="false">IFERROR(INDEX(Engine!$CV$2:$CV$13,MATCH(Engine!CB$305,Engine!$CU$2:$CU$13,0)),"")</f>
        <v/>
      </c>
      <c r="H6" s="1" t="str">
        <f aca="false">IFERROR(INDEX(Engine!$CV$2:$CV$13,MATCH(Engine!CC$305,Engine!$CU$2:$CU$13,0)),"")</f>
        <v/>
      </c>
      <c r="J6" s="4" t="str">
        <f aca="false">"Captured by White: "&amp;REPT("P",MAX(0,8-COUNTIF(Engine!$AH$305:$CS$305,"bP")))&amp;" "&amp;REPT("N",MAX(0,2-COUNTIF(Engine!$AH$305:$CS$305,"bN")))&amp;" "&amp;REPT("B",MAX(0,2-COUNTIF(Engine!$AH$305:$CS$305,"bB")))&amp;" "&amp;REPT("R",MAX(0,2-COUNTIF(Engine!$AH$305:$CS$305,"bR")))&amp;" "&amp;REPT("Q",MAX(0,1-COUNTIF(Engine!$AH$305:$CS$305,"bQ")))</f>
        <v>Captured by White:     </v>
      </c>
    </row>
    <row r="7" customFormat="false" ht="15" hidden="false" customHeight="false" outlineLevel="0" collapsed="false">
      <c r="A7" s="1" t="str">
        <f aca="false">IFERROR(INDEX(Engine!$CV$2:$CV$13,MATCH(Engine!CD$305,Engine!$CU$2:$CU$13,0)),"")</f>
        <v>PAWN</v>
      </c>
      <c r="B7" s="1" t="str">
        <f aca="false">IFERROR(INDEX(Engine!$CV$2:$CV$13,MATCH(Engine!CE$305,Engine!$CU$2:$CU$13,0)),"")</f>
        <v>PAWN</v>
      </c>
      <c r="C7" s="1" t="str">
        <f aca="false">IFERROR(INDEX(Engine!$CV$2:$CV$13,MATCH(Engine!CF$305,Engine!$CU$2:$CU$13,0)),"")</f>
        <v>PAWN</v>
      </c>
      <c r="D7" s="1" t="str">
        <f aca="false">IFERROR(INDEX(Engine!$CV$2:$CV$13,MATCH(Engine!CG$305,Engine!$CU$2:$CU$13,0)),"")</f>
        <v>PAWN</v>
      </c>
      <c r="E7" s="1" t="str">
        <f aca="false">IFERROR(INDEX(Engine!$CV$2:$CV$13,MATCH(Engine!CH$305,Engine!$CU$2:$CU$13,0)),"")</f>
        <v>PAWN</v>
      </c>
      <c r="F7" s="1" t="str">
        <f aca="false">IFERROR(INDEX(Engine!$CV$2:$CV$13,MATCH(Engine!CI$305,Engine!$CU$2:$CU$13,0)),"")</f>
        <v>PAWN</v>
      </c>
      <c r="G7" s="1" t="str">
        <f aca="false">IFERROR(INDEX(Engine!$CV$2:$CV$13,MATCH(Engine!CJ$305,Engine!$CU$2:$CU$13,0)),"")</f>
        <v>PAWN</v>
      </c>
      <c r="H7" s="1" t="str">
        <f aca="false">IFERROR(INDEX(Engine!$CV$2:$CV$13,MATCH(Engine!CK$305,Engine!$CU$2:$CU$13,0)),"")</f>
        <v>PAWN</v>
      </c>
      <c r="J7" s="4" t="str">
        <f aca="false">"Captured by Black: "&amp;REPT("P",MAX(0,8-COUNTIF(Engine!$AH$305:$CS$305,"wP")))&amp;" "&amp;REPT("N",MAX(0,2-COUNTIF(Engine!$AH$305:$CS$305,"wN")))&amp;" "&amp;REPT("B",MAX(0,2-COUNTIF(Engine!$AH$305:$CS$305,"wB")))&amp;" "&amp;REPT("R",MAX(0,2-COUNTIF(Engine!$AH$305:$CS$305,"wR")))&amp;" "&amp;REPT("Q",MAX(0,1-COUNTIF(Engine!$AH$305:$CS$305,"wQ")))</f>
        <v>Captured by Black:     </v>
      </c>
    </row>
    <row r="8" customFormat="false" ht="15" hidden="false" customHeight="false" outlineLevel="0" collapsed="false">
      <c r="A8" s="1" t="str">
        <f aca="false">IFERROR(INDEX(Engine!$CV$2:$CV$13,MATCH(Engine!CL$305,Engine!$CU$2:$CU$13,0)),"")</f>
        <v>ROOK</v>
      </c>
      <c r="B8" s="1" t="str">
        <f aca="false">IFERROR(INDEX(Engine!$CV$2:$CV$13,MATCH(Engine!CM$305,Engine!$CU$2:$CU$13,0)),"")</f>
        <v>KNIGHT</v>
      </c>
      <c r="C8" s="1" t="str">
        <f aca="false">IFERROR(INDEX(Engine!$CV$2:$CV$13,MATCH(Engine!CN$305,Engine!$CU$2:$CU$13,0)),"")</f>
        <v>BISHOP</v>
      </c>
      <c r="D8" s="1" t="str">
        <f aca="false">IFERROR(INDEX(Engine!$CV$2:$CV$13,MATCH(Engine!CO$305,Engine!$CU$2:$CU$13,0)),"")</f>
        <v>QUEEN</v>
      </c>
      <c r="E8" s="1" t="str">
        <f aca="false">IFERROR(INDEX(Engine!$CV$2:$CV$13,MATCH(Engine!CP$305,Engine!$CU$2:$CU$13,0)),"")</f>
        <v>KING</v>
      </c>
      <c r="F8" s="1" t="str">
        <f aca="false">IFERROR(INDEX(Engine!$CV$2:$CV$13,MATCH(Engine!CQ$305,Engine!$CU$2:$CU$13,0)),"")</f>
        <v>BISHOP</v>
      </c>
      <c r="G8" s="1" t="str">
        <f aca="false">IFERROR(INDEX(Engine!$CV$2:$CV$13,MATCH(Engine!CR$305,Engine!$CU$2:$CU$13,0)),"")</f>
        <v>KNIGHT</v>
      </c>
      <c r="H8" s="1" t="str">
        <f aca="false">IFERROR(INDEX(Engine!$CV$2:$CV$13,MATCH(Engine!CS$305,Engine!$CU$2:$CU$13,0)),"")</f>
        <v>ROOK</v>
      </c>
    </row>
    <row r="9" customFormat="false" ht="15" hidden="false" customHeight="false" outlineLevel="0" collapsed="false">
      <c r="J9" s="5" t="s">
        <v>4</v>
      </c>
      <c r="K9" s="5" t="s">
        <v>5</v>
      </c>
      <c r="L9" s="5" t="s">
        <v>6</v>
      </c>
      <c r="M9" s="6" t="s">
        <v>7</v>
      </c>
    </row>
    <row r="10" customFormat="false" ht="15" hidden="false" customHeight="false" outlineLevel="0" collapsed="false">
      <c r="J10" s="7" t="n">
        <v>1</v>
      </c>
      <c r="K10" s="8" t="str">
        <f aca="false">IF(OR(Engine!$B6&lt;&gt;"",ROW()-9=COUNTA($L$10:$L$309)+1),IF(Engine!$F6="w","White","Black"),"")</f>
        <v>White</v>
      </c>
      <c r="L10" s="9"/>
      <c r="M10" s="1" t="str">
        <f aca="false">Engine!$AF6</f>
        <v/>
      </c>
    </row>
    <row r="11" customFormat="false" ht="15" hidden="false" customHeight="false" outlineLevel="0" collapsed="false">
      <c r="J11" s="7" t="n">
        <v>2</v>
      </c>
      <c r="K11" s="8" t="str">
        <f aca="false">IF(OR(Engine!$B7&lt;&gt;"",ROW()-9=COUNTA($L$10:$L$309)+1),IF(Engine!$F7="w","White","Black"),"")</f>
        <v/>
      </c>
      <c r="L11" s="9"/>
      <c r="M11" s="1" t="str">
        <f aca="false">Engine!$AF7</f>
        <v/>
      </c>
    </row>
    <row r="12" customFormat="false" ht="15" hidden="false" customHeight="false" outlineLevel="0" collapsed="false">
      <c r="J12" s="7" t="n">
        <v>3</v>
      </c>
      <c r="K12" s="8" t="str">
        <f aca="false">IF(OR(Engine!$B8&lt;&gt;"",ROW()-9=COUNTA($L$10:$L$309)+1),IF(Engine!$F8="w","White","Black"),"")</f>
        <v/>
      </c>
      <c r="L12" s="9"/>
      <c r="M12" s="1" t="str">
        <f aca="false">Engine!$AF8</f>
        <v/>
      </c>
    </row>
    <row r="13" customFormat="false" ht="15" hidden="false" customHeight="false" outlineLevel="0" collapsed="false">
      <c r="J13" s="7" t="n">
        <v>4</v>
      </c>
      <c r="K13" s="8" t="str">
        <f aca="false">IF(OR(Engine!$B9&lt;&gt;"",ROW()-9=COUNTA($L$10:$L$309)+1),IF(Engine!$F9="w","White","Black"),"")</f>
        <v/>
      </c>
      <c r="L13" s="9"/>
      <c r="M13" s="1" t="str">
        <f aca="false">Engine!$AF9</f>
        <v/>
      </c>
    </row>
    <row r="14" customFormat="false" ht="15" hidden="false" customHeight="false" outlineLevel="0" collapsed="false">
      <c r="J14" s="7" t="n">
        <v>5</v>
      </c>
      <c r="K14" s="8" t="str">
        <f aca="false">IF(OR(Engine!$B10&lt;&gt;"",ROW()-9=COUNTA($L$10:$L$309)+1),IF(Engine!$F10="w","White","Black"),"")</f>
        <v/>
      </c>
      <c r="L14" s="9"/>
      <c r="M14" s="1" t="str">
        <f aca="false">Engine!$AF10</f>
        <v/>
      </c>
    </row>
    <row r="15" customFormat="false" ht="15" hidden="false" customHeight="false" outlineLevel="0" collapsed="false">
      <c r="J15" s="7" t="n">
        <v>6</v>
      </c>
      <c r="K15" s="8" t="str">
        <f aca="false">IF(OR(Engine!$B11&lt;&gt;"",ROW()-9=COUNTA($L$10:$L$309)+1),IF(Engine!$F11="w","White","Black"),"")</f>
        <v/>
      </c>
      <c r="L15" s="9"/>
      <c r="M15" s="1" t="str">
        <f aca="false">Engine!$AF11</f>
        <v/>
      </c>
    </row>
    <row r="16" customFormat="false" ht="15" hidden="false" customHeight="false" outlineLevel="0" collapsed="false">
      <c r="J16" s="7" t="n">
        <v>7</v>
      </c>
      <c r="K16" s="8" t="str">
        <f aca="false">IF(OR(Engine!$B12&lt;&gt;"",ROW()-9=COUNTA($L$10:$L$309)+1),IF(Engine!$F12="w","White","Black"),"")</f>
        <v/>
      </c>
      <c r="L16" s="9"/>
      <c r="M16" s="1" t="str">
        <f aca="false">Engine!$AF12</f>
        <v/>
      </c>
    </row>
    <row r="17" customFormat="false" ht="15" hidden="false" customHeight="false" outlineLevel="0" collapsed="false">
      <c r="J17" s="7" t="n">
        <v>8</v>
      </c>
      <c r="K17" s="8" t="str">
        <f aca="false">IF(OR(Engine!$B13&lt;&gt;"",ROW()-9=COUNTA($L$10:$L$309)+1),IF(Engine!$F13="w","White","Black"),"")</f>
        <v/>
      </c>
      <c r="L17" s="9"/>
      <c r="M17" s="1" t="str">
        <f aca="false">Engine!$AF13</f>
        <v/>
      </c>
    </row>
    <row r="18" customFormat="false" ht="15" hidden="false" customHeight="false" outlineLevel="0" collapsed="false">
      <c r="J18" s="7" t="n">
        <v>9</v>
      </c>
      <c r="K18" s="8" t="str">
        <f aca="false">IF(OR(Engine!$B14&lt;&gt;"",ROW()-9=COUNTA($L$10:$L$309)+1),IF(Engine!$F14="w","White","Black"),"")</f>
        <v/>
      </c>
      <c r="L18" s="9"/>
      <c r="M18" s="1" t="str">
        <f aca="false">Engine!$AF14</f>
        <v/>
      </c>
    </row>
    <row r="19" customFormat="false" ht="15" hidden="false" customHeight="false" outlineLevel="0" collapsed="false">
      <c r="J19" s="7" t="n">
        <v>10</v>
      </c>
      <c r="K19" s="8" t="str">
        <f aca="false">IF(OR(Engine!$B15&lt;&gt;"",ROW()-9=COUNTA($L$10:$L$309)+1),IF(Engine!$F15="w","White","Black"),"")</f>
        <v/>
      </c>
      <c r="L19" s="9"/>
      <c r="M19" s="1" t="str">
        <f aca="false">Engine!$AF15</f>
        <v/>
      </c>
    </row>
    <row r="20" customFormat="false" ht="15" hidden="false" customHeight="false" outlineLevel="0" collapsed="false">
      <c r="J20" s="7" t="n">
        <v>11</v>
      </c>
      <c r="K20" s="8" t="str">
        <f aca="false">IF(OR(Engine!$B16&lt;&gt;"",ROW()-9=COUNTA($L$10:$L$309)+1),IF(Engine!$F16="w","White","Black"),"")</f>
        <v/>
      </c>
      <c r="L20" s="9"/>
      <c r="M20" s="1" t="str">
        <f aca="false">Engine!$AF16</f>
        <v/>
      </c>
    </row>
    <row r="21" customFormat="false" ht="15" hidden="false" customHeight="false" outlineLevel="0" collapsed="false">
      <c r="J21" s="7" t="n">
        <v>12</v>
      </c>
      <c r="K21" s="8" t="str">
        <f aca="false">IF(OR(Engine!$B17&lt;&gt;"",ROW()-9=COUNTA($L$10:$L$309)+1),IF(Engine!$F17="w","White","Black"),"")</f>
        <v/>
      </c>
      <c r="L21" s="9"/>
      <c r="M21" s="1" t="str">
        <f aca="false">Engine!$AF17</f>
        <v/>
      </c>
    </row>
    <row r="22" customFormat="false" ht="15" hidden="false" customHeight="false" outlineLevel="0" collapsed="false">
      <c r="J22" s="7" t="n">
        <v>13</v>
      </c>
      <c r="K22" s="8" t="str">
        <f aca="false">IF(OR(Engine!$B18&lt;&gt;"",ROW()-9=COUNTA($L$10:$L$309)+1),IF(Engine!$F18="w","White","Black"),"")</f>
        <v/>
      </c>
      <c r="L22" s="9"/>
      <c r="M22" s="1" t="str">
        <f aca="false">Engine!$AF18</f>
        <v/>
      </c>
    </row>
    <row r="23" customFormat="false" ht="15" hidden="false" customHeight="false" outlineLevel="0" collapsed="false">
      <c r="J23" s="7" t="n">
        <v>14</v>
      </c>
      <c r="K23" s="8" t="str">
        <f aca="false">IF(OR(Engine!$B19&lt;&gt;"",ROW()-9=COUNTA($L$10:$L$309)+1),IF(Engine!$F19="w","White","Black"),"")</f>
        <v/>
      </c>
      <c r="L23" s="9"/>
      <c r="M23" s="1" t="str">
        <f aca="false">Engine!$AF19</f>
        <v/>
      </c>
    </row>
    <row r="24" customFormat="false" ht="15" hidden="false" customHeight="false" outlineLevel="0" collapsed="false">
      <c r="J24" s="7" t="n">
        <v>15</v>
      </c>
      <c r="K24" s="8" t="str">
        <f aca="false">IF(OR(Engine!$B20&lt;&gt;"",ROW()-9=COUNTA($L$10:$L$309)+1),IF(Engine!$F20="w","White","Black"),"")</f>
        <v/>
      </c>
      <c r="L24" s="9"/>
      <c r="M24" s="1" t="str">
        <f aca="false">Engine!$AF20</f>
        <v/>
      </c>
    </row>
    <row r="25" customFormat="false" ht="15" hidden="false" customHeight="false" outlineLevel="0" collapsed="false">
      <c r="J25" s="7" t="n">
        <v>16</v>
      </c>
      <c r="K25" s="8" t="str">
        <f aca="false">IF(OR(Engine!$B21&lt;&gt;"",ROW()-9=COUNTA($L$10:$L$309)+1),IF(Engine!$F21="w","White","Black"),"")</f>
        <v/>
      </c>
      <c r="L25" s="9"/>
      <c r="M25" s="1" t="str">
        <f aca="false">Engine!$AF21</f>
        <v/>
      </c>
    </row>
    <row r="26" customFormat="false" ht="15" hidden="false" customHeight="false" outlineLevel="0" collapsed="false">
      <c r="J26" s="7" t="n">
        <v>17</v>
      </c>
      <c r="K26" s="8" t="str">
        <f aca="false">IF(OR(Engine!$B22&lt;&gt;"",ROW()-9=COUNTA($L$10:$L$309)+1),IF(Engine!$F22="w","White","Black"),"")</f>
        <v/>
      </c>
      <c r="L26" s="9"/>
      <c r="M26" s="1" t="str">
        <f aca="false">Engine!$AF22</f>
        <v/>
      </c>
    </row>
    <row r="27" customFormat="false" ht="15" hidden="false" customHeight="false" outlineLevel="0" collapsed="false">
      <c r="J27" s="7" t="n">
        <v>18</v>
      </c>
      <c r="K27" s="8" t="str">
        <f aca="false">IF(OR(Engine!$B23&lt;&gt;"",ROW()-9=COUNTA($L$10:$L$309)+1),IF(Engine!$F23="w","White","Black"),"")</f>
        <v/>
      </c>
      <c r="L27" s="9"/>
      <c r="M27" s="1" t="str">
        <f aca="false">Engine!$AF23</f>
        <v/>
      </c>
    </row>
    <row r="28" customFormat="false" ht="15" hidden="false" customHeight="false" outlineLevel="0" collapsed="false">
      <c r="J28" s="7" t="n">
        <v>19</v>
      </c>
      <c r="K28" s="8" t="str">
        <f aca="false">IF(OR(Engine!$B24&lt;&gt;"",ROW()-9=COUNTA($L$10:$L$309)+1),IF(Engine!$F24="w","White","Black"),"")</f>
        <v/>
      </c>
      <c r="L28" s="9"/>
      <c r="M28" s="1" t="str">
        <f aca="false">Engine!$AF24</f>
        <v/>
      </c>
    </row>
    <row r="29" customFormat="false" ht="15" hidden="false" customHeight="false" outlineLevel="0" collapsed="false">
      <c r="J29" s="7" t="n">
        <v>20</v>
      </c>
      <c r="K29" s="8" t="str">
        <f aca="false">IF(OR(Engine!$B25&lt;&gt;"",ROW()-9=COUNTA($L$10:$L$309)+1),IF(Engine!$F25="w","White","Black"),"")</f>
        <v/>
      </c>
      <c r="L29" s="9"/>
      <c r="M29" s="1" t="str">
        <f aca="false">Engine!$AF25</f>
        <v/>
      </c>
    </row>
    <row r="30" customFormat="false" ht="15" hidden="false" customHeight="false" outlineLevel="0" collapsed="false">
      <c r="J30" s="7" t="n">
        <v>21</v>
      </c>
      <c r="K30" s="8" t="str">
        <f aca="false">IF(OR(Engine!$B26&lt;&gt;"",ROW()-9=COUNTA($L$10:$L$309)+1),IF(Engine!$F26="w","White","Black"),"")</f>
        <v/>
      </c>
      <c r="L30" s="9"/>
      <c r="M30" s="1" t="str">
        <f aca="false">Engine!$AF26</f>
        <v/>
      </c>
    </row>
    <row r="31" customFormat="false" ht="15" hidden="false" customHeight="false" outlineLevel="0" collapsed="false">
      <c r="J31" s="7" t="n">
        <v>22</v>
      </c>
      <c r="K31" s="8" t="str">
        <f aca="false">IF(OR(Engine!$B27&lt;&gt;"",ROW()-9=COUNTA($L$10:$L$309)+1),IF(Engine!$F27="w","White","Black"),"")</f>
        <v/>
      </c>
      <c r="L31" s="9"/>
      <c r="M31" s="1" t="str">
        <f aca="false">Engine!$AF27</f>
        <v/>
      </c>
    </row>
    <row r="32" customFormat="false" ht="15" hidden="false" customHeight="false" outlineLevel="0" collapsed="false">
      <c r="J32" s="7" t="n">
        <v>23</v>
      </c>
      <c r="K32" s="8" t="str">
        <f aca="false">IF(OR(Engine!$B28&lt;&gt;"",ROW()-9=COUNTA($L$10:$L$309)+1),IF(Engine!$F28="w","White","Black"),"")</f>
        <v/>
      </c>
      <c r="L32" s="9"/>
      <c r="M32" s="1" t="str">
        <f aca="false">Engine!$AF28</f>
        <v/>
      </c>
    </row>
    <row r="33" customFormat="false" ht="15" hidden="false" customHeight="false" outlineLevel="0" collapsed="false">
      <c r="J33" s="7" t="n">
        <v>24</v>
      </c>
      <c r="K33" s="8" t="str">
        <f aca="false">IF(OR(Engine!$B29&lt;&gt;"",ROW()-9=COUNTA($L$10:$L$309)+1),IF(Engine!$F29="w","White","Black"),"")</f>
        <v/>
      </c>
      <c r="L33" s="9"/>
      <c r="M33" s="1" t="str">
        <f aca="false">Engine!$AF29</f>
        <v/>
      </c>
    </row>
    <row r="34" customFormat="false" ht="15" hidden="false" customHeight="false" outlineLevel="0" collapsed="false">
      <c r="J34" s="7" t="n">
        <v>25</v>
      </c>
      <c r="K34" s="8" t="str">
        <f aca="false">IF(OR(Engine!$B30&lt;&gt;"",ROW()-9=COUNTA($L$10:$L$309)+1),IF(Engine!$F30="w","White","Black"),"")</f>
        <v/>
      </c>
      <c r="L34" s="9"/>
      <c r="M34" s="1" t="str">
        <f aca="false">Engine!$AF30</f>
        <v/>
      </c>
    </row>
    <row r="35" customFormat="false" ht="15" hidden="false" customHeight="false" outlineLevel="0" collapsed="false">
      <c r="J35" s="7" t="n">
        <v>26</v>
      </c>
      <c r="K35" s="8" t="str">
        <f aca="false">IF(OR(Engine!$B31&lt;&gt;"",ROW()-9=COUNTA($L$10:$L$309)+1),IF(Engine!$F31="w","White","Black"),"")</f>
        <v/>
      </c>
      <c r="L35" s="9"/>
      <c r="M35" s="1" t="str">
        <f aca="false">Engine!$AF31</f>
        <v/>
      </c>
    </row>
    <row r="36" customFormat="false" ht="15" hidden="false" customHeight="false" outlineLevel="0" collapsed="false">
      <c r="J36" s="7" t="n">
        <v>27</v>
      </c>
      <c r="K36" s="8" t="str">
        <f aca="false">IF(OR(Engine!$B32&lt;&gt;"",ROW()-9=COUNTA($L$10:$L$309)+1),IF(Engine!$F32="w","White","Black"),"")</f>
        <v/>
      </c>
      <c r="L36" s="9"/>
      <c r="M36" s="1" t="str">
        <f aca="false">Engine!$AF32</f>
        <v/>
      </c>
    </row>
    <row r="37" customFormat="false" ht="15" hidden="false" customHeight="false" outlineLevel="0" collapsed="false">
      <c r="J37" s="7" t="n">
        <v>28</v>
      </c>
      <c r="K37" s="8" t="str">
        <f aca="false">IF(OR(Engine!$B33&lt;&gt;"",ROW()-9=COUNTA($L$10:$L$309)+1),IF(Engine!$F33="w","White","Black"),"")</f>
        <v/>
      </c>
      <c r="L37" s="9"/>
      <c r="M37" s="1" t="str">
        <f aca="false">Engine!$AF33</f>
        <v/>
      </c>
    </row>
    <row r="38" customFormat="false" ht="15" hidden="false" customHeight="false" outlineLevel="0" collapsed="false">
      <c r="J38" s="7" t="n">
        <v>29</v>
      </c>
      <c r="K38" s="8" t="str">
        <f aca="false">IF(OR(Engine!$B34&lt;&gt;"",ROW()-9=COUNTA($L$10:$L$309)+1),IF(Engine!$F34="w","White","Black"),"")</f>
        <v/>
      </c>
      <c r="L38" s="9"/>
      <c r="M38" s="1" t="str">
        <f aca="false">Engine!$AF34</f>
        <v/>
      </c>
    </row>
    <row r="39" customFormat="false" ht="15" hidden="false" customHeight="false" outlineLevel="0" collapsed="false">
      <c r="J39" s="7" t="n">
        <v>30</v>
      </c>
      <c r="K39" s="8" t="str">
        <f aca="false">IF(OR(Engine!$B35&lt;&gt;"",ROW()-9=COUNTA($L$10:$L$309)+1),IF(Engine!$F35="w","White","Black"),"")</f>
        <v/>
      </c>
      <c r="L39" s="9"/>
      <c r="M39" s="1" t="str">
        <f aca="false">Engine!$AF35</f>
        <v/>
      </c>
    </row>
    <row r="40" customFormat="false" ht="15" hidden="false" customHeight="false" outlineLevel="0" collapsed="false">
      <c r="J40" s="7" t="n">
        <v>31</v>
      </c>
      <c r="K40" s="8" t="str">
        <f aca="false">IF(OR(Engine!$B36&lt;&gt;"",ROW()-9=COUNTA($L$10:$L$309)+1),IF(Engine!$F36="w","White","Black"),"")</f>
        <v/>
      </c>
      <c r="L40" s="9"/>
      <c r="M40" s="1" t="str">
        <f aca="false">Engine!$AF36</f>
        <v/>
      </c>
    </row>
    <row r="41" customFormat="false" ht="15" hidden="false" customHeight="false" outlineLevel="0" collapsed="false">
      <c r="J41" s="7" t="n">
        <v>32</v>
      </c>
      <c r="K41" s="8" t="str">
        <f aca="false">IF(OR(Engine!$B37&lt;&gt;"",ROW()-9=COUNTA($L$10:$L$309)+1),IF(Engine!$F37="w","White","Black"),"")</f>
        <v/>
      </c>
      <c r="L41" s="9"/>
      <c r="M41" s="1" t="str">
        <f aca="false">Engine!$AF37</f>
        <v/>
      </c>
    </row>
    <row r="42" customFormat="false" ht="15" hidden="false" customHeight="false" outlineLevel="0" collapsed="false">
      <c r="J42" s="7" t="n">
        <v>33</v>
      </c>
      <c r="K42" s="8" t="str">
        <f aca="false">IF(OR(Engine!$B38&lt;&gt;"",ROW()-9=COUNTA($L$10:$L$309)+1),IF(Engine!$F38="w","White","Black"),"")</f>
        <v/>
      </c>
      <c r="L42" s="9"/>
      <c r="M42" s="1" t="str">
        <f aca="false">Engine!$AF38</f>
        <v/>
      </c>
    </row>
    <row r="43" customFormat="false" ht="15" hidden="false" customHeight="false" outlineLevel="0" collapsed="false">
      <c r="J43" s="7" t="n">
        <v>34</v>
      </c>
      <c r="K43" s="8" t="str">
        <f aca="false">IF(OR(Engine!$B39&lt;&gt;"",ROW()-9=COUNTA($L$10:$L$309)+1),IF(Engine!$F39="w","White","Black"),"")</f>
        <v/>
      </c>
      <c r="L43" s="9"/>
      <c r="M43" s="1" t="str">
        <f aca="false">Engine!$AF39</f>
        <v/>
      </c>
    </row>
    <row r="44" customFormat="false" ht="15" hidden="false" customHeight="false" outlineLevel="0" collapsed="false">
      <c r="J44" s="7" t="n">
        <v>35</v>
      </c>
      <c r="K44" s="8" t="str">
        <f aca="false">IF(OR(Engine!$B40&lt;&gt;"",ROW()-9=COUNTA($L$10:$L$309)+1),IF(Engine!$F40="w","White","Black"),"")</f>
        <v/>
      </c>
      <c r="L44" s="9"/>
      <c r="M44" s="1" t="str">
        <f aca="false">Engine!$AF40</f>
        <v/>
      </c>
    </row>
    <row r="45" customFormat="false" ht="15" hidden="false" customHeight="false" outlineLevel="0" collapsed="false">
      <c r="J45" s="7" t="n">
        <v>36</v>
      </c>
      <c r="K45" s="8" t="str">
        <f aca="false">IF(OR(Engine!$B41&lt;&gt;"",ROW()-9=COUNTA($L$10:$L$309)+1),IF(Engine!$F41="w","White","Black"),"")</f>
        <v/>
      </c>
      <c r="L45" s="9"/>
      <c r="M45" s="1" t="str">
        <f aca="false">Engine!$AF41</f>
        <v/>
      </c>
    </row>
    <row r="46" customFormat="false" ht="15" hidden="false" customHeight="false" outlineLevel="0" collapsed="false">
      <c r="J46" s="7" t="n">
        <v>37</v>
      </c>
      <c r="K46" s="8" t="str">
        <f aca="false">IF(OR(Engine!$B42&lt;&gt;"",ROW()-9=COUNTA($L$10:$L$309)+1),IF(Engine!$F42="w","White","Black"),"")</f>
        <v/>
      </c>
      <c r="L46" s="9"/>
      <c r="M46" s="1" t="str">
        <f aca="false">Engine!$AF42</f>
        <v/>
      </c>
    </row>
    <row r="47" customFormat="false" ht="15" hidden="false" customHeight="false" outlineLevel="0" collapsed="false">
      <c r="J47" s="7" t="n">
        <v>38</v>
      </c>
      <c r="K47" s="8" t="str">
        <f aca="false">IF(OR(Engine!$B43&lt;&gt;"",ROW()-9=COUNTA($L$10:$L$309)+1),IF(Engine!$F43="w","White","Black"),"")</f>
        <v/>
      </c>
      <c r="L47" s="9"/>
      <c r="M47" s="1" t="str">
        <f aca="false">Engine!$AF43</f>
        <v/>
      </c>
    </row>
    <row r="48" customFormat="false" ht="15" hidden="false" customHeight="false" outlineLevel="0" collapsed="false">
      <c r="J48" s="7" t="n">
        <v>39</v>
      </c>
      <c r="K48" s="8" t="str">
        <f aca="false">IF(OR(Engine!$B44&lt;&gt;"",ROW()-9=COUNTA($L$10:$L$309)+1),IF(Engine!$F44="w","White","Black"),"")</f>
        <v/>
      </c>
      <c r="L48" s="9"/>
      <c r="M48" s="1" t="str">
        <f aca="false">Engine!$AF44</f>
        <v/>
      </c>
    </row>
    <row r="49" customFormat="false" ht="15" hidden="false" customHeight="false" outlineLevel="0" collapsed="false">
      <c r="J49" s="7" t="n">
        <v>40</v>
      </c>
      <c r="K49" s="8" t="str">
        <f aca="false">IF(OR(Engine!$B45&lt;&gt;"",ROW()-9=COUNTA($L$10:$L$309)+1),IF(Engine!$F45="w","White","Black"),"")</f>
        <v/>
      </c>
      <c r="L49" s="9"/>
      <c r="M49" s="1" t="str">
        <f aca="false">Engine!$AF45</f>
        <v/>
      </c>
    </row>
    <row r="50" customFormat="false" ht="15" hidden="false" customHeight="false" outlineLevel="0" collapsed="false">
      <c r="J50" s="7" t="n">
        <v>41</v>
      </c>
      <c r="K50" s="8" t="str">
        <f aca="false">IF(OR(Engine!$B46&lt;&gt;"",ROW()-9=COUNTA($L$10:$L$309)+1),IF(Engine!$F46="w","White","Black"),"")</f>
        <v/>
      </c>
      <c r="L50" s="9"/>
      <c r="M50" s="1" t="str">
        <f aca="false">Engine!$AF46</f>
        <v/>
      </c>
    </row>
    <row r="51" customFormat="false" ht="15" hidden="false" customHeight="false" outlineLevel="0" collapsed="false">
      <c r="J51" s="7" t="n">
        <v>42</v>
      </c>
      <c r="K51" s="8" t="str">
        <f aca="false">IF(OR(Engine!$B47&lt;&gt;"",ROW()-9=COUNTA($L$10:$L$309)+1),IF(Engine!$F47="w","White","Black"),"")</f>
        <v/>
      </c>
      <c r="L51" s="9"/>
      <c r="M51" s="1" t="str">
        <f aca="false">Engine!$AF47</f>
        <v/>
      </c>
    </row>
    <row r="52" customFormat="false" ht="15" hidden="false" customHeight="false" outlineLevel="0" collapsed="false">
      <c r="J52" s="7" t="n">
        <v>43</v>
      </c>
      <c r="K52" s="8" t="str">
        <f aca="false">IF(OR(Engine!$B48&lt;&gt;"",ROW()-9=COUNTA($L$10:$L$309)+1),IF(Engine!$F48="w","White","Black"),"")</f>
        <v/>
      </c>
      <c r="L52" s="9"/>
      <c r="M52" s="1" t="str">
        <f aca="false">Engine!$AF48</f>
        <v/>
      </c>
    </row>
    <row r="53" customFormat="false" ht="15" hidden="false" customHeight="false" outlineLevel="0" collapsed="false">
      <c r="J53" s="7" t="n">
        <v>44</v>
      </c>
      <c r="K53" s="8" t="str">
        <f aca="false">IF(OR(Engine!$B49&lt;&gt;"",ROW()-9=COUNTA($L$10:$L$309)+1),IF(Engine!$F49="w","White","Black"),"")</f>
        <v/>
      </c>
      <c r="L53" s="9"/>
      <c r="M53" s="1" t="str">
        <f aca="false">Engine!$AF49</f>
        <v/>
      </c>
    </row>
    <row r="54" customFormat="false" ht="15" hidden="false" customHeight="false" outlineLevel="0" collapsed="false">
      <c r="J54" s="7" t="n">
        <v>45</v>
      </c>
      <c r="K54" s="8" t="str">
        <f aca="false">IF(OR(Engine!$B50&lt;&gt;"",ROW()-9=COUNTA($L$10:$L$309)+1),IF(Engine!$F50="w","White","Black"),"")</f>
        <v/>
      </c>
      <c r="L54" s="9"/>
      <c r="M54" s="1" t="str">
        <f aca="false">Engine!$AF50</f>
        <v/>
      </c>
    </row>
    <row r="55" customFormat="false" ht="15" hidden="false" customHeight="false" outlineLevel="0" collapsed="false">
      <c r="J55" s="7" t="n">
        <v>46</v>
      </c>
      <c r="K55" s="8" t="str">
        <f aca="false">IF(OR(Engine!$B51&lt;&gt;"",ROW()-9=COUNTA($L$10:$L$309)+1),IF(Engine!$F51="w","White","Black"),"")</f>
        <v/>
      </c>
      <c r="L55" s="9"/>
      <c r="M55" s="1" t="str">
        <f aca="false">Engine!$AF51</f>
        <v/>
      </c>
    </row>
    <row r="56" customFormat="false" ht="15" hidden="false" customHeight="false" outlineLevel="0" collapsed="false">
      <c r="J56" s="7" t="n">
        <v>47</v>
      </c>
      <c r="K56" s="8" t="str">
        <f aca="false">IF(OR(Engine!$B52&lt;&gt;"",ROW()-9=COUNTA($L$10:$L$309)+1),IF(Engine!$F52="w","White","Black"),"")</f>
        <v/>
      </c>
      <c r="L56" s="9"/>
      <c r="M56" s="1" t="str">
        <f aca="false">Engine!$AF52</f>
        <v/>
      </c>
    </row>
    <row r="57" customFormat="false" ht="15" hidden="false" customHeight="false" outlineLevel="0" collapsed="false">
      <c r="J57" s="7" t="n">
        <v>48</v>
      </c>
      <c r="K57" s="8" t="str">
        <f aca="false">IF(OR(Engine!$B53&lt;&gt;"",ROW()-9=COUNTA($L$10:$L$309)+1),IF(Engine!$F53="w","White","Black"),"")</f>
        <v/>
      </c>
      <c r="L57" s="9"/>
      <c r="M57" s="1" t="str">
        <f aca="false">Engine!$AF53</f>
        <v/>
      </c>
    </row>
    <row r="58" customFormat="false" ht="15" hidden="false" customHeight="false" outlineLevel="0" collapsed="false">
      <c r="J58" s="7" t="n">
        <v>49</v>
      </c>
      <c r="K58" s="8" t="str">
        <f aca="false">IF(OR(Engine!$B54&lt;&gt;"",ROW()-9=COUNTA($L$10:$L$309)+1),IF(Engine!$F54="w","White","Black"),"")</f>
        <v/>
      </c>
      <c r="L58" s="9"/>
      <c r="M58" s="1" t="str">
        <f aca="false">Engine!$AF54</f>
        <v/>
      </c>
    </row>
    <row r="59" customFormat="false" ht="15" hidden="false" customHeight="false" outlineLevel="0" collapsed="false">
      <c r="J59" s="7" t="n">
        <v>50</v>
      </c>
      <c r="K59" s="8" t="str">
        <f aca="false">IF(OR(Engine!$B55&lt;&gt;"",ROW()-9=COUNTA($L$10:$L$309)+1),IF(Engine!$F55="w","White","Black"),"")</f>
        <v/>
      </c>
      <c r="L59" s="9"/>
      <c r="M59" s="1" t="str">
        <f aca="false">Engine!$AF55</f>
        <v/>
      </c>
    </row>
    <row r="60" customFormat="false" ht="15" hidden="false" customHeight="false" outlineLevel="0" collapsed="false">
      <c r="J60" s="7" t="n">
        <v>51</v>
      </c>
      <c r="K60" s="8" t="str">
        <f aca="false">IF(OR(Engine!$B56&lt;&gt;"",ROW()-9=COUNTA($L$10:$L$309)+1),IF(Engine!$F56="w","White","Black"),"")</f>
        <v/>
      </c>
      <c r="L60" s="9"/>
      <c r="M60" s="1" t="str">
        <f aca="false">Engine!$AF56</f>
        <v/>
      </c>
    </row>
    <row r="61" customFormat="false" ht="15" hidden="false" customHeight="false" outlineLevel="0" collapsed="false">
      <c r="J61" s="7" t="n">
        <v>52</v>
      </c>
      <c r="K61" s="8" t="str">
        <f aca="false">IF(OR(Engine!$B57&lt;&gt;"",ROW()-9=COUNTA($L$10:$L$309)+1),IF(Engine!$F57="w","White","Black"),"")</f>
        <v/>
      </c>
      <c r="L61" s="9"/>
      <c r="M61" s="1" t="str">
        <f aca="false">Engine!$AF57</f>
        <v/>
      </c>
    </row>
    <row r="62" customFormat="false" ht="15" hidden="false" customHeight="false" outlineLevel="0" collapsed="false">
      <c r="J62" s="7" t="n">
        <v>53</v>
      </c>
      <c r="K62" s="8" t="str">
        <f aca="false">IF(OR(Engine!$B58&lt;&gt;"",ROW()-9=COUNTA($L$10:$L$309)+1),IF(Engine!$F58="w","White","Black"),"")</f>
        <v/>
      </c>
      <c r="L62" s="9"/>
      <c r="M62" s="1" t="str">
        <f aca="false">Engine!$AF58</f>
        <v/>
      </c>
    </row>
    <row r="63" customFormat="false" ht="15" hidden="false" customHeight="false" outlineLevel="0" collapsed="false">
      <c r="J63" s="7" t="n">
        <v>54</v>
      </c>
      <c r="K63" s="8" t="str">
        <f aca="false">IF(OR(Engine!$B59&lt;&gt;"",ROW()-9=COUNTA($L$10:$L$309)+1),IF(Engine!$F59="w","White","Black"),"")</f>
        <v/>
      </c>
      <c r="L63" s="9"/>
      <c r="M63" s="1" t="str">
        <f aca="false">Engine!$AF59</f>
        <v/>
      </c>
    </row>
    <row r="64" customFormat="false" ht="15" hidden="false" customHeight="false" outlineLevel="0" collapsed="false">
      <c r="J64" s="7" t="n">
        <v>55</v>
      </c>
      <c r="K64" s="8" t="str">
        <f aca="false">IF(OR(Engine!$B60&lt;&gt;"",ROW()-9=COUNTA($L$10:$L$309)+1),IF(Engine!$F60="w","White","Black"),"")</f>
        <v/>
      </c>
      <c r="L64" s="9"/>
      <c r="M64" s="1" t="str">
        <f aca="false">Engine!$AF60</f>
        <v/>
      </c>
    </row>
    <row r="65" customFormat="false" ht="15" hidden="false" customHeight="false" outlineLevel="0" collapsed="false">
      <c r="J65" s="7" t="n">
        <v>56</v>
      </c>
      <c r="K65" s="8" t="str">
        <f aca="false">IF(OR(Engine!$B61&lt;&gt;"",ROW()-9=COUNTA($L$10:$L$309)+1),IF(Engine!$F61="w","White","Black"),"")</f>
        <v/>
      </c>
      <c r="L65" s="9"/>
      <c r="M65" s="1" t="str">
        <f aca="false">Engine!$AF61</f>
        <v/>
      </c>
    </row>
    <row r="66" customFormat="false" ht="15" hidden="false" customHeight="false" outlineLevel="0" collapsed="false">
      <c r="J66" s="7" t="n">
        <v>57</v>
      </c>
      <c r="K66" s="8" t="str">
        <f aca="false">IF(OR(Engine!$B62&lt;&gt;"",ROW()-9=COUNTA($L$10:$L$309)+1),IF(Engine!$F62="w","White","Black"),"")</f>
        <v/>
      </c>
      <c r="L66" s="9"/>
      <c r="M66" s="1" t="str">
        <f aca="false">Engine!$AF62</f>
        <v/>
      </c>
    </row>
    <row r="67" customFormat="false" ht="15" hidden="false" customHeight="false" outlineLevel="0" collapsed="false">
      <c r="J67" s="7" t="n">
        <v>58</v>
      </c>
      <c r="K67" s="8" t="str">
        <f aca="false">IF(OR(Engine!$B63&lt;&gt;"",ROW()-9=COUNTA($L$10:$L$309)+1),IF(Engine!$F63="w","White","Black"),"")</f>
        <v/>
      </c>
      <c r="L67" s="9"/>
      <c r="M67" s="1" t="str">
        <f aca="false">Engine!$AF63</f>
        <v/>
      </c>
    </row>
    <row r="68" customFormat="false" ht="15" hidden="false" customHeight="false" outlineLevel="0" collapsed="false">
      <c r="J68" s="7" t="n">
        <v>59</v>
      </c>
      <c r="K68" s="8" t="str">
        <f aca="false">IF(OR(Engine!$B64&lt;&gt;"",ROW()-9=COUNTA($L$10:$L$309)+1),IF(Engine!$F64="w","White","Black"),"")</f>
        <v/>
      </c>
      <c r="L68" s="9"/>
      <c r="M68" s="1" t="str">
        <f aca="false">Engine!$AF64</f>
        <v/>
      </c>
    </row>
    <row r="69" customFormat="false" ht="15" hidden="false" customHeight="false" outlineLevel="0" collapsed="false">
      <c r="J69" s="7" t="n">
        <v>60</v>
      </c>
      <c r="K69" s="8" t="str">
        <f aca="false">IF(OR(Engine!$B65&lt;&gt;"",ROW()-9=COUNTA($L$10:$L$309)+1),IF(Engine!$F65="w","White","Black"),"")</f>
        <v/>
      </c>
      <c r="L69" s="9"/>
      <c r="M69" s="1" t="str">
        <f aca="false">Engine!$AF65</f>
        <v/>
      </c>
    </row>
    <row r="70" customFormat="false" ht="15" hidden="false" customHeight="false" outlineLevel="0" collapsed="false">
      <c r="J70" s="7" t="n">
        <v>61</v>
      </c>
      <c r="K70" s="8" t="str">
        <f aca="false">IF(OR(Engine!$B66&lt;&gt;"",ROW()-9=COUNTA($L$10:$L$309)+1),IF(Engine!$F66="w","White","Black"),"")</f>
        <v/>
      </c>
      <c r="L70" s="9"/>
      <c r="M70" s="1" t="str">
        <f aca="false">Engine!$AF66</f>
        <v/>
      </c>
    </row>
    <row r="71" customFormat="false" ht="15" hidden="false" customHeight="false" outlineLevel="0" collapsed="false">
      <c r="J71" s="7" t="n">
        <v>62</v>
      </c>
      <c r="K71" s="8" t="str">
        <f aca="false">IF(OR(Engine!$B67&lt;&gt;"",ROW()-9=COUNTA($L$10:$L$309)+1),IF(Engine!$F67="w","White","Black"),"")</f>
        <v/>
      </c>
      <c r="L71" s="9"/>
      <c r="M71" s="1" t="str">
        <f aca="false">Engine!$AF67</f>
        <v/>
      </c>
    </row>
    <row r="72" customFormat="false" ht="15" hidden="false" customHeight="false" outlineLevel="0" collapsed="false">
      <c r="J72" s="7" t="n">
        <v>63</v>
      </c>
      <c r="K72" s="8" t="str">
        <f aca="false">IF(OR(Engine!$B68&lt;&gt;"",ROW()-9=COUNTA($L$10:$L$309)+1),IF(Engine!$F68="w","White","Black"),"")</f>
        <v/>
      </c>
      <c r="L72" s="9"/>
      <c r="M72" s="1" t="str">
        <f aca="false">Engine!$AF68</f>
        <v/>
      </c>
    </row>
    <row r="73" customFormat="false" ht="15" hidden="false" customHeight="false" outlineLevel="0" collapsed="false">
      <c r="J73" s="7" t="n">
        <v>64</v>
      </c>
      <c r="K73" s="8" t="str">
        <f aca="false">IF(OR(Engine!$B69&lt;&gt;"",ROW()-9=COUNTA($L$10:$L$309)+1),IF(Engine!$F69="w","White","Black"),"")</f>
        <v/>
      </c>
      <c r="L73" s="9"/>
      <c r="M73" s="1" t="str">
        <f aca="false">Engine!$AF69</f>
        <v/>
      </c>
    </row>
    <row r="74" customFormat="false" ht="15" hidden="false" customHeight="false" outlineLevel="0" collapsed="false">
      <c r="J74" s="7" t="n">
        <v>65</v>
      </c>
      <c r="K74" s="8" t="str">
        <f aca="false">IF(OR(Engine!$B70&lt;&gt;"",ROW()-9=COUNTA($L$10:$L$309)+1),IF(Engine!$F70="w","White","Black"),"")</f>
        <v/>
      </c>
      <c r="L74" s="9"/>
      <c r="M74" s="1" t="str">
        <f aca="false">Engine!$AF70</f>
        <v/>
      </c>
    </row>
    <row r="75" customFormat="false" ht="15" hidden="false" customHeight="false" outlineLevel="0" collapsed="false">
      <c r="J75" s="7" t="n">
        <v>66</v>
      </c>
      <c r="K75" s="8" t="str">
        <f aca="false">IF(OR(Engine!$B71&lt;&gt;"",ROW()-9=COUNTA($L$10:$L$309)+1),IF(Engine!$F71="w","White","Black"),"")</f>
        <v/>
      </c>
      <c r="L75" s="9"/>
      <c r="M75" s="1" t="str">
        <f aca="false">Engine!$AF71</f>
        <v/>
      </c>
    </row>
    <row r="76" customFormat="false" ht="15" hidden="false" customHeight="false" outlineLevel="0" collapsed="false">
      <c r="J76" s="7" t="n">
        <v>67</v>
      </c>
      <c r="K76" s="8" t="str">
        <f aca="false">IF(OR(Engine!$B72&lt;&gt;"",ROW()-9=COUNTA($L$10:$L$309)+1),IF(Engine!$F72="w","White","Black"),"")</f>
        <v/>
      </c>
      <c r="L76" s="9"/>
      <c r="M76" s="1" t="str">
        <f aca="false">Engine!$AF72</f>
        <v/>
      </c>
    </row>
    <row r="77" customFormat="false" ht="15" hidden="false" customHeight="false" outlineLevel="0" collapsed="false">
      <c r="J77" s="7" t="n">
        <v>68</v>
      </c>
      <c r="K77" s="8" t="str">
        <f aca="false">IF(OR(Engine!$B73&lt;&gt;"",ROW()-9=COUNTA($L$10:$L$309)+1),IF(Engine!$F73="w","White","Black"),"")</f>
        <v/>
      </c>
      <c r="L77" s="9"/>
      <c r="M77" s="1" t="str">
        <f aca="false">Engine!$AF73</f>
        <v/>
      </c>
    </row>
    <row r="78" customFormat="false" ht="15" hidden="false" customHeight="false" outlineLevel="0" collapsed="false">
      <c r="J78" s="7" t="n">
        <v>69</v>
      </c>
      <c r="K78" s="8" t="str">
        <f aca="false">IF(OR(Engine!$B74&lt;&gt;"",ROW()-9=COUNTA($L$10:$L$309)+1),IF(Engine!$F74="w","White","Black"),"")</f>
        <v/>
      </c>
      <c r="L78" s="9"/>
      <c r="M78" s="1" t="str">
        <f aca="false">Engine!$AF74</f>
        <v/>
      </c>
    </row>
    <row r="79" customFormat="false" ht="15" hidden="false" customHeight="false" outlineLevel="0" collapsed="false">
      <c r="J79" s="7" t="n">
        <v>70</v>
      </c>
      <c r="K79" s="8" t="str">
        <f aca="false">IF(OR(Engine!$B75&lt;&gt;"",ROW()-9=COUNTA($L$10:$L$309)+1),IF(Engine!$F75="w","White","Black"),"")</f>
        <v/>
      </c>
      <c r="L79" s="9"/>
      <c r="M79" s="1" t="str">
        <f aca="false">Engine!$AF75</f>
        <v/>
      </c>
    </row>
    <row r="80" customFormat="false" ht="15" hidden="false" customHeight="false" outlineLevel="0" collapsed="false">
      <c r="J80" s="7" t="n">
        <v>71</v>
      </c>
      <c r="K80" s="8" t="str">
        <f aca="false">IF(OR(Engine!$B76&lt;&gt;"",ROW()-9=COUNTA($L$10:$L$309)+1),IF(Engine!$F76="w","White","Black"),"")</f>
        <v/>
      </c>
      <c r="L80" s="9"/>
      <c r="M80" s="1" t="str">
        <f aca="false">Engine!$AF76</f>
        <v/>
      </c>
    </row>
    <row r="81" customFormat="false" ht="15" hidden="false" customHeight="false" outlineLevel="0" collapsed="false">
      <c r="J81" s="7" t="n">
        <v>72</v>
      </c>
      <c r="K81" s="8" t="str">
        <f aca="false">IF(OR(Engine!$B77&lt;&gt;"",ROW()-9=COUNTA($L$10:$L$309)+1),IF(Engine!$F77="w","White","Black"),"")</f>
        <v/>
      </c>
      <c r="L81" s="9"/>
      <c r="M81" s="1" t="str">
        <f aca="false">Engine!$AF77</f>
        <v/>
      </c>
    </row>
    <row r="82" customFormat="false" ht="15" hidden="false" customHeight="false" outlineLevel="0" collapsed="false">
      <c r="J82" s="7" t="n">
        <v>73</v>
      </c>
      <c r="K82" s="8" t="str">
        <f aca="false">IF(OR(Engine!$B78&lt;&gt;"",ROW()-9=COUNTA($L$10:$L$309)+1),IF(Engine!$F78="w","White","Black"),"")</f>
        <v/>
      </c>
      <c r="L82" s="9"/>
      <c r="M82" s="1" t="str">
        <f aca="false">Engine!$AF78</f>
        <v/>
      </c>
    </row>
    <row r="83" customFormat="false" ht="15" hidden="false" customHeight="false" outlineLevel="0" collapsed="false">
      <c r="J83" s="7" t="n">
        <v>74</v>
      </c>
      <c r="K83" s="8" t="str">
        <f aca="false">IF(OR(Engine!$B79&lt;&gt;"",ROW()-9=COUNTA($L$10:$L$309)+1),IF(Engine!$F79="w","White","Black"),"")</f>
        <v/>
      </c>
      <c r="L83" s="9"/>
      <c r="M83" s="1" t="str">
        <f aca="false">Engine!$AF79</f>
        <v/>
      </c>
    </row>
    <row r="84" customFormat="false" ht="15" hidden="false" customHeight="false" outlineLevel="0" collapsed="false">
      <c r="J84" s="7" t="n">
        <v>75</v>
      </c>
      <c r="K84" s="8" t="str">
        <f aca="false">IF(OR(Engine!$B80&lt;&gt;"",ROW()-9=COUNTA($L$10:$L$309)+1),IF(Engine!$F80="w","White","Black"),"")</f>
        <v/>
      </c>
      <c r="L84" s="9"/>
      <c r="M84" s="1" t="str">
        <f aca="false">Engine!$AF80</f>
        <v/>
      </c>
    </row>
    <row r="85" customFormat="false" ht="15" hidden="false" customHeight="false" outlineLevel="0" collapsed="false">
      <c r="J85" s="7" t="n">
        <v>76</v>
      </c>
      <c r="K85" s="8" t="str">
        <f aca="false">IF(OR(Engine!$B81&lt;&gt;"",ROW()-9=COUNTA($L$10:$L$309)+1),IF(Engine!$F81="w","White","Black"),"")</f>
        <v/>
      </c>
      <c r="L85" s="9"/>
      <c r="M85" s="1" t="str">
        <f aca="false">Engine!$AF81</f>
        <v/>
      </c>
    </row>
    <row r="86" customFormat="false" ht="15" hidden="false" customHeight="false" outlineLevel="0" collapsed="false">
      <c r="J86" s="7" t="n">
        <v>77</v>
      </c>
      <c r="K86" s="8" t="str">
        <f aca="false">IF(OR(Engine!$B82&lt;&gt;"",ROW()-9=COUNTA($L$10:$L$309)+1),IF(Engine!$F82="w","White","Black"),"")</f>
        <v/>
      </c>
      <c r="L86" s="9"/>
      <c r="M86" s="1" t="str">
        <f aca="false">Engine!$AF82</f>
        <v/>
      </c>
    </row>
    <row r="87" customFormat="false" ht="15" hidden="false" customHeight="false" outlineLevel="0" collapsed="false">
      <c r="J87" s="7" t="n">
        <v>78</v>
      </c>
      <c r="K87" s="8" t="str">
        <f aca="false">IF(OR(Engine!$B83&lt;&gt;"",ROW()-9=COUNTA($L$10:$L$309)+1),IF(Engine!$F83="w","White","Black"),"")</f>
        <v/>
      </c>
      <c r="L87" s="9"/>
      <c r="M87" s="1" t="str">
        <f aca="false">Engine!$AF83</f>
        <v/>
      </c>
    </row>
    <row r="88" customFormat="false" ht="15" hidden="false" customHeight="false" outlineLevel="0" collapsed="false">
      <c r="J88" s="7" t="n">
        <v>79</v>
      </c>
      <c r="K88" s="8" t="str">
        <f aca="false">IF(OR(Engine!$B84&lt;&gt;"",ROW()-9=COUNTA($L$10:$L$309)+1),IF(Engine!$F84="w","White","Black"),"")</f>
        <v/>
      </c>
      <c r="L88" s="9"/>
      <c r="M88" s="1" t="str">
        <f aca="false">Engine!$AF84</f>
        <v/>
      </c>
    </row>
    <row r="89" customFormat="false" ht="15" hidden="false" customHeight="false" outlineLevel="0" collapsed="false">
      <c r="J89" s="7" t="n">
        <v>80</v>
      </c>
      <c r="K89" s="8" t="str">
        <f aca="false">IF(OR(Engine!$B85&lt;&gt;"",ROW()-9=COUNTA($L$10:$L$309)+1),IF(Engine!$F85="w","White","Black"),"")</f>
        <v/>
      </c>
      <c r="L89" s="9"/>
      <c r="M89" s="1" t="str">
        <f aca="false">Engine!$AF85</f>
        <v/>
      </c>
    </row>
    <row r="90" customFormat="false" ht="15" hidden="false" customHeight="false" outlineLevel="0" collapsed="false">
      <c r="J90" s="7" t="n">
        <v>81</v>
      </c>
      <c r="K90" s="8" t="str">
        <f aca="false">IF(OR(Engine!$B86&lt;&gt;"",ROW()-9=COUNTA($L$10:$L$309)+1),IF(Engine!$F86="w","White","Black"),"")</f>
        <v/>
      </c>
      <c r="L90" s="9"/>
      <c r="M90" s="1" t="str">
        <f aca="false">Engine!$AF86</f>
        <v/>
      </c>
    </row>
    <row r="91" customFormat="false" ht="15" hidden="false" customHeight="false" outlineLevel="0" collapsed="false">
      <c r="J91" s="7" t="n">
        <v>82</v>
      </c>
      <c r="K91" s="8" t="str">
        <f aca="false">IF(OR(Engine!$B87&lt;&gt;"",ROW()-9=COUNTA($L$10:$L$309)+1),IF(Engine!$F87="w","White","Black"),"")</f>
        <v/>
      </c>
      <c r="L91" s="9"/>
      <c r="M91" s="1" t="str">
        <f aca="false">Engine!$AF87</f>
        <v/>
      </c>
    </row>
    <row r="92" customFormat="false" ht="15" hidden="false" customHeight="false" outlineLevel="0" collapsed="false">
      <c r="J92" s="7" t="n">
        <v>83</v>
      </c>
      <c r="K92" s="8" t="str">
        <f aca="false">IF(OR(Engine!$B88&lt;&gt;"",ROW()-9=COUNTA($L$10:$L$309)+1),IF(Engine!$F88="w","White","Black"),"")</f>
        <v/>
      </c>
      <c r="L92" s="9"/>
      <c r="M92" s="1" t="str">
        <f aca="false">Engine!$AF88</f>
        <v/>
      </c>
    </row>
    <row r="93" customFormat="false" ht="15" hidden="false" customHeight="false" outlineLevel="0" collapsed="false">
      <c r="J93" s="7" t="n">
        <v>84</v>
      </c>
      <c r="K93" s="8" t="str">
        <f aca="false">IF(OR(Engine!$B89&lt;&gt;"",ROW()-9=COUNTA($L$10:$L$309)+1),IF(Engine!$F89="w","White","Black"),"")</f>
        <v/>
      </c>
      <c r="L93" s="9"/>
      <c r="M93" s="1" t="str">
        <f aca="false">Engine!$AF89</f>
        <v/>
      </c>
    </row>
    <row r="94" customFormat="false" ht="15" hidden="false" customHeight="false" outlineLevel="0" collapsed="false">
      <c r="J94" s="7" t="n">
        <v>85</v>
      </c>
      <c r="K94" s="8" t="str">
        <f aca="false">IF(OR(Engine!$B90&lt;&gt;"",ROW()-9=COUNTA($L$10:$L$309)+1),IF(Engine!$F90="w","White","Black"),"")</f>
        <v/>
      </c>
      <c r="L94" s="9"/>
      <c r="M94" s="1" t="str">
        <f aca="false">Engine!$AF90</f>
        <v/>
      </c>
    </row>
    <row r="95" customFormat="false" ht="15" hidden="false" customHeight="false" outlineLevel="0" collapsed="false">
      <c r="J95" s="7" t="n">
        <v>86</v>
      </c>
      <c r="K95" s="8" t="str">
        <f aca="false">IF(OR(Engine!$B91&lt;&gt;"",ROW()-9=COUNTA($L$10:$L$309)+1),IF(Engine!$F91="w","White","Black"),"")</f>
        <v/>
      </c>
      <c r="L95" s="9"/>
      <c r="M95" s="1" t="str">
        <f aca="false">Engine!$AF91</f>
        <v/>
      </c>
    </row>
    <row r="96" customFormat="false" ht="15" hidden="false" customHeight="false" outlineLevel="0" collapsed="false">
      <c r="J96" s="7" t="n">
        <v>87</v>
      </c>
      <c r="K96" s="8" t="str">
        <f aca="false">IF(OR(Engine!$B92&lt;&gt;"",ROW()-9=COUNTA($L$10:$L$309)+1),IF(Engine!$F92="w","White","Black"),"")</f>
        <v/>
      </c>
      <c r="L96" s="9"/>
      <c r="M96" s="1" t="str">
        <f aca="false">Engine!$AF92</f>
        <v/>
      </c>
    </row>
    <row r="97" customFormat="false" ht="15" hidden="false" customHeight="false" outlineLevel="0" collapsed="false">
      <c r="J97" s="7" t="n">
        <v>88</v>
      </c>
      <c r="K97" s="8" t="str">
        <f aca="false">IF(OR(Engine!$B93&lt;&gt;"",ROW()-9=COUNTA($L$10:$L$309)+1),IF(Engine!$F93="w","White","Black"),"")</f>
        <v/>
      </c>
      <c r="L97" s="9"/>
      <c r="M97" s="1" t="str">
        <f aca="false">Engine!$AF93</f>
        <v/>
      </c>
    </row>
    <row r="98" customFormat="false" ht="15" hidden="false" customHeight="false" outlineLevel="0" collapsed="false">
      <c r="J98" s="7" t="n">
        <v>89</v>
      </c>
      <c r="K98" s="8" t="str">
        <f aca="false">IF(OR(Engine!$B94&lt;&gt;"",ROW()-9=COUNTA($L$10:$L$309)+1),IF(Engine!$F94="w","White","Black"),"")</f>
        <v/>
      </c>
      <c r="L98" s="9"/>
      <c r="M98" s="1" t="str">
        <f aca="false">Engine!$AF94</f>
        <v/>
      </c>
    </row>
    <row r="99" customFormat="false" ht="15" hidden="false" customHeight="false" outlineLevel="0" collapsed="false">
      <c r="J99" s="7" t="n">
        <v>90</v>
      </c>
      <c r="K99" s="8" t="str">
        <f aca="false">IF(OR(Engine!$B95&lt;&gt;"",ROW()-9=COUNTA($L$10:$L$309)+1),IF(Engine!$F95="w","White","Black"),"")</f>
        <v/>
      </c>
      <c r="L99" s="9"/>
      <c r="M99" s="1" t="str">
        <f aca="false">Engine!$AF95</f>
        <v/>
      </c>
    </row>
    <row r="100" customFormat="false" ht="15" hidden="false" customHeight="false" outlineLevel="0" collapsed="false">
      <c r="J100" s="7" t="n">
        <v>91</v>
      </c>
      <c r="K100" s="8" t="str">
        <f aca="false">IF(OR(Engine!$B96&lt;&gt;"",ROW()-9=COUNTA($L$10:$L$309)+1),IF(Engine!$F96="w","White","Black"),"")</f>
        <v/>
      </c>
      <c r="L100" s="9"/>
      <c r="M100" s="1" t="str">
        <f aca="false">Engine!$AF96</f>
        <v/>
      </c>
    </row>
    <row r="101" customFormat="false" ht="15" hidden="false" customHeight="false" outlineLevel="0" collapsed="false">
      <c r="J101" s="7" t="n">
        <v>92</v>
      </c>
      <c r="K101" s="8" t="str">
        <f aca="false">IF(OR(Engine!$B97&lt;&gt;"",ROW()-9=COUNTA($L$10:$L$309)+1),IF(Engine!$F97="w","White","Black"),"")</f>
        <v/>
      </c>
      <c r="L101" s="9"/>
      <c r="M101" s="1" t="str">
        <f aca="false">Engine!$AF97</f>
        <v/>
      </c>
    </row>
    <row r="102" customFormat="false" ht="15" hidden="false" customHeight="false" outlineLevel="0" collapsed="false">
      <c r="J102" s="7" t="n">
        <v>93</v>
      </c>
      <c r="K102" s="8" t="str">
        <f aca="false">IF(OR(Engine!$B98&lt;&gt;"",ROW()-9=COUNTA($L$10:$L$309)+1),IF(Engine!$F98="w","White","Black"),"")</f>
        <v/>
      </c>
      <c r="L102" s="9"/>
      <c r="M102" s="1" t="str">
        <f aca="false">Engine!$AF98</f>
        <v/>
      </c>
    </row>
    <row r="103" customFormat="false" ht="15" hidden="false" customHeight="false" outlineLevel="0" collapsed="false">
      <c r="J103" s="7" t="n">
        <v>94</v>
      </c>
      <c r="K103" s="8" t="str">
        <f aca="false">IF(OR(Engine!$B99&lt;&gt;"",ROW()-9=COUNTA($L$10:$L$309)+1),IF(Engine!$F99="w","White","Black"),"")</f>
        <v/>
      </c>
      <c r="L103" s="9"/>
      <c r="M103" s="1" t="str">
        <f aca="false">Engine!$AF99</f>
        <v/>
      </c>
    </row>
    <row r="104" customFormat="false" ht="15" hidden="false" customHeight="false" outlineLevel="0" collapsed="false">
      <c r="J104" s="7" t="n">
        <v>95</v>
      </c>
      <c r="K104" s="8" t="str">
        <f aca="false">IF(OR(Engine!$B100&lt;&gt;"",ROW()-9=COUNTA($L$10:$L$309)+1),IF(Engine!$F100="w","White","Black"),"")</f>
        <v/>
      </c>
      <c r="L104" s="9"/>
      <c r="M104" s="1" t="str">
        <f aca="false">Engine!$AF100</f>
        <v/>
      </c>
    </row>
    <row r="105" customFormat="false" ht="15" hidden="false" customHeight="false" outlineLevel="0" collapsed="false">
      <c r="J105" s="7" t="n">
        <v>96</v>
      </c>
      <c r="K105" s="8" t="str">
        <f aca="false">IF(OR(Engine!$B101&lt;&gt;"",ROW()-9=COUNTA($L$10:$L$309)+1),IF(Engine!$F101="w","White","Black"),"")</f>
        <v/>
      </c>
      <c r="L105" s="9"/>
      <c r="M105" s="1" t="str">
        <f aca="false">Engine!$AF101</f>
        <v/>
      </c>
    </row>
    <row r="106" customFormat="false" ht="15" hidden="false" customHeight="false" outlineLevel="0" collapsed="false">
      <c r="J106" s="7" t="n">
        <v>97</v>
      </c>
      <c r="K106" s="8" t="str">
        <f aca="false">IF(OR(Engine!$B102&lt;&gt;"",ROW()-9=COUNTA($L$10:$L$309)+1),IF(Engine!$F102="w","White","Black"),"")</f>
        <v/>
      </c>
      <c r="L106" s="9"/>
      <c r="M106" s="1" t="str">
        <f aca="false">Engine!$AF102</f>
        <v/>
      </c>
    </row>
    <row r="107" customFormat="false" ht="15" hidden="false" customHeight="false" outlineLevel="0" collapsed="false">
      <c r="J107" s="7" t="n">
        <v>98</v>
      </c>
      <c r="K107" s="8" t="str">
        <f aca="false">IF(OR(Engine!$B103&lt;&gt;"",ROW()-9=COUNTA($L$10:$L$309)+1),IF(Engine!$F103="w","White","Black"),"")</f>
        <v/>
      </c>
      <c r="L107" s="9"/>
      <c r="M107" s="1" t="str">
        <f aca="false">Engine!$AF103</f>
        <v/>
      </c>
    </row>
    <row r="108" customFormat="false" ht="15" hidden="false" customHeight="false" outlineLevel="0" collapsed="false">
      <c r="J108" s="7" t="n">
        <v>99</v>
      </c>
      <c r="K108" s="8" t="str">
        <f aca="false">IF(OR(Engine!$B104&lt;&gt;"",ROW()-9=COUNTA($L$10:$L$309)+1),IF(Engine!$F104="w","White","Black"),"")</f>
        <v/>
      </c>
      <c r="L108" s="9"/>
      <c r="M108" s="1" t="str">
        <f aca="false">Engine!$AF104</f>
        <v/>
      </c>
    </row>
    <row r="109" customFormat="false" ht="15" hidden="false" customHeight="false" outlineLevel="0" collapsed="false">
      <c r="J109" s="7" t="n">
        <v>100</v>
      </c>
      <c r="K109" s="8" t="str">
        <f aca="false">IF(OR(Engine!$B105&lt;&gt;"",ROW()-9=COUNTA($L$10:$L$309)+1),IF(Engine!$F105="w","White","Black"),"")</f>
        <v/>
      </c>
      <c r="L109" s="9"/>
      <c r="M109" s="1" t="str">
        <f aca="false">Engine!$AF105</f>
        <v/>
      </c>
    </row>
    <row r="110" customFormat="false" ht="15" hidden="false" customHeight="false" outlineLevel="0" collapsed="false">
      <c r="J110" s="7" t="n">
        <v>101</v>
      </c>
      <c r="K110" s="8" t="str">
        <f aca="false">IF(OR(Engine!$B106&lt;&gt;"",ROW()-9=COUNTA($L$10:$L$309)+1),IF(Engine!$F106="w","White","Black"),"")</f>
        <v/>
      </c>
      <c r="L110" s="9"/>
      <c r="M110" s="1" t="str">
        <f aca="false">Engine!$AF106</f>
        <v/>
      </c>
    </row>
    <row r="111" customFormat="false" ht="15" hidden="false" customHeight="false" outlineLevel="0" collapsed="false">
      <c r="J111" s="7" t="n">
        <v>102</v>
      </c>
      <c r="K111" s="8" t="str">
        <f aca="false">IF(OR(Engine!$B107&lt;&gt;"",ROW()-9=COUNTA($L$10:$L$309)+1),IF(Engine!$F107="w","White","Black"),"")</f>
        <v/>
      </c>
      <c r="L111" s="9"/>
      <c r="M111" s="1" t="str">
        <f aca="false">Engine!$AF107</f>
        <v/>
      </c>
    </row>
    <row r="112" customFormat="false" ht="15" hidden="false" customHeight="false" outlineLevel="0" collapsed="false">
      <c r="J112" s="7" t="n">
        <v>103</v>
      </c>
      <c r="K112" s="8" t="str">
        <f aca="false">IF(OR(Engine!$B108&lt;&gt;"",ROW()-9=COUNTA($L$10:$L$309)+1),IF(Engine!$F108="w","White","Black"),"")</f>
        <v/>
      </c>
      <c r="L112" s="9"/>
      <c r="M112" s="1" t="str">
        <f aca="false">Engine!$AF108</f>
        <v/>
      </c>
    </row>
    <row r="113" customFormat="false" ht="15" hidden="false" customHeight="false" outlineLevel="0" collapsed="false">
      <c r="J113" s="7" t="n">
        <v>104</v>
      </c>
      <c r="K113" s="8" t="str">
        <f aca="false">IF(OR(Engine!$B109&lt;&gt;"",ROW()-9=COUNTA($L$10:$L$309)+1),IF(Engine!$F109="w","White","Black"),"")</f>
        <v/>
      </c>
      <c r="L113" s="9"/>
      <c r="M113" s="1" t="str">
        <f aca="false">Engine!$AF109</f>
        <v/>
      </c>
    </row>
    <row r="114" customFormat="false" ht="15" hidden="false" customHeight="false" outlineLevel="0" collapsed="false">
      <c r="J114" s="7" t="n">
        <v>105</v>
      </c>
      <c r="K114" s="8" t="str">
        <f aca="false">IF(OR(Engine!$B110&lt;&gt;"",ROW()-9=COUNTA($L$10:$L$309)+1),IF(Engine!$F110="w","White","Black"),"")</f>
        <v/>
      </c>
      <c r="L114" s="9"/>
      <c r="M114" s="1" t="str">
        <f aca="false">Engine!$AF110</f>
        <v/>
      </c>
    </row>
    <row r="115" customFormat="false" ht="15" hidden="false" customHeight="false" outlineLevel="0" collapsed="false">
      <c r="J115" s="7" t="n">
        <v>106</v>
      </c>
      <c r="K115" s="8" t="str">
        <f aca="false">IF(OR(Engine!$B111&lt;&gt;"",ROW()-9=COUNTA($L$10:$L$309)+1),IF(Engine!$F111="w","White","Black"),"")</f>
        <v/>
      </c>
      <c r="L115" s="9"/>
      <c r="M115" s="1" t="str">
        <f aca="false">Engine!$AF111</f>
        <v/>
      </c>
    </row>
    <row r="116" customFormat="false" ht="15" hidden="false" customHeight="false" outlineLevel="0" collapsed="false">
      <c r="J116" s="7" t="n">
        <v>107</v>
      </c>
      <c r="K116" s="8" t="str">
        <f aca="false">IF(OR(Engine!$B112&lt;&gt;"",ROW()-9=COUNTA($L$10:$L$309)+1),IF(Engine!$F112="w","White","Black"),"")</f>
        <v/>
      </c>
      <c r="L116" s="9"/>
      <c r="M116" s="1" t="str">
        <f aca="false">Engine!$AF112</f>
        <v/>
      </c>
    </row>
    <row r="117" customFormat="false" ht="15" hidden="false" customHeight="false" outlineLevel="0" collapsed="false">
      <c r="J117" s="7" t="n">
        <v>108</v>
      </c>
      <c r="K117" s="8" t="str">
        <f aca="false">IF(OR(Engine!$B113&lt;&gt;"",ROW()-9=COUNTA($L$10:$L$309)+1),IF(Engine!$F113="w","White","Black"),"")</f>
        <v/>
      </c>
      <c r="L117" s="9"/>
      <c r="M117" s="1" t="str">
        <f aca="false">Engine!$AF113</f>
        <v/>
      </c>
    </row>
    <row r="118" customFormat="false" ht="15" hidden="false" customHeight="false" outlineLevel="0" collapsed="false">
      <c r="J118" s="7" t="n">
        <v>109</v>
      </c>
      <c r="K118" s="8" t="str">
        <f aca="false">IF(OR(Engine!$B114&lt;&gt;"",ROW()-9=COUNTA($L$10:$L$309)+1),IF(Engine!$F114="w","White","Black"),"")</f>
        <v/>
      </c>
      <c r="L118" s="9"/>
      <c r="M118" s="1" t="str">
        <f aca="false">Engine!$AF114</f>
        <v/>
      </c>
    </row>
    <row r="119" customFormat="false" ht="15" hidden="false" customHeight="false" outlineLevel="0" collapsed="false">
      <c r="J119" s="7" t="n">
        <v>110</v>
      </c>
      <c r="K119" s="8" t="str">
        <f aca="false">IF(OR(Engine!$B115&lt;&gt;"",ROW()-9=COUNTA($L$10:$L$309)+1),IF(Engine!$F115="w","White","Black"),"")</f>
        <v/>
      </c>
      <c r="L119" s="9"/>
      <c r="M119" s="1" t="str">
        <f aca="false">Engine!$AF115</f>
        <v/>
      </c>
    </row>
    <row r="120" customFormat="false" ht="15" hidden="false" customHeight="false" outlineLevel="0" collapsed="false">
      <c r="J120" s="7" t="n">
        <v>111</v>
      </c>
      <c r="K120" s="8" t="str">
        <f aca="false">IF(OR(Engine!$B116&lt;&gt;"",ROW()-9=COUNTA($L$10:$L$309)+1),IF(Engine!$F116="w","White","Black"),"")</f>
        <v/>
      </c>
      <c r="L120" s="9"/>
      <c r="M120" s="1" t="str">
        <f aca="false">Engine!$AF116</f>
        <v/>
      </c>
    </row>
    <row r="121" customFormat="false" ht="15" hidden="false" customHeight="false" outlineLevel="0" collapsed="false">
      <c r="J121" s="7" t="n">
        <v>112</v>
      </c>
      <c r="K121" s="8" t="str">
        <f aca="false">IF(OR(Engine!$B117&lt;&gt;"",ROW()-9=COUNTA($L$10:$L$309)+1),IF(Engine!$F117="w","White","Black"),"")</f>
        <v/>
      </c>
      <c r="L121" s="9"/>
      <c r="M121" s="1" t="str">
        <f aca="false">Engine!$AF117</f>
        <v/>
      </c>
    </row>
    <row r="122" customFormat="false" ht="15" hidden="false" customHeight="false" outlineLevel="0" collapsed="false">
      <c r="J122" s="7" t="n">
        <v>113</v>
      </c>
      <c r="K122" s="8" t="str">
        <f aca="false">IF(OR(Engine!$B118&lt;&gt;"",ROW()-9=COUNTA($L$10:$L$309)+1),IF(Engine!$F118="w","White","Black"),"")</f>
        <v/>
      </c>
      <c r="L122" s="9"/>
      <c r="M122" s="1" t="str">
        <f aca="false">Engine!$AF118</f>
        <v/>
      </c>
    </row>
    <row r="123" customFormat="false" ht="15" hidden="false" customHeight="false" outlineLevel="0" collapsed="false">
      <c r="J123" s="7" t="n">
        <v>114</v>
      </c>
      <c r="K123" s="8" t="str">
        <f aca="false">IF(OR(Engine!$B119&lt;&gt;"",ROW()-9=COUNTA($L$10:$L$309)+1),IF(Engine!$F119="w","White","Black"),"")</f>
        <v/>
      </c>
      <c r="L123" s="9"/>
      <c r="M123" s="1" t="str">
        <f aca="false">Engine!$AF119</f>
        <v/>
      </c>
    </row>
    <row r="124" customFormat="false" ht="15" hidden="false" customHeight="false" outlineLevel="0" collapsed="false">
      <c r="J124" s="7" t="n">
        <v>115</v>
      </c>
      <c r="K124" s="8" t="str">
        <f aca="false">IF(OR(Engine!$B120&lt;&gt;"",ROW()-9=COUNTA($L$10:$L$309)+1),IF(Engine!$F120="w","White","Black"),"")</f>
        <v/>
      </c>
      <c r="L124" s="9"/>
      <c r="M124" s="1" t="str">
        <f aca="false">Engine!$AF120</f>
        <v/>
      </c>
    </row>
    <row r="125" customFormat="false" ht="15" hidden="false" customHeight="false" outlineLevel="0" collapsed="false">
      <c r="J125" s="7" t="n">
        <v>116</v>
      </c>
      <c r="K125" s="8" t="str">
        <f aca="false">IF(OR(Engine!$B121&lt;&gt;"",ROW()-9=COUNTA($L$10:$L$309)+1),IF(Engine!$F121="w","White","Black"),"")</f>
        <v/>
      </c>
      <c r="L125" s="9"/>
      <c r="M125" s="1" t="str">
        <f aca="false">Engine!$AF121</f>
        <v/>
      </c>
    </row>
    <row r="126" customFormat="false" ht="15" hidden="false" customHeight="false" outlineLevel="0" collapsed="false">
      <c r="J126" s="7" t="n">
        <v>117</v>
      </c>
      <c r="K126" s="8" t="str">
        <f aca="false">IF(OR(Engine!$B122&lt;&gt;"",ROW()-9=COUNTA($L$10:$L$309)+1),IF(Engine!$F122="w","White","Black"),"")</f>
        <v/>
      </c>
      <c r="L126" s="9"/>
      <c r="M126" s="1" t="str">
        <f aca="false">Engine!$AF122</f>
        <v/>
      </c>
    </row>
    <row r="127" customFormat="false" ht="15" hidden="false" customHeight="false" outlineLevel="0" collapsed="false">
      <c r="J127" s="7" t="n">
        <v>118</v>
      </c>
      <c r="K127" s="8" t="str">
        <f aca="false">IF(OR(Engine!$B123&lt;&gt;"",ROW()-9=COUNTA($L$10:$L$309)+1),IF(Engine!$F123="w","White","Black"),"")</f>
        <v/>
      </c>
      <c r="L127" s="9"/>
      <c r="M127" s="1" t="str">
        <f aca="false">Engine!$AF123</f>
        <v/>
      </c>
    </row>
    <row r="128" customFormat="false" ht="15" hidden="false" customHeight="false" outlineLevel="0" collapsed="false">
      <c r="J128" s="7" t="n">
        <v>119</v>
      </c>
      <c r="K128" s="8" t="str">
        <f aca="false">IF(OR(Engine!$B124&lt;&gt;"",ROW()-9=COUNTA($L$10:$L$309)+1),IF(Engine!$F124="w","White","Black"),"")</f>
        <v/>
      </c>
      <c r="L128" s="9"/>
      <c r="M128" s="1" t="str">
        <f aca="false">Engine!$AF124</f>
        <v/>
      </c>
    </row>
    <row r="129" customFormat="false" ht="15" hidden="false" customHeight="false" outlineLevel="0" collapsed="false">
      <c r="J129" s="7" t="n">
        <v>120</v>
      </c>
      <c r="K129" s="8" t="str">
        <f aca="false">IF(OR(Engine!$B125&lt;&gt;"",ROW()-9=COUNTA($L$10:$L$309)+1),IF(Engine!$F125="w","White","Black"),"")</f>
        <v/>
      </c>
      <c r="L129" s="9"/>
      <c r="M129" s="1" t="str">
        <f aca="false">Engine!$AF125</f>
        <v/>
      </c>
    </row>
    <row r="130" customFormat="false" ht="15" hidden="false" customHeight="false" outlineLevel="0" collapsed="false">
      <c r="J130" s="7" t="n">
        <v>121</v>
      </c>
      <c r="K130" s="8" t="str">
        <f aca="false">IF(OR(Engine!$B126&lt;&gt;"",ROW()-9=COUNTA($L$10:$L$309)+1),IF(Engine!$F126="w","White","Black"),"")</f>
        <v/>
      </c>
      <c r="L130" s="9"/>
      <c r="M130" s="1" t="str">
        <f aca="false">Engine!$AF126</f>
        <v/>
      </c>
    </row>
    <row r="131" customFormat="false" ht="15" hidden="false" customHeight="false" outlineLevel="0" collapsed="false">
      <c r="J131" s="7" t="n">
        <v>122</v>
      </c>
      <c r="K131" s="8" t="str">
        <f aca="false">IF(OR(Engine!$B127&lt;&gt;"",ROW()-9=COUNTA($L$10:$L$309)+1),IF(Engine!$F127="w","White","Black"),"")</f>
        <v/>
      </c>
      <c r="L131" s="9"/>
      <c r="M131" s="1" t="str">
        <f aca="false">Engine!$AF127</f>
        <v/>
      </c>
    </row>
    <row r="132" customFormat="false" ht="15" hidden="false" customHeight="false" outlineLevel="0" collapsed="false">
      <c r="J132" s="7" t="n">
        <v>123</v>
      </c>
      <c r="K132" s="8" t="str">
        <f aca="false">IF(OR(Engine!$B128&lt;&gt;"",ROW()-9=COUNTA($L$10:$L$309)+1),IF(Engine!$F128="w","White","Black"),"")</f>
        <v/>
      </c>
      <c r="L132" s="9"/>
      <c r="M132" s="1" t="str">
        <f aca="false">Engine!$AF128</f>
        <v/>
      </c>
    </row>
    <row r="133" customFormat="false" ht="15" hidden="false" customHeight="false" outlineLevel="0" collapsed="false">
      <c r="J133" s="7" t="n">
        <v>124</v>
      </c>
      <c r="K133" s="8" t="str">
        <f aca="false">IF(OR(Engine!$B129&lt;&gt;"",ROW()-9=COUNTA($L$10:$L$309)+1),IF(Engine!$F129="w","White","Black"),"")</f>
        <v/>
      </c>
      <c r="L133" s="9"/>
      <c r="M133" s="1" t="str">
        <f aca="false">Engine!$AF129</f>
        <v/>
      </c>
    </row>
    <row r="134" customFormat="false" ht="15" hidden="false" customHeight="false" outlineLevel="0" collapsed="false">
      <c r="J134" s="7" t="n">
        <v>125</v>
      </c>
      <c r="K134" s="8" t="str">
        <f aca="false">IF(OR(Engine!$B130&lt;&gt;"",ROW()-9=COUNTA($L$10:$L$309)+1),IF(Engine!$F130="w","White","Black"),"")</f>
        <v/>
      </c>
      <c r="L134" s="9"/>
      <c r="M134" s="1" t="str">
        <f aca="false">Engine!$AF130</f>
        <v/>
      </c>
    </row>
    <row r="135" customFormat="false" ht="15" hidden="false" customHeight="false" outlineLevel="0" collapsed="false">
      <c r="J135" s="7" t="n">
        <v>126</v>
      </c>
      <c r="K135" s="8" t="str">
        <f aca="false">IF(OR(Engine!$B131&lt;&gt;"",ROW()-9=COUNTA($L$10:$L$309)+1),IF(Engine!$F131="w","White","Black"),"")</f>
        <v/>
      </c>
      <c r="L135" s="9"/>
      <c r="M135" s="1" t="str">
        <f aca="false">Engine!$AF131</f>
        <v/>
      </c>
    </row>
    <row r="136" customFormat="false" ht="15" hidden="false" customHeight="false" outlineLevel="0" collapsed="false">
      <c r="J136" s="7" t="n">
        <v>127</v>
      </c>
      <c r="K136" s="8" t="str">
        <f aca="false">IF(OR(Engine!$B132&lt;&gt;"",ROW()-9=COUNTA($L$10:$L$309)+1),IF(Engine!$F132="w","White","Black"),"")</f>
        <v/>
      </c>
      <c r="L136" s="9"/>
      <c r="M136" s="1" t="str">
        <f aca="false">Engine!$AF132</f>
        <v/>
      </c>
    </row>
    <row r="137" customFormat="false" ht="15" hidden="false" customHeight="false" outlineLevel="0" collapsed="false">
      <c r="J137" s="7" t="n">
        <v>128</v>
      </c>
      <c r="K137" s="8" t="str">
        <f aca="false">IF(OR(Engine!$B133&lt;&gt;"",ROW()-9=COUNTA($L$10:$L$309)+1),IF(Engine!$F133="w","White","Black"),"")</f>
        <v/>
      </c>
      <c r="L137" s="9"/>
      <c r="M137" s="1" t="str">
        <f aca="false">Engine!$AF133</f>
        <v/>
      </c>
    </row>
    <row r="138" customFormat="false" ht="15" hidden="false" customHeight="false" outlineLevel="0" collapsed="false">
      <c r="J138" s="7" t="n">
        <v>129</v>
      </c>
      <c r="K138" s="8" t="str">
        <f aca="false">IF(OR(Engine!$B134&lt;&gt;"",ROW()-9=COUNTA($L$10:$L$309)+1),IF(Engine!$F134="w","White","Black"),"")</f>
        <v/>
      </c>
      <c r="L138" s="9"/>
      <c r="M138" s="1" t="str">
        <f aca="false">Engine!$AF134</f>
        <v/>
      </c>
    </row>
    <row r="139" customFormat="false" ht="15" hidden="false" customHeight="false" outlineLevel="0" collapsed="false">
      <c r="J139" s="7" t="n">
        <v>130</v>
      </c>
      <c r="K139" s="8" t="str">
        <f aca="false">IF(OR(Engine!$B135&lt;&gt;"",ROW()-9=COUNTA($L$10:$L$309)+1),IF(Engine!$F135="w","White","Black"),"")</f>
        <v/>
      </c>
      <c r="L139" s="9"/>
      <c r="M139" s="1" t="str">
        <f aca="false">Engine!$AF135</f>
        <v/>
      </c>
    </row>
    <row r="140" customFormat="false" ht="15" hidden="false" customHeight="false" outlineLevel="0" collapsed="false">
      <c r="J140" s="7" t="n">
        <v>131</v>
      </c>
      <c r="K140" s="8" t="str">
        <f aca="false">IF(OR(Engine!$B136&lt;&gt;"",ROW()-9=COUNTA($L$10:$L$309)+1),IF(Engine!$F136="w","White","Black"),"")</f>
        <v/>
      </c>
      <c r="L140" s="9"/>
      <c r="M140" s="1" t="str">
        <f aca="false">Engine!$AF136</f>
        <v/>
      </c>
    </row>
    <row r="141" customFormat="false" ht="15" hidden="false" customHeight="false" outlineLevel="0" collapsed="false">
      <c r="J141" s="7" t="n">
        <v>132</v>
      </c>
      <c r="K141" s="8" t="str">
        <f aca="false">IF(OR(Engine!$B137&lt;&gt;"",ROW()-9=COUNTA($L$10:$L$309)+1),IF(Engine!$F137="w","White","Black"),"")</f>
        <v/>
      </c>
      <c r="L141" s="9"/>
      <c r="M141" s="1" t="str">
        <f aca="false">Engine!$AF137</f>
        <v/>
      </c>
    </row>
    <row r="142" customFormat="false" ht="15" hidden="false" customHeight="false" outlineLevel="0" collapsed="false">
      <c r="J142" s="7" t="n">
        <v>133</v>
      </c>
      <c r="K142" s="8" t="str">
        <f aca="false">IF(OR(Engine!$B138&lt;&gt;"",ROW()-9=COUNTA($L$10:$L$309)+1),IF(Engine!$F138="w","White","Black"),"")</f>
        <v/>
      </c>
      <c r="L142" s="9"/>
      <c r="M142" s="1" t="str">
        <f aca="false">Engine!$AF138</f>
        <v/>
      </c>
    </row>
    <row r="143" customFormat="false" ht="15" hidden="false" customHeight="false" outlineLevel="0" collapsed="false">
      <c r="J143" s="7" t="n">
        <v>134</v>
      </c>
      <c r="K143" s="8" t="str">
        <f aca="false">IF(OR(Engine!$B139&lt;&gt;"",ROW()-9=COUNTA($L$10:$L$309)+1),IF(Engine!$F139="w","White","Black"),"")</f>
        <v/>
      </c>
      <c r="L143" s="9"/>
      <c r="M143" s="1" t="str">
        <f aca="false">Engine!$AF139</f>
        <v/>
      </c>
    </row>
    <row r="144" customFormat="false" ht="15" hidden="false" customHeight="false" outlineLevel="0" collapsed="false">
      <c r="J144" s="7" t="n">
        <v>135</v>
      </c>
      <c r="K144" s="8" t="str">
        <f aca="false">IF(OR(Engine!$B140&lt;&gt;"",ROW()-9=COUNTA($L$10:$L$309)+1),IF(Engine!$F140="w","White","Black"),"")</f>
        <v/>
      </c>
      <c r="L144" s="9"/>
      <c r="M144" s="1" t="str">
        <f aca="false">Engine!$AF140</f>
        <v/>
      </c>
    </row>
    <row r="145" customFormat="false" ht="15" hidden="false" customHeight="false" outlineLevel="0" collapsed="false">
      <c r="J145" s="7" t="n">
        <v>136</v>
      </c>
      <c r="K145" s="8" t="str">
        <f aca="false">IF(OR(Engine!$B141&lt;&gt;"",ROW()-9=COUNTA($L$10:$L$309)+1),IF(Engine!$F141="w","White","Black"),"")</f>
        <v/>
      </c>
      <c r="L145" s="9"/>
      <c r="M145" s="1" t="str">
        <f aca="false">Engine!$AF141</f>
        <v/>
      </c>
    </row>
    <row r="146" customFormat="false" ht="15" hidden="false" customHeight="false" outlineLevel="0" collapsed="false">
      <c r="J146" s="7" t="n">
        <v>137</v>
      </c>
      <c r="K146" s="8" t="str">
        <f aca="false">IF(OR(Engine!$B142&lt;&gt;"",ROW()-9=COUNTA($L$10:$L$309)+1),IF(Engine!$F142="w","White","Black"),"")</f>
        <v/>
      </c>
      <c r="L146" s="9"/>
      <c r="M146" s="1" t="str">
        <f aca="false">Engine!$AF142</f>
        <v/>
      </c>
    </row>
    <row r="147" customFormat="false" ht="15" hidden="false" customHeight="false" outlineLevel="0" collapsed="false">
      <c r="J147" s="7" t="n">
        <v>138</v>
      </c>
      <c r="K147" s="8" t="str">
        <f aca="false">IF(OR(Engine!$B143&lt;&gt;"",ROW()-9=COUNTA($L$10:$L$309)+1),IF(Engine!$F143="w","White","Black"),"")</f>
        <v/>
      </c>
      <c r="L147" s="9"/>
      <c r="M147" s="1" t="str">
        <f aca="false">Engine!$AF143</f>
        <v/>
      </c>
    </row>
    <row r="148" customFormat="false" ht="15" hidden="false" customHeight="false" outlineLevel="0" collapsed="false">
      <c r="J148" s="7" t="n">
        <v>139</v>
      </c>
      <c r="K148" s="8" t="str">
        <f aca="false">IF(OR(Engine!$B144&lt;&gt;"",ROW()-9=COUNTA($L$10:$L$309)+1),IF(Engine!$F144="w","White","Black"),"")</f>
        <v/>
      </c>
      <c r="L148" s="9"/>
      <c r="M148" s="1" t="str">
        <f aca="false">Engine!$AF144</f>
        <v/>
      </c>
    </row>
    <row r="149" customFormat="false" ht="15" hidden="false" customHeight="false" outlineLevel="0" collapsed="false">
      <c r="J149" s="7" t="n">
        <v>140</v>
      </c>
      <c r="K149" s="8" t="str">
        <f aca="false">IF(OR(Engine!$B145&lt;&gt;"",ROW()-9=COUNTA($L$10:$L$309)+1),IF(Engine!$F145="w","White","Black"),"")</f>
        <v/>
      </c>
      <c r="L149" s="9"/>
      <c r="M149" s="1" t="str">
        <f aca="false">Engine!$AF145</f>
        <v/>
      </c>
    </row>
    <row r="150" customFormat="false" ht="15" hidden="false" customHeight="false" outlineLevel="0" collapsed="false">
      <c r="J150" s="7" t="n">
        <v>141</v>
      </c>
      <c r="K150" s="8" t="str">
        <f aca="false">IF(OR(Engine!$B146&lt;&gt;"",ROW()-9=COUNTA($L$10:$L$309)+1),IF(Engine!$F146="w","White","Black"),"")</f>
        <v/>
      </c>
      <c r="L150" s="9"/>
      <c r="M150" s="1" t="str">
        <f aca="false">Engine!$AF146</f>
        <v/>
      </c>
    </row>
    <row r="151" customFormat="false" ht="15" hidden="false" customHeight="false" outlineLevel="0" collapsed="false">
      <c r="J151" s="7" t="n">
        <v>142</v>
      </c>
      <c r="K151" s="8" t="str">
        <f aca="false">IF(OR(Engine!$B147&lt;&gt;"",ROW()-9=COUNTA($L$10:$L$309)+1),IF(Engine!$F147="w","White","Black"),"")</f>
        <v/>
      </c>
      <c r="L151" s="9"/>
      <c r="M151" s="1" t="str">
        <f aca="false">Engine!$AF147</f>
        <v/>
      </c>
    </row>
    <row r="152" customFormat="false" ht="15" hidden="false" customHeight="false" outlineLevel="0" collapsed="false">
      <c r="J152" s="7" t="n">
        <v>143</v>
      </c>
      <c r="K152" s="8" t="str">
        <f aca="false">IF(OR(Engine!$B148&lt;&gt;"",ROW()-9=COUNTA($L$10:$L$309)+1),IF(Engine!$F148="w","White","Black"),"")</f>
        <v/>
      </c>
      <c r="L152" s="9"/>
      <c r="M152" s="1" t="str">
        <f aca="false">Engine!$AF148</f>
        <v/>
      </c>
    </row>
    <row r="153" customFormat="false" ht="15" hidden="false" customHeight="false" outlineLevel="0" collapsed="false">
      <c r="J153" s="7" t="n">
        <v>144</v>
      </c>
      <c r="K153" s="8" t="str">
        <f aca="false">IF(OR(Engine!$B149&lt;&gt;"",ROW()-9=COUNTA($L$10:$L$309)+1),IF(Engine!$F149="w","White","Black"),"")</f>
        <v/>
      </c>
      <c r="L153" s="9"/>
      <c r="M153" s="1" t="str">
        <f aca="false">Engine!$AF149</f>
        <v/>
      </c>
    </row>
    <row r="154" customFormat="false" ht="15" hidden="false" customHeight="false" outlineLevel="0" collapsed="false">
      <c r="J154" s="7" t="n">
        <v>145</v>
      </c>
      <c r="K154" s="8" t="str">
        <f aca="false">IF(OR(Engine!$B150&lt;&gt;"",ROW()-9=COUNTA($L$10:$L$309)+1),IF(Engine!$F150="w","White","Black"),"")</f>
        <v/>
      </c>
      <c r="L154" s="9"/>
      <c r="M154" s="1" t="str">
        <f aca="false">Engine!$AF150</f>
        <v/>
      </c>
    </row>
    <row r="155" customFormat="false" ht="15" hidden="false" customHeight="false" outlineLevel="0" collapsed="false">
      <c r="J155" s="7" t="n">
        <v>146</v>
      </c>
      <c r="K155" s="8" t="str">
        <f aca="false">IF(OR(Engine!$B151&lt;&gt;"",ROW()-9=COUNTA($L$10:$L$309)+1),IF(Engine!$F151="w","White","Black"),"")</f>
        <v/>
      </c>
      <c r="L155" s="9"/>
      <c r="M155" s="1" t="str">
        <f aca="false">Engine!$AF151</f>
        <v/>
      </c>
    </row>
    <row r="156" customFormat="false" ht="15" hidden="false" customHeight="false" outlineLevel="0" collapsed="false">
      <c r="J156" s="7" t="n">
        <v>147</v>
      </c>
      <c r="K156" s="8" t="str">
        <f aca="false">IF(OR(Engine!$B152&lt;&gt;"",ROW()-9=COUNTA($L$10:$L$309)+1),IF(Engine!$F152="w","White","Black"),"")</f>
        <v/>
      </c>
      <c r="L156" s="9"/>
      <c r="M156" s="1" t="str">
        <f aca="false">Engine!$AF152</f>
        <v/>
      </c>
    </row>
    <row r="157" customFormat="false" ht="15" hidden="false" customHeight="false" outlineLevel="0" collapsed="false">
      <c r="J157" s="7" t="n">
        <v>148</v>
      </c>
      <c r="K157" s="8" t="str">
        <f aca="false">IF(OR(Engine!$B153&lt;&gt;"",ROW()-9=COUNTA($L$10:$L$309)+1),IF(Engine!$F153="w","White","Black"),"")</f>
        <v/>
      </c>
      <c r="L157" s="9"/>
      <c r="M157" s="1" t="str">
        <f aca="false">Engine!$AF153</f>
        <v/>
      </c>
    </row>
    <row r="158" customFormat="false" ht="15" hidden="false" customHeight="false" outlineLevel="0" collapsed="false">
      <c r="J158" s="7" t="n">
        <v>149</v>
      </c>
      <c r="K158" s="8" t="str">
        <f aca="false">IF(OR(Engine!$B154&lt;&gt;"",ROW()-9=COUNTA($L$10:$L$309)+1),IF(Engine!$F154="w","White","Black"),"")</f>
        <v/>
      </c>
      <c r="L158" s="9"/>
      <c r="M158" s="1" t="str">
        <f aca="false">Engine!$AF154</f>
        <v/>
      </c>
    </row>
    <row r="159" customFormat="false" ht="15" hidden="false" customHeight="false" outlineLevel="0" collapsed="false">
      <c r="J159" s="7" t="n">
        <v>150</v>
      </c>
      <c r="K159" s="8" t="str">
        <f aca="false">IF(OR(Engine!$B155&lt;&gt;"",ROW()-9=COUNTA($L$10:$L$309)+1),IF(Engine!$F155="w","White","Black"),"")</f>
        <v/>
      </c>
      <c r="L159" s="9"/>
      <c r="M159" s="1" t="str">
        <f aca="false">Engine!$AF155</f>
        <v/>
      </c>
    </row>
    <row r="160" customFormat="false" ht="15" hidden="false" customHeight="false" outlineLevel="0" collapsed="false">
      <c r="J160" s="7" t="n">
        <v>151</v>
      </c>
      <c r="K160" s="8" t="str">
        <f aca="false">IF(OR(Engine!$B156&lt;&gt;"",ROW()-9=COUNTA($L$10:$L$309)+1),IF(Engine!$F156="w","White","Black"),"")</f>
        <v/>
      </c>
      <c r="L160" s="9"/>
      <c r="M160" s="1" t="str">
        <f aca="false">Engine!$AF156</f>
        <v/>
      </c>
    </row>
    <row r="161" customFormat="false" ht="15" hidden="false" customHeight="false" outlineLevel="0" collapsed="false">
      <c r="J161" s="7" t="n">
        <v>152</v>
      </c>
      <c r="K161" s="8" t="str">
        <f aca="false">IF(OR(Engine!$B157&lt;&gt;"",ROW()-9=COUNTA($L$10:$L$309)+1),IF(Engine!$F157="w","White","Black"),"")</f>
        <v/>
      </c>
      <c r="L161" s="9"/>
      <c r="M161" s="1" t="str">
        <f aca="false">Engine!$AF157</f>
        <v/>
      </c>
    </row>
    <row r="162" customFormat="false" ht="15" hidden="false" customHeight="false" outlineLevel="0" collapsed="false">
      <c r="J162" s="7" t="n">
        <v>153</v>
      </c>
      <c r="K162" s="8" t="str">
        <f aca="false">IF(OR(Engine!$B158&lt;&gt;"",ROW()-9=COUNTA($L$10:$L$309)+1),IF(Engine!$F158="w","White","Black"),"")</f>
        <v/>
      </c>
      <c r="L162" s="9"/>
      <c r="M162" s="1" t="str">
        <f aca="false">Engine!$AF158</f>
        <v/>
      </c>
    </row>
    <row r="163" customFormat="false" ht="15" hidden="false" customHeight="false" outlineLevel="0" collapsed="false">
      <c r="J163" s="7" t="n">
        <v>154</v>
      </c>
      <c r="K163" s="8" t="str">
        <f aca="false">IF(OR(Engine!$B159&lt;&gt;"",ROW()-9=COUNTA($L$10:$L$309)+1),IF(Engine!$F159="w","White","Black"),"")</f>
        <v/>
      </c>
      <c r="L163" s="9"/>
      <c r="M163" s="1" t="str">
        <f aca="false">Engine!$AF159</f>
        <v/>
      </c>
    </row>
    <row r="164" customFormat="false" ht="15" hidden="false" customHeight="false" outlineLevel="0" collapsed="false">
      <c r="J164" s="7" t="n">
        <v>155</v>
      </c>
      <c r="K164" s="8" t="str">
        <f aca="false">IF(OR(Engine!$B160&lt;&gt;"",ROW()-9=COUNTA($L$10:$L$309)+1),IF(Engine!$F160="w","White","Black"),"")</f>
        <v/>
      </c>
      <c r="L164" s="9"/>
      <c r="M164" s="1" t="str">
        <f aca="false">Engine!$AF160</f>
        <v/>
      </c>
    </row>
    <row r="165" customFormat="false" ht="15" hidden="false" customHeight="false" outlineLevel="0" collapsed="false">
      <c r="J165" s="7" t="n">
        <v>156</v>
      </c>
      <c r="K165" s="8" t="str">
        <f aca="false">IF(OR(Engine!$B161&lt;&gt;"",ROW()-9=COUNTA($L$10:$L$309)+1),IF(Engine!$F161="w","White","Black"),"")</f>
        <v/>
      </c>
      <c r="L165" s="9"/>
      <c r="M165" s="1" t="str">
        <f aca="false">Engine!$AF161</f>
        <v/>
      </c>
    </row>
    <row r="166" customFormat="false" ht="15" hidden="false" customHeight="false" outlineLevel="0" collapsed="false">
      <c r="J166" s="7" t="n">
        <v>157</v>
      </c>
      <c r="K166" s="8" t="str">
        <f aca="false">IF(OR(Engine!$B162&lt;&gt;"",ROW()-9=COUNTA($L$10:$L$309)+1),IF(Engine!$F162="w","White","Black"),"")</f>
        <v/>
      </c>
      <c r="L166" s="9"/>
      <c r="M166" s="1" t="str">
        <f aca="false">Engine!$AF162</f>
        <v/>
      </c>
    </row>
    <row r="167" customFormat="false" ht="15" hidden="false" customHeight="false" outlineLevel="0" collapsed="false">
      <c r="J167" s="7" t="n">
        <v>158</v>
      </c>
      <c r="K167" s="8" t="str">
        <f aca="false">IF(OR(Engine!$B163&lt;&gt;"",ROW()-9=COUNTA($L$10:$L$309)+1),IF(Engine!$F163="w","White","Black"),"")</f>
        <v/>
      </c>
      <c r="L167" s="9"/>
      <c r="M167" s="1" t="str">
        <f aca="false">Engine!$AF163</f>
        <v/>
      </c>
    </row>
    <row r="168" customFormat="false" ht="15" hidden="false" customHeight="false" outlineLevel="0" collapsed="false">
      <c r="J168" s="7" t="n">
        <v>159</v>
      </c>
      <c r="K168" s="8" t="str">
        <f aca="false">IF(OR(Engine!$B164&lt;&gt;"",ROW()-9=COUNTA($L$10:$L$309)+1),IF(Engine!$F164="w","White","Black"),"")</f>
        <v/>
      </c>
      <c r="L168" s="9"/>
      <c r="M168" s="1" t="str">
        <f aca="false">Engine!$AF164</f>
        <v/>
      </c>
    </row>
    <row r="169" customFormat="false" ht="15" hidden="false" customHeight="false" outlineLevel="0" collapsed="false">
      <c r="J169" s="7" t="n">
        <v>160</v>
      </c>
      <c r="K169" s="8" t="str">
        <f aca="false">IF(OR(Engine!$B165&lt;&gt;"",ROW()-9=COUNTA($L$10:$L$309)+1),IF(Engine!$F165="w","White","Black"),"")</f>
        <v/>
      </c>
      <c r="L169" s="9"/>
      <c r="M169" s="1" t="str">
        <f aca="false">Engine!$AF165</f>
        <v/>
      </c>
    </row>
    <row r="170" customFormat="false" ht="15" hidden="false" customHeight="false" outlineLevel="0" collapsed="false">
      <c r="J170" s="7" t="n">
        <v>161</v>
      </c>
      <c r="K170" s="8" t="str">
        <f aca="false">IF(OR(Engine!$B166&lt;&gt;"",ROW()-9=COUNTA($L$10:$L$309)+1),IF(Engine!$F166="w","White","Black"),"")</f>
        <v/>
      </c>
      <c r="L170" s="9"/>
      <c r="M170" s="1" t="str">
        <f aca="false">Engine!$AF166</f>
        <v/>
      </c>
    </row>
    <row r="171" customFormat="false" ht="15" hidden="false" customHeight="false" outlineLevel="0" collapsed="false">
      <c r="J171" s="7" t="n">
        <v>162</v>
      </c>
      <c r="K171" s="8" t="str">
        <f aca="false">IF(OR(Engine!$B167&lt;&gt;"",ROW()-9=COUNTA($L$10:$L$309)+1),IF(Engine!$F167="w","White","Black"),"")</f>
        <v/>
      </c>
      <c r="L171" s="9"/>
      <c r="M171" s="1" t="str">
        <f aca="false">Engine!$AF167</f>
        <v/>
      </c>
    </row>
    <row r="172" customFormat="false" ht="15" hidden="false" customHeight="false" outlineLevel="0" collapsed="false">
      <c r="J172" s="7" t="n">
        <v>163</v>
      </c>
      <c r="K172" s="8" t="str">
        <f aca="false">IF(OR(Engine!$B168&lt;&gt;"",ROW()-9=COUNTA($L$10:$L$309)+1),IF(Engine!$F168="w","White","Black"),"")</f>
        <v/>
      </c>
      <c r="L172" s="9"/>
      <c r="M172" s="1" t="str">
        <f aca="false">Engine!$AF168</f>
        <v/>
      </c>
    </row>
    <row r="173" customFormat="false" ht="15" hidden="false" customHeight="false" outlineLevel="0" collapsed="false">
      <c r="J173" s="7" t="n">
        <v>164</v>
      </c>
      <c r="K173" s="8" t="str">
        <f aca="false">IF(OR(Engine!$B169&lt;&gt;"",ROW()-9=COUNTA($L$10:$L$309)+1),IF(Engine!$F169="w","White","Black"),"")</f>
        <v/>
      </c>
      <c r="L173" s="9"/>
      <c r="M173" s="1" t="str">
        <f aca="false">Engine!$AF169</f>
        <v/>
      </c>
    </row>
    <row r="174" customFormat="false" ht="15" hidden="false" customHeight="false" outlineLevel="0" collapsed="false">
      <c r="J174" s="7" t="n">
        <v>165</v>
      </c>
      <c r="K174" s="8" t="str">
        <f aca="false">IF(OR(Engine!$B170&lt;&gt;"",ROW()-9=COUNTA($L$10:$L$309)+1),IF(Engine!$F170="w","White","Black"),"")</f>
        <v/>
      </c>
      <c r="L174" s="9"/>
      <c r="M174" s="1" t="str">
        <f aca="false">Engine!$AF170</f>
        <v/>
      </c>
    </row>
    <row r="175" customFormat="false" ht="15" hidden="false" customHeight="false" outlineLevel="0" collapsed="false">
      <c r="J175" s="7" t="n">
        <v>166</v>
      </c>
      <c r="K175" s="8" t="str">
        <f aca="false">IF(OR(Engine!$B171&lt;&gt;"",ROW()-9=COUNTA($L$10:$L$309)+1),IF(Engine!$F171="w","White","Black"),"")</f>
        <v/>
      </c>
      <c r="L175" s="9"/>
      <c r="M175" s="1" t="str">
        <f aca="false">Engine!$AF171</f>
        <v/>
      </c>
    </row>
    <row r="176" customFormat="false" ht="15" hidden="false" customHeight="false" outlineLevel="0" collapsed="false">
      <c r="J176" s="7" t="n">
        <v>167</v>
      </c>
      <c r="K176" s="8" t="str">
        <f aca="false">IF(OR(Engine!$B172&lt;&gt;"",ROW()-9=COUNTA($L$10:$L$309)+1),IF(Engine!$F172="w","White","Black"),"")</f>
        <v/>
      </c>
      <c r="L176" s="9"/>
      <c r="M176" s="1" t="str">
        <f aca="false">Engine!$AF172</f>
        <v/>
      </c>
    </row>
    <row r="177" customFormat="false" ht="15" hidden="false" customHeight="false" outlineLevel="0" collapsed="false">
      <c r="J177" s="7" t="n">
        <v>168</v>
      </c>
      <c r="K177" s="8" t="str">
        <f aca="false">IF(OR(Engine!$B173&lt;&gt;"",ROW()-9=COUNTA($L$10:$L$309)+1),IF(Engine!$F173="w","White","Black"),"")</f>
        <v/>
      </c>
      <c r="L177" s="9"/>
      <c r="M177" s="1" t="str">
        <f aca="false">Engine!$AF173</f>
        <v/>
      </c>
    </row>
    <row r="178" customFormat="false" ht="15" hidden="false" customHeight="false" outlineLevel="0" collapsed="false">
      <c r="J178" s="7" t="n">
        <v>169</v>
      </c>
      <c r="K178" s="8" t="str">
        <f aca="false">IF(OR(Engine!$B174&lt;&gt;"",ROW()-9=COUNTA($L$10:$L$309)+1),IF(Engine!$F174="w","White","Black"),"")</f>
        <v/>
      </c>
      <c r="L178" s="9"/>
      <c r="M178" s="1" t="str">
        <f aca="false">Engine!$AF174</f>
        <v/>
      </c>
    </row>
    <row r="179" customFormat="false" ht="15" hidden="false" customHeight="false" outlineLevel="0" collapsed="false">
      <c r="J179" s="7" t="n">
        <v>170</v>
      </c>
      <c r="K179" s="8" t="str">
        <f aca="false">IF(OR(Engine!$B175&lt;&gt;"",ROW()-9=COUNTA($L$10:$L$309)+1),IF(Engine!$F175="w","White","Black"),"")</f>
        <v/>
      </c>
      <c r="L179" s="9"/>
      <c r="M179" s="1" t="str">
        <f aca="false">Engine!$AF175</f>
        <v/>
      </c>
    </row>
    <row r="180" customFormat="false" ht="15" hidden="false" customHeight="false" outlineLevel="0" collapsed="false">
      <c r="J180" s="7" t="n">
        <v>171</v>
      </c>
      <c r="K180" s="8" t="str">
        <f aca="false">IF(OR(Engine!$B176&lt;&gt;"",ROW()-9=COUNTA($L$10:$L$309)+1),IF(Engine!$F176="w","White","Black"),"")</f>
        <v/>
      </c>
      <c r="L180" s="9"/>
      <c r="M180" s="1" t="str">
        <f aca="false">Engine!$AF176</f>
        <v/>
      </c>
    </row>
    <row r="181" customFormat="false" ht="15" hidden="false" customHeight="false" outlineLevel="0" collapsed="false">
      <c r="J181" s="7" t="n">
        <v>172</v>
      </c>
      <c r="K181" s="8" t="str">
        <f aca="false">IF(OR(Engine!$B177&lt;&gt;"",ROW()-9=COUNTA($L$10:$L$309)+1),IF(Engine!$F177="w","White","Black"),"")</f>
        <v/>
      </c>
      <c r="L181" s="9"/>
      <c r="M181" s="1" t="str">
        <f aca="false">Engine!$AF177</f>
        <v/>
      </c>
    </row>
    <row r="182" customFormat="false" ht="15" hidden="false" customHeight="false" outlineLevel="0" collapsed="false">
      <c r="J182" s="7" t="n">
        <v>173</v>
      </c>
      <c r="K182" s="8" t="str">
        <f aca="false">IF(OR(Engine!$B178&lt;&gt;"",ROW()-9=COUNTA($L$10:$L$309)+1),IF(Engine!$F178="w","White","Black"),"")</f>
        <v/>
      </c>
      <c r="L182" s="9"/>
      <c r="M182" s="1" t="str">
        <f aca="false">Engine!$AF178</f>
        <v/>
      </c>
    </row>
    <row r="183" customFormat="false" ht="15" hidden="false" customHeight="false" outlineLevel="0" collapsed="false">
      <c r="J183" s="7" t="n">
        <v>174</v>
      </c>
      <c r="K183" s="8" t="str">
        <f aca="false">IF(OR(Engine!$B179&lt;&gt;"",ROW()-9=COUNTA($L$10:$L$309)+1),IF(Engine!$F179="w","White","Black"),"")</f>
        <v/>
      </c>
      <c r="L183" s="9"/>
      <c r="M183" s="1" t="str">
        <f aca="false">Engine!$AF179</f>
        <v/>
      </c>
    </row>
    <row r="184" customFormat="false" ht="15" hidden="false" customHeight="false" outlineLevel="0" collapsed="false">
      <c r="J184" s="7" t="n">
        <v>175</v>
      </c>
      <c r="K184" s="8" t="str">
        <f aca="false">IF(OR(Engine!$B180&lt;&gt;"",ROW()-9=COUNTA($L$10:$L$309)+1),IF(Engine!$F180="w","White","Black"),"")</f>
        <v/>
      </c>
      <c r="L184" s="9"/>
      <c r="M184" s="1" t="str">
        <f aca="false">Engine!$AF180</f>
        <v/>
      </c>
    </row>
    <row r="185" customFormat="false" ht="15" hidden="false" customHeight="false" outlineLevel="0" collapsed="false">
      <c r="J185" s="7" t="n">
        <v>176</v>
      </c>
      <c r="K185" s="8" t="str">
        <f aca="false">IF(OR(Engine!$B181&lt;&gt;"",ROW()-9=COUNTA($L$10:$L$309)+1),IF(Engine!$F181="w","White","Black"),"")</f>
        <v/>
      </c>
      <c r="L185" s="9"/>
      <c r="M185" s="1" t="str">
        <f aca="false">Engine!$AF181</f>
        <v/>
      </c>
    </row>
    <row r="186" customFormat="false" ht="15" hidden="false" customHeight="false" outlineLevel="0" collapsed="false">
      <c r="J186" s="7" t="n">
        <v>177</v>
      </c>
      <c r="K186" s="8" t="str">
        <f aca="false">IF(OR(Engine!$B182&lt;&gt;"",ROW()-9=COUNTA($L$10:$L$309)+1),IF(Engine!$F182="w","White","Black"),"")</f>
        <v/>
      </c>
      <c r="L186" s="9"/>
      <c r="M186" s="1" t="str">
        <f aca="false">Engine!$AF182</f>
        <v/>
      </c>
    </row>
    <row r="187" customFormat="false" ht="15" hidden="false" customHeight="false" outlineLevel="0" collapsed="false">
      <c r="J187" s="7" t="n">
        <v>178</v>
      </c>
      <c r="K187" s="8" t="str">
        <f aca="false">IF(OR(Engine!$B183&lt;&gt;"",ROW()-9=COUNTA($L$10:$L$309)+1),IF(Engine!$F183="w","White","Black"),"")</f>
        <v/>
      </c>
      <c r="L187" s="9"/>
      <c r="M187" s="1" t="str">
        <f aca="false">Engine!$AF183</f>
        <v/>
      </c>
    </row>
    <row r="188" customFormat="false" ht="15" hidden="false" customHeight="false" outlineLevel="0" collapsed="false">
      <c r="J188" s="7" t="n">
        <v>179</v>
      </c>
      <c r="K188" s="8" t="str">
        <f aca="false">IF(OR(Engine!$B184&lt;&gt;"",ROW()-9=COUNTA($L$10:$L$309)+1),IF(Engine!$F184="w","White","Black"),"")</f>
        <v/>
      </c>
      <c r="L188" s="9"/>
      <c r="M188" s="1" t="str">
        <f aca="false">Engine!$AF184</f>
        <v/>
      </c>
    </row>
    <row r="189" customFormat="false" ht="15" hidden="false" customHeight="false" outlineLevel="0" collapsed="false">
      <c r="J189" s="7" t="n">
        <v>180</v>
      </c>
      <c r="K189" s="8" t="str">
        <f aca="false">IF(OR(Engine!$B185&lt;&gt;"",ROW()-9=COUNTA($L$10:$L$309)+1),IF(Engine!$F185="w","White","Black"),"")</f>
        <v/>
      </c>
      <c r="L189" s="9"/>
      <c r="M189" s="1" t="str">
        <f aca="false">Engine!$AF185</f>
        <v/>
      </c>
    </row>
    <row r="190" customFormat="false" ht="15" hidden="false" customHeight="false" outlineLevel="0" collapsed="false">
      <c r="J190" s="7" t="n">
        <v>181</v>
      </c>
      <c r="K190" s="8" t="str">
        <f aca="false">IF(OR(Engine!$B186&lt;&gt;"",ROW()-9=COUNTA($L$10:$L$309)+1),IF(Engine!$F186="w","White","Black"),"")</f>
        <v/>
      </c>
      <c r="L190" s="9"/>
      <c r="M190" s="1" t="str">
        <f aca="false">Engine!$AF186</f>
        <v/>
      </c>
    </row>
    <row r="191" customFormat="false" ht="15" hidden="false" customHeight="false" outlineLevel="0" collapsed="false">
      <c r="J191" s="7" t="n">
        <v>182</v>
      </c>
      <c r="K191" s="8" t="str">
        <f aca="false">IF(OR(Engine!$B187&lt;&gt;"",ROW()-9=COUNTA($L$10:$L$309)+1),IF(Engine!$F187="w","White","Black"),"")</f>
        <v/>
      </c>
      <c r="L191" s="9"/>
      <c r="M191" s="1" t="str">
        <f aca="false">Engine!$AF187</f>
        <v/>
      </c>
    </row>
    <row r="192" customFormat="false" ht="15" hidden="false" customHeight="false" outlineLevel="0" collapsed="false">
      <c r="J192" s="7" t="n">
        <v>183</v>
      </c>
      <c r="K192" s="8" t="str">
        <f aca="false">IF(OR(Engine!$B188&lt;&gt;"",ROW()-9=COUNTA($L$10:$L$309)+1),IF(Engine!$F188="w","White","Black"),"")</f>
        <v/>
      </c>
      <c r="L192" s="9"/>
      <c r="M192" s="1" t="str">
        <f aca="false">Engine!$AF188</f>
        <v/>
      </c>
    </row>
    <row r="193" customFormat="false" ht="15" hidden="false" customHeight="false" outlineLevel="0" collapsed="false">
      <c r="J193" s="7" t="n">
        <v>184</v>
      </c>
      <c r="K193" s="8" t="str">
        <f aca="false">IF(OR(Engine!$B189&lt;&gt;"",ROW()-9=COUNTA($L$10:$L$309)+1),IF(Engine!$F189="w","White","Black"),"")</f>
        <v/>
      </c>
      <c r="L193" s="9"/>
      <c r="M193" s="1" t="str">
        <f aca="false">Engine!$AF189</f>
        <v/>
      </c>
    </row>
    <row r="194" customFormat="false" ht="15" hidden="false" customHeight="false" outlineLevel="0" collapsed="false">
      <c r="J194" s="7" t="n">
        <v>185</v>
      </c>
      <c r="K194" s="8" t="str">
        <f aca="false">IF(OR(Engine!$B190&lt;&gt;"",ROW()-9=COUNTA($L$10:$L$309)+1),IF(Engine!$F190="w","White","Black"),"")</f>
        <v/>
      </c>
      <c r="L194" s="9"/>
      <c r="M194" s="1" t="str">
        <f aca="false">Engine!$AF190</f>
        <v/>
      </c>
    </row>
    <row r="195" customFormat="false" ht="15" hidden="false" customHeight="false" outlineLevel="0" collapsed="false">
      <c r="J195" s="7" t="n">
        <v>186</v>
      </c>
      <c r="K195" s="8" t="str">
        <f aca="false">IF(OR(Engine!$B191&lt;&gt;"",ROW()-9=COUNTA($L$10:$L$309)+1),IF(Engine!$F191="w","White","Black"),"")</f>
        <v/>
      </c>
      <c r="L195" s="9"/>
      <c r="M195" s="1" t="str">
        <f aca="false">Engine!$AF191</f>
        <v/>
      </c>
    </row>
    <row r="196" customFormat="false" ht="15" hidden="false" customHeight="false" outlineLevel="0" collapsed="false">
      <c r="J196" s="7" t="n">
        <v>187</v>
      </c>
      <c r="K196" s="8" t="str">
        <f aca="false">IF(OR(Engine!$B192&lt;&gt;"",ROW()-9=COUNTA($L$10:$L$309)+1),IF(Engine!$F192="w","White","Black"),"")</f>
        <v/>
      </c>
      <c r="L196" s="9"/>
      <c r="M196" s="1" t="str">
        <f aca="false">Engine!$AF192</f>
        <v/>
      </c>
    </row>
    <row r="197" customFormat="false" ht="15" hidden="false" customHeight="false" outlineLevel="0" collapsed="false">
      <c r="J197" s="7" t="n">
        <v>188</v>
      </c>
      <c r="K197" s="8" t="str">
        <f aca="false">IF(OR(Engine!$B193&lt;&gt;"",ROW()-9=COUNTA($L$10:$L$309)+1),IF(Engine!$F193="w","White","Black"),"")</f>
        <v/>
      </c>
      <c r="L197" s="9"/>
      <c r="M197" s="1" t="str">
        <f aca="false">Engine!$AF193</f>
        <v/>
      </c>
    </row>
    <row r="198" customFormat="false" ht="15" hidden="false" customHeight="false" outlineLevel="0" collapsed="false">
      <c r="J198" s="7" t="n">
        <v>189</v>
      </c>
      <c r="K198" s="8" t="str">
        <f aca="false">IF(OR(Engine!$B194&lt;&gt;"",ROW()-9=COUNTA($L$10:$L$309)+1),IF(Engine!$F194="w","White","Black"),"")</f>
        <v/>
      </c>
      <c r="L198" s="9"/>
      <c r="M198" s="1" t="str">
        <f aca="false">Engine!$AF194</f>
        <v/>
      </c>
    </row>
    <row r="199" customFormat="false" ht="15" hidden="false" customHeight="false" outlineLevel="0" collapsed="false">
      <c r="J199" s="7" t="n">
        <v>190</v>
      </c>
      <c r="K199" s="8" t="str">
        <f aca="false">IF(OR(Engine!$B195&lt;&gt;"",ROW()-9=COUNTA($L$10:$L$309)+1),IF(Engine!$F195="w","White","Black"),"")</f>
        <v/>
      </c>
      <c r="L199" s="9"/>
      <c r="M199" s="1" t="str">
        <f aca="false">Engine!$AF195</f>
        <v/>
      </c>
    </row>
    <row r="200" customFormat="false" ht="15" hidden="false" customHeight="false" outlineLevel="0" collapsed="false">
      <c r="J200" s="7" t="n">
        <v>191</v>
      </c>
      <c r="K200" s="8" t="str">
        <f aca="false">IF(OR(Engine!$B196&lt;&gt;"",ROW()-9=COUNTA($L$10:$L$309)+1),IF(Engine!$F196="w","White","Black"),"")</f>
        <v/>
      </c>
      <c r="L200" s="9"/>
      <c r="M200" s="1" t="str">
        <f aca="false">Engine!$AF196</f>
        <v/>
      </c>
    </row>
    <row r="201" customFormat="false" ht="15" hidden="false" customHeight="false" outlineLevel="0" collapsed="false">
      <c r="J201" s="7" t="n">
        <v>192</v>
      </c>
      <c r="K201" s="8" t="str">
        <f aca="false">IF(OR(Engine!$B197&lt;&gt;"",ROW()-9=COUNTA($L$10:$L$309)+1),IF(Engine!$F197="w","White","Black"),"")</f>
        <v/>
      </c>
      <c r="L201" s="9"/>
      <c r="M201" s="1" t="str">
        <f aca="false">Engine!$AF197</f>
        <v/>
      </c>
    </row>
    <row r="202" customFormat="false" ht="15" hidden="false" customHeight="false" outlineLevel="0" collapsed="false">
      <c r="J202" s="7" t="n">
        <v>193</v>
      </c>
      <c r="K202" s="8" t="str">
        <f aca="false">IF(OR(Engine!$B198&lt;&gt;"",ROW()-9=COUNTA($L$10:$L$309)+1),IF(Engine!$F198="w","White","Black"),"")</f>
        <v/>
      </c>
      <c r="L202" s="9"/>
      <c r="M202" s="1" t="str">
        <f aca="false">Engine!$AF198</f>
        <v/>
      </c>
    </row>
    <row r="203" customFormat="false" ht="15" hidden="false" customHeight="false" outlineLevel="0" collapsed="false">
      <c r="J203" s="7" t="n">
        <v>194</v>
      </c>
      <c r="K203" s="8" t="str">
        <f aca="false">IF(OR(Engine!$B199&lt;&gt;"",ROW()-9=COUNTA($L$10:$L$309)+1),IF(Engine!$F199="w","White","Black"),"")</f>
        <v/>
      </c>
      <c r="L203" s="9"/>
      <c r="M203" s="1" t="str">
        <f aca="false">Engine!$AF199</f>
        <v/>
      </c>
    </row>
    <row r="204" customFormat="false" ht="15" hidden="false" customHeight="false" outlineLevel="0" collapsed="false">
      <c r="J204" s="7" t="n">
        <v>195</v>
      </c>
      <c r="K204" s="8" t="str">
        <f aca="false">IF(OR(Engine!$B200&lt;&gt;"",ROW()-9=COUNTA($L$10:$L$309)+1),IF(Engine!$F200="w","White","Black"),"")</f>
        <v/>
      </c>
      <c r="L204" s="9"/>
      <c r="M204" s="1" t="str">
        <f aca="false">Engine!$AF200</f>
        <v/>
      </c>
    </row>
    <row r="205" customFormat="false" ht="15" hidden="false" customHeight="false" outlineLevel="0" collapsed="false">
      <c r="J205" s="7" t="n">
        <v>196</v>
      </c>
      <c r="K205" s="8" t="str">
        <f aca="false">IF(OR(Engine!$B201&lt;&gt;"",ROW()-9=COUNTA($L$10:$L$309)+1),IF(Engine!$F201="w","White","Black"),"")</f>
        <v/>
      </c>
      <c r="L205" s="9"/>
      <c r="M205" s="1" t="str">
        <f aca="false">Engine!$AF201</f>
        <v/>
      </c>
    </row>
    <row r="206" customFormat="false" ht="15" hidden="false" customHeight="false" outlineLevel="0" collapsed="false">
      <c r="J206" s="7" t="n">
        <v>197</v>
      </c>
      <c r="K206" s="8" t="str">
        <f aca="false">IF(OR(Engine!$B202&lt;&gt;"",ROW()-9=COUNTA($L$10:$L$309)+1),IF(Engine!$F202="w","White","Black"),"")</f>
        <v/>
      </c>
      <c r="L206" s="9"/>
      <c r="M206" s="1" t="str">
        <f aca="false">Engine!$AF202</f>
        <v/>
      </c>
    </row>
    <row r="207" customFormat="false" ht="15" hidden="false" customHeight="false" outlineLevel="0" collapsed="false">
      <c r="J207" s="7" t="n">
        <v>198</v>
      </c>
      <c r="K207" s="8" t="str">
        <f aca="false">IF(OR(Engine!$B203&lt;&gt;"",ROW()-9=COUNTA($L$10:$L$309)+1),IF(Engine!$F203="w","White","Black"),"")</f>
        <v/>
      </c>
      <c r="L207" s="9"/>
      <c r="M207" s="1" t="str">
        <f aca="false">Engine!$AF203</f>
        <v/>
      </c>
    </row>
    <row r="208" customFormat="false" ht="15" hidden="false" customHeight="false" outlineLevel="0" collapsed="false">
      <c r="J208" s="7" t="n">
        <v>199</v>
      </c>
      <c r="K208" s="8" t="str">
        <f aca="false">IF(OR(Engine!$B204&lt;&gt;"",ROW()-9=COUNTA($L$10:$L$309)+1),IF(Engine!$F204="w","White","Black"),"")</f>
        <v/>
      </c>
      <c r="L208" s="9"/>
      <c r="M208" s="1" t="str">
        <f aca="false">Engine!$AF204</f>
        <v/>
      </c>
    </row>
    <row r="209" customFormat="false" ht="15" hidden="false" customHeight="false" outlineLevel="0" collapsed="false">
      <c r="J209" s="7" t="n">
        <v>200</v>
      </c>
      <c r="K209" s="8" t="str">
        <f aca="false">IF(OR(Engine!$B205&lt;&gt;"",ROW()-9=COUNTA($L$10:$L$309)+1),IF(Engine!$F205="w","White","Black"),"")</f>
        <v/>
      </c>
      <c r="L209" s="9"/>
      <c r="M209" s="1" t="str">
        <f aca="false">Engine!$AF205</f>
        <v/>
      </c>
    </row>
    <row r="210" customFormat="false" ht="15" hidden="false" customHeight="false" outlineLevel="0" collapsed="false">
      <c r="J210" s="7" t="n">
        <v>201</v>
      </c>
      <c r="K210" s="8" t="str">
        <f aca="false">IF(OR(Engine!$B206&lt;&gt;"",ROW()-9=COUNTA($L$10:$L$309)+1),IF(Engine!$F206="w","White","Black"),"")</f>
        <v/>
      </c>
      <c r="L210" s="9"/>
      <c r="M210" s="1" t="str">
        <f aca="false">Engine!$AF206</f>
        <v/>
      </c>
    </row>
    <row r="211" customFormat="false" ht="15" hidden="false" customHeight="false" outlineLevel="0" collapsed="false">
      <c r="J211" s="7" t="n">
        <v>202</v>
      </c>
      <c r="K211" s="8" t="str">
        <f aca="false">IF(OR(Engine!$B207&lt;&gt;"",ROW()-9=COUNTA($L$10:$L$309)+1),IF(Engine!$F207="w","White","Black"),"")</f>
        <v/>
      </c>
      <c r="L211" s="9"/>
      <c r="M211" s="1" t="str">
        <f aca="false">Engine!$AF207</f>
        <v/>
      </c>
    </row>
    <row r="212" customFormat="false" ht="15" hidden="false" customHeight="false" outlineLevel="0" collapsed="false">
      <c r="J212" s="7" t="n">
        <v>203</v>
      </c>
      <c r="K212" s="8" t="str">
        <f aca="false">IF(OR(Engine!$B208&lt;&gt;"",ROW()-9=COUNTA($L$10:$L$309)+1),IF(Engine!$F208="w","White","Black"),"")</f>
        <v/>
      </c>
      <c r="L212" s="9"/>
      <c r="M212" s="1" t="str">
        <f aca="false">Engine!$AF208</f>
        <v/>
      </c>
    </row>
    <row r="213" customFormat="false" ht="15" hidden="false" customHeight="false" outlineLevel="0" collapsed="false">
      <c r="J213" s="7" t="n">
        <v>204</v>
      </c>
      <c r="K213" s="8" t="str">
        <f aca="false">IF(OR(Engine!$B209&lt;&gt;"",ROW()-9=COUNTA($L$10:$L$309)+1),IF(Engine!$F209="w","White","Black"),"")</f>
        <v/>
      </c>
      <c r="L213" s="9"/>
      <c r="M213" s="1" t="str">
        <f aca="false">Engine!$AF209</f>
        <v/>
      </c>
    </row>
    <row r="214" customFormat="false" ht="15" hidden="false" customHeight="false" outlineLevel="0" collapsed="false">
      <c r="J214" s="7" t="n">
        <v>205</v>
      </c>
      <c r="K214" s="8" t="str">
        <f aca="false">IF(OR(Engine!$B210&lt;&gt;"",ROW()-9=COUNTA($L$10:$L$309)+1),IF(Engine!$F210="w","White","Black"),"")</f>
        <v/>
      </c>
      <c r="L214" s="9"/>
      <c r="M214" s="1" t="str">
        <f aca="false">Engine!$AF210</f>
        <v/>
      </c>
    </row>
    <row r="215" customFormat="false" ht="15" hidden="false" customHeight="false" outlineLevel="0" collapsed="false">
      <c r="J215" s="7" t="n">
        <v>206</v>
      </c>
      <c r="K215" s="8" t="str">
        <f aca="false">IF(OR(Engine!$B211&lt;&gt;"",ROW()-9=COUNTA($L$10:$L$309)+1),IF(Engine!$F211="w","White","Black"),"")</f>
        <v/>
      </c>
      <c r="L215" s="9"/>
      <c r="M215" s="1" t="str">
        <f aca="false">Engine!$AF211</f>
        <v/>
      </c>
    </row>
    <row r="216" customFormat="false" ht="15" hidden="false" customHeight="false" outlineLevel="0" collapsed="false">
      <c r="J216" s="7" t="n">
        <v>207</v>
      </c>
      <c r="K216" s="8" t="str">
        <f aca="false">IF(OR(Engine!$B212&lt;&gt;"",ROW()-9=COUNTA($L$10:$L$309)+1),IF(Engine!$F212="w","White","Black"),"")</f>
        <v/>
      </c>
      <c r="L216" s="9"/>
      <c r="M216" s="1" t="str">
        <f aca="false">Engine!$AF212</f>
        <v/>
      </c>
    </row>
    <row r="217" customFormat="false" ht="15" hidden="false" customHeight="false" outlineLevel="0" collapsed="false">
      <c r="J217" s="7" t="n">
        <v>208</v>
      </c>
      <c r="K217" s="8" t="str">
        <f aca="false">IF(OR(Engine!$B213&lt;&gt;"",ROW()-9=COUNTA($L$10:$L$309)+1),IF(Engine!$F213="w","White","Black"),"")</f>
        <v/>
      </c>
      <c r="L217" s="9"/>
      <c r="M217" s="1" t="str">
        <f aca="false">Engine!$AF213</f>
        <v/>
      </c>
    </row>
    <row r="218" customFormat="false" ht="15" hidden="false" customHeight="false" outlineLevel="0" collapsed="false">
      <c r="J218" s="7" t="n">
        <v>209</v>
      </c>
      <c r="K218" s="8" t="str">
        <f aca="false">IF(OR(Engine!$B214&lt;&gt;"",ROW()-9=COUNTA($L$10:$L$309)+1),IF(Engine!$F214="w","White","Black"),"")</f>
        <v/>
      </c>
      <c r="L218" s="9"/>
      <c r="M218" s="1" t="str">
        <f aca="false">Engine!$AF214</f>
        <v/>
      </c>
    </row>
    <row r="219" customFormat="false" ht="15" hidden="false" customHeight="false" outlineLevel="0" collapsed="false">
      <c r="J219" s="7" t="n">
        <v>210</v>
      </c>
      <c r="K219" s="8" t="str">
        <f aca="false">IF(OR(Engine!$B215&lt;&gt;"",ROW()-9=COUNTA($L$10:$L$309)+1),IF(Engine!$F215="w","White","Black"),"")</f>
        <v/>
      </c>
      <c r="L219" s="9"/>
      <c r="M219" s="1" t="str">
        <f aca="false">Engine!$AF215</f>
        <v/>
      </c>
    </row>
    <row r="220" customFormat="false" ht="15" hidden="false" customHeight="false" outlineLevel="0" collapsed="false">
      <c r="J220" s="7" t="n">
        <v>211</v>
      </c>
      <c r="K220" s="8" t="str">
        <f aca="false">IF(OR(Engine!$B216&lt;&gt;"",ROW()-9=COUNTA($L$10:$L$309)+1),IF(Engine!$F216="w","White","Black"),"")</f>
        <v/>
      </c>
      <c r="L220" s="9"/>
      <c r="M220" s="1" t="str">
        <f aca="false">Engine!$AF216</f>
        <v/>
      </c>
    </row>
    <row r="221" customFormat="false" ht="15" hidden="false" customHeight="false" outlineLevel="0" collapsed="false">
      <c r="J221" s="7" t="n">
        <v>212</v>
      </c>
      <c r="K221" s="8" t="str">
        <f aca="false">IF(OR(Engine!$B217&lt;&gt;"",ROW()-9=COUNTA($L$10:$L$309)+1),IF(Engine!$F217="w","White","Black"),"")</f>
        <v/>
      </c>
      <c r="L221" s="9"/>
      <c r="M221" s="1" t="str">
        <f aca="false">Engine!$AF217</f>
        <v/>
      </c>
    </row>
    <row r="222" customFormat="false" ht="15" hidden="false" customHeight="false" outlineLevel="0" collapsed="false">
      <c r="J222" s="7" t="n">
        <v>213</v>
      </c>
      <c r="K222" s="8" t="str">
        <f aca="false">IF(OR(Engine!$B218&lt;&gt;"",ROW()-9=COUNTA($L$10:$L$309)+1),IF(Engine!$F218="w","White","Black"),"")</f>
        <v/>
      </c>
      <c r="L222" s="9"/>
      <c r="M222" s="1" t="str">
        <f aca="false">Engine!$AF218</f>
        <v/>
      </c>
    </row>
    <row r="223" customFormat="false" ht="15" hidden="false" customHeight="false" outlineLevel="0" collapsed="false">
      <c r="J223" s="7" t="n">
        <v>214</v>
      </c>
      <c r="K223" s="8" t="str">
        <f aca="false">IF(OR(Engine!$B219&lt;&gt;"",ROW()-9=COUNTA($L$10:$L$309)+1),IF(Engine!$F219="w","White","Black"),"")</f>
        <v/>
      </c>
      <c r="L223" s="9"/>
      <c r="M223" s="1" t="str">
        <f aca="false">Engine!$AF219</f>
        <v/>
      </c>
    </row>
    <row r="224" customFormat="false" ht="15" hidden="false" customHeight="false" outlineLevel="0" collapsed="false">
      <c r="J224" s="7" t="n">
        <v>215</v>
      </c>
      <c r="K224" s="8" t="str">
        <f aca="false">IF(OR(Engine!$B220&lt;&gt;"",ROW()-9=COUNTA($L$10:$L$309)+1),IF(Engine!$F220="w","White","Black"),"")</f>
        <v/>
      </c>
      <c r="L224" s="9"/>
      <c r="M224" s="1" t="str">
        <f aca="false">Engine!$AF220</f>
        <v/>
      </c>
    </row>
    <row r="225" customFormat="false" ht="15" hidden="false" customHeight="false" outlineLevel="0" collapsed="false">
      <c r="J225" s="7" t="n">
        <v>216</v>
      </c>
      <c r="K225" s="8" t="str">
        <f aca="false">IF(OR(Engine!$B221&lt;&gt;"",ROW()-9=COUNTA($L$10:$L$309)+1),IF(Engine!$F221="w","White","Black"),"")</f>
        <v/>
      </c>
      <c r="L225" s="9"/>
      <c r="M225" s="1" t="str">
        <f aca="false">Engine!$AF221</f>
        <v/>
      </c>
    </row>
    <row r="226" customFormat="false" ht="15" hidden="false" customHeight="false" outlineLevel="0" collapsed="false">
      <c r="J226" s="7" t="n">
        <v>217</v>
      </c>
      <c r="K226" s="8" t="str">
        <f aca="false">IF(OR(Engine!$B222&lt;&gt;"",ROW()-9=COUNTA($L$10:$L$309)+1),IF(Engine!$F222="w","White","Black"),"")</f>
        <v/>
      </c>
      <c r="L226" s="9"/>
      <c r="M226" s="1" t="str">
        <f aca="false">Engine!$AF222</f>
        <v/>
      </c>
    </row>
    <row r="227" customFormat="false" ht="15" hidden="false" customHeight="false" outlineLevel="0" collapsed="false">
      <c r="J227" s="7" t="n">
        <v>218</v>
      </c>
      <c r="K227" s="8" t="str">
        <f aca="false">IF(OR(Engine!$B223&lt;&gt;"",ROW()-9=COUNTA($L$10:$L$309)+1),IF(Engine!$F223="w","White","Black"),"")</f>
        <v/>
      </c>
      <c r="L227" s="9"/>
      <c r="M227" s="1" t="str">
        <f aca="false">Engine!$AF223</f>
        <v/>
      </c>
    </row>
    <row r="228" customFormat="false" ht="15" hidden="false" customHeight="false" outlineLevel="0" collapsed="false">
      <c r="J228" s="7" t="n">
        <v>219</v>
      </c>
      <c r="K228" s="8" t="str">
        <f aca="false">IF(OR(Engine!$B224&lt;&gt;"",ROW()-9=COUNTA($L$10:$L$309)+1),IF(Engine!$F224="w","White","Black"),"")</f>
        <v/>
      </c>
      <c r="L228" s="9"/>
      <c r="M228" s="1" t="str">
        <f aca="false">Engine!$AF224</f>
        <v/>
      </c>
    </row>
    <row r="229" customFormat="false" ht="15" hidden="false" customHeight="false" outlineLevel="0" collapsed="false">
      <c r="J229" s="7" t="n">
        <v>220</v>
      </c>
      <c r="K229" s="8" t="str">
        <f aca="false">IF(OR(Engine!$B225&lt;&gt;"",ROW()-9=COUNTA($L$10:$L$309)+1),IF(Engine!$F225="w","White","Black"),"")</f>
        <v/>
      </c>
      <c r="L229" s="9"/>
      <c r="M229" s="1" t="str">
        <f aca="false">Engine!$AF225</f>
        <v/>
      </c>
    </row>
    <row r="230" customFormat="false" ht="15" hidden="false" customHeight="false" outlineLevel="0" collapsed="false">
      <c r="J230" s="7" t="n">
        <v>221</v>
      </c>
      <c r="K230" s="8" t="str">
        <f aca="false">IF(OR(Engine!$B226&lt;&gt;"",ROW()-9=COUNTA($L$10:$L$309)+1),IF(Engine!$F226="w","White","Black"),"")</f>
        <v/>
      </c>
      <c r="L230" s="9"/>
      <c r="M230" s="1" t="str">
        <f aca="false">Engine!$AF226</f>
        <v/>
      </c>
    </row>
    <row r="231" customFormat="false" ht="15" hidden="false" customHeight="false" outlineLevel="0" collapsed="false">
      <c r="J231" s="7" t="n">
        <v>222</v>
      </c>
      <c r="K231" s="8" t="str">
        <f aca="false">IF(OR(Engine!$B227&lt;&gt;"",ROW()-9=COUNTA($L$10:$L$309)+1),IF(Engine!$F227="w","White","Black"),"")</f>
        <v/>
      </c>
      <c r="L231" s="9"/>
      <c r="M231" s="1" t="str">
        <f aca="false">Engine!$AF227</f>
        <v/>
      </c>
    </row>
    <row r="232" customFormat="false" ht="15" hidden="false" customHeight="false" outlineLevel="0" collapsed="false">
      <c r="J232" s="7" t="n">
        <v>223</v>
      </c>
      <c r="K232" s="8" t="str">
        <f aca="false">IF(OR(Engine!$B228&lt;&gt;"",ROW()-9=COUNTA($L$10:$L$309)+1),IF(Engine!$F228="w","White","Black"),"")</f>
        <v/>
      </c>
      <c r="L232" s="9"/>
      <c r="M232" s="1" t="str">
        <f aca="false">Engine!$AF228</f>
        <v/>
      </c>
    </row>
    <row r="233" customFormat="false" ht="15" hidden="false" customHeight="false" outlineLevel="0" collapsed="false">
      <c r="J233" s="7" t="n">
        <v>224</v>
      </c>
      <c r="K233" s="8" t="str">
        <f aca="false">IF(OR(Engine!$B229&lt;&gt;"",ROW()-9=COUNTA($L$10:$L$309)+1),IF(Engine!$F229="w","White","Black"),"")</f>
        <v/>
      </c>
      <c r="L233" s="9"/>
      <c r="M233" s="1" t="str">
        <f aca="false">Engine!$AF229</f>
        <v/>
      </c>
    </row>
    <row r="234" customFormat="false" ht="15" hidden="false" customHeight="false" outlineLevel="0" collapsed="false">
      <c r="J234" s="7" t="n">
        <v>225</v>
      </c>
      <c r="K234" s="8" t="str">
        <f aca="false">IF(OR(Engine!$B230&lt;&gt;"",ROW()-9=COUNTA($L$10:$L$309)+1),IF(Engine!$F230="w","White","Black"),"")</f>
        <v/>
      </c>
      <c r="L234" s="9"/>
      <c r="M234" s="1" t="str">
        <f aca="false">Engine!$AF230</f>
        <v/>
      </c>
    </row>
    <row r="235" customFormat="false" ht="15" hidden="false" customHeight="false" outlineLevel="0" collapsed="false">
      <c r="J235" s="7" t="n">
        <v>226</v>
      </c>
      <c r="K235" s="8" t="str">
        <f aca="false">IF(OR(Engine!$B231&lt;&gt;"",ROW()-9=COUNTA($L$10:$L$309)+1),IF(Engine!$F231="w","White","Black"),"")</f>
        <v/>
      </c>
      <c r="L235" s="9"/>
      <c r="M235" s="1" t="str">
        <f aca="false">Engine!$AF231</f>
        <v/>
      </c>
    </row>
    <row r="236" customFormat="false" ht="15" hidden="false" customHeight="false" outlineLevel="0" collapsed="false">
      <c r="J236" s="7" t="n">
        <v>227</v>
      </c>
      <c r="K236" s="8" t="str">
        <f aca="false">IF(OR(Engine!$B232&lt;&gt;"",ROW()-9=COUNTA($L$10:$L$309)+1),IF(Engine!$F232="w","White","Black"),"")</f>
        <v/>
      </c>
      <c r="L236" s="9"/>
      <c r="M236" s="1" t="str">
        <f aca="false">Engine!$AF232</f>
        <v/>
      </c>
    </row>
    <row r="237" customFormat="false" ht="15" hidden="false" customHeight="false" outlineLevel="0" collapsed="false">
      <c r="J237" s="7" t="n">
        <v>228</v>
      </c>
      <c r="K237" s="8" t="str">
        <f aca="false">IF(OR(Engine!$B233&lt;&gt;"",ROW()-9=COUNTA($L$10:$L$309)+1),IF(Engine!$F233="w","White","Black"),"")</f>
        <v/>
      </c>
      <c r="L237" s="9"/>
      <c r="M237" s="1" t="str">
        <f aca="false">Engine!$AF233</f>
        <v/>
      </c>
    </row>
    <row r="238" customFormat="false" ht="15" hidden="false" customHeight="false" outlineLevel="0" collapsed="false">
      <c r="J238" s="7" t="n">
        <v>229</v>
      </c>
      <c r="K238" s="8" t="str">
        <f aca="false">IF(OR(Engine!$B234&lt;&gt;"",ROW()-9=COUNTA($L$10:$L$309)+1),IF(Engine!$F234="w","White","Black"),"")</f>
        <v/>
      </c>
      <c r="L238" s="9"/>
      <c r="M238" s="1" t="str">
        <f aca="false">Engine!$AF234</f>
        <v/>
      </c>
    </row>
    <row r="239" customFormat="false" ht="15" hidden="false" customHeight="false" outlineLevel="0" collapsed="false">
      <c r="J239" s="7" t="n">
        <v>230</v>
      </c>
      <c r="K239" s="8" t="str">
        <f aca="false">IF(OR(Engine!$B235&lt;&gt;"",ROW()-9=COUNTA($L$10:$L$309)+1),IF(Engine!$F235="w","White","Black"),"")</f>
        <v/>
      </c>
      <c r="L239" s="9"/>
      <c r="M239" s="1" t="str">
        <f aca="false">Engine!$AF235</f>
        <v/>
      </c>
    </row>
    <row r="240" customFormat="false" ht="15" hidden="false" customHeight="false" outlineLevel="0" collapsed="false">
      <c r="J240" s="7" t="n">
        <v>231</v>
      </c>
      <c r="K240" s="8" t="str">
        <f aca="false">IF(OR(Engine!$B236&lt;&gt;"",ROW()-9=COUNTA($L$10:$L$309)+1),IF(Engine!$F236="w","White","Black"),"")</f>
        <v/>
      </c>
      <c r="L240" s="9"/>
      <c r="M240" s="1" t="str">
        <f aca="false">Engine!$AF236</f>
        <v/>
      </c>
    </row>
    <row r="241" customFormat="false" ht="15" hidden="false" customHeight="false" outlineLevel="0" collapsed="false">
      <c r="J241" s="7" t="n">
        <v>232</v>
      </c>
      <c r="K241" s="8" t="str">
        <f aca="false">IF(OR(Engine!$B237&lt;&gt;"",ROW()-9=COUNTA($L$10:$L$309)+1),IF(Engine!$F237="w","White","Black"),"")</f>
        <v/>
      </c>
      <c r="L241" s="9"/>
      <c r="M241" s="1" t="str">
        <f aca="false">Engine!$AF237</f>
        <v/>
      </c>
    </row>
    <row r="242" customFormat="false" ht="15" hidden="false" customHeight="false" outlineLevel="0" collapsed="false">
      <c r="J242" s="7" t="n">
        <v>233</v>
      </c>
      <c r="K242" s="8" t="str">
        <f aca="false">IF(OR(Engine!$B238&lt;&gt;"",ROW()-9=COUNTA($L$10:$L$309)+1),IF(Engine!$F238="w","White","Black"),"")</f>
        <v/>
      </c>
      <c r="L242" s="9"/>
      <c r="M242" s="1" t="str">
        <f aca="false">Engine!$AF238</f>
        <v/>
      </c>
    </row>
    <row r="243" customFormat="false" ht="15" hidden="false" customHeight="false" outlineLevel="0" collapsed="false">
      <c r="J243" s="7" t="n">
        <v>234</v>
      </c>
      <c r="K243" s="8" t="str">
        <f aca="false">IF(OR(Engine!$B239&lt;&gt;"",ROW()-9=COUNTA($L$10:$L$309)+1),IF(Engine!$F239="w","White","Black"),"")</f>
        <v/>
      </c>
      <c r="L243" s="9"/>
      <c r="M243" s="1" t="str">
        <f aca="false">Engine!$AF239</f>
        <v/>
      </c>
    </row>
    <row r="244" customFormat="false" ht="15" hidden="false" customHeight="false" outlineLevel="0" collapsed="false">
      <c r="J244" s="7" t="n">
        <v>235</v>
      </c>
      <c r="K244" s="8" t="str">
        <f aca="false">IF(OR(Engine!$B240&lt;&gt;"",ROW()-9=COUNTA($L$10:$L$309)+1),IF(Engine!$F240="w","White","Black"),"")</f>
        <v/>
      </c>
      <c r="L244" s="9"/>
      <c r="M244" s="1" t="str">
        <f aca="false">Engine!$AF240</f>
        <v/>
      </c>
    </row>
    <row r="245" customFormat="false" ht="15" hidden="false" customHeight="false" outlineLevel="0" collapsed="false">
      <c r="J245" s="7" t="n">
        <v>236</v>
      </c>
      <c r="K245" s="8" t="str">
        <f aca="false">IF(OR(Engine!$B241&lt;&gt;"",ROW()-9=COUNTA($L$10:$L$309)+1),IF(Engine!$F241="w","White","Black"),"")</f>
        <v/>
      </c>
      <c r="L245" s="9"/>
      <c r="M245" s="1" t="str">
        <f aca="false">Engine!$AF241</f>
        <v/>
      </c>
    </row>
    <row r="246" customFormat="false" ht="15" hidden="false" customHeight="false" outlineLevel="0" collapsed="false">
      <c r="J246" s="7" t="n">
        <v>237</v>
      </c>
      <c r="K246" s="8" t="str">
        <f aca="false">IF(OR(Engine!$B242&lt;&gt;"",ROW()-9=COUNTA($L$10:$L$309)+1),IF(Engine!$F242="w","White","Black"),"")</f>
        <v/>
      </c>
      <c r="L246" s="9"/>
      <c r="M246" s="1" t="str">
        <f aca="false">Engine!$AF242</f>
        <v/>
      </c>
    </row>
    <row r="247" customFormat="false" ht="15" hidden="false" customHeight="false" outlineLevel="0" collapsed="false">
      <c r="J247" s="7" t="n">
        <v>238</v>
      </c>
      <c r="K247" s="8" t="str">
        <f aca="false">IF(OR(Engine!$B243&lt;&gt;"",ROW()-9=COUNTA($L$10:$L$309)+1),IF(Engine!$F243="w","White","Black"),"")</f>
        <v/>
      </c>
      <c r="L247" s="9"/>
      <c r="M247" s="1" t="str">
        <f aca="false">Engine!$AF243</f>
        <v/>
      </c>
    </row>
    <row r="248" customFormat="false" ht="15" hidden="false" customHeight="false" outlineLevel="0" collapsed="false">
      <c r="J248" s="7" t="n">
        <v>239</v>
      </c>
      <c r="K248" s="8" t="str">
        <f aca="false">IF(OR(Engine!$B244&lt;&gt;"",ROW()-9=COUNTA($L$10:$L$309)+1),IF(Engine!$F244="w","White","Black"),"")</f>
        <v/>
      </c>
      <c r="L248" s="9"/>
      <c r="M248" s="1" t="str">
        <f aca="false">Engine!$AF244</f>
        <v/>
      </c>
    </row>
    <row r="249" customFormat="false" ht="15" hidden="false" customHeight="false" outlineLevel="0" collapsed="false">
      <c r="J249" s="7" t="n">
        <v>240</v>
      </c>
      <c r="K249" s="8" t="str">
        <f aca="false">IF(OR(Engine!$B245&lt;&gt;"",ROW()-9=COUNTA($L$10:$L$309)+1),IF(Engine!$F245="w","White","Black"),"")</f>
        <v/>
      </c>
      <c r="L249" s="9"/>
      <c r="M249" s="1" t="str">
        <f aca="false">Engine!$AF245</f>
        <v/>
      </c>
    </row>
    <row r="250" customFormat="false" ht="15" hidden="false" customHeight="false" outlineLevel="0" collapsed="false">
      <c r="J250" s="7" t="n">
        <v>241</v>
      </c>
      <c r="K250" s="8" t="str">
        <f aca="false">IF(OR(Engine!$B246&lt;&gt;"",ROW()-9=COUNTA($L$10:$L$309)+1),IF(Engine!$F246="w","White","Black"),"")</f>
        <v/>
      </c>
      <c r="L250" s="9"/>
      <c r="M250" s="1" t="str">
        <f aca="false">Engine!$AF246</f>
        <v/>
      </c>
    </row>
    <row r="251" customFormat="false" ht="15" hidden="false" customHeight="false" outlineLevel="0" collapsed="false">
      <c r="J251" s="7" t="n">
        <v>242</v>
      </c>
      <c r="K251" s="8" t="str">
        <f aca="false">IF(OR(Engine!$B247&lt;&gt;"",ROW()-9=COUNTA($L$10:$L$309)+1),IF(Engine!$F247="w","White","Black"),"")</f>
        <v/>
      </c>
      <c r="L251" s="9"/>
      <c r="M251" s="1" t="str">
        <f aca="false">Engine!$AF247</f>
        <v/>
      </c>
    </row>
    <row r="252" customFormat="false" ht="15" hidden="false" customHeight="false" outlineLevel="0" collapsed="false">
      <c r="J252" s="7" t="n">
        <v>243</v>
      </c>
      <c r="K252" s="8" t="str">
        <f aca="false">IF(OR(Engine!$B248&lt;&gt;"",ROW()-9=COUNTA($L$10:$L$309)+1),IF(Engine!$F248="w","White","Black"),"")</f>
        <v/>
      </c>
      <c r="L252" s="9"/>
      <c r="M252" s="1" t="str">
        <f aca="false">Engine!$AF248</f>
        <v/>
      </c>
    </row>
    <row r="253" customFormat="false" ht="15" hidden="false" customHeight="false" outlineLevel="0" collapsed="false">
      <c r="J253" s="7" t="n">
        <v>244</v>
      </c>
      <c r="K253" s="8" t="str">
        <f aca="false">IF(OR(Engine!$B249&lt;&gt;"",ROW()-9=COUNTA($L$10:$L$309)+1),IF(Engine!$F249="w","White","Black"),"")</f>
        <v/>
      </c>
      <c r="L253" s="9"/>
      <c r="M253" s="1" t="str">
        <f aca="false">Engine!$AF249</f>
        <v/>
      </c>
    </row>
    <row r="254" customFormat="false" ht="15" hidden="false" customHeight="false" outlineLevel="0" collapsed="false">
      <c r="J254" s="7" t="n">
        <v>245</v>
      </c>
      <c r="K254" s="8" t="str">
        <f aca="false">IF(OR(Engine!$B250&lt;&gt;"",ROW()-9=COUNTA($L$10:$L$309)+1),IF(Engine!$F250="w","White","Black"),"")</f>
        <v/>
      </c>
      <c r="L254" s="9"/>
      <c r="M254" s="1" t="str">
        <f aca="false">Engine!$AF250</f>
        <v/>
      </c>
    </row>
    <row r="255" customFormat="false" ht="15" hidden="false" customHeight="false" outlineLevel="0" collapsed="false">
      <c r="J255" s="7" t="n">
        <v>246</v>
      </c>
      <c r="K255" s="8" t="str">
        <f aca="false">IF(OR(Engine!$B251&lt;&gt;"",ROW()-9=COUNTA($L$10:$L$309)+1),IF(Engine!$F251="w","White","Black"),"")</f>
        <v/>
      </c>
      <c r="L255" s="9"/>
      <c r="M255" s="1" t="str">
        <f aca="false">Engine!$AF251</f>
        <v/>
      </c>
    </row>
    <row r="256" customFormat="false" ht="15" hidden="false" customHeight="false" outlineLevel="0" collapsed="false">
      <c r="J256" s="7" t="n">
        <v>247</v>
      </c>
      <c r="K256" s="8" t="str">
        <f aca="false">IF(OR(Engine!$B252&lt;&gt;"",ROW()-9=COUNTA($L$10:$L$309)+1),IF(Engine!$F252="w","White","Black"),"")</f>
        <v/>
      </c>
      <c r="L256" s="9"/>
      <c r="M256" s="1" t="str">
        <f aca="false">Engine!$AF252</f>
        <v/>
      </c>
    </row>
    <row r="257" customFormat="false" ht="15" hidden="false" customHeight="false" outlineLevel="0" collapsed="false">
      <c r="J257" s="7" t="n">
        <v>248</v>
      </c>
      <c r="K257" s="8" t="str">
        <f aca="false">IF(OR(Engine!$B253&lt;&gt;"",ROW()-9=COUNTA($L$10:$L$309)+1),IF(Engine!$F253="w","White","Black"),"")</f>
        <v/>
      </c>
      <c r="L257" s="9"/>
      <c r="M257" s="1" t="str">
        <f aca="false">Engine!$AF253</f>
        <v/>
      </c>
    </row>
    <row r="258" customFormat="false" ht="15" hidden="false" customHeight="false" outlineLevel="0" collapsed="false">
      <c r="J258" s="7" t="n">
        <v>249</v>
      </c>
      <c r="K258" s="8" t="str">
        <f aca="false">IF(OR(Engine!$B254&lt;&gt;"",ROW()-9=COUNTA($L$10:$L$309)+1),IF(Engine!$F254="w","White","Black"),"")</f>
        <v/>
      </c>
      <c r="L258" s="9"/>
      <c r="M258" s="1" t="str">
        <f aca="false">Engine!$AF254</f>
        <v/>
      </c>
    </row>
    <row r="259" customFormat="false" ht="15" hidden="false" customHeight="false" outlineLevel="0" collapsed="false">
      <c r="J259" s="7" t="n">
        <v>250</v>
      </c>
      <c r="K259" s="8" t="str">
        <f aca="false">IF(OR(Engine!$B255&lt;&gt;"",ROW()-9=COUNTA($L$10:$L$309)+1),IF(Engine!$F255="w","White","Black"),"")</f>
        <v/>
      </c>
      <c r="L259" s="9"/>
      <c r="M259" s="1" t="str">
        <f aca="false">Engine!$AF255</f>
        <v/>
      </c>
    </row>
    <row r="260" customFormat="false" ht="15" hidden="false" customHeight="false" outlineLevel="0" collapsed="false">
      <c r="J260" s="7" t="n">
        <v>251</v>
      </c>
      <c r="K260" s="8" t="str">
        <f aca="false">IF(OR(Engine!$B256&lt;&gt;"",ROW()-9=COUNTA($L$10:$L$309)+1),IF(Engine!$F256="w","White","Black"),"")</f>
        <v/>
      </c>
      <c r="L260" s="9"/>
      <c r="M260" s="1" t="str">
        <f aca="false">Engine!$AF256</f>
        <v/>
      </c>
    </row>
    <row r="261" customFormat="false" ht="15" hidden="false" customHeight="false" outlineLevel="0" collapsed="false">
      <c r="J261" s="7" t="n">
        <v>252</v>
      </c>
      <c r="K261" s="8" t="str">
        <f aca="false">IF(OR(Engine!$B257&lt;&gt;"",ROW()-9=COUNTA($L$10:$L$309)+1),IF(Engine!$F257="w","White","Black"),"")</f>
        <v/>
      </c>
      <c r="L261" s="9"/>
      <c r="M261" s="1" t="str">
        <f aca="false">Engine!$AF257</f>
        <v/>
      </c>
    </row>
    <row r="262" customFormat="false" ht="15" hidden="false" customHeight="false" outlineLevel="0" collapsed="false">
      <c r="J262" s="7" t="n">
        <v>253</v>
      </c>
      <c r="K262" s="8" t="str">
        <f aca="false">IF(OR(Engine!$B258&lt;&gt;"",ROW()-9=COUNTA($L$10:$L$309)+1),IF(Engine!$F258="w","White","Black"),"")</f>
        <v/>
      </c>
      <c r="L262" s="9"/>
      <c r="M262" s="1" t="str">
        <f aca="false">Engine!$AF258</f>
        <v/>
      </c>
    </row>
    <row r="263" customFormat="false" ht="15" hidden="false" customHeight="false" outlineLevel="0" collapsed="false">
      <c r="J263" s="7" t="n">
        <v>254</v>
      </c>
      <c r="K263" s="8" t="str">
        <f aca="false">IF(OR(Engine!$B259&lt;&gt;"",ROW()-9=COUNTA($L$10:$L$309)+1),IF(Engine!$F259="w","White","Black"),"")</f>
        <v/>
      </c>
      <c r="L263" s="9"/>
      <c r="M263" s="1" t="str">
        <f aca="false">Engine!$AF259</f>
        <v/>
      </c>
    </row>
    <row r="264" customFormat="false" ht="15" hidden="false" customHeight="false" outlineLevel="0" collapsed="false">
      <c r="J264" s="7" t="n">
        <v>255</v>
      </c>
      <c r="K264" s="8" t="str">
        <f aca="false">IF(OR(Engine!$B260&lt;&gt;"",ROW()-9=COUNTA($L$10:$L$309)+1),IF(Engine!$F260="w","White","Black"),"")</f>
        <v/>
      </c>
      <c r="L264" s="9"/>
      <c r="M264" s="1" t="str">
        <f aca="false">Engine!$AF260</f>
        <v/>
      </c>
    </row>
    <row r="265" customFormat="false" ht="15" hidden="false" customHeight="false" outlineLevel="0" collapsed="false">
      <c r="J265" s="7" t="n">
        <v>256</v>
      </c>
      <c r="K265" s="8" t="str">
        <f aca="false">IF(OR(Engine!$B261&lt;&gt;"",ROW()-9=COUNTA($L$10:$L$309)+1),IF(Engine!$F261="w","White","Black"),"")</f>
        <v/>
      </c>
      <c r="L265" s="9"/>
      <c r="M265" s="1" t="str">
        <f aca="false">Engine!$AF261</f>
        <v/>
      </c>
    </row>
    <row r="266" customFormat="false" ht="15" hidden="false" customHeight="false" outlineLevel="0" collapsed="false">
      <c r="J266" s="7" t="n">
        <v>257</v>
      </c>
      <c r="K266" s="8" t="str">
        <f aca="false">IF(OR(Engine!$B262&lt;&gt;"",ROW()-9=COUNTA($L$10:$L$309)+1),IF(Engine!$F262="w","White","Black"),"")</f>
        <v/>
      </c>
      <c r="L266" s="9"/>
      <c r="M266" s="1" t="str">
        <f aca="false">Engine!$AF262</f>
        <v/>
      </c>
    </row>
    <row r="267" customFormat="false" ht="15" hidden="false" customHeight="false" outlineLevel="0" collapsed="false">
      <c r="J267" s="7" t="n">
        <v>258</v>
      </c>
      <c r="K267" s="8" t="str">
        <f aca="false">IF(OR(Engine!$B263&lt;&gt;"",ROW()-9=COUNTA($L$10:$L$309)+1),IF(Engine!$F263="w","White","Black"),"")</f>
        <v/>
      </c>
      <c r="L267" s="9"/>
      <c r="M267" s="1" t="str">
        <f aca="false">Engine!$AF263</f>
        <v/>
      </c>
    </row>
    <row r="268" customFormat="false" ht="15" hidden="false" customHeight="false" outlineLevel="0" collapsed="false">
      <c r="J268" s="7" t="n">
        <v>259</v>
      </c>
      <c r="K268" s="8" t="str">
        <f aca="false">IF(OR(Engine!$B264&lt;&gt;"",ROW()-9=COUNTA($L$10:$L$309)+1),IF(Engine!$F264="w","White","Black"),"")</f>
        <v/>
      </c>
      <c r="L268" s="9"/>
      <c r="M268" s="1" t="str">
        <f aca="false">Engine!$AF264</f>
        <v/>
      </c>
    </row>
    <row r="269" customFormat="false" ht="15" hidden="false" customHeight="false" outlineLevel="0" collapsed="false">
      <c r="J269" s="7" t="n">
        <v>260</v>
      </c>
      <c r="K269" s="8" t="str">
        <f aca="false">IF(OR(Engine!$B265&lt;&gt;"",ROW()-9=COUNTA($L$10:$L$309)+1),IF(Engine!$F265="w","White","Black"),"")</f>
        <v/>
      </c>
      <c r="L269" s="9"/>
      <c r="M269" s="1" t="str">
        <f aca="false">Engine!$AF265</f>
        <v/>
      </c>
    </row>
    <row r="270" customFormat="false" ht="15" hidden="false" customHeight="false" outlineLevel="0" collapsed="false">
      <c r="J270" s="7" t="n">
        <v>261</v>
      </c>
      <c r="K270" s="8" t="str">
        <f aca="false">IF(OR(Engine!$B266&lt;&gt;"",ROW()-9=COUNTA($L$10:$L$309)+1),IF(Engine!$F266="w","White","Black"),"")</f>
        <v/>
      </c>
      <c r="L270" s="9"/>
      <c r="M270" s="1" t="str">
        <f aca="false">Engine!$AF266</f>
        <v/>
      </c>
    </row>
    <row r="271" customFormat="false" ht="15" hidden="false" customHeight="false" outlineLevel="0" collapsed="false">
      <c r="J271" s="7" t="n">
        <v>262</v>
      </c>
      <c r="K271" s="8" t="str">
        <f aca="false">IF(OR(Engine!$B267&lt;&gt;"",ROW()-9=COUNTA($L$10:$L$309)+1),IF(Engine!$F267="w","White","Black"),"")</f>
        <v/>
      </c>
      <c r="L271" s="9"/>
      <c r="M271" s="1" t="str">
        <f aca="false">Engine!$AF267</f>
        <v/>
      </c>
    </row>
    <row r="272" customFormat="false" ht="15" hidden="false" customHeight="false" outlineLevel="0" collapsed="false">
      <c r="J272" s="7" t="n">
        <v>263</v>
      </c>
      <c r="K272" s="8" t="str">
        <f aca="false">IF(OR(Engine!$B268&lt;&gt;"",ROW()-9=COUNTA($L$10:$L$309)+1),IF(Engine!$F268="w","White","Black"),"")</f>
        <v/>
      </c>
      <c r="L272" s="9"/>
      <c r="M272" s="1" t="str">
        <f aca="false">Engine!$AF268</f>
        <v/>
      </c>
    </row>
    <row r="273" customFormat="false" ht="15" hidden="false" customHeight="false" outlineLevel="0" collapsed="false">
      <c r="J273" s="7" t="n">
        <v>264</v>
      </c>
      <c r="K273" s="8" t="str">
        <f aca="false">IF(OR(Engine!$B269&lt;&gt;"",ROW()-9=COUNTA($L$10:$L$309)+1),IF(Engine!$F269="w","White","Black"),"")</f>
        <v/>
      </c>
      <c r="L273" s="9"/>
      <c r="M273" s="1" t="str">
        <f aca="false">Engine!$AF269</f>
        <v/>
      </c>
    </row>
    <row r="274" customFormat="false" ht="15" hidden="false" customHeight="false" outlineLevel="0" collapsed="false">
      <c r="J274" s="7" t="n">
        <v>265</v>
      </c>
      <c r="K274" s="8" t="str">
        <f aca="false">IF(OR(Engine!$B270&lt;&gt;"",ROW()-9=COUNTA($L$10:$L$309)+1),IF(Engine!$F270="w","White","Black"),"")</f>
        <v/>
      </c>
      <c r="L274" s="9"/>
      <c r="M274" s="1" t="str">
        <f aca="false">Engine!$AF270</f>
        <v/>
      </c>
    </row>
    <row r="275" customFormat="false" ht="15" hidden="false" customHeight="false" outlineLevel="0" collapsed="false">
      <c r="J275" s="7" t="n">
        <v>266</v>
      </c>
      <c r="K275" s="8" t="str">
        <f aca="false">IF(OR(Engine!$B271&lt;&gt;"",ROW()-9=COUNTA($L$10:$L$309)+1),IF(Engine!$F271="w","White","Black"),"")</f>
        <v/>
      </c>
      <c r="L275" s="9"/>
      <c r="M275" s="1" t="str">
        <f aca="false">Engine!$AF271</f>
        <v/>
      </c>
    </row>
    <row r="276" customFormat="false" ht="15" hidden="false" customHeight="false" outlineLevel="0" collapsed="false">
      <c r="J276" s="7" t="n">
        <v>267</v>
      </c>
      <c r="K276" s="8" t="str">
        <f aca="false">IF(OR(Engine!$B272&lt;&gt;"",ROW()-9=COUNTA($L$10:$L$309)+1),IF(Engine!$F272="w","White","Black"),"")</f>
        <v/>
      </c>
      <c r="L276" s="9"/>
      <c r="M276" s="1" t="str">
        <f aca="false">Engine!$AF272</f>
        <v/>
      </c>
    </row>
    <row r="277" customFormat="false" ht="15" hidden="false" customHeight="false" outlineLevel="0" collapsed="false">
      <c r="J277" s="7" t="n">
        <v>268</v>
      </c>
      <c r="K277" s="8" t="str">
        <f aca="false">IF(OR(Engine!$B273&lt;&gt;"",ROW()-9=COUNTA($L$10:$L$309)+1),IF(Engine!$F273="w","White","Black"),"")</f>
        <v/>
      </c>
      <c r="L277" s="9"/>
      <c r="M277" s="1" t="str">
        <f aca="false">Engine!$AF273</f>
        <v/>
      </c>
    </row>
    <row r="278" customFormat="false" ht="15" hidden="false" customHeight="false" outlineLevel="0" collapsed="false">
      <c r="J278" s="7" t="n">
        <v>269</v>
      </c>
      <c r="K278" s="8" t="str">
        <f aca="false">IF(OR(Engine!$B274&lt;&gt;"",ROW()-9=COUNTA($L$10:$L$309)+1),IF(Engine!$F274="w","White","Black"),"")</f>
        <v/>
      </c>
      <c r="L278" s="9"/>
      <c r="M278" s="1" t="str">
        <f aca="false">Engine!$AF274</f>
        <v/>
      </c>
    </row>
    <row r="279" customFormat="false" ht="15" hidden="false" customHeight="false" outlineLevel="0" collapsed="false">
      <c r="J279" s="7" t="n">
        <v>270</v>
      </c>
      <c r="K279" s="8" t="str">
        <f aca="false">IF(OR(Engine!$B275&lt;&gt;"",ROW()-9=COUNTA($L$10:$L$309)+1),IF(Engine!$F275="w","White","Black"),"")</f>
        <v/>
      </c>
      <c r="L279" s="9"/>
      <c r="M279" s="1" t="str">
        <f aca="false">Engine!$AF275</f>
        <v/>
      </c>
    </row>
    <row r="280" customFormat="false" ht="15" hidden="false" customHeight="false" outlineLevel="0" collapsed="false">
      <c r="J280" s="7" t="n">
        <v>271</v>
      </c>
      <c r="K280" s="8" t="str">
        <f aca="false">IF(OR(Engine!$B276&lt;&gt;"",ROW()-9=COUNTA($L$10:$L$309)+1),IF(Engine!$F276="w","White","Black"),"")</f>
        <v/>
      </c>
      <c r="L280" s="9"/>
      <c r="M280" s="1" t="str">
        <f aca="false">Engine!$AF276</f>
        <v/>
      </c>
    </row>
    <row r="281" customFormat="false" ht="15" hidden="false" customHeight="false" outlineLevel="0" collapsed="false">
      <c r="J281" s="7" t="n">
        <v>272</v>
      </c>
      <c r="K281" s="8" t="str">
        <f aca="false">IF(OR(Engine!$B277&lt;&gt;"",ROW()-9=COUNTA($L$10:$L$309)+1),IF(Engine!$F277="w","White","Black"),"")</f>
        <v/>
      </c>
      <c r="L281" s="9"/>
      <c r="M281" s="1" t="str">
        <f aca="false">Engine!$AF277</f>
        <v/>
      </c>
    </row>
    <row r="282" customFormat="false" ht="15" hidden="false" customHeight="false" outlineLevel="0" collapsed="false">
      <c r="J282" s="7" t="n">
        <v>273</v>
      </c>
      <c r="K282" s="8" t="str">
        <f aca="false">IF(OR(Engine!$B278&lt;&gt;"",ROW()-9=COUNTA($L$10:$L$309)+1),IF(Engine!$F278="w","White","Black"),"")</f>
        <v/>
      </c>
      <c r="L282" s="9"/>
      <c r="M282" s="1" t="str">
        <f aca="false">Engine!$AF278</f>
        <v/>
      </c>
    </row>
    <row r="283" customFormat="false" ht="15" hidden="false" customHeight="false" outlineLevel="0" collapsed="false">
      <c r="J283" s="7" t="n">
        <v>274</v>
      </c>
      <c r="K283" s="8" t="str">
        <f aca="false">IF(OR(Engine!$B279&lt;&gt;"",ROW()-9=COUNTA($L$10:$L$309)+1),IF(Engine!$F279="w","White","Black"),"")</f>
        <v/>
      </c>
      <c r="L283" s="9"/>
      <c r="M283" s="1" t="str">
        <f aca="false">Engine!$AF279</f>
        <v/>
      </c>
    </row>
    <row r="284" customFormat="false" ht="15" hidden="false" customHeight="false" outlineLevel="0" collapsed="false">
      <c r="J284" s="7" t="n">
        <v>275</v>
      </c>
      <c r="K284" s="8" t="str">
        <f aca="false">IF(OR(Engine!$B280&lt;&gt;"",ROW()-9=COUNTA($L$10:$L$309)+1),IF(Engine!$F280="w","White","Black"),"")</f>
        <v/>
      </c>
      <c r="L284" s="9"/>
      <c r="M284" s="1" t="str">
        <f aca="false">Engine!$AF280</f>
        <v/>
      </c>
    </row>
    <row r="285" customFormat="false" ht="15" hidden="false" customHeight="false" outlineLevel="0" collapsed="false">
      <c r="J285" s="7" t="n">
        <v>276</v>
      </c>
      <c r="K285" s="8" t="str">
        <f aca="false">IF(OR(Engine!$B281&lt;&gt;"",ROW()-9=COUNTA($L$10:$L$309)+1),IF(Engine!$F281="w","White","Black"),"")</f>
        <v/>
      </c>
      <c r="L285" s="9"/>
      <c r="M285" s="1" t="str">
        <f aca="false">Engine!$AF281</f>
        <v/>
      </c>
    </row>
    <row r="286" customFormat="false" ht="15" hidden="false" customHeight="false" outlineLevel="0" collapsed="false">
      <c r="J286" s="7" t="n">
        <v>277</v>
      </c>
      <c r="K286" s="8" t="str">
        <f aca="false">IF(OR(Engine!$B282&lt;&gt;"",ROW()-9=COUNTA($L$10:$L$309)+1),IF(Engine!$F282="w","White","Black"),"")</f>
        <v/>
      </c>
      <c r="L286" s="9"/>
      <c r="M286" s="1" t="str">
        <f aca="false">Engine!$AF282</f>
        <v/>
      </c>
    </row>
    <row r="287" customFormat="false" ht="15" hidden="false" customHeight="false" outlineLevel="0" collapsed="false">
      <c r="J287" s="7" t="n">
        <v>278</v>
      </c>
      <c r="K287" s="8" t="str">
        <f aca="false">IF(OR(Engine!$B283&lt;&gt;"",ROW()-9=COUNTA($L$10:$L$309)+1),IF(Engine!$F283="w","White","Black"),"")</f>
        <v/>
      </c>
      <c r="L287" s="9"/>
      <c r="M287" s="1" t="str">
        <f aca="false">Engine!$AF283</f>
        <v/>
      </c>
    </row>
    <row r="288" customFormat="false" ht="15" hidden="false" customHeight="false" outlineLevel="0" collapsed="false">
      <c r="J288" s="7" t="n">
        <v>279</v>
      </c>
      <c r="K288" s="8" t="str">
        <f aca="false">IF(OR(Engine!$B284&lt;&gt;"",ROW()-9=COUNTA($L$10:$L$309)+1),IF(Engine!$F284="w","White","Black"),"")</f>
        <v/>
      </c>
      <c r="L288" s="9"/>
      <c r="M288" s="1" t="str">
        <f aca="false">Engine!$AF284</f>
        <v/>
      </c>
    </row>
    <row r="289" customFormat="false" ht="15" hidden="false" customHeight="false" outlineLevel="0" collapsed="false">
      <c r="J289" s="7" t="n">
        <v>280</v>
      </c>
      <c r="K289" s="8" t="str">
        <f aca="false">IF(OR(Engine!$B285&lt;&gt;"",ROW()-9=COUNTA($L$10:$L$309)+1),IF(Engine!$F285="w","White","Black"),"")</f>
        <v/>
      </c>
      <c r="L289" s="9"/>
      <c r="M289" s="1" t="str">
        <f aca="false">Engine!$AF285</f>
        <v/>
      </c>
    </row>
    <row r="290" customFormat="false" ht="15" hidden="false" customHeight="false" outlineLevel="0" collapsed="false">
      <c r="J290" s="7" t="n">
        <v>281</v>
      </c>
      <c r="K290" s="8" t="str">
        <f aca="false">IF(OR(Engine!$B286&lt;&gt;"",ROW()-9=COUNTA($L$10:$L$309)+1),IF(Engine!$F286="w","White","Black"),"")</f>
        <v/>
      </c>
      <c r="L290" s="9"/>
      <c r="M290" s="1" t="str">
        <f aca="false">Engine!$AF286</f>
        <v/>
      </c>
    </row>
    <row r="291" customFormat="false" ht="15" hidden="false" customHeight="false" outlineLevel="0" collapsed="false">
      <c r="J291" s="7" t="n">
        <v>282</v>
      </c>
      <c r="K291" s="8" t="str">
        <f aca="false">IF(OR(Engine!$B287&lt;&gt;"",ROW()-9=COUNTA($L$10:$L$309)+1),IF(Engine!$F287="w","White","Black"),"")</f>
        <v/>
      </c>
      <c r="L291" s="9"/>
      <c r="M291" s="1" t="str">
        <f aca="false">Engine!$AF287</f>
        <v/>
      </c>
    </row>
    <row r="292" customFormat="false" ht="15" hidden="false" customHeight="false" outlineLevel="0" collapsed="false">
      <c r="J292" s="7" t="n">
        <v>283</v>
      </c>
      <c r="K292" s="8" t="str">
        <f aca="false">IF(OR(Engine!$B288&lt;&gt;"",ROW()-9=COUNTA($L$10:$L$309)+1),IF(Engine!$F288="w","White","Black"),"")</f>
        <v/>
      </c>
      <c r="L292" s="9"/>
      <c r="M292" s="1" t="str">
        <f aca="false">Engine!$AF288</f>
        <v/>
      </c>
    </row>
    <row r="293" customFormat="false" ht="15" hidden="false" customHeight="false" outlineLevel="0" collapsed="false">
      <c r="J293" s="7" t="n">
        <v>284</v>
      </c>
      <c r="K293" s="8" t="str">
        <f aca="false">IF(OR(Engine!$B289&lt;&gt;"",ROW()-9=COUNTA($L$10:$L$309)+1),IF(Engine!$F289="w","White","Black"),"")</f>
        <v/>
      </c>
      <c r="L293" s="9"/>
      <c r="M293" s="1" t="str">
        <f aca="false">Engine!$AF289</f>
        <v/>
      </c>
    </row>
    <row r="294" customFormat="false" ht="15" hidden="false" customHeight="false" outlineLevel="0" collapsed="false">
      <c r="J294" s="7" t="n">
        <v>285</v>
      </c>
      <c r="K294" s="8" t="str">
        <f aca="false">IF(OR(Engine!$B290&lt;&gt;"",ROW()-9=COUNTA($L$10:$L$309)+1),IF(Engine!$F290="w","White","Black"),"")</f>
        <v/>
      </c>
      <c r="L294" s="9"/>
      <c r="M294" s="1" t="str">
        <f aca="false">Engine!$AF290</f>
        <v/>
      </c>
    </row>
    <row r="295" customFormat="false" ht="15" hidden="false" customHeight="false" outlineLevel="0" collapsed="false">
      <c r="J295" s="7" t="n">
        <v>286</v>
      </c>
      <c r="K295" s="8" t="str">
        <f aca="false">IF(OR(Engine!$B291&lt;&gt;"",ROW()-9=COUNTA($L$10:$L$309)+1),IF(Engine!$F291="w","White","Black"),"")</f>
        <v/>
      </c>
      <c r="L295" s="9"/>
      <c r="M295" s="1" t="str">
        <f aca="false">Engine!$AF291</f>
        <v/>
      </c>
    </row>
    <row r="296" customFormat="false" ht="15" hidden="false" customHeight="false" outlineLevel="0" collapsed="false">
      <c r="J296" s="7" t="n">
        <v>287</v>
      </c>
      <c r="K296" s="8" t="str">
        <f aca="false">IF(OR(Engine!$B292&lt;&gt;"",ROW()-9=COUNTA($L$10:$L$309)+1),IF(Engine!$F292="w","White","Black"),"")</f>
        <v/>
      </c>
      <c r="L296" s="9"/>
      <c r="M296" s="1" t="str">
        <f aca="false">Engine!$AF292</f>
        <v/>
      </c>
    </row>
    <row r="297" customFormat="false" ht="15" hidden="false" customHeight="false" outlineLevel="0" collapsed="false">
      <c r="J297" s="7" t="n">
        <v>288</v>
      </c>
      <c r="K297" s="8" t="str">
        <f aca="false">IF(OR(Engine!$B293&lt;&gt;"",ROW()-9=COUNTA($L$10:$L$309)+1),IF(Engine!$F293="w","White","Black"),"")</f>
        <v/>
      </c>
      <c r="L297" s="9"/>
      <c r="M297" s="1" t="str">
        <f aca="false">Engine!$AF293</f>
        <v/>
      </c>
    </row>
    <row r="298" customFormat="false" ht="15" hidden="false" customHeight="false" outlineLevel="0" collapsed="false">
      <c r="J298" s="7" t="n">
        <v>289</v>
      </c>
      <c r="K298" s="8" t="str">
        <f aca="false">IF(OR(Engine!$B294&lt;&gt;"",ROW()-9=COUNTA($L$10:$L$309)+1),IF(Engine!$F294="w","White","Black"),"")</f>
        <v/>
      </c>
      <c r="L298" s="9"/>
      <c r="M298" s="1" t="str">
        <f aca="false">Engine!$AF294</f>
        <v/>
      </c>
    </row>
    <row r="299" customFormat="false" ht="15" hidden="false" customHeight="false" outlineLevel="0" collapsed="false">
      <c r="J299" s="7" t="n">
        <v>290</v>
      </c>
      <c r="K299" s="8" t="str">
        <f aca="false">IF(OR(Engine!$B295&lt;&gt;"",ROW()-9=COUNTA($L$10:$L$309)+1),IF(Engine!$F295="w","White","Black"),"")</f>
        <v/>
      </c>
      <c r="L299" s="9"/>
      <c r="M299" s="1" t="str">
        <f aca="false">Engine!$AF295</f>
        <v/>
      </c>
    </row>
    <row r="300" customFormat="false" ht="15" hidden="false" customHeight="false" outlineLevel="0" collapsed="false">
      <c r="J300" s="7" t="n">
        <v>291</v>
      </c>
      <c r="K300" s="8" t="str">
        <f aca="false">IF(OR(Engine!$B296&lt;&gt;"",ROW()-9=COUNTA($L$10:$L$309)+1),IF(Engine!$F296="w","White","Black"),"")</f>
        <v/>
      </c>
      <c r="L300" s="9"/>
      <c r="M300" s="1" t="str">
        <f aca="false">Engine!$AF296</f>
        <v/>
      </c>
    </row>
    <row r="301" customFormat="false" ht="15" hidden="false" customHeight="false" outlineLevel="0" collapsed="false">
      <c r="J301" s="7" t="n">
        <v>292</v>
      </c>
      <c r="K301" s="8" t="str">
        <f aca="false">IF(OR(Engine!$B297&lt;&gt;"",ROW()-9=COUNTA($L$10:$L$309)+1),IF(Engine!$F297="w","White","Black"),"")</f>
        <v/>
      </c>
      <c r="L301" s="9"/>
      <c r="M301" s="1" t="str">
        <f aca="false">Engine!$AF297</f>
        <v/>
      </c>
    </row>
    <row r="302" customFormat="false" ht="15" hidden="false" customHeight="false" outlineLevel="0" collapsed="false">
      <c r="J302" s="7" t="n">
        <v>293</v>
      </c>
      <c r="K302" s="8" t="str">
        <f aca="false">IF(OR(Engine!$B298&lt;&gt;"",ROW()-9=COUNTA($L$10:$L$309)+1),IF(Engine!$F298="w","White","Black"),"")</f>
        <v/>
      </c>
      <c r="L302" s="9"/>
      <c r="M302" s="1" t="str">
        <f aca="false">Engine!$AF298</f>
        <v/>
      </c>
    </row>
    <row r="303" customFormat="false" ht="15" hidden="false" customHeight="false" outlineLevel="0" collapsed="false">
      <c r="J303" s="7" t="n">
        <v>294</v>
      </c>
      <c r="K303" s="8" t="str">
        <f aca="false">IF(OR(Engine!$B299&lt;&gt;"",ROW()-9=COUNTA($L$10:$L$309)+1),IF(Engine!$F299="w","White","Black"),"")</f>
        <v/>
      </c>
      <c r="L303" s="9"/>
      <c r="M303" s="1" t="str">
        <f aca="false">Engine!$AF299</f>
        <v/>
      </c>
    </row>
    <row r="304" customFormat="false" ht="15" hidden="false" customHeight="false" outlineLevel="0" collapsed="false">
      <c r="J304" s="7" t="n">
        <v>295</v>
      </c>
      <c r="K304" s="8" t="str">
        <f aca="false">IF(OR(Engine!$B300&lt;&gt;"",ROW()-9=COUNTA($L$10:$L$309)+1),IF(Engine!$F300="w","White","Black"),"")</f>
        <v/>
      </c>
      <c r="L304" s="9"/>
      <c r="M304" s="1" t="str">
        <f aca="false">Engine!$AF300</f>
        <v/>
      </c>
    </row>
    <row r="305" customFormat="false" ht="15" hidden="false" customHeight="false" outlineLevel="0" collapsed="false">
      <c r="J305" s="7" t="n">
        <v>296</v>
      </c>
      <c r="K305" s="8" t="str">
        <f aca="false">IF(OR(Engine!$B301&lt;&gt;"",ROW()-9=COUNTA($L$10:$L$309)+1),IF(Engine!$F301="w","White","Black"),"")</f>
        <v/>
      </c>
      <c r="L305" s="9"/>
      <c r="M305" s="1" t="str">
        <f aca="false">Engine!$AF301</f>
        <v/>
      </c>
    </row>
    <row r="306" customFormat="false" ht="15" hidden="false" customHeight="false" outlineLevel="0" collapsed="false">
      <c r="J306" s="7" t="n">
        <v>297</v>
      </c>
      <c r="K306" s="8" t="str">
        <f aca="false">IF(OR(Engine!$B302&lt;&gt;"",ROW()-9=COUNTA($L$10:$L$309)+1),IF(Engine!$F302="w","White","Black"),"")</f>
        <v/>
      </c>
      <c r="L306" s="9"/>
      <c r="M306" s="1" t="str">
        <f aca="false">Engine!$AF302</f>
        <v/>
      </c>
    </row>
    <row r="307" customFormat="false" ht="15" hidden="false" customHeight="false" outlineLevel="0" collapsed="false">
      <c r="J307" s="7" t="n">
        <v>298</v>
      </c>
      <c r="K307" s="8" t="str">
        <f aca="false">IF(OR(Engine!$B303&lt;&gt;"",ROW()-9=COUNTA($L$10:$L$309)+1),IF(Engine!$F303="w","White","Black"),"")</f>
        <v/>
      </c>
      <c r="L307" s="9"/>
      <c r="M307" s="1" t="str">
        <f aca="false">Engine!$AF303</f>
        <v/>
      </c>
    </row>
    <row r="308" customFormat="false" ht="15" hidden="false" customHeight="false" outlineLevel="0" collapsed="false">
      <c r="J308" s="7" t="n">
        <v>299</v>
      </c>
      <c r="K308" s="8" t="str">
        <f aca="false">IF(OR(Engine!$B304&lt;&gt;"",ROW()-9=COUNTA($L$10:$L$309)+1),IF(Engine!$F304="w","White","Black"),"")</f>
        <v/>
      </c>
      <c r="L308" s="9"/>
      <c r="M308" s="1" t="str">
        <f aca="false">Engine!$AF304</f>
        <v/>
      </c>
    </row>
    <row r="309" customFormat="false" ht="15" hidden="false" customHeight="false" outlineLevel="0" collapsed="false">
      <c r="J309" s="7" t="n">
        <v>300</v>
      </c>
      <c r="K309" s="8" t="str">
        <f aca="false">IF(OR(Engine!$B305&lt;&gt;"",ROW()-9=COUNTA($L$10:$L$309)+1),IF(Engine!$F305="w","White","Black"),"")</f>
        <v/>
      </c>
      <c r="L309" s="9"/>
      <c r="M309" s="1" t="str">
        <f aca="false">Engine!$AF305</f>
        <v/>
      </c>
    </row>
  </sheetData>
  <conditionalFormatting sqref="A1:H8">
    <cfRule type="expression" priority="2" aboveAverage="0" equalAverage="0" bottom="0" percent="0" rank="0" text="" dxfId="0">
      <formula>OR((ROW()-1)*8+COLUMN()=$AA$1,(ROW()-1)*8+COLUMN()=$AB$1)</formula>
    </cfRule>
    <cfRule type="expression" priority="3" aboveAverage="0" equalAverage="0" bottom="0" percent="0" rank="0" text="" dxfId="1">
      <formula>AND(A1&lt;&gt;"",EXACT(A1,UPPER(A1)))</formula>
    </cfRule>
  </conditionalFormatting>
  <conditionalFormatting sqref="L10:L309">
    <cfRule type="expression" priority="4" aboveAverage="0" equalAverage="0" bottom="0" percent="0" rank="0" text="" dxfId="2">
      <formula>LEFT($M10,1)="X"</formula>
    </cfRule>
    <cfRule type="expression" priority="5" aboveAverage="0" equalAverage="0" bottom="0" percent="0" rank="0" text="" dxfId="3">
      <formula>AND($L10="",ROW()-9=COUNTA($L$10:$L$309)+1)</formula>
    </cfRule>
  </conditionalFormatting>
  <conditionalFormatting sqref="M10:M309">
    <cfRule type="expression" priority="6" aboveAverage="0" equalAverage="0" bottom="0" percent="0" rank="0" text="" dxfId="1">
      <formula>LEFT($M10,1)="X"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V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9"/>
    <col collapsed="false" customWidth="true" hidden="false" outlineLevel="0" max="17" min="17" style="0" width="30"/>
    <col collapsed="false" customWidth="true" hidden="false" outlineLevel="0" max="31" min="18" style="0" width="9"/>
    <col collapsed="false" customWidth="true" hidden="false" outlineLevel="0" max="32" min="32" style="0" width="26"/>
    <col collapsed="false" customWidth="true" hidden="false" outlineLevel="0" max="97" min="34" style="0" width="4.5"/>
    <col collapsed="false" customWidth="true" hidden="false" outlineLevel="0" max="100" min="100" style="0" width="9"/>
  </cols>
  <sheetData>
    <row r="1" customFormat="false" ht="15" hidden="false" customHeight="false" outlineLevel="0" collapsed="false">
      <c r="A1" s="10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 t="s">
        <v>9</v>
      </c>
      <c r="CV1" s="11" t="s">
        <v>10</v>
      </c>
    </row>
    <row r="2" customFormat="false" ht="15" hidden="false" customHeight="false" outlineLevel="0" collapsed="false">
      <c r="A2" s="11" t="s">
        <v>11</v>
      </c>
      <c r="B2" s="11" t="n">
        <f aca="false">SUM($P$6:$P$305)</f>
        <v>0</v>
      </c>
      <c r="C2" s="11" t="s">
        <v>12</v>
      </c>
      <c r="D2" s="11" t="n">
        <f aca="false">SUMPRODUCT(MAX(($P$6:$P$305=1)*$A$6:$A$305))</f>
        <v>0</v>
      </c>
      <c r="E2" s="11" t="s">
        <v>13</v>
      </c>
      <c r="F2" s="11" t="n">
        <f aca="false">IF($D$2=0,0,INDEX($D$6:$D$305,$D$2))</f>
        <v>0</v>
      </c>
      <c r="G2" s="11" t="s">
        <v>14</v>
      </c>
      <c r="H2" s="11" t="n">
        <f aca="false">IF($D$2=0,0,INDEX($E$6:$E$305,$D$2))</f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 t="s">
        <v>15</v>
      </c>
      <c r="CV2" s="11" t="s">
        <v>16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n">
        <v>1</v>
      </c>
      <c r="AI3" s="11" t="n">
        <v>2</v>
      </c>
      <c r="AJ3" s="11" t="n">
        <v>3</v>
      </c>
      <c r="AK3" s="11" t="n">
        <v>4</v>
      </c>
      <c r="AL3" s="11" t="n">
        <v>5</v>
      </c>
      <c r="AM3" s="11" t="n">
        <v>6</v>
      </c>
      <c r="AN3" s="11" t="n">
        <v>7</v>
      </c>
      <c r="AO3" s="11" t="n">
        <v>8</v>
      </c>
      <c r="AP3" s="11" t="n">
        <v>9</v>
      </c>
      <c r="AQ3" s="11" t="n">
        <v>10</v>
      </c>
      <c r="AR3" s="11" t="n">
        <v>11</v>
      </c>
      <c r="AS3" s="11" t="n">
        <v>12</v>
      </c>
      <c r="AT3" s="11" t="n">
        <v>13</v>
      </c>
      <c r="AU3" s="11" t="n">
        <v>14</v>
      </c>
      <c r="AV3" s="11" t="n">
        <v>15</v>
      </c>
      <c r="AW3" s="11" t="n">
        <v>16</v>
      </c>
      <c r="AX3" s="11" t="n">
        <v>17</v>
      </c>
      <c r="AY3" s="11" t="n">
        <v>18</v>
      </c>
      <c r="AZ3" s="11" t="n">
        <v>19</v>
      </c>
      <c r="BA3" s="11" t="n">
        <v>20</v>
      </c>
      <c r="BB3" s="11" t="n">
        <v>21</v>
      </c>
      <c r="BC3" s="11" t="n">
        <v>22</v>
      </c>
      <c r="BD3" s="11" t="n">
        <v>23</v>
      </c>
      <c r="BE3" s="11" t="n">
        <v>24</v>
      </c>
      <c r="BF3" s="11" t="n">
        <v>25</v>
      </c>
      <c r="BG3" s="11" t="n">
        <v>26</v>
      </c>
      <c r="BH3" s="11" t="n">
        <v>27</v>
      </c>
      <c r="BI3" s="11" t="n">
        <v>28</v>
      </c>
      <c r="BJ3" s="11" t="n">
        <v>29</v>
      </c>
      <c r="BK3" s="11" t="n">
        <v>30</v>
      </c>
      <c r="BL3" s="11" t="n">
        <v>31</v>
      </c>
      <c r="BM3" s="11" t="n">
        <v>32</v>
      </c>
      <c r="BN3" s="11" t="n">
        <v>33</v>
      </c>
      <c r="BO3" s="11" t="n">
        <v>34</v>
      </c>
      <c r="BP3" s="11" t="n">
        <v>35</v>
      </c>
      <c r="BQ3" s="11" t="n">
        <v>36</v>
      </c>
      <c r="BR3" s="11" t="n">
        <v>37</v>
      </c>
      <c r="BS3" s="11" t="n">
        <v>38</v>
      </c>
      <c r="BT3" s="11" t="n">
        <v>39</v>
      </c>
      <c r="BU3" s="11" t="n">
        <v>40</v>
      </c>
      <c r="BV3" s="11" t="n">
        <v>41</v>
      </c>
      <c r="BW3" s="11" t="n">
        <v>42</v>
      </c>
      <c r="BX3" s="11" t="n">
        <v>43</v>
      </c>
      <c r="BY3" s="11" t="n">
        <v>44</v>
      </c>
      <c r="BZ3" s="11" t="n">
        <v>45</v>
      </c>
      <c r="CA3" s="11" t="n">
        <v>46</v>
      </c>
      <c r="CB3" s="11" t="n">
        <v>47</v>
      </c>
      <c r="CC3" s="11" t="n">
        <v>48</v>
      </c>
      <c r="CD3" s="11" t="n">
        <v>49</v>
      </c>
      <c r="CE3" s="11" t="n">
        <v>50</v>
      </c>
      <c r="CF3" s="11" t="n">
        <v>51</v>
      </c>
      <c r="CG3" s="11" t="n">
        <v>52</v>
      </c>
      <c r="CH3" s="11" t="n">
        <v>53</v>
      </c>
      <c r="CI3" s="11" t="n">
        <v>54</v>
      </c>
      <c r="CJ3" s="11" t="n">
        <v>55</v>
      </c>
      <c r="CK3" s="11" t="n">
        <v>56</v>
      </c>
      <c r="CL3" s="11" t="n">
        <v>57</v>
      </c>
      <c r="CM3" s="11" t="n">
        <v>58</v>
      </c>
      <c r="CN3" s="11" t="n">
        <v>59</v>
      </c>
      <c r="CO3" s="11" t="n">
        <v>60</v>
      </c>
      <c r="CP3" s="11" t="n">
        <v>61</v>
      </c>
      <c r="CQ3" s="11" t="n">
        <v>62</v>
      </c>
      <c r="CR3" s="11" t="n">
        <v>63</v>
      </c>
      <c r="CS3" s="11" t="n">
        <v>64</v>
      </c>
      <c r="CT3" s="11"/>
      <c r="CU3" s="11" t="s">
        <v>17</v>
      </c>
      <c r="CV3" s="11" t="s">
        <v>18</v>
      </c>
    </row>
    <row r="4" customFormat="false" ht="15" hidden="false" customHeight="false" outlineLevel="0" collapsed="false">
      <c r="A4" s="10" t="s">
        <v>19</v>
      </c>
      <c r="B4" s="10" t="s">
        <v>20</v>
      </c>
      <c r="C4" s="10" t="s">
        <v>21</v>
      </c>
      <c r="D4" s="10" t="s">
        <v>22</v>
      </c>
      <c r="E4" s="10" t="s">
        <v>23</v>
      </c>
      <c r="F4" s="10" t="s">
        <v>5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  <c r="L4" s="10" t="s">
        <v>29</v>
      </c>
      <c r="M4" s="10" t="s">
        <v>30</v>
      </c>
      <c r="N4" s="10" t="s">
        <v>31</v>
      </c>
      <c r="O4" s="10" t="s">
        <v>32</v>
      </c>
      <c r="P4" s="10" t="s">
        <v>33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 t="s">
        <v>39</v>
      </c>
      <c r="W4" s="10" t="s">
        <v>40</v>
      </c>
      <c r="X4" s="10" t="s">
        <v>41</v>
      </c>
      <c r="Y4" s="10" t="s">
        <v>42</v>
      </c>
      <c r="Z4" s="10" t="s">
        <v>43</v>
      </c>
      <c r="AA4" s="10" t="s">
        <v>44</v>
      </c>
      <c r="AB4" s="10" t="s">
        <v>45</v>
      </c>
      <c r="AC4" s="10" t="s">
        <v>46</v>
      </c>
      <c r="AD4" s="10" t="s">
        <v>47</v>
      </c>
      <c r="AE4" s="10" t="s">
        <v>48</v>
      </c>
      <c r="AF4" s="10" t="s">
        <v>49</v>
      </c>
      <c r="AG4" s="11"/>
      <c r="AH4" s="10" t="s">
        <v>50</v>
      </c>
      <c r="AI4" s="10" t="s">
        <v>51</v>
      </c>
      <c r="AJ4" s="10" t="s">
        <v>52</v>
      </c>
      <c r="AK4" s="10" t="s">
        <v>53</v>
      </c>
      <c r="AL4" s="10" t="s">
        <v>54</v>
      </c>
      <c r="AM4" s="10" t="s">
        <v>55</v>
      </c>
      <c r="AN4" s="10" t="s">
        <v>56</v>
      </c>
      <c r="AO4" s="10" t="s">
        <v>57</v>
      </c>
      <c r="AP4" s="10" t="s">
        <v>58</v>
      </c>
      <c r="AQ4" s="10" t="s">
        <v>59</v>
      </c>
      <c r="AR4" s="10" t="s">
        <v>60</v>
      </c>
      <c r="AS4" s="10" t="s">
        <v>61</v>
      </c>
      <c r="AT4" s="10" t="s">
        <v>62</v>
      </c>
      <c r="AU4" s="10" t="s">
        <v>63</v>
      </c>
      <c r="AV4" s="10" t="s">
        <v>64</v>
      </c>
      <c r="AW4" s="10" t="s">
        <v>65</v>
      </c>
      <c r="AX4" s="10" t="s">
        <v>66</v>
      </c>
      <c r="AY4" s="10" t="s">
        <v>67</v>
      </c>
      <c r="AZ4" s="10" t="s">
        <v>68</v>
      </c>
      <c r="BA4" s="10" t="s">
        <v>69</v>
      </c>
      <c r="BB4" s="10" t="s">
        <v>70</v>
      </c>
      <c r="BC4" s="10" t="s">
        <v>71</v>
      </c>
      <c r="BD4" s="10" t="s">
        <v>72</v>
      </c>
      <c r="BE4" s="10" t="s">
        <v>73</v>
      </c>
      <c r="BF4" s="10" t="s">
        <v>74</v>
      </c>
      <c r="BG4" s="10" t="s">
        <v>75</v>
      </c>
      <c r="BH4" s="10" t="s">
        <v>76</v>
      </c>
      <c r="BI4" s="10" t="s">
        <v>77</v>
      </c>
      <c r="BJ4" s="10" t="s">
        <v>78</v>
      </c>
      <c r="BK4" s="10" t="s">
        <v>79</v>
      </c>
      <c r="BL4" s="10" t="s">
        <v>80</v>
      </c>
      <c r="BM4" s="10" t="s">
        <v>81</v>
      </c>
      <c r="BN4" s="10" t="s">
        <v>82</v>
      </c>
      <c r="BO4" s="10" t="s">
        <v>83</v>
      </c>
      <c r="BP4" s="10" t="s">
        <v>84</v>
      </c>
      <c r="BQ4" s="10" t="s">
        <v>85</v>
      </c>
      <c r="BR4" s="10" t="s">
        <v>86</v>
      </c>
      <c r="BS4" s="10" t="s">
        <v>87</v>
      </c>
      <c r="BT4" s="10" t="s">
        <v>88</v>
      </c>
      <c r="BU4" s="10" t="s">
        <v>89</v>
      </c>
      <c r="BV4" s="10" t="s">
        <v>90</v>
      </c>
      <c r="BW4" s="10" t="s">
        <v>91</v>
      </c>
      <c r="BX4" s="10" t="s">
        <v>92</v>
      </c>
      <c r="BY4" s="10" t="s">
        <v>93</v>
      </c>
      <c r="BZ4" s="10" t="s">
        <v>94</v>
      </c>
      <c r="CA4" s="10" t="s">
        <v>95</v>
      </c>
      <c r="CB4" s="10" t="s">
        <v>96</v>
      </c>
      <c r="CC4" s="10" t="s">
        <v>97</v>
      </c>
      <c r="CD4" s="10" t="s">
        <v>98</v>
      </c>
      <c r="CE4" s="10" t="s">
        <v>99</v>
      </c>
      <c r="CF4" s="10" t="s">
        <v>100</v>
      </c>
      <c r="CG4" s="10" t="s">
        <v>101</v>
      </c>
      <c r="CH4" s="10" t="s">
        <v>102</v>
      </c>
      <c r="CI4" s="10" t="s">
        <v>103</v>
      </c>
      <c r="CJ4" s="10" t="s">
        <v>104</v>
      </c>
      <c r="CK4" s="10" t="s">
        <v>105</v>
      </c>
      <c r="CL4" s="10" t="s">
        <v>106</v>
      </c>
      <c r="CM4" s="10" t="s">
        <v>107</v>
      </c>
      <c r="CN4" s="10" t="s">
        <v>108</v>
      </c>
      <c r="CO4" s="10" t="s">
        <v>109</v>
      </c>
      <c r="CP4" s="10" t="s">
        <v>110</v>
      </c>
      <c r="CQ4" s="10" t="s">
        <v>111</v>
      </c>
      <c r="CR4" s="10" t="s">
        <v>112</v>
      </c>
      <c r="CS4" s="10" t="s">
        <v>113</v>
      </c>
      <c r="CT4" s="11"/>
      <c r="CU4" s="11" t="s">
        <v>114</v>
      </c>
      <c r="CV4" s="11" t="s">
        <v>115</v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 t="n">
        <v>0</v>
      </c>
      <c r="Q5" s="11" t="s">
        <v>116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/>
      <c r="Z5" s="11"/>
      <c r="AA5" s="11"/>
      <c r="AB5" s="11"/>
      <c r="AC5" s="11"/>
      <c r="AD5" s="11"/>
      <c r="AE5" s="11"/>
      <c r="AF5" s="11"/>
      <c r="AG5" s="11"/>
      <c r="AH5" s="11" t="s">
        <v>114</v>
      </c>
      <c r="AI5" s="11" t="s">
        <v>117</v>
      </c>
      <c r="AJ5" s="11" t="s">
        <v>118</v>
      </c>
      <c r="AK5" s="11" t="s">
        <v>17</v>
      </c>
      <c r="AL5" s="11" t="s">
        <v>15</v>
      </c>
      <c r="AM5" s="11" t="s">
        <v>118</v>
      </c>
      <c r="AN5" s="11" t="s">
        <v>117</v>
      </c>
      <c r="AO5" s="11" t="s">
        <v>114</v>
      </c>
      <c r="AP5" s="11" t="s">
        <v>119</v>
      </c>
      <c r="AQ5" s="11" t="s">
        <v>119</v>
      </c>
      <c r="AR5" s="11" t="s">
        <v>119</v>
      </c>
      <c r="AS5" s="11" t="s">
        <v>119</v>
      </c>
      <c r="AT5" s="11" t="s">
        <v>119</v>
      </c>
      <c r="AU5" s="11" t="s">
        <v>119</v>
      </c>
      <c r="AV5" s="11" t="s">
        <v>119</v>
      </c>
      <c r="AW5" s="11" t="s">
        <v>119</v>
      </c>
      <c r="AX5" s="11" t="str">
        <f aca="false">""</f>
        <v/>
      </c>
      <c r="AY5" s="11" t="str">
        <f aca="false">""</f>
        <v/>
      </c>
      <c r="AZ5" s="11" t="str">
        <f aca="false">""</f>
        <v/>
      </c>
      <c r="BA5" s="11" t="str">
        <f aca="false">""</f>
        <v/>
      </c>
      <c r="BB5" s="11" t="str">
        <f aca="false">""</f>
        <v/>
      </c>
      <c r="BC5" s="11" t="str">
        <f aca="false">""</f>
        <v/>
      </c>
      <c r="BD5" s="11" t="str">
        <f aca="false">""</f>
        <v/>
      </c>
      <c r="BE5" s="11" t="str">
        <f aca="false">""</f>
        <v/>
      </c>
      <c r="BF5" s="11" t="str">
        <f aca="false">""</f>
        <v/>
      </c>
      <c r="BG5" s="11" t="str">
        <f aca="false">""</f>
        <v/>
      </c>
      <c r="BH5" s="11" t="str">
        <f aca="false">""</f>
        <v/>
      </c>
      <c r="BI5" s="11" t="str">
        <f aca="false">""</f>
        <v/>
      </c>
      <c r="BJ5" s="11" t="str">
        <f aca="false">""</f>
        <v/>
      </c>
      <c r="BK5" s="11" t="str">
        <f aca="false">""</f>
        <v/>
      </c>
      <c r="BL5" s="11" t="str">
        <f aca="false">""</f>
        <v/>
      </c>
      <c r="BM5" s="11" t="str">
        <f aca="false">""</f>
        <v/>
      </c>
      <c r="BN5" s="11" t="str">
        <f aca="false">""</f>
        <v/>
      </c>
      <c r="BO5" s="11" t="str">
        <f aca="false">""</f>
        <v/>
      </c>
      <c r="BP5" s="11" t="str">
        <f aca="false">""</f>
        <v/>
      </c>
      <c r="BQ5" s="11" t="str">
        <f aca="false">""</f>
        <v/>
      </c>
      <c r="BR5" s="11" t="str">
        <f aca="false">""</f>
        <v/>
      </c>
      <c r="BS5" s="11" t="str">
        <f aca="false">""</f>
        <v/>
      </c>
      <c r="BT5" s="11" t="str">
        <f aca="false">""</f>
        <v/>
      </c>
      <c r="BU5" s="11" t="str">
        <f aca="false">""</f>
        <v/>
      </c>
      <c r="BV5" s="11" t="str">
        <f aca="false">""</f>
        <v/>
      </c>
      <c r="BW5" s="11" t="str">
        <f aca="false">""</f>
        <v/>
      </c>
      <c r="BX5" s="11" t="str">
        <f aca="false">""</f>
        <v/>
      </c>
      <c r="BY5" s="11" t="str">
        <f aca="false">""</f>
        <v/>
      </c>
      <c r="BZ5" s="11" t="str">
        <f aca="false">""</f>
        <v/>
      </c>
      <c r="CA5" s="11" t="str">
        <f aca="false">""</f>
        <v/>
      </c>
      <c r="CB5" s="11" t="str">
        <f aca="false">""</f>
        <v/>
      </c>
      <c r="CC5" s="11" t="str">
        <f aca="false">""</f>
        <v/>
      </c>
      <c r="CD5" s="11" t="s">
        <v>120</v>
      </c>
      <c r="CE5" s="11" t="s">
        <v>120</v>
      </c>
      <c r="CF5" s="11" t="s">
        <v>120</v>
      </c>
      <c r="CG5" s="11" t="s">
        <v>120</v>
      </c>
      <c r="CH5" s="11" t="s">
        <v>120</v>
      </c>
      <c r="CI5" s="11" t="s">
        <v>120</v>
      </c>
      <c r="CJ5" s="11" t="s">
        <v>120</v>
      </c>
      <c r="CK5" s="11" t="s">
        <v>120</v>
      </c>
      <c r="CL5" s="11" t="s">
        <v>121</v>
      </c>
      <c r="CM5" s="11" t="s">
        <v>122</v>
      </c>
      <c r="CN5" s="11" t="s">
        <v>123</v>
      </c>
      <c r="CO5" s="11" t="s">
        <v>124</v>
      </c>
      <c r="CP5" s="11" t="s">
        <v>125</v>
      </c>
      <c r="CQ5" s="11" t="s">
        <v>123</v>
      </c>
      <c r="CR5" s="11" t="s">
        <v>122</v>
      </c>
      <c r="CS5" s="11" t="s">
        <v>121</v>
      </c>
      <c r="CT5" s="11"/>
      <c r="CU5" s="11" t="s">
        <v>118</v>
      </c>
      <c r="CV5" s="11" t="s">
        <v>126</v>
      </c>
    </row>
    <row r="6" customFormat="false" ht="15" hidden="false" customHeight="false" outlineLevel="0" collapsed="false">
      <c r="A6" s="11" t="n">
        <v>1</v>
      </c>
      <c r="B6" s="11" t="str">
        <f aca="false">IF(Chess!$L$10="","",Chess!$L$10&amp;"")</f>
        <v/>
      </c>
      <c r="C6" s="11" t="str">
        <f aca="false">LOWER(SUBSTITUTE(SUBSTITUTE(SUBSTITUTE(SUBSTITUTE(TRIM($B6),"-",""),"=","")," ",""),"x",""))</f>
        <v/>
      </c>
      <c r="D6" s="11" t="n">
        <f aca="false">IF(LEN($C6)&lt;4,0,IFERROR(IF(AND(CODE(MID($C6,1,1))&gt;=97,CODE(MID($C6,1,1))&lt;=104,VALUE(MID($C6,2,1))&gt;=1,VALUE(MID($C6,2,1))&lt;=8),(VALUE(MID($C6,2,1))-1)*8+CODE(MID($C6,1,1))-96,0),0))</f>
        <v>0</v>
      </c>
      <c r="E6" s="11" t="n">
        <f aca="false">IF(LEN($C6)&lt;4,0,IFERROR(IF(AND(CODE(MID($C6,3,1))&gt;=97,CODE(MID($C6,3,1))&lt;=104,VALUE(MID($C6,4,1))&gt;=1,VALUE(MID($C6,4,1))&lt;=8),(VALUE(MID($C6,4,1))-1)*8+CODE(MID($C6,3,1))-96,0),0))</f>
        <v>0</v>
      </c>
      <c r="F6" s="11" t="str">
        <f aca="false">IF(MOD(SUM($P$5:$P5),2)=0,"w","b")</f>
        <v>w</v>
      </c>
      <c r="G6" s="11" t="str">
        <f aca="false">IF($D6=0,"",INDEX($AH5:$CS5,1,$D6)&amp;"")</f>
        <v/>
      </c>
      <c r="H6" s="11" t="str">
        <f aca="false">IF($E6=0,"",INDEX($AH5:$CS5,1,$E6)&amp;"")</f>
        <v/>
      </c>
      <c r="I6" s="11" t="n">
        <f aca="false">IF(OR($D6=0,$E6=0),0,MOD($E6-1,8)-MOD($D6-1,8))</f>
        <v>0</v>
      </c>
      <c r="J6" s="11" t="n">
        <f aca="false">IF(OR($D6=0,$E6=0),0,INT(($E6-1)/8)-INT(($D6-1)/8))</f>
        <v>0</v>
      </c>
      <c r="K6" s="11" t="str">
        <f aca="false">IF($G6="","",RIGHT($G6,1))</f>
        <v/>
      </c>
      <c r="L6" s="11" t="n">
        <f aca="false">IF(OR($D6=0,$E6=0),0,SUMPRODUCT(($AH$3:$CS$3&gt;MIN($D6,$E6))*($AH$3:$CS$3&lt;MAX($D6,$E6))*(MOD($AH$3:$CS$3-MIN($D6,$E6),MAX(1,ABS(SIGN($J6)*8+SIGN($I6))))=0)*($AH5:$CS5&lt;&gt;"")))</f>
        <v>0</v>
      </c>
      <c r="M6" s="11" t="n">
        <f aca="false">IF($K6&lt;&gt;"K",0,IFERROR(--AND($J6=0,ABS($I6)=2,$D6=IF($F6="w",5,61),IF($F6="w",$S5,$V5)=0,IF($I6=2,AND(IF($F6="w",$U5,$X5)=0,INDEX($AH5:$CS5,1,$D6+1)&amp;""="",INDEX($AH5:$CS5,1,$D6+2)&amp;""=""),AND(IF($F6="w",$T5,$W5)=0,INDEX($AH5:$CS5,1,$D6-1)&amp;""="",INDEX($AH5:$CS5,1,$D6-2)&amp;""="",INDEX($AH5:$CS5,1,$D6-3)&amp;""=""))),0))</f>
        <v>0</v>
      </c>
      <c r="N6" s="11" t="n">
        <f aca="false">IF($K6&lt;&gt;"P",0,IFERROR(--OR(AND($I6=0,$J6=IF($F6="w",1,-1),$H6=""),AND($I6=0,$J6=2*IF($F6="w",1,-1),$H6="",INT(($D6-1)/8)=IF($F6="w",1,6),INDEX($AH5:$CS5,1,MAX(1,MIN(64,$D6+8*IF($F6="w",1,-1))))&amp;""=""),AND(ABS($I6)=1,$J6=IF($F6="w",1,-1),$H6&lt;&gt;""),AND(ABS($I6)=1,$J6=IF($F6="w",1,-1),$H6="",$R5&gt;0,$E6=$R5)),0))</f>
        <v>0</v>
      </c>
      <c r="O6" s="11" t="n">
        <f aca="false">IF(OR($D6=0,$E6=0,$G6=""),0,IF($K6="N",--OR(AND(ABS($I6)=1,ABS($J6)=2),AND(ABS($I6)=2,ABS($J6)=1)),IF($K6="B",--AND(ABS($I6)=ABS($J6),$I6&lt;&gt;0,$L6=0),IF($K6="R",--AND(OR($I6=0,$J6=0),OR($I6&lt;&gt;0,$J6&lt;&gt;0),$L6=0),IF($K6="Q",--AND(OR(AND(ABS($I6)=ABS($J6),$I6&lt;&gt;0),AND(OR($I6=0,$J6=0),OR($I6&lt;&gt;0,$J6&lt;&gt;0))),$L6=0),IF($K6="K",--OR(MAX(ABS($I6),ABS($J6))=1,$M6=1),$N6))))))</f>
        <v>0</v>
      </c>
      <c r="P6" s="11" t="n">
        <f aca="false">IF($Q6="OK",1,0)</f>
        <v>0</v>
      </c>
      <c r="Q6" s="11" t="str">
        <f aca="false">IF($B6="","",IF(OR(COUNTIF($AH5:$CS5,"wK")=0,COUNTIF($AH5:$CS5,"bK")=0),"Game is over",IF(OR($D6=0,$E6=0),"Use the format e2e4",IF($G6="","No piece on that square",IF(LEFT($G6,1)&lt;&gt;$F6,"Not your piece ("&amp;IF($F6="w","White","Black")&amp;" to move)",IF($D6=$E6,"Piece must move",IF(AND($H6&lt;&gt;"",LEFT($H6,1)=$F6),"Cannot capture your own piece",IF($O6=0,"Illegal move for that piece (or path blocked)","OK"))))))))</f>
        <v/>
      </c>
      <c r="R6" s="11" t="n">
        <f aca="false">IF($P6=1,IF(AND($K6="P",ABS($J6)=2),($D6+$E6)/2,0),$R5)</f>
        <v>0</v>
      </c>
      <c r="S6" s="12" t="b">
        <f aca="false">--OR($S5=1,AND($P6=1,OR($D6=5,$E6=5)))</f>
        <v>0</v>
      </c>
      <c r="T6" s="12" t="b">
        <f aca="false">--OR($T5=1,AND($P6=1,OR($D6=1,$E6=1)))</f>
        <v>0</v>
      </c>
      <c r="U6" s="12" t="b">
        <f aca="false">--OR($U5=1,AND($P6=1,OR($D6=8,$E6=8)))</f>
        <v>0</v>
      </c>
      <c r="V6" s="12" t="b">
        <f aca="false">--OR($V5=1,AND($P6=1,OR($D6=61,$E6=61)))</f>
        <v>0</v>
      </c>
      <c r="W6" s="12" t="b">
        <f aca="false">--OR($W5=1,AND($P6=1,OR($D6=57,$E6=57)))</f>
        <v>0</v>
      </c>
      <c r="X6" s="12" t="b">
        <f aca="false">--OR($X5=1,AND($P6=1,OR($D6=64,$E6=64)))</f>
        <v>0</v>
      </c>
      <c r="Y6" s="12" t="b">
        <f aca="false">--AND($P6=1,$K6="K",ABS($I6)=2)</f>
        <v>0</v>
      </c>
      <c r="Z6" s="12" t="b">
        <f aca="false">--AND($P6=1,$K6="P",ABS($I6)=1,$H6="")</f>
        <v>0</v>
      </c>
      <c r="AA6" s="12" t="b">
        <f aca="false">--AND($P6=1,$K6="P",INT(($E6-1)/8)=IF($F6="w",7,0))</f>
        <v>0</v>
      </c>
      <c r="AB6" s="11" t="str">
        <f aca="false">IF(LEN($C6)&gt;=5,IF(ISNUMBER(FIND(MID($C6,5,1),"qrbn")),UPPER(MID($C6,5,1)),"Q"),"Q")</f>
        <v>Q</v>
      </c>
      <c r="AC6" s="11" t="n">
        <f aca="false">IF($Y6=1,IF($I6=2,$D6+3,$D6-4),0)</f>
        <v>0</v>
      </c>
      <c r="AD6" s="11" t="n">
        <f aca="false">IF($Y6=1,IF($I6=2,$D6+1,$D6-1),0)</f>
        <v>0</v>
      </c>
      <c r="AE6" s="11" t="n">
        <f aca="false">IF($Z6=1,$E6-8*IF($F6="w",1,-1),0)</f>
        <v>0</v>
      </c>
      <c r="AF6" s="11" t="str">
        <f aca="false">IF($B6="","",IF($P6=1,LOWER(INDEX($CV$2:$CV$13,MATCH($G6,$CU$2:$CU$13,0)))&amp;" "&amp;MID("abcdefgh",MOD($D6-1,8)+1,1)&amp;(INT(($D6-1)/8)+1)&amp;"→"&amp;MID("abcdefgh",MOD($E6-1,8)+1,1)&amp;(INT(($E6-1)/8)+1)&amp;IF(OR($H6&lt;&gt;"",$Z6=1)," ×","")&amp;IF($Y6=1," castles","")&amp;IF($Z6=1," e.p.","")&amp;IF($AA6=1," =" &amp;LOWER(INDEX($CV$2:$CV$13,MATCH($F6&amp;$AB6,$CU$2:$CU$13,0))),""),"X "&amp;$Q6))</f>
        <v/>
      </c>
      <c r="AG6" s="11"/>
      <c r="AH6" s="11" t="str">
        <f aca="false">IF($P6=0,AH5,IF(AH$3=$E6,IF($AA6=1,$F6&amp;$AB6,$G6),IF(OR(AH$3=$D6,AH$3=$AC6,AH$3=$AE6),"",IF(AH$3=$AD6,$F6&amp;"R",AH5))))</f>
        <v>wR</v>
      </c>
      <c r="AI6" s="11" t="str">
        <f aca="false">IF($P6=0,AI5,IF(AI$3=$E6,IF($AA6=1,$F6&amp;$AB6,$G6),IF(OR(AI$3=$D6,AI$3=$AC6,AI$3=$AE6),"",IF(AI$3=$AD6,$F6&amp;"R",AI5))))</f>
        <v>wN</v>
      </c>
      <c r="AJ6" s="11" t="str">
        <f aca="false">IF($P6=0,AJ5,IF(AJ$3=$E6,IF($AA6=1,$F6&amp;$AB6,$G6),IF(OR(AJ$3=$D6,AJ$3=$AC6,AJ$3=$AE6),"",IF(AJ$3=$AD6,$F6&amp;"R",AJ5))))</f>
        <v>wB</v>
      </c>
      <c r="AK6" s="11" t="str">
        <f aca="false">IF($P6=0,AK5,IF(AK$3=$E6,IF($AA6=1,$F6&amp;$AB6,$G6),IF(OR(AK$3=$D6,AK$3=$AC6,AK$3=$AE6),"",IF(AK$3=$AD6,$F6&amp;"R",AK5))))</f>
        <v>wQ</v>
      </c>
      <c r="AL6" s="11" t="str">
        <f aca="false">IF($P6=0,AL5,IF(AL$3=$E6,IF($AA6=1,$F6&amp;$AB6,$G6),IF(OR(AL$3=$D6,AL$3=$AC6,AL$3=$AE6),"",IF(AL$3=$AD6,$F6&amp;"R",AL5))))</f>
        <v>wK</v>
      </c>
      <c r="AM6" s="11" t="str">
        <f aca="false">IF($P6=0,AM5,IF(AM$3=$E6,IF($AA6=1,$F6&amp;$AB6,$G6),IF(OR(AM$3=$D6,AM$3=$AC6,AM$3=$AE6),"",IF(AM$3=$AD6,$F6&amp;"R",AM5))))</f>
        <v>wB</v>
      </c>
      <c r="AN6" s="11" t="str">
        <f aca="false">IF($P6=0,AN5,IF(AN$3=$E6,IF($AA6=1,$F6&amp;$AB6,$G6),IF(OR(AN$3=$D6,AN$3=$AC6,AN$3=$AE6),"",IF(AN$3=$AD6,$F6&amp;"R",AN5))))</f>
        <v>wN</v>
      </c>
      <c r="AO6" s="11" t="str">
        <f aca="false">IF($P6=0,AO5,IF(AO$3=$E6,IF($AA6=1,$F6&amp;$AB6,$G6),IF(OR(AO$3=$D6,AO$3=$AC6,AO$3=$AE6),"",IF(AO$3=$AD6,$F6&amp;"R",AO5))))</f>
        <v>wR</v>
      </c>
      <c r="AP6" s="11" t="str">
        <f aca="false">IF($P6=0,AP5,IF(AP$3=$E6,IF($AA6=1,$F6&amp;$AB6,$G6),IF(OR(AP$3=$D6,AP$3=$AC6,AP$3=$AE6),"",IF(AP$3=$AD6,$F6&amp;"R",AP5))))</f>
        <v>wP</v>
      </c>
      <c r="AQ6" s="11" t="str">
        <f aca="false">IF($P6=0,AQ5,IF(AQ$3=$E6,IF($AA6=1,$F6&amp;$AB6,$G6),IF(OR(AQ$3=$D6,AQ$3=$AC6,AQ$3=$AE6),"",IF(AQ$3=$AD6,$F6&amp;"R",AQ5))))</f>
        <v>wP</v>
      </c>
      <c r="AR6" s="11" t="str">
        <f aca="false">IF($P6=0,AR5,IF(AR$3=$E6,IF($AA6=1,$F6&amp;$AB6,$G6),IF(OR(AR$3=$D6,AR$3=$AC6,AR$3=$AE6),"",IF(AR$3=$AD6,$F6&amp;"R",AR5))))</f>
        <v>wP</v>
      </c>
      <c r="AS6" s="11" t="str">
        <f aca="false">IF($P6=0,AS5,IF(AS$3=$E6,IF($AA6=1,$F6&amp;$AB6,$G6),IF(OR(AS$3=$D6,AS$3=$AC6,AS$3=$AE6),"",IF(AS$3=$AD6,$F6&amp;"R",AS5))))</f>
        <v>wP</v>
      </c>
      <c r="AT6" s="11" t="str">
        <f aca="false">IF($P6=0,AT5,IF(AT$3=$E6,IF($AA6=1,$F6&amp;$AB6,$G6),IF(OR(AT$3=$D6,AT$3=$AC6,AT$3=$AE6),"",IF(AT$3=$AD6,$F6&amp;"R",AT5))))</f>
        <v>wP</v>
      </c>
      <c r="AU6" s="11" t="str">
        <f aca="false">IF($P6=0,AU5,IF(AU$3=$E6,IF($AA6=1,$F6&amp;$AB6,$G6),IF(OR(AU$3=$D6,AU$3=$AC6,AU$3=$AE6),"",IF(AU$3=$AD6,$F6&amp;"R",AU5))))</f>
        <v>wP</v>
      </c>
      <c r="AV6" s="11" t="str">
        <f aca="false">IF($P6=0,AV5,IF(AV$3=$E6,IF($AA6=1,$F6&amp;$AB6,$G6),IF(OR(AV$3=$D6,AV$3=$AC6,AV$3=$AE6),"",IF(AV$3=$AD6,$F6&amp;"R",AV5))))</f>
        <v>wP</v>
      </c>
      <c r="AW6" s="11" t="str">
        <f aca="false">IF($P6=0,AW5,IF(AW$3=$E6,IF($AA6=1,$F6&amp;$AB6,$G6),IF(OR(AW$3=$D6,AW$3=$AC6,AW$3=$AE6),"",IF(AW$3=$AD6,$F6&amp;"R",AW5))))</f>
        <v>wP</v>
      </c>
      <c r="AX6" s="11" t="str">
        <f aca="false">IF($P6=0,AX5,IF(AX$3=$E6,IF($AA6=1,$F6&amp;$AB6,$G6),IF(OR(AX$3=$D6,AX$3=$AC6,AX$3=$AE6),"",IF(AX$3=$AD6,$F6&amp;"R",AX5))))</f>
        <v/>
      </c>
      <c r="AY6" s="11" t="str">
        <f aca="false">IF($P6=0,AY5,IF(AY$3=$E6,IF($AA6=1,$F6&amp;$AB6,$G6),IF(OR(AY$3=$D6,AY$3=$AC6,AY$3=$AE6),"",IF(AY$3=$AD6,$F6&amp;"R",AY5))))</f>
        <v/>
      </c>
      <c r="AZ6" s="11" t="str">
        <f aca="false">IF($P6=0,AZ5,IF(AZ$3=$E6,IF($AA6=1,$F6&amp;$AB6,$G6),IF(OR(AZ$3=$D6,AZ$3=$AC6,AZ$3=$AE6),"",IF(AZ$3=$AD6,$F6&amp;"R",AZ5))))</f>
        <v/>
      </c>
      <c r="BA6" s="11" t="str">
        <f aca="false">IF($P6=0,BA5,IF(BA$3=$E6,IF($AA6=1,$F6&amp;$AB6,$G6),IF(OR(BA$3=$D6,BA$3=$AC6,BA$3=$AE6),"",IF(BA$3=$AD6,$F6&amp;"R",BA5))))</f>
        <v/>
      </c>
      <c r="BB6" s="11" t="str">
        <f aca="false">IF($P6=0,BB5,IF(BB$3=$E6,IF($AA6=1,$F6&amp;$AB6,$G6),IF(OR(BB$3=$D6,BB$3=$AC6,BB$3=$AE6),"",IF(BB$3=$AD6,$F6&amp;"R",BB5))))</f>
        <v/>
      </c>
      <c r="BC6" s="11" t="str">
        <f aca="false">IF($P6=0,BC5,IF(BC$3=$E6,IF($AA6=1,$F6&amp;$AB6,$G6),IF(OR(BC$3=$D6,BC$3=$AC6,BC$3=$AE6),"",IF(BC$3=$AD6,$F6&amp;"R",BC5))))</f>
        <v/>
      </c>
      <c r="BD6" s="11" t="str">
        <f aca="false">IF($P6=0,BD5,IF(BD$3=$E6,IF($AA6=1,$F6&amp;$AB6,$G6),IF(OR(BD$3=$D6,BD$3=$AC6,BD$3=$AE6),"",IF(BD$3=$AD6,$F6&amp;"R",BD5))))</f>
        <v/>
      </c>
      <c r="BE6" s="11" t="str">
        <f aca="false">IF($P6=0,BE5,IF(BE$3=$E6,IF($AA6=1,$F6&amp;$AB6,$G6),IF(OR(BE$3=$D6,BE$3=$AC6,BE$3=$AE6),"",IF(BE$3=$AD6,$F6&amp;"R",BE5))))</f>
        <v/>
      </c>
      <c r="BF6" s="11" t="str">
        <f aca="false">IF($P6=0,BF5,IF(BF$3=$E6,IF($AA6=1,$F6&amp;$AB6,$G6),IF(OR(BF$3=$D6,BF$3=$AC6,BF$3=$AE6),"",IF(BF$3=$AD6,$F6&amp;"R",BF5))))</f>
        <v/>
      </c>
      <c r="BG6" s="11" t="str">
        <f aca="false">IF($P6=0,BG5,IF(BG$3=$E6,IF($AA6=1,$F6&amp;$AB6,$G6),IF(OR(BG$3=$D6,BG$3=$AC6,BG$3=$AE6),"",IF(BG$3=$AD6,$F6&amp;"R",BG5))))</f>
        <v/>
      </c>
      <c r="BH6" s="11" t="str">
        <f aca="false">IF($P6=0,BH5,IF(BH$3=$E6,IF($AA6=1,$F6&amp;$AB6,$G6),IF(OR(BH$3=$D6,BH$3=$AC6,BH$3=$AE6),"",IF(BH$3=$AD6,$F6&amp;"R",BH5))))</f>
        <v/>
      </c>
      <c r="BI6" s="11" t="str">
        <f aca="false">IF($P6=0,BI5,IF(BI$3=$E6,IF($AA6=1,$F6&amp;$AB6,$G6),IF(OR(BI$3=$D6,BI$3=$AC6,BI$3=$AE6),"",IF(BI$3=$AD6,$F6&amp;"R",BI5))))</f>
        <v/>
      </c>
      <c r="BJ6" s="11" t="str">
        <f aca="false">IF($P6=0,BJ5,IF(BJ$3=$E6,IF($AA6=1,$F6&amp;$AB6,$G6),IF(OR(BJ$3=$D6,BJ$3=$AC6,BJ$3=$AE6),"",IF(BJ$3=$AD6,$F6&amp;"R",BJ5))))</f>
        <v/>
      </c>
      <c r="BK6" s="11" t="str">
        <f aca="false">IF($P6=0,BK5,IF(BK$3=$E6,IF($AA6=1,$F6&amp;$AB6,$G6),IF(OR(BK$3=$D6,BK$3=$AC6,BK$3=$AE6),"",IF(BK$3=$AD6,$F6&amp;"R",BK5))))</f>
        <v/>
      </c>
      <c r="BL6" s="11" t="str">
        <f aca="false">IF($P6=0,BL5,IF(BL$3=$E6,IF($AA6=1,$F6&amp;$AB6,$G6),IF(OR(BL$3=$D6,BL$3=$AC6,BL$3=$AE6),"",IF(BL$3=$AD6,$F6&amp;"R",BL5))))</f>
        <v/>
      </c>
      <c r="BM6" s="11" t="str">
        <f aca="false">IF($P6=0,BM5,IF(BM$3=$E6,IF($AA6=1,$F6&amp;$AB6,$G6),IF(OR(BM$3=$D6,BM$3=$AC6,BM$3=$AE6),"",IF(BM$3=$AD6,$F6&amp;"R",BM5))))</f>
        <v/>
      </c>
      <c r="BN6" s="11" t="str">
        <f aca="false">IF($P6=0,BN5,IF(BN$3=$E6,IF($AA6=1,$F6&amp;$AB6,$G6),IF(OR(BN$3=$D6,BN$3=$AC6,BN$3=$AE6),"",IF(BN$3=$AD6,$F6&amp;"R",BN5))))</f>
        <v/>
      </c>
      <c r="BO6" s="11" t="str">
        <f aca="false">IF($P6=0,BO5,IF(BO$3=$E6,IF($AA6=1,$F6&amp;$AB6,$G6),IF(OR(BO$3=$D6,BO$3=$AC6,BO$3=$AE6),"",IF(BO$3=$AD6,$F6&amp;"R",BO5))))</f>
        <v/>
      </c>
      <c r="BP6" s="11" t="str">
        <f aca="false">IF($P6=0,BP5,IF(BP$3=$E6,IF($AA6=1,$F6&amp;$AB6,$G6),IF(OR(BP$3=$D6,BP$3=$AC6,BP$3=$AE6),"",IF(BP$3=$AD6,$F6&amp;"R",BP5))))</f>
        <v/>
      </c>
      <c r="BQ6" s="11" t="str">
        <f aca="false">IF($P6=0,BQ5,IF(BQ$3=$E6,IF($AA6=1,$F6&amp;$AB6,$G6),IF(OR(BQ$3=$D6,BQ$3=$AC6,BQ$3=$AE6),"",IF(BQ$3=$AD6,$F6&amp;"R",BQ5))))</f>
        <v/>
      </c>
      <c r="BR6" s="11" t="str">
        <f aca="false">IF($P6=0,BR5,IF(BR$3=$E6,IF($AA6=1,$F6&amp;$AB6,$G6),IF(OR(BR$3=$D6,BR$3=$AC6,BR$3=$AE6),"",IF(BR$3=$AD6,$F6&amp;"R",BR5))))</f>
        <v/>
      </c>
      <c r="BS6" s="11" t="str">
        <f aca="false">IF($P6=0,BS5,IF(BS$3=$E6,IF($AA6=1,$F6&amp;$AB6,$G6),IF(OR(BS$3=$D6,BS$3=$AC6,BS$3=$AE6),"",IF(BS$3=$AD6,$F6&amp;"R",BS5))))</f>
        <v/>
      </c>
      <c r="BT6" s="11" t="str">
        <f aca="false">IF($P6=0,BT5,IF(BT$3=$E6,IF($AA6=1,$F6&amp;$AB6,$G6),IF(OR(BT$3=$D6,BT$3=$AC6,BT$3=$AE6),"",IF(BT$3=$AD6,$F6&amp;"R",BT5))))</f>
        <v/>
      </c>
      <c r="BU6" s="11" t="str">
        <f aca="false">IF($P6=0,BU5,IF(BU$3=$E6,IF($AA6=1,$F6&amp;$AB6,$G6),IF(OR(BU$3=$D6,BU$3=$AC6,BU$3=$AE6),"",IF(BU$3=$AD6,$F6&amp;"R",BU5))))</f>
        <v/>
      </c>
      <c r="BV6" s="11" t="str">
        <f aca="false">IF($P6=0,BV5,IF(BV$3=$E6,IF($AA6=1,$F6&amp;$AB6,$G6),IF(OR(BV$3=$D6,BV$3=$AC6,BV$3=$AE6),"",IF(BV$3=$AD6,$F6&amp;"R",BV5))))</f>
        <v/>
      </c>
      <c r="BW6" s="11" t="str">
        <f aca="false">IF($P6=0,BW5,IF(BW$3=$E6,IF($AA6=1,$F6&amp;$AB6,$G6),IF(OR(BW$3=$D6,BW$3=$AC6,BW$3=$AE6),"",IF(BW$3=$AD6,$F6&amp;"R",BW5))))</f>
        <v/>
      </c>
      <c r="BX6" s="11" t="str">
        <f aca="false">IF($P6=0,BX5,IF(BX$3=$E6,IF($AA6=1,$F6&amp;$AB6,$G6),IF(OR(BX$3=$D6,BX$3=$AC6,BX$3=$AE6),"",IF(BX$3=$AD6,$F6&amp;"R",BX5))))</f>
        <v/>
      </c>
      <c r="BY6" s="11" t="str">
        <f aca="false">IF($P6=0,BY5,IF(BY$3=$E6,IF($AA6=1,$F6&amp;$AB6,$G6),IF(OR(BY$3=$D6,BY$3=$AC6,BY$3=$AE6),"",IF(BY$3=$AD6,$F6&amp;"R",BY5))))</f>
        <v/>
      </c>
      <c r="BZ6" s="11" t="str">
        <f aca="false">IF($P6=0,BZ5,IF(BZ$3=$E6,IF($AA6=1,$F6&amp;$AB6,$G6),IF(OR(BZ$3=$D6,BZ$3=$AC6,BZ$3=$AE6),"",IF(BZ$3=$AD6,$F6&amp;"R",BZ5))))</f>
        <v/>
      </c>
      <c r="CA6" s="11" t="str">
        <f aca="false">IF($P6=0,CA5,IF(CA$3=$E6,IF($AA6=1,$F6&amp;$AB6,$G6),IF(OR(CA$3=$D6,CA$3=$AC6,CA$3=$AE6),"",IF(CA$3=$AD6,$F6&amp;"R",CA5))))</f>
        <v/>
      </c>
      <c r="CB6" s="11" t="str">
        <f aca="false">IF($P6=0,CB5,IF(CB$3=$E6,IF($AA6=1,$F6&amp;$AB6,$G6),IF(OR(CB$3=$D6,CB$3=$AC6,CB$3=$AE6),"",IF(CB$3=$AD6,$F6&amp;"R",CB5))))</f>
        <v/>
      </c>
      <c r="CC6" s="11" t="str">
        <f aca="false">IF($P6=0,CC5,IF(CC$3=$E6,IF($AA6=1,$F6&amp;$AB6,$G6),IF(OR(CC$3=$D6,CC$3=$AC6,CC$3=$AE6),"",IF(CC$3=$AD6,$F6&amp;"R",CC5))))</f>
        <v/>
      </c>
      <c r="CD6" s="11" t="str">
        <f aca="false">IF($P6=0,CD5,IF(CD$3=$E6,IF($AA6=1,$F6&amp;$AB6,$G6),IF(OR(CD$3=$D6,CD$3=$AC6,CD$3=$AE6),"",IF(CD$3=$AD6,$F6&amp;"R",CD5))))</f>
        <v>bP</v>
      </c>
      <c r="CE6" s="11" t="str">
        <f aca="false">IF($P6=0,CE5,IF(CE$3=$E6,IF($AA6=1,$F6&amp;$AB6,$G6),IF(OR(CE$3=$D6,CE$3=$AC6,CE$3=$AE6),"",IF(CE$3=$AD6,$F6&amp;"R",CE5))))</f>
        <v>bP</v>
      </c>
      <c r="CF6" s="11" t="str">
        <f aca="false">IF($P6=0,CF5,IF(CF$3=$E6,IF($AA6=1,$F6&amp;$AB6,$G6),IF(OR(CF$3=$D6,CF$3=$AC6,CF$3=$AE6),"",IF(CF$3=$AD6,$F6&amp;"R",CF5))))</f>
        <v>bP</v>
      </c>
      <c r="CG6" s="11" t="str">
        <f aca="false">IF($P6=0,CG5,IF(CG$3=$E6,IF($AA6=1,$F6&amp;$AB6,$G6),IF(OR(CG$3=$D6,CG$3=$AC6,CG$3=$AE6),"",IF(CG$3=$AD6,$F6&amp;"R",CG5))))</f>
        <v>bP</v>
      </c>
      <c r="CH6" s="11" t="str">
        <f aca="false">IF($P6=0,CH5,IF(CH$3=$E6,IF($AA6=1,$F6&amp;$AB6,$G6),IF(OR(CH$3=$D6,CH$3=$AC6,CH$3=$AE6),"",IF(CH$3=$AD6,$F6&amp;"R",CH5))))</f>
        <v>bP</v>
      </c>
      <c r="CI6" s="11" t="str">
        <f aca="false">IF($P6=0,CI5,IF(CI$3=$E6,IF($AA6=1,$F6&amp;$AB6,$G6),IF(OR(CI$3=$D6,CI$3=$AC6,CI$3=$AE6),"",IF(CI$3=$AD6,$F6&amp;"R",CI5))))</f>
        <v>bP</v>
      </c>
      <c r="CJ6" s="11" t="str">
        <f aca="false">IF($P6=0,CJ5,IF(CJ$3=$E6,IF($AA6=1,$F6&amp;$AB6,$G6),IF(OR(CJ$3=$D6,CJ$3=$AC6,CJ$3=$AE6),"",IF(CJ$3=$AD6,$F6&amp;"R",CJ5))))</f>
        <v>bP</v>
      </c>
      <c r="CK6" s="11" t="str">
        <f aca="false">IF($P6=0,CK5,IF(CK$3=$E6,IF($AA6=1,$F6&amp;$AB6,$G6),IF(OR(CK$3=$D6,CK$3=$AC6,CK$3=$AE6),"",IF(CK$3=$AD6,$F6&amp;"R",CK5))))</f>
        <v>bP</v>
      </c>
      <c r="CL6" s="11" t="str">
        <f aca="false">IF($P6=0,CL5,IF(CL$3=$E6,IF($AA6=1,$F6&amp;$AB6,$G6),IF(OR(CL$3=$D6,CL$3=$AC6,CL$3=$AE6),"",IF(CL$3=$AD6,$F6&amp;"R",CL5))))</f>
        <v>bR</v>
      </c>
      <c r="CM6" s="11" t="str">
        <f aca="false">IF($P6=0,CM5,IF(CM$3=$E6,IF($AA6=1,$F6&amp;$AB6,$G6),IF(OR(CM$3=$D6,CM$3=$AC6,CM$3=$AE6),"",IF(CM$3=$AD6,$F6&amp;"R",CM5))))</f>
        <v>bN</v>
      </c>
      <c r="CN6" s="11" t="str">
        <f aca="false">IF($P6=0,CN5,IF(CN$3=$E6,IF($AA6=1,$F6&amp;$AB6,$G6),IF(OR(CN$3=$D6,CN$3=$AC6,CN$3=$AE6),"",IF(CN$3=$AD6,$F6&amp;"R",CN5))))</f>
        <v>bB</v>
      </c>
      <c r="CO6" s="11" t="str">
        <f aca="false">IF($P6=0,CO5,IF(CO$3=$E6,IF($AA6=1,$F6&amp;$AB6,$G6),IF(OR(CO$3=$D6,CO$3=$AC6,CO$3=$AE6),"",IF(CO$3=$AD6,$F6&amp;"R",CO5))))</f>
        <v>bQ</v>
      </c>
      <c r="CP6" s="11" t="str">
        <f aca="false">IF($P6=0,CP5,IF(CP$3=$E6,IF($AA6=1,$F6&amp;$AB6,$G6),IF(OR(CP$3=$D6,CP$3=$AC6,CP$3=$AE6),"",IF(CP$3=$AD6,$F6&amp;"R",CP5))))</f>
        <v>bK</v>
      </c>
      <c r="CQ6" s="11" t="str">
        <f aca="false">IF($P6=0,CQ5,IF(CQ$3=$E6,IF($AA6=1,$F6&amp;$AB6,$G6),IF(OR(CQ$3=$D6,CQ$3=$AC6,CQ$3=$AE6),"",IF(CQ$3=$AD6,$F6&amp;"R",CQ5))))</f>
        <v>bB</v>
      </c>
      <c r="CR6" s="11" t="str">
        <f aca="false">IF($P6=0,CR5,IF(CR$3=$E6,IF($AA6=1,$F6&amp;$AB6,$G6),IF(OR(CR$3=$D6,CR$3=$AC6,CR$3=$AE6),"",IF(CR$3=$AD6,$F6&amp;"R",CR5))))</f>
        <v>bN</v>
      </c>
      <c r="CS6" s="11" t="str">
        <f aca="false">IF($P6=0,CS5,IF(CS$3=$E6,IF($AA6=1,$F6&amp;$AB6,$G6),IF(OR(CS$3=$D6,CS$3=$AC6,CS$3=$AE6),"",IF(CS$3=$AD6,$F6&amp;"R",CS5))))</f>
        <v>bR</v>
      </c>
      <c r="CT6" s="11"/>
      <c r="CU6" s="11" t="s">
        <v>117</v>
      </c>
      <c r="CV6" s="11" t="s">
        <v>127</v>
      </c>
    </row>
    <row r="7" customFormat="false" ht="15" hidden="false" customHeight="false" outlineLevel="0" collapsed="false">
      <c r="A7" s="11" t="n">
        <v>2</v>
      </c>
      <c r="B7" s="11" t="str">
        <f aca="false">IF(Chess!$L$11="","",Chess!$L$11&amp;"")</f>
        <v/>
      </c>
      <c r="C7" s="11" t="str">
        <f aca="false">LOWER(SUBSTITUTE(SUBSTITUTE(SUBSTITUTE(SUBSTITUTE(TRIM($B7),"-",""),"=","")," ",""),"x",""))</f>
        <v/>
      </c>
      <c r="D7" s="11" t="n">
        <f aca="false">IF(LEN($C7)&lt;4,0,IFERROR(IF(AND(CODE(MID($C7,1,1))&gt;=97,CODE(MID($C7,1,1))&lt;=104,VALUE(MID($C7,2,1))&gt;=1,VALUE(MID($C7,2,1))&lt;=8),(VALUE(MID($C7,2,1))-1)*8+CODE(MID($C7,1,1))-96,0),0))</f>
        <v>0</v>
      </c>
      <c r="E7" s="11" t="n">
        <f aca="false">IF(LEN($C7)&lt;4,0,IFERROR(IF(AND(CODE(MID($C7,3,1))&gt;=97,CODE(MID($C7,3,1))&lt;=104,VALUE(MID($C7,4,1))&gt;=1,VALUE(MID($C7,4,1))&lt;=8),(VALUE(MID($C7,4,1))-1)*8+CODE(MID($C7,3,1))-96,0),0))</f>
        <v>0</v>
      </c>
      <c r="F7" s="11" t="str">
        <f aca="false">IF(MOD(SUM($P$5:$P6),2)=0,"w","b")</f>
        <v>w</v>
      </c>
      <c r="G7" s="11" t="str">
        <f aca="false">IF($D7=0,"",INDEX($AH6:$CS6,1,$D7)&amp;"")</f>
        <v/>
      </c>
      <c r="H7" s="11" t="str">
        <f aca="false">IF($E7=0,"",INDEX($AH6:$CS6,1,$E7)&amp;"")</f>
        <v/>
      </c>
      <c r="I7" s="11" t="n">
        <f aca="false">IF(OR($D7=0,$E7=0),0,MOD($E7-1,8)-MOD($D7-1,8))</f>
        <v>0</v>
      </c>
      <c r="J7" s="11" t="n">
        <f aca="false">IF(OR($D7=0,$E7=0),0,INT(($E7-1)/8)-INT(($D7-1)/8))</f>
        <v>0</v>
      </c>
      <c r="K7" s="11" t="str">
        <f aca="false">IF($G7="","",RIGHT($G7,1))</f>
        <v/>
      </c>
      <c r="L7" s="11" t="n">
        <f aca="false">IF(OR($D7=0,$E7=0),0,SUMPRODUCT(($AH$3:$CS$3&gt;MIN($D7,$E7))*($AH$3:$CS$3&lt;MAX($D7,$E7))*(MOD($AH$3:$CS$3-MIN($D7,$E7),MAX(1,ABS(SIGN($J7)*8+SIGN($I7))))=0)*($AH6:$CS6&lt;&gt;"")))</f>
        <v>0</v>
      </c>
      <c r="M7" s="11" t="n">
        <f aca="false">IF($K7&lt;&gt;"K",0,IFERROR(--AND($J7=0,ABS($I7)=2,$D7=IF($F7="w",5,61),IF($F7="w",$S6,$V6)=0,IF($I7=2,AND(IF($F7="w",$U6,$X6)=0,INDEX($AH6:$CS6,1,$D7+1)&amp;""="",INDEX($AH6:$CS6,1,$D7+2)&amp;""=""),AND(IF($F7="w",$T6,$W6)=0,INDEX($AH6:$CS6,1,$D7-1)&amp;""="",INDEX($AH6:$CS6,1,$D7-2)&amp;""="",INDEX($AH6:$CS6,1,$D7-3)&amp;""=""))),0))</f>
        <v>0</v>
      </c>
      <c r="N7" s="11" t="n">
        <f aca="false">IF($K7&lt;&gt;"P",0,IFERROR(--OR(AND($I7=0,$J7=IF($F7="w",1,-1),$H7=""),AND($I7=0,$J7=2*IF($F7="w",1,-1),$H7="",INT(($D7-1)/8)=IF($F7="w",1,6),INDEX($AH6:$CS6,1,MAX(1,MIN(64,$D7+8*IF($F7="w",1,-1))))&amp;""=""),AND(ABS($I7)=1,$J7=IF($F7="w",1,-1),$H7&lt;&gt;""),AND(ABS($I7)=1,$J7=IF($F7="w",1,-1),$H7="",$R6&gt;0,$E7=$R6)),0))</f>
        <v>0</v>
      </c>
      <c r="O7" s="11" t="n">
        <f aca="false">IF(OR($D7=0,$E7=0,$G7=""),0,IF($K7="N",--OR(AND(ABS($I7)=1,ABS($J7)=2),AND(ABS($I7)=2,ABS($J7)=1)),IF($K7="B",--AND(ABS($I7)=ABS($J7),$I7&lt;&gt;0,$L7=0),IF($K7="R",--AND(OR($I7=0,$J7=0),OR($I7&lt;&gt;0,$J7&lt;&gt;0),$L7=0),IF($K7="Q",--AND(OR(AND(ABS($I7)=ABS($J7),$I7&lt;&gt;0),AND(OR($I7=0,$J7=0),OR($I7&lt;&gt;0,$J7&lt;&gt;0))),$L7=0),IF($K7="K",--OR(MAX(ABS($I7),ABS($J7))=1,$M7=1),$N7))))))</f>
        <v>0</v>
      </c>
      <c r="P7" s="11" t="n">
        <f aca="false">IF($Q7="OK",1,0)</f>
        <v>0</v>
      </c>
      <c r="Q7" s="11" t="str">
        <f aca="false">IF($B7="","",IF(OR(COUNTIF($AH6:$CS6,"wK")=0,COUNTIF($AH6:$CS6,"bK")=0),"Game is over",IF(OR($D7=0,$E7=0),"Use the format e2e4",IF($G7="","No piece on that square",IF(LEFT($G7,1)&lt;&gt;$F7,"Not your piece ("&amp;IF($F7="w","White","Black")&amp;" to move)",IF($D7=$E7,"Piece must move",IF(AND($H7&lt;&gt;"",LEFT($H7,1)=$F7),"Cannot capture your own piece",IF($O7=0,"Illegal move for that piece (or path blocked)","OK"))))))))</f>
        <v/>
      </c>
      <c r="R7" s="11" t="n">
        <f aca="false">IF($P7=1,IF(AND($K7="P",ABS($J7)=2),($D7+$E7)/2,0),$R6)</f>
        <v>0</v>
      </c>
      <c r="S7" s="12" t="b">
        <f aca="false">--OR($S6=1,AND($P7=1,OR($D7=5,$E7=5)))</f>
        <v>0</v>
      </c>
      <c r="T7" s="12" t="b">
        <f aca="false">--OR($T6=1,AND($P7=1,OR($D7=1,$E7=1)))</f>
        <v>0</v>
      </c>
      <c r="U7" s="12" t="b">
        <f aca="false">--OR($U6=1,AND($P7=1,OR($D7=8,$E7=8)))</f>
        <v>0</v>
      </c>
      <c r="V7" s="12" t="b">
        <f aca="false">--OR($V6=1,AND($P7=1,OR($D7=61,$E7=61)))</f>
        <v>0</v>
      </c>
      <c r="W7" s="12" t="b">
        <f aca="false">--OR($W6=1,AND($P7=1,OR($D7=57,$E7=57)))</f>
        <v>0</v>
      </c>
      <c r="X7" s="12" t="b">
        <f aca="false">--OR($X6=1,AND($P7=1,OR($D7=64,$E7=64)))</f>
        <v>0</v>
      </c>
      <c r="Y7" s="12" t="b">
        <f aca="false">--AND($P7=1,$K7="K",ABS($I7)=2)</f>
        <v>0</v>
      </c>
      <c r="Z7" s="12" t="b">
        <f aca="false">--AND($P7=1,$K7="P",ABS($I7)=1,$H7="")</f>
        <v>0</v>
      </c>
      <c r="AA7" s="12" t="b">
        <f aca="false">--AND($P7=1,$K7="P",INT(($E7-1)/8)=IF($F7="w",7,0))</f>
        <v>0</v>
      </c>
      <c r="AB7" s="11" t="str">
        <f aca="false">IF(LEN($C7)&gt;=5,IF(ISNUMBER(FIND(MID($C7,5,1),"qrbn")),UPPER(MID($C7,5,1)),"Q"),"Q")</f>
        <v>Q</v>
      </c>
      <c r="AC7" s="11" t="n">
        <f aca="false">IF($Y7=1,IF($I7=2,$D7+3,$D7-4),0)</f>
        <v>0</v>
      </c>
      <c r="AD7" s="11" t="n">
        <f aca="false">IF($Y7=1,IF($I7=2,$D7+1,$D7-1),0)</f>
        <v>0</v>
      </c>
      <c r="AE7" s="11" t="n">
        <f aca="false">IF($Z7=1,$E7-8*IF($F7="w",1,-1),0)</f>
        <v>0</v>
      </c>
      <c r="AF7" s="11" t="str">
        <f aca="false">IF($B7="","",IF($P7=1,LOWER(INDEX($CV$2:$CV$13,MATCH($G7,$CU$2:$CU$13,0)))&amp;" "&amp;MID("abcdefgh",MOD($D7-1,8)+1,1)&amp;(INT(($D7-1)/8)+1)&amp;"→"&amp;MID("abcdefgh",MOD($E7-1,8)+1,1)&amp;(INT(($E7-1)/8)+1)&amp;IF(OR($H7&lt;&gt;"",$Z7=1)," ×","")&amp;IF($Y7=1," castles","")&amp;IF($Z7=1," e.p.","")&amp;IF($AA7=1," =" &amp;LOWER(INDEX($CV$2:$CV$13,MATCH($F7&amp;$AB7,$CU$2:$CU$13,0))),""),"X "&amp;$Q7))</f>
        <v/>
      </c>
      <c r="AG7" s="11"/>
      <c r="AH7" s="11" t="str">
        <f aca="false">IF($P7=0,AH6,IF(AH$3=$E7,IF($AA7=1,$F7&amp;$AB7,$G7),IF(OR(AH$3=$D7,AH$3=$AC7,AH$3=$AE7),"",IF(AH$3=$AD7,$F7&amp;"R",AH6))))</f>
        <v>wR</v>
      </c>
      <c r="AI7" s="11" t="str">
        <f aca="false">IF($P7=0,AI6,IF(AI$3=$E7,IF($AA7=1,$F7&amp;$AB7,$G7),IF(OR(AI$3=$D7,AI$3=$AC7,AI$3=$AE7),"",IF(AI$3=$AD7,$F7&amp;"R",AI6))))</f>
        <v>wN</v>
      </c>
      <c r="AJ7" s="11" t="str">
        <f aca="false">IF($P7=0,AJ6,IF(AJ$3=$E7,IF($AA7=1,$F7&amp;$AB7,$G7),IF(OR(AJ$3=$D7,AJ$3=$AC7,AJ$3=$AE7),"",IF(AJ$3=$AD7,$F7&amp;"R",AJ6))))</f>
        <v>wB</v>
      </c>
      <c r="AK7" s="11" t="str">
        <f aca="false">IF($P7=0,AK6,IF(AK$3=$E7,IF($AA7=1,$F7&amp;$AB7,$G7),IF(OR(AK$3=$D7,AK$3=$AC7,AK$3=$AE7),"",IF(AK$3=$AD7,$F7&amp;"R",AK6))))</f>
        <v>wQ</v>
      </c>
      <c r="AL7" s="11" t="str">
        <f aca="false">IF($P7=0,AL6,IF(AL$3=$E7,IF($AA7=1,$F7&amp;$AB7,$G7),IF(OR(AL$3=$D7,AL$3=$AC7,AL$3=$AE7),"",IF(AL$3=$AD7,$F7&amp;"R",AL6))))</f>
        <v>wK</v>
      </c>
      <c r="AM7" s="11" t="str">
        <f aca="false">IF($P7=0,AM6,IF(AM$3=$E7,IF($AA7=1,$F7&amp;$AB7,$G7),IF(OR(AM$3=$D7,AM$3=$AC7,AM$3=$AE7),"",IF(AM$3=$AD7,$F7&amp;"R",AM6))))</f>
        <v>wB</v>
      </c>
      <c r="AN7" s="11" t="str">
        <f aca="false">IF($P7=0,AN6,IF(AN$3=$E7,IF($AA7=1,$F7&amp;$AB7,$G7),IF(OR(AN$3=$D7,AN$3=$AC7,AN$3=$AE7),"",IF(AN$3=$AD7,$F7&amp;"R",AN6))))</f>
        <v>wN</v>
      </c>
      <c r="AO7" s="11" t="str">
        <f aca="false">IF($P7=0,AO6,IF(AO$3=$E7,IF($AA7=1,$F7&amp;$AB7,$G7),IF(OR(AO$3=$D7,AO$3=$AC7,AO$3=$AE7),"",IF(AO$3=$AD7,$F7&amp;"R",AO6))))</f>
        <v>wR</v>
      </c>
      <c r="AP7" s="11" t="str">
        <f aca="false">IF($P7=0,AP6,IF(AP$3=$E7,IF($AA7=1,$F7&amp;$AB7,$G7),IF(OR(AP$3=$D7,AP$3=$AC7,AP$3=$AE7),"",IF(AP$3=$AD7,$F7&amp;"R",AP6))))</f>
        <v>wP</v>
      </c>
      <c r="AQ7" s="11" t="str">
        <f aca="false">IF($P7=0,AQ6,IF(AQ$3=$E7,IF($AA7=1,$F7&amp;$AB7,$G7),IF(OR(AQ$3=$D7,AQ$3=$AC7,AQ$3=$AE7),"",IF(AQ$3=$AD7,$F7&amp;"R",AQ6))))</f>
        <v>wP</v>
      </c>
      <c r="AR7" s="11" t="str">
        <f aca="false">IF($P7=0,AR6,IF(AR$3=$E7,IF($AA7=1,$F7&amp;$AB7,$G7),IF(OR(AR$3=$D7,AR$3=$AC7,AR$3=$AE7),"",IF(AR$3=$AD7,$F7&amp;"R",AR6))))</f>
        <v>wP</v>
      </c>
      <c r="AS7" s="11" t="str">
        <f aca="false">IF($P7=0,AS6,IF(AS$3=$E7,IF($AA7=1,$F7&amp;$AB7,$G7),IF(OR(AS$3=$D7,AS$3=$AC7,AS$3=$AE7),"",IF(AS$3=$AD7,$F7&amp;"R",AS6))))</f>
        <v>wP</v>
      </c>
      <c r="AT7" s="11" t="str">
        <f aca="false">IF($P7=0,AT6,IF(AT$3=$E7,IF($AA7=1,$F7&amp;$AB7,$G7),IF(OR(AT$3=$D7,AT$3=$AC7,AT$3=$AE7),"",IF(AT$3=$AD7,$F7&amp;"R",AT6))))</f>
        <v>wP</v>
      </c>
      <c r="AU7" s="11" t="str">
        <f aca="false">IF($P7=0,AU6,IF(AU$3=$E7,IF($AA7=1,$F7&amp;$AB7,$G7),IF(OR(AU$3=$D7,AU$3=$AC7,AU$3=$AE7),"",IF(AU$3=$AD7,$F7&amp;"R",AU6))))</f>
        <v>wP</v>
      </c>
      <c r="AV7" s="11" t="str">
        <f aca="false">IF($P7=0,AV6,IF(AV$3=$E7,IF($AA7=1,$F7&amp;$AB7,$G7),IF(OR(AV$3=$D7,AV$3=$AC7,AV$3=$AE7),"",IF(AV$3=$AD7,$F7&amp;"R",AV6))))</f>
        <v>wP</v>
      </c>
      <c r="AW7" s="11" t="str">
        <f aca="false">IF($P7=0,AW6,IF(AW$3=$E7,IF($AA7=1,$F7&amp;$AB7,$G7),IF(OR(AW$3=$D7,AW$3=$AC7,AW$3=$AE7),"",IF(AW$3=$AD7,$F7&amp;"R",AW6))))</f>
        <v>wP</v>
      </c>
      <c r="AX7" s="11" t="str">
        <f aca="false">IF($P7=0,AX6,IF(AX$3=$E7,IF($AA7=1,$F7&amp;$AB7,$G7),IF(OR(AX$3=$D7,AX$3=$AC7,AX$3=$AE7),"",IF(AX$3=$AD7,$F7&amp;"R",AX6))))</f>
        <v/>
      </c>
      <c r="AY7" s="11" t="str">
        <f aca="false">IF($P7=0,AY6,IF(AY$3=$E7,IF($AA7=1,$F7&amp;$AB7,$G7),IF(OR(AY$3=$D7,AY$3=$AC7,AY$3=$AE7),"",IF(AY$3=$AD7,$F7&amp;"R",AY6))))</f>
        <v/>
      </c>
      <c r="AZ7" s="11" t="str">
        <f aca="false">IF($P7=0,AZ6,IF(AZ$3=$E7,IF($AA7=1,$F7&amp;$AB7,$G7),IF(OR(AZ$3=$D7,AZ$3=$AC7,AZ$3=$AE7),"",IF(AZ$3=$AD7,$F7&amp;"R",AZ6))))</f>
        <v/>
      </c>
      <c r="BA7" s="11" t="str">
        <f aca="false">IF($P7=0,BA6,IF(BA$3=$E7,IF($AA7=1,$F7&amp;$AB7,$G7),IF(OR(BA$3=$D7,BA$3=$AC7,BA$3=$AE7),"",IF(BA$3=$AD7,$F7&amp;"R",BA6))))</f>
        <v/>
      </c>
      <c r="BB7" s="11" t="str">
        <f aca="false">IF($P7=0,BB6,IF(BB$3=$E7,IF($AA7=1,$F7&amp;$AB7,$G7),IF(OR(BB$3=$D7,BB$3=$AC7,BB$3=$AE7),"",IF(BB$3=$AD7,$F7&amp;"R",BB6))))</f>
        <v/>
      </c>
      <c r="BC7" s="11" t="str">
        <f aca="false">IF($P7=0,BC6,IF(BC$3=$E7,IF($AA7=1,$F7&amp;$AB7,$G7),IF(OR(BC$3=$D7,BC$3=$AC7,BC$3=$AE7),"",IF(BC$3=$AD7,$F7&amp;"R",BC6))))</f>
        <v/>
      </c>
      <c r="BD7" s="11" t="str">
        <f aca="false">IF($P7=0,BD6,IF(BD$3=$E7,IF($AA7=1,$F7&amp;$AB7,$G7),IF(OR(BD$3=$D7,BD$3=$AC7,BD$3=$AE7),"",IF(BD$3=$AD7,$F7&amp;"R",BD6))))</f>
        <v/>
      </c>
      <c r="BE7" s="11" t="str">
        <f aca="false">IF($P7=0,BE6,IF(BE$3=$E7,IF($AA7=1,$F7&amp;$AB7,$G7),IF(OR(BE$3=$D7,BE$3=$AC7,BE$3=$AE7),"",IF(BE$3=$AD7,$F7&amp;"R",BE6))))</f>
        <v/>
      </c>
      <c r="BF7" s="11" t="str">
        <f aca="false">IF($P7=0,BF6,IF(BF$3=$E7,IF($AA7=1,$F7&amp;$AB7,$G7),IF(OR(BF$3=$D7,BF$3=$AC7,BF$3=$AE7),"",IF(BF$3=$AD7,$F7&amp;"R",BF6))))</f>
        <v/>
      </c>
      <c r="BG7" s="11" t="str">
        <f aca="false">IF($P7=0,BG6,IF(BG$3=$E7,IF($AA7=1,$F7&amp;$AB7,$G7),IF(OR(BG$3=$D7,BG$3=$AC7,BG$3=$AE7),"",IF(BG$3=$AD7,$F7&amp;"R",BG6))))</f>
        <v/>
      </c>
      <c r="BH7" s="11" t="str">
        <f aca="false">IF($P7=0,BH6,IF(BH$3=$E7,IF($AA7=1,$F7&amp;$AB7,$G7),IF(OR(BH$3=$D7,BH$3=$AC7,BH$3=$AE7),"",IF(BH$3=$AD7,$F7&amp;"R",BH6))))</f>
        <v/>
      </c>
      <c r="BI7" s="11" t="str">
        <f aca="false">IF($P7=0,BI6,IF(BI$3=$E7,IF($AA7=1,$F7&amp;$AB7,$G7),IF(OR(BI$3=$D7,BI$3=$AC7,BI$3=$AE7),"",IF(BI$3=$AD7,$F7&amp;"R",BI6))))</f>
        <v/>
      </c>
      <c r="BJ7" s="11" t="str">
        <f aca="false">IF($P7=0,BJ6,IF(BJ$3=$E7,IF($AA7=1,$F7&amp;$AB7,$G7),IF(OR(BJ$3=$D7,BJ$3=$AC7,BJ$3=$AE7),"",IF(BJ$3=$AD7,$F7&amp;"R",BJ6))))</f>
        <v/>
      </c>
      <c r="BK7" s="11" t="str">
        <f aca="false">IF($P7=0,BK6,IF(BK$3=$E7,IF($AA7=1,$F7&amp;$AB7,$G7),IF(OR(BK$3=$D7,BK$3=$AC7,BK$3=$AE7),"",IF(BK$3=$AD7,$F7&amp;"R",BK6))))</f>
        <v/>
      </c>
      <c r="BL7" s="11" t="str">
        <f aca="false">IF($P7=0,BL6,IF(BL$3=$E7,IF($AA7=1,$F7&amp;$AB7,$G7),IF(OR(BL$3=$D7,BL$3=$AC7,BL$3=$AE7),"",IF(BL$3=$AD7,$F7&amp;"R",BL6))))</f>
        <v/>
      </c>
      <c r="BM7" s="11" t="str">
        <f aca="false">IF($P7=0,BM6,IF(BM$3=$E7,IF($AA7=1,$F7&amp;$AB7,$G7),IF(OR(BM$3=$D7,BM$3=$AC7,BM$3=$AE7),"",IF(BM$3=$AD7,$F7&amp;"R",BM6))))</f>
        <v/>
      </c>
      <c r="BN7" s="11" t="str">
        <f aca="false">IF($P7=0,BN6,IF(BN$3=$E7,IF($AA7=1,$F7&amp;$AB7,$G7),IF(OR(BN$3=$D7,BN$3=$AC7,BN$3=$AE7),"",IF(BN$3=$AD7,$F7&amp;"R",BN6))))</f>
        <v/>
      </c>
      <c r="BO7" s="11" t="str">
        <f aca="false">IF($P7=0,BO6,IF(BO$3=$E7,IF($AA7=1,$F7&amp;$AB7,$G7),IF(OR(BO$3=$D7,BO$3=$AC7,BO$3=$AE7),"",IF(BO$3=$AD7,$F7&amp;"R",BO6))))</f>
        <v/>
      </c>
      <c r="BP7" s="11" t="str">
        <f aca="false">IF($P7=0,BP6,IF(BP$3=$E7,IF($AA7=1,$F7&amp;$AB7,$G7),IF(OR(BP$3=$D7,BP$3=$AC7,BP$3=$AE7),"",IF(BP$3=$AD7,$F7&amp;"R",BP6))))</f>
        <v/>
      </c>
      <c r="BQ7" s="11" t="str">
        <f aca="false">IF($P7=0,BQ6,IF(BQ$3=$E7,IF($AA7=1,$F7&amp;$AB7,$G7),IF(OR(BQ$3=$D7,BQ$3=$AC7,BQ$3=$AE7),"",IF(BQ$3=$AD7,$F7&amp;"R",BQ6))))</f>
        <v/>
      </c>
      <c r="BR7" s="11" t="str">
        <f aca="false">IF($P7=0,BR6,IF(BR$3=$E7,IF($AA7=1,$F7&amp;$AB7,$G7),IF(OR(BR$3=$D7,BR$3=$AC7,BR$3=$AE7),"",IF(BR$3=$AD7,$F7&amp;"R",BR6))))</f>
        <v/>
      </c>
      <c r="BS7" s="11" t="str">
        <f aca="false">IF($P7=0,BS6,IF(BS$3=$E7,IF($AA7=1,$F7&amp;$AB7,$G7),IF(OR(BS$3=$D7,BS$3=$AC7,BS$3=$AE7),"",IF(BS$3=$AD7,$F7&amp;"R",BS6))))</f>
        <v/>
      </c>
      <c r="BT7" s="11" t="str">
        <f aca="false">IF($P7=0,BT6,IF(BT$3=$E7,IF($AA7=1,$F7&amp;$AB7,$G7),IF(OR(BT$3=$D7,BT$3=$AC7,BT$3=$AE7),"",IF(BT$3=$AD7,$F7&amp;"R",BT6))))</f>
        <v/>
      </c>
      <c r="BU7" s="11" t="str">
        <f aca="false">IF($P7=0,BU6,IF(BU$3=$E7,IF($AA7=1,$F7&amp;$AB7,$G7),IF(OR(BU$3=$D7,BU$3=$AC7,BU$3=$AE7),"",IF(BU$3=$AD7,$F7&amp;"R",BU6))))</f>
        <v/>
      </c>
      <c r="BV7" s="11" t="str">
        <f aca="false">IF($P7=0,BV6,IF(BV$3=$E7,IF($AA7=1,$F7&amp;$AB7,$G7),IF(OR(BV$3=$D7,BV$3=$AC7,BV$3=$AE7),"",IF(BV$3=$AD7,$F7&amp;"R",BV6))))</f>
        <v/>
      </c>
      <c r="BW7" s="11" t="str">
        <f aca="false">IF($P7=0,BW6,IF(BW$3=$E7,IF($AA7=1,$F7&amp;$AB7,$G7),IF(OR(BW$3=$D7,BW$3=$AC7,BW$3=$AE7),"",IF(BW$3=$AD7,$F7&amp;"R",BW6))))</f>
        <v/>
      </c>
      <c r="BX7" s="11" t="str">
        <f aca="false">IF($P7=0,BX6,IF(BX$3=$E7,IF($AA7=1,$F7&amp;$AB7,$G7),IF(OR(BX$3=$D7,BX$3=$AC7,BX$3=$AE7),"",IF(BX$3=$AD7,$F7&amp;"R",BX6))))</f>
        <v/>
      </c>
      <c r="BY7" s="11" t="str">
        <f aca="false">IF($P7=0,BY6,IF(BY$3=$E7,IF($AA7=1,$F7&amp;$AB7,$G7),IF(OR(BY$3=$D7,BY$3=$AC7,BY$3=$AE7),"",IF(BY$3=$AD7,$F7&amp;"R",BY6))))</f>
        <v/>
      </c>
      <c r="BZ7" s="11" t="str">
        <f aca="false">IF($P7=0,BZ6,IF(BZ$3=$E7,IF($AA7=1,$F7&amp;$AB7,$G7),IF(OR(BZ$3=$D7,BZ$3=$AC7,BZ$3=$AE7),"",IF(BZ$3=$AD7,$F7&amp;"R",BZ6))))</f>
        <v/>
      </c>
      <c r="CA7" s="11" t="str">
        <f aca="false">IF($P7=0,CA6,IF(CA$3=$E7,IF($AA7=1,$F7&amp;$AB7,$G7),IF(OR(CA$3=$D7,CA$3=$AC7,CA$3=$AE7),"",IF(CA$3=$AD7,$F7&amp;"R",CA6))))</f>
        <v/>
      </c>
      <c r="CB7" s="11" t="str">
        <f aca="false">IF($P7=0,CB6,IF(CB$3=$E7,IF($AA7=1,$F7&amp;$AB7,$G7),IF(OR(CB$3=$D7,CB$3=$AC7,CB$3=$AE7),"",IF(CB$3=$AD7,$F7&amp;"R",CB6))))</f>
        <v/>
      </c>
      <c r="CC7" s="11" t="str">
        <f aca="false">IF($P7=0,CC6,IF(CC$3=$E7,IF($AA7=1,$F7&amp;$AB7,$G7),IF(OR(CC$3=$D7,CC$3=$AC7,CC$3=$AE7),"",IF(CC$3=$AD7,$F7&amp;"R",CC6))))</f>
        <v/>
      </c>
      <c r="CD7" s="11" t="str">
        <f aca="false">IF($P7=0,CD6,IF(CD$3=$E7,IF($AA7=1,$F7&amp;$AB7,$G7),IF(OR(CD$3=$D7,CD$3=$AC7,CD$3=$AE7),"",IF(CD$3=$AD7,$F7&amp;"R",CD6))))</f>
        <v>bP</v>
      </c>
      <c r="CE7" s="11" t="str">
        <f aca="false">IF($P7=0,CE6,IF(CE$3=$E7,IF($AA7=1,$F7&amp;$AB7,$G7),IF(OR(CE$3=$D7,CE$3=$AC7,CE$3=$AE7),"",IF(CE$3=$AD7,$F7&amp;"R",CE6))))</f>
        <v>bP</v>
      </c>
      <c r="CF7" s="11" t="str">
        <f aca="false">IF($P7=0,CF6,IF(CF$3=$E7,IF($AA7=1,$F7&amp;$AB7,$G7),IF(OR(CF$3=$D7,CF$3=$AC7,CF$3=$AE7),"",IF(CF$3=$AD7,$F7&amp;"R",CF6))))</f>
        <v>bP</v>
      </c>
      <c r="CG7" s="11" t="str">
        <f aca="false">IF($P7=0,CG6,IF(CG$3=$E7,IF($AA7=1,$F7&amp;$AB7,$G7),IF(OR(CG$3=$D7,CG$3=$AC7,CG$3=$AE7),"",IF(CG$3=$AD7,$F7&amp;"R",CG6))))</f>
        <v>bP</v>
      </c>
      <c r="CH7" s="11" t="str">
        <f aca="false">IF($P7=0,CH6,IF(CH$3=$E7,IF($AA7=1,$F7&amp;$AB7,$G7),IF(OR(CH$3=$D7,CH$3=$AC7,CH$3=$AE7),"",IF(CH$3=$AD7,$F7&amp;"R",CH6))))</f>
        <v>bP</v>
      </c>
      <c r="CI7" s="11" t="str">
        <f aca="false">IF($P7=0,CI6,IF(CI$3=$E7,IF($AA7=1,$F7&amp;$AB7,$G7),IF(OR(CI$3=$D7,CI$3=$AC7,CI$3=$AE7),"",IF(CI$3=$AD7,$F7&amp;"R",CI6))))</f>
        <v>bP</v>
      </c>
      <c r="CJ7" s="11" t="str">
        <f aca="false">IF($P7=0,CJ6,IF(CJ$3=$E7,IF($AA7=1,$F7&amp;$AB7,$G7),IF(OR(CJ$3=$D7,CJ$3=$AC7,CJ$3=$AE7),"",IF(CJ$3=$AD7,$F7&amp;"R",CJ6))))</f>
        <v>bP</v>
      </c>
      <c r="CK7" s="11" t="str">
        <f aca="false">IF($P7=0,CK6,IF(CK$3=$E7,IF($AA7=1,$F7&amp;$AB7,$G7),IF(OR(CK$3=$D7,CK$3=$AC7,CK$3=$AE7),"",IF(CK$3=$AD7,$F7&amp;"R",CK6))))</f>
        <v>bP</v>
      </c>
      <c r="CL7" s="11" t="str">
        <f aca="false">IF($P7=0,CL6,IF(CL$3=$E7,IF($AA7=1,$F7&amp;$AB7,$G7),IF(OR(CL$3=$D7,CL$3=$AC7,CL$3=$AE7),"",IF(CL$3=$AD7,$F7&amp;"R",CL6))))</f>
        <v>bR</v>
      </c>
      <c r="CM7" s="11" t="str">
        <f aca="false">IF($P7=0,CM6,IF(CM$3=$E7,IF($AA7=1,$F7&amp;$AB7,$G7),IF(OR(CM$3=$D7,CM$3=$AC7,CM$3=$AE7),"",IF(CM$3=$AD7,$F7&amp;"R",CM6))))</f>
        <v>bN</v>
      </c>
      <c r="CN7" s="11" t="str">
        <f aca="false">IF($P7=0,CN6,IF(CN$3=$E7,IF($AA7=1,$F7&amp;$AB7,$G7),IF(OR(CN$3=$D7,CN$3=$AC7,CN$3=$AE7),"",IF(CN$3=$AD7,$F7&amp;"R",CN6))))</f>
        <v>bB</v>
      </c>
      <c r="CO7" s="11" t="str">
        <f aca="false">IF($P7=0,CO6,IF(CO$3=$E7,IF($AA7=1,$F7&amp;$AB7,$G7),IF(OR(CO$3=$D7,CO$3=$AC7,CO$3=$AE7),"",IF(CO$3=$AD7,$F7&amp;"R",CO6))))</f>
        <v>bQ</v>
      </c>
      <c r="CP7" s="11" t="str">
        <f aca="false">IF($P7=0,CP6,IF(CP$3=$E7,IF($AA7=1,$F7&amp;$AB7,$G7),IF(OR(CP$3=$D7,CP$3=$AC7,CP$3=$AE7),"",IF(CP$3=$AD7,$F7&amp;"R",CP6))))</f>
        <v>bK</v>
      </c>
      <c r="CQ7" s="11" t="str">
        <f aca="false">IF($P7=0,CQ6,IF(CQ$3=$E7,IF($AA7=1,$F7&amp;$AB7,$G7),IF(OR(CQ$3=$D7,CQ$3=$AC7,CQ$3=$AE7),"",IF(CQ$3=$AD7,$F7&amp;"R",CQ6))))</f>
        <v>bB</v>
      </c>
      <c r="CR7" s="11" t="str">
        <f aca="false">IF($P7=0,CR6,IF(CR$3=$E7,IF($AA7=1,$F7&amp;$AB7,$G7),IF(OR(CR$3=$D7,CR$3=$AC7,CR$3=$AE7),"",IF(CR$3=$AD7,$F7&amp;"R",CR6))))</f>
        <v>bN</v>
      </c>
      <c r="CS7" s="11" t="str">
        <f aca="false">IF($P7=0,CS6,IF(CS$3=$E7,IF($AA7=1,$F7&amp;$AB7,$G7),IF(OR(CS$3=$D7,CS$3=$AC7,CS$3=$AE7),"",IF(CS$3=$AD7,$F7&amp;"R",CS6))))</f>
        <v>bR</v>
      </c>
      <c r="CT7" s="11"/>
      <c r="CU7" s="11" t="s">
        <v>119</v>
      </c>
      <c r="CV7" s="11" t="s">
        <v>128</v>
      </c>
    </row>
    <row r="8" customFormat="false" ht="15" hidden="false" customHeight="false" outlineLevel="0" collapsed="false">
      <c r="A8" s="11" t="n">
        <v>3</v>
      </c>
      <c r="B8" s="11" t="str">
        <f aca="false">IF(Chess!$L$12="","",Chess!$L$12&amp;"")</f>
        <v/>
      </c>
      <c r="C8" s="11" t="str">
        <f aca="false">LOWER(SUBSTITUTE(SUBSTITUTE(SUBSTITUTE(SUBSTITUTE(TRIM($B8),"-",""),"=","")," ",""),"x",""))</f>
        <v/>
      </c>
      <c r="D8" s="11" t="n">
        <f aca="false">IF(LEN($C8)&lt;4,0,IFERROR(IF(AND(CODE(MID($C8,1,1))&gt;=97,CODE(MID($C8,1,1))&lt;=104,VALUE(MID($C8,2,1))&gt;=1,VALUE(MID($C8,2,1))&lt;=8),(VALUE(MID($C8,2,1))-1)*8+CODE(MID($C8,1,1))-96,0),0))</f>
        <v>0</v>
      </c>
      <c r="E8" s="11" t="n">
        <f aca="false">IF(LEN($C8)&lt;4,0,IFERROR(IF(AND(CODE(MID($C8,3,1))&gt;=97,CODE(MID($C8,3,1))&lt;=104,VALUE(MID($C8,4,1))&gt;=1,VALUE(MID($C8,4,1))&lt;=8),(VALUE(MID($C8,4,1))-1)*8+CODE(MID($C8,3,1))-96,0),0))</f>
        <v>0</v>
      </c>
      <c r="F8" s="11" t="str">
        <f aca="false">IF(MOD(SUM($P$5:$P7),2)=0,"w","b")</f>
        <v>w</v>
      </c>
      <c r="G8" s="11" t="str">
        <f aca="false">IF($D8=0,"",INDEX($AH7:$CS7,1,$D8)&amp;"")</f>
        <v/>
      </c>
      <c r="H8" s="11" t="str">
        <f aca="false">IF($E8=0,"",INDEX($AH7:$CS7,1,$E8)&amp;"")</f>
        <v/>
      </c>
      <c r="I8" s="11" t="n">
        <f aca="false">IF(OR($D8=0,$E8=0),0,MOD($E8-1,8)-MOD($D8-1,8))</f>
        <v>0</v>
      </c>
      <c r="J8" s="11" t="n">
        <f aca="false">IF(OR($D8=0,$E8=0),0,INT(($E8-1)/8)-INT(($D8-1)/8))</f>
        <v>0</v>
      </c>
      <c r="K8" s="11" t="str">
        <f aca="false">IF($G8="","",RIGHT($G8,1))</f>
        <v/>
      </c>
      <c r="L8" s="11" t="n">
        <f aca="false">IF(OR($D8=0,$E8=0),0,SUMPRODUCT(($AH$3:$CS$3&gt;MIN($D8,$E8))*($AH$3:$CS$3&lt;MAX($D8,$E8))*(MOD($AH$3:$CS$3-MIN($D8,$E8),MAX(1,ABS(SIGN($J8)*8+SIGN($I8))))=0)*($AH7:$CS7&lt;&gt;"")))</f>
        <v>0</v>
      </c>
      <c r="M8" s="11" t="n">
        <f aca="false">IF($K8&lt;&gt;"K",0,IFERROR(--AND($J8=0,ABS($I8)=2,$D8=IF($F8="w",5,61),IF($F8="w",$S7,$V7)=0,IF($I8=2,AND(IF($F8="w",$U7,$X7)=0,INDEX($AH7:$CS7,1,$D8+1)&amp;""="",INDEX($AH7:$CS7,1,$D8+2)&amp;""=""),AND(IF($F8="w",$T7,$W7)=0,INDEX($AH7:$CS7,1,$D8-1)&amp;""="",INDEX($AH7:$CS7,1,$D8-2)&amp;""="",INDEX($AH7:$CS7,1,$D8-3)&amp;""=""))),0))</f>
        <v>0</v>
      </c>
      <c r="N8" s="11" t="n">
        <f aca="false">IF($K8&lt;&gt;"P",0,IFERROR(--OR(AND($I8=0,$J8=IF($F8="w",1,-1),$H8=""),AND($I8=0,$J8=2*IF($F8="w",1,-1),$H8="",INT(($D8-1)/8)=IF($F8="w",1,6),INDEX($AH7:$CS7,1,MAX(1,MIN(64,$D8+8*IF($F8="w",1,-1))))&amp;""=""),AND(ABS($I8)=1,$J8=IF($F8="w",1,-1),$H8&lt;&gt;""),AND(ABS($I8)=1,$J8=IF($F8="w",1,-1),$H8="",$R7&gt;0,$E8=$R7)),0))</f>
        <v>0</v>
      </c>
      <c r="O8" s="11" t="n">
        <f aca="false">IF(OR($D8=0,$E8=0,$G8=""),0,IF($K8="N",--OR(AND(ABS($I8)=1,ABS($J8)=2),AND(ABS($I8)=2,ABS($J8)=1)),IF($K8="B",--AND(ABS($I8)=ABS($J8),$I8&lt;&gt;0,$L8=0),IF($K8="R",--AND(OR($I8=0,$J8=0),OR($I8&lt;&gt;0,$J8&lt;&gt;0),$L8=0),IF($K8="Q",--AND(OR(AND(ABS($I8)=ABS($J8),$I8&lt;&gt;0),AND(OR($I8=0,$J8=0),OR($I8&lt;&gt;0,$J8&lt;&gt;0))),$L8=0),IF($K8="K",--OR(MAX(ABS($I8),ABS($J8))=1,$M8=1),$N8))))))</f>
        <v>0</v>
      </c>
      <c r="P8" s="11" t="n">
        <f aca="false">IF($Q8="OK",1,0)</f>
        <v>0</v>
      </c>
      <c r="Q8" s="11" t="str">
        <f aca="false">IF($B8="","",IF(OR(COUNTIF($AH7:$CS7,"wK")=0,COUNTIF($AH7:$CS7,"bK")=0),"Game is over",IF(OR($D8=0,$E8=0),"Use the format e2e4",IF($G8="","No piece on that square",IF(LEFT($G8,1)&lt;&gt;$F8,"Not your piece ("&amp;IF($F8="w","White","Black")&amp;" to move)",IF($D8=$E8,"Piece must move",IF(AND($H8&lt;&gt;"",LEFT($H8,1)=$F8),"Cannot capture your own piece",IF($O8=0,"Illegal move for that piece (or path blocked)","OK"))))))))</f>
        <v/>
      </c>
      <c r="R8" s="11" t="n">
        <f aca="false">IF($P8=1,IF(AND($K8="P",ABS($J8)=2),($D8+$E8)/2,0),$R7)</f>
        <v>0</v>
      </c>
      <c r="S8" s="12" t="b">
        <f aca="false">--OR($S7=1,AND($P8=1,OR($D8=5,$E8=5)))</f>
        <v>0</v>
      </c>
      <c r="T8" s="12" t="b">
        <f aca="false">--OR($T7=1,AND($P8=1,OR($D8=1,$E8=1)))</f>
        <v>0</v>
      </c>
      <c r="U8" s="12" t="b">
        <f aca="false">--OR($U7=1,AND($P8=1,OR($D8=8,$E8=8)))</f>
        <v>0</v>
      </c>
      <c r="V8" s="12" t="b">
        <f aca="false">--OR($V7=1,AND($P8=1,OR($D8=61,$E8=61)))</f>
        <v>0</v>
      </c>
      <c r="W8" s="12" t="b">
        <f aca="false">--OR($W7=1,AND($P8=1,OR($D8=57,$E8=57)))</f>
        <v>0</v>
      </c>
      <c r="X8" s="12" t="b">
        <f aca="false">--OR($X7=1,AND($P8=1,OR($D8=64,$E8=64)))</f>
        <v>0</v>
      </c>
      <c r="Y8" s="12" t="b">
        <f aca="false">--AND($P8=1,$K8="K",ABS($I8)=2)</f>
        <v>0</v>
      </c>
      <c r="Z8" s="12" t="b">
        <f aca="false">--AND($P8=1,$K8="P",ABS($I8)=1,$H8="")</f>
        <v>0</v>
      </c>
      <c r="AA8" s="12" t="b">
        <f aca="false">--AND($P8=1,$K8="P",INT(($E8-1)/8)=IF($F8="w",7,0))</f>
        <v>0</v>
      </c>
      <c r="AB8" s="11" t="str">
        <f aca="false">IF(LEN($C8)&gt;=5,IF(ISNUMBER(FIND(MID($C8,5,1),"qrbn")),UPPER(MID($C8,5,1)),"Q"),"Q")</f>
        <v>Q</v>
      </c>
      <c r="AC8" s="11" t="n">
        <f aca="false">IF($Y8=1,IF($I8=2,$D8+3,$D8-4),0)</f>
        <v>0</v>
      </c>
      <c r="AD8" s="11" t="n">
        <f aca="false">IF($Y8=1,IF($I8=2,$D8+1,$D8-1),0)</f>
        <v>0</v>
      </c>
      <c r="AE8" s="11" t="n">
        <f aca="false">IF($Z8=1,$E8-8*IF($F8="w",1,-1),0)</f>
        <v>0</v>
      </c>
      <c r="AF8" s="11" t="str">
        <f aca="false">IF($B8="","",IF($P8=1,LOWER(INDEX($CV$2:$CV$13,MATCH($G8,$CU$2:$CU$13,0)))&amp;" "&amp;MID("abcdefgh",MOD($D8-1,8)+1,1)&amp;(INT(($D8-1)/8)+1)&amp;"→"&amp;MID("abcdefgh",MOD($E8-1,8)+1,1)&amp;(INT(($E8-1)/8)+1)&amp;IF(OR($H8&lt;&gt;"",$Z8=1)," ×","")&amp;IF($Y8=1," castles","")&amp;IF($Z8=1," e.p.","")&amp;IF($AA8=1," =" &amp;LOWER(INDEX($CV$2:$CV$13,MATCH($F8&amp;$AB8,$CU$2:$CU$13,0))),""),"X "&amp;$Q8))</f>
        <v/>
      </c>
      <c r="AG8" s="11"/>
      <c r="AH8" s="11" t="str">
        <f aca="false">IF($P8=0,AH7,IF(AH$3=$E8,IF($AA8=1,$F8&amp;$AB8,$G8),IF(OR(AH$3=$D8,AH$3=$AC8,AH$3=$AE8),"",IF(AH$3=$AD8,$F8&amp;"R",AH7))))</f>
        <v>wR</v>
      </c>
      <c r="AI8" s="11" t="str">
        <f aca="false">IF($P8=0,AI7,IF(AI$3=$E8,IF($AA8=1,$F8&amp;$AB8,$G8),IF(OR(AI$3=$D8,AI$3=$AC8,AI$3=$AE8),"",IF(AI$3=$AD8,$F8&amp;"R",AI7))))</f>
        <v>wN</v>
      </c>
      <c r="AJ8" s="11" t="str">
        <f aca="false">IF($P8=0,AJ7,IF(AJ$3=$E8,IF($AA8=1,$F8&amp;$AB8,$G8),IF(OR(AJ$3=$D8,AJ$3=$AC8,AJ$3=$AE8),"",IF(AJ$3=$AD8,$F8&amp;"R",AJ7))))</f>
        <v>wB</v>
      </c>
      <c r="AK8" s="11" t="str">
        <f aca="false">IF($P8=0,AK7,IF(AK$3=$E8,IF($AA8=1,$F8&amp;$AB8,$G8),IF(OR(AK$3=$D8,AK$3=$AC8,AK$3=$AE8),"",IF(AK$3=$AD8,$F8&amp;"R",AK7))))</f>
        <v>wQ</v>
      </c>
      <c r="AL8" s="11" t="str">
        <f aca="false">IF($P8=0,AL7,IF(AL$3=$E8,IF($AA8=1,$F8&amp;$AB8,$G8),IF(OR(AL$3=$D8,AL$3=$AC8,AL$3=$AE8),"",IF(AL$3=$AD8,$F8&amp;"R",AL7))))</f>
        <v>wK</v>
      </c>
      <c r="AM8" s="11" t="str">
        <f aca="false">IF($P8=0,AM7,IF(AM$3=$E8,IF($AA8=1,$F8&amp;$AB8,$G8),IF(OR(AM$3=$D8,AM$3=$AC8,AM$3=$AE8),"",IF(AM$3=$AD8,$F8&amp;"R",AM7))))</f>
        <v>wB</v>
      </c>
      <c r="AN8" s="11" t="str">
        <f aca="false">IF($P8=0,AN7,IF(AN$3=$E8,IF($AA8=1,$F8&amp;$AB8,$G8),IF(OR(AN$3=$D8,AN$3=$AC8,AN$3=$AE8),"",IF(AN$3=$AD8,$F8&amp;"R",AN7))))</f>
        <v>wN</v>
      </c>
      <c r="AO8" s="11" t="str">
        <f aca="false">IF($P8=0,AO7,IF(AO$3=$E8,IF($AA8=1,$F8&amp;$AB8,$G8),IF(OR(AO$3=$D8,AO$3=$AC8,AO$3=$AE8),"",IF(AO$3=$AD8,$F8&amp;"R",AO7))))</f>
        <v>wR</v>
      </c>
      <c r="AP8" s="11" t="str">
        <f aca="false">IF($P8=0,AP7,IF(AP$3=$E8,IF($AA8=1,$F8&amp;$AB8,$G8),IF(OR(AP$3=$D8,AP$3=$AC8,AP$3=$AE8),"",IF(AP$3=$AD8,$F8&amp;"R",AP7))))</f>
        <v>wP</v>
      </c>
      <c r="AQ8" s="11" t="str">
        <f aca="false">IF($P8=0,AQ7,IF(AQ$3=$E8,IF($AA8=1,$F8&amp;$AB8,$G8),IF(OR(AQ$3=$D8,AQ$3=$AC8,AQ$3=$AE8),"",IF(AQ$3=$AD8,$F8&amp;"R",AQ7))))</f>
        <v>wP</v>
      </c>
      <c r="AR8" s="11" t="str">
        <f aca="false">IF($P8=0,AR7,IF(AR$3=$E8,IF($AA8=1,$F8&amp;$AB8,$G8),IF(OR(AR$3=$D8,AR$3=$AC8,AR$3=$AE8),"",IF(AR$3=$AD8,$F8&amp;"R",AR7))))</f>
        <v>wP</v>
      </c>
      <c r="AS8" s="11" t="str">
        <f aca="false">IF($P8=0,AS7,IF(AS$3=$E8,IF($AA8=1,$F8&amp;$AB8,$G8),IF(OR(AS$3=$D8,AS$3=$AC8,AS$3=$AE8),"",IF(AS$3=$AD8,$F8&amp;"R",AS7))))</f>
        <v>wP</v>
      </c>
      <c r="AT8" s="11" t="str">
        <f aca="false">IF($P8=0,AT7,IF(AT$3=$E8,IF($AA8=1,$F8&amp;$AB8,$G8),IF(OR(AT$3=$D8,AT$3=$AC8,AT$3=$AE8),"",IF(AT$3=$AD8,$F8&amp;"R",AT7))))</f>
        <v>wP</v>
      </c>
      <c r="AU8" s="11" t="str">
        <f aca="false">IF($P8=0,AU7,IF(AU$3=$E8,IF($AA8=1,$F8&amp;$AB8,$G8),IF(OR(AU$3=$D8,AU$3=$AC8,AU$3=$AE8),"",IF(AU$3=$AD8,$F8&amp;"R",AU7))))</f>
        <v>wP</v>
      </c>
      <c r="AV8" s="11" t="str">
        <f aca="false">IF($P8=0,AV7,IF(AV$3=$E8,IF($AA8=1,$F8&amp;$AB8,$G8),IF(OR(AV$3=$D8,AV$3=$AC8,AV$3=$AE8),"",IF(AV$3=$AD8,$F8&amp;"R",AV7))))</f>
        <v>wP</v>
      </c>
      <c r="AW8" s="11" t="str">
        <f aca="false">IF($P8=0,AW7,IF(AW$3=$E8,IF($AA8=1,$F8&amp;$AB8,$G8),IF(OR(AW$3=$D8,AW$3=$AC8,AW$3=$AE8),"",IF(AW$3=$AD8,$F8&amp;"R",AW7))))</f>
        <v>wP</v>
      </c>
      <c r="AX8" s="11" t="str">
        <f aca="false">IF($P8=0,AX7,IF(AX$3=$E8,IF($AA8=1,$F8&amp;$AB8,$G8),IF(OR(AX$3=$D8,AX$3=$AC8,AX$3=$AE8),"",IF(AX$3=$AD8,$F8&amp;"R",AX7))))</f>
        <v/>
      </c>
      <c r="AY8" s="11" t="str">
        <f aca="false">IF($P8=0,AY7,IF(AY$3=$E8,IF($AA8=1,$F8&amp;$AB8,$G8),IF(OR(AY$3=$D8,AY$3=$AC8,AY$3=$AE8),"",IF(AY$3=$AD8,$F8&amp;"R",AY7))))</f>
        <v/>
      </c>
      <c r="AZ8" s="11" t="str">
        <f aca="false">IF($P8=0,AZ7,IF(AZ$3=$E8,IF($AA8=1,$F8&amp;$AB8,$G8),IF(OR(AZ$3=$D8,AZ$3=$AC8,AZ$3=$AE8),"",IF(AZ$3=$AD8,$F8&amp;"R",AZ7))))</f>
        <v/>
      </c>
      <c r="BA8" s="11" t="str">
        <f aca="false">IF($P8=0,BA7,IF(BA$3=$E8,IF($AA8=1,$F8&amp;$AB8,$G8),IF(OR(BA$3=$D8,BA$3=$AC8,BA$3=$AE8),"",IF(BA$3=$AD8,$F8&amp;"R",BA7))))</f>
        <v/>
      </c>
      <c r="BB8" s="11" t="str">
        <f aca="false">IF($P8=0,BB7,IF(BB$3=$E8,IF($AA8=1,$F8&amp;$AB8,$G8),IF(OR(BB$3=$D8,BB$3=$AC8,BB$3=$AE8),"",IF(BB$3=$AD8,$F8&amp;"R",BB7))))</f>
        <v/>
      </c>
      <c r="BC8" s="11" t="str">
        <f aca="false">IF($P8=0,BC7,IF(BC$3=$E8,IF($AA8=1,$F8&amp;$AB8,$G8),IF(OR(BC$3=$D8,BC$3=$AC8,BC$3=$AE8),"",IF(BC$3=$AD8,$F8&amp;"R",BC7))))</f>
        <v/>
      </c>
      <c r="BD8" s="11" t="str">
        <f aca="false">IF($P8=0,BD7,IF(BD$3=$E8,IF($AA8=1,$F8&amp;$AB8,$G8),IF(OR(BD$3=$D8,BD$3=$AC8,BD$3=$AE8),"",IF(BD$3=$AD8,$F8&amp;"R",BD7))))</f>
        <v/>
      </c>
      <c r="BE8" s="11" t="str">
        <f aca="false">IF($P8=0,BE7,IF(BE$3=$E8,IF($AA8=1,$F8&amp;$AB8,$G8),IF(OR(BE$3=$D8,BE$3=$AC8,BE$3=$AE8),"",IF(BE$3=$AD8,$F8&amp;"R",BE7))))</f>
        <v/>
      </c>
      <c r="BF8" s="11" t="str">
        <f aca="false">IF($P8=0,BF7,IF(BF$3=$E8,IF($AA8=1,$F8&amp;$AB8,$G8),IF(OR(BF$3=$D8,BF$3=$AC8,BF$3=$AE8),"",IF(BF$3=$AD8,$F8&amp;"R",BF7))))</f>
        <v/>
      </c>
      <c r="BG8" s="11" t="str">
        <f aca="false">IF($P8=0,BG7,IF(BG$3=$E8,IF($AA8=1,$F8&amp;$AB8,$G8),IF(OR(BG$3=$D8,BG$3=$AC8,BG$3=$AE8),"",IF(BG$3=$AD8,$F8&amp;"R",BG7))))</f>
        <v/>
      </c>
      <c r="BH8" s="11" t="str">
        <f aca="false">IF($P8=0,BH7,IF(BH$3=$E8,IF($AA8=1,$F8&amp;$AB8,$G8),IF(OR(BH$3=$D8,BH$3=$AC8,BH$3=$AE8),"",IF(BH$3=$AD8,$F8&amp;"R",BH7))))</f>
        <v/>
      </c>
      <c r="BI8" s="11" t="str">
        <f aca="false">IF($P8=0,BI7,IF(BI$3=$E8,IF($AA8=1,$F8&amp;$AB8,$G8),IF(OR(BI$3=$D8,BI$3=$AC8,BI$3=$AE8),"",IF(BI$3=$AD8,$F8&amp;"R",BI7))))</f>
        <v/>
      </c>
      <c r="BJ8" s="11" t="str">
        <f aca="false">IF($P8=0,BJ7,IF(BJ$3=$E8,IF($AA8=1,$F8&amp;$AB8,$G8),IF(OR(BJ$3=$D8,BJ$3=$AC8,BJ$3=$AE8),"",IF(BJ$3=$AD8,$F8&amp;"R",BJ7))))</f>
        <v/>
      </c>
      <c r="BK8" s="11" t="str">
        <f aca="false">IF($P8=0,BK7,IF(BK$3=$E8,IF($AA8=1,$F8&amp;$AB8,$G8),IF(OR(BK$3=$D8,BK$3=$AC8,BK$3=$AE8),"",IF(BK$3=$AD8,$F8&amp;"R",BK7))))</f>
        <v/>
      </c>
      <c r="BL8" s="11" t="str">
        <f aca="false">IF($P8=0,BL7,IF(BL$3=$E8,IF($AA8=1,$F8&amp;$AB8,$G8),IF(OR(BL$3=$D8,BL$3=$AC8,BL$3=$AE8),"",IF(BL$3=$AD8,$F8&amp;"R",BL7))))</f>
        <v/>
      </c>
      <c r="BM8" s="11" t="str">
        <f aca="false">IF($P8=0,BM7,IF(BM$3=$E8,IF($AA8=1,$F8&amp;$AB8,$G8),IF(OR(BM$3=$D8,BM$3=$AC8,BM$3=$AE8),"",IF(BM$3=$AD8,$F8&amp;"R",BM7))))</f>
        <v/>
      </c>
      <c r="BN8" s="11" t="str">
        <f aca="false">IF($P8=0,BN7,IF(BN$3=$E8,IF($AA8=1,$F8&amp;$AB8,$G8),IF(OR(BN$3=$D8,BN$3=$AC8,BN$3=$AE8),"",IF(BN$3=$AD8,$F8&amp;"R",BN7))))</f>
        <v/>
      </c>
      <c r="BO8" s="11" t="str">
        <f aca="false">IF($P8=0,BO7,IF(BO$3=$E8,IF($AA8=1,$F8&amp;$AB8,$G8),IF(OR(BO$3=$D8,BO$3=$AC8,BO$3=$AE8),"",IF(BO$3=$AD8,$F8&amp;"R",BO7))))</f>
        <v/>
      </c>
      <c r="BP8" s="11" t="str">
        <f aca="false">IF($P8=0,BP7,IF(BP$3=$E8,IF($AA8=1,$F8&amp;$AB8,$G8),IF(OR(BP$3=$D8,BP$3=$AC8,BP$3=$AE8),"",IF(BP$3=$AD8,$F8&amp;"R",BP7))))</f>
        <v/>
      </c>
      <c r="BQ8" s="11" t="str">
        <f aca="false">IF($P8=0,BQ7,IF(BQ$3=$E8,IF($AA8=1,$F8&amp;$AB8,$G8),IF(OR(BQ$3=$D8,BQ$3=$AC8,BQ$3=$AE8),"",IF(BQ$3=$AD8,$F8&amp;"R",BQ7))))</f>
        <v/>
      </c>
      <c r="BR8" s="11" t="str">
        <f aca="false">IF($P8=0,BR7,IF(BR$3=$E8,IF($AA8=1,$F8&amp;$AB8,$G8),IF(OR(BR$3=$D8,BR$3=$AC8,BR$3=$AE8),"",IF(BR$3=$AD8,$F8&amp;"R",BR7))))</f>
        <v/>
      </c>
      <c r="BS8" s="11" t="str">
        <f aca="false">IF($P8=0,BS7,IF(BS$3=$E8,IF($AA8=1,$F8&amp;$AB8,$G8),IF(OR(BS$3=$D8,BS$3=$AC8,BS$3=$AE8),"",IF(BS$3=$AD8,$F8&amp;"R",BS7))))</f>
        <v/>
      </c>
      <c r="BT8" s="11" t="str">
        <f aca="false">IF($P8=0,BT7,IF(BT$3=$E8,IF($AA8=1,$F8&amp;$AB8,$G8),IF(OR(BT$3=$D8,BT$3=$AC8,BT$3=$AE8),"",IF(BT$3=$AD8,$F8&amp;"R",BT7))))</f>
        <v/>
      </c>
      <c r="BU8" s="11" t="str">
        <f aca="false">IF($P8=0,BU7,IF(BU$3=$E8,IF($AA8=1,$F8&amp;$AB8,$G8),IF(OR(BU$3=$D8,BU$3=$AC8,BU$3=$AE8),"",IF(BU$3=$AD8,$F8&amp;"R",BU7))))</f>
        <v/>
      </c>
      <c r="BV8" s="11" t="str">
        <f aca="false">IF($P8=0,BV7,IF(BV$3=$E8,IF($AA8=1,$F8&amp;$AB8,$G8),IF(OR(BV$3=$D8,BV$3=$AC8,BV$3=$AE8),"",IF(BV$3=$AD8,$F8&amp;"R",BV7))))</f>
        <v/>
      </c>
      <c r="BW8" s="11" t="str">
        <f aca="false">IF($P8=0,BW7,IF(BW$3=$E8,IF($AA8=1,$F8&amp;$AB8,$G8),IF(OR(BW$3=$D8,BW$3=$AC8,BW$3=$AE8),"",IF(BW$3=$AD8,$F8&amp;"R",BW7))))</f>
        <v/>
      </c>
      <c r="BX8" s="11" t="str">
        <f aca="false">IF($P8=0,BX7,IF(BX$3=$E8,IF($AA8=1,$F8&amp;$AB8,$G8),IF(OR(BX$3=$D8,BX$3=$AC8,BX$3=$AE8),"",IF(BX$3=$AD8,$F8&amp;"R",BX7))))</f>
        <v/>
      </c>
      <c r="BY8" s="11" t="str">
        <f aca="false">IF($P8=0,BY7,IF(BY$3=$E8,IF($AA8=1,$F8&amp;$AB8,$G8),IF(OR(BY$3=$D8,BY$3=$AC8,BY$3=$AE8),"",IF(BY$3=$AD8,$F8&amp;"R",BY7))))</f>
        <v/>
      </c>
      <c r="BZ8" s="11" t="str">
        <f aca="false">IF($P8=0,BZ7,IF(BZ$3=$E8,IF($AA8=1,$F8&amp;$AB8,$G8),IF(OR(BZ$3=$D8,BZ$3=$AC8,BZ$3=$AE8),"",IF(BZ$3=$AD8,$F8&amp;"R",BZ7))))</f>
        <v/>
      </c>
      <c r="CA8" s="11" t="str">
        <f aca="false">IF($P8=0,CA7,IF(CA$3=$E8,IF($AA8=1,$F8&amp;$AB8,$G8),IF(OR(CA$3=$D8,CA$3=$AC8,CA$3=$AE8),"",IF(CA$3=$AD8,$F8&amp;"R",CA7))))</f>
        <v/>
      </c>
      <c r="CB8" s="11" t="str">
        <f aca="false">IF($P8=0,CB7,IF(CB$3=$E8,IF($AA8=1,$F8&amp;$AB8,$G8),IF(OR(CB$3=$D8,CB$3=$AC8,CB$3=$AE8),"",IF(CB$3=$AD8,$F8&amp;"R",CB7))))</f>
        <v/>
      </c>
      <c r="CC8" s="11" t="str">
        <f aca="false">IF($P8=0,CC7,IF(CC$3=$E8,IF($AA8=1,$F8&amp;$AB8,$G8),IF(OR(CC$3=$D8,CC$3=$AC8,CC$3=$AE8),"",IF(CC$3=$AD8,$F8&amp;"R",CC7))))</f>
        <v/>
      </c>
      <c r="CD8" s="11" t="str">
        <f aca="false">IF($P8=0,CD7,IF(CD$3=$E8,IF($AA8=1,$F8&amp;$AB8,$G8),IF(OR(CD$3=$D8,CD$3=$AC8,CD$3=$AE8),"",IF(CD$3=$AD8,$F8&amp;"R",CD7))))</f>
        <v>bP</v>
      </c>
      <c r="CE8" s="11" t="str">
        <f aca="false">IF($P8=0,CE7,IF(CE$3=$E8,IF($AA8=1,$F8&amp;$AB8,$G8),IF(OR(CE$3=$D8,CE$3=$AC8,CE$3=$AE8),"",IF(CE$3=$AD8,$F8&amp;"R",CE7))))</f>
        <v>bP</v>
      </c>
      <c r="CF8" s="11" t="str">
        <f aca="false">IF($P8=0,CF7,IF(CF$3=$E8,IF($AA8=1,$F8&amp;$AB8,$G8),IF(OR(CF$3=$D8,CF$3=$AC8,CF$3=$AE8),"",IF(CF$3=$AD8,$F8&amp;"R",CF7))))</f>
        <v>bP</v>
      </c>
      <c r="CG8" s="11" t="str">
        <f aca="false">IF($P8=0,CG7,IF(CG$3=$E8,IF($AA8=1,$F8&amp;$AB8,$G8),IF(OR(CG$3=$D8,CG$3=$AC8,CG$3=$AE8),"",IF(CG$3=$AD8,$F8&amp;"R",CG7))))</f>
        <v>bP</v>
      </c>
      <c r="CH8" s="11" t="str">
        <f aca="false">IF($P8=0,CH7,IF(CH$3=$E8,IF($AA8=1,$F8&amp;$AB8,$G8),IF(OR(CH$3=$D8,CH$3=$AC8,CH$3=$AE8),"",IF(CH$3=$AD8,$F8&amp;"R",CH7))))</f>
        <v>bP</v>
      </c>
      <c r="CI8" s="11" t="str">
        <f aca="false">IF($P8=0,CI7,IF(CI$3=$E8,IF($AA8=1,$F8&amp;$AB8,$G8),IF(OR(CI$3=$D8,CI$3=$AC8,CI$3=$AE8),"",IF(CI$3=$AD8,$F8&amp;"R",CI7))))</f>
        <v>bP</v>
      </c>
      <c r="CJ8" s="11" t="str">
        <f aca="false">IF($P8=0,CJ7,IF(CJ$3=$E8,IF($AA8=1,$F8&amp;$AB8,$G8),IF(OR(CJ$3=$D8,CJ$3=$AC8,CJ$3=$AE8),"",IF(CJ$3=$AD8,$F8&amp;"R",CJ7))))</f>
        <v>bP</v>
      </c>
      <c r="CK8" s="11" t="str">
        <f aca="false">IF($P8=0,CK7,IF(CK$3=$E8,IF($AA8=1,$F8&amp;$AB8,$G8),IF(OR(CK$3=$D8,CK$3=$AC8,CK$3=$AE8),"",IF(CK$3=$AD8,$F8&amp;"R",CK7))))</f>
        <v>bP</v>
      </c>
      <c r="CL8" s="11" t="str">
        <f aca="false">IF($P8=0,CL7,IF(CL$3=$E8,IF($AA8=1,$F8&amp;$AB8,$G8),IF(OR(CL$3=$D8,CL$3=$AC8,CL$3=$AE8),"",IF(CL$3=$AD8,$F8&amp;"R",CL7))))</f>
        <v>bR</v>
      </c>
      <c r="CM8" s="11" t="str">
        <f aca="false">IF($P8=0,CM7,IF(CM$3=$E8,IF($AA8=1,$F8&amp;$AB8,$G8),IF(OR(CM$3=$D8,CM$3=$AC8,CM$3=$AE8),"",IF(CM$3=$AD8,$F8&amp;"R",CM7))))</f>
        <v>bN</v>
      </c>
      <c r="CN8" s="11" t="str">
        <f aca="false">IF($P8=0,CN7,IF(CN$3=$E8,IF($AA8=1,$F8&amp;$AB8,$G8),IF(OR(CN$3=$D8,CN$3=$AC8,CN$3=$AE8),"",IF(CN$3=$AD8,$F8&amp;"R",CN7))))</f>
        <v>bB</v>
      </c>
      <c r="CO8" s="11" t="str">
        <f aca="false">IF($P8=0,CO7,IF(CO$3=$E8,IF($AA8=1,$F8&amp;$AB8,$G8),IF(OR(CO$3=$D8,CO$3=$AC8,CO$3=$AE8),"",IF(CO$3=$AD8,$F8&amp;"R",CO7))))</f>
        <v>bQ</v>
      </c>
      <c r="CP8" s="11" t="str">
        <f aca="false">IF($P8=0,CP7,IF(CP$3=$E8,IF($AA8=1,$F8&amp;$AB8,$G8),IF(OR(CP$3=$D8,CP$3=$AC8,CP$3=$AE8),"",IF(CP$3=$AD8,$F8&amp;"R",CP7))))</f>
        <v>bK</v>
      </c>
      <c r="CQ8" s="11" t="str">
        <f aca="false">IF($P8=0,CQ7,IF(CQ$3=$E8,IF($AA8=1,$F8&amp;$AB8,$G8),IF(OR(CQ$3=$D8,CQ$3=$AC8,CQ$3=$AE8),"",IF(CQ$3=$AD8,$F8&amp;"R",CQ7))))</f>
        <v>bB</v>
      </c>
      <c r="CR8" s="11" t="str">
        <f aca="false">IF($P8=0,CR7,IF(CR$3=$E8,IF($AA8=1,$F8&amp;$AB8,$G8),IF(OR(CR$3=$D8,CR$3=$AC8,CR$3=$AE8),"",IF(CR$3=$AD8,$F8&amp;"R",CR7))))</f>
        <v>bN</v>
      </c>
      <c r="CS8" s="11" t="str">
        <f aca="false">IF($P8=0,CS7,IF(CS$3=$E8,IF($AA8=1,$F8&amp;$AB8,$G8),IF(OR(CS$3=$D8,CS$3=$AC8,CS$3=$AE8),"",IF(CS$3=$AD8,$F8&amp;"R",CS7))))</f>
        <v>bR</v>
      </c>
      <c r="CT8" s="11"/>
      <c r="CU8" s="11" t="s">
        <v>125</v>
      </c>
      <c r="CV8" s="11" t="s">
        <v>129</v>
      </c>
    </row>
    <row r="9" customFormat="false" ht="15" hidden="false" customHeight="false" outlineLevel="0" collapsed="false">
      <c r="A9" s="11" t="n">
        <v>4</v>
      </c>
      <c r="B9" s="11" t="str">
        <f aca="false">IF(Chess!$L$13="","",Chess!$L$13&amp;"")</f>
        <v/>
      </c>
      <c r="C9" s="11" t="str">
        <f aca="false">LOWER(SUBSTITUTE(SUBSTITUTE(SUBSTITUTE(SUBSTITUTE(TRIM($B9),"-",""),"=","")," ",""),"x",""))</f>
        <v/>
      </c>
      <c r="D9" s="11" t="n">
        <f aca="false">IF(LEN($C9)&lt;4,0,IFERROR(IF(AND(CODE(MID($C9,1,1))&gt;=97,CODE(MID($C9,1,1))&lt;=104,VALUE(MID($C9,2,1))&gt;=1,VALUE(MID($C9,2,1))&lt;=8),(VALUE(MID($C9,2,1))-1)*8+CODE(MID($C9,1,1))-96,0),0))</f>
        <v>0</v>
      </c>
      <c r="E9" s="11" t="n">
        <f aca="false">IF(LEN($C9)&lt;4,0,IFERROR(IF(AND(CODE(MID($C9,3,1))&gt;=97,CODE(MID($C9,3,1))&lt;=104,VALUE(MID($C9,4,1))&gt;=1,VALUE(MID($C9,4,1))&lt;=8),(VALUE(MID($C9,4,1))-1)*8+CODE(MID($C9,3,1))-96,0),0))</f>
        <v>0</v>
      </c>
      <c r="F9" s="11" t="str">
        <f aca="false">IF(MOD(SUM($P$5:$P8),2)=0,"w","b")</f>
        <v>w</v>
      </c>
      <c r="G9" s="11" t="str">
        <f aca="false">IF($D9=0,"",INDEX($AH8:$CS8,1,$D9)&amp;"")</f>
        <v/>
      </c>
      <c r="H9" s="11" t="str">
        <f aca="false">IF($E9=0,"",INDEX($AH8:$CS8,1,$E9)&amp;"")</f>
        <v/>
      </c>
      <c r="I9" s="11" t="n">
        <f aca="false">IF(OR($D9=0,$E9=0),0,MOD($E9-1,8)-MOD($D9-1,8))</f>
        <v>0</v>
      </c>
      <c r="J9" s="11" t="n">
        <f aca="false">IF(OR($D9=0,$E9=0),0,INT(($E9-1)/8)-INT(($D9-1)/8))</f>
        <v>0</v>
      </c>
      <c r="K9" s="11" t="str">
        <f aca="false">IF($G9="","",RIGHT($G9,1))</f>
        <v/>
      </c>
      <c r="L9" s="11" t="n">
        <f aca="false">IF(OR($D9=0,$E9=0),0,SUMPRODUCT(($AH$3:$CS$3&gt;MIN($D9,$E9))*($AH$3:$CS$3&lt;MAX($D9,$E9))*(MOD($AH$3:$CS$3-MIN($D9,$E9),MAX(1,ABS(SIGN($J9)*8+SIGN($I9))))=0)*($AH8:$CS8&lt;&gt;"")))</f>
        <v>0</v>
      </c>
      <c r="M9" s="11" t="n">
        <f aca="false">IF($K9&lt;&gt;"K",0,IFERROR(--AND($J9=0,ABS($I9)=2,$D9=IF($F9="w",5,61),IF($F9="w",$S8,$V8)=0,IF($I9=2,AND(IF($F9="w",$U8,$X8)=0,INDEX($AH8:$CS8,1,$D9+1)&amp;""="",INDEX($AH8:$CS8,1,$D9+2)&amp;""=""),AND(IF($F9="w",$T8,$W8)=0,INDEX($AH8:$CS8,1,$D9-1)&amp;""="",INDEX($AH8:$CS8,1,$D9-2)&amp;""="",INDEX($AH8:$CS8,1,$D9-3)&amp;""=""))),0))</f>
        <v>0</v>
      </c>
      <c r="N9" s="11" t="n">
        <f aca="false">IF($K9&lt;&gt;"P",0,IFERROR(--OR(AND($I9=0,$J9=IF($F9="w",1,-1),$H9=""),AND($I9=0,$J9=2*IF($F9="w",1,-1),$H9="",INT(($D9-1)/8)=IF($F9="w",1,6),INDEX($AH8:$CS8,1,MAX(1,MIN(64,$D9+8*IF($F9="w",1,-1))))&amp;""=""),AND(ABS($I9)=1,$J9=IF($F9="w",1,-1),$H9&lt;&gt;""),AND(ABS($I9)=1,$J9=IF($F9="w",1,-1),$H9="",$R8&gt;0,$E9=$R8)),0))</f>
        <v>0</v>
      </c>
      <c r="O9" s="11" t="n">
        <f aca="false">IF(OR($D9=0,$E9=0,$G9=""),0,IF($K9="N",--OR(AND(ABS($I9)=1,ABS($J9)=2),AND(ABS($I9)=2,ABS($J9)=1)),IF($K9="B",--AND(ABS($I9)=ABS($J9),$I9&lt;&gt;0,$L9=0),IF($K9="R",--AND(OR($I9=0,$J9=0),OR($I9&lt;&gt;0,$J9&lt;&gt;0),$L9=0),IF($K9="Q",--AND(OR(AND(ABS($I9)=ABS($J9),$I9&lt;&gt;0),AND(OR($I9=0,$J9=0),OR($I9&lt;&gt;0,$J9&lt;&gt;0))),$L9=0),IF($K9="K",--OR(MAX(ABS($I9),ABS($J9))=1,$M9=1),$N9))))))</f>
        <v>0</v>
      </c>
      <c r="P9" s="11" t="n">
        <f aca="false">IF($Q9="OK",1,0)</f>
        <v>0</v>
      </c>
      <c r="Q9" s="11" t="str">
        <f aca="false">IF($B9="","",IF(OR(COUNTIF($AH8:$CS8,"wK")=0,COUNTIF($AH8:$CS8,"bK")=0),"Game is over",IF(OR($D9=0,$E9=0),"Use the format e2e4",IF($G9="","No piece on that square",IF(LEFT($G9,1)&lt;&gt;$F9,"Not your piece ("&amp;IF($F9="w","White","Black")&amp;" to move)",IF($D9=$E9,"Piece must move",IF(AND($H9&lt;&gt;"",LEFT($H9,1)=$F9),"Cannot capture your own piece",IF($O9=0,"Illegal move for that piece (or path blocked)","OK"))))))))</f>
        <v/>
      </c>
      <c r="R9" s="11" t="n">
        <f aca="false">IF($P9=1,IF(AND($K9="P",ABS($J9)=2),($D9+$E9)/2,0),$R8)</f>
        <v>0</v>
      </c>
      <c r="S9" s="12" t="b">
        <f aca="false">--OR($S8=1,AND($P9=1,OR($D9=5,$E9=5)))</f>
        <v>0</v>
      </c>
      <c r="T9" s="12" t="b">
        <f aca="false">--OR($T8=1,AND($P9=1,OR($D9=1,$E9=1)))</f>
        <v>0</v>
      </c>
      <c r="U9" s="12" t="b">
        <f aca="false">--OR($U8=1,AND($P9=1,OR($D9=8,$E9=8)))</f>
        <v>0</v>
      </c>
      <c r="V9" s="12" t="b">
        <f aca="false">--OR($V8=1,AND($P9=1,OR($D9=61,$E9=61)))</f>
        <v>0</v>
      </c>
      <c r="W9" s="12" t="b">
        <f aca="false">--OR($W8=1,AND($P9=1,OR($D9=57,$E9=57)))</f>
        <v>0</v>
      </c>
      <c r="X9" s="12" t="b">
        <f aca="false">--OR($X8=1,AND($P9=1,OR($D9=64,$E9=64)))</f>
        <v>0</v>
      </c>
      <c r="Y9" s="12" t="b">
        <f aca="false">--AND($P9=1,$K9="K",ABS($I9)=2)</f>
        <v>0</v>
      </c>
      <c r="Z9" s="12" t="b">
        <f aca="false">--AND($P9=1,$K9="P",ABS($I9)=1,$H9="")</f>
        <v>0</v>
      </c>
      <c r="AA9" s="12" t="b">
        <f aca="false">--AND($P9=1,$K9="P",INT(($E9-1)/8)=IF($F9="w",7,0))</f>
        <v>0</v>
      </c>
      <c r="AB9" s="11" t="str">
        <f aca="false">IF(LEN($C9)&gt;=5,IF(ISNUMBER(FIND(MID($C9,5,1),"qrbn")),UPPER(MID($C9,5,1)),"Q"),"Q")</f>
        <v>Q</v>
      </c>
      <c r="AC9" s="11" t="n">
        <f aca="false">IF($Y9=1,IF($I9=2,$D9+3,$D9-4),0)</f>
        <v>0</v>
      </c>
      <c r="AD9" s="11" t="n">
        <f aca="false">IF($Y9=1,IF($I9=2,$D9+1,$D9-1),0)</f>
        <v>0</v>
      </c>
      <c r="AE9" s="11" t="n">
        <f aca="false">IF($Z9=1,$E9-8*IF($F9="w",1,-1),0)</f>
        <v>0</v>
      </c>
      <c r="AF9" s="11" t="str">
        <f aca="false">IF($B9="","",IF($P9=1,LOWER(INDEX($CV$2:$CV$13,MATCH($G9,$CU$2:$CU$13,0)))&amp;" "&amp;MID("abcdefgh",MOD($D9-1,8)+1,1)&amp;(INT(($D9-1)/8)+1)&amp;"→"&amp;MID("abcdefgh",MOD($E9-1,8)+1,1)&amp;(INT(($E9-1)/8)+1)&amp;IF(OR($H9&lt;&gt;"",$Z9=1)," ×","")&amp;IF($Y9=1," castles","")&amp;IF($Z9=1," e.p.","")&amp;IF($AA9=1," =" &amp;LOWER(INDEX($CV$2:$CV$13,MATCH($F9&amp;$AB9,$CU$2:$CU$13,0))),""),"X "&amp;$Q9))</f>
        <v/>
      </c>
      <c r="AG9" s="11"/>
      <c r="AH9" s="11" t="str">
        <f aca="false">IF($P9=0,AH8,IF(AH$3=$E9,IF($AA9=1,$F9&amp;$AB9,$G9),IF(OR(AH$3=$D9,AH$3=$AC9,AH$3=$AE9),"",IF(AH$3=$AD9,$F9&amp;"R",AH8))))</f>
        <v>wR</v>
      </c>
      <c r="AI9" s="11" t="str">
        <f aca="false">IF($P9=0,AI8,IF(AI$3=$E9,IF($AA9=1,$F9&amp;$AB9,$G9),IF(OR(AI$3=$D9,AI$3=$AC9,AI$3=$AE9),"",IF(AI$3=$AD9,$F9&amp;"R",AI8))))</f>
        <v>wN</v>
      </c>
      <c r="AJ9" s="11" t="str">
        <f aca="false">IF($P9=0,AJ8,IF(AJ$3=$E9,IF($AA9=1,$F9&amp;$AB9,$G9),IF(OR(AJ$3=$D9,AJ$3=$AC9,AJ$3=$AE9),"",IF(AJ$3=$AD9,$F9&amp;"R",AJ8))))</f>
        <v>wB</v>
      </c>
      <c r="AK9" s="11" t="str">
        <f aca="false">IF($P9=0,AK8,IF(AK$3=$E9,IF($AA9=1,$F9&amp;$AB9,$G9),IF(OR(AK$3=$D9,AK$3=$AC9,AK$3=$AE9),"",IF(AK$3=$AD9,$F9&amp;"R",AK8))))</f>
        <v>wQ</v>
      </c>
      <c r="AL9" s="11" t="str">
        <f aca="false">IF($P9=0,AL8,IF(AL$3=$E9,IF($AA9=1,$F9&amp;$AB9,$G9),IF(OR(AL$3=$D9,AL$3=$AC9,AL$3=$AE9),"",IF(AL$3=$AD9,$F9&amp;"R",AL8))))</f>
        <v>wK</v>
      </c>
      <c r="AM9" s="11" t="str">
        <f aca="false">IF($P9=0,AM8,IF(AM$3=$E9,IF($AA9=1,$F9&amp;$AB9,$G9),IF(OR(AM$3=$D9,AM$3=$AC9,AM$3=$AE9),"",IF(AM$3=$AD9,$F9&amp;"R",AM8))))</f>
        <v>wB</v>
      </c>
      <c r="AN9" s="11" t="str">
        <f aca="false">IF($P9=0,AN8,IF(AN$3=$E9,IF($AA9=1,$F9&amp;$AB9,$G9),IF(OR(AN$3=$D9,AN$3=$AC9,AN$3=$AE9),"",IF(AN$3=$AD9,$F9&amp;"R",AN8))))</f>
        <v>wN</v>
      </c>
      <c r="AO9" s="11" t="str">
        <f aca="false">IF($P9=0,AO8,IF(AO$3=$E9,IF($AA9=1,$F9&amp;$AB9,$G9),IF(OR(AO$3=$D9,AO$3=$AC9,AO$3=$AE9),"",IF(AO$3=$AD9,$F9&amp;"R",AO8))))</f>
        <v>wR</v>
      </c>
      <c r="AP9" s="11" t="str">
        <f aca="false">IF($P9=0,AP8,IF(AP$3=$E9,IF($AA9=1,$F9&amp;$AB9,$G9),IF(OR(AP$3=$D9,AP$3=$AC9,AP$3=$AE9),"",IF(AP$3=$AD9,$F9&amp;"R",AP8))))</f>
        <v>wP</v>
      </c>
      <c r="AQ9" s="11" t="str">
        <f aca="false">IF($P9=0,AQ8,IF(AQ$3=$E9,IF($AA9=1,$F9&amp;$AB9,$G9),IF(OR(AQ$3=$D9,AQ$3=$AC9,AQ$3=$AE9),"",IF(AQ$3=$AD9,$F9&amp;"R",AQ8))))</f>
        <v>wP</v>
      </c>
      <c r="AR9" s="11" t="str">
        <f aca="false">IF($P9=0,AR8,IF(AR$3=$E9,IF($AA9=1,$F9&amp;$AB9,$G9),IF(OR(AR$3=$D9,AR$3=$AC9,AR$3=$AE9),"",IF(AR$3=$AD9,$F9&amp;"R",AR8))))</f>
        <v>wP</v>
      </c>
      <c r="AS9" s="11" t="str">
        <f aca="false">IF($P9=0,AS8,IF(AS$3=$E9,IF($AA9=1,$F9&amp;$AB9,$G9),IF(OR(AS$3=$D9,AS$3=$AC9,AS$3=$AE9),"",IF(AS$3=$AD9,$F9&amp;"R",AS8))))</f>
        <v>wP</v>
      </c>
      <c r="AT9" s="11" t="str">
        <f aca="false">IF($P9=0,AT8,IF(AT$3=$E9,IF($AA9=1,$F9&amp;$AB9,$G9),IF(OR(AT$3=$D9,AT$3=$AC9,AT$3=$AE9),"",IF(AT$3=$AD9,$F9&amp;"R",AT8))))</f>
        <v>wP</v>
      </c>
      <c r="AU9" s="11" t="str">
        <f aca="false">IF($P9=0,AU8,IF(AU$3=$E9,IF($AA9=1,$F9&amp;$AB9,$G9),IF(OR(AU$3=$D9,AU$3=$AC9,AU$3=$AE9),"",IF(AU$3=$AD9,$F9&amp;"R",AU8))))</f>
        <v>wP</v>
      </c>
      <c r="AV9" s="11" t="str">
        <f aca="false">IF($P9=0,AV8,IF(AV$3=$E9,IF($AA9=1,$F9&amp;$AB9,$G9),IF(OR(AV$3=$D9,AV$3=$AC9,AV$3=$AE9),"",IF(AV$3=$AD9,$F9&amp;"R",AV8))))</f>
        <v>wP</v>
      </c>
      <c r="AW9" s="11" t="str">
        <f aca="false">IF($P9=0,AW8,IF(AW$3=$E9,IF($AA9=1,$F9&amp;$AB9,$G9),IF(OR(AW$3=$D9,AW$3=$AC9,AW$3=$AE9),"",IF(AW$3=$AD9,$F9&amp;"R",AW8))))</f>
        <v>wP</v>
      </c>
      <c r="AX9" s="11" t="str">
        <f aca="false">IF($P9=0,AX8,IF(AX$3=$E9,IF($AA9=1,$F9&amp;$AB9,$G9),IF(OR(AX$3=$D9,AX$3=$AC9,AX$3=$AE9),"",IF(AX$3=$AD9,$F9&amp;"R",AX8))))</f>
        <v/>
      </c>
      <c r="AY9" s="11" t="str">
        <f aca="false">IF($P9=0,AY8,IF(AY$3=$E9,IF($AA9=1,$F9&amp;$AB9,$G9),IF(OR(AY$3=$D9,AY$3=$AC9,AY$3=$AE9),"",IF(AY$3=$AD9,$F9&amp;"R",AY8))))</f>
        <v/>
      </c>
      <c r="AZ9" s="11" t="str">
        <f aca="false">IF($P9=0,AZ8,IF(AZ$3=$E9,IF($AA9=1,$F9&amp;$AB9,$G9),IF(OR(AZ$3=$D9,AZ$3=$AC9,AZ$3=$AE9),"",IF(AZ$3=$AD9,$F9&amp;"R",AZ8))))</f>
        <v/>
      </c>
      <c r="BA9" s="11" t="str">
        <f aca="false">IF($P9=0,BA8,IF(BA$3=$E9,IF($AA9=1,$F9&amp;$AB9,$G9),IF(OR(BA$3=$D9,BA$3=$AC9,BA$3=$AE9),"",IF(BA$3=$AD9,$F9&amp;"R",BA8))))</f>
        <v/>
      </c>
      <c r="BB9" s="11" t="str">
        <f aca="false">IF($P9=0,BB8,IF(BB$3=$E9,IF($AA9=1,$F9&amp;$AB9,$G9),IF(OR(BB$3=$D9,BB$3=$AC9,BB$3=$AE9),"",IF(BB$3=$AD9,$F9&amp;"R",BB8))))</f>
        <v/>
      </c>
      <c r="BC9" s="11" t="str">
        <f aca="false">IF($P9=0,BC8,IF(BC$3=$E9,IF($AA9=1,$F9&amp;$AB9,$G9),IF(OR(BC$3=$D9,BC$3=$AC9,BC$3=$AE9),"",IF(BC$3=$AD9,$F9&amp;"R",BC8))))</f>
        <v/>
      </c>
      <c r="BD9" s="11" t="str">
        <f aca="false">IF($P9=0,BD8,IF(BD$3=$E9,IF($AA9=1,$F9&amp;$AB9,$G9),IF(OR(BD$3=$D9,BD$3=$AC9,BD$3=$AE9),"",IF(BD$3=$AD9,$F9&amp;"R",BD8))))</f>
        <v/>
      </c>
      <c r="BE9" s="11" t="str">
        <f aca="false">IF($P9=0,BE8,IF(BE$3=$E9,IF($AA9=1,$F9&amp;$AB9,$G9),IF(OR(BE$3=$D9,BE$3=$AC9,BE$3=$AE9),"",IF(BE$3=$AD9,$F9&amp;"R",BE8))))</f>
        <v/>
      </c>
      <c r="BF9" s="11" t="str">
        <f aca="false">IF($P9=0,BF8,IF(BF$3=$E9,IF($AA9=1,$F9&amp;$AB9,$G9),IF(OR(BF$3=$D9,BF$3=$AC9,BF$3=$AE9),"",IF(BF$3=$AD9,$F9&amp;"R",BF8))))</f>
        <v/>
      </c>
      <c r="BG9" s="11" t="str">
        <f aca="false">IF($P9=0,BG8,IF(BG$3=$E9,IF($AA9=1,$F9&amp;$AB9,$G9),IF(OR(BG$3=$D9,BG$3=$AC9,BG$3=$AE9),"",IF(BG$3=$AD9,$F9&amp;"R",BG8))))</f>
        <v/>
      </c>
      <c r="BH9" s="11" t="str">
        <f aca="false">IF($P9=0,BH8,IF(BH$3=$E9,IF($AA9=1,$F9&amp;$AB9,$G9),IF(OR(BH$3=$D9,BH$3=$AC9,BH$3=$AE9),"",IF(BH$3=$AD9,$F9&amp;"R",BH8))))</f>
        <v/>
      </c>
      <c r="BI9" s="11" t="str">
        <f aca="false">IF($P9=0,BI8,IF(BI$3=$E9,IF($AA9=1,$F9&amp;$AB9,$G9),IF(OR(BI$3=$D9,BI$3=$AC9,BI$3=$AE9),"",IF(BI$3=$AD9,$F9&amp;"R",BI8))))</f>
        <v/>
      </c>
      <c r="BJ9" s="11" t="str">
        <f aca="false">IF($P9=0,BJ8,IF(BJ$3=$E9,IF($AA9=1,$F9&amp;$AB9,$G9),IF(OR(BJ$3=$D9,BJ$3=$AC9,BJ$3=$AE9),"",IF(BJ$3=$AD9,$F9&amp;"R",BJ8))))</f>
        <v/>
      </c>
      <c r="BK9" s="11" t="str">
        <f aca="false">IF($P9=0,BK8,IF(BK$3=$E9,IF($AA9=1,$F9&amp;$AB9,$G9),IF(OR(BK$3=$D9,BK$3=$AC9,BK$3=$AE9),"",IF(BK$3=$AD9,$F9&amp;"R",BK8))))</f>
        <v/>
      </c>
      <c r="BL9" s="11" t="str">
        <f aca="false">IF($P9=0,BL8,IF(BL$3=$E9,IF($AA9=1,$F9&amp;$AB9,$G9),IF(OR(BL$3=$D9,BL$3=$AC9,BL$3=$AE9),"",IF(BL$3=$AD9,$F9&amp;"R",BL8))))</f>
        <v/>
      </c>
      <c r="BM9" s="11" t="str">
        <f aca="false">IF($P9=0,BM8,IF(BM$3=$E9,IF($AA9=1,$F9&amp;$AB9,$G9),IF(OR(BM$3=$D9,BM$3=$AC9,BM$3=$AE9),"",IF(BM$3=$AD9,$F9&amp;"R",BM8))))</f>
        <v/>
      </c>
      <c r="BN9" s="11" t="str">
        <f aca="false">IF($P9=0,BN8,IF(BN$3=$E9,IF($AA9=1,$F9&amp;$AB9,$G9),IF(OR(BN$3=$D9,BN$3=$AC9,BN$3=$AE9),"",IF(BN$3=$AD9,$F9&amp;"R",BN8))))</f>
        <v/>
      </c>
      <c r="BO9" s="11" t="str">
        <f aca="false">IF($P9=0,BO8,IF(BO$3=$E9,IF($AA9=1,$F9&amp;$AB9,$G9),IF(OR(BO$3=$D9,BO$3=$AC9,BO$3=$AE9),"",IF(BO$3=$AD9,$F9&amp;"R",BO8))))</f>
        <v/>
      </c>
      <c r="BP9" s="11" t="str">
        <f aca="false">IF($P9=0,BP8,IF(BP$3=$E9,IF($AA9=1,$F9&amp;$AB9,$G9),IF(OR(BP$3=$D9,BP$3=$AC9,BP$3=$AE9),"",IF(BP$3=$AD9,$F9&amp;"R",BP8))))</f>
        <v/>
      </c>
      <c r="BQ9" s="11" t="str">
        <f aca="false">IF($P9=0,BQ8,IF(BQ$3=$E9,IF($AA9=1,$F9&amp;$AB9,$G9),IF(OR(BQ$3=$D9,BQ$3=$AC9,BQ$3=$AE9),"",IF(BQ$3=$AD9,$F9&amp;"R",BQ8))))</f>
        <v/>
      </c>
      <c r="BR9" s="11" t="str">
        <f aca="false">IF($P9=0,BR8,IF(BR$3=$E9,IF($AA9=1,$F9&amp;$AB9,$G9),IF(OR(BR$3=$D9,BR$3=$AC9,BR$3=$AE9),"",IF(BR$3=$AD9,$F9&amp;"R",BR8))))</f>
        <v/>
      </c>
      <c r="BS9" s="11" t="str">
        <f aca="false">IF($P9=0,BS8,IF(BS$3=$E9,IF($AA9=1,$F9&amp;$AB9,$G9),IF(OR(BS$3=$D9,BS$3=$AC9,BS$3=$AE9),"",IF(BS$3=$AD9,$F9&amp;"R",BS8))))</f>
        <v/>
      </c>
      <c r="BT9" s="11" t="str">
        <f aca="false">IF($P9=0,BT8,IF(BT$3=$E9,IF($AA9=1,$F9&amp;$AB9,$G9),IF(OR(BT$3=$D9,BT$3=$AC9,BT$3=$AE9),"",IF(BT$3=$AD9,$F9&amp;"R",BT8))))</f>
        <v/>
      </c>
      <c r="BU9" s="11" t="str">
        <f aca="false">IF($P9=0,BU8,IF(BU$3=$E9,IF($AA9=1,$F9&amp;$AB9,$G9),IF(OR(BU$3=$D9,BU$3=$AC9,BU$3=$AE9),"",IF(BU$3=$AD9,$F9&amp;"R",BU8))))</f>
        <v/>
      </c>
      <c r="BV9" s="11" t="str">
        <f aca="false">IF($P9=0,BV8,IF(BV$3=$E9,IF($AA9=1,$F9&amp;$AB9,$G9),IF(OR(BV$3=$D9,BV$3=$AC9,BV$3=$AE9),"",IF(BV$3=$AD9,$F9&amp;"R",BV8))))</f>
        <v/>
      </c>
      <c r="BW9" s="11" t="str">
        <f aca="false">IF($P9=0,BW8,IF(BW$3=$E9,IF($AA9=1,$F9&amp;$AB9,$G9),IF(OR(BW$3=$D9,BW$3=$AC9,BW$3=$AE9),"",IF(BW$3=$AD9,$F9&amp;"R",BW8))))</f>
        <v/>
      </c>
      <c r="BX9" s="11" t="str">
        <f aca="false">IF($P9=0,BX8,IF(BX$3=$E9,IF($AA9=1,$F9&amp;$AB9,$G9),IF(OR(BX$3=$D9,BX$3=$AC9,BX$3=$AE9),"",IF(BX$3=$AD9,$F9&amp;"R",BX8))))</f>
        <v/>
      </c>
      <c r="BY9" s="11" t="str">
        <f aca="false">IF($P9=0,BY8,IF(BY$3=$E9,IF($AA9=1,$F9&amp;$AB9,$G9),IF(OR(BY$3=$D9,BY$3=$AC9,BY$3=$AE9),"",IF(BY$3=$AD9,$F9&amp;"R",BY8))))</f>
        <v/>
      </c>
      <c r="BZ9" s="11" t="str">
        <f aca="false">IF($P9=0,BZ8,IF(BZ$3=$E9,IF($AA9=1,$F9&amp;$AB9,$G9),IF(OR(BZ$3=$D9,BZ$3=$AC9,BZ$3=$AE9),"",IF(BZ$3=$AD9,$F9&amp;"R",BZ8))))</f>
        <v/>
      </c>
      <c r="CA9" s="11" t="str">
        <f aca="false">IF($P9=0,CA8,IF(CA$3=$E9,IF($AA9=1,$F9&amp;$AB9,$G9),IF(OR(CA$3=$D9,CA$3=$AC9,CA$3=$AE9),"",IF(CA$3=$AD9,$F9&amp;"R",CA8))))</f>
        <v/>
      </c>
      <c r="CB9" s="11" t="str">
        <f aca="false">IF($P9=0,CB8,IF(CB$3=$E9,IF($AA9=1,$F9&amp;$AB9,$G9),IF(OR(CB$3=$D9,CB$3=$AC9,CB$3=$AE9),"",IF(CB$3=$AD9,$F9&amp;"R",CB8))))</f>
        <v/>
      </c>
      <c r="CC9" s="11" t="str">
        <f aca="false">IF($P9=0,CC8,IF(CC$3=$E9,IF($AA9=1,$F9&amp;$AB9,$G9),IF(OR(CC$3=$D9,CC$3=$AC9,CC$3=$AE9),"",IF(CC$3=$AD9,$F9&amp;"R",CC8))))</f>
        <v/>
      </c>
      <c r="CD9" s="11" t="str">
        <f aca="false">IF($P9=0,CD8,IF(CD$3=$E9,IF($AA9=1,$F9&amp;$AB9,$G9),IF(OR(CD$3=$D9,CD$3=$AC9,CD$3=$AE9),"",IF(CD$3=$AD9,$F9&amp;"R",CD8))))</f>
        <v>bP</v>
      </c>
      <c r="CE9" s="11" t="str">
        <f aca="false">IF($P9=0,CE8,IF(CE$3=$E9,IF($AA9=1,$F9&amp;$AB9,$G9),IF(OR(CE$3=$D9,CE$3=$AC9,CE$3=$AE9),"",IF(CE$3=$AD9,$F9&amp;"R",CE8))))</f>
        <v>bP</v>
      </c>
      <c r="CF9" s="11" t="str">
        <f aca="false">IF($P9=0,CF8,IF(CF$3=$E9,IF($AA9=1,$F9&amp;$AB9,$G9),IF(OR(CF$3=$D9,CF$3=$AC9,CF$3=$AE9),"",IF(CF$3=$AD9,$F9&amp;"R",CF8))))</f>
        <v>bP</v>
      </c>
      <c r="CG9" s="11" t="str">
        <f aca="false">IF($P9=0,CG8,IF(CG$3=$E9,IF($AA9=1,$F9&amp;$AB9,$G9),IF(OR(CG$3=$D9,CG$3=$AC9,CG$3=$AE9),"",IF(CG$3=$AD9,$F9&amp;"R",CG8))))</f>
        <v>bP</v>
      </c>
      <c r="CH9" s="11" t="str">
        <f aca="false">IF($P9=0,CH8,IF(CH$3=$E9,IF($AA9=1,$F9&amp;$AB9,$G9),IF(OR(CH$3=$D9,CH$3=$AC9,CH$3=$AE9),"",IF(CH$3=$AD9,$F9&amp;"R",CH8))))</f>
        <v>bP</v>
      </c>
      <c r="CI9" s="11" t="str">
        <f aca="false">IF($P9=0,CI8,IF(CI$3=$E9,IF($AA9=1,$F9&amp;$AB9,$G9),IF(OR(CI$3=$D9,CI$3=$AC9,CI$3=$AE9),"",IF(CI$3=$AD9,$F9&amp;"R",CI8))))</f>
        <v>bP</v>
      </c>
      <c r="CJ9" s="11" t="str">
        <f aca="false">IF($P9=0,CJ8,IF(CJ$3=$E9,IF($AA9=1,$F9&amp;$AB9,$G9),IF(OR(CJ$3=$D9,CJ$3=$AC9,CJ$3=$AE9),"",IF(CJ$3=$AD9,$F9&amp;"R",CJ8))))</f>
        <v>bP</v>
      </c>
      <c r="CK9" s="11" t="str">
        <f aca="false">IF($P9=0,CK8,IF(CK$3=$E9,IF($AA9=1,$F9&amp;$AB9,$G9),IF(OR(CK$3=$D9,CK$3=$AC9,CK$3=$AE9),"",IF(CK$3=$AD9,$F9&amp;"R",CK8))))</f>
        <v>bP</v>
      </c>
      <c r="CL9" s="11" t="str">
        <f aca="false">IF($P9=0,CL8,IF(CL$3=$E9,IF($AA9=1,$F9&amp;$AB9,$G9),IF(OR(CL$3=$D9,CL$3=$AC9,CL$3=$AE9),"",IF(CL$3=$AD9,$F9&amp;"R",CL8))))</f>
        <v>bR</v>
      </c>
      <c r="CM9" s="11" t="str">
        <f aca="false">IF($P9=0,CM8,IF(CM$3=$E9,IF($AA9=1,$F9&amp;$AB9,$G9),IF(OR(CM$3=$D9,CM$3=$AC9,CM$3=$AE9),"",IF(CM$3=$AD9,$F9&amp;"R",CM8))))</f>
        <v>bN</v>
      </c>
      <c r="CN9" s="11" t="str">
        <f aca="false">IF($P9=0,CN8,IF(CN$3=$E9,IF($AA9=1,$F9&amp;$AB9,$G9),IF(OR(CN$3=$D9,CN$3=$AC9,CN$3=$AE9),"",IF(CN$3=$AD9,$F9&amp;"R",CN8))))</f>
        <v>bB</v>
      </c>
      <c r="CO9" s="11" t="str">
        <f aca="false">IF($P9=0,CO8,IF(CO$3=$E9,IF($AA9=1,$F9&amp;$AB9,$G9),IF(OR(CO$3=$D9,CO$3=$AC9,CO$3=$AE9),"",IF(CO$3=$AD9,$F9&amp;"R",CO8))))</f>
        <v>bQ</v>
      </c>
      <c r="CP9" s="11" t="str">
        <f aca="false">IF($P9=0,CP8,IF(CP$3=$E9,IF($AA9=1,$F9&amp;$AB9,$G9),IF(OR(CP$3=$D9,CP$3=$AC9,CP$3=$AE9),"",IF(CP$3=$AD9,$F9&amp;"R",CP8))))</f>
        <v>bK</v>
      </c>
      <c r="CQ9" s="11" t="str">
        <f aca="false">IF($P9=0,CQ8,IF(CQ$3=$E9,IF($AA9=1,$F9&amp;$AB9,$G9),IF(OR(CQ$3=$D9,CQ$3=$AC9,CQ$3=$AE9),"",IF(CQ$3=$AD9,$F9&amp;"R",CQ8))))</f>
        <v>bB</v>
      </c>
      <c r="CR9" s="11" t="str">
        <f aca="false">IF($P9=0,CR8,IF(CR$3=$E9,IF($AA9=1,$F9&amp;$AB9,$G9),IF(OR(CR$3=$D9,CR$3=$AC9,CR$3=$AE9),"",IF(CR$3=$AD9,$F9&amp;"R",CR8))))</f>
        <v>bN</v>
      </c>
      <c r="CS9" s="11" t="str">
        <f aca="false">IF($P9=0,CS8,IF(CS$3=$E9,IF($AA9=1,$F9&amp;$AB9,$G9),IF(OR(CS$3=$D9,CS$3=$AC9,CS$3=$AE9),"",IF(CS$3=$AD9,$F9&amp;"R",CS8))))</f>
        <v>bR</v>
      </c>
      <c r="CT9" s="11"/>
      <c r="CU9" s="11" t="s">
        <v>124</v>
      </c>
      <c r="CV9" s="11" t="s">
        <v>130</v>
      </c>
    </row>
    <row r="10" customFormat="false" ht="15" hidden="false" customHeight="false" outlineLevel="0" collapsed="false">
      <c r="A10" s="11" t="n">
        <v>5</v>
      </c>
      <c r="B10" s="11" t="str">
        <f aca="false">IF(Chess!$L$14="","",Chess!$L$14&amp;"")</f>
        <v/>
      </c>
      <c r="C10" s="11" t="str">
        <f aca="false">LOWER(SUBSTITUTE(SUBSTITUTE(SUBSTITUTE(SUBSTITUTE(TRIM($B10),"-",""),"=","")," ",""),"x",""))</f>
        <v/>
      </c>
      <c r="D10" s="11" t="n">
        <f aca="false">IF(LEN($C10)&lt;4,0,IFERROR(IF(AND(CODE(MID($C10,1,1))&gt;=97,CODE(MID($C10,1,1))&lt;=104,VALUE(MID($C10,2,1))&gt;=1,VALUE(MID($C10,2,1))&lt;=8),(VALUE(MID($C10,2,1))-1)*8+CODE(MID($C10,1,1))-96,0),0))</f>
        <v>0</v>
      </c>
      <c r="E10" s="11" t="n">
        <f aca="false">IF(LEN($C10)&lt;4,0,IFERROR(IF(AND(CODE(MID($C10,3,1))&gt;=97,CODE(MID($C10,3,1))&lt;=104,VALUE(MID($C10,4,1))&gt;=1,VALUE(MID($C10,4,1))&lt;=8),(VALUE(MID($C10,4,1))-1)*8+CODE(MID($C10,3,1))-96,0),0))</f>
        <v>0</v>
      </c>
      <c r="F10" s="11" t="str">
        <f aca="false">IF(MOD(SUM($P$5:$P9),2)=0,"w","b")</f>
        <v>w</v>
      </c>
      <c r="G10" s="11" t="str">
        <f aca="false">IF($D10=0,"",INDEX($AH9:$CS9,1,$D10)&amp;"")</f>
        <v/>
      </c>
      <c r="H10" s="11" t="str">
        <f aca="false">IF($E10=0,"",INDEX($AH9:$CS9,1,$E10)&amp;"")</f>
        <v/>
      </c>
      <c r="I10" s="11" t="n">
        <f aca="false">IF(OR($D10=0,$E10=0),0,MOD($E10-1,8)-MOD($D10-1,8))</f>
        <v>0</v>
      </c>
      <c r="J10" s="11" t="n">
        <f aca="false">IF(OR($D10=0,$E10=0),0,INT(($E10-1)/8)-INT(($D10-1)/8))</f>
        <v>0</v>
      </c>
      <c r="K10" s="11" t="str">
        <f aca="false">IF($G10="","",RIGHT($G10,1))</f>
        <v/>
      </c>
      <c r="L10" s="11" t="n">
        <f aca="false">IF(OR($D10=0,$E10=0),0,SUMPRODUCT(($AH$3:$CS$3&gt;MIN($D10,$E10))*($AH$3:$CS$3&lt;MAX($D10,$E10))*(MOD($AH$3:$CS$3-MIN($D10,$E10),MAX(1,ABS(SIGN($J10)*8+SIGN($I10))))=0)*($AH9:$CS9&lt;&gt;"")))</f>
        <v>0</v>
      </c>
      <c r="M10" s="11" t="n">
        <f aca="false">IF($K10&lt;&gt;"K",0,IFERROR(--AND($J10=0,ABS($I10)=2,$D10=IF($F10="w",5,61),IF($F10="w",$S9,$V9)=0,IF($I10=2,AND(IF($F10="w",$U9,$X9)=0,INDEX($AH9:$CS9,1,$D10+1)&amp;""="",INDEX($AH9:$CS9,1,$D10+2)&amp;""=""),AND(IF($F10="w",$T9,$W9)=0,INDEX($AH9:$CS9,1,$D10-1)&amp;""="",INDEX($AH9:$CS9,1,$D10-2)&amp;""="",INDEX($AH9:$CS9,1,$D10-3)&amp;""=""))),0))</f>
        <v>0</v>
      </c>
      <c r="N10" s="11" t="n">
        <f aca="false">IF($K10&lt;&gt;"P",0,IFERROR(--OR(AND($I10=0,$J10=IF($F10="w",1,-1),$H10=""),AND($I10=0,$J10=2*IF($F10="w",1,-1),$H10="",INT(($D10-1)/8)=IF($F10="w",1,6),INDEX($AH9:$CS9,1,MAX(1,MIN(64,$D10+8*IF($F10="w",1,-1))))&amp;""=""),AND(ABS($I10)=1,$J10=IF($F10="w",1,-1),$H10&lt;&gt;""),AND(ABS($I10)=1,$J10=IF($F10="w",1,-1),$H10="",$R9&gt;0,$E10=$R9)),0))</f>
        <v>0</v>
      </c>
      <c r="O10" s="11" t="n">
        <f aca="false">IF(OR($D10=0,$E10=0,$G10=""),0,IF($K10="N",--OR(AND(ABS($I10)=1,ABS($J10)=2),AND(ABS($I10)=2,ABS($J10)=1)),IF($K10="B",--AND(ABS($I10)=ABS($J10),$I10&lt;&gt;0,$L10=0),IF($K10="R",--AND(OR($I10=0,$J10=0),OR($I10&lt;&gt;0,$J10&lt;&gt;0),$L10=0),IF($K10="Q",--AND(OR(AND(ABS($I10)=ABS($J10),$I10&lt;&gt;0),AND(OR($I10=0,$J10=0),OR($I10&lt;&gt;0,$J10&lt;&gt;0))),$L10=0),IF($K10="K",--OR(MAX(ABS($I10),ABS($J10))=1,$M10=1),$N10))))))</f>
        <v>0</v>
      </c>
      <c r="P10" s="11" t="n">
        <f aca="false">IF($Q10="OK",1,0)</f>
        <v>0</v>
      </c>
      <c r="Q10" s="11" t="str">
        <f aca="false">IF($B10="","",IF(OR(COUNTIF($AH9:$CS9,"wK")=0,COUNTIF($AH9:$CS9,"bK")=0),"Game is over",IF(OR($D10=0,$E10=0),"Use the format e2e4",IF($G10="","No piece on that square",IF(LEFT($G10,1)&lt;&gt;$F10,"Not your piece ("&amp;IF($F10="w","White","Black")&amp;" to move)",IF($D10=$E10,"Piece must move",IF(AND($H10&lt;&gt;"",LEFT($H10,1)=$F10),"Cannot capture your own piece",IF($O10=0,"Illegal move for that piece (or path blocked)","OK"))))))))</f>
        <v/>
      </c>
      <c r="R10" s="11" t="n">
        <f aca="false">IF($P10=1,IF(AND($K10="P",ABS($J10)=2),($D10+$E10)/2,0),$R9)</f>
        <v>0</v>
      </c>
      <c r="S10" s="12" t="b">
        <f aca="false">--OR($S9=1,AND($P10=1,OR($D10=5,$E10=5)))</f>
        <v>0</v>
      </c>
      <c r="T10" s="12" t="b">
        <f aca="false">--OR($T9=1,AND($P10=1,OR($D10=1,$E10=1)))</f>
        <v>0</v>
      </c>
      <c r="U10" s="12" t="b">
        <f aca="false">--OR($U9=1,AND($P10=1,OR($D10=8,$E10=8)))</f>
        <v>0</v>
      </c>
      <c r="V10" s="12" t="b">
        <f aca="false">--OR($V9=1,AND($P10=1,OR($D10=61,$E10=61)))</f>
        <v>0</v>
      </c>
      <c r="W10" s="12" t="b">
        <f aca="false">--OR($W9=1,AND($P10=1,OR($D10=57,$E10=57)))</f>
        <v>0</v>
      </c>
      <c r="X10" s="12" t="b">
        <f aca="false">--OR($X9=1,AND($P10=1,OR($D10=64,$E10=64)))</f>
        <v>0</v>
      </c>
      <c r="Y10" s="12" t="b">
        <f aca="false">--AND($P10=1,$K10="K",ABS($I10)=2)</f>
        <v>0</v>
      </c>
      <c r="Z10" s="12" t="b">
        <f aca="false">--AND($P10=1,$K10="P",ABS($I10)=1,$H10="")</f>
        <v>0</v>
      </c>
      <c r="AA10" s="12" t="b">
        <f aca="false">--AND($P10=1,$K10="P",INT(($E10-1)/8)=IF($F10="w",7,0))</f>
        <v>0</v>
      </c>
      <c r="AB10" s="11" t="str">
        <f aca="false">IF(LEN($C10)&gt;=5,IF(ISNUMBER(FIND(MID($C10,5,1),"qrbn")),UPPER(MID($C10,5,1)),"Q"),"Q")</f>
        <v>Q</v>
      </c>
      <c r="AC10" s="11" t="n">
        <f aca="false">IF($Y10=1,IF($I10=2,$D10+3,$D10-4),0)</f>
        <v>0</v>
      </c>
      <c r="AD10" s="11" t="n">
        <f aca="false">IF($Y10=1,IF($I10=2,$D10+1,$D10-1),0)</f>
        <v>0</v>
      </c>
      <c r="AE10" s="11" t="n">
        <f aca="false">IF($Z10=1,$E10-8*IF($F10="w",1,-1),0)</f>
        <v>0</v>
      </c>
      <c r="AF10" s="11" t="str">
        <f aca="false">IF($B10="","",IF($P10=1,LOWER(INDEX($CV$2:$CV$13,MATCH($G10,$CU$2:$CU$13,0)))&amp;" "&amp;MID("abcdefgh",MOD($D10-1,8)+1,1)&amp;(INT(($D10-1)/8)+1)&amp;"→"&amp;MID("abcdefgh",MOD($E10-1,8)+1,1)&amp;(INT(($E10-1)/8)+1)&amp;IF(OR($H10&lt;&gt;"",$Z10=1)," ×","")&amp;IF($Y10=1," castles","")&amp;IF($Z10=1," e.p.","")&amp;IF($AA10=1," =" &amp;LOWER(INDEX($CV$2:$CV$13,MATCH($F10&amp;$AB10,$CU$2:$CU$13,0))),""),"X "&amp;$Q10))</f>
        <v/>
      </c>
      <c r="AG10" s="11"/>
      <c r="AH10" s="11" t="str">
        <f aca="false">IF($P10=0,AH9,IF(AH$3=$E10,IF($AA10=1,$F10&amp;$AB10,$G10),IF(OR(AH$3=$D10,AH$3=$AC10,AH$3=$AE10),"",IF(AH$3=$AD10,$F10&amp;"R",AH9))))</f>
        <v>wR</v>
      </c>
      <c r="AI10" s="11" t="str">
        <f aca="false">IF($P10=0,AI9,IF(AI$3=$E10,IF($AA10=1,$F10&amp;$AB10,$G10),IF(OR(AI$3=$D10,AI$3=$AC10,AI$3=$AE10),"",IF(AI$3=$AD10,$F10&amp;"R",AI9))))</f>
        <v>wN</v>
      </c>
      <c r="AJ10" s="11" t="str">
        <f aca="false">IF($P10=0,AJ9,IF(AJ$3=$E10,IF($AA10=1,$F10&amp;$AB10,$G10),IF(OR(AJ$3=$D10,AJ$3=$AC10,AJ$3=$AE10),"",IF(AJ$3=$AD10,$F10&amp;"R",AJ9))))</f>
        <v>wB</v>
      </c>
      <c r="AK10" s="11" t="str">
        <f aca="false">IF($P10=0,AK9,IF(AK$3=$E10,IF($AA10=1,$F10&amp;$AB10,$G10),IF(OR(AK$3=$D10,AK$3=$AC10,AK$3=$AE10),"",IF(AK$3=$AD10,$F10&amp;"R",AK9))))</f>
        <v>wQ</v>
      </c>
      <c r="AL10" s="11" t="str">
        <f aca="false">IF($P10=0,AL9,IF(AL$3=$E10,IF($AA10=1,$F10&amp;$AB10,$G10),IF(OR(AL$3=$D10,AL$3=$AC10,AL$3=$AE10),"",IF(AL$3=$AD10,$F10&amp;"R",AL9))))</f>
        <v>wK</v>
      </c>
      <c r="AM10" s="11" t="str">
        <f aca="false">IF($P10=0,AM9,IF(AM$3=$E10,IF($AA10=1,$F10&amp;$AB10,$G10),IF(OR(AM$3=$D10,AM$3=$AC10,AM$3=$AE10),"",IF(AM$3=$AD10,$F10&amp;"R",AM9))))</f>
        <v>wB</v>
      </c>
      <c r="AN10" s="11" t="str">
        <f aca="false">IF($P10=0,AN9,IF(AN$3=$E10,IF($AA10=1,$F10&amp;$AB10,$G10),IF(OR(AN$3=$D10,AN$3=$AC10,AN$3=$AE10),"",IF(AN$3=$AD10,$F10&amp;"R",AN9))))</f>
        <v>wN</v>
      </c>
      <c r="AO10" s="11" t="str">
        <f aca="false">IF($P10=0,AO9,IF(AO$3=$E10,IF($AA10=1,$F10&amp;$AB10,$G10),IF(OR(AO$3=$D10,AO$3=$AC10,AO$3=$AE10),"",IF(AO$3=$AD10,$F10&amp;"R",AO9))))</f>
        <v>wR</v>
      </c>
      <c r="AP10" s="11" t="str">
        <f aca="false">IF($P10=0,AP9,IF(AP$3=$E10,IF($AA10=1,$F10&amp;$AB10,$G10),IF(OR(AP$3=$D10,AP$3=$AC10,AP$3=$AE10),"",IF(AP$3=$AD10,$F10&amp;"R",AP9))))</f>
        <v>wP</v>
      </c>
      <c r="AQ10" s="11" t="str">
        <f aca="false">IF($P10=0,AQ9,IF(AQ$3=$E10,IF($AA10=1,$F10&amp;$AB10,$G10),IF(OR(AQ$3=$D10,AQ$3=$AC10,AQ$3=$AE10),"",IF(AQ$3=$AD10,$F10&amp;"R",AQ9))))</f>
        <v>wP</v>
      </c>
      <c r="AR10" s="11" t="str">
        <f aca="false">IF($P10=0,AR9,IF(AR$3=$E10,IF($AA10=1,$F10&amp;$AB10,$G10),IF(OR(AR$3=$D10,AR$3=$AC10,AR$3=$AE10),"",IF(AR$3=$AD10,$F10&amp;"R",AR9))))</f>
        <v>wP</v>
      </c>
      <c r="AS10" s="11" t="str">
        <f aca="false">IF($P10=0,AS9,IF(AS$3=$E10,IF($AA10=1,$F10&amp;$AB10,$G10),IF(OR(AS$3=$D10,AS$3=$AC10,AS$3=$AE10),"",IF(AS$3=$AD10,$F10&amp;"R",AS9))))</f>
        <v>wP</v>
      </c>
      <c r="AT10" s="11" t="str">
        <f aca="false">IF($P10=0,AT9,IF(AT$3=$E10,IF($AA10=1,$F10&amp;$AB10,$G10),IF(OR(AT$3=$D10,AT$3=$AC10,AT$3=$AE10),"",IF(AT$3=$AD10,$F10&amp;"R",AT9))))</f>
        <v>wP</v>
      </c>
      <c r="AU10" s="11" t="str">
        <f aca="false">IF($P10=0,AU9,IF(AU$3=$E10,IF($AA10=1,$F10&amp;$AB10,$G10),IF(OR(AU$3=$D10,AU$3=$AC10,AU$3=$AE10),"",IF(AU$3=$AD10,$F10&amp;"R",AU9))))</f>
        <v>wP</v>
      </c>
      <c r="AV10" s="11" t="str">
        <f aca="false">IF($P10=0,AV9,IF(AV$3=$E10,IF($AA10=1,$F10&amp;$AB10,$G10),IF(OR(AV$3=$D10,AV$3=$AC10,AV$3=$AE10),"",IF(AV$3=$AD10,$F10&amp;"R",AV9))))</f>
        <v>wP</v>
      </c>
      <c r="AW10" s="11" t="str">
        <f aca="false">IF($P10=0,AW9,IF(AW$3=$E10,IF($AA10=1,$F10&amp;$AB10,$G10),IF(OR(AW$3=$D10,AW$3=$AC10,AW$3=$AE10),"",IF(AW$3=$AD10,$F10&amp;"R",AW9))))</f>
        <v>wP</v>
      </c>
      <c r="AX10" s="11" t="str">
        <f aca="false">IF($P10=0,AX9,IF(AX$3=$E10,IF($AA10=1,$F10&amp;$AB10,$G10),IF(OR(AX$3=$D10,AX$3=$AC10,AX$3=$AE10),"",IF(AX$3=$AD10,$F10&amp;"R",AX9))))</f>
        <v/>
      </c>
      <c r="AY10" s="11" t="str">
        <f aca="false">IF($P10=0,AY9,IF(AY$3=$E10,IF($AA10=1,$F10&amp;$AB10,$G10),IF(OR(AY$3=$D10,AY$3=$AC10,AY$3=$AE10),"",IF(AY$3=$AD10,$F10&amp;"R",AY9))))</f>
        <v/>
      </c>
      <c r="AZ10" s="11" t="str">
        <f aca="false">IF($P10=0,AZ9,IF(AZ$3=$E10,IF($AA10=1,$F10&amp;$AB10,$G10),IF(OR(AZ$3=$D10,AZ$3=$AC10,AZ$3=$AE10),"",IF(AZ$3=$AD10,$F10&amp;"R",AZ9))))</f>
        <v/>
      </c>
      <c r="BA10" s="11" t="str">
        <f aca="false">IF($P10=0,BA9,IF(BA$3=$E10,IF($AA10=1,$F10&amp;$AB10,$G10),IF(OR(BA$3=$D10,BA$3=$AC10,BA$3=$AE10),"",IF(BA$3=$AD10,$F10&amp;"R",BA9))))</f>
        <v/>
      </c>
      <c r="BB10" s="11" t="str">
        <f aca="false">IF($P10=0,BB9,IF(BB$3=$E10,IF($AA10=1,$F10&amp;$AB10,$G10),IF(OR(BB$3=$D10,BB$3=$AC10,BB$3=$AE10),"",IF(BB$3=$AD10,$F10&amp;"R",BB9))))</f>
        <v/>
      </c>
      <c r="BC10" s="11" t="str">
        <f aca="false">IF($P10=0,BC9,IF(BC$3=$E10,IF($AA10=1,$F10&amp;$AB10,$G10),IF(OR(BC$3=$D10,BC$3=$AC10,BC$3=$AE10),"",IF(BC$3=$AD10,$F10&amp;"R",BC9))))</f>
        <v/>
      </c>
      <c r="BD10" s="11" t="str">
        <f aca="false">IF($P10=0,BD9,IF(BD$3=$E10,IF($AA10=1,$F10&amp;$AB10,$G10),IF(OR(BD$3=$D10,BD$3=$AC10,BD$3=$AE10),"",IF(BD$3=$AD10,$F10&amp;"R",BD9))))</f>
        <v/>
      </c>
      <c r="BE10" s="11" t="str">
        <f aca="false">IF($P10=0,BE9,IF(BE$3=$E10,IF($AA10=1,$F10&amp;$AB10,$G10),IF(OR(BE$3=$D10,BE$3=$AC10,BE$3=$AE10),"",IF(BE$3=$AD10,$F10&amp;"R",BE9))))</f>
        <v/>
      </c>
      <c r="BF10" s="11" t="str">
        <f aca="false">IF($P10=0,BF9,IF(BF$3=$E10,IF($AA10=1,$F10&amp;$AB10,$G10),IF(OR(BF$3=$D10,BF$3=$AC10,BF$3=$AE10),"",IF(BF$3=$AD10,$F10&amp;"R",BF9))))</f>
        <v/>
      </c>
      <c r="BG10" s="11" t="str">
        <f aca="false">IF($P10=0,BG9,IF(BG$3=$E10,IF($AA10=1,$F10&amp;$AB10,$G10),IF(OR(BG$3=$D10,BG$3=$AC10,BG$3=$AE10),"",IF(BG$3=$AD10,$F10&amp;"R",BG9))))</f>
        <v/>
      </c>
      <c r="BH10" s="11" t="str">
        <f aca="false">IF($P10=0,BH9,IF(BH$3=$E10,IF($AA10=1,$F10&amp;$AB10,$G10),IF(OR(BH$3=$D10,BH$3=$AC10,BH$3=$AE10),"",IF(BH$3=$AD10,$F10&amp;"R",BH9))))</f>
        <v/>
      </c>
      <c r="BI10" s="11" t="str">
        <f aca="false">IF($P10=0,BI9,IF(BI$3=$E10,IF($AA10=1,$F10&amp;$AB10,$G10),IF(OR(BI$3=$D10,BI$3=$AC10,BI$3=$AE10),"",IF(BI$3=$AD10,$F10&amp;"R",BI9))))</f>
        <v/>
      </c>
      <c r="BJ10" s="11" t="str">
        <f aca="false">IF($P10=0,BJ9,IF(BJ$3=$E10,IF($AA10=1,$F10&amp;$AB10,$G10),IF(OR(BJ$3=$D10,BJ$3=$AC10,BJ$3=$AE10),"",IF(BJ$3=$AD10,$F10&amp;"R",BJ9))))</f>
        <v/>
      </c>
      <c r="BK10" s="11" t="str">
        <f aca="false">IF($P10=0,BK9,IF(BK$3=$E10,IF($AA10=1,$F10&amp;$AB10,$G10),IF(OR(BK$3=$D10,BK$3=$AC10,BK$3=$AE10),"",IF(BK$3=$AD10,$F10&amp;"R",BK9))))</f>
        <v/>
      </c>
      <c r="BL10" s="11" t="str">
        <f aca="false">IF($P10=0,BL9,IF(BL$3=$E10,IF($AA10=1,$F10&amp;$AB10,$G10),IF(OR(BL$3=$D10,BL$3=$AC10,BL$3=$AE10),"",IF(BL$3=$AD10,$F10&amp;"R",BL9))))</f>
        <v/>
      </c>
      <c r="BM10" s="11" t="str">
        <f aca="false">IF($P10=0,BM9,IF(BM$3=$E10,IF($AA10=1,$F10&amp;$AB10,$G10),IF(OR(BM$3=$D10,BM$3=$AC10,BM$3=$AE10),"",IF(BM$3=$AD10,$F10&amp;"R",BM9))))</f>
        <v/>
      </c>
      <c r="BN10" s="11" t="str">
        <f aca="false">IF($P10=0,BN9,IF(BN$3=$E10,IF($AA10=1,$F10&amp;$AB10,$G10),IF(OR(BN$3=$D10,BN$3=$AC10,BN$3=$AE10),"",IF(BN$3=$AD10,$F10&amp;"R",BN9))))</f>
        <v/>
      </c>
      <c r="BO10" s="11" t="str">
        <f aca="false">IF($P10=0,BO9,IF(BO$3=$E10,IF($AA10=1,$F10&amp;$AB10,$G10),IF(OR(BO$3=$D10,BO$3=$AC10,BO$3=$AE10),"",IF(BO$3=$AD10,$F10&amp;"R",BO9))))</f>
        <v/>
      </c>
      <c r="BP10" s="11" t="str">
        <f aca="false">IF($P10=0,BP9,IF(BP$3=$E10,IF($AA10=1,$F10&amp;$AB10,$G10),IF(OR(BP$3=$D10,BP$3=$AC10,BP$3=$AE10),"",IF(BP$3=$AD10,$F10&amp;"R",BP9))))</f>
        <v/>
      </c>
      <c r="BQ10" s="11" t="str">
        <f aca="false">IF($P10=0,BQ9,IF(BQ$3=$E10,IF($AA10=1,$F10&amp;$AB10,$G10),IF(OR(BQ$3=$D10,BQ$3=$AC10,BQ$3=$AE10),"",IF(BQ$3=$AD10,$F10&amp;"R",BQ9))))</f>
        <v/>
      </c>
      <c r="BR10" s="11" t="str">
        <f aca="false">IF($P10=0,BR9,IF(BR$3=$E10,IF($AA10=1,$F10&amp;$AB10,$G10),IF(OR(BR$3=$D10,BR$3=$AC10,BR$3=$AE10),"",IF(BR$3=$AD10,$F10&amp;"R",BR9))))</f>
        <v/>
      </c>
      <c r="BS10" s="11" t="str">
        <f aca="false">IF($P10=0,BS9,IF(BS$3=$E10,IF($AA10=1,$F10&amp;$AB10,$G10),IF(OR(BS$3=$D10,BS$3=$AC10,BS$3=$AE10),"",IF(BS$3=$AD10,$F10&amp;"R",BS9))))</f>
        <v/>
      </c>
      <c r="BT10" s="11" t="str">
        <f aca="false">IF($P10=0,BT9,IF(BT$3=$E10,IF($AA10=1,$F10&amp;$AB10,$G10),IF(OR(BT$3=$D10,BT$3=$AC10,BT$3=$AE10),"",IF(BT$3=$AD10,$F10&amp;"R",BT9))))</f>
        <v/>
      </c>
      <c r="BU10" s="11" t="str">
        <f aca="false">IF($P10=0,BU9,IF(BU$3=$E10,IF($AA10=1,$F10&amp;$AB10,$G10),IF(OR(BU$3=$D10,BU$3=$AC10,BU$3=$AE10),"",IF(BU$3=$AD10,$F10&amp;"R",BU9))))</f>
        <v/>
      </c>
      <c r="BV10" s="11" t="str">
        <f aca="false">IF($P10=0,BV9,IF(BV$3=$E10,IF($AA10=1,$F10&amp;$AB10,$G10),IF(OR(BV$3=$D10,BV$3=$AC10,BV$3=$AE10),"",IF(BV$3=$AD10,$F10&amp;"R",BV9))))</f>
        <v/>
      </c>
      <c r="BW10" s="11" t="str">
        <f aca="false">IF($P10=0,BW9,IF(BW$3=$E10,IF($AA10=1,$F10&amp;$AB10,$G10),IF(OR(BW$3=$D10,BW$3=$AC10,BW$3=$AE10),"",IF(BW$3=$AD10,$F10&amp;"R",BW9))))</f>
        <v/>
      </c>
      <c r="BX10" s="11" t="str">
        <f aca="false">IF($P10=0,BX9,IF(BX$3=$E10,IF($AA10=1,$F10&amp;$AB10,$G10),IF(OR(BX$3=$D10,BX$3=$AC10,BX$3=$AE10),"",IF(BX$3=$AD10,$F10&amp;"R",BX9))))</f>
        <v/>
      </c>
      <c r="BY10" s="11" t="str">
        <f aca="false">IF($P10=0,BY9,IF(BY$3=$E10,IF($AA10=1,$F10&amp;$AB10,$G10),IF(OR(BY$3=$D10,BY$3=$AC10,BY$3=$AE10),"",IF(BY$3=$AD10,$F10&amp;"R",BY9))))</f>
        <v/>
      </c>
      <c r="BZ10" s="11" t="str">
        <f aca="false">IF($P10=0,BZ9,IF(BZ$3=$E10,IF($AA10=1,$F10&amp;$AB10,$G10),IF(OR(BZ$3=$D10,BZ$3=$AC10,BZ$3=$AE10),"",IF(BZ$3=$AD10,$F10&amp;"R",BZ9))))</f>
        <v/>
      </c>
      <c r="CA10" s="11" t="str">
        <f aca="false">IF($P10=0,CA9,IF(CA$3=$E10,IF($AA10=1,$F10&amp;$AB10,$G10),IF(OR(CA$3=$D10,CA$3=$AC10,CA$3=$AE10),"",IF(CA$3=$AD10,$F10&amp;"R",CA9))))</f>
        <v/>
      </c>
      <c r="CB10" s="11" t="str">
        <f aca="false">IF($P10=0,CB9,IF(CB$3=$E10,IF($AA10=1,$F10&amp;$AB10,$G10),IF(OR(CB$3=$D10,CB$3=$AC10,CB$3=$AE10),"",IF(CB$3=$AD10,$F10&amp;"R",CB9))))</f>
        <v/>
      </c>
      <c r="CC10" s="11" t="str">
        <f aca="false">IF($P10=0,CC9,IF(CC$3=$E10,IF($AA10=1,$F10&amp;$AB10,$G10),IF(OR(CC$3=$D10,CC$3=$AC10,CC$3=$AE10),"",IF(CC$3=$AD10,$F10&amp;"R",CC9))))</f>
        <v/>
      </c>
      <c r="CD10" s="11" t="str">
        <f aca="false">IF($P10=0,CD9,IF(CD$3=$E10,IF($AA10=1,$F10&amp;$AB10,$G10),IF(OR(CD$3=$D10,CD$3=$AC10,CD$3=$AE10),"",IF(CD$3=$AD10,$F10&amp;"R",CD9))))</f>
        <v>bP</v>
      </c>
      <c r="CE10" s="11" t="str">
        <f aca="false">IF($P10=0,CE9,IF(CE$3=$E10,IF($AA10=1,$F10&amp;$AB10,$G10),IF(OR(CE$3=$D10,CE$3=$AC10,CE$3=$AE10),"",IF(CE$3=$AD10,$F10&amp;"R",CE9))))</f>
        <v>bP</v>
      </c>
      <c r="CF10" s="11" t="str">
        <f aca="false">IF($P10=0,CF9,IF(CF$3=$E10,IF($AA10=1,$F10&amp;$AB10,$G10),IF(OR(CF$3=$D10,CF$3=$AC10,CF$3=$AE10),"",IF(CF$3=$AD10,$F10&amp;"R",CF9))))</f>
        <v>bP</v>
      </c>
      <c r="CG10" s="11" t="str">
        <f aca="false">IF($P10=0,CG9,IF(CG$3=$E10,IF($AA10=1,$F10&amp;$AB10,$G10),IF(OR(CG$3=$D10,CG$3=$AC10,CG$3=$AE10),"",IF(CG$3=$AD10,$F10&amp;"R",CG9))))</f>
        <v>bP</v>
      </c>
      <c r="CH10" s="11" t="str">
        <f aca="false">IF($P10=0,CH9,IF(CH$3=$E10,IF($AA10=1,$F10&amp;$AB10,$G10),IF(OR(CH$3=$D10,CH$3=$AC10,CH$3=$AE10),"",IF(CH$3=$AD10,$F10&amp;"R",CH9))))</f>
        <v>bP</v>
      </c>
      <c r="CI10" s="11" t="str">
        <f aca="false">IF($P10=0,CI9,IF(CI$3=$E10,IF($AA10=1,$F10&amp;$AB10,$G10),IF(OR(CI$3=$D10,CI$3=$AC10,CI$3=$AE10),"",IF(CI$3=$AD10,$F10&amp;"R",CI9))))</f>
        <v>bP</v>
      </c>
      <c r="CJ10" s="11" t="str">
        <f aca="false">IF($P10=0,CJ9,IF(CJ$3=$E10,IF($AA10=1,$F10&amp;$AB10,$G10),IF(OR(CJ$3=$D10,CJ$3=$AC10,CJ$3=$AE10),"",IF(CJ$3=$AD10,$F10&amp;"R",CJ9))))</f>
        <v>bP</v>
      </c>
      <c r="CK10" s="11" t="str">
        <f aca="false">IF($P10=0,CK9,IF(CK$3=$E10,IF($AA10=1,$F10&amp;$AB10,$G10),IF(OR(CK$3=$D10,CK$3=$AC10,CK$3=$AE10),"",IF(CK$3=$AD10,$F10&amp;"R",CK9))))</f>
        <v>bP</v>
      </c>
      <c r="CL10" s="11" t="str">
        <f aca="false">IF($P10=0,CL9,IF(CL$3=$E10,IF($AA10=1,$F10&amp;$AB10,$G10),IF(OR(CL$3=$D10,CL$3=$AC10,CL$3=$AE10),"",IF(CL$3=$AD10,$F10&amp;"R",CL9))))</f>
        <v>bR</v>
      </c>
      <c r="CM10" s="11" t="str">
        <f aca="false">IF($P10=0,CM9,IF(CM$3=$E10,IF($AA10=1,$F10&amp;$AB10,$G10),IF(OR(CM$3=$D10,CM$3=$AC10,CM$3=$AE10),"",IF(CM$3=$AD10,$F10&amp;"R",CM9))))</f>
        <v>bN</v>
      </c>
      <c r="CN10" s="11" t="str">
        <f aca="false">IF($P10=0,CN9,IF(CN$3=$E10,IF($AA10=1,$F10&amp;$AB10,$G10),IF(OR(CN$3=$D10,CN$3=$AC10,CN$3=$AE10),"",IF(CN$3=$AD10,$F10&amp;"R",CN9))))</f>
        <v>bB</v>
      </c>
      <c r="CO10" s="11" t="str">
        <f aca="false">IF($P10=0,CO9,IF(CO$3=$E10,IF($AA10=1,$F10&amp;$AB10,$G10),IF(OR(CO$3=$D10,CO$3=$AC10,CO$3=$AE10),"",IF(CO$3=$AD10,$F10&amp;"R",CO9))))</f>
        <v>bQ</v>
      </c>
      <c r="CP10" s="11" t="str">
        <f aca="false">IF($P10=0,CP9,IF(CP$3=$E10,IF($AA10=1,$F10&amp;$AB10,$G10),IF(OR(CP$3=$D10,CP$3=$AC10,CP$3=$AE10),"",IF(CP$3=$AD10,$F10&amp;"R",CP9))))</f>
        <v>bK</v>
      </c>
      <c r="CQ10" s="11" t="str">
        <f aca="false">IF($P10=0,CQ9,IF(CQ$3=$E10,IF($AA10=1,$F10&amp;$AB10,$G10),IF(OR(CQ$3=$D10,CQ$3=$AC10,CQ$3=$AE10),"",IF(CQ$3=$AD10,$F10&amp;"R",CQ9))))</f>
        <v>bB</v>
      </c>
      <c r="CR10" s="11" t="str">
        <f aca="false">IF($P10=0,CR9,IF(CR$3=$E10,IF($AA10=1,$F10&amp;$AB10,$G10),IF(OR(CR$3=$D10,CR$3=$AC10,CR$3=$AE10),"",IF(CR$3=$AD10,$F10&amp;"R",CR9))))</f>
        <v>bN</v>
      </c>
      <c r="CS10" s="11" t="str">
        <f aca="false">IF($P10=0,CS9,IF(CS$3=$E10,IF($AA10=1,$F10&amp;$AB10,$G10),IF(OR(CS$3=$D10,CS$3=$AC10,CS$3=$AE10),"",IF(CS$3=$AD10,$F10&amp;"R",CS9))))</f>
        <v>bR</v>
      </c>
      <c r="CT10" s="11"/>
      <c r="CU10" s="11" t="s">
        <v>121</v>
      </c>
      <c r="CV10" s="11" t="s">
        <v>131</v>
      </c>
    </row>
    <row r="11" customFormat="false" ht="15" hidden="false" customHeight="false" outlineLevel="0" collapsed="false">
      <c r="A11" s="11" t="n">
        <v>6</v>
      </c>
      <c r="B11" s="11" t="str">
        <f aca="false">IF(Chess!$L$15="","",Chess!$L$15&amp;"")</f>
        <v/>
      </c>
      <c r="C11" s="11" t="str">
        <f aca="false">LOWER(SUBSTITUTE(SUBSTITUTE(SUBSTITUTE(SUBSTITUTE(TRIM($B11),"-",""),"=","")," ",""),"x",""))</f>
        <v/>
      </c>
      <c r="D11" s="11" t="n">
        <f aca="false">IF(LEN($C11)&lt;4,0,IFERROR(IF(AND(CODE(MID($C11,1,1))&gt;=97,CODE(MID($C11,1,1))&lt;=104,VALUE(MID($C11,2,1))&gt;=1,VALUE(MID($C11,2,1))&lt;=8),(VALUE(MID($C11,2,1))-1)*8+CODE(MID($C11,1,1))-96,0),0))</f>
        <v>0</v>
      </c>
      <c r="E11" s="11" t="n">
        <f aca="false">IF(LEN($C11)&lt;4,0,IFERROR(IF(AND(CODE(MID($C11,3,1))&gt;=97,CODE(MID($C11,3,1))&lt;=104,VALUE(MID($C11,4,1))&gt;=1,VALUE(MID($C11,4,1))&lt;=8),(VALUE(MID($C11,4,1))-1)*8+CODE(MID($C11,3,1))-96,0),0))</f>
        <v>0</v>
      </c>
      <c r="F11" s="11" t="str">
        <f aca="false">IF(MOD(SUM($P$5:$P10),2)=0,"w","b")</f>
        <v>w</v>
      </c>
      <c r="G11" s="11" t="str">
        <f aca="false">IF($D11=0,"",INDEX($AH10:$CS10,1,$D11)&amp;"")</f>
        <v/>
      </c>
      <c r="H11" s="11" t="str">
        <f aca="false">IF($E11=0,"",INDEX($AH10:$CS10,1,$E11)&amp;"")</f>
        <v/>
      </c>
      <c r="I11" s="11" t="n">
        <f aca="false">IF(OR($D11=0,$E11=0),0,MOD($E11-1,8)-MOD($D11-1,8))</f>
        <v>0</v>
      </c>
      <c r="J11" s="11" t="n">
        <f aca="false">IF(OR($D11=0,$E11=0),0,INT(($E11-1)/8)-INT(($D11-1)/8))</f>
        <v>0</v>
      </c>
      <c r="K11" s="11" t="str">
        <f aca="false">IF($G11="","",RIGHT($G11,1))</f>
        <v/>
      </c>
      <c r="L11" s="11" t="n">
        <f aca="false">IF(OR($D11=0,$E11=0),0,SUMPRODUCT(($AH$3:$CS$3&gt;MIN($D11,$E11))*($AH$3:$CS$3&lt;MAX($D11,$E11))*(MOD($AH$3:$CS$3-MIN($D11,$E11),MAX(1,ABS(SIGN($J11)*8+SIGN($I11))))=0)*($AH10:$CS10&lt;&gt;"")))</f>
        <v>0</v>
      </c>
      <c r="M11" s="11" t="n">
        <f aca="false">IF($K11&lt;&gt;"K",0,IFERROR(--AND($J11=0,ABS($I11)=2,$D11=IF($F11="w",5,61),IF($F11="w",$S10,$V10)=0,IF($I11=2,AND(IF($F11="w",$U10,$X10)=0,INDEX($AH10:$CS10,1,$D11+1)&amp;""="",INDEX($AH10:$CS10,1,$D11+2)&amp;""=""),AND(IF($F11="w",$T10,$W10)=0,INDEX($AH10:$CS10,1,$D11-1)&amp;""="",INDEX($AH10:$CS10,1,$D11-2)&amp;""="",INDEX($AH10:$CS10,1,$D11-3)&amp;""=""))),0))</f>
        <v>0</v>
      </c>
      <c r="N11" s="11" t="n">
        <f aca="false">IF($K11&lt;&gt;"P",0,IFERROR(--OR(AND($I11=0,$J11=IF($F11="w",1,-1),$H11=""),AND($I11=0,$J11=2*IF($F11="w",1,-1),$H11="",INT(($D11-1)/8)=IF($F11="w",1,6),INDEX($AH10:$CS10,1,MAX(1,MIN(64,$D11+8*IF($F11="w",1,-1))))&amp;""=""),AND(ABS($I11)=1,$J11=IF($F11="w",1,-1),$H11&lt;&gt;""),AND(ABS($I11)=1,$J11=IF($F11="w",1,-1),$H11="",$R10&gt;0,$E11=$R10)),0))</f>
        <v>0</v>
      </c>
      <c r="O11" s="11" t="n">
        <f aca="false">IF(OR($D11=0,$E11=0,$G11=""),0,IF($K11="N",--OR(AND(ABS($I11)=1,ABS($J11)=2),AND(ABS($I11)=2,ABS($J11)=1)),IF($K11="B",--AND(ABS($I11)=ABS($J11),$I11&lt;&gt;0,$L11=0),IF($K11="R",--AND(OR($I11=0,$J11=0),OR($I11&lt;&gt;0,$J11&lt;&gt;0),$L11=0),IF($K11="Q",--AND(OR(AND(ABS($I11)=ABS($J11),$I11&lt;&gt;0),AND(OR($I11=0,$J11=0),OR($I11&lt;&gt;0,$J11&lt;&gt;0))),$L11=0),IF($K11="K",--OR(MAX(ABS($I11),ABS($J11))=1,$M11=1),$N11))))))</f>
        <v>0</v>
      </c>
      <c r="P11" s="11" t="n">
        <f aca="false">IF($Q11="OK",1,0)</f>
        <v>0</v>
      </c>
      <c r="Q11" s="11" t="str">
        <f aca="false">IF($B11="","",IF(OR(COUNTIF($AH10:$CS10,"wK")=0,COUNTIF($AH10:$CS10,"bK")=0),"Game is over",IF(OR($D11=0,$E11=0),"Use the format e2e4",IF($G11="","No piece on that square",IF(LEFT($G11,1)&lt;&gt;$F11,"Not your piece ("&amp;IF($F11="w","White","Black")&amp;" to move)",IF($D11=$E11,"Piece must move",IF(AND($H11&lt;&gt;"",LEFT($H11,1)=$F11),"Cannot capture your own piece",IF($O11=0,"Illegal move for that piece (or path blocked)","OK"))))))))</f>
        <v/>
      </c>
      <c r="R11" s="11" t="n">
        <f aca="false">IF($P11=1,IF(AND($K11="P",ABS($J11)=2),($D11+$E11)/2,0),$R10)</f>
        <v>0</v>
      </c>
      <c r="S11" s="12" t="b">
        <f aca="false">--OR($S10=1,AND($P11=1,OR($D11=5,$E11=5)))</f>
        <v>0</v>
      </c>
      <c r="T11" s="12" t="b">
        <f aca="false">--OR($T10=1,AND($P11=1,OR($D11=1,$E11=1)))</f>
        <v>0</v>
      </c>
      <c r="U11" s="12" t="b">
        <f aca="false">--OR($U10=1,AND($P11=1,OR($D11=8,$E11=8)))</f>
        <v>0</v>
      </c>
      <c r="V11" s="12" t="b">
        <f aca="false">--OR($V10=1,AND($P11=1,OR($D11=61,$E11=61)))</f>
        <v>0</v>
      </c>
      <c r="W11" s="12" t="b">
        <f aca="false">--OR($W10=1,AND($P11=1,OR($D11=57,$E11=57)))</f>
        <v>0</v>
      </c>
      <c r="X11" s="12" t="b">
        <f aca="false">--OR($X10=1,AND($P11=1,OR($D11=64,$E11=64)))</f>
        <v>0</v>
      </c>
      <c r="Y11" s="12" t="b">
        <f aca="false">--AND($P11=1,$K11="K",ABS($I11)=2)</f>
        <v>0</v>
      </c>
      <c r="Z11" s="12" t="b">
        <f aca="false">--AND($P11=1,$K11="P",ABS($I11)=1,$H11="")</f>
        <v>0</v>
      </c>
      <c r="AA11" s="12" t="b">
        <f aca="false">--AND($P11=1,$K11="P",INT(($E11-1)/8)=IF($F11="w",7,0))</f>
        <v>0</v>
      </c>
      <c r="AB11" s="11" t="str">
        <f aca="false">IF(LEN($C11)&gt;=5,IF(ISNUMBER(FIND(MID($C11,5,1),"qrbn")),UPPER(MID($C11,5,1)),"Q"),"Q")</f>
        <v>Q</v>
      </c>
      <c r="AC11" s="11" t="n">
        <f aca="false">IF($Y11=1,IF($I11=2,$D11+3,$D11-4),0)</f>
        <v>0</v>
      </c>
      <c r="AD11" s="11" t="n">
        <f aca="false">IF($Y11=1,IF($I11=2,$D11+1,$D11-1),0)</f>
        <v>0</v>
      </c>
      <c r="AE11" s="11" t="n">
        <f aca="false">IF($Z11=1,$E11-8*IF($F11="w",1,-1),0)</f>
        <v>0</v>
      </c>
      <c r="AF11" s="11" t="str">
        <f aca="false">IF($B11="","",IF($P11=1,LOWER(INDEX($CV$2:$CV$13,MATCH($G11,$CU$2:$CU$13,0)))&amp;" "&amp;MID("abcdefgh",MOD($D11-1,8)+1,1)&amp;(INT(($D11-1)/8)+1)&amp;"→"&amp;MID("abcdefgh",MOD($E11-1,8)+1,1)&amp;(INT(($E11-1)/8)+1)&amp;IF(OR($H11&lt;&gt;"",$Z11=1)," ×","")&amp;IF($Y11=1," castles","")&amp;IF($Z11=1," e.p.","")&amp;IF($AA11=1," =" &amp;LOWER(INDEX($CV$2:$CV$13,MATCH($F11&amp;$AB11,$CU$2:$CU$13,0))),""),"X "&amp;$Q11))</f>
        <v/>
      </c>
      <c r="AG11" s="11"/>
      <c r="AH11" s="11" t="str">
        <f aca="false">IF($P11=0,AH10,IF(AH$3=$E11,IF($AA11=1,$F11&amp;$AB11,$G11),IF(OR(AH$3=$D11,AH$3=$AC11,AH$3=$AE11),"",IF(AH$3=$AD11,$F11&amp;"R",AH10))))</f>
        <v>wR</v>
      </c>
      <c r="AI11" s="11" t="str">
        <f aca="false">IF($P11=0,AI10,IF(AI$3=$E11,IF($AA11=1,$F11&amp;$AB11,$G11),IF(OR(AI$3=$D11,AI$3=$AC11,AI$3=$AE11),"",IF(AI$3=$AD11,$F11&amp;"R",AI10))))</f>
        <v>wN</v>
      </c>
      <c r="AJ11" s="11" t="str">
        <f aca="false">IF($P11=0,AJ10,IF(AJ$3=$E11,IF($AA11=1,$F11&amp;$AB11,$G11),IF(OR(AJ$3=$D11,AJ$3=$AC11,AJ$3=$AE11),"",IF(AJ$3=$AD11,$F11&amp;"R",AJ10))))</f>
        <v>wB</v>
      </c>
      <c r="AK11" s="11" t="str">
        <f aca="false">IF($P11=0,AK10,IF(AK$3=$E11,IF($AA11=1,$F11&amp;$AB11,$G11),IF(OR(AK$3=$D11,AK$3=$AC11,AK$3=$AE11),"",IF(AK$3=$AD11,$F11&amp;"R",AK10))))</f>
        <v>wQ</v>
      </c>
      <c r="AL11" s="11" t="str">
        <f aca="false">IF($P11=0,AL10,IF(AL$3=$E11,IF($AA11=1,$F11&amp;$AB11,$G11),IF(OR(AL$3=$D11,AL$3=$AC11,AL$3=$AE11),"",IF(AL$3=$AD11,$F11&amp;"R",AL10))))</f>
        <v>wK</v>
      </c>
      <c r="AM11" s="11" t="str">
        <f aca="false">IF($P11=0,AM10,IF(AM$3=$E11,IF($AA11=1,$F11&amp;$AB11,$G11),IF(OR(AM$3=$D11,AM$3=$AC11,AM$3=$AE11),"",IF(AM$3=$AD11,$F11&amp;"R",AM10))))</f>
        <v>wB</v>
      </c>
      <c r="AN11" s="11" t="str">
        <f aca="false">IF($P11=0,AN10,IF(AN$3=$E11,IF($AA11=1,$F11&amp;$AB11,$G11),IF(OR(AN$3=$D11,AN$3=$AC11,AN$3=$AE11),"",IF(AN$3=$AD11,$F11&amp;"R",AN10))))</f>
        <v>wN</v>
      </c>
      <c r="AO11" s="11" t="str">
        <f aca="false">IF($P11=0,AO10,IF(AO$3=$E11,IF($AA11=1,$F11&amp;$AB11,$G11),IF(OR(AO$3=$D11,AO$3=$AC11,AO$3=$AE11),"",IF(AO$3=$AD11,$F11&amp;"R",AO10))))</f>
        <v>wR</v>
      </c>
      <c r="AP11" s="11" t="str">
        <f aca="false">IF($P11=0,AP10,IF(AP$3=$E11,IF($AA11=1,$F11&amp;$AB11,$G11),IF(OR(AP$3=$D11,AP$3=$AC11,AP$3=$AE11),"",IF(AP$3=$AD11,$F11&amp;"R",AP10))))</f>
        <v>wP</v>
      </c>
      <c r="AQ11" s="11" t="str">
        <f aca="false">IF($P11=0,AQ10,IF(AQ$3=$E11,IF($AA11=1,$F11&amp;$AB11,$G11),IF(OR(AQ$3=$D11,AQ$3=$AC11,AQ$3=$AE11),"",IF(AQ$3=$AD11,$F11&amp;"R",AQ10))))</f>
        <v>wP</v>
      </c>
      <c r="AR11" s="11" t="str">
        <f aca="false">IF($P11=0,AR10,IF(AR$3=$E11,IF($AA11=1,$F11&amp;$AB11,$G11),IF(OR(AR$3=$D11,AR$3=$AC11,AR$3=$AE11),"",IF(AR$3=$AD11,$F11&amp;"R",AR10))))</f>
        <v>wP</v>
      </c>
      <c r="AS11" s="11" t="str">
        <f aca="false">IF($P11=0,AS10,IF(AS$3=$E11,IF($AA11=1,$F11&amp;$AB11,$G11),IF(OR(AS$3=$D11,AS$3=$AC11,AS$3=$AE11),"",IF(AS$3=$AD11,$F11&amp;"R",AS10))))</f>
        <v>wP</v>
      </c>
      <c r="AT11" s="11" t="str">
        <f aca="false">IF($P11=0,AT10,IF(AT$3=$E11,IF($AA11=1,$F11&amp;$AB11,$G11),IF(OR(AT$3=$D11,AT$3=$AC11,AT$3=$AE11),"",IF(AT$3=$AD11,$F11&amp;"R",AT10))))</f>
        <v>wP</v>
      </c>
      <c r="AU11" s="11" t="str">
        <f aca="false">IF($P11=0,AU10,IF(AU$3=$E11,IF($AA11=1,$F11&amp;$AB11,$G11),IF(OR(AU$3=$D11,AU$3=$AC11,AU$3=$AE11),"",IF(AU$3=$AD11,$F11&amp;"R",AU10))))</f>
        <v>wP</v>
      </c>
      <c r="AV11" s="11" t="str">
        <f aca="false">IF($P11=0,AV10,IF(AV$3=$E11,IF($AA11=1,$F11&amp;$AB11,$G11),IF(OR(AV$3=$D11,AV$3=$AC11,AV$3=$AE11),"",IF(AV$3=$AD11,$F11&amp;"R",AV10))))</f>
        <v>wP</v>
      </c>
      <c r="AW11" s="11" t="str">
        <f aca="false">IF($P11=0,AW10,IF(AW$3=$E11,IF($AA11=1,$F11&amp;$AB11,$G11),IF(OR(AW$3=$D11,AW$3=$AC11,AW$3=$AE11),"",IF(AW$3=$AD11,$F11&amp;"R",AW10))))</f>
        <v>wP</v>
      </c>
      <c r="AX11" s="11" t="str">
        <f aca="false">IF($P11=0,AX10,IF(AX$3=$E11,IF($AA11=1,$F11&amp;$AB11,$G11),IF(OR(AX$3=$D11,AX$3=$AC11,AX$3=$AE11),"",IF(AX$3=$AD11,$F11&amp;"R",AX10))))</f>
        <v/>
      </c>
      <c r="AY11" s="11" t="str">
        <f aca="false">IF($P11=0,AY10,IF(AY$3=$E11,IF($AA11=1,$F11&amp;$AB11,$G11),IF(OR(AY$3=$D11,AY$3=$AC11,AY$3=$AE11),"",IF(AY$3=$AD11,$F11&amp;"R",AY10))))</f>
        <v/>
      </c>
      <c r="AZ11" s="11" t="str">
        <f aca="false">IF($P11=0,AZ10,IF(AZ$3=$E11,IF($AA11=1,$F11&amp;$AB11,$G11),IF(OR(AZ$3=$D11,AZ$3=$AC11,AZ$3=$AE11),"",IF(AZ$3=$AD11,$F11&amp;"R",AZ10))))</f>
        <v/>
      </c>
      <c r="BA11" s="11" t="str">
        <f aca="false">IF($P11=0,BA10,IF(BA$3=$E11,IF($AA11=1,$F11&amp;$AB11,$G11),IF(OR(BA$3=$D11,BA$3=$AC11,BA$3=$AE11),"",IF(BA$3=$AD11,$F11&amp;"R",BA10))))</f>
        <v/>
      </c>
      <c r="BB11" s="11" t="str">
        <f aca="false">IF($P11=0,BB10,IF(BB$3=$E11,IF($AA11=1,$F11&amp;$AB11,$G11),IF(OR(BB$3=$D11,BB$3=$AC11,BB$3=$AE11),"",IF(BB$3=$AD11,$F11&amp;"R",BB10))))</f>
        <v/>
      </c>
      <c r="BC11" s="11" t="str">
        <f aca="false">IF($P11=0,BC10,IF(BC$3=$E11,IF($AA11=1,$F11&amp;$AB11,$G11),IF(OR(BC$3=$D11,BC$3=$AC11,BC$3=$AE11),"",IF(BC$3=$AD11,$F11&amp;"R",BC10))))</f>
        <v/>
      </c>
      <c r="BD11" s="11" t="str">
        <f aca="false">IF($P11=0,BD10,IF(BD$3=$E11,IF($AA11=1,$F11&amp;$AB11,$G11),IF(OR(BD$3=$D11,BD$3=$AC11,BD$3=$AE11),"",IF(BD$3=$AD11,$F11&amp;"R",BD10))))</f>
        <v/>
      </c>
      <c r="BE11" s="11" t="str">
        <f aca="false">IF($P11=0,BE10,IF(BE$3=$E11,IF($AA11=1,$F11&amp;$AB11,$G11),IF(OR(BE$3=$D11,BE$3=$AC11,BE$3=$AE11),"",IF(BE$3=$AD11,$F11&amp;"R",BE10))))</f>
        <v/>
      </c>
      <c r="BF11" s="11" t="str">
        <f aca="false">IF($P11=0,BF10,IF(BF$3=$E11,IF($AA11=1,$F11&amp;$AB11,$G11),IF(OR(BF$3=$D11,BF$3=$AC11,BF$3=$AE11),"",IF(BF$3=$AD11,$F11&amp;"R",BF10))))</f>
        <v/>
      </c>
      <c r="BG11" s="11" t="str">
        <f aca="false">IF($P11=0,BG10,IF(BG$3=$E11,IF($AA11=1,$F11&amp;$AB11,$G11),IF(OR(BG$3=$D11,BG$3=$AC11,BG$3=$AE11),"",IF(BG$3=$AD11,$F11&amp;"R",BG10))))</f>
        <v/>
      </c>
      <c r="BH11" s="11" t="str">
        <f aca="false">IF($P11=0,BH10,IF(BH$3=$E11,IF($AA11=1,$F11&amp;$AB11,$G11),IF(OR(BH$3=$D11,BH$3=$AC11,BH$3=$AE11),"",IF(BH$3=$AD11,$F11&amp;"R",BH10))))</f>
        <v/>
      </c>
      <c r="BI11" s="11" t="str">
        <f aca="false">IF($P11=0,BI10,IF(BI$3=$E11,IF($AA11=1,$F11&amp;$AB11,$G11),IF(OR(BI$3=$D11,BI$3=$AC11,BI$3=$AE11),"",IF(BI$3=$AD11,$F11&amp;"R",BI10))))</f>
        <v/>
      </c>
      <c r="BJ11" s="11" t="str">
        <f aca="false">IF($P11=0,BJ10,IF(BJ$3=$E11,IF($AA11=1,$F11&amp;$AB11,$G11),IF(OR(BJ$3=$D11,BJ$3=$AC11,BJ$3=$AE11),"",IF(BJ$3=$AD11,$F11&amp;"R",BJ10))))</f>
        <v/>
      </c>
      <c r="BK11" s="11" t="str">
        <f aca="false">IF($P11=0,BK10,IF(BK$3=$E11,IF($AA11=1,$F11&amp;$AB11,$G11),IF(OR(BK$3=$D11,BK$3=$AC11,BK$3=$AE11),"",IF(BK$3=$AD11,$F11&amp;"R",BK10))))</f>
        <v/>
      </c>
      <c r="BL11" s="11" t="str">
        <f aca="false">IF($P11=0,BL10,IF(BL$3=$E11,IF($AA11=1,$F11&amp;$AB11,$G11),IF(OR(BL$3=$D11,BL$3=$AC11,BL$3=$AE11),"",IF(BL$3=$AD11,$F11&amp;"R",BL10))))</f>
        <v/>
      </c>
      <c r="BM11" s="11" t="str">
        <f aca="false">IF($P11=0,BM10,IF(BM$3=$E11,IF($AA11=1,$F11&amp;$AB11,$G11),IF(OR(BM$3=$D11,BM$3=$AC11,BM$3=$AE11),"",IF(BM$3=$AD11,$F11&amp;"R",BM10))))</f>
        <v/>
      </c>
      <c r="BN11" s="11" t="str">
        <f aca="false">IF($P11=0,BN10,IF(BN$3=$E11,IF($AA11=1,$F11&amp;$AB11,$G11),IF(OR(BN$3=$D11,BN$3=$AC11,BN$3=$AE11),"",IF(BN$3=$AD11,$F11&amp;"R",BN10))))</f>
        <v/>
      </c>
      <c r="BO11" s="11" t="str">
        <f aca="false">IF($P11=0,BO10,IF(BO$3=$E11,IF($AA11=1,$F11&amp;$AB11,$G11),IF(OR(BO$3=$D11,BO$3=$AC11,BO$3=$AE11),"",IF(BO$3=$AD11,$F11&amp;"R",BO10))))</f>
        <v/>
      </c>
      <c r="BP11" s="11" t="str">
        <f aca="false">IF($P11=0,BP10,IF(BP$3=$E11,IF($AA11=1,$F11&amp;$AB11,$G11),IF(OR(BP$3=$D11,BP$3=$AC11,BP$3=$AE11),"",IF(BP$3=$AD11,$F11&amp;"R",BP10))))</f>
        <v/>
      </c>
      <c r="BQ11" s="11" t="str">
        <f aca="false">IF($P11=0,BQ10,IF(BQ$3=$E11,IF($AA11=1,$F11&amp;$AB11,$G11),IF(OR(BQ$3=$D11,BQ$3=$AC11,BQ$3=$AE11),"",IF(BQ$3=$AD11,$F11&amp;"R",BQ10))))</f>
        <v/>
      </c>
      <c r="BR11" s="11" t="str">
        <f aca="false">IF($P11=0,BR10,IF(BR$3=$E11,IF($AA11=1,$F11&amp;$AB11,$G11),IF(OR(BR$3=$D11,BR$3=$AC11,BR$3=$AE11),"",IF(BR$3=$AD11,$F11&amp;"R",BR10))))</f>
        <v/>
      </c>
      <c r="BS11" s="11" t="str">
        <f aca="false">IF($P11=0,BS10,IF(BS$3=$E11,IF($AA11=1,$F11&amp;$AB11,$G11),IF(OR(BS$3=$D11,BS$3=$AC11,BS$3=$AE11),"",IF(BS$3=$AD11,$F11&amp;"R",BS10))))</f>
        <v/>
      </c>
      <c r="BT11" s="11" t="str">
        <f aca="false">IF($P11=0,BT10,IF(BT$3=$E11,IF($AA11=1,$F11&amp;$AB11,$G11),IF(OR(BT$3=$D11,BT$3=$AC11,BT$3=$AE11),"",IF(BT$3=$AD11,$F11&amp;"R",BT10))))</f>
        <v/>
      </c>
      <c r="BU11" s="11" t="str">
        <f aca="false">IF($P11=0,BU10,IF(BU$3=$E11,IF($AA11=1,$F11&amp;$AB11,$G11),IF(OR(BU$3=$D11,BU$3=$AC11,BU$3=$AE11),"",IF(BU$3=$AD11,$F11&amp;"R",BU10))))</f>
        <v/>
      </c>
      <c r="BV11" s="11" t="str">
        <f aca="false">IF($P11=0,BV10,IF(BV$3=$E11,IF($AA11=1,$F11&amp;$AB11,$G11),IF(OR(BV$3=$D11,BV$3=$AC11,BV$3=$AE11),"",IF(BV$3=$AD11,$F11&amp;"R",BV10))))</f>
        <v/>
      </c>
      <c r="BW11" s="11" t="str">
        <f aca="false">IF($P11=0,BW10,IF(BW$3=$E11,IF($AA11=1,$F11&amp;$AB11,$G11),IF(OR(BW$3=$D11,BW$3=$AC11,BW$3=$AE11),"",IF(BW$3=$AD11,$F11&amp;"R",BW10))))</f>
        <v/>
      </c>
      <c r="BX11" s="11" t="str">
        <f aca="false">IF($P11=0,BX10,IF(BX$3=$E11,IF($AA11=1,$F11&amp;$AB11,$G11),IF(OR(BX$3=$D11,BX$3=$AC11,BX$3=$AE11),"",IF(BX$3=$AD11,$F11&amp;"R",BX10))))</f>
        <v/>
      </c>
      <c r="BY11" s="11" t="str">
        <f aca="false">IF($P11=0,BY10,IF(BY$3=$E11,IF($AA11=1,$F11&amp;$AB11,$G11),IF(OR(BY$3=$D11,BY$3=$AC11,BY$3=$AE11),"",IF(BY$3=$AD11,$F11&amp;"R",BY10))))</f>
        <v/>
      </c>
      <c r="BZ11" s="11" t="str">
        <f aca="false">IF($P11=0,BZ10,IF(BZ$3=$E11,IF($AA11=1,$F11&amp;$AB11,$G11),IF(OR(BZ$3=$D11,BZ$3=$AC11,BZ$3=$AE11),"",IF(BZ$3=$AD11,$F11&amp;"R",BZ10))))</f>
        <v/>
      </c>
      <c r="CA11" s="11" t="str">
        <f aca="false">IF($P11=0,CA10,IF(CA$3=$E11,IF($AA11=1,$F11&amp;$AB11,$G11),IF(OR(CA$3=$D11,CA$3=$AC11,CA$3=$AE11),"",IF(CA$3=$AD11,$F11&amp;"R",CA10))))</f>
        <v/>
      </c>
      <c r="CB11" s="11" t="str">
        <f aca="false">IF($P11=0,CB10,IF(CB$3=$E11,IF($AA11=1,$F11&amp;$AB11,$G11),IF(OR(CB$3=$D11,CB$3=$AC11,CB$3=$AE11),"",IF(CB$3=$AD11,$F11&amp;"R",CB10))))</f>
        <v/>
      </c>
      <c r="CC11" s="11" t="str">
        <f aca="false">IF($P11=0,CC10,IF(CC$3=$E11,IF($AA11=1,$F11&amp;$AB11,$G11),IF(OR(CC$3=$D11,CC$3=$AC11,CC$3=$AE11),"",IF(CC$3=$AD11,$F11&amp;"R",CC10))))</f>
        <v/>
      </c>
      <c r="CD11" s="11" t="str">
        <f aca="false">IF($P11=0,CD10,IF(CD$3=$E11,IF($AA11=1,$F11&amp;$AB11,$G11),IF(OR(CD$3=$D11,CD$3=$AC11,CD$3=$AE11),"",IF(CD$3=$AD11,$F11&amp;"R",CD10))))</f>
        <v>bP</v>
      </c>
      <c r="CE11" s="11" t="str">
        <f aca="false">IF($P11=0,CE10,IF(CE$3=$E11,IF($AA11=1,$F11&amp;$AB11,$G11),IF(OR(CE$3=$D11,CE$3=$AC11,CE$3=$AE11),"",IF(CE$3=$AD11,$F11&amp;"R",CE10))))</f>
        <v>bP</v>
      </c>
      <c r="CF11" s="11" t="str">
        <f aca="false">IF($P11=0,CF10,IF(CF$3=$E11,IF($AA11=1,$F11&amp;$AB11,$G11),IF(OR(CF$3=$D11,CF$3=$AC11,CF$3=$AE11),"",IF(CF$3=$AD11,$F11&amp;"R",CF10))))</f>
        <v>bP</v>
      </c>
      <c r="CG11" s="11" t="str">
        <f aca="false">IF($P11=0,CG10,IF(CG$3=$E11,IF($AA11=1,$F11&amp;$AB11,$G11),IF(OR(CG$3=$D11,CG$3=$AC11,CG$3=$AE11),"",IF(CG$3=$AD11,$F11&amp;"R",CG10))))</f>
        <v>bP</v>
      </c>
      <c r="CH11" s="11" t="str">
        <f aca="false">IF($P11=0,CH10,IF(CH$3=$E11,IF($AA11=1,$F11&amp;$AB11,$G11),IF(OR(CH$3=$D11,CH$3=$AC11,CH$3=$AE11),"",IF(CH$3=$AD11,$F11&amp;"R",CH10))))</f>
        <v>bP</v>
      </c>
      <c r="CI11" s="11" t="str">
        <f aca="false">IF($P11=0,CI10,IF(CI$3=$E11,IF($AA11=1,$F11&amp;$AB11,$G11),IF(OR(CI$3=$D11,CI$3=$AC11,CI$3=$AE11),"",IF(CI$3=$AD11,$F11&amp;"R",CI10))))</f>
        <v>bP</v>
      </c>
      <c r="CJ11" s="11" t="str">
        <f aca="false">IF($P11=0,CJ10,IF(CJ$3=$E11,IF($AA11=1,$F11&amp;$AB11,$G11),IF(OR(CJ$3=$D11,CJ$3=$AC11,CJ$3=$AE11),"",IF(CJ$3=$AD11,$F11&amp;"R",CJ10))))</f>
        <v>bP</v>
      </c>
      <c r="CK11" s="11" t="str">
        <f aca="false">IF($P11=0,CK10,IF(CK$3=$E11,IF($AA11=1,$F11&amp;$AB11,$G11),IF(OR(CK$3=$D11,CK$3=$AC11,CK$3=$AE11),"",IF(CK$3=$AD11,$F11&amp;"R",CK10))))</f>
        <v>bP</v>
      </c>
      <c r="CL11" s="11" t="str">
        <f aca="false">IF($P11=0,CL10,IF(CL$3=$E11,IF($AA11=1,$F11&amp;$AB11,$G11),IF(OR(CL$3=$D11,CL$3=$AC11,CL$3=$AE11),"",IF(CL$3=$AD11,$F11&amp;"R",CL10))))</f>
        <v>bR</v>
      </c>
      <c r="CM11" s="11" t="str">
        <f aca="false">IF($P11=0,CM10,IF(CM$3=$E11,IF($AA11=1,$F11&amp;$AB11,$G11),IF(OR(CM$3=$D11,CM$3=$AC11,CM$3=$AE11),"",IF(CM$3=$AD11,$F11&amp;"R",CM10))))</f>
        <v>bN</v>
      </c>
      <c r="CN11" s="11" t="str">
        <f aca="false">IF($P11=0,CN10,IF(CN$3=$E11,IF($AA11=1,$F11&amp;$AB11,$G11),IF(OR(CN$3=$D11,CN$3=$AC11,CN$3=$AE11),"",IF(CN$3=$AD11,$F11&amp;"R",CN10))))</f>
        <v>bB</v>
      </c>
      <c r="CO11" s="11" t="str">
        <f aca="false">IF($P11=0,CO10,IF(CO$3=$E11,IF($AA11=1,$F11&amp;$AB11,$G11),IF(OR(CO$3=$D11,CO$3=$AC11,CO$3=$AE11),"",IF(CO$3=$AD11,$F11&amp;"R",CO10))))</f>
        <v>bQ</v>
      </c>
      <c r="CP11" s="11" t="str">
        <f aca="false">IF($P11=0,CP10,IF(CP$3=$E11,IF($AA11=1,$F11&amp;$AB11,$G11),IF(OR(CP$3=$D11,CP$3=$AC11,CP$3=$AE11),"",IF(CP$3=$AD11,$F11&amp;"R",CP10))))</f>
        <v>bK</v>
      </c>
      <c r="CQ11" s="11" t="str">
        <f aca="false">IF($P11=0,CQ10,IF(CQ$3=$E11,IF($AA11=1,$F11&amp;$AB11,$G11),IF(OR(CQ$3=$D11,CQ$3=$AC11,CQ$3=$AE11),"",IF(CQ$3=$AD11,$F11&amp;"R",CQ10))))</f>
        <v>bB</v>
      </c>
      <c r="CR11" s="11" t="str">
        <f aca="false">IF($P11=0,CR10,IF(CR$3=$E11,IF($AA11=1,$F11&amp;$AB11,$G11),IF(OR(CR$3=$D11,CR$3=$AC11,CR$3=$AE11),"",IF(CR$3=$AD11,$F11&amp;"R",CR10))))</f>
        <v>bN</v>
      </c>
      <c r="CS11" s="11" t="str">
        <f aca="false">IF($P11=0,CS10,IF(CS$3=$E11,IF($AA11=1,$F11&amp;$AB11,$G11),IF(OR(CS$3=$D11,CS$3=$AC11,CS$3=$AE11),"",IF(CS$3=$AD11,$F11&amp;"R",CS10))))</f>
        <v>bR</v>
      </c>
      <c r="CT11" s="11"/>
      <c r="CU11" s="11" t="s">
        <v>123</v>
      </c>
      <c r="CV11" s="11" t="s">
        <v>132</v>
      </c>
    </row>
    <row r="12" customFormat="false" ht="15" hidden="false" customHeight="false" outlineLevel="0" collapsed="false">
      <c r="A12" s="11" t="n">
        <v>7</v>
      </c>
      <c r="B12" s="11" t="str">
        <f aca="false">IF(Chess!$L$16="","",Chess!$L$16&amp;"")</f>
        <v/>
      </c>
      <c r="C12" s="11" t="str">
        <f aca="false">LOWER(SUBSTITUTE(SUBSTITUTE(SUBSTITUTE(SUBSTITUTE(TRIM($B12),"-",""),"=","")," ",""),"x",""))</f>
        <v/>
      </c>
      <c r="D12" s="11" t="n">
        <f aca="false">IF(LEN($C12)&lt;4,0,IFERROR(IF(AND(CODE(MID($C12,1,1))&gt;=97,CODE(MID($C12,1,1))&lt;=104,VALUE(MID($C12,2,1))&gt;=1,VALUE(MID($C12,2,1))&lt;=8),(VALUE(MID($C12,2,1))-1)*8+CODE(MID($C12,1,1))-96,0),0))</f>
        <v>0</v>
      </c>
      <c r="E12" s="11" t="n">
        <f aca="false">IF(LEN($C12)&lt;4,0,IFERROR(IF(AND(CODE(MID($C12,3,1))&gt;=97,CODE(MID($C12,3,1))&lt;=104,VALUE(MID($C12,4,1))&gt;=1,VALUE(MID($C12,4,1))&lt;=8),(VALUE(MID($C12,4,1))-1)*8+CODE(MID($C12,3,1))-96,0),0))</f>
        <v>0</v>
      </c>
      <c r="F12" s="11" t="str">
        <f aca="false">IF(MOD(SUM($P$5:$P11),2)=0,"w","b")</f>
        <v>w</v>
      </c>
      <c r="G12" s="11" t="str">
        <f aca="false">IF($D12=0,"",INDEX($AH11:$CS11,1,$D12)&amp;"")</f>
        <v/>
      </c>
      <c r="H12" s="11" t="str">
        <f aca="false">IF($E12=0,"",INDEX($AH11:$CS11,1,$E12)&amp;"")</f>
        <v/>
      </c>
      <c r="I12" s="11" t="n">
        <f aca="false">IF(OR($D12=0,$E12=0),0,MOD($E12-1,8)-MOD($D12-1,8))</f>
        <v>0</v>
      </c>
      <c r="J12" s="11" t="n">
        <f aca="false">IF(OR($D12=0,$E12=0),0,INT(($E12-1)/8)-INT(($D12-1)/8))</f>
        <v>0</v>
      </c>
      <c r="K12" s="11" t="str">
        <f aca="false">IF($G12="","",RIGHT($G12,1))</f>
        <v/>
      </c>
      <c r="L12" s="11" t="n">
        <f aca="false">IF(OR($D12=0,$E12=0),0,SUMPRODUCT(($AH$3:$CS$3&gt;MIN($D12,$E12))*($AH$3:$CS$3&lt;MAX($D12,$E12))*(MOD($AH$3:$CS$3-MIN($D12,$E12),MAX(1,ABS(SIGN($J12)*8+SIGN($I12))))=0)*($AH11:$CS11&lt;&gt;"")))</f>
        <v>0</v>
      </c>
      <c r="M12" s="11" t="n">
        <f aca="false">IF($K12&lt;&gt;"K",0,IFERROR(--AND($J12=0,ABS($I12)=2,$D12=IF($F12="w",5,61),IF($F12="w",$S11,$V11)=0,IF($I12=2,AND(IF($F12="w",$U11,$X11)=0,INDEX($AH11:$CS11,1,$D12+1)&amp;""="",INDEX($AH11:$CS11,1,$D12+2)&amp;""=""),AND(IF($F12="w",$T11,$W11)=0,INDEX($AH11:$CS11,1,$D12-1)&amp;""="",INDEX($AH11:$CS11,1,$D12-2)&amp;""="",INDEX($AH11:$CS11,1,$D12-3)&amp;""=""))),0))</f>
        <v>0</v>
      </c>
      <c r="N12" s="11" t="n">
        <f aca="false">IF($K12&lt;&gt;"P",0,IFERROR(--OR(AND($I12=0,$J12=IF($F12="w",1,-1),$H12=""),AND($I12=0,$J12=2*IF($F12="w",1,-1),$H12="",INT(($D12-1)/8)=IF($F12="w",1,6),INDEX($AH11:$CS11,1,MAX(1,MIN(64,$D12+8*IF($F12="w",1,-1))))&amp;""=""),AND(ABS($I12)=1,$J12=IF($F12="w",1,-1),$H12&lt;&gt;""),AND(ABS($I12)=1,$J12=IF($F12="w",1,-1),$H12="",$R11&gt;0,$E12=$R11)),0))</f>
        <v>0</v>
      </c>
      <c r="O12" s="11" t="n">
        <f aca="false">IF(OR($D12=0,$E12=0,$G12=""),0,IF($K12="N",--OR(AND(ABS($I12)=1,ABS($J12)=2),AND(ABS($I12)=2,ABS($J12)=1)),IF($K12="B",--AND(ABS($I12)=ABS($J12),$I12&lt;&gt;0,$L12=0),IF($K12="R",--AND(OR($I12=0,$J12=0),OR($I12&lt;&gt;0,$J12&lt;&gt;0),$L12=0),IF($K12="Q",--AND(OR(AND(ABS($I12)=ABS($J12),$I12&lt;&gt;0),AND(OR($I12=0,$J12=0),OR($I12&lt;&gt;0,$J12&lt;&gt;0))),$L12=0),IF($K12="K",--OR(MAX(ABS($I12),ABS($J12))=1,$M12=1),$N12))))))</f>
        <v>0</v>
      </c>
      <c r="P12" s="11" t="n">
        <f aca="false">IF($Q12="OK",1,0)</f>
        <v>0</v>
      </c>
      <c r="Q12" s="11" t="str">
        <f aca="false">IF($B12="","",IF(OR(COUNTIF($AH11:$CS11,"wK")=0,COUNTIF($AH11:$CS11,"bK")=0),"Game is over",IF(OR($D12=0,$E12=0),"Use the format e2e4",IF($G12="","No piece on that square",IF(LEFT($G12,1)&lt;&gt;$F12,"Not your piece ("&amp;IF($F12="w","White","Black")&amp;" to move)",IF($D12=$E12,"Piece must move",IF(AND($H12&lt;&gt;"",LEFT($H12,1)=$F12),"Cannot capture your own piece",IF($O12=0,"Illegal move for that piece (or path blocked)","OK"))))))))</f>
        <v/>
      </c>
      <c r="R12" s="11" t="n">
        <f aca="false">IF($P12=1,IF(AND($K12="P",ABS($J12)=2),($D12+$E12)/2,0),$R11)</f>
        <v>0</v>
      </c>
      <c r="S12" s="12" t="b">
        <f aca="false">--OR($S11=1,AND($P12=1,OR($D12=5,$E12=5)))</f>
        <v>0</v>
      </c>
      <c r="T12" s="12" t="b">
        <f aca="false">--OR($T11=1,AND($P12=1,OR($D12=1,$E12=1)))</f>
        <v>0</v>
      </c>
      <c r="U12" s="12" t="b">
        <f aca="false">--OR($U11=1,AND($P12=1,OR($D12=8,$E12=8)))</f>
        <v>0</v>
      </c>
      <c r="V12" s="12" t="b">
        <f aca="false">--OR($V11=1,AND($P12=1,OR($D12=61,$E12=61)))</f>
        <v>0</v>
      </c>
      <c r="W12" s="12" t="b">
        <f aca="false">--OR($W11=1,AND($P12=1,OR($D12=57,$E12=57)))</f>
        <v>0</v>
      </c>
      <c r="X12" s="12" t="b">
        <f aca="false">--OR($X11=1,AND($P12=1,OR($D12=64,$E12=64)))</f>
        <v>0</v>
      </c>
      <c r="Y12" s="12" t="b">
        <f aca="false">--AND($P12=1,$K12="K",ABS($I12)=2)</f>
        <v>0</v>
      </c>
      <c r="Z12" s="12" t="b">
        <f aca="false">--AND($P12=1,$K12="P",ABS($I12)=1,$H12="")</f>
        <v>0</v>
      </c>
      <c r="AA12" s="12" t="b">
        <f aca="false">--AND($P12=1,$K12="P",INT(($E12-1)/8)=IF($F12="w",7,0))</f>
        <v>0</v>
      </c>
      <c r="AB12" s="11" t="str">
        <f aca="false">IF(LEN($C12)&gt;=5,IF(ISNUMBER(FIND(MID($C12,5,1),"qrbn")),UPPER(MID($C12,5,1)),"Q"),"Q")</f>
        <v>Q</v>
      </c>
      <c r="AC12" s="11" t="n">
        <f aca="false">IF($Y12=1,IF($I12=2,$D12+3,$D12-4),0)</f>
        <v>0</v>
      </c>
      <c r="AD12" s="11" t="n">
        <f aca="false">IF($Y12=1,IF($I12=2,$D12+1,$D12-1),0)</f>
        <v>0</v>
      </c>
      <c r="AE12" s="11" t="n">
        <f aca="false">IF($Z12=1,$E12-8*IF($F12="w",1,-1),0)</f>
        <v>0</v>
      </c>
      <c r="AF12" s="11" t="str">
        <f aca="false">IF($B12="","",IF($P12=1,LOWER(INDEX($CV$2:$CV$13,MATCH($G12,$CU$2:$CU$13,0)))&amp;" "&amp;MID("abcdefgh",MOD($D12-1,8)+1,1)&amp;(INT(($D12-1)/8)+1)&amp;"→"&amp;MID("abcdefgh",MOD($E12-1,8)+1,1)&amp;(INT(($E12-1)/8)+1)&amp;IF(OR($H12&lt;&gt;"",$Z12=1)," ×","")&amp;IF($Y12=1," castles","")&amp;IF($Z12=1," e.p.","")&amp;IF($AA12=1," =" &amp;LOWER(INDEX($CV$2:$CV$13,MATCH($F12&amp;$AB12,$CU$2:$CU$13,0))),""),"X "&amp;$Q12))</f>
        <v/>
      </c>
      <c r="AG12" s="11"/>
      <c r="AH12" s="11" t="str">
        <f aca="false">IF($P12=0,AH11,IF(AH$3=$E12,IF($AA12=1,$F12&amp;$AB12,$G12),IF(OR(AH$3=$D12,AH$3=$AC12,AH$3=$AE12),"",IF(AH$3=$AD12,$F12&amp;"R",AH11))))</f>
        <v>wR</v>
      </c>
      <c r="AI12" s="11" t="str">
        <f aca="false">IF($P12=0,AI11,IF(AI$3=$E12,IF($AA12=1,$F12&amp;$AB12,$G12),IF(OR(AI$3=$D12,AI$3=$AC12,AI$3=$AE12),"",IF(AI$3=$AD12,$F12&amp;"R",AI11))))</f>
        <v>wN</v>
      </c>
      <c r="AJ12" s="11" t="str">
        <f aca="false">IF($P12=0,AJ11,IF(AJ$3=$E12,IF($AA12=1,$F12&amp;$AB12,$G12),IF(OR(AJ$3=$D12,AJ$3=$AC12,AJ$3=$AE12),"",IF(AJ$3=$AD12,$F12&amp;"R",AJ11))))</f>
        <v>wB</v>
      </c>
      <c r="AK12" s="11" t="str">
        <f aca="false">IF($P12=0,AK11,IF(AK$3=$E12,IF($AA12=1,$F12&amp;$AB12,$G12),IF(OR(AK$3=$D12,AK$3=$AC12,AK$3=$AE12),"",IF(AK$3=$AD12,$F12&amp;"R",AK11))))</f>
        <v>wQ</v>
      </c>
      <c r="AL12" s="11" t="str">
        <f aca="false">IF($P12=0,AL11,IF(AL$3=$E12,IF($AA12=1,$F12&amp;$AB12,$G12),IF(OR(AL$3=$D12,AL$3=$AC12,AL$3=$AE12),"",IF(AL$3=$AD12,$F12&amp;"R",AL11))))</f>
        <v>wK</v>
      </c>
      <c r="AM12" s="11" t="str">
        <f aca="false">IF($P12=0,AM11,IF(AM$3=$E12,IF($AA12=1,$F12&amp;$AB12,$G12),IF(OR(AM$3=$D12,AM$3=$AC12,AM$3=$AE12),"",IF(AM$3=$AD12,$F12&amp;"R",AM11))))</f>
        <v>wB</v>
      </c>
      <c r="AN12" s="11" t="str">
        <f aca="false">IF($P12=0,AN11,IF(AN$3=$E12,IF($AA12=1,$F12&amp;$AB12,$G12),IF(OR(AN$3=$D12,AN$3=$AC12,AN$3=$AE12),"",IF(AN$3=$AD12,$F12&amp;"R",AN11))))</f>
        <v>wN</v>
      </c>
      <c r="AO12" s="11" t="str">
        <f aca="false">IF($P12=0,AO11,IF(AO$3=$E12,IF($AA12=1,$F12&amp;$AB12,$G12),IF(OR(AO$3=$D12,AO$3=$AC12,AO$3=$AE12),"",IF(AO$3=$AD12,$F12&amp;"R",AO11))))</f>
        <v>wR</v>
      </c>
      <c r="AP12" s="11" t="str">
        <f aca="false">IF($P12=0,AP11,IF(AP$3=$E12,IF($AA12=1,$F12&amp;$AB12,$G12),IF(OR(AP$3=$D12,AP$3=$AC12,AP$3=$AE12),"",IF(AP$3=$AD12,$F12&amp;"R",AP11))))</f>
        <v>wP</v>
      </c>
      <c r="AQ12" s="11" t="str">
        <f aca="false">IF($P12=0,AQ11,IF(AQ$3=$E12,IF($AA12=1,$F12&amp;$AB12,$G12),IF(OR(AQ$3=$D12,AQ$3=$AC12,AQ$3=$AE12),"",IF(AQ$3=$AD12,$F12&amp;"R",AQ11))))</f>
        <v>wP</v>
      </c>
      <c r="AR12" s="11" t="str">
        <f aca="false">IF($P12=0,AR11,IF(AR$3=$E12,IF($AA12=1,$F12&amp;$AB12,$G12),IF(OR(AR$3=$D12,AR$3=$AC12,AR$3=$AE12),"",IF(AR$3=$AD12,$F12&amp;"R",AR11))))</f>
        <v>wP</v>
      </c>
      <c r="AS12" s="11" t="str">
        <f aca="false">IF($P12=0,AS11,IF(AS$3=$E12,IF($AA12=1,$F12&amp;$AB12,$G12),IF(OR(AS$3=$D12,AS$3=$AC12,AS$3=$AE12),"",IF(AS$3=$AD12,$F12&amp;"R",AS11))))</f>
        <v>wP</v>
      </c>
      <c r="AT12" s="11" t="str">
        <f aca="false">IF($P12=0,AT11,IF(AT$3=$E12,IF($AA12=1,$F12&amp;$AB12,$G12),IF(OR(AT$3=$D12,AT$3=$AC12,AT$3=$AE12),"",IF(AT$3=$AD12,$F12&amp;"R",AT11))))</f>
        <v>wP</v>
      </c>
      <c r="AU12" s="11" t="str">
        <f aca="false">IF($P12=0,AU11,IF(AU$3=$E12,IF($AA12=1,$F12&amp;$AB12,$G12),IF(OR(AU$3=$D12,AU$3=$AC12,AU$3=$AE12),"",IF(AU$3=$AD12,$F12&amp;"R",AU11))))</f>
        <v>wP</v>
      </c>
      <c r="AV12" s="11" t="str">
        <f aca="false">IF($P12=0,AV11,IF(AV$3=$E12,IF($AA12=1,$F12&amp;$AB12,$G12),IF(OR(AV$3=$D12,AV$3=$AC12,AV$3=$AE12),"",IF(AV$3=$AD12,$F12&amp;"R",AV11))))</f>
        <v>wP</v>
      </c>
      <c r="AW12" s="11" t="str">
        <f aca="false">IF($P12=0,AW11,IF(AW$3=$E12,IF($AA12=1,$F12&amp;$AB12,$G12),IF(OR(AW$3=$D12,AW$3=$AC12,AW$3=$AE12),"",IF(AW$3=$AD12,$F12&amp;"R",AW11))))</f>
        <v>wP</v>
      </c>
      <c r="AX12" s="11" t="str">
        <f aca="false">IF($P12=0,AX11,IF(AX$3=$E12,IF($AA12=1,$F12&amp;$AB12,$G12),IF(OR(AX$3=$D12,AX$3=$AC12,AX$3=$AE12),"",IF(AX$3=$AD12,$F12&amp;"R",AX11))))</f>
        <v/>
      </c>
      <c r="AY12" s="11" t="str">
        <f aca="false">IF($P12=0,AY11,IF(AY$3=$E12,IF($AA12=1,$F12&amp;$AB12,$G12),IF(OR(AY$3=$D12,AY$3=$AC12,AY$3=$AE12),"",IF(AY$3=$AD12,$F12&amp;"R",AY11))))</f>
        <v/>
      </c>
      <c r="AZ12" s="11" t="str">
        <f aca="false">IF($P12=0,AZ11,IF(AZ$3=$E12,IF($AA12=1,$F12&amp;$AB12,$G12),IF(OR(AZ$3=$D12,AZ$3=$AC12,AZ$3=$AE12),"",IF(AZ$3=$AD12,$F12&amp;"R",AZ11))))</f>
        <v/>
      </c>
      <c r="BA12" s="11" t="str">
        <f aca="false">IF($P12=0,BA11,IF(BA$3=$E12,IF($AA12=1,$F12&amp;$AB12,$G12),IF(OR(BA$3=$D12,BA$3=$AC12,BA$3=$AE12),"",IF(BA$3=$AD12,$F12&amp;"R",BA11))))</f>
        <v/>
      </c>
      <c r="BB12" s="11" t="str">
        <f aca="false">IF($P12=0,BB11,IF(BB$3=$E12,IF($AA12=1,$F12&amp;$AB12,$G12),IF(OR(BB$3=$D12,BB$3=$AC12,BB$3=$AE12),"",IF(BB$3=$AD12,$F12&amp;"R",BB11))))</f>
        <v/>
      </c>
      <c r="BC12" s="11" t="str">
        <f aca="false">IF($P12=0,BC11,IF(BC$3=$E12,IF($AA12=1,$F12&amp;$AB12,$G12),IF(OR(BC$3=$D12,BC$3=$AC12,BC$3=$AE12),"",IF(BC$3=$AD12,$F12&amp;"R",BC11))))</f>
        <v/>
      </c>
      <c r="BD12" s="11" t="str">
        <f aca="false">IF($P12=0,BD11,IF(BD$3=$E12,IF($AA12=1,$F12&amp;$AB12,$G12),IF(OR(BD$3=$D12,BD$3=$AC12,BD$3=$AE12),"",IF(BD$3=$AD12,$F12&amp;"R",BD11))))</f>
        <v/>
      </c>
      <c r="BE12" s="11" t="str">
        <f aca="false">IF($P12=0,BE11,IF(BE$3=$E12,IF($AA12=1,$F12&amp;$AB12,$G12),IF(OR(BE$3=$D12,BE$3=$AC12,BE$3=$AE12),"",IF(BE$3=$AD12,$F12&amp;"R",BE11))))</f>
        <v/>
      </c>
      <c r="BF12" s="11" t="str">
        <f aca="false">IF($P12=0,BF11,IF(BF$3=$E12,IF($AA12=1,$F12&amp;$AB12,$G12),IF(OR(BF$3=$D12,BF$3=$AC12,BF$3=$AE12),"",IF(BF$3=$AD12,$F12&amp;"R",BF11))))</f>
        <v/>
      </c>
      <c r="BG12" s="11" t="str">
        <f aca="false">IF($P12=0,BG11,IF(BG$3=$E12,IF($AA12=1,$F12&amp;$AB12,$G12),IF(OR(BG$3=$D12,BG$3=$AC12,BG$3=$AE12),"",IF(BG$3=$AD12,$F12&amp;"R",BG11))))</f>
        <v/>
      </c>
      <c r="BH12" s="11" t="str">
        <f aca="false">IF($P12=0,BH11,IF(BH$3=$E12,IF($AA12=1,$F12&amp;$AB12,$G12),IF(OR(BH$3=$D12,BH$3=$AC12,BH$3=$AE12),"",IF(BH$3=$AD12,$F12&amp;"R",BH11))))</f>
        <v/>
      </c>
      <c r="BI12" s="11" t="str">
        <f aca="false">IF($P12=0,BI11,IF(BI$3=$E12,IF($AA12=1,$F12&amp;$AB12,$G12),IF(OR(BI$3=$D12,BI$3=$AC12,BI$3=$AE12),"",IF(BI$3=$AD12,$F12&amp;"R",BI11))))</f>
        <v/>
      </c>
      <c r="BJ12" s="11" t="str">
        <f aca="false">IF($P12=0,BJ11,IF(BJ$3=$E12,IF($AA12=1,$F12&amp;$AB12,$G12),IF(OR(BJ$3=$D12,BJ$3=$AC12,BJ$3=$AE12),"",IF(BJ$3=$AD12,$F12&amp;"R",BJ11))))</f>
        <v/>
      </c>
      <c r="BK12" s="11" t="str">
        <f aca="false">IF($P12=0,BK11,IF(BK$3=$E12,IF($AA12=1,$F12&amp;$AB12,$G12),IF(OR(BK$3=$D12,BK$3=$AC12,BK$3=$AE12),"",IF(BK$3=$AD12,$F12&amp;"R",BK11))))</f>
        <v/>
      </c>
      <c r="BL12" s="11" t="str">
        <f aca="false">IF($P12=0,BL11,IF(BL$3=$E12,IF($AA12=1,$F12&amp;$AB12,$G12),IF(OR(BL$3=$D12,BL$3=$AC12,BL$3=$AE12),"",IF(BL$3=$AD12,$F12&amp;"R",BL11))))</f>
        <v/>
      </c>
      <c r="BM12" s="11" t="str">
        <f aca="false">IF($P12=0,BM11,IF(BM$3=$E12,IF($AA12=1,$F12&amp;$AB12,$G12),IF(OR(BM$3=$D12,BM$3=$AC12,BM$3=$AE12),"",IF(BM$3=$AD12,$F12&amp;"R",BM11))))</f>
        <v/>
      </c>
      <c r="BN12" s="11" t="str">
        <f aca="false">IF($P12=0,BN11,IF(BN$3=$E12,IF($AA12=1,$F12&amp;$AB12,$G12),IF(OR(BN$3=$D12,BN$3=$AC12,BN$3=$AE12),"",IF(BN$3=$AD12,$F12&amp;"R",BN11))))</f>
        <v/>
      </c>
      <c r="BO12" s="11" t="str">
        <f aca="false">IF($P12=0,BO11,IF(BO$3=$E12,IF($AA12=1,$F12&amp;$AB12,$G12),IF(OR(BO$3=$D12,BO$3=$AC12,BO$3=$AE12),"",IF(BO$3=$AD12,$F12&amp;"R",BO11))))</f>
        <v/>
      </c>
      <c r="BP12" s="11" t="str">
        <f aca="false">IF($P12=0,BP11,IF(BP$3=$E12,IF($AA12=1,$F12&amp;$AB12,$G12),IF(OR(BP$3=$D12,BP$3=$AC12,BP$3=$AE12),"",IF(BP$3=$AD12,$F12&amp;"R",BP11))))</f>
        <v/>
      </c>
      <c r="BQ12" s="11" t="str">
        <f aca="false">IF($P12=0,BQ11,IF(BQ$3=$E12,IF($AA12=1,$F12&amp;$AB12,$G12),IF(OR(BQ$3=$D12,BQ$3=$AC12,BQ$3=$AE12),"",IF(BQ$3=$AD12,$F12&amp;"R",BQ11))))</f>
        <v/>
      </c>
      <c r="BR12" s="11" t="str">
        <f aca="false">IF($P12=0,BR11,IF(BR$3=$E12,IF($AA12=1,$F12&amp;$AB12,$G12),IF(OR(BR$3=$D12,BR$3=$AC12,BR$3=$AE12),"",IF(BR$3=$AD12,$F12&amp;"R",BR11))))</f>
        <v/>
      </c>
      <c r="BS12" s="11" t="str">
        <f aca="false">IF($P12=0,BS11,IF(BS$3=$E12,IF($AA12=1,$F12&amp;$AB12,$G12),IF(OR(BS$3=$D12,BS$3=$AC12,BS$3=$AE12),"",IF(BS$3=$AD12,$F12&amp;"R",BS11))))</f>
        <v/>
      </c>
      <c r="BT12" s="11" t="str">
        <f aca="false">IF($P12=0,BT11,IF(BT$3=$E12,IF($AA12=1,$F12&amp;$AB12,$G12),IF(OR(BT$3=$D12,BT$3=$AC12,BT$3=$AE12),"",IF(BT$3=$AD12,$F12&amp;"R",BT11))))</f>
        <v/>
      </c>
      <c r="BU12" s="11" t="str">
        <f aca="false">IF($P12=0,BU11,IF(BU$3=$E12,IF($AA12=1,$F12&amp;$AB12,$G12),IF(OR(BU$3=$D12,BU$3=$AC12,BU$3=$AE12),"",IF(BU$3=$AD12,$F12&amp;"R",BU11))))</f>
        <v/>
      </c>
      <c r="BV12" s="11" t="str">
        <f aca="false">IF($P12=0,BV11,IF(BV$3=$E12,IF($AA12=1,$F12&amp;$AB12,$G12),IF(OR(BV$3=$D12,BV$3=$AC12,BV$3=$AE12),"",IF(BV$3=$AD12,$F12&amp;"R",BV11))))</f>
        <v/>
      </c>
      <c r="BW12" s="11" t="str">
        <f aca="false">IF($P12=0,BW11,IF(BW$3=$E12,IF($AA12=1,$F12&amp;$AB12,$G12),IF(OR(BW$3=$D12,BW$3=$AC12,BW$3=$AE12),"",IF(BW$3=$AD12,$F12&amp;"R",BW11))))</f>
        <v/>
      </c>
      <c r="BX12" s="11" t="str">
        <f aca="false">IF($P12=0,BX11,IF(BX$3=$E12,IF($AA12=1,$F12&amp;$AB12,$G12),IF(OR(BX$3=$D12,BX$3=$AC12,BX$3=$AE12),"",IF(BX$3=$AD12,$F12&amp;"R",BX11))))</f>
        <v/>
      </c>
      <c r="BY12" s="11" t="str">
        <f aca="false">IF($P12=0,BY11,IF(BY$3=$E12,IF($AA12=1,$F12&amp;$AB12,$G12),IF(OR(BY$3=$D12,BY$3=$AC12,BY$3=$AE12),"",IF(BY$3=$AD12,$F12&amp;"R",BY11))))</f>
        <v/>
      </c>
      <c r="BZ12" s="11" t="str">
        <f aca="false">IF($P12=0,BZ11,IF(BZ$3=$E12,IF($AA12=1,$F12&amp;$AB12,$G12),IF(OR(BZ$3=$D12,BZ$3=$AC12,BZ$3=$AE12),"",IF(BZ$3=$AD12,$F12&amp;"R",BZ11))))</f>
        <v/>
      </c>
      <c r="CA12" s="11" t="str">
        <f aca="false">IF($P12=0,CA11,IF(CA$3=$E12,IF($AA12=1,$F12&amp;$AB12,$G12),IF(OR(CA$3=$D12,CA$3=$AC12,CA$3=$AE12),"",IF(CA$3=$AD12,$F12&amp;"R",CA11))))</f>
        <v/>
      </c>
      <c r="CB12" s="11" t="str">
        <f aca="false">IF($P12=0,CB11,IF(CB$3=$E12,IF($AA12=1,$F12&amp;$AB12,$G12),IF(OR(CB$3=$D12,CB$3=$AC12,CB$3=$AE12),"",IF(CB$3=$AD12,$F12&amp;"R",CB11))))</f>
        <v/>
      </c>
      <c r="CC12" s="11" t="str">
        <f aca="false">IF($P12=0,CC11,IF(CC$3=$E12,IF($AA12=1,$F12&amp;$AB12,$G12),IF(OR(CC$3=$D12,CC$3=$AC12,CC$3=$AE12),"",IF(CC$3=$AD12,$F12&amp;"R",CC11))))</f>
        <v/>
      </c>
      <c r="CD12" s="11" t="str">
        <f aca="false">IF($P12=0,CD11,IF(CD$3=$E12,IF($AA12=1,$F12&amp;$AB12,$G12),IF(OR(CD$3=$D12,CD$3=$AC12,CD$3=$AE12),"",IF(CD$3=$AD12,$F12&amp;"R",CD11))))</f>
        <v>bP</v>
      </c>
      <c r="CE12" s="11" t="str">
        <f aca="false">IF($P12=0,CE11,IF(CE$3=$E12,IF($AA12=1,$F12&amp;$AB12,$G12),IF(OR(CE$3=$D12,CE$3=$AC12,CE$3=$AE12),"",IF(CE$3=$AD12,$F12&amp;"R",CE11))))</f>
        <v>bP</v>
      </c>
      <c r="CF12" s="11" t="str">
        <f aca="false">IF($P12=0,CF11,IF(CF$3=$E12,IF($AA12=1,$F12&amp;$AB12,$G12),IF(OR(CF$3=$D12,CF$3=$AC12,CF$3=$AE12),"",IF(CF$3=$AD12,$F12&amp;"R",CF11))))</f>
        <v>bP</v>
      </c>
      <c r="CG12" s="11" t="str">
        <f aca="false">IF($P12=0,CG11,IF(CG$3=$E12,IF($AA12=1,$F12&amp;$AB12,$G12),IF(OR(CG$3=$D12,CG$3=$AC12,CG$3=$AE12),"",IF(CG$3=$AD12,$F12&amp;"R",CG11))))</f>
        <v>bP</v>
      </c>
      <c r="CH12" s="11" t="str">
        <f aca="false">IF($P12=0,CH11,IF(CH$3=$E12,IF($AA12=1,$F12&amp;$AB12,$G12),IF(OR(CH$3=$D12,CH$3=$AC12,CH$3=$AE12),"",IF(CH$3=$AD12,$F12&amp;"R",CH11))))</f>
        <v>bP</v>
      </c>
      <c r="CI12" s="11" t="str">
        <f aca="false">IF($P12=0,CI11,IF(CI$3=$E12,IF($AA12=1,$F12&amp;$AB12,$G12),IF(OR(CI$3=$D12,CI$3=$AC12,CI$3=$AE12),"",IF(CI$3=$AD12,$F12&amp;"R",CI11))))</f>
        <v>bP</v>
      </c>
      <c r="CJ12" s="11" t="str">
        <f aca="false">IF($P12=0,CJ11,IF(CJ$3=$E12,IF($AA12=1,$F12&amp;$AB12,$G12),IF(OR(CJ$3=$D12,CJ$3=$AC12,CJ$3=$AE12),"",IF(CJ$3=$AD12,$F12&amp;"R",CJ11))))</f>
        <v>bP</v>
      </c>
      <c r="CK12" s="11" t="str">
        <f aca="false">IF($P12=0,CK11,IF(CK$3=$E12,IF($AA12=1,$F12&amp;$AB12,$G12),IF(OR(CK$3=$D12,CK$3=$AC12,CK$3=$AE12),"",IF(CK$3=$AD12,$F12&amp;"R",CK11))))</f>
        <v>bP</v>
      </c>
      <c r="CL12" s="11" t="str">
        <f aca="false">IF($P12=0,CL11,IF(CL$3=$E12,IF($AA12=1,$F12&amp;$AB12,$G12),IF(OR(CL$3=$D12,CL$3=$AC12,CL$3=$AE12),"",IF(CL$3=$AD12,$F12&amp;"R",CL11))))</f>
        <v>bR</v>
      </c>
      <c r="CM12" s="11" t="str">
        <f aca="false">IF($P12=0,CM11,IF(CM$3=$E12,IF($AA12=1,$F12&amp;$AB12,$G12),IF(OR(CM$3=$D12,CM$3=$AC12,CM$3=$AE12),"",IF(CM$3=$AD12,$F12&amp;"R",CM11))))</f>
        <v>bN</v>
      </c>
      <c r="CN12" s="11" t="str">
        <f aca="false">IF($P12=0,CN11,IF(CN$3=$E12,IF($AA12=1,$F12&amp;$AB12,$G12),IF(OR(CN$3=$D12,CN$3=$AC12,CN$3=$AE12),"",IF(CN$3=$AD12,$F12&amp;"R",CN11))))</f>
        <v>bB</v>
      </c>
      <c r="CO12" s="11" t="str">
        <f aca="false">IF($P12=0,CO11,IF(CO$3=$E12,IF($AA12=1,$F12&amp;$AB12,$G12),IF(OR(CO$3=$D12,CO$3=$AC12,CO$3=$AE12),"",IF(CO$3=$AD12,$F12&amp;"R",CO11))))</f>
        <v>bQ</v>
      </c>
      <c r="CP12" s="11" t="str">
        <f aca="false">IF($P12=0,CP11,IF(CP$3=$E12,IF($AA12=1,$F12&amp;$AB12,$G12),IF(OR(CP$3=$D12,CP$3=$AC12,CP$3=$AE12),"",IF(CP$3=$AD12,$F12&amp;"R",CP11))))</f>
        <v>bK</v>
      </c>
      <c r="CQ12" s="11" t="str">
        <f aca="false">IF($P12=0,CQ11,IF(CQ$3=$E12,IF($AA12=1,$F12&amp;$AB12,$G12),IF(OR(CQ$3=$D12,CQ$3=$AC12,CQ$3=$AE12),"",IF(CQ$3=$AD12,$F12&amp;"R",CQ11))))</f>
        <v>bB</v>
      </c>
      <c r="CR12" s="11" t="str">
        <f aca="false">IF($P12=0,CR11,IF(CR$3=$E12,IF($AA12=1,$F12&amp;$AB12,$G12),IF(OR(CR$3=$D12,CR$3=$AC12,CR$3=$AE12),"",IF(CR$3=$AD12,$F12&amp;"R",CR11))))</f>
        <v>bN</v>
      </c>
      <c r="CS12" s="11" t="str">
        <f aca="false">IF($P12=0,CS11,IF(CS$3=$E12,IF($AA12=1,$F12&amp;$AB12,$G12),IF(OR(CS$3=$D12,CS$3=$AC12,CS$3=$AE12),"",IF(CS$3=$AD12,$F12&amp;"R",CS11))))</f>
        <v>bR</v>
      </c>
      <c r="CT12" s="11"/>
      <c r="CU12" s="11" t="s">
        <v>122</v>
      </c>
      <c r="CV12" s="11" t="s">
        <v>133</v>
      </c>
    </row>
    <row r="13" customFormat="false" ht="15" hidden="false" customHeight="false" outlineLevel="0" collapsed="false">
      <c r="A13" s="11" t="n">
        <v>8</v>
      </c>
      <c r="B13" s="11" t="str">
        <f aca="false">IF(Chess!$L$17="","",Chess!$L$17&amp;"")</f>
        <v/>
      </c>
      <c r="C13" s="11" t="str">
        <f aca="false">LOWER(SUBSTITUTE(SUBSTITUTE(SUBSTITUTE(SUBSTITUTE(TRIM($B13),"-",""),"=","")," ",""),"x",""))</f>
        <v/>
      </c>
      <c r="D13" s="11" t="n">
        <f aca="false">IF(LEN($C13)&lt;4,0,IFERROR(IF(AND(CODE(MID($C13,1,1))&gt;=97,CODE(MID($C13,1,1))&lt;=104,VALUE(MID($C13,2,1))&gt;=1,VALUE(MID($C13,2,1))&lt;=8),(VALUE(MID($C13,2,1))-1)*8+CODE(MID($C13,1,1))-96,0),0))</f>
        <v>0</v>
      </c>
      <c r="E13" s="11" t="n">
        <f aca="false">IF(LEN($C13)&lt;4,0,IFERROR(IF(AND(CODE(MID($C13,3,1))&gt;=97,CODE(MID($C13,3,1))&lt;=104,VALUE(MID($C13,4,1))&gt;=1,VALUE(MID($C13,4,1))&lt;=8),(VALUE(MID($C13,4,1))-1)*8+CODE(MID($C13,3,1))-96,0),0))</f>
        <v>0</v>
      </c>
      <c r="F13" s="11" t="str">
        <f aca="false">IF(MOD(SUM($P$5:$P12),2)=0,"w","b")</f>
        <v>w</v>
      </c>
      <c r="G13" s="11" t="str">
        <f aca="false">IF($D13=0,"",INDEX($AH12:$CS12,1,$D13)&amp;"")</f>
        <v/>
      </c>
      <c r="H13" s="11" t="str">
        <f aca="false">IF($E13=0,"",INDEX($AH12:$CS12,1,$E13)&amp;"")</f>
        <v/>
      </c>
      <c r="I13" s="11" t="n">
        <f aca="false">IF(OR($D13=0,$E13=0),0,MOD($E13-1,8)-MOD($D13-1,8))</f>
        <v>0</v>
      </c>
      <c r="J13" s="11" t="n">
        <f aca="false">IF(OR($D13=0,$E13=0),0,INT(($E13-1)/8)-INT(($D13-1)/8))</f>
        <v>0</v>
      </c>
      <c r="K13" s="11" t="str">
        <f aca="false">IF($G13="","",RIGHT($G13,1))</f>
        <v/>
      </c>
      <c r="L13" s="11" t="n">
        <f aca="false">IF(OR($D13=0,$E13=0),0,SUMPRODUCT(($AH$3:$CS$3&gt;MIN($D13,$E13))*($AH$3:$CS$3&lt;MAX($D13,$E13))*(MOD($AH$3:$CS$3-MIN($D13,$E13),MAX(1,ABS(SIGN($J13)*8+SIGN($I13))))=0)*($AH12:$CS12&lt;&gt;"")))</f>
        <v>0</v>
      </c>
      <c r="M13" s="11" t="n">
        <f aca="false">IF($K13&lt;&gt;"K",0,IFERROR(--AND($J13=0,ABS($I13)=2,$D13=IF($F13="w",5,61),IF($F13="w",$S12,$V12)=0,IF($I13=2,AND(IF($F13="w",$U12,$X12)=0,INDEX($AH12:$CS12,1,$D13+1)&amp;""="",INDEX($AH12:$CS12,1,$D13+2)&amp;""=""),AND(IF($F13="w",$T12,$W12)=0,INDEX($AH12:$CS12,1,$D13-1)&amp;""="",INDEX($AH12:$CS12,1,$D13-2)&amp;""="",INDEX($AH12:$CS12,1,$D13-3)&amp;""=""))),0))</f>
        <v>0</v>
      </c>
      <c r="N13" s="11" t="n">
        <f aca="false">IF($K13&lt;&gt;"P",0,IFERROR(--OR(AND($I13=0,$J13=IF($F13="w",1,-1),$H13=""),AND($I13=0,$J13=2*IF($F13="w",1,-1),$H13="",INT(($D13-1)/8)=IF($F13="w",1,6),INDEX($AH12:$CS12,1,MAX(1,MIN(64,$D13+8*IF($F13="w",1,-1))))&amp;""=""),AND(ABS($I13)=1,$J13=IF($F13="w",1,-1),$H13&lt;&gt;""),AND(ABS($I13)=1,$J13=IF($F13="w",1,-1),$H13="",$R12&gt;0,$E13=$R12)),0))</f>
        <v>0</v>
      </c>
      <c r="O13" s="11" t="n">
        <f aca="false">IF(OR($D13=0,$E13=0,$G13=""),0,IF($K13="N",--OR(AND(ABS($I13)=1,ABS($J13)=2),AND(ABS($I13)=2,ABS($J13)=1)),IF($K13="B",--AND(ABS($I13)=ABS($J13),$I13&lt;&gt;0,$L13=0),IF($K13="R",--AND(OR($I13=0,$J13=0),OR($I13&lt;&gt;0,$J13&lt;&gt;0),$L13=0),IF($K13="Q",--AND(OR(AND(ABS($I13)=ABS($J13),$I13&lt;&gt;0),AND(OR($I13=0,$J13=0),OR($I13&lt;&gt;0,$J13&lt;&gt;0))),$L13=0),IF($K13="K",--OR(MAX(ABS($I13),ABS($J13))=1,$M13=1),$N13))))))</f>
        <v>0</v>
      </c>
      <c r="P13" s="11" t="n">
        <f aca="false">IF($Q13="OK",1,0)</f>
        <v>0</v>
      </c>
      <c r="Q13" s="11" t="str">
        <f aca="false">IF($B13="","",IF(OR(COUNTIF($AH12:$CS12,"wK")=0,COUNTIF($AH12:$CS12,"bK")=0),"Game is over",IF(OR($D13=0,$E13=0),"Use the format e2e4",IF($G13="","No piece on that square",IF(LEFT($G13,1)&lt;&gt;$F13,"Not your piece ("&amp;IF($F13="w","White","Black")&amp;" to move)",IF($D13=$E13,"Piece must move",IF(AND($H13&lt;&gt;"",LEFT($H13,1)=$F13),"Cannot capture your own piece",IF($O13=0,"Illegal move for that piece (or path blocked)","OK"))))))))</f>
        <v/>
      </c>
      <c r="R13" s="11" t="n">
        <f aca="false">IF($P13=1,IF(AND($K13="P",ABS($J13)=2),($D13+$E13)/2,0),$R12)</f>
        <v>0</v>
      </c>
      <c r="S13" s="12" t="b">
        <f aca="false">--OR($S12=1,AND($P13=1,OR($D13=5,$E13=5)))</f>
        <v>0</v>
      </c>
      <c r="T13" s="12" t="b">
        <f aca="false">--OR($T12=1,AND($P13=1,OR($D13=1,$E13=1)))</f>
        <v>0</v>
      </c>
      <c r="U13" s="12" t="b">
        <f aca="false">--OR($U12=1,AND($P13=1,OR($D13=8,$E13=8)))</f>
        <v>0</v>
      </c>
      <c r="V13" s="12" t="b">
        <f aca="false">--OR($V12=1,AND($P13=1,OR($D13=61,$E13=61)))</f>
        <v>0</v>
      </c>
      <c r="W13" s="12" t="b">
        <f aca="false">--OR($W12=1,AND($P13=1,OR($D13=57,$E13=57)))</f>
        <v>0</v>
      </c>
      <c r="X13" s="12" t="b">
        <f aca="false">--OR($X12=1,AND($P13=1,OR($D13=64,$E13=64)))</f>
        <v>0</v>
      </c>
      <c r="Y13" s="12" t="b">
        <f aca="false">--AND($P13=1,$K13="K",ABS($I13)=2)</f>
        <v>0</v>
      </c>
      <c r="Z13" s="12" t="b">
        <f aca="false">--AND($P13=1,$K13="P",ABS($I13)=1,$H13="")</f>
        <v>0</v>
      </c>
      <c r="AA13" s="12" t="b">
        <f aca="false">--AND($P13=1,$K13="P",INT(($E13-1)/8)=IF($F13="w",7,0))</f>
        <v>0</v>
      </c>
      <c r="AB13" s="11" t="str">
        <f aca="false">IF(LEN($C13)&gt;=5,IF(ISNUMBER(FIND(MID($C13,5,1),"qrbn")),UPPER(MID($C13,5,1)),"Q"),"Q")</f>
        <v>Q</v>
      </c>
      <c r="AC13" s="11" t="n">
        <f aca="false">IF($Y13=1,IF($I13=2,$D13+3,$D13-4),0)</f>
        <v>0</v>
      </c>
      <c r="AD13" s="11" t="n">
        <f aca="false">IF($Y13=1,IF($I13=2,$D13+1,$D13-1),0)</f>
        <v>0</v>
      </c>
      <c r="AE13" s="11" t="n">
        <f aca="false">IF($Z13=1,$E13-8*IF($F13="w",1,-1),0)</f>
        <v>0</v>
      </c>
      <c r="AF13" s="11" t="str">
        <f aca="false">IF($B13="","",IF($P13=1,LOWER(INDEX($CV$2:$CV$13,MATCH($G13,$CU$2:$CU$13,0)))&amp;" "&amp;MID("abcdefgh",MOD($D13-1,8)+1,1)&amp;(INT(($D13-1)/8)+1)&amp;"→"&amp;MID("abcdefgh",MOD($E13-1,8)+1,1)&amp;(INT(($E13-1)/8)+1)&amp;IF(OR($H13&lt;&gt;"",$Z13=1)," ×","")&amp;IF($Y13=1," castles","")&amp;IF($Z13=1," e.p.","")&amp;IF($AA13=1," =" &amp;LOWER(INDEX($CV$2:$CV$13,MATCH($F13&amp;$AB13,$CU$2:$CU$13,0))),""),"X "&amp;$Q13))</f>
        <v/>
      </c>
      <c r="AG13" s="11"/>
      <c r="AH13" s="11" t="str">
        <f aca="false">IF($P13=0,AH12,IF(AH$3=$E13,IF($AA13=1,$F13&amp;$AB13,$G13),IF(OR(AH$3=$D13,AH$3=$AC13,AH$3=$AE13),"",IF(AH$3=$AD13,$F13&amp;"R",AH12))))</f>
        <v>wR</v>
      </c>
      <c r="AI13" s="11" t="str">
        <f aca="false">IF($P13=0,AI12,IF(AI$3=$E13,IF($AA13=1,$F13&amp;$AB13,$G13),IF(OR(AI$3=$D13,AI$3=$AC13,AI$3=$AE13),"",IF(AI$3=$AD13,$F13&amp;"R",AI12))))</f>
        <v>wN</v>
      </c>
      <c r="AJ13" s="11" t="str">
        <f aca="false">IF($P13=0,AJ12,IF(AJ$3=$E13,IF($AA13=1,$F13&amp;$AB13,$G13),IF(OR(AJ$3=$D13,AJ$3=$AC13,AJ$3=$AE13),"",IF(AJ$3=$AD13,$F13&amp;"R",AJ12))))</f>
        <v>wB</v>
      </c>
      <c r="AK13" s="11" t="str">
        <f aca="false">IF($P13=0,AK12,IF(AK$3=$E13,IF($AA13=1,$F13&amp;$AB13,$G13),IF(OR(AK$3=$D13,AK$3=$AC13,AK$3=$AE13),"",IF(AK$3=$AD13,$F13&amp;"R",AK12))))</f>
        <v>wQ</v>
      </c>
      <c r="AL13" s="11" t="str">
        <f aca="false">IF($P13=0,AL12,IF(AL$3=$E13,IF($AA13=1,$F13&amp;$AB13,$G13),IF(OR(AL$3=$D13,AL$3=$AC13,AL$3=$AE13),"",IF(AL$3=$AD13,$F13&amp;"R",AL12))))</f>
        <v>wK</v>
      </c>
      <c r="AM13" s="11" t="str">
        <f aca="false">IF($P13=0,AM12,IF(AM$3=$E13,IF($AA13=1,$F13&amp;$AB13,$G13),IF(OR(AM$3=$D13,AM$3=$AC13,AM$3=$AE13),"",IF(AM$3=$AD13,$F13&amp;"R",AM12))))</f>
        <v>wB</v>
      </c>
      <c r="AN13" s="11" t="str">
        <f aca="false">IF($P13=0,AN12,IF(AN$3=$E13,IF($AA13=1,$F13&amp;$AB13,$G13),IF(OR(AN$3=$D13,AN$3=$AC13,AN$3=$AE13),"",IF(AN$3=$AD13,$F13&amp;"R",AN12))))</f>
        <v>wN</v>
      </c>
      <c r="AO13" s="11" t="str">
        <f aca="false">IF($P13=0,AO12,IF(AO$3=$E13,IF($AA13=1,$F13&amp;$AB13,$G13),IF(OR(AO$3=$D13,AO$3=$AC13,AO$3=$AE13),"",IF(AO$3=$AD13,$F13&amp;"R",AO12))))</f>
        <v>wR</v>
      </c>
      <c r="AP13" s="11" t="str">
        <f aca="false">IF($P13=0,AP12,IF(AP$3=$E13,IF($AA13=1,$F13&amp;$AB13,$G13),IF(OR(AP$3=$D13,AP$3=$AC13,AP$3=$AE13),"",IF(AP$3=$AD13,$F13&amp;"R",AP12))))</f>
        <v>wP</v>
      </c>
      <c r="AQ13" s="11" t="str">
        <f aca="false">IF($P13=0,AQ12,IF(AQ$3=$E13,IF($AA13=1,$F13&amp;$AB13,$G13),IF(OR(AQ$3=$D13,AQ$3=$AC13,AQ$3=$AE13),"",IF(AQ$3=$AD13,$F13&amp;"R",AQ12))))</f>
        <v>wP</v>
      </c>
      <c r="AR13" s="11" t="str">
        <f aca="false">IF($P13=0,AR12,IF(AR$3=$E13,IF($AA13=1,$F13&amp;$AB13,$G13),IF(OR(AR$3=$D13,AR$3=$AC13,AR$3=$AE13),"",IF(AR$3=$AD13,$F13&amp;"R",AR12))))</f>
        <v>wP</v>
      </c>
      <c r="AS13" s="11" t="str">
        <f aca="false">IF($P13=0,AS12,IF(AS$3=$E13,IF($AA13=1,$F13&amp;$AB13,$G13),IF(OR(AS$3=$D13,AS$3=$AC13,AS$3=$AE13),"",IF(AS$3=$AD13,$F13&amp;"R",AS12))))</f>
        <v>wP</v>
      </c>
      <c r="AT13" s="11" t="str">
        <f aca="false">IF($P13=0,AT12,IF(AT$3=$E13,IF($AA13=1,$F13&amp;$AB13,$G13),IF(OR(AT$3=$D13,AT$3=$AC13,AT$3=$AE13),"",IF(AT$3=$AD13,$F13&amp;"R",AT12))))</f>
        <v>wP</v>
      </c>
      <c r="AU13" s="11" t="str">
        <f aca="false">IF($P13=0,AU12,IF(AU$3=$E13,IF($AA13=1,$F13&amp;$AB13,$G13),IF(OR(AU$3=$D13,AU$3=$AC13,AU$3=$AE13),"",IF(AU$3=$AD13,$F13&amp;"R",AU12))))</f>
        <v>wP</v>
      </c>
      <c r="AV13" s="11" t="str">
        <f aca="false">IF($P13=0,AV12,IF(AV$3=$E13,IF($AA13=1,$F13&amp;$AB13,$G13),IF(OR(AV$3=$D13,AV$3=$AC13,AV$3=$AE13),"",IF(AV$3=$AD13,$F13&amp;"R",AV12))))</f>
        <v>wP</v>
      </c>
      <c r="AW13" s="11" t="str">
        <f aca="false">IF($P13=0,AW12,IF(AW$3=$E13,IF($AA13=1,$F13&amp;$AB13,$G13),IF(OR(AW$3=$D13,AW$3=$AC13,AW$3=$AE13),"",IF(AW$3=$AD13,$F13&amp;"R",AW12))))</f>
        <v>wP</v>
      </c>
      <c r="AX13" s="11" t="str">
        <f aca="false">IF($P13=0,AX12,IF(AX$3=$E13,IF($AA13=1,$F13&amp;$AB13,$G13),IF(OR(AX$3=$D13,AX$3=$AC13,AX$3=$AE13),"",IF(AX$3=$AD13,$F13&amp;"R",AX12))))</f>
        <v/>
      </c>
      <c r="AY13" s="11" t="str">
        <f aca="false">IF($P13=0,AY12,IF(AY$3=$E13,IF($AA13=1,$F13&amp;$AB13,$G13),IF(OR(AY$3=$D13,AY$3=$AC13,AY$3=$AE13),"",IF(AY$3=$AD13,$F13&amp;"R",AY12))))</f>
        <v/>
      </c>
      <c r="AZ13" s="11" t="str">
        <f aca="false">IF($P13=0,AZ12,IF(AZ$3=$E13,IF($AA13=1,$F13&amp;$AB13,$G13),IF(OR(AZ$3=$D13,AZ$3=$AC13,AZ$3=$AE13),"",IF(AZ$3=$AD13,$F13&amp;"R",AZ12))))</f>
        <v/>
      </c>
      <c r="BA13" s="11" t="str">
        <f aca="false">IF($P13=0,BA12,IF(BA$3=$E13,IF($AA13=1,$F13&amp;$AB13,$G13),IF(OR(BA$3=$D13,BA$3=$AC13,BA$3=$AE13),"",IF(BA$3=$AD13,$F13&amp;"R",BA12))))</f>
        <v/>
      </c>
      <c r="BB13" s="11" t="str">
        <f aca="false">IF($P13=0,BB12,IF(BB$3=$E13,IF($AA13=1,$F13&amp;$AB13,$G13),IF(OR(BB$3=$D13,BB$3=$AC13,BB$3=$AE13),"",IF(BB$3=$AD13,$F13&amp;"R",BB12))))</f>
        <v/>
      </c>
      <c r="BC13" s="11" t="str">
        <f aca="false">IF($P13=0,BC12,IF(BC$3=$E13,IF($AA13=1,$F13&amp;$AB13,$G13),IF(OR(BC$3=$D13,BC$3=$AC13,BC$3=$AE13),"",IF(BC$3=$AD13,$F13&amp;"R",BC12))))</f>
        <v/>
      </c>
      <c r="BD13" s="11" t="str">
        <f aca="false">IF($P13=0,BD12,IF(BD$3=$E13,IF($AA13=1,$F13&amp;$AB13,$G13),IF(OR(BD$3=$D13,BD$3=$AC13,BD$3=$AE13),"",IF(BD$3=$AD13,$F13&amp;"R",BD12))))</f>
        <v/>
      </c>
      <c r="BE13" s="11" t="str">
        <f aca="false">IF($P13=0,BE12,IF(BE$3=$E13,IF($AA13=1,$F13&amp;$AB13,$G13),IF(OR(BE$3=$D13,BE$3=$AC13,BE$3=$AE13),"",IF(BE$3=$AD13,$F13&amp;"R",BE12))))</f>
        <v/>
      </c>
      <c r="BF13" s="11" t="str">
        <f aca="false">IF($P13=0,BF12,IF(BF$3=$E13,IF($AA13=1,$F13&amp;$AB13,$G13),IF(OR(BF$3=$D13,BF$3=$AC13,BF$3=$AE13),"",IF(BF$3=$AD13,$F13&amp;"R",BF12))))</f>
        <v/>
      </c>
      <c r="BG13" s="11" t="str">
        <f aca="false">IF($P13=0,BG12,IF(BG$3=$E13,IF($AA13=1,$F13&amp;$AB13,$G13),IF(OR(BG$3=$D13,BG$3=$AC13,BG$3=$AE13),"",IF(BG$3=$AD13,$F13&amp;"R",BG12))))</f>
        <v/>
      </c>
      <c r="BH13" s="11" t="str">
        <f aca="false">IF($P13=0,BH12,IF(BH$3=$E13,IF($AA13=1,$F13&amp;$AB13,$G13),IF(OR(BH$3=$D13,BH$3=$AC13,BH$3=$AE13),"",IF(BH$3=$AD13,$F13&amp;"R",BH12))))</f>
        <v/>
      </c>
      <c r="BI13" s="11" t="str">
        <f aca="false">IF($P13=0,BI12,IF(BI$3=$E13,IF($AA13=1,$F13&amp;$AB13,$G13),IF(OR(BI$3=$D13,BI$3=$AC13,BI$3=$AE13),"",IF(BI$3=$AD13,$F13&amp;"R",BI12))))</f>
        <v/>
      </c>
      <c r="BJ13" s="11" t="str">
        <f aca="false">IF($P13=0,BJ12,IF(BJ$3=$E13,IF($AA13=1,$F13&amp;$AB13,$G13),IF(OR(BJ$3=$D13,BJ$3=$AC13,BJ$3=$AE13),"",IF(BJ$3=$AD13,$F13&amp;"R",BJ12))))</f>
        <v/>
      </c>
      <c r="BK13" s="11" t="str">
        <f aca="false">IF($P13=0,BK12,IF(BK$3=$E13,IF($AA13=1,$F13&amp;$AB13,$G13),IF(OR(BK$3=$D13,BK$3=$AC13,BK$3=$AE13),"",IF(BK$3=$AD13,$F13&amp;"R",BK12))))</f>
        <v/>
      </c>
      <c r="BL13" s="11" t="str">
        <f aca="false">IF($P13=0,BL12,IF(BL$3=$E13,IF($AA13=1,$F13&amp;$AB13,$G13),IF(OR(BL$3=$D13,BL$3=$AC13,BL$3=$AE13),"",IF(BL$3=$AD13,$F13&amp;"R",BL12))))</f>
        <v/>
      </c>
      <c r="BM13" s="11" t="str">
        <f aca="false">IF($P13=0,BM12,IF(BM$3=$E13,IF($AA13=1,$F13&amp;$AB13,$G13),IF(OR(BM$3=$D13,BM$3=$AC13,BM$3=$AE13),"",IF(BM$3=$AD13,$F13&amp;"R",BM12))))</f>
        <v/>
      </c>
      <c r="BN13" s="11" t="str">
        <f aca="false">IF($P13=0,BN12,IF(BN$3=$E13,IF($AA13=1,$F13&amp;$AB13,$G13),IF(OR(BN$3=$D13,BN$3=$AC13,BN$3=$AE13),"",IF(BN$3=$AD13,$F13&amp;"R",BN12))))</f>
        <v/>
      </c>
      <c r="BO13" s="11" t="str">
        <f aca="false">IF($P13=0,BO12,IF(BO$3=$E13,IF($AA13=1,$F13&amp;$AB13,$G13),IF(OR(BO$3=$D13,BO$3=$AC13,BO$3=$AE13),"",IF(BO$3=$AD13,$F13&amp;"R",BO12))))</f>
        <v/>
      </c>
      <c r="BP13" s="11" t="str">
        <f aca="false">IF($P13=0,BP12,IF(BP$3=$E13,IF($AA13=1,$F13&amp;$AB13,$G13),IF(OR(BP$3=$D13,BP$3=$AC13,BP$3=$AE13),"",IF(BP$3=$AD13,$F13&amp;"R",BP12))))</f>
        <v/>
      </c>
      <c r="BQ13" s="11" t="str">
        <f aca="false">IF($P13=0,BQ12,IF(BQ$3=$E13,IF($AA13=1,$F13&amp;$AB13,$G13),IF(OR(BQ$3=$D13,BQ$3=$AC13,BQ$3=$AE13),"",IF(BQ$3=$AD13,$F13&amp;"R",BQ12))))</f>
        <v/>
      </c>
      <c r="BR13" s="11" t="str">
        <f aca="false">IF($P13=0,BR12,IF(BR$3=$E13,IF($AA13=1,$F13&amp;$AB13,$G13),IF(OR(BR$3=$D13,BR$3=$AC13,BR$3=$AE13),"",IF(BR$3=$AD13,$F13&amp;"R",BR12))))</f>
        <v/>
      </c>
      <c r="BS13" s="11" t="str">
        <f aca="false">IF($P13=0,BS12,IF(BS$3=$E13,IF($AA13=1,$F13&amp;$AB13,$G13),IF(OR(BS$3=$D13,BS$3=$AC13,BS$3=$AE13),"",IF(BS$3=$AD13,$F13&amp;"R",BS12))))</f>
        <v/>
      </c>
      <c r="BT13" s="11" t="str">
        <f aca="false">IF($P13=0,BT12,IF(BT$3=$E13,IF($AA13=1,$F13&amp;$AB13,$G13),IF(OR(BT$3=$D13,BT$3=$AC13,BT$3=$AE13),"",IF(BT$3=$AD13,$F13&amp;"R",BT12))))</f>
        <v/>
      </c>
      <c r="BU13" s="11" t="str">
        <f aca="false">IF($P13=0,BU12,IF(BU$3=$E13,IF($AA13=1,$F13&amp;$AB13,$G13),IF(OR(BU$3=$D13,BU$3=$AC13,BU$3=$AE13),"",IF(BU$3=$AD13,$F13&amp;"R",BU12))))</f>
        <v/>
      </c>
      <c r="BV13" s="11" t="str">
        <f aca="false">IF($P13=0,BV12,IF(BV$3=$E13,IF($AA13=1,$F13&amp;$AB13,$G13),IF(OR(BV$3=$D13,BV$3=$AC13,BV$3=$AE13),"",IF(BV$3=$AD13,$F13&amp;"R",BV12))))</f>
        <v/>
      </c>
      <c r="BW13" s="11" t="str">
        <f aca="false">IF($P13=0,BW12,IF(BW$3=$E13,IF($AA13=1,$F13&amp;$AB13,$G13),IF(OR(BW$3=$D13,BW$3=$AC13,BW$3=$AE13),"",IF(BW$3=$AD13,$F13&amp;"R",BW12))))</f>
        <v/>
      </c>
      <c r="BX13" s="11" t="str">
        <f aca="false">IF($P13=0,BX12,IF(BX$3=$E13,IF($AA13=1,$F13&amp;$AB13,$G13),IF(OR(BX$3=$D13,BX$3=$AC13,BX$3=$AE13),"",IF(BX$3=$AD13,$F13&amp;"R",BX12))))</f>
        <v/>
      </c>
      <c r="BY13" s="11" t="str">
        <f aca="false">IF($P13=0,BY12,IF(BY$3=$E13,IF($AA13=1,$F13&amp;$AB13,$G13),IF(OR(BY$3=$D13,BY$3=$AC13,BY$3=$AE13),"",IF(BY$3=$AD13,$F13&amp;"R",BY12))))</f>
        <v/>
      </c>
      <c r="BZ13" s="11" t="str">
        <f aca="false">IF($P13=0,BZ12,IF(BZ$3=$E13,IF($AA13=1,$F13&amp;$AB13,$G13),IF(OR(BZ$3=$D13,BZ$3=$AC13,BZ$3=$AE13),"",IF(BZ$3=$AD13,$F13&amp;"R",BZ12))))</f>
        <v/>
      </c>
      <c r="CA13" s="11" t="str">
        <f aca="false">IF($P13=0,CA12,IF(CA$3=$E13,IF($AA13=1,$F13&amp;$AB13,$G13),IF(OR(CA$3=$D13,CA$3=$AC13,CA$3=$AE13),"",IF(CA$3=$AD13,$F13&amp;"R",CA12))))</f>
        <v/>
      </c>
      <c r="CB13" s="11" t="str">
        <f aca="false">IF($P13=0,CB12,IF(CB$3=$E13,IF($AA13=1,$F13&amp;$AB13,$G13),IF(OR(CB$3=$D13,CB$3=$AC13,CB$3=$AE13),"",IF(CB$3=$AD13,$F13&amp;"R",CB12))))</f>
        <v/>
      </c>
      <c r="CC13" s="11" t="str">
        <f aca="false">IF($P13=0,CC12,IF(CC$3=$E13,IF($AA13=1,$F13&amp;$AB13,$G13),IF(OR(CC$3=$D13,CC$3=$AC13,CC$3=$AE13),"",IF(CC$3=$AD13,$F13&amp;"R",CC12))))</f>
        <v/>
      </c>
      <c r="CD13" s="11" t="str">
        <f aca="false">IF($P13=0,CD12,IF(CD$3=$E13,IF($AA13=1,$F13&amp;$AB13,$G13),IF(OR(CD$3=$D13,CD$3=$AC13,CD$3=$AE13),"",IF(CD$3=$AD13,$F13&amp;"R",CD12))))</f>
        <v>bP</v>
      </c>
      <c r="CE13" s="11" t="str">
        <f aca="false">IF($P13=0,CE12,IF(CE$3=$E13,IF($AA13=1,$F13&amp;$AB13,$G13),IF(OR(CE$3=$D13,CE$3=$AC13,CE$3=$AE13),"",IF(CE$3=$AD13,$F13&amp;"R",CE12))))</f>
        <v>bP</v>
      </c>
      <c r="CF13" s="11" t="str">
        <f aca="false">IF($P13=0,CF12,IF(CF$3=$E13,IF($AA13=1,$F13&amp;$AB13,$G13),IF(OR(CF$3=$D13,CF$3=$AC13,CF$3=$AE13),"",IF(CF$3=$AD13,$F13&amp;"R",CF12))))</f>
        <v>bP</v>
      </c>
      <c r="CG13" s="11" t="str">
        <f aca="false">IF($P13=0,CG12,IF(CG$3=$E13,IF($AA13=1,$F13&amp;$AB13,$G13),IF(OR(CG$3=$D13,CG$3=$AC13,CG$3=$AE13),"",IF(CG$3=$AD13,$F13&amp;"R",CG12))))</f>
        <v>bP</v>
      </c>
      <c r="CH13" s="11" t="str">
        <f aca="false">IF($P13=0,CH12,IF(CH$3=$E13,IF($AA13=1,$F13&amp;$AB13,$G13),IF(OR(CH$3=$D13,CH$3=$AC13,CH$3=$AE13),"",IF(CH$3=$AD13,$F13&amp;"R",CH12))))</f>
        <v>bP</v>
      </c>
      <c r="CI13" s="11" t="str">
        <f aca="false">IF($P13=0,CI12,IF(CI$3=$E13,IF($AA13=1,$F13&amp;$AB13,$G13),IF(OR(CI$3=$D13,CI$3=$AC13,CI$3=$AE13),"",IF(CI$3=$AD13,$F13&amp;"R",CI12))))</f>
        <v>bP</v>
      </c>
      <c r="CJ13" s="11" t="str">
        <f aca="false">IF($P13=0,CJ12,IF(CJ$3=$E13,IF($AA13=1,$F13&amp;$AB13,$G13),IF(OR(CJ$3=$D13,CJ$3=$AC13,CJ$3=$AE13),"",IF(CJ$3=$AD13,$F13&amp;"R",CJ12))))</f>
        <v>bP</v>
      </c>
      <c r="CK13" s="11" t="str">
        <f aca="false">IF($P13=0,CK12,IF(CK$3=$E13,IF($AA13=1,$F13&amp;$AB13,$G13),IF(OR(CK$3=$D13,CK$3=$AC13,CK$3=$AE13),"",IF(CK$3=$AD13,$F13&amp;"R",CK12))))</f>
        <v>bP</v>
      </c>
      <c r="CL13" s="11" t="str">
        <f aca="false">IF($P13=0,CL12,IF(CL$3=$E13,IF($AA13=1,$F13&amp;$AB13,$G13),IF(OR(CL$3=$D13,CL$3=$AC13,CL$3=$AE13),"",IF(CL$3=$AD13,$F13&amp;"R",CL12))))</f>
        <v>bR</v>
      </c>
      <c r="CM13" s="11" t="str">
        <f aca="false">IF($P13=0,CM12,IF(CM$3=$E13,IF($AA13=1,$F13&amp;$AB13,$G13),IF(OR(CM$3=$D13,CM$3=$AC13,CM$3=$AE13),"",IF(CM$3=$AD13,$F13&amp;"R",CM12))))</f>
        <v>bN</v>
      </c>
      <c r="CN13" s="11" t="str">
        <f aca="false">IF($P13=0,CN12,IF(CN$3=$E13,IF($AA13=1,$F13&amp;$AB13,$G13),IF(OR(CN$3=$D13,CN$3=$AC13,CN$3=$AE13),"",IF(CN$3=$AD13,$F13&amp;"R",CN12))))</f>
        <v>bB</v>
      </c>
      <c r="CO13" s="11" t="str">
        <f aca="false">IF($P13=0,CO12,IF(CO$3=$E13,IF($AA13=1,$F13&amp;$AB13,$G13),IF(OR(CO$3=$D13,CO$3=$AC13,CO$3=$AE13),"",IF(CO$3=$AD13,$F13&amp;"R",CO12))))</f>
        <v>bQ</v>
      </c>
      <c r="CP13" s="11" t="str">
        <f aca="false">IF($P13=0,CP12,IF(CP$3=$E13,IF($AA13=1,$F13&amp;$AB13,$G13),IF(OR(CP$3=$D13,CP$3=$AC13,CP$3=$AE13),"",IF(CP$3=$AD13,$F13&amp;"R",CP12))))</f>
        <v>bK</v>
      </c>
      <c r="CQ13" s="11" t="str">
        <f aca="false">IF($P13=0,CQ12,IF(CQ$3=$E13,IF($AA13=1,$F13&amp;$AB13,$G13),IF(OR(CQ$3=$D13,CQ$3=$AC13,CQ$3=$AE13),"",IF(CQ$3=$AD13,$F13&amp;"R",CQ12))))</f>
        <v>bB</v>
      </c>
      <c r="CR13" s="11" t="str">
        <f aca="false">IF($P13=0,CR12,IF(CR$3=$E13,IF($AA13=1,$F13&amp;$AB13,$G13),IF(OR(CR$3=$D13,CR$3=$AC13,CR$3=$AE13),"",IF(CR$3=$AD13,$F13&amp;"R",CR12))))</f>
        <v>bN</v>
      </c>
      <c r="CS13" s="11" t="str">
        <f aca="false">IF($P13=0,CS12,IF(CS$3=$E13,IF($AA13=1,$F13&amp;$AB13,$G13),IF(OR(CS$3=$D13,CS$3=$AC13,CS$3=$AE13),"",IF(CS$3=$AD13,$F13&amp;"R",CS12))))</f>
        <v>bR</v>
      </c>
      <c r="CT13" s="11"/>
      <c r="CU13" s="11" t="s">
        <v>120</v>
      </c>
      <c r="CV13" s="11" t="s">
        <v>134</v>
      </c>
    </row>
    <row r="14" customFormat="false" ht="15" hidden="false" customHeight="false" outlineLevel="0" collapsed="false">
      <c r="A14" s="11" t="n">
        <v>9</v>
      </c>
      <c r="B14" s="11" t="str">
        <f aca="false">IF(Chess!$L$18="","",Chess!$L$18&amp;"")</f>
        <v/>
      </c>
      <c r="C14" s="11" t="str">
        <f aca="false">LOWER(SUBSTITUTE(SUBSTITUTE(SUBSTITUTE(SUBSTITUTE(TRIM($B14),"-",""),"=","")," ",""),"x",""))</f>
        <v/>
      </c>
      <c r="D14" s="11" t="n">
        <f aca="false">IF(LEN($C14)&lt;4,0,IFERROR(IF(AND(CODE(MID($C14,1,1))&gt;=97,CODE(MID($C14,1,1))&lt;=104,VALUE(MID($C14,2,1))&gt;=1,VALUE(MID($C14,2,1))&lt;=8),(VALUE(MID($C14,2,1))-1)*8+CODE(MID($C14,1,1))-96,0),0))</f>
        <v>0</v>
      </c>
      <c r="E14" s="11" t="n">
        <f aca="false">IF(LEN($C14)&lt;4,0,IFERROR(IF(AND(CODE(MID($C14,3,1))&gt;=97,CODE(MID($C14,3,1))&lt;=104,VALUE(MID($C14,4,1))&gt;=1,VALUE(MID($C14,4,1))&lt;=8),(VALUE(MID($C14,4,1))-1)*8+CODE(MID($C14,3,1))-96,0),0))</f>
        <v>0</v>
      </c>
      <c r="F14" s="11" t="str">
        <f aca="false">IF(MOD(SUM($P$5:$P13),2)=0,"w","b")</f>
        <v>w</v>
      </c>
      <c r="G14" s="11" t="str">
        <f aca="false">IF($D14=0,"",INDEX($AH13:$CS13,1,$D14)&amp;"")</f>
        <v/>
      </c>
      <c r="H14" s="11" t="str">
        <f aca="false">IF($E14=0,"",INDEX($AH13:$CS13,1,$E14)&amp;"")</f>
        <v/>
      </c>
      <c r="I14" s="11" t="n">
        <f aca="false">IF(OR($D14=0,$E14=0),0,MOD($E14-1,8)-MOD($D14-1,8))</f>
        <v>0</v>
      </c>
      <c r="J14" s="11" t="n">
        <f aca="false">IF(OR($D14=0,$E14=0),0,INT(($E14-1)/8)-INT(($D14-1)/8))</f>
        <v>0</v>
      </c>
      <c r="K14" s="11" t="str">
        <f aca="false">IF($G14="","",RIGHT($G14,1))</f>
        <v/>
      </c>
      <c r="L14" s="11" t="n">
        <f aca="false">IF(OR($D14=0,$E14=0),0,SUMPRODUCT(($AH$3:$CS$3&gt;MIN($D14,$E14))*($AH$3:$CS$3&lt;MAX($D14,$E14))*(MOD($AH$3:$CS$3-MIN($D14,$E14),MAX(1,ABS(SIGN($J14)*8+SIGN($I14))))=0)*($AH13:$CS13&lt;&gt;"")))</f>
        <v>0</v>
      </c>
      <c r="M14" s="11" t="n">
        <f aca="false">IF($K14&lt;&gt;"K",0,IFERROR(--AND($J14=0,ABS($I14)=2,$D14=IF($F14="w",5,61),IF($F14="w",$S13,$V13)=0,IF($I14=2,AND(IF($F14="w",$U13,$X13)=0,INDEX($AH13:$CS13,1,$D14+1)&amp;""="",INDEX($AH13:$CS13,1,$D14+2)&amp;""=""),AND(IF($F14="w",$T13,$W13)=0,INDEX($AH13:$CS13,1,$D14-1)&amp;""="",INDEX($AH13:$CS13,1,$D14-2)&amp;""="",INDEX($AH13:$CS13,1,$D14-3)&amp;""=""))),0))</f>
        <v>0</v>
      </c>
      <c r="N14" s="11" t="n">
        <f aca="false">IF($K14&lt;&gt;"P",0,IFERROR(--OR(AND($I14=0,$J14=IF($F14="w",1,-1),$H14=""),AND($I14=0,$J14=2*IF($F14="w",1,-1),$H14="",INT(($D14-1)/8)=IF($F14="w",1,6),INDEX($AH13:$CS13,1,MAX(1,MIN(64,$D14+8*IF($F14="w",1,-1))))&amp;""=""),AND(ABS($I14)=1,$J14=IF($F14="w",1,-1),$H14&lt;&gt;""),AND(ABS($I14)=1,$J14=IF($F14="w",1,-1),$H14="",$R13&gt;0,$E14=$R13)),0))</f>
        <v>0</v>
      </c>
      <c r="O14" s="11" t="n">
        <f aca="false">IF(OR($D14=0,$E14=0,$G14=""),0,IF($K14="N",--OR(AND(ABS($I14)=1,ABS($J14)=2),AND(ABS($I14)=2,ABS($J14)=1)),IF($K14="B",--AND(ABS($I14)=ABS($J14),$I14&lt;&gt;0,$L14=0),IF($K14="R",--AND(OR($I14=0,$J14=0),OR($I14&lt;&gt;0,$J14&lt;&gt;0),$L14=0),IF($K14="Q",--AND(OR(AND(ABS($I14)=ABS($J14),$I14&lt;&gt;0),AND(OR($I14=0,$J14=0),OR($I14&lt;&gt;0,$J14&lt;&gt;0))),$L14=0),IF($K14="K",--OR(MAX(ABS($I14),ABS($J14))=1,$M14=1),$N14))))))</f>
        <v>0</v>
      </c>
      <c r="P14" s="11" t="n">
        <f aca="false">IF($Q14="OK",1,0)</f>
        <v>0</v>
      </c>
      <c r="Q14" s="11" t="str">
        <f aca="false">IF($B14="","",IF(OR(COUNTIF($AH13:$CS13,"wK")=0,COUNTIF($AH13:$CS13,"bK")=0),"Game is over",IF(OR($D14=0,$E14=0),"Use the format e2e4",IF($G14="","No piece on that square",IF(LEFT($G14,1)&lt;&gt;$F14,"Not your piece ("&amp;IF($F14="w","White","Black")&amp;" to move)",IF($D14=$E14,"Piece must move",IF(AND($H14&lt;&gt;"",LEFT($H14,1)=$F14),"Cannot capture your own piece",IF($O14=0,"Illegal move for that piece (or path blocked)","OK"))))))))</f>
        <v/>
      </c>
      <c r="R14" s="11" t="n">
        <f aca="false">IF($P14=1,IF(AND($K14="P",ABS($J14)=2),($D14+$E14)/2,0),$R13)</f>
        <v>0</v>
      </c>
      <c r="S14" s="12" t="b">
        <f aca="false">--OR($S13=1,AND($P14=1,OR($D14=5,$E14=5)))</f>
        <v>0</v>
      </c>
      <c r="T14" s="12" t="b">
        <f aca="false">--OR($T13=1,AND($P14=1,OR($D14=1,$E14=1)))</f>
        <v>0</v>
      </c>
      <c r="U14" s="12" t="b">
        <f aca="false">--OR($U13=1,AND($P14=1,OR($D14=8,$E14=8)))</f>
        <v>0</v>
      </c>
      <c r="V14" s="12" t="b">
        <f aca="false">--OR($V13=1,AND($P14=1,OR($D14=61,$E14=61)))</f>
        <v>0</v>
      </c>
      <c r="W14" s="12" t="b">
        <f aca="false">--OR($W13=1,AND($P14=1,OR($D14=57,$E14=57)))</f>
        <v>0</v>
      </c>
      <c r="X14" s="12" t="b">
        <f aca="false">--OR($X13=1,AND($P14=1,OR($D14=64,$E14=64)))</f>
        <v>0</v>
      </c>
      <c r="Y14" s="12" t="b">
        <f aca="false">--AND($P14=1,$K14="K",ABS($I14)=2)</f>
        <v>0</v>
      </c>
      <c r="Z14" s="12" t="b">
        <f aca="false">--AND($P14=1,$K14="P",ABS($I14)=1,$H14="")</f>
        <v>0</v>
      </c>
      <c r="AA14" s="12" t="b">
        <f aca="false">--AND($P14=1,$K14="P",INT(($E14-1)/8)=IF($F14="w",7,0))</f>
        <v>0</v>
      </c>
      <c r="AB14" s="11" t="str">
        <f aca="false">IF(LEN($C14)&gt;=5,IF(ISNUMBER(FIND(MID($C14,5,1),"qrbn")),UPPER(MID($C14,5,1)),"Q"),"Q")</f>
        <v>Q</v>
      </c>
      <c r="AC14" s="11" t="n">
        <f aca="false">IF($Y14=1,IF($I14=2,$D14+3,$D14-4),0)</f>
        <v>0</v>
      </c>
      <c r="AD14" s="11" t="n">
        <f aca="false">IF($Y14=1,IF($I14=2,$D14+1,$D14-1),0)</f>
        <v>0</v>
      </c>
      <c r="AE14" s="11" t="n">
        <f aca="false">IF($Z14=1,$E14-8*IF($F14="w",1,-1),0)</f>
        <v>0</v>
      </c>
      <c r="AF14" s="11" t="str">
        <f aca="false">IF($B14="","",IF($P14=1,LOWER(INDEX($CV$2:$CV$13,MATCH($G14,$CU$2:$CU$13,0)))&amp;" "&amp;MID("abcdefgh",MOD($D14-1,8)+1,1)&amp;(INT(($D14-1)/8)+1)&amp;"→"&amp;MID("abcdefgh",MOD($E14-1,8)+1,1)&amp;(INT(($E14-1)/8)+1)&amp;IF(OR($H14&lt;&gt;"",$Z14=1)," ×","")&amp;IF($Y14=1," castles","")&amp;IF($Z14=1," e.p.","")&amp;IF($AA14=1," =" &amp;LOWER(INDEX($CV$2:$CV$13,MATCH($F14&amp;$AB14,$CU$2:$CU$13,0))),""),"X "&amp;$Q14))</f>
        <v/>
      </c>
      <c r="AG14" s="11"/>
      <c r="AH14" s="11" t="str">
        <f aca="false">IF($P14=0,AH13,IF(AH$3=$E14,IF($AA14=1,$F14&amp;$AB14,$G14),IF(OR(AH$3=$D14,AH$3=$AC14,AH$3=$AE14),"",IF(AH$3=$AD14,$F14&amp;"R",AH13))))</f>
        <v>wR</v>
      </c>
      <c r="AI14" s="11" t="str">
        <f aca="false">IF($P14=0,AI13,IF(AI$3=$E14,IF($AA14=1,$F14&amp;$AB14,$G14),IF(OR(AI$3=$D14,AI$3=$AC14,AI$3=$AE14),"",IF(AI$3=$AD14,$F14&amp;"R",AI13))))</f>
        <v>wN</v>
      </c>
      <c r="AJ14" s="11" t="str">
        <f aca="false">IF($P14=0,AJ13,IF(AJ$3=$E14,IF($AA14=1,$F14&amp;$AB14,$G14),IF(OR(AJ$3=$D14,AJ$3=$AC14,AJ$3=$AE14),"",IF(AJ$3=$AD14,$F14&amp;"R",AJ13))))</f>
        <v>wB</v>
      </c>
      <c r="AK14" s="11" t="str">
        <f aca="false">IF($P14=0,AK13,IF(AK$3=$E14,IF($AA14=1,$F14&amp;$AB14,$G14),IF(OR(AK$3=$D14,AK$3=$AC14,AK$3=$AE14),"",IF(AK$3=$AD14,$F14&amp;"R",AK13))))</f>
        <v>wQ</v>
      </c>
      <c r="AL14" s="11" t="str">
        <f aca="false">IF($P14=0,AL13,IF(AL$3=$E14,IF($AA14=1,$F14&amp;$AB14,$G14),IF(OR(AL$3=$D14,AL$3=$AC14,AL$3=$AE14),"",IF(AL$3=$AD14,$F14&amp;"R",AL13))))</f>
        <v>wK</v>
      </c>
      <c r="AM14" s="11" t="str">
        <f aca="false">IF($P14=0,AM13,IF(AM$3=$E14,IF($AA14=1,$F14&amp;$AB14,$G14),IF(OR(AM$3=$D14,AM$3=$AC14,AM$3=$AE14),"",IF(AM$3=$AD14,$F14&amp;"R",AM13))))</f>
        <v>wB</v>
      </c>
      <c r="AN14" s="11" t="str">
        <f aca="false">IF($P14=0,AN13,IF(AN$3=$E14,IF($AA14=1,$F14&amp;$AB14,$G14),IF(OR(AN$3=$D14,AN$3=$AC14,AN$3=$AE14),"",IF(AN$3=$AD14,$F14&amp;"R",AN13))))</f>
        <v>wN</v>
      </c>
      <c r="AO14" s="11" t="str">
        <f aca="false">IF($P14=0,AO13,IF(AO$3=$E14,IF($AA14=1,$F14&amp;$AB14,$G14),IF(OR(AO$3=$D14,AO$3=$AC14,AO$3=$AE14),"",IF(AO$3=$AD14,$F14&amp;"R",AO13))))</f>
        <v>wR</v>
      </c>
      <c r="AP14" s="11" t="str">
        <f aca="false">IF($P14=0,AP13,IF(AP$3=$E14,IF($AA14=1,$F14&amp;$AB14,$G14),IF(OR(AP$3=$D14,AP$3=$AC14,AP$3=$AE14),"",IF(AP$3=$AD14,$F14&amp;"R",AP13))))</f>
        <v>wP</v>
      </c>
      <c r="AQ14" s="11" t="str">
        <f aca="false">IF($P14=0,AQ13,IF(AQ$3=$E14,IF($AA14=1,$F14&amp;$AB14,$G14),IF(OR(AQ$3=$D14,AQ$3=$AC14,AQ$3=$AE14),"",IF(AQ$3=$AD14,$F14&amp;"R",AQ13))))</f>
        <v>wP</v>
      </c>
      <c r="AR14" s="11" t="str">
        <f aca="false">IF($P14=0,AR13,IF(AR$3=$E14,IF($AA14=1,$F14&amp;$AB14,$G14),IF(OR(AR$3=$D14,AR$3=$AC14,AR$3=$AE14),"",IF(AR$3=$AD14,$F14&amp;"R",AR13))))</f>
        <v>wP</v>
      </c>
      <c r="AS14" s="11" t="str">
        <f aca="false">IF($P14=0,AS13,IF(AS$3=$E14,IF($AA14=1,$F14&amp;$AB14,$G14),IF(OR(AS$3=$D14,AS$3=$AC14,AS$3=$AE14),"",IF(AS$3=$AD14,$F14&amp;"R",AS13))))</f>
        <v>wP</v>
      </c>
      <c r="AT14" s="11" t="str">
        <f aca="false">IF($P14=0,AT13,IF(AT$3=$E14,IF($AA14=1,$F14&amp;$AB14,$G14),IF(OR(AT$3=$D14,AT$3=$AC14,AT$3=$AE14),"",IF(AT$3=$AD14,$F14&amp;"R",AT13))))</f>
        <v>wP</v>
      </c>
      <c r="AU14" s="11" t="str">
        <f aca="false">IF($P14=0,AU13,IF(AU$3=$E14,IF($AA14=1,$F14&amp;$AB14,$G14),IF(OR(AU$3=$D14,AU$3=$AC14,AU$3=$AE14),"",IF(AU$3=$AD14,$F14&amp;"R",AU13))))</f>
        <v>wP</v>
      </c>
      <c r="AV14" s="11" t="str">
        <f aca="false">IF($P14=0,AV13,IF(AV$3=$E14,IF($AA14=1,$F14&amp;$AB14,$G14),IF(OR(AV$3=$D14,AV$3=$AC14,AV$3=$AE14),"",IF(AV$3=$AD14,$F14&amp;"R",AV13))))</f>
        <v>wP</v>
      </c>
      <c r="AW14" s="11" t="str">
        <f aca="false">IF($P14=0,AW13,IF(AW$3=$E14,IF($AA14=1,$F14&amp;$AB14,$G14),IF(OR(AW$3=$D14,AW$3=$AC14,AW$3=$AE14),"",IF(AW$3=$AD14,$F14&amp;"R",AW13))))</f>
        <v>wP</v>
      </c>
      <c r="AX14" s="11" t="str">
        <f aca="false">IF($P14=0,AX13,IF(AX$3=$E14,IF($AA14=1,$F14&amp;$AB14,$G14),IF(OR(AX$3=$D14,AX$3=$AC14,AX$3=$AE14),"",IF(AX$3=$AD14,$F14&amp;"R",AX13))))</f>
        <v/>
      </c>
      <c r="AY14" s="11" t="str">
        <f aca="false">IF($P14=0,AY13,IF(AY$3=$E14,IF($AA14=1,$F14&amp;$AB14,$G14),IF(OR(AY$3=$D14,AY$3=$AC14,AY$3=$AE14),"",IF(AY$3=$AD14,$F14&amp;"R",AY13))))</f>
        <v/>
      </c>
      <c r="AZ14" s="11" t="str">
        <f aca="false">IF($P14=0,AZ13,IF(AZ$3=$E14,IF($AA14=1,$F14&amp;$AB14,$G14),IF(OR(AZ$3=$D14,AZ$3=$AC14,AZ$3=$AE14),"",IF(AZ$3=$AD14,$F14&amp;"R",AZ13))))</f>
        <v/>
      </c>
      <c r="BA14" s="11" t="str">
        <f aca="false">IF($P14=0,BA13,IF(BA$3=$E14,IF($AA14=1,$F14&amp;$AB14,$G14),IF(OR(BA$3=$D14,BA$3=$AC14,BA$3=$AE14),"",IF(BA$3=$AD14,$F14&amp;"R",BA13))))</f>
        <v/>
      </c>
      <c r="BB14" s="11" t="str">
        <f aca="false">IF($P14=0,BB13,IF(BB$3=$E14,IF($AA14=1,$F14&amp;$AB14,$G14),IF(OR(BB$3=$D14,BB$3=$AC14,BB$3=$AE14),"",IF(BB$3=$AD14,$F14&amp;"R",BB13))))</f>
        <v/>
      </c>
      <c r="BC14" s="11" t="str">
        <f aca="false">IF($P14=0,BC13,IF(BC$3=$E14,IF($AA14=1,$F14&amp;$AB14,$G14),IF(OR(BC$3=$D14,BC$3=$AC14,BC$3=$AE14),"",IF(BC$3=$AD14,$F14&amp;"R",BC13))))</f>
        <v/>
      </c>
      <c r="BD14" s="11" t="str">
        <f aca="false">IF($P14=0,BD13,IF(BD$3=$E14,IF($AA14=1,$F14&amp;$AB14,$G14),IF(OR(BD$3=$D14,BD$3=$AC14,BD$3=$AE14),"",IF(BD$3=$AD14,$F14&amp;"R",BD13))))</f>
        <v/>
      </c>
      <c r="BE14" s="11" t="str">
        <f aca="false">IF($P14=0,BE13,IF(BE$3=$E14,IF($AA14=1,$F14&amp;$AB14,$G14),IF(OR(BE$3=$D14,BE$3=$AC14,BE$3=$AE14),"",IF(BE$3=$AD14,$F14&amp;"R",BE13))))</f>
        <v/>
      </c>
      <c r="BF14" s="11" t="str">
        <f aca="false">IF($P14=0,BF13,IF(BF$3=$E14,IF($AA14=1,$F14&amp;$AB14,$G14),IF(OR(BF$3=$D14,BF$3=$AC14,BF$3=$AE14),"",IF(BF$3=$AD14,$F14&amp;"R",BF13))))</f>
        <v/>
      </c>
      <c r="BG14" s="11" t="str">
        <f aca="false">IF($P14=0,BG13,IF(BG$3=$E14,IF($AA14=1,$F14&amp;$AB14,$G14),IF(OR(BG$3=$D14,BG$3=$AC14,BG$3=$AE14),"",IF(BG$3=$AD14,$F14&amp;"R",BG13))))</f>
        <v/>
      </c>
      <c r="BH14" s="11" t="str">
        <f aca="false">IF($P14=0,BH13,IF(BH$3=$E14,IF($AA14=1,$F14&amp;$AB14,$G14),IF(OR(BH$3=$D14,BH$3=$AC14,BH$3=$AE14),"",IF(BH$3=$AD14,$F14&amp;"R",BH13))))</f>
        <v/>
      </c>
      <c r="BI14" s="11" t="str">
        <f aca="false">IF($P14=0,BI13,IF(BI$3=$E14,IF($AA14=1,$F14&amp;$AB14,$G14),IF(OR(BI$3=$D14,BI$3=$AC14,BI$3=$AE14),"",IF(BI$3=$AD14,$F14&amp;"R",BI13))))</f>
        <v/>
      </c>
      <c r="BJ14" s="11" t="str">
        <f aca="false">IF($P14=0,BJ13,IF(BJ$3=$E14,IF($AA14=1,$F14&amp;$AB14,$G14),IF(OR(BJ$3=$D14,BJ$3=$AC14,BJ$3=$AE14),"",IF(BJ$3=$AD14,$F14&amp;"R",BJ13))))</f>
        <v/>
      </c>
      <c r="BK14" s="11" t="str">
        <f aca="false">IF($P14=0,BK13,IF(BK$3=$E14,IF($AA14=1,$F14&amp;$AB14,$G14),IF(OR(BK$3=$D14,BK$3=$AC14,BK$3=$AE14),"",IF(BK$3=$AD14,$F14&amp;"R",BK13))))</f>
        <v/>
      </c>
      <c r="BL14" s="11" t="str">
        <f aca="false">IF($P14=0,BL13,IF(BL$3=$E14,IF($AA14=1,$F14&amp;$AB14,$G14),IF(OR(BL$3=$D14,BL$3=$AC14,BL$3=$AE14),"",IF(BL$3=$AD14,$F14&amp;"R",BL13))))</f>
        <v/>
      </c>
      <c r="BM14" s="11" t="str">
        <f aca="false">IF($P14=0,BM13,IF(BM$3=$E14,IF($AA14=1,$F14&amp;$AB14,$G14),IF(OR(BM$3=$D14,BM$3=$AC14,BM$3=$AE14),"",IF(BM$3=$AD14,$F14&amp;"R",BM13))))</f>
        <v/>
      </c>
      <c r="BN14" s="11" t="str">
        <f aca="false">IF($P14=0,BN13,IF(BN$3=$E14,IF($AA14=1,$F14&amp;$AB14,$G14),IF(OR(BN$3=$D14,BN$3=$AC14,BN$3=$AE14),"",IF(BN$3=$AD14,$F14&amp;"R",BN13))))</f>
        <v/>
      </c>
      <c r="BO14" s="11" t="str">
        <f aca="false">IF($P14=0,BO13,IF(BO$3=$E14,IF($AA14=1,$F14&amp;$AB14,$G14),IF(OR(BO$3=$D14,BO$3=$AC14,BO$3=$AE14),"",IF(BO$3=$AD14,$F14&amp;"R",BO13))))</f>
        <v/>
      </c>
      <c r="BP14" s="11" t="str">
        <f aca="false">IF($P14=0,BP13,IF(BP$3=$E14,IF($AA14=1,$F14&amp;$AB14,$G14),IF(OR(BP$3=$D14,BP$3=$AC14,BP$3=$AE14),"",IF(BP$3=$AD14,$F14&amp;"R",BP13))))</f>
        <v/>
      </c>
      <c r="BQ14" s="11" t="str">
        <f aca="false">IF($P14=0,BQ13,IF(BQ$3=$E14,IF($AA14=1,$F14&amp;$AB14,$G14),IF(OR(BQ$3=$D14,BQ$3=$AC14,BQ$3=$AE14),"",IF(BQ$3=$AD14,$F14&amp;"R",BQ13))))</f>
        <v/>
      </c>
      <c r="BR14" s="11" t="str">
        <f aca="false">IF($P14=0,BR13,IF(BR$3=$E14,IF($AA14=1,$F14&amp;$AB14,$G14),IF(OR(BR$3=$D14,BR$3=$AC14,BR$3=$AE14),"",IF(BR$3=$AD14,$F14&amp;"R",BR13))))</f>
        <v/>
      </c>
      <c r="BS14" s="11" t="str">
        <f aca="false">IF($P14=0,BS13,IF(BS$3=$E14,IF($AA14=1,$F14&amp;$AB14,$G14),IF(OR(BS$3=$D14,BS$3=$AC14,BS$3=$AE14),"",IF(BS$3=$AD14,$F14&amp;"R",BS13))))</f>
        <v/>
      </c>
      <c r="BT14" s="11" t="str">
        <f aca="false">IF($P14=0,BT13,IF(BT$3=$E14,IF($AA14=1,$F14&amp;$AB14,$G14),IF(OR(BT$3=$D14,BT$3=$AC14,BT$3=$AE14),"",IF(BT$3=$AD14,$F14&amp;"R",BT13))))</f>
        <v/>
      </c>
      <c r="BU14" s="11" t="str">
        <f aca="false">IF($P14=0,BU13,IF(BU$3=$E14,IF($AA14=1,$F14&amp;$AB14,$G14),IF(OR(BU$3=$D14,BU$3=$AC14,BU$3=$AE14),"",IF(BU$3=$AD14,$F14&amp;"R",BU13))))</f>
        <v/>
      </c>
      <c r="BV14" s="11" t="str">
        <f aca="false">IF($P14=0,BV13,IF(BV$3=$E14,IF($AA14=1,$F14&amp;$AB14,$G14),IF(OR(BV$3=$D14,BV$3=$AC14,BV$3=$AE14),"",IF(BV$3=$AD14,$F14&amp;"R",BV13))))</f>
        <v/>
      </c>
      <c r="BW14" s="11" t="str">
        <f aca="false">IF($P14=0,BW13,IF(BW$3=$E14,IF($AA14=1,$F14&amp;$AB14,$G14),IF(OR(BW$3=$D14,BW$3=$AC14,BW$3=$AE14),"",IF(BW$3=$AD14,$F14&amp;"R",BW13))))</f>
        <v/>
      </c>
      <c r="BX14" s="11" t="str">
        <f aca="false">IF($P14=0,BX13,IF(BX$3=$E14,IF($AA14=1,$F14&amp;$AB14,$G14),IF(OR(BX$3=$D14,BX$3=$AC14,BX$3=$AE14),"",IF(BX$3=$AD14,$F14&amp;"R",BX13))))</f>
        <v/>
      </c>
      <c r="BY14" s="11" t="str">
        <f aca="false">IF($P14=0,BY13,IF(BY$3=$E14,IF($AA14=1,$F14&amp;$AB14,$G14),IF(OR(BY$3=$D14,BY$3=$AC14,BY$3=$AE14),"",IF(BY$3=$AD14,$F14&amp;"R",BY13))))</f>
        <v/>
      </c>
      <c r="BZ14" s="11" t="str">
        <f aca="false">IF($P14=0,BZ13,IF(BZ$3=$E14,IF($AA14=1,$F14&amp;$AB14,$G14),IF(OR(BZ$3=$D14,BZ$3=$AC14,BZ$3=$AE14),"",IF(BZ$3=$AD14,$F14&amp;"R",BZ13))))</f>
        <v/>
      </c>
      <c r="CA14" s="11" t="str">
        <f aca="false">IF($P14=0,CA13,IF(CA$3=$E14,IF($AA14=1,$F14&amp;$AB14,$G14),IF(OR(CA$3=$D14,CA$3=$AC14,CA$3=$AE14),"",IF(CA$3=$AD14,$F14&amp;"R",CA13))))</f>
        <v/>
      </c>
      <c r="CB14" s="11" t="str">
        <f aca="false">IF($P14=0,CB13,IF(CB$3=$E14,IF($AA14=1,$F14&amp;$AB14,$G14),IF(OR(CB$3=$D14,CB$3=$AC14,CB$3=$AE14),"",IF(CB$3=$AD14,$F14&amp;"R",CB13))))</f>
        <v/>
      </c>
      <c r="CC14" s="11" t="str">
        <f aca="false">IF($P14=0,CC13,IF(CC$3=$E14,IF($AA14=1,$F14&amp;$AB14,$G14),IF(OR(CC$3=$D14,CC$3=$AC14,CC$3=$AE14),"",IF(CC$3=$AD14,$F14&amp;"R",CC13))))</f>
        <v/>
      </c>
      <c r="CD14" s="11" t="str">
        <f aca="false">IF($P14=0,CD13,IF(CD$3=$E14,IF($AA14=1,$F14&amp;$AB14,$G14),IF(OR(CD$3=$D14,CD$3=$AC14,CD$3=$AE14),"",IF(CD$3=$AD14,$F14&amp;"R",CD13))))</f>
        <v>bP</v>
      </c>
      <c r="CE14" s="11" t="str">
        <f aca="false">IF($P14=0,CE13,IF(CE$3=$E14,IF($AA14=1,$F14&amp;$AB14,$G14),IF(OR(CE$3=$D14,CE$3=$AC14,CE$3=$AE14),"",IF(CE$3=$AD14,$F14&amp;"R",CE13))))</f>
        <v>bP</v>
      </c>
      <c r="CF14" s="11" t="str">
        <f aca="false">IF($P14=0,CF13,IF(CF$3=$E14,IF($AA14=1,$F14&amp;$AB14,$G14),IF(OR(CF$3=$D14,CF$3=$AC14,CF$3=$AE14),"",IF(CF$3=$AD14,$F14&amp;"R",CF13))))</f>
        <v>bP</v>
      </c>
      <c r="CG14" s="11" t="str">
        <f aca="false">IF($P14=0,CG13,IF(CG$3=$E14,IF($AA14=1,$F14&amp;$AB14,$G14),IF(OR(CG$3=$D14,CG$3=$AC14,CG$3=$AE14),"",IF(CG$3=$AD14,$F14&amp;"R",CG13))))</f>
        <v>bP</v>
      </c>
      <c r="CH14" s="11" t="str">
        <f aca="false">IF($P14=0,CH13,IF(CH$3=$E14,IF($AA14=1,$F14&amp;$AB14,$G14),IF(OR(CH$3=$D14,CH$3=$AC14,CH$3=$AE14),"",IF(CH$3=$AD14,$F14&amp;"R",CH13))))</f>
        <v>bP</v>
      </c>
      <c r="CI14" s="11" t="str">
        <f aca="false">IF($P14=0,CI13,IF(CI$3=$E14,IF($AA14=1,$F14&amp;$AB14,$G14),IF(OR(CI$3=$D14,CI$3=$AC14,CI$3=$AE14),"",IF(CI$3=$AD14,$F14&amp;"R",CI13))))</f>
        <v>bP</v>
      </c>
      <c r="CJ14" s="11" t="str">
        <f aca="false">IF($P14=0,CJ13,IF(CJ$3=$E14,IF($AA14=1,$F14&amp;$AB14,$G14),IF(OR(CJ$3=$D14,CJ$3=$AC14,CJ$3=$AE14),"",IF(CJ$3=$AD14,$F14&amp;"R",CJ13))))</f>
        <v>bP</v>
      </c>
      <c r="CK14" s="11" t="str">
        <f aca="false">IF($P14=0,CK13,IF(CK$3=$E14,IF($AA14=1,$F14&amp;$AB14,$G14),IF(OR(CK$3=$D14,CK$3=$AC14,CK$3=$AE14),"",IF(CK$3=$AD14,$F14&amp;"R",CK13))))</f>
        <v>bP</v>
      </c>
      <c r="CL14" s="11" t="str">
        <f aca="false">IF($P14=0,CL13,IF(CL$3=$E14,IF($AA14=1,$F14&amp;$AB14,$G14),IF(OR(CL$3=$D14,CL$3=$AC14,CL$3=$AE14),"",IF(CL$3=$AD14,$F14&amp;"R",CL13))))</f>
        <v>bR</v>
      </c>
      <c r="CM14" s="11" t="str">
        <f aca="false">IF($P14=0,CM13,IF(CM$3=$E14,IF($AA14=1,$F14&amp;$AB14,$G14),IF(OR(CM$3=$D14,CM$3=$AC14,CM$3=$AE14),"",IF(CM$3=$AD14,$F14&amp;"R",CM13))))</f>
        <v>bN</v>
      </c>
      <c r="CN14" s="11" t="str">
        <f aca="false">IF($P14=0,CN13,IF(CN$3=$E14,IF($AA14=1,$F14&amp;$AB14,$G14),IF(OR(CN$3=$D14,CN$3=$AC14,CN$3=$AE14),"",IF(CN$3=$AD14,$F14&amp;"R",CN13))))</f>
        <v>bB</v>
      </c>
      <c r="CO14" s="11" t="str">
        <f aca="false">IF($P14=0,CO13,IF(CO$3=$E14,IF($AA14=1,$F14&amp;$AB14,$G14),IF(OR(CO$3=$D14,CO$3=$AC14,CO$3=$AE14),"",IF(CO$3=$AD14,$F14&amp;"R",CO13))))</f>
        <v>bQ</v>
      </c>
      <c r="CP14" s="11" t="str">
        <f aca="false">IF($P14=0,CP13,IF(CP$3=$E14,IF($AA14=1,$F14&amp;$AB14,$G14),IF(OR(CP$3=$D14,CP$3=$AC14,CP$3=$AE14),"",IF(CP$3=$AD14,$F14&amp;"R",CP13))))</f>
        <v>bK</v>
      </c>
      <c r="CQ14" s="11" t="str">
        <f aca="false">IF($P14=0,CQ13,IF(CQ$3=$E14,IF($AA14=1,$F14&amp;$AB14,$G14),IF(OR(CQ$3=$D14,CQ$3=$AC14,CQ$3=$AE14),"",IF(CQ$3=$AD14,$F14&amp;"R",CQ13))))</f>
        <v>bB</v>
      </c>
      <c r="CR14" s="11" t="str">
        <f aca="false">IF($P14=0,CR13,IF(CR$3=$E14,IF($AA14=1,$F14&amp;$AB14,$G14),IF(OR(CR$3=$D14,CR$3=$AC14,CR$3=$AE14),"",IF(CR$3=$AD14,$F14&amp;"R",CR13))))</f>
        <v>bN</v>
      </c>
      <c r="CS14" s="11" t="str">
        <f aca="false">IF($P14=0,CS13,IF(CS$3=$E14,IF($AA14=1,$F14&amp;$AB14,$G14),IF(OR(CS$3=$D14,CS$3=$AC14,CS$3=$AE14),"",IF(CS$3=$AD14,$F14&amp;"R",CS13))))</f>
        <v>bR</v>
      </c>
      <c r="CT14" s="11"/>
      <c r="CU14" s="11"/>
      <c r="CV14" s="11"/>
    </row>
    <row r="15" customFormat="false" ht="15" hidden="false" customHeight="false" outlineLevel="0" collapsed="false">
      <c r="A15" s="11" t="n">
        <v>10</v>
      </c>
      <c r="B15" s="11" t="str">
        <f aca="false">IF(Chess!$L$19="","",Chess!$L$19&amp;"")</f>
        <v/>
      </c>
      <c r="C15" s="11" t="str">
        <f aca="false">LOWER(SUBSTITUTE(SUBSTITUTE(SUBSTITUTE(SUBSTITUTE(TRIM($B15),"-",""),"=","")," ",""),"x",""))</f>
        <v/>
      </c>
      <c r="D15" s="11" t="n">
        <f aca="false">IF(LEN($C15)&lt;4,0,IFERROR(IF(AND(CODE(MID($C15,1,1))&gt;=97,CODE(MID($C15,1,1))&lt;=104,VALUE(MID($C15,2,1))&gt;=1,VALUE(MID($C15,2,1))&lt;=8),(VALUE(MID($C15,2,1))-1)*8+CODE(MID($C15,1,1))-96,0),0))</f>
        <v>0</v>
      </c>
      <c r="E15" s="11" t="n">
        <f aca="false">IF(LEN($C15)&lt;4,0,IFERROR(IF(AND(CODE(MID($C15,3,1))&gt;=97,CODE(MID($C15,3,1))&lt;=104,VALUE(MID($C15,4,1))&gt;=1,VALUE(MID($C15,4,1))&lt;=8),(VALUE(MID($C15,4,1))-1)*8+CODE(MID($C15,3,1))-96,0),0))</f>
        <v>0</v>
      </c>
      <c r="F15" s="11" t="str">
        <f aca="false">IF(MOD(SUM($P$5:$P14),2)=0,"w","b")</f>
        <v>w</v>
      </c>
      <c r="G15" s="11" t="str">
        <f aca="false">IF($D15=0,"",INDEX($AH14:$CS14,1,$D15)&amp;"")</f>
        <v/>
      </c>
      <c r="H15" s="11" t="str">
        <f aca="false">IF($E15=0,"",INDEX($AH14:$CS14,1,$E15)&amp;"")</f>
        <v/>
      </c>
      <c r="I15" s="11" t="n">
        <f aca="false">IF(OR($D15=0,$E15=0),0,MOD($E15-1,8)-MOD($D15-1,8))</f>
        <v>0</v>
      </c>
      <c r="J15" s="11" t="n">
        <f aca="false">IF(OR($D15=0,$E15=0),0,INT(($E15-1)/8)-INT(($D15-1)/8))</f>
        <v>0</v>
      </c>
      <c r="K15" s="11" t="str">
        <f aca="false">IF($G15="","",RIGHT($G15,1))</f>
        <v/>
      </c>
      <c r="L15" s="11" t="n">
        <f aca="false">IF(OR($D15=0,$E15=0),0,SUMPRODUCT(($AH$3:$CS$3&gt;MIN($D15,$E15))*($AH$3:$CS$3&lt;MAX($D15,$E15))*(MOD($AH$3:$CS$3-MIN($D15,$E15),MAX(1,ABS(SIGN($J15)*8+SIGN($I15))))=0)*($AH14:$CS14&lt;&gt;"")))</f>
        <v>0</v>
      </c>
      <c r="M15" s="11" t="n">
        <f aca="false">IF($K15&lt;&gt;"K",0,IFERROR(--AND($J15=0,ABS($I15)=2,$D15=IF($F15="w",5,61),IF($F15="w",$S14,$V14)=0,IF($I15=2,AND(IF($F15="w",$U14,$X14)=0,INDEX($AH14:$CS14,1,$D15+1)&amp;""="",INDEX($AH14:$CS14,1,$D15+2)&amp;""=""),AND(IF($F15="w",$T14,$W14)=0,INDEX($AH14:$CS14,1,$D15-1)&amp;""="",INDEX($AH14:$CS14,1,$D15-2)&amp;""="",INDEX($AH14:$CS14,1,$D15-3)&amp;""=""))),0))</f>
        <v>0</v>
      </c>
      <c r="N15" s="11" t="n">
        <f aca="false">IF($K15&lt;&gt;"P",0,IFERROR(--OR(AND($I15=0,$J15=IF($F15="w",1,-1),$H15=""),AND($I15=0,$J15=2*IF($F15="w",1,-1),$H15="",INT(($D15-1)/8)=IF($F15="w",1,6),INDEX($AH14:$CS14,1,MAX(1,MIN(64,$D15+8*IF($F15="w",1,-1))))&amp;""=""),AND(ABS($I15)=1,$J15=IF($F15="w",1,-1),$H15&lt;&gt;""),AND(ABS($I15)=1,$J15=IF($F15="w",1,-1),$H15="",$R14&gt;0,$E15=$R14)),0))</f>
        <v>0</v>
      </c>
      <c r="O15" s="11" t="n">
        <f aca="false">IF(OR($D15=0,$E15=0,$G15=""),0,IF($K15="N",--OR(AND(ABS($I15)=1,ABS($J15)=2),AND(ABS($I15)=2,ABS($J15)=1)),IF($K15="B",--AND(ABS($I15)=ABS($J15),$I15&lt;&gt;0,$L15=0),IF($K15="R",--AND(OR($I15=0,$J15=0),OR($I15&lt;&gt;0,$J15&lt;&gt;0),$L15=0),IF($K15="Q",--AND(OR(AND(ABS($I15)=ABS($J15),$I15&lt;&gt;0),AND(OR($I15=0,$J15=0),OR($I15&lt;&gt;0,$J15&lt;&gt;0))),$L15=0),IF($K15="K",--OR(MAX(ABS($I15),ABS($J15))=1,$M15=1),$N15))))))</f>
        <v>0</v>
      </c>
      <c r="P15" s="11" t="n">
        <f aca="false">IF($Q15="OK",1,0)</f>
        <v>0</v>
      </c>
      <c r="Q15" s="11" t="str">
        <f aca="false">IF($B15="","",IF(OR(COUNTIF($AH14:$CS14,"wK")=0,COUNTIF($AH14:$CS14,"bK")=0),"Game is over",IF(OR($D15=0,$E15=0),"Use the format e2e4",IF($G15="","No piece on that square",IF(LEFT($G15,1)&lt;&gt;$F15,"Not your piece ("&amp;IF($F15="w","White","Black")&amp;" to move)",IF($D15=$E15,"Piece must move",IF(AND($H15&lt;&gt;"",LEFT($H15,1)=$F15),"Cannot capture your own piece",IF($O15=0,"Illegal move for that piece (or path blocked)","OK"))))))))</f>
        <v/>
      </c>
      <c r="R15" s="11" t="n">
        <f aca="false">IF($P15=1,IF(AND($K15="P",ABS($J15)=2),($D15+$E15)/2,0),$R14)</f>
        <v>0</v>
      </c>
      <c r="S15" s="12" t="b">
        <f aca="false">--OR($S14=1,AND($P15=1,OR($D15=5,$E15=5)))</f>
        <v>0</v>
      </c>
      <c r="T15" s="12" t="b">
        <f aca="false">--OR($T14=1,AND($P15=1,OR($D15=1,$E15=1)))</f>
        <v>0</v>
      </c>
      <c r="U15" s="12" t="b">
        <f aca="false">--OR($U14=1,AND($P15=1,OR($D15=8,$E15=8)))</f>
        <v>0</v>
      </c>
      <c r="V15" s="12" t="b">
        <f aca="false">--OR($V14=1,AND($P15=1,OR($D15=61,$E15=61)))</f>
        <v>0</v>
      </c>
      <c r="W15" s="12" t="b">
        <f aca="false">--OR($W14=1,AND($P15=1,OR($D15=57,$E15=57)))</f>
        <v>0</v>
      </c>
      <c r="X15" s="12" t="b">
        <f aca="false">--OR($X14=1,AND($P15=1,OR($D15=64,$E15=64)))</f>
        <v>0</v>
      </c>
      <c r="Y15" s="12" t="b">
        <f aca="false">--AND($P15=1,$K15="K",ABS($I15)=2)</f>
        <v>0</v>
      </c>
      <c r="Z15" s="12" t="b">
        <f aca="false">--AND($P15=1,$K15="P",ABS($I15)=1,$H15="")</f>
        <v>0</v>
      </c>
      <c r="AA15" s="12" t="b">
        <f aca="false">--AND($P15=1,$K15="P",INT(($E15-1)/8)=IF($F15="w",7,0))</f>
        <v>0</v>
      </c>
      <c r="AB15" s="11" t="str">
        <f aca="false">IF(LEN($C15)&gt;=5,IF(ISNUMBER(FIND(MID($C15,5,1),"qrbn")),UPPER(MID($C15,5,1)),"Q"),"Q")</f>
        <v>Q</v>
      </c>
      <c r="AC15" s="11" t="n">
        <f aca="false">IF($Y15=1,IF($I15=2,$D15+3,$D15-4),0)</f>
        <v>0</v>
      </c>
      <c r="AD15" s="11" t="n">
        <f aca="false">IF($Y15=1,IF($I15=2,$D15+1,$D15-1),0)</f>
        <v>0</v>
      </c>
      <c r="AE15" s="11" t="n">
        <f aca="false">IF($Z15=1,$E15-8*IF($F15="w",1,-1),0)</f>
        <v>0</v>
      </c>
      <c r="AF15" s="11" t="str">
        <f aca="false">IF($B15="","",IF($P15=1,LOWER(INDEX($CV$2:$CV$13,MATCH($G15,$CU$2:$CU$13,0)))&amp;" "&amp;MID("abcdefgh",MOD($D15-1,8)+1,1)&amp;(INT(($D15-1)/8)+1)&amp;"→"&amp;MID("abcdefgh",MOD($E15-1,8)+1,1)&amp;(INT(($E15-1)/8)+1)&amp;IF(OR($H15&lt;&gt;"",$Z15=1)," ×","")&amp;IF($Y15=1," castles","")&amp;IF($Z15=1," e.p.","")&amp;IF($AA15=1," =" &amp;LOWER(INDEX($CV$2:$CV$13,MATCH($F15&amp;$AB15,$CU$2:$CU$13,0))),""),"X "&amp;$Q15))</f>
        <v/>
      </c>
      <c r="AG15" s="11"/>
      <c r="AH15" s="11" t="str">
        <f aca="false">IF($P15=0,AH14,IF(AH$3=$E15,IF($AA15=1,$F15&amp;$AB15,$G15),IF(OR(AH$3=$D15,AH$3=$AC15,AH$3=$AE15),"",IF(AH$3=$AD15,$F15&amp;"R",AH14))))</f>
        <v>wR</v>
      </c>
      <c r="AI15" s="11" t="str">
        <f aca="false">IF($P15=0,AI14,IF(AI$3=$E15,IF($AA15=1,$F15&amp;$AB15,$G15),IF(OR(AI$3=$D15,AI$3=$AC15,AI$3=$AE15),"",IF(AI$3=$AD15,$F15&amp;"R",AI14))))</f>
        <v>wN</v>
      </c>
      <c r="AJ15" s="11" t="str">
        <f aca="false">IF($P15=0,AJ14,IF(AJ$3=$E15,IF($AA15=1,$F15&amp;$AB15,$G15),IF(OR(AJ$3=$D15,AJ$3=$AC15,AJ$3=$AE15),"",IF(AJ$3=$AD15,$F15&amp;"R",AJ14))))</f>
        <v>wB</v>
      </c>
      <c r="AK15" s="11" t="str">
        <f aca="false">IF($P15=0,AK14,IF(AK$3=$E15,IF($AA15=1,$F15&amp;$AB15,$G15),IF(OR(AK$3=$D15,AK$3=$AC15,AK$3=$AE15),"",IF(AK$3=$AD15,$F15&amp;"R",AK14))))</f>
        <v>wQ</v>
      </c>
      <c r="AL15" s="11" t="str">
        <f aca="false">IF($P15=0,AL14,IF(AL$3=$E15,IF($AA15=1,$F15&amp;$AB15,$G15),IF(OR(AL$3=$D15,AL$3=$AC15,AL$3=$AE15),"",IF(AL$3=$AD15,$F15&amp;"R",AL14))))</f>
        <v>wK</v>
      </c>
      <c r="AM15" s="11" t="str">
        <f aca="false">IF($P15=0,AM14,IF(AM$3=$E15,IF($AA15=1,$F15&amp;$AB15,$G15),IF(OR(AM$3=$D15,AM$3=$AC15,AM$3=$AE15),"",IF(AM$3=$AD15,$F15&amp;"R",AM14))))</f>
        <v>wB</v>
      </c>
      <c r="AN15" s="11" t="str">
        <f aca="false">IF($P15=0,AN14,IF(AN$3=$E15,IF($AA15=1,$F15&amp;$AB15,$G15),IF(OR(AN$3=$D15,AN$3=$AC15,AN$3=$AE15),"",IF(AN$3=$AD15,$F15&amp;"R",AN14))))</f>
        <v>wN</v>
      </c>
      <c r="AO15" s="11" t="str">
        <f aca="false">IF($P15=0,AO14,IF(AO$3=$E15,IF($AA15=1,$F15&amp;$AB15,$G15),IF(OR(AO$3=$D15,AO$3=$AC15,AO$3=$AE15),"",IF(AO$3=$AD15,$F15&amp;"R",AO14))))</f>
        <v>wR</v>
      </c>
      <c r="AP15" s="11" t="str">
        <f aca="false">IF($P15=0,AP14,IF(AP$3=$E15,IF($AA15=1,$F15&amp;$AB15,$G15),IF(OR(AP$3=$D15,AP$3=$AC15,AP$3=$AE15),"",IF(AP$3=$AD15,$F15&amp;"R",AP14))))</f>
        <v>wP</v>
      </c>
      <c r="AQ15" s="11" t="str">
        <f aca="false">IF($P15=0,AQ14,IF(AQ$3=$E15,IF($AA15=1,$F15&amp;$AB15,$G15),IF(OR(AQ$3=$D15,AQ$3=$AC15,AQ$3=$AE15),"",IF(AQ$3=$AD15,$F15&amp;"R",AQ14))))</f>
        <v>wP</v>
      </c>
      <c r="AR15" s="11" t="str">
        <f aca="false">IF($P15=0,AR14,IF(AR$3=$E15,IF($AA15=1,$F15&amp;$AB15,$G15),IF(OR(AR$3=$D15,AR$3=$AC15,AR$3=$AE15),"",IF(AR$3=$AD15,$F15&amp;"R",AR14))))</f>
        <v>wP</v>
      </c>
      <c r="AS15" s="11" t="str">
        <f aca="false">IF($P15=0,AS14,IF(AS$3=$E15,IF($AA15=1,$F15&amp;$AB15,$G15),IF(OR(AS$3=$D15,AS$3=$AC15,AS$3=$AE15),"",IF(AS$3=$AD15,$F15&amp;"R",AS14))))</f>
        <v>wP</v>
      </c>
      <c r="AT15" s="11" t="str">
        <f aca="false">IF($P15=0,AT14,IF(AT$3=$E15,IF($AA15=1,$F15&amp;$AB15,$G15),IF(OR(AT$3=$D15,AT$3=$AC15,AT$3=$AE15),"",IF(AT$3=$AD15,$F15&amp;"R",AT14))))</f>
        <v>wP</v>
      </c>
      <c r="AU15" s="11" t="str">
        <f aca="false">IF($P15=0,AU14,IF(AU$3=$E15,IF($AA15=1,$F15&amp;$AB15,$G15),IF(OR(AU$3=$D15,AU$3=$AC15,AU$3=$AE15),"",IF(AU$3=$AD15,$F15&amp;"R",AU14))))</f>
        <v>wP</v>
      </c>
      <c r="AV15" s="11" t="str">
        <f aca="false">IF($P15=0,AV14,IF(AV$3=$E15,IF($AA15=1,$F15&amp;$AB15,$G15),IF(OR(AV$3=$D15,AV$3=$AC15,AV$3=$AE15),"",IF(AV$3=$AD15,$F15&amp;"R",AV14))))</f>
        <v>wP</v>
      </c>
      <c r="AW15" s="11" t="str">
        <f aca="false">IF($P15=0,AW14,IF(AW$3=$E15,IF($AA15=1,$F15&amp;$AB15,$G15),IF(OR(AW$3=$D15,AW$3=$AC15,AW$3=$AE15),"",IF(AW$3=$AD15,$F15&amp;"R",AW14))))</f>
        <v>wP</v>
      </c>
      <c r="AX15" s="11" t="str">
        <f aca="false">IF($P15=0,AX14,IF(AX$3=$E15,IF($AA15=1,$F15&amp;$AB15,$G15),IF(OR(AX$3=$D15,AX$3=$AC15,AX$3=$AE15),"",IF(AX$3=$AD15,$F15&amp;"R",AX14))))</f>
        <v/>
      </c>
      <c r="AY15" s="11" t="str">
        <f aca="false">IF($P15=0,AY14,IF(AY$3=$E15,IF($AA15=1,$F15&amp;$AB15,$G15),IF(OR(AY$3=$D15,AY$3=$AC15,AY$3=$AE15),"",IF(AY$3=$AD15,$F15&amp;"R",AY14))))</f>
        <v/>
      </c>
      <c r="AZ15" s="11" t="str">
        <f aca="false">IF($P15=0,AZ14,IF(AZ$3=$E15,IF($AA15=1,$F15&amp;$AB15,$G15),IF(OR(AZ$3=$D15,AZ$3=$AC15,AZ$3=$AE15),"",IF(AZ$3=$AD15,$F15&amp;"R",AZ14))))</f>
        <v/>
      </c>
      <c r="BA15" s="11" t="str">
        <f aca="false">IF($P15=0,BA14,IF(BA$3=$E15,IF($AA15=1,$F15&amp;$AB15,$G15),IF(OR(BA$3=$D15,BA$3=$AC15,BA$3=$AE15),"",IF(BA$3=$AD15,$F15&amp;"R",BA14))))</f>
        <v/>
      </c>
      <c r="BB15" s="11" t="str">
        <f aca="false">IF($P15=0,BB14,IF(BB$3=$E15,IF($AA15=1,$F15&amp;$AB15,$G15),IF(OR(BB$3=$D15,BB$3=$AC15,BB$3=$AE15),"",IF(BB$3=$AD15,$F15&amp;"R",BB14))))</f>
        <v/>
      </c>
      <c r="BC15" s="11" t="str">
        <f aca="false">IF($P15=0,BC14,IF(BC$3=$E15,IF($AA15=1,$F15&amp;$AB15,$G15),IF(OR(BC$3=$D15,BC$3=$AC15,BC$3=$AE15),"",IF(BC$3=$AD15,$F15&amp;"R",BC14))))</f>
        <v/>
      </c>
      <c r="BD15" s="11" t="str">
        <f aca="false">IF($P15=0,BD14,IF(BD$3=$E15,IF($AA15=1,$F15&amp;$AB15,$G15),IF(OR(BD$3=$D15,BD$3=$AC15,BD$3=$AE15),"",IF(BD$3=$AD15,$F15&amp;"R",BD14))))</f>
        <v/>
      </c>
      <c r="BE15" s="11" t="str">
        <f aca="false">IF($P15=0,BE14,IF(BE$3=$E15,IF($AA15=1,$F15&amp;$AB15,$G15),IF(OR(BE$3=$D15,BE$3=$AC15,BE$3=$AE15),"",IF(BE$3=$AD15,$F15&amp;"R",BE14))))</f>
        <v/>
      </c>
      <c r="BF15" s="11" t="str">
        <f aca="false">IF($P15=0,BF14,IF(BF$3=$E15,IF($AA15=1,$F15&amp;$AB15,$G15),IF(OR(BF$3=$D15,BF$3=$AC15,BF$3=$AE15),"",IF(BF$3=$AD15,$F15&amp;"R",BF14))))</f>
        <v/>
      </c>
      <c r="BG15" s="11" t="str">
        <f aca="false">IF($P15=0,BG14,IF(BG$3=$E15,IF($AA15=1,$F15&amp;$AB15,$G15),IF(OR(BG$3=$D15,BG$3=$AC15,BG$3=$AE15),"",IF(BG$3=$AD15,$F15&amp;"R",BG14))))</f>
        <v/>
      </c>
      <c r="BH15" s="11" t="str">
        <f aca="false">IF($P15=0,BH14,IF(BH$3=$E15,IF($AA15=1,$F15&amp;$AB15,$G15),IF(OR(BH$3=$D15,BH$3=$AC15,BH$3=$AE15),"",IF(BH$3=$AD15,$F15&amp;"R",BH14))))</f>
        <v/>
      </c>
      <c r="BI15" s="11" t="str">
        <f aca="false">IF($P15=0,BI14,IF(BI$3=$E15,IF($AA15=1,$F15&amp;$AB15,$G15),IF(OR(BI$3=$D15,BI$3=$AC15,BI$3=$AE15),"",IF(BI$3=$AD15,$F15&amp;"R",BI14))))</f>
        <v/>
      </c>
      <c r="BJ15" s="11" t="str">
        <f aca="false">IF($P15=0,BJ14,IF(BJ$3=$E15,IF($AA15=1,$F15&amp;$AB15,$G15),IF(OR(BJ$3=$D15,BJ$3=$AC15,BJ$3=$AE15),"",IF(BJ$3=$AD15,$F15&amp;"R",BJ14))))</f>
        <v/>
      </c>
      <c r="BK15" s="11" t="str">
        <f aca="false">IF($P15=0,BK14,IF(BK$3=$E15,IF($AA15=1,$F15&amp;$AB15,$G15),IF(OR(BK$3=$D15,BK$3=$AC15,BK$3=$AE15),"",IF(BK$3=$AD15,$F15&amp;"R",BK14))))</f>
        <v/>
      </c>
      <c r="BL15" s="11" t="str">
        <f aca="false">IF($P15=0,BL14,IF(BL$3=$E15,IF($AA15=1,$F15&amp;$AB15,$G15),IF(OR(BL$3=$D15,BL$3=$AC15,BL$3=$AE15),"",IF(BL$3=$AD15,$F15&amp;"R",BL14))))</f>
        <v/>
      </c>
      <c r="BM15" s="11" t="str">
        <f aca="false">IF($P15=0,BM14,IF(BM$3=$E15,IF($AA15=1,$F15&amp;$AB15,$G15),IF(OR(BM$3=$D15,BM$3=$AC15,BM$3=$AE15),"",IF(BM$3=$AD15,$F15&amp;"R",BM14))))</f>
        <v/>
      </c>
      <c r="BN15" s="11" t="str">
        <f aca="false">IF($P15=0,BN14,IF(BN$3=$E15,IF($AA15=1,$F15&amp;$AB15,$G15),IF(OR(BN$3=$D15,BN$3=$AC15,BN$3=$AE15),"",IF(BN$3=$AD15,$F15&amp;"R",BN14))))</f>
        <v/>
      </c>
      <c r="BO15" s="11" t="str">
        <f aca="false">IF($P15=0,BO14,IF(BO$3=$E15,IF($AA15=1,$F15&amp;$AB15,$G15),IF(OR(BO$3=$D15,BO$3=$AC15,BO$3=$AE15),"",IF(BO$3=$AD15,$F15&amp;"R",BO14))))</f>
        <v/>
      </c>
      <c r="BP15" s="11" t="str">
        <f aca="false">IF($P15=0,BP14,IF(BP$3=$E15,IF($AA15=1,$F15&amp;$AB15,$G15),IF(OR(BP$3=$D15,BP$3=$AC15,BP$3=$AE15),"",IF(BP$3=$AD15,$F15&amp;"R",BP14))))</f>
        <v/>
      </c>
      <c r="BQ15" s="11" t="str">
        <f aca="false">IF($P15=0,BQ14,IF(BQ$3=$E15,IF($AA15=1,$F15&amp;$AB15,$G15),IF(OR(BQ$3=$D15,BQ$3=$AC15,BQ$3=$AE15),"",IF(BQ$3=$AD15,$F15&amp;"R",BQ14))))</f>
        <v/>
      </c>
      <c r="BR15" s="11" t="str">
        <f aca="false">IF($P15=0,BR14,IF(BR$3=$E15,IF($AA15=1,$F15&amp;$AB15,$G15),IF(OR(BR$3=$D15,BR$3=$AC15,BR$3=$AE15),"",IF(BR$3=$AD15,$F15&amp;"R",BR14))))</f>
        <v/>
      </c>
      <c r="BS15" s="11" t="str">
        <f aca="false">IF($P15=0,BS14,IF(BS$3=$E15,IF($AA15=1,$F15&amp;$AB15,$G15),IF(OR(BS$3=$D15,BS$3=$AC15,BS$3=$AE15),"",IF(BS$3=$AD15,$F15&amp;"R",BS14))))</f>
        <v/>
      </c>
      <c r="BT15" s="11" t="str">
        <f aca="false">IF($P15=0,BT14,IF(BT$3=$E15,IF($AA15=1,$F15&amp;$AB15,$G15),IF(OR(BT$3=$D15,BT$3=$AC15,BT$3=$AE15),"",IF(BT$3=$AD15,$F15&amp;"R",BT14))))</f>
        <v/>
      </c>
      <c r="BU15" s="11" t="str">
        <f aca="false">IF($P15=0,BU14,IF(BU$3=$E15,IF($AA15=1,$F15&amp;$AB15,$G15),IF(OR(BU$3=$D15,BU$3=$AC15,BU$3=$AE15),"",IF(BU$3=$AD15,$F15&amp;"R",BU14))))</f>
        <v/>
      </c>
      <c r="BV15" s="11" t="str">
        <f aca="false">IF($P15=0,BV14,IF(BV$3=$E15,IF($AA15=1,$F15&amp;$AB15,$G15),IF(OR(BV$3=$D15,BV$3=$AC15,BV$3=$AE15),"",IF(BV$3=$AD15,$F15&amp;"R",BV14))))</f>
        <v/>
      </c>
      <c r="BW15" s="11" t="str">
        <f aca="false">IF($P15=0,BW14,IF(BW$3=$E15,IF($AA15=1,$F15&amp;$AB15,$G15),IF(OR(BW$3=$D15,BW$3=$AC15,BW$3=$AE15),"",IF(BW$3=$AD15,$F15&amp;"R",BW14))))</f>
        <v/>
      </c>
      <c r="BX15" s="11" t="str">
        <f aca="false">IF($P15=0,BX14,IF(BX$3=$E15,IF($AA15=1,$F15&amp;$AB15,$G15),IF(OR(BX$3=$D15,BX$3=$AC15,BX$3=$AE15),"",IF(BX$3=$AD15,$F15&amp;"R",BX14))))</f>
        <v/>
      </c>
      <c r="BY15" s="11" t="str">
        <f aca="false">IF($P15=0,BY14,IF(BY$3=$E15,IF($AA15=1,$F15&amp;$AB15,$G15),IF(OR(BY$3=$D15,BY$3=$AC15,BY$3=$AE15),"",IF(BY$3=$AD15,$F15&amp;"R",BY14))))</f>
        <v/>
      </c>
      <c r="BZ15" s="11" t="str">
        <f aca="false">IF($P15=0,BZ14,IF(BZ$3=$E15,IF($AA15=1,$F15&amp;$AB15,$G15),IF(OR(BZ$3=$D15,BZ$3=$AC15,BZ$3=$AE15),"",IF(BZ$3=$AD15,$F15&amp;"R",BZ14))))</f>
        <v/>
      </c>
      <c r="CA15" s="11" t="str">
        <f aca="false">IF($P15=0,CA14,IF(CA$3=$E15,IF($AA15=1,$F15&amp;$AB15,$G15),IF(OR(CA$3=$D15,CA$3=$AC15,CA$3=$AE15),"",IF(CA$3=$AD15,$F15&amp;"R",CA14))))</f>
        <v/>
      </c>
      <c r="CB15" s="11" t="str">
        <f aca="false">IF($P15=0,CB14,IF(CB$3=$E15,IF($AA15=1,$F15&amp;$AB15,$G15),IF(OR(CB$3=$D15,CB$3=$AC15,CB$3=$AE15),"",IF(CB$3=$AD15,$F15&amp;"R",CB14))))</f>
        <v/>
      </c>
      <c r="CC15" s="11" t="str">
        <f aca="false">IF($P15=0,CC14,IF(CC$3=$E15,IF($AA15=1,$F15&amp;$AB15,$G15),IF(OR(CC$3=$D15,CC$3=$AC15,CC$3=$AE15),"",IF(CC$3=$AD15,$F15&amp;"R",CC14))))</f>
        <v/>
      </c>
      <c r="CD15" s="11" t="str">
        <f aca="false">IF($P15=0,CD14,IF(CD$3=$E15,IF($AA15=1,$F15&amp;$AB15,$G15),IF(OR(CD$3=$D15,CD$3=$AC15,CD$3=$AE15),"",IF(CD$3=$AD15,$F15&amp;"R",CD14))))</f>
        <v>bP</v>
      </c>
      <c r="CE15" s="11" t="str">
        <f aca="false">IF($P15=0,CE14,IF(CE$3=$E15,IF($AA15=1,$F15&amp;$AB15,$G15),IF(OR(CE$3=$D15,CE$3=$AC15,CE$3=$AE15),"",IF(CE$3=$AD15,$F15&amp;"R",CE14))))</f>
        <v>bP</v>
      </c>
      <c r="CF15" s="11" t="str">
        <f aca="false">IF($P15=0,CF14,IF(CF$3=$E15,IF($AA15=1,$F15&amp;$AB15,$G15),IF(OR(CF$3=$D15,CF$3=$AC15,CF$3=$AE15),"",IF(CF$3=$AD15,$F15&amp;"R",CF14))))</f>
        <v>bP</v>
      </c>
      <c r="CG15" s="11" t="str">
        <f aca="false">IF($P15=0,CG14,IF(CG$3=$E15,IF($AA15=1,$F15&amp;$AB15,$G15),IF(OR(CG$3=$D15,CG$3=$AC15,CG$3=$AE15),"",IF(CG$3=$AD15,$F15&amp;"R",CG14))))</f>
        <v>bP</v>
      </c>
      <c r="CH15" s="11" t="str">
        <f aca="false">IF($P15=0,CH14,IF(CH$3=$E15,IF($AA15=1,$F15&amp;$AB15,$G15),IF(OR(CH$3=$D15,CH$3=$AC15,CH$3=$AE15),"",IF(CH$3=$AD15,$F15&amp;"R",CH14))))</f>
        <v>bP</v>
      </c>
      <c r="CI15" s="11" t="str">
        <f aca="false">IF($P15=0,CI14,IF(CI$3=$E15,IF($AA15=1,$F15&amp;$AB15,$G15),IF(OR(CI$3=$D15,CI$3=$AC15,CI$3=$AE15),"",IF(CI$3=$AD15,$F15&amp;"R",CI14))))</f>
        <v>bP</v>
      </c>
      <c r="CJ15" s="11" t="str">
        <f aca="false">IF($P15=0,CJ14,IF(CJ$3=$E15,IF($AA15=1,$F15&amp;$AB15,$G15),IF(OR(CJ$3=$D15,CJ$3=$AC15,CJ$3=$AE15),"",IF(CJ$3=$AD15,$F15&amp;"R",CJ14))))</f>
        <v>bP</v>
      </c>
      <c r="CK15" s="11" t="str">
        <f aca="false">IF($P15=0,CK14,IF(CK$3=$E15,IF($AA15=1,$F15&amp;$AB15,$G15),IF(OR(CK$3=$D15,CK$3=$AC15,CK$3=$AE15),"",IF(CK$3=$AD15,$F15&amp;"R",CK14))))</f>
        <v>bP</v>
      </c>
      <c r="CL15" s="11" t="str">
        <f aca="false">IF($P15=0,CL14,IF(CL$3=$E15,IF($AA15=1,$F15&amp;$AB15,$G15),IF(OR(CL$3=$D15,CL$3=$AC15,CL$3=$AE15),"",IF(CL$3=$AD15,$F15&amp;"R",CL14))))</f>
        <v>bR</v>
      </c>
      <c r="CM15" s="11" t="str">
        <f aca="false">IF($P15=0,CM14,IF(CM$3=$E15,IF($AA15=1,$F15&amp;$AB15,$G15),IF(OR(CM$3=$D15,CM$3=$AC15,CM$3=$AE15),"",IF(CM$3=$AD15,$F15&amp;"R",CM14))))</f>
        <v>bN</v>
      </c>
      <c r="CN15" s="11" t="str">
        <f aca="false">IF($P15=0,CN14,IF(CN$3=$E15,IF($AA15=1,$F15&amp;$AB15,$G15),IF(OR(CN$3=$D15,CN$3=$AC15,CN$3=$AE15),"",IF(CN$3=$AD15,$F15&amp;"R",CN14))))</f>
        <v>bB</v>
      </c>
      <c r="CO15" s="11" t="str">
        <f aca="false">IF($P15=0,CO14,IF(CO$3=$E15,IF($AA15=1,$F15&amp;$AB15,$G15),IF(OR(CO$3=$D15,CO$3=$AC15,CO$3=$AE15),"",IF(CO$3=$AD15,$F15&amp;"R",CO14))))</f>
        <v>bQ</v>
      </c>
      <c r="CP15" s="11" t="str">
        <f aca="false">IF($P15=0,CP14,IF(CP$3=$E15,IF($AA15=1,$F15&amp;$AB15,$G15),IF(OR(CP$3=$D15,CP$3=$AC15,CP$3=$AE15),"",IF(CP$3=$AD15,$F15&amp;"R",CP14))))</f>
        <v>bK</v>
      </c>
      <c r="CQ15" s="11" t="str">
        <f aca="false">IF($P15=0,CQ14,IF(CQ$3=$E15,IF($AA15=1,$F15&amp;$AB15,$G15),IF(OR(CQ$3=$D15,CQ$3=$AC15,CQ$3=$AE15),"",IF(CQ$3=$AD15,$F15&amp;"R",CQ14))))</f>
        <v>bB</v>
      </c>
      <c r="CR15" s="11" t="str">
        <f aca="false">IF($P15=0,CR14,IF(CR$3=$E15,IF($AA15=1,$F15&amp;$AB15,$G15),IF(OR(CR$3=$D15,CR$3=$AC15,CR$3=$AE15),"",IF(CR$3=$AD15,$F15&amp;"R",CR14))))</f>
        <v>bN</v>
      </c>
      <c r="CS15" s="11" t="str">
        <f aca="false">IF($P15=0,CS14,IF(CS$3=$E15,IF($AA15=1,$F15&amp;$AB15,$G15),IF(OR(CS$3=$D15,CS$3=$AC15,CS$3=$AE15),"",IF(CS$3=$AD15,$F15&amp;"R",CS14))))</f>
        <v>bR</v>
      </c>
      <c r="CT15" s="11"/>
      <c r="CU15" s="11"/>
      <c r="CV15" s="11"/>
    </row>
    <row r="16" customFormat="false" ht="15" hidden="false" customHeight="false" outlineLevel="0" collapsed="false">
      <c r="A16" s="11" t="n">
        <v>11</v>
      </c>
      <c r="B16" s="11" t="str">
        <f aca="false">IF(Chess!$L$20="","",Chess!$L$20&amp;"")</f>
        <v/>
      </c>
      <c r="C16" s="11" t="str">
        <f aca="false">LOWER(SUBSTITUTE(SUBSTITUTE(SUBSTITUTE(SUBSTITUTE(TRIM($B16),"-",""),"=","")," ",""),"x",""))</f>
        <v/>
      </c>
      <c r="D16" s="11" t="n">
        <f aca="false">IF(LEN($C16)&lt;4,0,IFERROR(IF(AND(CODE(MID($C16,1,1))&gt;=97,CODE(MID($C16,1,1))&lt;=104,VALUE(MID($C16,2,1))&gt;=1,VALUE(MID($C16,2,1))&lt;=8),(VALUE(MID($C16,2,1))-1)*8+CODE(MID($C16,1,1))-96,0),0))</f>
        <v>0</v>
      </c>
      <c r="E16" s="11" t="n">
        <f aca="false">IF(LEN($C16)&lt;4,0,IFERROR(IF(AND(CODE(MID($C16,3,1))&gt;=97,CODE(MID($C16,3,1))&lt;=104,VALUE(MID($C16,4,1))&gt;=1,VALUE(MID($C16,4,1))&lt;=8),(VALUE(MID($C16,4,1))-1)*8+CODE(MID($C16,3,1))-96,0),0))</f>
        <v>0</v>
      </c>
      <c r="F16" s="11" t="str">
        <f aca="false">IF(MOD(SUM($P$5:$P15),2)=0,"w","b")</f>
        <v>w</v>
      </c>
      <c r="G16" s="11" t="str">
        <f aca="false">IF($D16=0,"",INDEX($AH15:$CS15,1,$D16)&amp;"")</f>
        <v/>
      </c>
      <c r="H16" s="11" t="str">
        <f aca="false">IF($E16=0,"",INDEX($AH15:$CS15,1,$E16)&amp;"")</f>
        <v/>
      </c>
      <c r="I16" s="11" t="n">
        <f aca="false">IF(OR($D16=0,$E16=0),0,MOD($E16-1,8)-MOD($D16-1,8))</f>
        <v>0</v>
      </c>
      <c r="J16" s="11" t="n">
        <f aca="false">IF(OR($D16=0,$E16=0),0,INT(($E16-1)/8)-INT(($D16-1)/8))</f>
        <v>0</v>
      </c>
      <c r="K16" s="11" t="str">
        <f aca="false">IF($G16="","",RIGHT($G16,1))</f>
        <v/>
      </c>
      <c r="L16" s="11" t="n">
        <f aca="false">IF(OR($D16=0,$E16=0),0,SUMPRODUCT(($AH$3:$CS$3&gt;MIN($D16,$E16))*($AH$3:$CS$3&lt;MAX($D16,$E16))*(MOD($AH$3:$CS$3-MIN($D16,$E16),MAX(1,ABS(SIGN($J16)*8+SIGN($I16))))=0)*($AH15:$CS15&lt;&gt;"")))</f>
        <v>0</v>
      </c>
      <c r="M16" s="11" t="n">
        <f aca="false">IF($K16&lt;&gt;"K",0,IFERROR(--AND($J16=0,ABS($I16)=2,$D16=IF($F16="w",5,61),IF($F16="w",$S15,$V15)=0,IF($I16=2,AND(IF($F16="w",$U15,$X15)=0,INDEX($AH15:$CS15,1,$D16+1)&amp;""="",INDEX($AH15:$CS15,1,$D16+2)&amp;""=""),AND(IF($F16="w",$T15,$W15)=0,INDEX($AH15:$CS15,1,$D16-1)&amp;""="",INDEX($AH15:$CS15,1,$D16-2)&amp;""="",INDEX($AH15:$CS15,1,$D16-3)&amp;""=""))),0))</f>
        <v>0</v>
      </c>
      <c r="N16" s="11" t="n">
        <f aca="false">IF($K16&lt;&gt;"P",0,IFERROR(--OR(AND($I16=0,$J16=IF($F16="w",1,-1),$H16=""),AND($I16=0,$J16=2*IF($F16="w",1,-1),$H16="",INT(($D16-1)/8)=IF($F16="w",1,6),INDEX($AH15:$CS15,1,MAX(1,MIN(64,$D16+8*IF($F16="w",1,-1))))&amp;""=""),AND(ABS($I16)=1,$J16=IF($F16="w",1,-1),$H16&lt;&gt;""),AND(ABS($I16)=1,$J16=IF($F16="w",1,-1),$H16="",$R15&gt;0,$E16=$R15)),0))</f>
        <v>0</v>
      </c>
      <c r="O16" s="11" t="n">
        <f aca="false">IF(OR($D16=0,$E16=0,$G16=""),0,IF($K16="N",--OR(AND(ABS($I16)=1,ABS($J16)=2),AND(ABS($I16)=2,ABS($J16)=1)),IF($K16="B",--AND(ABS($I16)=ABS($J16),$I16&lt;&gt;0,$L16=0),IF($K16="R",--AND(OR($I16=0,$J16=0),OR($I16&lt;&gt;0,$J16&lt;&gt;0),$L16=0),IF($K16="Q",--AND(OR(AND(ABS($I16)=ABS($J16),$I16&lt;&gt;0),AND(OR($I16=0,$J16=0),OR($I16&lt;&gt;0,$J16&lt;&gt;0))),$L16=0),IF($K16="K",--OR(MAX(ABS($I16),ABS($J16))=1,$M16=1),$N16))))))</f>
        <v>0</v>
      </c>
      <c r="P16" s="11" t="n">
        <f aca="false">IF($Q16="OK",1,0)</f>
        <v>0</v>
      </c>
      <c r="Q16" s="11" t="str">
        <f aca="false">IF($B16="","",IF(OR(COUNTIF($AH15:$CS15,"wK")=0,COUNTIF($AH15:$CS15,"bK")=0),"Game is over",IF(OR($D16=0,$E16=0),"Use the format e2e4",IF($G16="","No piece on that square",IF(LEFT($G16,1)&lt;&gt;$F16,"Not your piece ("&amp;IF($F16="w","White","Black")&amp;" to move)",IF($D16=$E16,"Piece must move",IF(AND($H16&lt;&gt;"",LEFT($H16,1)=$F16),"Cannot capture your own piece",IF($O16=0,"Illegal move for that piece (or path blocked)","OK"))))))))</f>
        <v/>
      </c>
      <c r="R16" s="11" t="n">
        <f aca="false">IF($P16=1,IF(AND($K16="P",ABS($J16)=2),($D16+$E16)/2,0),$R15)</f>
        <v>0</v>
      </c>
      <c r="S16" s="12" t="b">
        <f aca="false">--OR($S15=1,AND($P16=1,OR($D16=5,$E16=5)))</f>
        <v>0</v>
      </c>
      <c r="T16" s="12" t="b">
        <f aca="false">--OR($T15=1,AND($P16=1,OR($D16=1,$E16=1)))</f>
        <v>0</v>
      </c>
      <c r="U16" s="12" t="b">
        <f aca="false">--OR($U15=1,AND($P16=1,OR($D16=8,$E16=8)))</f>
        <v>0</v>
      </c>
      <c r="V16" s="12" t="b">
        <f aca="false">--OR($V15=1,AND($P16=1,OR($D16=61,$E16=61)))</f>
        <v>0</v>
      </c>
      <c r="W16" s="12" t="b">
        <f aca="false">--OR($W15=1,AND($P16=1,OR($D16=57,$E16=57)))</f>
        <v>0</v>
      </c>
      <c r="X16" s="12" t="b">
        <f aca="false">--OR($X15=1,AND($P16=1,OR($D16=64,$E16=64)))</f>
        <v>0</v>
      </c>
      <c r="Y16" s="12" t="b">
        <f aca="false">--AND($P16=1,$K16="K",ABS($I16)=2)</f>
        <v>0</v>
      </c>
      <c r="Z16" s="12" t="b">
        <f aca="false">--AND($P16=1,$K16="P",ABS($I16)=1,$H16="")</f>
        <v>0</v>
      </c>
      <c r="AA16" s="12" t="b">
        <f aca="false">--AND($P16=1,$K16="P",INT(($E16-1)/8)=IF($F16="w",7,0))</f>
        <v>0</v>
      </c>
      <c r="AB16" s="11" t="str">
        <f aca="false">IF(LEN($C16)&gt;=5,IF(ISNUMBER(FIND(MID($C16,5,1),"qrbn")),UPPER(MID($C16,5,1)),"Q"),"Q")</f>
        <v>Q</v>
      </c>
      <c r="AC16" s="11" t="n">
        <f aca="false">IF($Y16=1,IF($I16=2,$D16+3,$D16-4),0)</f>
        <v>0</v>
      </c>
      <c r="AD16" s="11" t="n">
        <f aca="false">IF($Y16=1,IF($I16=2,$D16+1,$D16-1),0)</f>
        <v>0</v>
      </c>
      <c r="AE16" s="11" t="n">
        <f aca="false">IF($Z16=1,$E16-8*IF($F16="w",1,-1),0)</f>
        <v>0</v>
      </c>
      <c r="AF16" s="11" t="str">
        <f aca="false">IF($B16="","",IF($P16=1,LOWER(INDEX($CV$2:$CV$13,MATCH($G16,$CU$2:$CU$13,0)))&amp;" "&amp;MID("abcdefgh",MOD($D16-1,8)+1,1)&amp;(INT(($D16-1)/8)+1)&amp;"→"&amp;MID("abcdefgh",MOD($E16-1,8)+1,1)&amp;(INT(($E16-1)/8)+1)&amp;IF(OR($H16&lt;&gt;"",$Z16=1)," ×","")&amp;IF($Y16=1," castles","")&amp;IF($Z16=1," e.p.","")&amp;IF($AA16=1," =" &amp;LOWER(INDEX($CV$2:$CV$13,MATCH($F16&amp;$AB16,$CU$2:$CU$13,0))),""),"X "&amp;$Q16))</f>
        <v/>
      </c>
      <c r="AG16" s="11"/>
      <c r="AH16" s="11" t="str">
        <f aca="false">IF($P16=0,AH15,IF(AH$3=$E16,IF($AA16=1,$F16&amp;$AB16,$G16),IF(OR(AH$3=$D16,AH$3=$AC16,AH$3=$AE16),"",IF(AH$3=$AD16,$F16&amp;"R",AH15))))</f>
        <v>wR</v>
      </c>
      <c r="AI16" s="11" t="str">
        <f aca="false">IF($P16=0,AI15,IF(AI$3=$E16,IF($AA16=1,$F16&amp;$AB16,$G16),IF(OR(AI$3=$D16,AI$3=$AC16,AI$3=$AE16),"",IF(AI$3=$AD16,$F16&amp;"R",AI15))))</f>
        <v>wN</v>
      </c>
      <c r="AJ16" s="11" t="str">
        <f aca="false">IF($P16=0,AJ15,IF(AJ$3=$E16,IF($AA16=1,$F16&amp;$AB16,$G16),IF(OR(AJ$3=$D16,AJ$3=$AC16,AJ$3=$AE16),"",IF(AJ$3=$AD16,$F16&amp;"R",AJ15))))</f>
        <v>wB</v>
      </c>
      <c r="AK16" s="11" t="str">
        <f aca="false">IF($P16=0,AK15,IF(AK$3=$E16,IF($AA16=1,$F16&amp;$AB16,$G16),IF(OR(AK$3=$D16,AK$3=$AC16,AK$3=$AE16),"",IF(AK$3=$AD16,$F16&amp;"R",AK15))))</f>
        <v>wQ</v>
      </c>
      <c r="AL16" s="11" t="str">
        <f aca="false">IF($P16=0,AL15,IF(AL$3=$E16,IF($AA16=1,$F16&amp;$AB16,$G16),IF(OR(AL$3=$D16,AL$3=$AC16,AL$3=$AE16),"",IF(AL$3=$AD16,$F16&amp;"R",AL15))))</f>
        <v>wK</v>
      </c>
      <c r="AM16" s="11" t="str">
        <f aca="false">IF($P16=0,AM15,IF(AM$3=$E16,IF($AA16=1,$F16&amp;$AB16,$G16),IF(OR(AM$3=$D16,AM$3=$AC16,AM$3=$AE16),"",IF(AM$3=$AD16,$F16&amp;"R",AM15))))</f>
        <v>wB</v>
      </c>
      <c r="AN16" s="11" t="str">
        <f aca="false">IF($P16=0,AN15,IF(AN$3=$E16,IF($AA16=1,$F16&amp;$AB16,$G16),IF(OR(AN$3=$D16,AN$3=$AC16,AN$3=$AE16),"",IF(AN$3=$AD16,$F16&amp;"R",AN15))))</f>
        <v>wN</v>
      </c>
      <c r="AO16" s="11" t="str">
        <f aca="false">IF($P16=0,AO15,IF(AO$3=$E16,IF($AA16=1,$F16&amp;$AB16,$G16),IF(OR(AO$3=$D16,AO$3=$AC16,AO$3=$AE16),"",IF(AO$3=$AD16,$F16&amp;"R",AO15))))</f>
        <v>wR</v>
      </c>
      <c r="AP16" s="11" t="str">
        <f aca="false">IF($P16=0,AP15,IF(AP$3=$E16,IF($AA16=1,$F16&amp;$AB16,$G16),IF(OR(AP$3=$D16,AP$3=$AC16,AP$3=$AE16),"",IF(AP$3=$AD16,$F16&amp;"R",AP15))))</f>
        <v>wP</v>
      </c>
      <c r="AQ16" s="11" t="str">
        <f aca="false">IF($P16=0,AQ15,IF(AQ$3=$E16,IF($AA16=1,$F16&amp;$AB16,$G16),IF(OR(AQ$3=$D16,AQ$3=$AC16,AQ$3=$AE16),"",IF(AQ$3=$AD16,$F16&amp;"R",AQ15))))</f>
        <v>wP</v>
      </c>
      <c r="AR16" s="11" t="str">
        <f aca="false">IF($P16=0,AR15,IF(AR$3=$E16,IF($AA16=1,$F16&amp;$AB16,$G16),IF(OR(AR$3=$D16,AR$3=$AC16,AR$3=$AE16),"",IF(AR$3=$AD16,$F16&amp;"R",AR15))))</f>
        <v>wP</v>
      </c>
      <c r="AS16" s="11" t="str">
        <f aca="false">IF($P16=0,AS15,IF(AS$3=$E16,IF($AA16=1,$F16&amp;$AB16,$G16),IF(OR(AS$3=$D16,AS$3=$AC16,AS$3=$AE16),"",IF(AS$3=$AD16,$F16&amp;"R",AS15))))</f>
        <v>wP</v>
      </c>
      <c r="AT16" s="11" t="str">
        <f aca="false">IF($P16=0,AT15,IF(AT$3=$E16,IF($AA16=1,$F16&amp;$AB16,$G16),IF(OR(AT$3=$D16,AT$3=$AC16,AT$3=$AE16),"",IF(AT$3=$AD16,$F16&amp;"R",AT15))))</f>
        <v>wP</v>
      </c>
      <c r="AU16" s="11" t="str">
        <f aca="false">IF($P16=0,AU15,IF(AU$3=$E16,IF($AA16=1,$F16&amp;$AB16,$G16),IF(OR(AU$3=$D16,AU$3=$AC16,AU$3=$AE16),"",IF(AU$3=$AD16,$F16&amp;"R",AU15))))</f>
        <v>wP</v>
      </c>
      <c r="AV16" s="11" t="str">
        <f aca="false">IF($P16=0,AV15,IF(AV$3=$E16,IF($AA16=1,$F16&amp;$AB16,$G16),IF(OR(AV$3=$D16,AV$3=$AC16,AV$3=$AE16),"",IF(AV$3=$AD16,$F16&amp;"R",AV15))))</f>
        <v>wP</v>
      </c>
      <c r="AW16" s="11" t="str">
        <f aca="false">IF($P16=0,AW15,IF(AW$3=$E16,IF($AA16=1,$F16&amp;$AB16,$G16),IF(OR(AW$3=$D16,AW$3=$AC16,AW$3=$AE16),"",IF(AW$3=$AD16,$F16&amp;"R",AW15))))</f>
        <v>wP</v>
      </c>
      <c r="AX16" s="11" t="str">
        <f aca="false">IF($P16=0,AX15,IF(AX$3=$E16,IF($AA16=1,$F16&amp;$AB16,$G16),IF(OR(AX$3=$D16,AX$3=$AC16,AX$3=$AE16),"",IF(AX$3=$AD16,$F16&amp;"R",AX15))))</f>
        <v/>
      </c>
      <c r="AY16" s="11" t="str">
        <f aca="false">IF($P16=0,AY15,IF(AY$3=$E16,IF($AA16=1,$F16&amp;$AB16,$G16),IF(OR(AY$3=$D16,AY$3=$AC16,AY$3=$AE16),"",IF(AY$3=$AD16,$F16&amp;"R",AY15))))</f>
        <v/>
      </c>
      <c r="AZ16" s="11" t="str">
        <f aca="false">IF($P16=0,AZ15,IF(AZ$3=$E16,IF($AA16=1,$F16&amp;$AB16,$G16),IF(OR(AZ$3=$D16,AZ$3=$AC16,AZ$3=$AE16),"",IF(AZ$3=$AD16,$F16&amp;"R",AZ15))))</f>
        <v/>
      </c>
      <c r="BA16" s="11" t="str">
        <f aca="false">IF($P16=0,BA15,IF(BA$3=$E16,IF($AA16=1,$F16&amp;$AB16,$G16),IF(OR(BA$3=$D16,BA$3=$AC16,BA$3=$AE16),"",IF(BA$3=$AD16,$F16&amp;"R",BA15))))</f>
        <v/>
      </c>
      <c r="BB16" s="11" t="str">
        <f aca="false">IF($P16=0,BB15,IF(BB$3=$E16,IF($AA16=1,$F16&amp;$AB16,$G16),IF(OR(BB$3=$D16,BB$3=$AC16,BB$3=$AE16),"",IF(BB$3=$AD16,$F16&amp;"R",BB15))))</f>
        <v/>
      </c>
      <c r="BC16" s="11" t="str">
        <f aca="false">IF($P16=0,BC15,IF(BC$3=$E16,IF($AA16=1,$F16&amp;$AB16,$G16),IF(OR(BC$3=$D16,BC$3=$AC16,BC$3=$AE16),"",IF(BC$3=$AD16,$F16&amp;"R",BC15))))</f>
        <v/>
      </c>
      <c r="BD16" s="11" t="str">
        <f aca="false">IF($P16=0,BD15,IF(BD$3=$E16,IF($AA16=1,$F16&amp;$AB16,$G16),IF(OR(BD$3=$D16,BD$3=$AC16,BD$3=$AE16),"",IF(BD$3=$AD16,$F16&amp;"R",BD15))))</f>
        <v/>
      </c>
      <c r="BE16" s="11" t="str">
        <f aca="false">IF($P16=0,BE15,IF(BE$3=$E16,IF($AA16=1,$F16&amp;$AB16,$G16),IF(OR(BE$3=$D16,BE$3=$AC16,BE$3=$AE16),"",IF(BE$3=$AD16,$F16&amp;"R",BE15))))</f>
        <v/>
      </c>
      <c r="BF16" s="11" t="str">
        <f aca="false">IF($P16=0,BF15,IF(BF$3=$E16,IF($AA16=1,$F16&amp;$AB16,$G16),IF(OR(BF$3=$D16,BF$3=$AC16,BF$3=$AE16),"",IF(BF$3=$AD16,$F16&amp;"R",BF15))))</f>
        <v/>
      </c>
      <c r="BG16" s="11" t="str">
        <f aca="false">IF($P16=0,BG15,IF(BG$3=$E16,IF($AA16=1,$F16&amp;$AB16,$G16),IF(OR(BG$3=$D16,BG$3=$AC16,BG$3=$AE16),"",IF(BG$3=$AD16,$F16&amp;"R",BG15))))</f>
        <v/>
      </c>
      <c r="BH16" s="11" t="str">
        <f aca="false">IF($P16=0,BH15,IF(BH$3=$E16,IF($AA16=1,$F16&amp;$AB16,$G16),IF(OR(BH$3=$D16,BH$3=$AC16,BH$3=$AE16),"",IF(BH$3=$AD16,$F16&amp;"R",BH15))))</f>
        <v/>
      </c>
      <c r="BI16" s="11" t="str">
        <f aca="false">IF($P16=0,BI15,IF(BI$3=$E16,IF($AA16=1,$F16&amp;$AB16,$G16),IF(OR(BI$3=$D16,BI$3=$AC16,BI$3=$AE16),"",IF(BI$3=$AD16,$F16&amp;"R",BI15))))</f>
        <v/>
      </c>
      <c r="BJ16" s="11" t="str">
        <f aca="false">IF($P16=0,BJ15,IF(BJ$3=$E16,IF($AA16=1,$F16&amp;$AB16,$G16),IF(OR(BJ$3=$D16,BJ$3=$AC16,BJ$3=$AE16),"",IF(BJ$3=$AD16,$F16&amp;"R",BJ15))))</f>
        <v/>
      </c>
      <c r="BK16" s="11" t="str">
        <f aca="false">IF($P16=0,BK15,IF(BK$3=$E16,IF($AA16=1,$F16&amp;$AB16,$G16),IF(OR(BK$3=$D16,BK$3=$AC16,BK$3=$AE16),"",IF(BK$3=$AD16,$F16&amp;"R",BK15))))</f>
        <v/>
      </c>
      <c r="BL16" s="11" t="str">
        <f aca="false">IF($P16=0,BL15,IF(BL$3=$E16,IF($AA16=1,$F16&amp;$AB16,$G16),IF(OR(BL$3=$D16,BL$3=$AC16,BL$3=$AE16),"",IF(BL$3=$AD16,$F16&amp;"R",BL15))))</f>
        <v/>
      </c>
      <c r="BM16" s="11" t="str">
        <f aca="false">IF($P16=0,BM15,IF(BM$3=$E16,IF($AA16=1,$F16&amp;$AB16,$G16),IF(OR(BM$3=$D16,BM$3=$AC16,BM$3=$AE16),"",IF(BM$3=$AD16,$F16&amp;"R",BM15))))</f>
        <v/>
      </c>
      <c r="BN16" s="11" t="str">
        <f aca="false">IF($P16=0,BN15,IF(BN$3=$E16,IF($AA16=1,$F16&amp;$AB16,$G16),IF(OR(BN$3=$D16,BN$3=$AC16,BN$3=$AE16),"",IF(BN$3=$AD16,$F16&amp;"R",BN15))))</f>
        <v/>
      </c>
      <c r="BO16" s="11" t="str">
        <f aca="false">IF($P16=0,BO15,IF(BO$3=$E16,IF($AA16=1,$F16&amp;$AB16,$G16),IF(OR(BO$3=$D16,BO$3=$AC16,BO$3=$AE16),"",IF(BO$3=$AD16,$F16&amp;"R",BO15))))</f>
        <v/>
      </c>
      <c r="BP16" s="11" t="str">
        <f aca="false">IF($P16=0,BP15,IF(BP$3=$E16,IF($AA16=1,$F16&amp;$AB16,$G16),IF(OR(BP$3=$D16,BP$3=$AC16,BP$3=$AE16),"",IF(BP$3=$AD16,$F16&amp;"R",BP15))))</f>
        <v/>
      </c>
      <c r="BQ16" s="11" t="str">
        <f aca="false">IF($P16=0,BQ15,IF(BQ$3=$E16,IF($AA16=1,$F16&amp;$AB16,$G16),IF(OR(BQ$3=$D16,BQ$3=$AC16,BQ$3=$AE16),"",IF(BQ$3=$AD16,$F16&amp;"R",BQ15))))</f>
        <v/>
      </c>
      <c r="BR16" s="11" t="str">
        <f aca="false">IF($P16=0,BR15,IF(BR$3=$E16,IF($AA16=1,$F16&amp;$AB16,$G16),IF(OR(BR$3=$D16,BR$3=$AC16,BR$3=$AE16),"",IF(BR$3=$AD16,$F16&amp;"R",BR15))))</f>
        <v/>
      </c>
      <c r="BS16" s="11" t="str">
        <f aca="false">IF($P16=0,BS15,IF(BS$3=$E16,IF($AA16=1,$F16&amp;$AB16,$G16),IF(OR(BS$3=$D16,BS$3=$AC16,BS$3=$AE16),"",IF(BS$3=$AD16,$F16&amp;"R",BS15))))</f>
        <v/>
      </c>
      <c r="BT16" s="11" t="str">
        <f aca="false">IF($P16=0,BT15,IF(BT$3=$E16,IF($AA16=1,$F16&amp;$AB16,$G16),IF(OR(BT$3=$D16,BT$3=$AC16,BT$3=$AE16),"",IF(BT$3=$AD16,$F16&amp;"R",BT15))))</f>
        <v/>
      </c>
      <c r="BU16" s="11" t="str">
        <f aca="false">IF($P16=0,BU15,IF(BU$3=$E16,IF($AA16=1,$F16&amp;$AB16,$G16),IF(OR(BU$3=$D16,BU$3=$AC16,BU$3=$AE16),"",IF(BU$3=$AD16,$F16&amp;"R",BU15))))</f>
        <v/>
      </c>
      <c r="BV16" s="11" t="str">
        <f aca="false">IF($P16=0,BV15,IF(BV$3=$E16,IF($AA16=1,$F16&amp;$AB16,$G16),IF(OR(BV$3=$D16,BV$3=$AC16,BV$3=$AE16),"",IF(BV$3=$AD16,$F16&amp;"R",BV15))))</f>
        <v/>
      </c>
      <c r="BW16" s="11" t="str">
        <f aca="false">IF($P16=0,BW15,IF(BW$3=$E16,IF($AA16=1,$F16&amp;$AB16,$G16),IF(OR(BW$3=$D16,BW$3=$AC16,BW$3=$AE16),"",IF(BW$3=$AD16,$F16&amp;"R",BW15))))</f>
        <v/>
      </c>
      <c r="BX16" s="11" t="str">
        <f aca="false">IF($P16=0,BX15,IF(BX$3=$E16,IF($AA16=1,$F16&amp;$AB16,$G16),IF(OR(BX$3=$D16,BX$3=$AC16,BX$3=$AE16),"",IF(BX$3=$AD16,$F16&amp;"R",BX15))))</f>
        <v/>
      </c>
      <c r="BY16" s="11" t="str">
        <f aca="false">IF($P16=0,BY15,IF(BY$3=$E16,IF($AA16=1,$F16&amp;$AB16,$G16),IF(OR(BY$3=$D16,BY$3=$AC16,BY$3=$AE16),"",IF(BY$3=$AD16,$F16&amp;"R",BY15))))</f>
        <v/>
      </c>
      <c r="BZ16" s="11" t="str">
        <f aca="false">IF($P16=0,BZ15,IF(BZ$3=$E16,IF($AA16=1,$F16&amp;$AB16,$G16),IF(OR(BZ$3=$D16,BZ$3=$AC16,BZ$3=$AE16),"",IF(BZ$3=$AD16,$F16&amp;"R",BZ15))))</f>
        <v/>
      </c>
      <c r="CA16" s="11" t="str">
        <f aca="false">IF($P16=0,CA15,IF(CA$3=$E16,IF($AA16=1,$F16&amp;$AB16,$G16),IF(OR(CA$3=$D16,CA$3=$AC16,CA$3=$AE16),"",IF(CA$3=$AD16,$F16&amp;"R",CA15))))</f>
        <v/>
      </c>
      <c r="CB16" s="11" t="str">
        <f aca="false">IF($P16=0,CB15,IF(CB$3=$E16,IF($AA16=1,$F16&amp;$AB16,$G16),IF(OR(CB$3=$D16,CB$3=$AC16,CB$3=$AE16),"",IF(CB$3=$AD16,$F16&amp;"R",CB15))))</f>
        <v/>
      </c>
      <c r="CC16" s="11" t="str">
        <f aca="false">IF($P16=0,CC15,IF(CC$3=$E16,IF($AA16=1,$F16&amp;$AB16,$G16),IF(OR(CC$3=$D16,CC$3=$AC16,CC$3=$AE16),"",IF(CC$3=$AD16,$F16&amp;"R",CC15))))</f>
        <v/>
      </c>
      <c r="CD16" s="11" t="str">
        <f aca="false">IF($P16=0,CD15,IF(CD$3=$E16,IF($AA16=1,$F16&amp;$AB16,$G16),IF(OR(CD$3=$D16,CD$3=$AC16,CD$3=$AE16),"",IF(CD$3=$AD16,$F16&amp;"R",CD15))))</f>
        <v>bP</v>
      </c>
      <c r="CE16" s="11" t="str">
        <f aca="false">IF($P16=0,CE15,IF(CE$3=$E16,IF($AA16=1,$F16&amp;$AB16,$G16),IF(OR(CE$3=$D16,CE$3=$AC16,CE$3=$AE16),"",IF(CE$3=$AD16,$F16&amp;"R",CE15))))</f>
        <v>bP</v>
      </c>
      <c r="CF16" s="11" t="str">
        <f aca="false">IF($P16=0,CF15,IF(CF$3=$E16,IF($AA16=1,$F16&amp;$AB16,$G16),IF(OR(CF$3=$D16,CF$3=$AC16,CF$3=$AE16),"",IF(CF$3=$AD16,$F16&amp;"R",CF15))))</f>
        <v>bP</v>
      </c>
      <c r="CG16" s="11" t="str">
        <f aca="false">IF($P16=0,CG15,IF(CG$3=$E16,IF($AA16=1,$F16&amp;$AB16,$G16),IF(OR(CG$3=$D16,CG$3=$AC16,CG$3=$AE16),"",IF(CG$3=$AD16,$F16&amp;"R",CG15))))</f>
        <v>bP</v>
      </c>
      <c r="CH16" s="11" t="str">
        <f aca="false">IF($P16=0,CH15,IF(CH$3=$E16,IF($AA16=1,$F16&amp;$AB16,$G16),IF(OR(CH$3=$D16,CH$3=$AC16,CH$3=$AE16),"",IF(CH$3=$AD16,$F16&amp;"R",CH15))))</f>
        <v>bP</v>
      </c>
      <c r="CI16" s="11" t="str">
        <f aca="false">IF($P16=0,CI15,IF(CI$3=$E16,IF($AA16=1,$F16&amp;$AB16,$G16),IF(OR(CI$3=$D16,CI$3=$AC16,CI$3=$AE16),"",IF(CI$3=$AD16,$F16&amp;"R",CI15))))</f>
        <v>bP</v>
      </c>
      <c r="CJ16" s="11" t="str">
        <f aca="false">IF($P16=0,CJ15,IF(CJ$3=$E16,IF($AA16=1,$F16&amp;$AB16,$G16),IF(OR(CJ$3=$D16,CJ$3=$AC16,CJ$3=$AE16),"",IF(CJ$3=$AD16,$F16&amp;"R",CJ15))))</f>
        <v>bP</v>
      </c>
      <c r="CK16" s="11" t="str">
        <f aca="false">IF($P16=0,CK15,IF(CK$3=$E16,IF($AA16=1,$F16&amp;$AB16,$G16),IF(OR(CK$3=$D16,CK$3=$AC16,CK$3=$AE16),"",IF(CK$3=$AD16,$F16&amp;"R",CK15))))</f>
        <v>bP</v>
      </c>
      <c r="CL16" s="11" t="str">
        <f aca="false">IF($P16=0,CL15,IF(CL$3=$E16,IF($AA16=1,$F16&amp;$AB16,$G16),IF(OR(CL$3=$D16,CL$3=$AC16,CL$3=$AE16),"",IF(CL$3=$AD16,$F16&amp;"R",CL15))))</f>
        <v>bR</v>
      </c>
      <c r="CM16" s="11" t="str">
        <f aca="false">IF($P16=0,CM15,IF(CM$3=$E16,IF($AA16=1,$F16&amp;$AB16,$G16),IF(OR(CM$3=$D16,CM$3=$AC16,CM$3=$AE16),"",IF(CM$3=$AD16,$F16&amp;"R",CM15))))</f>
        <v>bN</v>
      </c>
      <c r="CN16" s="11" t="str">
        <f aca="false">IF($P16=0,CN15,IF(CN$3=$E16,IF($AA16=1,$F16&amp;$AB16,$G16),IF(OR(CN$3=$D16,CN$3=$AC16,CN$3=$AE16),"",IF(CN$3=$AD16,$F16&amp;"R",CN15))))</f>
        <v>bB</v>
      </c>
      <c r="CO16" s="11" t="str">
        <f aca="false">IF($P16=0,CO15,IF(CO$3=$E16,IF($AA16=1,$F16&amp;$AB16,$G16),IF(OR(CO$3=$D16,CO$3=$AC16,CO$3=$AE16),"",IF(CO$3=$AD16,$F16&amp;"R",CO15))))</f>
        <v>bQ</v>
      </c>
      <c r="CP16" s="11" t="str">
        <f aca="false">IF($P16=0,CP15,IF(CP$3=$E16,IF($AA16=1,$F16&amp;$AB16,$G16),IF(OR(CP$3=$D16,CP$3=$AC16,CP$3=$AE16),"",IF(CP$3=$AD16,$F16&amp;"R",CP15))))</f>
        <v>bK</v>
      </c>
      <c r="CQ16" s="11" t="str">
        <f aca="false">IF($P16=0,CQ15,IF(CQ$3=$E16,IF($AA16=1,$F16&amp;$AB16,$G16),IF(OR(CQ$3=$D16,CQ$3=$AC16,CQ$3=$AE16),"",IF(CQ$3=$AD16,$F16&amp;"R",CQ15))))</f>
        <v>bB</v>
      </c>
      <c r="CR16" s="11" t="str">
        <f aca="false">IF($P16=0,CR15,IF(CR$3=$E16,IF($AA16=1,$F16&amp;$AB16,$G16),IF(OR(CR$3=$D16,CR$3=$AC16,CR$3=$AE16),"",IF(CR$3=$AD16,$F16&amp;"R",CR15))))</f>
        <v>bN</v>
      </c>
      <c r="CS16" s="11" t="str">
        <f aca="false">IF($P16=0,CS15,IF(CS$3=$E16,IF($AA16=1,$F16&amp;$AB16,$G16),IF(OR(CS$3=$D16,CS$3=$AC16,CS$3=$AE16),"",IF(CS$3=$AD16,$F16&amp;"R",CS15))))</f>
        <v>bR</v>
      </c>
      <c r="CT16" s="11"/>
      <c r="CU16" s="11"/>
      <c r="CV16" s="11"/>
    </row>
    <row r="17" customFormat="false" ht="15" hidden="false" customHeight="false" outlineLevel="0" collapsed="false">
      <c r="A17" s="11" t="n">
        <v>12</v>
      </c>
      <c r="B17" s="11" t="str">
        <f aca="false">IF(Chess!$L$21="","",Chess!$L$21&amp;"")</f>
        <v/>
      </c>
      <c r="C17" s="11" t="str">
        <f aca="false">LOWER(SUBSTITUTE(SUBSTITUTE(SUBSTITUTE(SUBSTITUTE(TRIM($B17),"-",""),"=","")," ",""),"x",""))</f>
        <v/>
      </c>
      <c r="D17" s="11" t="n">
        <f aca="false">IF(LEN($C17)&lt;4,0,IFERROR(IF(AND(CODE(MID($C17,1,1))&gt;=97,CODE(MID($C17,1,1))&lt;=104,VALUE(MID($C17,2,1))&gt;=1,VALUE(MID($C17,2,1))&lt;=8),(VALUE(MID($C17,2,1))-1)*8+CODE(MID($C17,1,1))-96,0),0))</f>
        <v>0</v>
      </c>
      <c r="E17" s="11" t="n">
        <f aca="false">IF(LEN($C17)&lt;4,0,IFERROR(IF(AND(CODE(MID($C17,3,1))&gt;=97,CODE(MID($C17,3,1))&lt;=104,VALUE(MID($C17,4,1))&gt;=1,VALUE(MID($C17,4,1))&lt;=8),(VALUE(MID($C17,4,1))-1)*8+CODE(MID($C17,3,1))-96,0),0))</f>
        <v>0</v>
      </c>
      <c r="F17" s="11" t="str">
        <f aca="false">IF(MOD(SUM($P$5:$P16),2)=0,"w","b")</f>
        <v>w</v>
      </c>
      <c r="G17" s="11" t="str">
        <f aca="false">IF($D17=0,"",INDEX($AH16:$CS16,1,$D17)&amp;"")</f>
        <v/>
      </c>
      <c r="H17" s="11" t="str">
        <f aca="false">IF($E17=0,"",INDEX($AH16:$CS16,1,$E17)&amp;"")</f>
        <v/>
      </c>
      <c r="I17" s="11" t="n">
        <f aca="false">IF(OR($D17=0,$E17=0),0,MOD($E17-1,8)-MOD($D17-1,8))</f>
        <v>0</v>
      </c>
      <c r="J17" s="11" t="n">
        <f aca="false">IF(OR($D17=0,$E17=0),0,INT(($E17-1)/8)-INT(($D17-1)/8))</f>
        <v>0</v>
      </c>
      <c r="K17" s="11" t="str">
        <f aca="false">IF($G17="","",RIGHT($G17,1))</f>
        <v/>
      </c>
      <c r="L17" s="11" t="n">
        <f aca="false">IF(OR($D17=0,$E17=0),0,SUMPRODUCT(($AH$3:$CS$3&gt;MIN($D17,$E17))*($AH$3:$CS$3&lt;MAX($D17,$E17))*(MOD($AH$3:$CS$3-MIN($D17,$E17),MAX(1,ABS(SIGN($J17)*8+SIGN($I17))))=0)*($AH16:$CS16&lt;&gt;"")))</f>
        <v>0</v>
      </c>
      <c r="M17" s="11" t="n">
        <f aca="false">IF($K17&lt;&gt;"K",0,IFERROR(--AND($J17=0,ABS($I17)=2,$D17=IF($F17="w",5,61),IF($F17="w",$S16,$V16)=0,IF($I17=2,AND(IF($F17="w",$U16,$X16)=0,INDEX($AH16:$CS16,1,$D17+1)&amp;""="",INDEX($AH16:$CS16,1,$D17+2)&amp;""=""),AND(IF($F17="w",$T16,$W16)=0,INDEX($AH16:$CS16,1,$D17-1)&amp;""="",INDEX($AH16:$CS16,1,$D17-2)&amp;""="",INDEX($AH16:$CS16,1,$D17-3)&amp;""=""))),0))</f>
        <v>0</v>
      </c>
      <c r="N17" s="11" t="n">
        <f aca="false">IF($K17&lt;&gt;"P",0,IFERROR(--OR(AND($I17=0,$J17=IF($F17="w",1,-1),$H17=""),AND($I17=0,$J17=2*IF($F17="w",1,-1),$H17="",INT(($D17-1)/8)=IF($F17="w",1,6),INDEX($AH16:$CS16,1,MAX(1,MIN(64,$D17+8*IF($F17="w",1,-1))))&amp;""=""),AND(ABS($I17)=1,$J17=IF($F17="w",1,-1),$H17&lt;&gt;""),AND(ABS($I17)=1,$J17=IF($F17="w",1,-1),$H17="",$R16&gt;0,$E17=$R16)),0))</f>
        <v>0</v>
      </c>
      <c r="O17" s="11" t="n">
        <f aca="false">IF(OR($D17=0,$E17=0,$G17=""),0,IF($K17="N",--OR(AND(ABS($I17)=1,ABS($J17)=2),AND(ABS($I17)=2,ABS($J17)=1)),IF($K17="B",--AND(ABS($I17)=ABS($J17),$I17&lt;&gt;0,$L17=0),IF($K17="R",--AND(OR($I17=0,$J17=0),OR($I17&lt;&gt;0,$J17&lt;&gt;0),$L17=0),IF($K17="Q",--AND(OR(AND(ABS($I17)=ABS($J17),$I17&lt;&gt;0),AND(OR($I17=0,$J17=0),OR($I17&lt;&gt;0,$J17&lt;&gt;0))),$L17=0),IF($K17="K",--OR(MAX(ABS($I17),ABS($J17))=1,$M17=1),$N17))))))</f>
        <v>0</v>
      </c>
      <c r="P17" s="11" t="n">
        <f aca="false">IF($Q17="OK",1,0)</f>
        <v>0</v>
      </c>
      <c r="Q17" s="11" t="str">
        <f aca="false">IF($B17="","",IF(OR(COUNTIF($AH16:$CS16,"wK")=0,COUNTIF($AH16:$CS16,"bK")=0),"Game is over",IF(OR($D17=0,$E17=0),"Use the format e2e4",IF($G17="","No piece on that square",IF(LEFT($G17,1)&lt;&gt;$F17,"Not your piece ("&amp;IF($F17="w","White","Black")&amp;" to move)",IF($D17=$E17,"Piece must move",IF(AND($H17&lt;&gt;"",LEFT($H17,1)=$F17),"Cannot capture your own piece",IF($O17=0,"Illegal move for that piece (or path blocked)","OK"))))))))</f>
        <v/>
      </c>
      <c r="R17" s="11" t="n">
        <f aca="false">IF($P17=1,IF(AND($K17="P",ABS($J17)=2),($D17+$E17)/2,0),$R16)</f>
        <v>0</v>
      </c>
      <c r="S17" s="12" t="b">
        <f aca="false">--OR($S16=1,AND($P17=1,OR($D17=5,$E17=5)))</f>
        <v>0</v>
      </c>
      <c r="T17" s="12" t="b">
        <f aca="false">--OR($T16=1,AND($P17=1,OR($D17=1,$E17=1)))</f>
        <v>0</v>
      </c>
      <c r="U17" s="12" t="b">
        <f aca="false">--OR($U16=1,AND($P17=1,OR($D17=8,$E17=8)))</f>
        <v>0</v>
      </c>
      <c r="V17" s="12" t="b">
        <f aca="false">--OR($V16=1,AND($P17=1,OR($D17=61,$E17=61)))</f>
        <v>0</v>
      </c>
      <c r="W17" s="12" t="b">
        <f aca="false">--OR($W16=1,AND($P17=1,OR($D17=57,$E17=57)))</f>
        <v>0</v>
      </c>
      <c r="X17" s="12" t="b">
        <f aca="false">--OR($X16=1,AND($P17=1,OR($D17=64,$E17=64)))</f>
        <v>0</v>
      </c>
      <c r="Y17" s="12" t="b">
        <f aca="false">--AND($P17=1,$K17="K",ABS($I17)=2)</f>
        <v>0</v>
      </c>
      <c r="Z17" s="12" t="b">
        <f aca="false">--AND($P17=1,$K17="P",ABS($I17)=1,$H17="")</f>
        <v>0</v>
      </c>
      <c r="AA17" s="12" t="b">
        <f aca="false">--AND($P17=1,$K17="P",INT(($E17-1)/8)=IF($F17="w",7,0))</f>
        <v>0</v>
      </c>
      <c r="AB17" s="11" t="str">
        <f aca="false">IF(LEN($C17)&gt;=5,IF(ISNUMBER(FIND(MID($C17,5,1),"qrbn")),UPPER(MID($C17,5,1)),"Q"),"Q")</f>
        <v>Q</v>
      </c>
      <c r="AC17" s="11" t="n">
        <f aca="false">IF($Y17=1,IF($I17=2,$D17+3,$D17-4),0)</f>
        <v>0</v>
      </c>
      <c r="AD17" s="11" t="n">
        <f aca="false">IF($Y17=1,IF($I17=2,$D17+1,$D17-1),0)</f>
        <v>0</v>
      </c>
      <c r="AE17" s="11" t="n">
        <f aca="false">IF($Z17=1,$E17-8*IF($F17="w",1,-1),0)</f>
        <v>0</v>
      </c>
      <c r="AF17" s="11" t="str">
        <f aca="false">IF($B17="","",IF($P17=1,LOWER(INDEX($CV$2:$CV$13,MATCH($G17,$CU$2:$CU$13,0)))&amp;" "&amp;MID("abcdefgh",MOD($D17-1,8)+1,1)&amp;(INT(($D17-1)/8)+1)&amp;"→"&amp;MID("abcdefgh",MOD($E17-1,8)+1,1)&amp;(INT(($E17-1)/8)+1)&amp;IF(OR($H17&lt;&gt;"",$Z17=1)," ×","")&amp;IF($Y17=1," castles","")&amp;IF($Z17=1," e.p.","")&amp;IF($AA17=1," =" &amp;LOWER(INDEX($CV$2:$CV$13,MATCH($F17&amp;$AB17,$CU$2:$CU$13,0))),""),"X "&amp;$Q17))</f>
        <v/>
      </c>
      <c r="AG17" s="11"/>
      <c r="AH17" s="11" t="str">
        <f aca="false">IF($P17=0,AH16,IF(AH$3=$E17,IF($AA17=1,$F17&amp;$AB17,$G17),IF(OR(AH$3=$D17,AH$3=$AC17,AH$3=$AE17),"",IF(AH$3=$AD17,$F17&amp;"R",AH16))))</f>
        <v>wR</v>
      </c>
      <c r="AI17" s="11" t="str">
        <f aca="false">IF($P17=0,AI16,IF(AI$3=$E17,IF($AA17=1,$F17&amp;$AB17,$G17),IF(OR(AI$3=$D17,AI$3=$AC17,AI$3=$AE17),"",IF(AI$3=$AD17,$F17&amp;"R",AI16))))</f>
        <v>wN</v>
      </c>
      <c r="AJ17" s="11" t="str">
        <f aca="false">IF($P17=0,AJ16,IF(AJ$3=$E17,IF($AA17=1,$F17&amp;$AB17,$G17),IF(OR(AJ$3=$D17,AJ$3=$AC17,AJ$3=$AE17),"",IF(AJ$3=$AD17,$F17&amp;"R",AJ16))))</f>
        <v>wB</v>
      </c>
      <c r="AK17" s="11" t="str">
        <f aca="false">IF($P17=0,AK16,IF(AK$3=$E17,IF($AA17=1,$F17&amp;$AB17,$G17),IF(OR(AK$3=$D17,AK$3=$AC17,AK$3=$AE17),"",IF(AK$3=$AD17,$F17&amp;"R",AK16))))</f>
        <v>wQ</v>
      </c>
      <c r="AL17" s="11" t="str">
        <f aca="false">IF($P17=0,AL16,IF(AL$3=$E17,IF($AA17=1,$F17&amp;$AB17,$G17),IF(OR(AL$3=$D17,AL$3=$AC17,AL$3=$AE17),"",IF(AL$3=$AD17,$F17&amp;"R",AL16))))</f>
        <v>wK</v>
      </c>
      <c r="AM17" s="11" t="str">
        <f aca="false">IF($P17=0,AM16,IF(AM$3=$E17,IF($AA17=1,$F17&amp;$AB17,$G17),IF(OR(AM$3=$D17,AM$3=$AC17,AM$3=$AE17),"",IF(AM$3=$AD17,$F17&amp;"R",AM16))))</f>
        <v>wB</v>
      </c>
      <c r="AN17" s="11" t="str">
        <f aca="false">IF($P17=0,AN16,IF(AN$3=$E17,IF($AA17=1,$F17&amp;$AB17,$G17),IF(OR(AN$3=$D17,AN$3=$AC17,AN$3=$AE17),"",IF(AN$3=$AD17,$F17&amp;"R",AN16))))</f>
        <v>wN</v>
      </c>
      <c r="AO17" s="11" t="str">
        <f aca="false">IF($P17=0,AO16,IF(AO$3=$E17,IF($AA17=1,$F17&amp;$AB17,$G17),IF(OR(AO$3=$D17,AO$3=$AC17,AO$3=$AE17),"",IF(AO$3=$AD17,$F17&amp;"R",AO16))))</f>
        <v>wR</v>
      </c>
      <c r="AP17" s="11" t="str">
        <f aca="false">IF($P17=0,AP16,IF(AP$3=$E17,IF($AA17=1,$F17&amp;$AB17,$G17),IF(OR(AP$3=$D17,AP$3=$AC17,AP$3=$AE17),"",IF(AP$3=$AD17,$F17&amp;"R",AP16))))</f>
        <v>wP</v>
      </c>
      <c r="AQ17" s="11" t="str">
        <f aca="false">IF($P17=0,AQ16,IF(AQ$3=$E17,IF($AA17=1,$F17&amp;$AB17,$G17),IF(OR(AQ$3=$D17,AQ$3=$AC17,AQ$3=$AE17),"",IF(AQ$3=$AD17,$F17&amp;"R",AQ16))))</f>
        <v>wP</v>
      </c>
      <c r="AR17" s="11" t="str">
        <f aca="false">IF($P17=0,AR16,IF(AR$3=$E17,IF($AA17=1,$F17&amp;$AB17,$G17),IF(OR(AR$3=$D17,AR$3=$AC17,AR$3=$AE17),"",IF(AR$3=$AD17,$F17&amp;"R",AR16))))</f>
        <v>wP</v>
      </c>
      <c r="AS17" s="11" t="str">
        <f aca="false">IF($P17=0,AS16,IF(AS$3=$E17,IF($AA17=1,$F17&amp;$AB17,$G17),IF(OR(AS$3=$D17,AS$3=$AC17,AS$3=$AE17),"",IF(AS$3=$AD17,$F17&amp;"R",AS16))))</f>
        <v>wP</v>
      </c>
      <c r="AT17" s="11" t="str">
        <f aca="false">IF($P17=0,AT16,IF(AT$3=$E17,IF($AA17=1,$F17&amp;$AB17,$G17),IF(OR(AT$3=$D17,AT$3=$AC17,AT$3=$AE17),"",IF(AT$3=$AD17,$F17&amp;"R",AT16))))</f>
        <v>wP</v>
      </c>
      <c r="AU17" s="11" t="str">
        <f aca="false">IF($P17=0,AU16,IF(AU$3=$E17,IF($AA17=1,$F17&amp;$AB17,$G17),IF(OR(AU$3=$D17,AU$3=$AC17,AU$3=$AE17),"",IF(AU$3=$AD17,$F17&amp;"R",AU16))))</f>
        <v>wP</v>
      </c>
      <c r="AV17" s="11" t="str">
        <f aca="false">IF($P17=0,AV16,IF(AV$3=$E17,IF($AA17=1,$F17&amp;$AB17,$G17),IF(OR(AV$3=$D17,AV$3=$AC17,AV$3=$AE17),"",IF(AV$3=$AD17,$F17&amp;"R",AV16))))</f>
        <v>wP</v>
      </c>
      <c r="AW17" s="11" t="str">
        <f aca="false">IF($P17=0,AW16,IF(AW$3=$E17,IF($AA17=1,$F17&amp;$AB17,$G17),IF(OR(AW$3=$D17,AW$3=$AC17,AW$3=$AE17),"",IF(AW$3=$AD17,$F17&amp;"R",AW16))))</f>
        <v>wP</v>
      </c>
      <c r="AX17" s="11" t="str">
        <f aca="false">IF($P17=0,AX16,IF(AX$3=$E17,IF($AA17=1,$F17&amp;$AB17,$G17),IF(OR(AX$3=$D17,AX$3=$AC17,AX$3=$AE17),"",IF(AX$3=$AD17,$F17&amp;"R",AX16))))</f>
        <v/>
      </c>
      <c r="AY17" s="11" t="str">
        <f aca="false">IF($P17=0,AY16,IF(AY$3=$E17,IF($AA17=1,$F17&amp;$AB17,$G17),IF(OR(AY$3=$D17,AY$3=$AC17,AY$3=$AE17),"",IF(AY$3=$AD17,$F17&amp;"R",AY16))))</f>
        <v/>
      </c>
      <c r="AZ17" s="11" t="str">
        <f aca="false">IF($P17=0,AZ16,IF(AZ$3=$E17,IF($AA17=1,$F17&amp;$AB17,$G17),IF(OR(AZ$3=$D17,AZ$3=$AC17,AZ$3=$AE17),"",IF(AZ$3=$AD17,$F17&amp;"R",AZ16))))</f>
        <v/>
      </c>
      <c r="BA17" s="11" t="str">
        <f aca="false">IF($P17=0,BA16,IF(BA$3=$E17,IF($AA17=1,$F17&amp;$AB17,$G17),IF(OR(BA$3=$D17,BA$3=$AC17,BA$3=$AE17),"",IF(BA$3=$AD17,$F17&amp;"R",BA16))))</f>
        <v/>
      </c>
      <c r="BB17" s="11" t="str">
        <f aca="false">IF($P17=0,BB16,IF(BB$3=$E17,IF($AA17=1,$F17&amp;$AB17,$G17),IF(OR(BB$3=$D17,BB$3=$AC17,BB$3=$AE17),"",IF(BB$3=$AD17,$F17&amp;"R",BB16))))</f>
        <v/>
      </c>
      <c r="BC17" s="11" t="str">
        <f aca="false">IF($P17=0,BC16,IF(BC$3=$E17,IF($AA17=1,$F17&amp;$AB17,$G17),IF(OR(BC$3=$D17,BC$3=$AC17,BC$3=$AE17),"",IF(BC$3=$AD17,$F17&amp;"R",BC16))))</f>
        <v/>
      </c>
      <c r="BD17" s="11" t="str">
        <f aca="false">IF($P17=0,BD16,IF(BD$3=$E17,IF($AA17=1,$F17&amp;$AB17,$G17),IF(OR(BD$3=$D17,BD$3=$AC17,BD$3=$AE17),"",IF(BD$3=$AD17,$F17&amp;"R",BD16))))</f>
        <v/>
      </c>
      <c r="BE17" s="11" t="str">
        <f aca="false">IF($P17=0,BE16,IF(BE$3=$E17,IF($AA17=1,$F17&amp;$AB17,$G17),IF(OR(BE$3=$D17,BE$3=$AC17,BE$3=$AE17),"",IF(BE$3=$AD17,$F17&amp;"R",BE16))))</f>
        <v/>
      </c>
      <c r="BF17" s="11" t="str">
        <f aca="false">IF($P17=0,BF16,IF(BF$3=$E17,IF($AA17=1,$F17&amp;$AB17,$G17),IF(OR(BF$3=$D17,BF$3=$AC17,BF$3=$AE17),"",IF(BF$3=$AD17,$F17&amp;"R",BF16))))</f>
        <v/>
      </c>
      <c r="BG17" s="11" t="str">
        <f aca="false">IF($P17=0,BG16,IF(BG$3=$E17,IF($AA17=1,$F17&amp;$AB17,$G17),IF(OR(BG$3=$D17,BG$3=$AC17,BG$3=$AE17),"",IF(BG$3=$AD17,$F17&amp;"R",BG16))))</f>
        <v/>
      </c>
      <c r="BH17" s="11" t="str">
        <f aca="false">IF($P17=0,BH16,IF(BH$3=$E17,IF($AA17=1,$F17&amp;$AB17,$G17),IF(OR(BH$3=$D17,BH$3=$AC17,BH$3=$AE17),"",IF(BH$3=$AD17,$F17&amp;"R",BH16))))</f>
        <v/>
      </c>
      <c r="BI17" s="11" t="str">
        <f aca="false">IF($P17=0,BI16,IF(BI$3=$E17,IF($AA17=1,$F17&amp;$AB17,$G17),IF(OR(BI$3=$D17,BI$3=$AC17,BI$3=$AE17),"",IF(BI$3=$AD17,$F17&amp;"R",BI16))))</f>
        <v/>
      </c>
      <c r="BJ17" s="11" t="str">
        <f aca="false">IF($P17=0,BJ16,IF(BJ$3=$E17,IF($AA17=1,$F17&amp;$AB17,$G17),IF(OR(BJ$3=$D17,BJ$3=$AC17,BJ$3=$AE17),"",IF(BJ$3=$AD17,$F17&amp;"R",BJ16))))</f>
        <v/>
      </c>
      <c r="BK17" s="11" t="str">
        <f aca="false">IF($P17=0,BK16,IF(BK$3=$E17,IF($AA17=1,$F17&amp;$AB17,$G17),IF(OR(BK$3=$D17,BK$3=$AC17,BK$3=$AE17),"",IF(BK$3=$AD17,$F17&amp;"R",BK16))))</f>
        <v/>
      </c>
      <c r="BL17" s="11" t="str">
        <f aca="false">IF($P17=0,BL16,IF(BL$3=$E17,IF($AA17=1,$F17&amp;$AB17,$G17),IF(OR(BL$3=$D17,BL$3=$AC17,BL$3=$AE17),"",IF(BL$3=$AD17,$F17&amp;"R",BL16))))</f>
        <v/>
      </c>
      <c r="BM17" s="11" t="str">
        <f aca="false">IF($P17=0,BM16,IF(BM$3=$E17,IF($AA17=1,$F17&amp;$AB17,$G17),IF(OR(BM$3=$D17,BM$3=$AC17,BM$3=$AE17),"",IF(BM$3=$AD17,$F17&amp;"R",BM16))))</f>
        <v/>
      </c>
      <c r="BN17" s="11" t="str">
        <f aca="false">IF($P17=0,BN16,IF(BN$3=$E17,IF($AA17=1,$F17&amp;$AB17,$G17),IF(OR(BN$3=$D17,BN$3=$AC17,BN$3=$AE17),"",IF(BN$3=$AD17,$F17&amp;"R",BN16))))</f>
        <v/>
      </c>
      <c r="BO17" s="11" t="str">
        <f aca="false">IF($P17=0,BO16,IF(BO$3=$E17,IF($AA17=1,$F17&amp;$AB17,$G17),IF(OR(BO$3=$D17,BO$3=$AC17,BO$3=$AE17),"",IF(BO$3=$AD17,$F17&amp;"R",BO16))))</f>
        <v/>
      </c>
      <c r="BP17" s="11" t="str">
        <f aca="false">IF($P17=0,BP16,IF(BP$3=$E17,IF($AA17=1,$F17&amp;$AB17,$G17),IF(OR(BP$3=$D17,BP$3=$AC17,BP$3=$AE17),"",IF(BP$3=$AD17,$F17&amp;"R",BP16))))</f>
        <v/>
      </c>
      <c r="BQ17" s="11" t="str">
        <f aca="false">IF($P17=0,BQ16,IF(BQ$3=$E17,IF($AA17=1,$F17&amp;$AB17,$G17),IF(OR(BQ$3=$D17,BQ$3=$AC17,BQ$3=$AE17),"",IF(BQ$3=$AD17,$F17&amp;"R",BQ16))))</f>
        <v/>
      </c>
      <c r="BR17" s="11" t="str">
        <f aca="false">IF($P17=0,BR16,IF(BR$3=$E17,IF($AA17=1,$F17&amp;$AB17,$G17),IF(OR(BR$3=$D17,BR$3=$AC17,BR$3=$AE17),"",IF(BR$3=$AD17,$F17&amp;"R",BR16))))</f>
        <v/>
      </c>
      <c r="BS17" s="11" t="str">
        <f aca="false">IF($P17=0,BS16,IF(BS$3=$E17,IF($AA17=1,$F17&amp;$AB17,$G17),IF(OR(BS$3=$D17,BS$3=$AC17,BS$3=$AE17),"",IF(BS$3=$AD17,$F17&amp;"R",BS16))))</f>
        <v/>
      </c>
      <c r="BT17" s="11" t="str">
        <f aca="false">IF($P17=0,BT16,IF(BT$3=$E17,IF($AA17=1,$F17&amp;$AB17,$G17),IF(OR(BT$3=$D17,BT$3=$AC17,BT$3=$AE17),"",IF(BT$3=$AD17,$F17&amp;"R",BT16))))</f>
        <v/>
      </c>
      <c r="BU17" s="11" t="str">
        <f aca="false">IF($P17=0,BU16,IF(BU$3=$E17,IF($AA17=1,$F17&amp;$AB17,$G17),IF(OR(BU$3=$D17,BU$3=$AC17,BU$3=$AE17),"",IF(BU$3=$AD17,$F17&amp;"R",BU16))))</f>
        <v/>
      </c>
      <c r="BV17" s="11" t="str">
        <f aca="false">IF($P17=0,BV16,IF(BV$3=$E17,IF($AA17=1,$F17&amp;$AB17,$G17),IF(OR(BV$3=$D17,BV$3=$AC17,BV$3=$AE17),"",IF(BV$3=$AD17,$F17&amp;"R",BV16))))</f>
        <v/>
      </c>
      <c r="BW17" s="11" t="str">
        <f aca="false">IF($P17=0,BW16,IF(BW$3=$E17,IF($AA17=1,$F17&amp;$AB17,$G17),IF(OR(BW$3=$D17,BW$3=$AC17,BW$3=$AE17),"",IF(BW$3=$AD17,$F17&amp;"R",BW16))))</f>
        <v/>
      </c>
      <c r="BX17" s="11" t="str">
        <f aca="false">IF($P17=0,BX16,IF(BX$3=$E17,IF($AA17=1,$F17&amp;$AB17,$G17),IF(OR(BX$3=$D17,BX$3=$AC17,BX$3=$AE17),"",IF(BX$3=$AD17,$F17&amp;"R",BX16))))</f>
        <v/>
      </c>
      <c r="BY17" s="11" t="str">
        <f aca="false">IF($P17=0,BY16,IF(BY$3=$E17,IF($AA17=1,$F17&amp;$AB17,$G17),IF(OR(BY$3=$D17,BY$3=$AC17,BY$3=$AE17),"",IF(BY$3=$AD17,$F17&amp;"R",BY16))))</f>
        <v/>
      </c>
      <c r="BZ17" s="11" t="str">
        <f aca="false">IF($P17=0,BZ16,IF(BZ$3=$E17,IF($AA17=1,$F17&amp;$AB17,$G17),IF(OR(BZ$3=$D17,BZ$3=$AC17,BZ$3=$AE17),"",IF(BZ$3=$AD17,$F17&amp;"R",BZ16))))</f>
        <v/>
      </c>
      <c r="CA17" s="11" t="str">
        <f aca="false">IF($P17=0,CA16,IF(CA$3=$E17,IF($AA17=1,$F17&amp;$AB17,$G17),IF(OR(CA$3=$D17,CA$3=$AC17,CA$3=$AE17),"",IF(CA$3=$AD17,$F17&amp;"R",CA16))))</f>
        <v/>
      </c>
      <c r="CB17" s="11" t="str">
        <f aca="false">IF($P17=0,CB16,IF(CB$3=$E17,IF($AA17=1,$F17&amp;$AB17,$G17),IF(OR(CB$3=$D17,CB$3=$AC17,CB$3=$AE17),"",IF(CB$3=$AD17,$F17&amp;"R",CB16))))</f>
        <v/>
      </c>
      <c r="CC17" s="11" t="str">
        <f aca="false">IF($P17=0,CC16,IF(CC$3=$E17,IF($AA17=1,$F17&amp;$AB17,$G17),IF(OR(CC$3=$D17,CC$3=$AC17,CC$3=$AE17),"",IF(CC$3=$AD17,$F17&amp;"R",CC16))))</f>
        <v/>
      </c>
      <c r="CD17" s="11" t="str">
        <f aca="false">IF($P17=0,CD16,IF(CD$3=$E17,IF($AA17=1,$F17&amp;$AB17,$G17),IF(OR(CD$3=$D17,CD$3=$AC17,CD$3=$AE17),"",IF(CD$3=$AD17,$F17&amp;"R",CD16))))</f>
        <v>bP</v>
      </c>
      <c r="CE17" s="11" t="str">
        <f aca="false">IF($P17=0,CE16,IF(CE$3=$E17,IF($AA17=1,$F17&amp;$AB17,$G17),IF(OR(CE$3=$D17,CE$3=$AC17,CE$3=$AE17),"",IF(CE$3=$AD17,$F17&amp;"R",CE16))))</f>
        <v>bP</v>
      </c>
      <c r="CF17" s="11" t="str">
        <f aca="false">IF($P17=0,CF16,IF(CF$3=$E17,IF($AA17=1,$F17&amp;$AB17,$G17),IF(OR(CF$3=$D17,CF$3=$AC17,CF$3=$AE17),"",IF(CF$3=$AD17,$F17&amp;"R",CF16))))</f>
        <v>bP</v>
      </c>
      <c r="CG17" s="11" t="str">
        <f aca="false">IF($P17=0,CG16,IF(CG$3=$E17,IF($AA17=1,$F17&amp;$AB17,$G17),IF(OR(CG$3=$D17,CG$3=$AC17,CG$3=$AE17),"",IF(CG$3=$AD17,$F17&amp;"R",CG16))))</f>
        <v>bP</v>
      </c>
      <c r="CH17" s="11" t="str">
        <f aca="false">IF($P17=0,CH16,IF(CH$3=$E17,IF($AA17=1,$F17&amp;$AB17,$G17),IF(OR(CH$3=$D17,CH$3=$AC17,CH$3=$AE17),"",IF(CH$3=$AD17,$F17&amp;"R",CH16))))</f>
        <v>bP</v>
      </c>
      <c r="CI17" s="11" t="str">
        <f aca="false">IF($P17=0,CI16,IF(CI$3=$E17,IF($AA17=1,$F17&amp;$AB17,$G17),IF(OR(CI$3=$D17,CI$3=$AC17,CI$3=$AE17),"",IF(CI$3=$AD17,$F17&amp;"R",CI16))))</f>
        <v>bP</v>
      </c>
      <c r="CJ17" s="11" t="str">
        <f aca="false">IF($P17=0,CJ16,IF(CJ$3=$E17,IF($AA17=1,$F17&amp;$AB17,$G17),IF(OR(CJ$3=$D17,CJ$3=$AC17,CJ$3=$AE17),"",IF(CJ$3=$AD17,$F17&amp;"R",CJ16))))</f>
        <v>bP</v>
      </c>
      <c r="CK17" s="11" t="str">
        <f aca="false">IF($P17=0,CK16,IF(CK$3=$E17,IF($AA17=1,$F17&amp;$AB17,$G17),IF(OR(CK$3=$D17,CK$3=$AC17,CK$3=$AE17),"",IF(CK$3=$AD17,$F17&amp;"R",CK16))))</f>
        <v>bP</v>
      </c>
      <c r="CL17" s="11" t="str">
        <f aca="false">IF($P17=0,CL16,IF(CL$3=$E17,IF($AA17=1,$F17&amp;$AB17,$G17),IF(OR(CL$3=$D17,CL$3=$AC17,CL$3=$AE17),"",IF(CL$3=$AD17,$F17&amp;"R",CL16))))</f>
        <v>bR</v>
      </c>
      <c r="CM17" s="11" t="str">
        <f aca="false">IF($P17=0,CM16,IF(CM$3=$E17,IF($AA17=1,$F17&amp;$AB17,$G17),IF(OR(CM$3=$D17,CM$3=$AC17,CM$3=$AE17),"",IF(CM$3=$AD17,$F17&amp;"R",CM16))))</f>
        <v>bN</v>
      </c>
      <c r="CN17" s="11" t="str">
        <f aca="false">IF($P17=0,CN16,IF(CN$3=$E17,IF($AA17=1,$F17&amp;$AB17,$G17),IF(OR(CN$3=$D17,CN$3=$AC17,CN$3=$AE17),"",IF(CN$3=$AD17,$F17&amp;"R",CN16))))</f>
        <v>bB</v>
      </c>
      <c r="CO17" s="11" t="str">
        <f aca="false">IF($P17=0,CO16,IF(CO$3=$E17,IF($AA17=1,$F17&amp;$AB17,$G17),IF(OR(CO$3=$D17,CO$3=$AC17,CO$3=$AE17),"",IF(CO$3=$AD17,$F17&amp;"R",CO16))))</f>
        <v>bQ</v>
      </c>
      <c r="CP17" s="11" t="str">
        <f aca="false">IF($P17=0,CP16,IF(CP$3=$E17,IF($AA17=1,$F17&amp;$AB17,$G17),IF(OR(CP$3=$D17,CP$3=$AC17,CP$3=$AE17),"",IF(CP$3=$AD17,$F17&amp;"R",CP16))))</f>
        <v>bK</v>
      </c>
      <c r="CQ17" s="11" t="str">
        <f aca="false">IF($P17=0,CQ16,IF(CQ$3=$E17,IF($AA17=1,$F17&amp;$AB17,$G17),IF(OR(CQ$3=$D17,CQ$3=$AC17,CQ$3=$AE17),"",IF(CQ$3=$AD17,$F17&amp;"R",CQ16))))</f>
        <v>bB</v>
      </c>
      <c r="CR17" s="11" t="str">
        <f aca="false">IF($P17=0,CR16,IF(CR$3=$E17,IF($AA17=1,$F17&amp;$AB17,$G17),IF(OR(CR$3=$D17,CR$3=$AC17,CR$3=$AE17),"",IF(CR$3=$AD17,$F17&amp;"R",CR16))))</f>
        <v>bN</v>
      </c>
      <c r="CS17" s="11" t="str">
        <f aca="false">IF($P17=0,CS16,IF(CS$3=$E17,IF($AA17=1,$F17&amp;$AB17,$G17),IF(OR(CS$3=$D17,CS$3=$AC17,CS$3=$AE17),"",IF(CS$3=$AD17,$F17&amp;"R",CS16))))</f>
        <v>bR</v>
      </c>
      <c r="CT17" s="11"/>
      <c r="CU17" s="11"/>
      <c r="CV17" s="11"/>
    </row>
    <row r="18" customFormat="false" ht="15" hidden="false" customHeight="false" outlineLevel="0" collapsed="false">
      <c r="A18" s="11" t="n">
        <v>13</v>
      </c>
      <c r="B18" s="11" t="str">
        <f aca="false">IF(Chess!$L$22="","",Chess!$L$22&amp;"")</f>
        <v/>
      </c>
      <c r="C18" s="11" t="str">
        <f aca="false">LOWER(SUBSTITUTE(SUBSTITUTE(SUBSTITUTE(SUBSTITUTE(TRIM($B18),"-",""),"=","")," ",""),"x",""))</f>
        <v/>
      </c>
      <c r="D18" s="11" t="n">
        <f aca="false">IF(LEN($C18)&lt;4,0,IFERROR(IF(AND(CODE(MID($C18,1,1))&gt;=97,CODE(MID($C18,1,1))&lt;=104,VALUE(MID($C18,2,1))&gt;=1,VALUE(MID($C18,2,1))&lt;=8),(VALUE(MID($C18,2,1))-1)*8+CODE(MID($C18,1,1))-96,0),0))</f>
        <v>0</v>
      </c>
      <c r="E18" s="11" t="n">
        <f aca="false">IF(LEN($C18)&lt;4,0,IFERROR(IF(AND(CODE(MID($C18,3,1))&gt;=97,CODE(MID($C18,3,1))&lt;=104,VALUE(MID($C18,4,1))&gt;=1,VALUE(MID($C18,4,1))&lt;=8),(VALUE(MID($C18,4,1))-1)*8+CODE(MID($C18,3,1))-96,0),0))</f>
        <v>0</v>
      </c>
      <c r="F18" s="11" t="str">
        <f aca="false">IF(MOD(SUM($P$5:$P17),2)=0,"w","b")</f>
        <v>w</v>
      </c>
      <c r="G18" s="11" t="str">
        <f aca="false">IF($D18=0,"",INDEX($AH17:$CS17,1,$D18)&amp;"")</f>
        <v/>
      </c>
      <c r="H18" s="11" t="str">
        <f aca="false">IF($E18=0,"",INDEX($AH17:$CS17,1,$E18)&amp;"")</f>
        <v/>
      </c>
      <c r="I18" s="11" t="n">
        <f aca="false">IF(OR($D18=0,$E18=0),0,MOD($E18-1,8)-MOD($D18-1,8))</f>
        <v>0</v>
      </c>
      <c r="J18" s="11" t="n">
        <f aca="false">IF(OR($D18=0,$E18=0),0,INT(($E18-1)/8)-INT(($D18-1)/8))</f>
        <v>0</v>
      </c>
      <c r="K18" s="11" t="str">
        <f aca="false">IF($G18="","",RIGHT($G18,1))</f>
        <v/>
      </c>
      <c r="L18" s="11" t="n">
        <f aca="false">IF(OR($D18=0,$E18=0),0,SUMPRODUCT(($AH$3:$CS$3&gt;MIN($D18,$E18))*($AH$3:$CS$3&lt;MAX($D18,$E18))*(MOD($AH$3:$CS$3-MIN($D18,$E18),MAX(1,ABS(SIGN($J18)*8+SIGN($I18))))=0)*($AH17:$CS17&lt;&gt;"")))</f>
        <v>0</v>
      </c>
      <c r="M18" s="11" t="n">
        <f aca="false">IF($K18&lt;&gt;"K",0,IFERROR(--AND($J18=0,ABS($I18)=2,$D18=IF($F18="w",5,61),IF($F18="w",$S17,$V17)=0,IF($I18=2,AND(IF($F18="w",$U17,$X17)=0,INDEX($AH17:$CS17,1,$D18+1)&amp;""="",INDEX($AH17:$CS17,1,$D18+2)&amp;""=""),AND(IF($F18="w",$T17,$W17)=0,INDEX($AH17:$CS17,1,$D18-1)&amp;""="",INDEX($AH17:$CS17,1,$D18-2)&amp;""="",INDEX($AH17:$CS17,1,$D18-3)&amp;""=""))),0))</f>
        <v>0</v>
      </c>
      <c r="N18" s="11" t="n">
        <f aca="false">IF($K18&lt;&gt;"P",0,IFERROR(--OR(AND($I18=0,$J18=IF($F18="w",1,-1),$H18=""),AND($I18=0,$J18=2*IF($F18="w",1,-1),$H18="",INT(($D18-1)/8)=IF($F18="w",1,6),INDEX($AH17:$CS17,1,MAX(1,MIN(64,$D18+8*IF($F18="w",1,-1))))&amp;""=""),AND(ABS($I18)=1,$J18=IF($F18="w",1,-1),$H18&lt;&gt;""),AND(ABS($I18)=1,$J18=IF($F18="w",1,-1),$H18="",$R17&gt;0,$E18=$R17)),0))</f>
        <v>0</v>
      </c>
      <c r="O18" s="11" t="n">
        <f aca="false">IF(OR($D18=0,$E18=0,$G18=""),0,IF($K18="N",--OR(AND(ABS($I18)=1,ABS($J18)=2),AND(ABS($I18)=2,ABS($J18)=1)),IF($K18="B",--AND(ABS($I18)=ABS($J18),$I18&lt;&gt;0,$L18=0),IF($K18="R",--AND(OR($I18=0,$J18=0),OR($I18&lt;&gt;0,$J18&lt;&gt;0),$L18=0),IF($K18="Q",--AND(OR(AND(ABS($I18)=ABS($J18),$I18&lt;&gt;0),AND(OR($I18=0,$J18=0),OR($I18&lt;&gt;0,$J18&lt;&gt;0))),$L18=0),IF($K18="K",--OR(MAX(ABS($I18),ABS($J18))=1,$M18=1),$N18))))))</f>
        <v>0</v>
      </c>
      <c r="P18" s="11" t="n">
        <f aca="false">IF($Q18="OK",1,0)</f>
        <v>0</v>
      </c>
      <c r="Q18" s="11" t="str">
        <f aca="false">IF($B18="","",IF(OR(COUNTIF($AH17:$CS17,"wK")=0,COUNTIF($AH17:$CS17,"bK")=0),"Game is over",IF(OR($D18=0,$E18=0),"Use the format e2e4",IF($G18="","No piece on that square",IF(LEFT($G18,1)&lt;&gt;$F18,"Not your piece ("&amp;IF($F18="w","White","Black")&amp;" to move)",IF($D18=$E18,"Piece must move",IF(AND($H18&lt;&gt;"",LEFT($H18,1)=$F18),"Cannot capture your own piece",IF($O18=0,"Illegal move for that piece (or path blocked)","OK"))))))))</f>
        <v/>
      </c>
      <c r="R18" s="11" t="n">
        <f aca="false">IF($P18=1,IF(AND($K18="P",ABS($J18)=2),($D18+$E18)/2,0),$R17)</f>
        <v>0</v>
      </c>
      <c r="S18" s="12" t="b">
        <f aca="false">--OR($S17=1,AND($P18=1,OR($D18=5,$E18=5)))</f>
        <v>0</v>
      </c>
      <c r="T18" s="12" t="b">
        <f aca="false">--OR($T17=1,AND($P18=1,OR($D18=1,$E18=1)))</f>
        <v>0</v>
      </c>
      <c r="U18" s="12" t="b">
        <f aca="false">--OR($U17=1,AND($P18=1,OR($D18=8,$E18=8)))</f>
        <v>0</v>
      </c>
      <c r="V18" s="12" t="b">
        <f aca="false">--OR($V17=1,AND($P18=1,OR($D18=61,$E18=61)))</f>
        <v>0</v>
      </c>
      <c r="W18" s="12" t="b">
        <f aca="false">--OR($W17=1,AND($P18=1,OR($D18=57,$E18=57)))</f>
        <v>0</v>
      </c>
      <c r="X18" s="12" t="b">
        <f aca="false">--OR($X17=1,AND($P18=1,OR($D18=64,$E18=64)))</f>
        <v>0</v>
      </c>
      <c r="Y18" s="12" t="b">
        <f aca="false">--AND($P18=1,$K18="K",ABS($I18)=2)</f>
        <v>0</v>
      </c>
      <c r="Z18" s="12" t="b">
        <f aca="false">--AND($P18=1,$K18="P",ABS($I18)=1,$H18="")</f>
        <v>0</v>
      </c>
      <c r="AA18" s="12" t="b">
        <f aca="false">--AND($P18=1,$K18="P",INT(($E18-1)/8)=IF($F18="w",7,0))</f>
        <v>0</v>
      </c>
      <c r="AB18" s="11" t="str">
        <f aca="false">IF(LEN($C18)&gt;=5,IF(ISNUMBER(FIND(MID($C18,5,1),"qrbn")),UPPER(MID($C18,5,1)),"Q"),"Q")</f>
        <v>Q</v>
      </c>
      <c r="AC18" s="11" t="n">
        <f aca="false">IF($Y18=1,IF($I18=2,$D18+3,$D18-4),0)</f>
        <v>0</v>
      </c>
      <c r="AD18" s="11" t="n">
        <f aca="false">IF($Y18=1,IF($I18=2,$D18+1,$D18-1),0)</f>
        <v>0</v>
      </c>
      <c r="AE18" s="11" t="n">
        <f aca="false">IF($Z18=1,$E18-8*IF($F18="w",1,-1),0)</f>
        <v>0</v>
      </c>
      <c r="AF18" s="11" t="str">
        <f aca="false">IF($B18="","",IF($P18=1,LOWER(INDEX($CV$2:$CV$13,MATCH($G18,$CU$2:$CU$13,0)))&amp;" "&amp;MID("abcdefgh",MOD($D18-1,8)+1,1)&amp;(INT(($D18-1)/8)+1)&amp;"→"&amp;MID("abcdefgh",MOD($E18-1,8)+1,1)&amp;(INT(($E18-1)/8)+1)&amp;IF(OR($H18&lt;&gt;"",$Z18=1)," ×","")&amp;IF($Y18=1," castles","")&amp;IF($Z18=1," e.p.","")&amp;IF($AA18=1," =" &amp;LOWER(INDEX($CV$2:$CV$13,MATCH($F18&amp;$AB18,$CU$2:$CU$13,0))),""),"X "&amp;$Q18))</f>
        <v/>
      </c>
      <c r="AG18" s="11"/>
      <c r="AH18" s="11" t="str">
        <f aca="false">IF($P18=0,AH17,IF(AH$3=$E18,IF($AA18=1,$F18&amp;$AB18,$G18),IF(OR(AH$3=$D18,AH$3=$AC18,AH$3=$AE18),"",IF(AH$3=$AD18,$F18&amp;"R",AH17))))</f>
        <v>wR</v>
      </c>
      <c r="AI18" s="11" t="str">
        <f aca="false">IF($P18=0,AI17,IF(AI$3=$E18,IF($AA18=1,$F18&amp;$AB18,$G18),IF(OR(AI$3=$D18,AI$3=$AC18,AI$3=$AE18),"",IF(AI$3=$AD18,$F18&amp;"R",AI17))))</f>
        <v>wN</v>
      </c>
      <c r="AJ18" s="11" t="str">
        <f aca="false">IF($P18=0,AJ17,IF(AJ$3=$E18,IF($AA18=1,$F18&amp;$AB18,$G18),IF(OR(AJ$3=$D18,AJ$3=$AC18,AJ$3=$AE18),"",IF(AJ$3=$AD18,$F18&amp;"R",AJ17))))</f>
        <v>wB</v>
      </c>
      <c r="AK18" s="11" t="str">
        <f aca="false">IF($P18=0,AK17,IF(AK$3=$E18,IF($AA18=1,$F18&amp;$AB18,$G18),IF(OR(AK$3=$D18,AK$3=$AC18,AK$3=$AE18),"",IF(AK$3=$AD18,$F18&amp;"R",AK17))))</f>
        <v>wQ</v>
      </c>
      <c r="AL18" s="11" t="str">
        <f aca="false">IF($P18=0,AL17,IF(AL$3=$E18,IF($AA18=1,$F18&amp;$AB18,$G18),IF(OR(AL$3=$D18,AL$3=$AC18,AL$3=$AE18),"",IF(AL$3=$AD18,$F18&amp;"R",AL17))))</f>
        <v>wK</v>
      </c>
      <c r="AM18" s="11" t="str">
        <f aca="false">IF($P18=0,AM17,IF(AM$3=$E18,IF($AA18=1,$F18&amp;$AB18,$G18),IF(OR(AM$3=$D18,AM$3=$AC18,AM$3=$AE18),"",IF(AM$3=$AD18,$F18&amp;"R",AM17))))</f>
        <v>wB</v>
      </c>
      <c r="AN18" s="11" t="str">
        <f aca="false">IF($P18=0,AN17,IF(AN$3=$E18,IF($AA18=1,$F18&amp;$AB18,$G18),IF(OR(AN$3=$D18,AN$3=$AC18,AN$3=$AE18),"",IF(AN$3=$AD18,$F18&amp;"R",AN17))))</f>
        <v>wN</v>
      </c>
      <c r="AO18" s="11" t="str">
        <f aca="false">IF($P18=0,AO17,IF(AO$3=$E18,IF($AA18=1,$F18&amp;$AB18,$G18),IF(OR(AO$3=$D18,AO$3=$AC18,AO$3=$AE18),"",IF(AO$3=$AD18,$F18&amp;"R",AO17))))</f>
        <v>wR</v>
      </c>
      <c r="AP18" s="11" t="str">
        <f aca="false">IF($P18=0,AP17,IF(AP$3=$E18,IF($AA18=1,$F18&amp;$AB18,$G18),IF(OR(AP$3=$D18,AP$3=$AC18,AP$3=$AE18),"",IF(AP$3=$AD18,$F18&amp;"R",AP17))))</f>
        <v>wP</v>
      </c>
      <c r="AQ18" s="11" t="str">
        <f aca="false">IF($P18=0,AQ17,IF(AQ$3=$E18,IF($AA18=1,$F18&amp;$AB18,$G18),IF(OR(AQ$3=$D18,AQ$3=$AC18,AQ$3=$AE18),"",IF(AQ$3=$AD18,$F18&amp;"R",AQ17))))</f>
        <v>wP</v>
      </c>
      <c r="AR18" s="11" t="str">
        <f aca="false">IF($P18=0,AR17,IF(AR$3=$E18,IF($AA18=1,$F18&amp;$AB18,$G18),IF(OR(AR$3=$D18,AR$3=$AC18,AR$3=$AE18),"",IF(AR$3=$AD18,$F18&amp;"R",AR17))))</f>
        <v>wP</v>
      </c>
      <c r="AS18" s="11" t="str">
        <f aca="false">IF($P18=0,AS17,IF(AS$3=$E18,IF($AA18=1,$F18&amp;$AB18,$G18),IF(OR(AS$3=$D18,AS$3=$AC18,AS$3=$AE18),"",IF(AS$3=$AD18,$F18&amp;"R",AS17))))</f>
        <v>wP</v>
      </c>
      <c r="AT18" s="11" t="str">
        <f aca="false">IF($P18=0,AT17,IF(AT$3=$E18,IF($AA18=1,$F18&amp;$AB18,$G18),IF(OR(AT$3=$D18,AT$3=$AC18,AT$3=$AE18),"",IF(AT$3=$AD18,$F18&amp;"R",AT17))))</f>
        <v>wP</v>
      </c>
      <c r="AU18" s="11" t="str">
        <f aca="false">IF($P18=0,AU17,IF(AU$3=$E18,IF($AA18=1,$F18&amp;$AB18,$G18),IF(OR(AU$3=$D18,AU$3=$AC18,AU$3=$AE18),"",IF(AU$3=$AD18,$F18&amp;"R",AU17))))</f>
        <v>wP</v>
      </c>
      <c r="AV18" s="11" t="str">
        <f aca="false">IF($P18=0,AV17,IF(AV$3=$E18,IF($AA18=1,$F18&amp;$AB18,$G18),IF(OR(AV$3=$D18,AV$3=$AC18,AV$3=$AE18),"",IF(AV$3=$AD18,$F18&amp;"R",AV17))))</f>
        <v>wP</v>
      </c>
      <c r="AW18" s="11" t="str">
        <f aca="false">IF($P18=0,AW17,IF(AW$3=$E18,IF($AA18=1,$F18&amp;$AB18,$G18),IF(OR(AW$3=$D18,AW$3=$AC18,AW$3=$AE18),"",IF(AW$3=$AD18,$F18&amp;"R",AW17))))</f>
        <v>wP</v>
      </c>
      <c r="AX18" s="11" t="str">
        <f aca="false">IF($P18=0,AX17,IF(AX$3=$E18,IF($AA18=1,$F18&amp;$AB18,$G18),IF(OR(AX$3=$D18,AX$3=$AC18,AX$3=$AE18),"",IF(AX$3=$AD18,$F18&amp;"R",AX17))))</f>
        <v/>
      </c>
      <c r="AY18" s="11" t="str">
        <f aca="false">IF($P18=0,AY17,IF(AY$3=$E18,IF($AA18=1,$F18&amp;$AB18,$G18),IF(OR(AY$3=$D18,AY$3=$AC18,AY$3=$AE18),"",IF(AY$3=$AD18,$F18&amp;"R",AY17))))</f>
        <v/>
      </c>
      <c r="AZ18" s="11" t="str">
        <f aca="false">IF($P18=0,AZ17,IF(AZ$3=$E18,IF($AA18=1,$F18&amp;$AB18,$G18),IF(OR(AZ$3=$D18,AZ$3=$AC18,AZ$3=$AE18),"",IF(AZ$3=$AD18,$F18&amp;"R",AZ17))))</f>
        <v/>
      </c>
      <c r="BA18" s="11" t="str">
        <f aca="false">IF($P18=0,BA17,IF(BA$3=$E18,IF($AA18=1,$F18&amp;$AB18,$G18),IF(OR(BA$3=$D18,BA$3=$AC18,BA$3=$AE18),"",IF(BA$3=$AD18,$F18&amp;"R",BA17))))</f>
        <v/>
      </c>
      <c r="BB18" s="11" t="str">
        <f aca="false">IF($P18=0,BB17,IF(BB$3=$E18,IF($AA18=1,$F18&amp;$AB18,$G18),IF(OR(BB$3=$D18,BB$3=$AC18,BB$3=$AE18),"",IF(BB$3=$AD18,$F18&amp;"R",BB17))))</f>
        <v/>
      </c>
      <c r="BC18" s="11" t="str">
        <f aca="false">IF($P18=0,BC17,IF(BC$3=$E18,IF($AA18=1,$F18&amp;$AB18,$G18),IF(OR(BC$3=$D18,BC$3=$AC18,BC$3=$AE18),"",IF(BC$3=$AD18,$F18&amp;"R",BC17))))</f>
        <v/>
      </c>
      <c r="BD18" s="11" t="str">
        <f aca="false">IF($P18=0,BD17,IF(BD$3=$E18,IF($AA18=1,$F18&amp;$AB18,$G18),IF(OR(BD$3=$D18,BD$3=$AC18,BD$3=$AE18),"",IF(BD$3=$AD18,$F18&amp;"R",BD17))))</f>
        <v/>
      </c>
      <c r="BE18" s="11" t="str">
        <f aca="false">IF($P18=0,BE17,IF(BE$3=$E18,IF($AA18=1,$F18&amp;$AB18,$G18),IF(OR(BE$3=$D18,BE$3=$AC18,BE$3=$AE18),"",IF(BE$3=$AD18,$F18&amp;"R",BE17))))</f>
        <v/>
      </c>
      <c r="BF18" s="11" t="str">
        <f aca="false">IF($P18=0,BF17,IF(BF$3=$E18,IF($AA18=1,$F18&amp;$AB18,$G18),IF(OR(BF$3=$D18,BF$3=$AC18,BF$3=$AE18),"",IF(BF$3=$AD18,$F18&amp;"R",BF17))))</f>
        <v/>
      </c>
      <c r="BG18" s="11" t="str">
        <f aca="false">IF($P18=0,BG17,IF(BG$3=$E18,IF($AA18=1,$F18&amp;$AB18,$G18),IF(OR(BG$3=$D18,BG$3=$AC18,BG$3=$AE18),"",IF(BG$3=$AD18,$F18&amp;"R",BG17))))</f>
        <v/>
      </c>
      <c r="BH18" s="11" t="str">
        <f aca="false">IF($P18=0,BH17,IF(BH$3=$E18,IF($AA18=1,$F18&amp;$AB18,$G18),IF(OR(BH$3=$D18,BH$3=$AC18,BH$3=$AE18),"",IF(BH$3=$AD18,$F18&amp;"R",BH17))))</f>
        <v/>
      </c>
      <c r="BI18" s="11" t="str">
        <f aca="false">IF($P18=0,BI17,IF(BI$3=$E18,IF($AA18=1,$F18&amp;$AB18,$G18),IF(OR(BI$3=$D18,BI$3=$AC18,BI$3=$AE18),"",IF(BI$3=$AD18,$F18&amp;"R",BI17))))</f>
        <v/>
      </c>
      <c r="BJ18" s="11" t="str">
        <f aca="false">IF($P18=0,BJ17,IF(BJ$3=$E18,IF($AA18=1,$F18&amp;$AB18,$G18),IF(OR(BJ$3=$D18,BJ$3=$AC18,BJ$3=$AE18),"",IF(BJ$3=$AD18,$F18&amp;"R",BJ17))))</f>
        <v/>
      </c>
      <c r="BK18" s="11" t="str">
        <f aca="false">IF($P18=0,BK17,IF(BK$3=$E18,IF($AA18=1,$F18&amp;$AB18,$G18),IF(OR(BK$3=$D18,BK$3=$AC18,BK$3=$AE18),"",IF(BK$3=$AD18,$F18&amp;"R",BK17))))</f>
        <v/>
      </c>
      <c r="BL18" s="11" t="str">
        <f aca="false">IF($P18=0,BL17,IF(BL$3=$E18,IF($AA18=1,$F18&amp;$AB18,$G18),IF(OR(BL$3=$D18,BL$3=$AC18,BL$3=$AE18),"",IF(BL$3=$AD18,$F18&amp;"R",BL17))))</f>
        <v/>
      </c>
      <c r="BM18" s="11" t="str">
        <f aca="false">IF($P18=0,BM17,IF(BM$3=$E18,IF($AA18=1,$F18&amp;$AB18,$G18),IF(OR(BM$3=$D18,BM$3=$AC18,BM$3=$AE18),"",IF(BM$3=$AD18,$F18&amp;"R",BM17))))</f>
        <v/>
      </c>
      <c r="BN18" s="11" t="str">
        <f aca="false">IF($P18=0,BN17,IF(BN$3=$E18,IF($AA18=1,$F18&amp;$AB18,$G18),IF(OR(BN$3=$D18,BN$3=$AC18,BN$3=$AE18),"",IF(BN$3=$AD18,$F18&amp;"R",BN17))))</f>
        <v/>
      </c>
      <c r="BO18" s="11" t="str">
        <f aca="false">IF($P18=0,BO17,IF(BO$3=$E18,IF($AA18=1,$F18&amp;$AB18,$G18),IF(OR(BO$3=$D18,BO$3=$AC18,BO$3=$AE18),"",IF(BO$3=$AD18,$F18&amp;"R",BO17))))</f>
        <v/>
      </c>
      <c r="BP18" s="11" t="str">
        <f aca="false">IF($P18=0,BP17,IF(BP$3=$E18,IF($AA18=1,$F18&amp;$AB18,$G18),IF(OR(BP$3=$D18,BP$3=$AC18,BP$3=$AE18),"",IF(BP$3=$AD18,$F18&amp;"R",BP17))))</f>
        <v/>
      </c>
      <c r="BQ18" s="11" t="str">
        <f aca="false">IF($P18=0,BQ17,IF(BQ$3=$E18,IF($AA18=1,$F18&amp;$AB18,$G18),IF(OR(BQ$3=$D18,BQ$3=$AC18,BQ$3=$AE18),"",IF(BQ$3=$AD18,$F18&amp;"R",BQ17))))</f>
        <v/>
      </c>
      <c r="BR18" s="11" t="str">
        <f aca="false">IF($P18=0,BR17,IF(BR$3=$E18,IF($AA18=1,$F18&amp;$AB18,$G18),IF(OR(BR$3=$D18,BR$3=$AC18,BR$3=$AE18),"",IF(BR$3=$AD18,$F18&amp;"R",BR17))))</f>
        <v/>
      </c>
      <c r="BS18" s="11" t="str">
        <f aca="false">IF($P18=0,BS17,IF(BS$3=$E18,IF($AA18=1,$F18&amp;$AB18,$G18),IF(OR(BS$3=$D18,BS$3=$AC18,BS$3=$AE18),"",IF(BS$3=$AD18,$F18&amp;"R",BS17))))</f>
        <v/>
      </c>
      <c r="BT18" s="11" t="str">
        <f aca="false">IF($P18=0,BT17,IF(BT$3=$E18,IF($AA18=1,$F18&amp;$AB18,$G18),IF(OR(BT$3=$D18,BT$3=$AC18,BT$3=$AE18),"",IF(BT$3=$AD18,$F18&amp;"R",BT17))))</f>
        <v/>
      </c>
      <c r="BU18" s="11" t="str">
        <f aca="false">IF($P18=0,BU17,IF(BU$3=$E18,IF($AA18=1,$F18&amp;$AB18,$G18),IF(OR(BU$3=$D18,BU$3=$AC18,BU$3=$AE18),"",IF(BU$3=$AD18,$F18&amp;"R",BU17))))</f>
        <v/>
      </c>
      <c r="BV18" s="11" t="str">
        <f aca="false">IF($P18=0,BV17,IF(BV$3=$E18,IF($AA18=1,$F18&amp;$AB18,$G18),IF(OR(BV$3=$D18,BV$3=$AC18,BV$3=$AE18),"",IF(BV$3=$AD18,$F18&amp;"R",BV17))))</f>
        <v/>
      </c>
      <c r="BW18" s="11" t="str">
        <f aca="false">IF($P18=0,BW17,IF(BW$3=$E18,IF($AA18=1,$F18&amp;$AB18,$G18),IF(OR(BW$3=$D18,BW$3=$AC18,BW$3=$AE18),"",IF(BW$3=$AD18,$F18&amp;"R",BW17))))</f>
        <v/>
      </c>
      <c r="BX18" s="11" t="str">
        <f aca="false">IF($P18=0,BX17,IF(BX$3=$E18,IF($AA18=1,$F18&amp;$AB18,$G18),IF(OR(BX$3=$D18,BX$3=$AC18,BX$3=$AE18),"",IF(BX$3=$AD18,$F18&amp;"R",BX17))))</f>
        <v/>
      </c>
      <c r="BY18" s="11" t="str">
        <f aca="false">IF($P18=0,BY17,IF(BY$3=$E18,IF($AA18=1,$F18&amp;$AB18,$G18),IF(OR(BY$3=$D18,BY$3=$AC18,BY$3=$AE18),"",IF(BY$3=$AD18,$F18&amp;"R",BY17))))</f>
        <v/>
      </c>
      <c r="BZ18" s="11" t="str">
        <f aca="false">IF($P18=0,BZ17,IF(BZ$3=$E18,IF($AA18=1,$F18&amp;$AB18,$G18),IF(OR(BZ$3=$D18,BZ$3=$AC18,BZ$3=$AE18),"",IF(BZ$3=$AD18,$F18&amp;"R",BZ17))))</f>
        <v/>
      </c>
      <c r="CA18" s="11" t="str">
        <f aca="false">IF($P18=0,CA17,IF(CA$3=$E18,IF($AA18=1,$F18&amp;$AB18,$G18),IF(OR(CA$3=$D18,CA$3=$AC18,CA$3=$AE18),"",IF(CA$3=$AD18,$F18&amp;"R",CA17))))</f>
        <v/>
      </c>
      <c r="CB18" s="11" t="str">
        <f aca="false">IF($P18=0,CB17,IF(CB$3=$E18,IF($AA18=1,$F18&amp;$AB18,$G18),IF(OR(CB$3=$D18,CB$3=$AC18,CB$3=$AE18),"",IF(CB$3=$AD18,$F18&amp;"R",CB17))))</f>
        <v/>
      </c>
      <c r="CC18" s="11" t="str">
        <f aca="false">IF($P18=0,CC17,IF(CC$3=$E18,IF($AA18=1,$F18&amp;$AB18,$G18),IF(OR(CC$3=$D18,CC$3=$AC18,CC$3=$AE18),"",IF(CC$3=$AD18,$F18&amp;"R",CC17))))</f>
        <v/>
      </c>
      <c r="CD18" s="11" t="str">
        <f aca="false">IF($P18=0,CD17,IF(CD$3=$E18,IF($AA18=1,$F18&amp;$AB18,$G18),IF(OR(CD$3=$D18,CD$3=$AC18,CD$3=$AE18),"",IF(CD$3=$AD18,$F18&amp;"R",CD17))))</f>
        <v>bP</v>
      </c>
      <c r="CE18" s="11" t="str">
        <f aca="false">IF($P18=0,CE17,IF(CE$3=$E18,IF($AA18=1,$F18&amp;$AB18,$G18),IF(OR(CE$3=$D18,CE$3=$AC18,CE$3=$AE18),"",IF(CE$3=$AD18,$F18&amp;"R",CE17))))</f>
        <v>bP</v>
      </c>
      <c r="CF18" s="11" t="str">
        <f aca="false">IF($P18=0,CF17,IF(CF$3=$E18,IF($AA18=1,$F18&amp;$AB18,$G18),IF(OR(CF$3=$D18,CF$3=$AC18,CF$3=$AE18),"",IF(CF$3=$AD18,$F18&amp;"R",CF17))))</f>
        <v>bP</v>
      </c>
      <c r="CG18" s="11" t="str">
        <f aca="false">IF($P18=0,CG17,IF(CG$3=$E18,IF($AA18=1,$F18&amp;$AB18,$G18),IF(OR(CG$3=$D18,CG$3=$AC18,CG$3=$AE18),"",IF(CG$3=$AD18,$F18&amp;"R",CG17))))</f>
        <v>bP</v>
      </c>
      <c r="CH18" s="11" t="str">
        <f aca="false">IF($P18=0,CH17,IF(CH$3=$E18,IF($AA18=1,$F18&amp;$AB18,$G18),IF(OR(CH$3=$D18,CH$3=$AC18,CH$3=$AE18),"",IF(CH$3=$AD18,$F18&amp;"R",CH17))))</f>
        <v>bP</v>
      </c>
      <c r="CI18" s="11" t="str">
        <f aca="false">IF($P18=0,CI17,IF(CI$3=$E18,IF($AA18=1,$F18&amp;$AB18,$G18),IF(OR(CI$3=$D18,CI$3=$AC18,CI$3=$AE18),"",IF(CI$3=$AD18,$F18&amp;"R",CI17))))</f>
        <v>bP</v>
      </c>
      <c r="CJ18" s="11" t="str">
        <f aca="false">IF($P18=0,CJ17,IF(CJ$3=$E18,IF($AA18=1,$F18&amp;$AB18,$G18),IF(OR(CJ$3=$D18,CJ$3=$AC18,CJ$3=$AE18),"",IF(CJ$3=$AD18,$F18&amp;"R",CJ17))))</f>
        <v>bP</v>
      </c>
      <c r="CK18" s="11" t="str">
        <f aca="false">IF($P18=0,CK17,IF(CK$3=$E18,IF($AA18=1,$F18&amp;$AB18,$G18),IF(OR(CK$3=$D18,CK$3=$AC18,CK$3=$AE18),"",IF(CK$3=$AD18,$F18&amp;"R",CK17))))</f>
        <v>bP</v>
      </c>
      <c r="CL18" s="11" t="str">
        <f aca="false">IF($P18=0,CL17,IF(CL$3=$E18,IF($AA18=1,$F18&amp;$AB18,$G18),IF(OR(CL$3=$D18,CL$3=$AC18,CL$3=$AE18),"",IF(CL$3=$AD18,$F18&amp;"R",CL17))))</f>
        <v>bR</v>
      </c>
      <c r="CM18" s="11" t="str">
        <f aca="false">IF($P18=0,CM17,IF(CM$3=$E18,IF($AA18=1,$F18&amp;$AB18,$G18),IF(OR(CM$3=$D18,CM$3=$AC18,CM$3=$AE18),"",IF(CM$3=$AD18,$F18&amp;"R",CM17))))</f>
        <v>bN</v>
      </c>
      <c r="CN18" s="11" t="str">
        <f aca="false">IF($P18=0,CN17,IF(CN$3=$E18,IF($AA18=1,$F18&amp;$AB18,$G18),IF(OR(CN$3=$D18,CN$3=$AC18,CN$3=$AE18),"",IF(CN$3=$AD18,$F18&amp;"R",CN17))))</f>
        <v>bB</v>
      </c>
      <c r="CO18" s="11" t="str">
        <f aca="false">IF($P18=0,CO17,IF(CO$3=$E18,IF($AA18=1,$F18&amp;$AB18,$G18),IF(OR(CO$3=$D18,CO$3=$AC18,CO$3=$AE18),"",IF(CO$3=$AD18,$F18&amp;"R",CO17))))</f>
        <v>bQ</v>
      </c>
      <c r="CP18" s="11" t="str">
        <f aca="false">IF($P18=0,CP17,IF(CP$3=$E18,IF($AA18=1,$F18&amp;$AB18,$G18),IF(OR(CP$3=$D18,CP$3=$AC18,CP$3=$AE18),"",IF(CP$3=$AD18,$F18&amp;"R",CP17))))</f>
        <v>bK</v>
      </c>
      <c r="CQ18" s="11" t="str">
        <f aca="false">IF($P18=0,CQ17,IF(CQ$3=$E18,IF($AA18=1,$F18&amp;$AB18,$G18),IF(OR(CQ$3=$D18,CQ$3=$AC18,CQ$3=$AE18),"",IF(CQ$3=$AD18,$F18&amp;"R",CQ17))))</f>
        <v>bB</v>
      </c>
      <c r="CR18" s="11" t="str">
        <f aca="false">IF($P18=0,CR17,IF(CR$3=$E18,IF($AA18=1,$F18&amp;$AB18,$G18),IF(OR(CR$3=$D18,CR$3=$AC18,CR$3=$AE18),"",IF(CR$3=$AD18,$F18&amp;"R",CR17))))</f>
        <v>bN</v>
      </c>
      <c r="CS18" s="11" t="str">
        <f aca="false">IF($P18=0,CS17,IF(CS$3=$E18,IF($AA18=1,$F18&amp;$AB18,$G18),IF(OR(CS$3=$D18,CS$3=$AC18,CS$3=$AE18),"",IF(CS$3=$AD18,$F18&amp;"R",CS17))))</f>
        <v>bR</v>
      </c>
      <c r="CT18" s="11"/>
      <c r="CU18" s="11"/>
      <c r="CV18" s="11"/>
    </row>
    <row r="19" customFormat="false" ht="15" hidden="false" customHeight="false" outlineLevel="0" collapsed="false">
      <c r="A19" s="11" t="n">
        <v>14</v>
      </c>
      <c r="B19" s="11" t="str">
        <f aca="false">IF(Chess!$L$23="","",Chess!$L$23&amp;"")</f>
        <v/>
      </c>
      <c r="C19" s="11" t="str">
        <f aca="false">LOWER(SUBSTITUTE(SUBSTITUTE(SUBSTITUTE(SUBSTITUTE(TRIM($B19),"-",""),"=","")," ",""),"x",""))</f>
        <v/>
      </c>
      <c r="D19" s="11" t="n">
        <f aca="false">IF(LEN($C19)&lt;4,0,IFERROR(IF(AND(CODE(MID($C19,1,1))&gt;=97,CODE(MID($C19,1,1))&lt;=104,VALUE(MID($C19,2,1))&gt;=1,VALUE(MID($C19,2,1))&lt;=8),(VALUE(MID($C19,2,1))-1)*8+CODE(MID($C19,1,1))-96,0),0))</f>
        <v>0</v>
      </c>
      <c r="E19" s="11" t="n">
        <f aca="false">IF(LEN($C19)&lt;4,0,IFERROR(IF(AND(CODE(MID($C19,3,1))&gt;=97,CODE(MID($C19,3,1))&lt;=104,VALUE(MID($C19,4,1))&gt;=1,VALUE(MID($C19,4,1))&lt;=8),(VALUE(MID($C19,4,1))-1)*8+CODE(MID($C19,3,1))-96,0),0))</f>
        <v>0</v>
      </c>
      <c r="F19" s="11" t="str">
        <f aca="false">IF(MOD(SUM($P$5:$P18),2)=0,"w","b")</f>
        <v>w</v>
      </c>
      <c r="G19" s="11" t="str">
        <f aca="false">IF($D19=0,"",INDEX($AH18:$CS18,1,$D19)&amp;"")</f>
        <v/>
      </c>
      <c r="H19" s="11" t="str">
        <f aca="false">IF($E19=0,"",INDEX($AH18:$CS18,1,$E19)&amp;"")</f>
        <v/>
      </c>
      <c r="I19" s="11" t="n">
        <f aca="false">IF(OR($D19=0,$E19=0),0,MOD($E19-1,8)-MOD($D19-1,8))</f>
        <v>0</v>
      </c>
      <c r="J19" s="11" t="n">
        <f aca="false">IF(OR($D19=0,$E19=0),0,INT(($E19-1)/8)-INT(($D19-1)/8))</f>
        <v>0</v>
      </c>
      <c r="K19" s="11" t="str">
        <f aca="false">IF($G19="","",RIGHT($G19,1))</f>
        <v/>
      </c>
      <c r="L19" s="11" t="n">
        <f aca="false">IF(OR($D19=0,$E19=0),0,SUMPRODUCT(($AH$3:$CS$3&gt;MIN($D19,$E19))*($AH$3:$CS$3&lt;MAX($D19,$E19))*(MOD($AH$3:$CS$3-MIN($D19,$E19),MAX(1,ABS(SIGN($J19)*8+SIGN($I19))))=0)*($AH18:$CS18&lt;&gt;"")))</f>
        <v>0</v>
      </c>
      <c r="M19" s="11" t="n">
        <f aca="false">IF($K19&lt;&gt;"K",0,IFERROR(--AND($J19=0,ABS($I19)=2,$D19=IF($F19="w",5,61),IF($F19="w",$S18,$V18)=0,IF($I19=2,AND(IF($F19="w",$U18,$X18)=0,INDEX($AH18:$CS18,1,$D19+1)&amp;""="",INDEX($AH18:$CS18,1,$D19+2)&amp;""=""),AND(IF($F19="w",$T18,$W18)=0,INDEX($AH18:$CS18,1,$D19-1)&amp;""="",INDEX($AH18:$CS18,1,$D19-2)&amp;""="",INDEX($AH18:$CS18,1,$D19-3)&amp;""=""))),0))</f>
        <v>0</v>
      </c>
      <c r="N19" s="11" t="n">
        <f aca="false">IF($K19&lt;&gt;"P",0,IFERROR(--OR(AND($I19=0,$J19=IF($F19="w",1,-1),$H19=""),AND($I19=0,$J19=2*IF($F19="w",1,-1),$H19="",INT(($D19-1)/8)=IF($F19="w",1,6),INDEX($AH18:$CS18,1,MAX(1,MIN(64,$D19+8*IF($F19="w",1,-1))))&amp;""=""),AND(ABS($I19)=1,$J19=IF($F19="w",1,-1),$H19&lt;&gt;""),AND(ABS($I19)=1,$J19=IF($F19="w",1,-1),$H19="",$R18&gt;0,$E19=$R18)),0))</f>
        <v>0</v>
      </c>
      <c r="O19" s="11" t="n">
        <f aca="false">IF(OR($D19=0,$E19=0,$G19=""),0,IF($K19="N",--OR(AND(ABS($I19)=1,ABS($J19)=2),AND(ABS($I19)=2,ABS($J19)=1)),IF($K19="B",--AND(ABS($I19)=ABS($J19),$I19&lt;&gt;0,$L19=0),IF($K19="R",--AND(OR($I19=0,$J19=0),OR($I19&lt;&gt;0,$J19&lt;&gt;0),$L19=0),IF($K19="Q",--AND(OR(AND(ABS($I19)=ABS($J19),$I19&lt;&gt;0),AND(OR($I19=0,$J19=0),OR($I19&lt;&gt;0,$J19&lt;&gt;0))),$L19=0),IF($K19="K",--OR(MAX(ABS($I19),ABS($J19))=1,$M19=1),$N19))))))</f>
        <v>0</v>
      </c>
      <c r="P19" s="11" t="n">
        <f aca="false">IF($Q19="OK",1,0)</f>
        <v>0</v>
      </c>
      <c r="Q19" s="11" t="str">
        <f aca="false">IF($B19="","",IF(OR(COUNTIF($AH18:$CS18,"wK")=0,COUNTIF($AH18:$CS18,"bK")=0),"Game is over",IF(OR($D19=0,$E19=0),"Use the format e2e4",IF($G19="","No piece on that square",IF(LEFT($G19,1)&lt;&gt;$F19,"Not your piece ("&amp;IF($F19="w","White","Black")&amp;" to move)",IF($D19=$E19,"Piece must move",IF(AND($H19&lt;&gt;"",LEFT($H19,1)=$F19),"Cannot capture your own piece",IF($O19=0,"Illegal move for that piece (or path blocked)","OK"))))))))</f>
        <v/>
      </c>
      <c r="R19" s="11" t="n">
        <f aca="false">IF($P19=1,IF(AND($K19="P",ABS($J19)=2),($D19+$E19)/2,0),$R18)</f>
        <v>0</v>
      </c>
      <c r="S19" s="12" t="b">
        <f aca="false">--OR($S18=1,AND($P19=1,OR($D19=5,$E19=5)))</f>
        <v>0</v>
      </c>
      <c r="T19" s="12" t="b">
        <f aca="false">--OR($T18=1,AND($P19=1,OR($D19=1,$E19=1)))</f>
        <v>0</v>
      </c>
      <c r="U19" s="12" t="b">
        <f aca="false">--OR($U18=1,AND($P19=1,OR($D19=8,$E19=8)))</f>
        <v>0</v>
      </c>
      <c r="V19" s="12" t="b">
        <f aca="false">--OR($V18=1,AND($P19=1,OR($D19=61,$E19=61)))</f>
        <v>0</v>
      </c>
      <c r="W19" s="12" t="b">
        <f aca="false">--OR($W18=1,AND($P19=1,OR($D19=57,$E19=57)))</f>
        <v>0</v>
      </c>
      <c r="X19" s="12" t="b">
        <f aca="false">--OR($X18=1,AND($P19=1,OR($D19=64,$E19=64)))</f>
        <v>0</v>
      </c>
      <c r="Y19" s="12" t="b">
        <f aca="false">--AND($P19=1,$K19="K",ABS($I19)=2)</f>
        <v>0</v>
      </c>
      <c r="Z19" s="12" t="b">
        <f aca="false">--AND($P19=1,$K19="P",ABS($I19)=1,$H19="")</f>
        <v>0</v>
      </c>
      <c r="AA19" s="12" t="b">
        <f aca="false">--AND($P19=1,$K19="P",INT(($E19-1)/8)=IF($F19="w",7,0))</f>
        <v>0</v>
      </c>
      <c r="AB19" s="11" t="str">
        <f aca="false">IF(LEN($C19)&gt;=5,IF(ISNUMBER(FIND(MID($C19,5,1),"qrbn")),UPPER(MID($C19,5,1)),"Q"),"Q")</f>
        <v>Q</v>
      </c>
      <c r="AC19" s="11" t="n">
        <f aca="false">IF($Y19=1,IF($I19=2,$D19+3,$D19-4),0)</f>
        <v>0</v>
      </c>
      <c r="AD19" s="11" t="n">
        <f aca="false">IF($Y19=1,IF($I19=2,$D19+1,$D19-1),0)</f>
        <v>0</v>
      </c>
      <c r="AE19" s="11" t="n">
        <f aca="false">IF($Z19=1,$E19-8*IF($F19="w",1,-1),0)</f>
        <v>0</v>
      </c>
      <c r="AF19" s="11" t="str">
        <f aca="false">IF($B19="","",IF($P19=1,LOWER(INDEX($CV$2:$CV$13,MATCH($G19,$CU$2:$CU$13,0)))&amp;" "&amp;MID("abcdefgh",MOD($D19-1,8)+1,1)&amp;(INT(($D19-1)/8)+1)&amp;"→"&amp;MID("abcdefgh",MOD($E19-1,8)+1,1)&amp;(INT(($E19-1)/8)+1)&amp;IF(OR($H19&lt;&gt;"",$Z19=1)," ×","")&amp;IF($Y19=1," castles","")&amp;IF($Z19=1," e.p.","")&amp;IF($AA19=1," =" &amp;LOWER(INDEX($CV$2:$CV$13,MATCH($F19&amp;$AB19,$CU$2:$CU$13,0))),""),"X "&amp;$Q19))</f>
        <v/>
      </c>
      <c r="AG19" s="11"/>
      <c r="AH19" s="11" t="str">
        <f aca="false">IF($P19=0,AH18,IF(AH$3=$E19,IF($AA19=1,$F19&amp;$AB19,$G19),IF(OR(AH$3=$D19,AH$3=$AC19,AH$3=$AE19),"",IF(AH$3=$AD19,$F19&amp;"R",AH18))))</f>
        <v>wR</v>
      </c>
      <c r="AI19" s="11" t="str">
        <f aca="false">IF($P19=0,AI18,IF(AI$3=$E19,IF($AA19=1,$F19&amp;$AB19,$G19),IF(OR(AI$3=$D19,AI$3=$AC19,AI$3=$AE19),"",IF(AI$3=$AD19,$F19&amp;"R",AI18))))</f>
        <v>wN</v>
      </c>
      <c r="AJ19" s="11" t="str">
        <f aca="false">IF($P19=0,AJ18,IF(AJ$3=$E19,IF($AA19=1,$F19&amp;$AB19,$G19),IF(OR(AJ$3=$D19,AJ$3=$AC19,AJ$3=$AE19),"",IF(AJ$3=$AD19,$F19&amp;"R",AJ18))))</f>
        <v>wB</v>
      </c>
      <c r="AK19" s="11" t="str">
        <f aca="false">IF($P19=0,AK18,IF(AK$3=$E19,IF($AA19=1,$F19&amp;$AB19,$G19),IF(OR(AK$3=$D19,AK$3=$AC19,AK$3=$AE19),"",IF(AK$3=$AD19,$F19&amp;"R",AK18))))</f>
        <v>wQ</v>
      </c>
      <c r="AL19" s="11" t="str">
        <f aca="false">IF($P19=0,AL18,IF(AL$3=$E19,IF($AA19=1,$F19&amp;$AB19,$G19),IF(OR(AL$3=$D19,AL$3=$AC19,AL$3=$AE19),"",IF(AL$3=$AD19,$F19&amp;"R",AL18))))</f>
        <v>wK</v>
      </c>
      <c r="AM19" s="11" t="str">
        <f aca="false">IF($P19=0,AM18,IF(AM$3=$E19,IF($AA19=1,$F19&amp;$AB19,$G19),IF(OR(AM$3=$D19,AM$3=$AC19,AM$3=$AE19),"",IF(AM$3=$AD19,$F19&amp;"R",AM18))))</f>
        <v>wB</v>
      </c>
      <c r="AN19" s="11" t="str">
        <f aca="false">IF($P19=0,AN18,IF(AN$3=$E19,IF($AA19=1,$F19&amp;$AB19,$G19),IF(OR(AN$3=$D19,AN$3=$AC19,AN$3=$AE19),"",IF(AN$3=$AD19,$F19&amp;"R",AN18))))</f>
        <v>wN</v>
      </c>
      <c r="AO19" s="11" t="str">
        <f aca="false">IF($P19=0,AO18,IF(AO$3=$E19,IF($AA19=1,$F19&amp;$AB19,$G19),IF(OR(AO$3=$D19,AO$3=$AC19,AO$3=$AE19),"",IF(AO$3=$AD19,$F19&amp;"R",AO18))))</f>
        <v>wR</v>
      </c>
      <c r="AP19" s="11" t="str">
        <f aca="false">IF($P19=0,AP18,IF(AP$3=$E19,IF($AA19=1,$F19&amp;$AB19,$G19),IF(OR(AP$3=$D19,AP$3=$AC19,AP$3=$AE19),"",IF(AP$3=$AD19,$F19&amp;"R",AP18))))</f>
        <v>wP</v>
      </c>
      <c r="AQ19" s="11" t="str">
        <f aca="false">IF($P19=0,AQ18,IF(AQ$3=$E19,IF($AA19=1,$F19&amp;$AB19,$G19),IF(OR(AQ$3=$D19,AQ$3=$AC19,AQ$3=$AE19),"",IF(AQ$3=$AD19,$F19&amp;"R",AQ18))))</f>
        <v>wP</v>
      </c>
      <c r="AR19" s="11" t="str">
        <f aca="false">IF($P19=0,AR18,IF(AR$3=$E19,IF($AA19=1,$F19&amp;$AB19,$G19),IF(OR(AR$3=$D19,AR$3=$AC19,AR$3=$AE19),"",IF(AR$3=$AD19,$F19&amp;"R",AR18))))</f>
        <v>wP</v>
      </c>
      <c r="AS19" s="11" t="str">
        <f aca="false">IF($P19=0,AS18,IF(AS$3=$E19,IF($AA19=1,$F19&amp;$AB19,$G19),IF(OR(AS$3=$D19,AS$3=$AC19,AS$3=$AE19),"",IF(AS$3=$AD19,$F19&amp;"R",AS18))))</f>
        <v>wP</v>
      </c>
      <c r="AT19" s="11" t="str">
        <f aca="false">IF($P19=0,AT18,IF(AT$3=$E19,IF($AA19=1,$F19&amp;$AB19,$G19),IF(OR(AT$3=$D19,AT$3=$AC19,AT$3=$AE19),"",IF(AT$3=$AD19,$F19&amp;"R",AT18))))</f>
        <v>wP</v>
      </c>
      <c r="AU19" s="11" t="str">
        <f aca="false">IF($P19=0,AU18,IF(AU$3=$E19,IF($AA19=1,$F19&amp;$AB19,$G19),IF(OR(AU$3=$D19,AU$3=$AC19,AU$3=$AE19),"",IF(AU$3=$AD19,$F19&amp;"R",AU18))))</f>
        <v>wP</v>
      </c>
      <c r="AV19" s="11" t="str">
        <f aca="false">IF($P19=0,AV18,IF(AV$3=$E19,IF($AA19=1,$F19&amp;$AB19,$G19),IF(OR(AV$3=$D19,AV$3=$AC19,AV$3=$AE19),"",IF(AV$3=$AD19,$F19&amp;"R",AV18))))</f>
        <v>wP</v>
      </c>
      <c r="AW19" s="11" t="str">
        <f aca="false">IF($P19=0,AW18,IF(AW$3=$E19,IF($AA19=1,$F19&amp;$AB19,$G19),IF(OR(AW$3=$D19,AW$3=$AC19,AW$3=$AE19),"",IF(AW$3=$AD19,$F19&amp;"R",AW18))))</f>
        <v>wP</v>
      </c>
      <c r="AX19" s="11" t="str">
        <f aca="false">IF($P19=0,AX18,IF(AX$3=$E19,IF($AA19=1,$F19&amp;$AB19,$G19),IF(OR(AX$3=$D19,AX$3=$AC19,AX$3=$AE19),"",IF(AX$3=$AD19,$F19&amp;"R",AX18))))</f>
        <v/>
      </c>
      <c r="AY19" s="11" t="str">
        <f aca="false">IF($P19=0,AY18,IF(AY$3=$E19,IF($AA19=1,$F19&amp;$AB19,$G19),IF(OR(AY$3=$D19,AY$3=$AC19,AY$3=$AE19),"",IF(AY$3=$AD19,$F19&amp;"R",AY18))))</f>
        <v/>
      </c>
      <c r="AZ19" s="11" t="str">
        <f aca="false">IF($P19=0,AZ18,IF(AZ$3=$E19,IF($AA19=1,$F19&amp;$AB19,$G19),IF(OR(AZ$3=$D19,AZ$3=$AC19,AZ$3=$AE19),"",IF(AZ$3=$AD19,$F19&amp;"R",AZ18))))</f>
        <v/>
      </c>
      <c r="BA19" s="11" t="str">
        <f aca="false">IF($P19=0,BA18,IF(BA$3=$E19,IF($AA19=1,$F19&amp;$AB19,$G19),IF(OR(BA$3=$D19,BA$3=$AC19,BA$3=$AE19),"",IF(BA$3=$AD19,$F19&amp;"R",BA18))))</f>
        <v/>
      </c>
      <c r="BB19" s="11" t="str">
        <f aca="false">IF($P19=0,BB18,IF(BB$3=$E19,IF($AA19=1,$F19&amp;$AB19,$G19),IF(OR(BB$3=$D19,BB$3=$AC19,BB$3=$AE19),"",IF(BB$3=$AD19,$F19&amp;"R",BB18))))</f>
        <v/>
      </c>
      <c r="BC19" s="11" t="str">
        <f aca="false">IF($P19=0,BC18,IF(BC$3=$E19,IF($AA19=1,$F19&amp;$AB19,$G19),IF(OR(BC$3=$D19,BC$3=$AC19,BC$3=$AE19),"",IF(BC$3=$AD19,$F19&amp;"R",BC18))))</f>
        <v/>
      </c>
      <c r="BD19" s="11" t="str">
        <f aca="false">IF($P19=0,BD18,IF(BD$3=$E19,IF($AA19=1,$F19&amp;$AB19,$G19),IF(OR(BD$3=$D19,BD$3=$AC19,BD$3=$AE19),"",IF(BD$3=$AD19,$F19&amp;"R",BD18))))</f>
        <v/>
      </c>
      <c r="BE19" s="11" t="str">
        <f aca="false">IF($P19=0,BE18,IF(BE$3=$E19,IF($AA19=1,$F19&amp;$AB19,$G19),IF(OR(BE$3=$D19,BE$3=$AC19,BE$3=$AE19),"",IF(BE$3=$AD19,$F19&amp;"R",BE18))))</f>
        <v/>
      </c>
      <c r="BF19" s="11" t="str">
        <f aca="false">IF($P19=0,BF18,IF(BF$3=$E19,IF($AA19=1,$F19&amp;$AB19,$G19),IF(OR(BF$3=$D19,BF$3=$AC19,BF$3=$AE19),"",IF(BF$3=$AD19,$F19&amp;"R",BF18))))</f>
        <v/>
      </c>
      <c r="BG19" s="11" t="str">
        <f aca="false">IF($P19=0,BG18,IF(BG$3=$E19,IF($AA19=1,$F19&amp;$AB19,$G19),IF(OR(BG$3=$D19,BG$3=$AC19,BG$3=$AE19),"",IF(BG$3=$AD19,$F19&amp;"R",BG18))))</f>
        <v/>
      </c>
      <c r="BH19" s="11" t="str">
        <f aca="false">IF($P19=0,BH18,IF(BH$3=$E19,IF($AA19=1,$F19&amp;$AB19,$G19),IF(OR(BH$3=$D19,BH$3=$AC19,BH$3=$AE19),"",IF(BH$3=$AD19,$F19&amp;"R",BH18))))</f>
        <v/>
      </c>
      <c r="BI19" s="11" t="str">
        <f aca="false">IF($P19=0,BI18,IF(BI$3=$E19,IF($AA19=1,$F19&amp;$AB19,$G19),IF(OR(BI$3=$D19,BI$3=$AC19,BI$3=$AE19),"",IF(BI$3=$AD19,$F19&amp;"R",BI18))))</f>
        <v/>
      </c>
      <c r="BJ19" s="11" t="str">
        <f aca="false">IF($P19=0,BJ18,IF(BJ$3=$E19,IF($AA19=1,$F19&amp;$AB19,$G19),IF(OR(BJ$3=$D19,BJ$3=$AC19,BJ$3=$AE19),"",IF(BJ$3=$AD19,$F19&amp;"R",BJ18))))</f>
        <v/>
      </c>
      <c r="BK19" s="11" t="str">
        <f aca="false">IF($P19=0,BK18,IF(BK$3=$E19,IF($AA19=1,$F19&amp;$AB19,$G19),IF(OR(BK$3=$D19,BK$3=$AC19,BK$3=$AE19),"",IF(BK$3=$AD19,$F19&amp;"R",BK18))))</f>
        <v/>
      </c>
      <c r="BL19" s="11" t="str">
        <f aca="false">IF($P19=0,BL18,IF(BL$3=$E19,IF($AA19=1,$F19&amp;$AB19,$G19),IF(OR(BL$3=$D19,BL$3=$AC19,BL$3=$AE19),"",IF(BL$3=$AD19,$F19&amp;"R",BL18))))</f>
        <v/>
      </c>
      <c r="BM19" s="11" t="str">
        <f aca="false">IF($P19=0,BM18,IF(BM$3=$E19,IF($AA19=1,$F19&amp;$AB19,$G19),IF(OR(BM$3=$D19,BM$3=$AC19,BM$3=$AE19),"",IF(BM$3=$AD19,$F19&amp;"R",BM18))))</f>
        <v/>
      </c>
      <c r="BN19" s="11" t="str">
        <f aca="false">IF($P19=0,BN18,IF(BN$3=$E19,IF($AA19=1,$F19&amp;$AB19,$G19),IF(OR(BN$3=$D19,BN$3=$AC19,BN$3=$AE19),"",IF(BN$3=$AD19,$F19&amp;"R",BN18))))</f>
        <v/>
      </c>
      <c r="BO19" s="11" t="str">
        <f aca="false">IF($P19=0,BO18,IF(BO$3=$E19,IF($AA19=1,$F19&amp;$AB19,$G19),IF(OR(BO$3=$D19,BO$3=$AC19,BO$3=$AE19),"",IF(BO$3=$AD19,$F19&amp;"R",BO18))))</f>
        <v/>
      </c>
      <c r="BP19" s="11" t="str">
        <f aca="false">IF($P19=0,BP18,IF(BP$3=$E19,IF($AA19=1,$F19&amp;$AB19,$G19),IF(OR(BP$3=$D19,BP$3=$AC19,BP$3=$AE19),"",IF(BP$3=$AD19,$F19&amp;"R",BP18))))</f>
        <v/>
      </c>
      <c r="BQ19" s="11" t="str">
        <f aca="false">IF($P19=0,BQ18,IF(BQ$3=$E19,IF($AA19=1,$F19&amp;$AB19,$G19),IF(OR(BQ$3=$D19,BQ$3=$AC19,BQ$3=$AE19),"",IF(BQ$3=$AD19,$F19&amp;"R",BQ18))))</f>
        <v/>
      </c>
      <c r="BR19" s="11" t="str">
        <f aca="false">IF($P19=0,BR18,IF(BR$3=$E19,IF($AA19=1,$F19&amp;$AB19,$G19),IF(OR(BR$3=$D19,BR$3=$AC19,BR$3=$AE19),"",IF(BR$3=$AD19,$F19&amp;"R",BR18))))</f>
        <v/>
      </c>
      <c r="BS19" s="11" t="str">
        <f aca="false">IF($P19=0,BS18,IF(BS$3=$E19,IF($AA19=1,$F19&amp;$AB19,$G19),IF(OR(BS$3=$D19,BS$3=$AC19,BS$3=$AE19),"",IF(BS$3=$AD19,$F19&amp;"R",BS18))))</f>
        <v/>
      </c>
      <c r="BT19" s="11" t="str">
        <f aca="false">IF($P19=0,BT18,IF(BT$3=$E19,IF($AA19=1,$F19&amp;$AB19,$G19),IF(OR(BT$3=$D19,BT$3=$AC19,BT$3=$AE19),"",IF(BT$3=$AD19,$F19&amp;"R",BT18))))</f>
        <v/>
      </c>
      <c r="BU19" s="11" t="str">
        <f aca="false">IF($P19=0,BU18,IF(BU$3=$E19,IF($AA19=1,$F19&amp;$AB19,$G19),IF(OR(BU$3=$D19,BU$3=$AC19,BU$3=$AE19),"",IF(BU$3=$AD19,$F19&amp;"R",BU18))))</f>
        <v/>
      </c>
      <c r="BV19" s="11" t="str">
        <f aca="false">IF($P19=0,BV18,IF(BV$3=$E19,IF($AA19=1,$F19&amp;$AB19,$G19),IF(OR(BV$3=$D19,BV$3=$AC19,BV$3=$AE19),"",IF(BV$3=$AD19,$F19&amp;"R",BV18))))</f>
        <v/>
      </c>
      <c r="BW19" s="11" t="str">
        <f aca="false">IF($P19=0,BW18,IF(BW$3=$E19,IF($AA19=1,$F19&amp;$AB19,$G19),IF(OR(BW$3=$D19,BW$3=$AC19,BW$3=$AE19),"",IF(BW$3=$AD19,$F19&amp;"R",BW18))))</f>
        <v/>
      </c>
      <c r="BX19" s="11" t="str">
        <f aca="false">IF($P19=0,BX18,IF(BX$3=$E19,IF($AA19=1,$F19&amp;$AB19,$G19),IF(OR(BX$3=$D19,BX$3=$AC19,BX$3=$AE19),"",IF(BX$3=$AD19,$F19&amp;"R",BX18))))</f>
        <v/>
      </c>
      <c r="BY19" s="11" t="str">
        <f aca="false">IF($P19=0,BY18,IF(BY$3=$E19,IF($AA19=1,$F19&amp;$AB19,$G19),IF(OR(BY$3=$D19,BY$3=$AC19,BY$3=$AE19),"",IF(BY$3=$AD19,$F19&amp;"R",BY18))))</f>
        <v/>
      </c>
      <c r="BZ19" s="11" t="str">
        <f aca="false">IF($P19=0,BZ18,IF(BZ$3=$E19,IF($AA19=1,$F19&amp;$AB19,$G19),IF(OR(BZ$3=$D19,BZ$3=$AC19,BZ$3=$AE19),"",IF(BZ$3=$AD19,$F19&amp;"R",BZ18))))</f>
        <v/>
      </c>
      <c r="CA19" s="11" t="str">
        <f aca="false">IF($P19=0,CA18,IF(CA$3=$E19,IF($AA19=1,$F19&amp;$AB19,$G19),IF(OR(CA$3=$D19,CA$3=$AC19,CA$3=$AE19),"",IF(CA$3=$AD19,$F19&amp;"R",CA18))))</f>
        <v/>
      </c>
      <c r="CB19" s="11" t="str">
        <f aca="false">IF($P19=0,CB18,IF(CB$3=$E19,IF($AA19=1,$F19&amp;$AB19,$G19),IF(OR(CB$3=$D19,CB$3=$AC19,CB$3=$AE19),"",IF(CB$3=$AD19,$F19&amp;"R",CB18))))</f>
        <v/>
      </c>
      <c r="CC19" s="11" t="str">
        <f aca="false">IF($P19=0,CC18,IF(CC$3=$E19,IF($AA19=1,$F19&amp;$AB19,$G19),IF(OR(CC$3=$D19,CC$3=$AC19,CC$3=$AE19),"",IF(CC$3=$AD19,$F19&amp;"R",CC18))))</f>
        <v/>
      </c>
      <c r="CD19" s="11" t="str">
        <f aca="false">IF($P19=0,CD18,IF(CD$3=$E19,IF($AA19=1,$F19&amp;$AB19,$G19),IF(OR(CD$3=$D19,CD$3=$AC19,CD$3=$AE19),"",IF(CD$3=$AD19,$F19&amp;"R",CD18))))</f>
        <v>bP</v>
      </c>
      <c r="CE19" s="11" t="str">
        <f aca="false">IF($P19=0,CE18,IF(CE$3=$E19,IF($AA19=1,$F19&amp;$AB19,$G19),IF(OR(CE$3=$D19,CE$3=$AC19,CE$3=$AE19),"",IF(CE$3=$AD19,$F19&amp;"R",CE18))))</f>
        <v>bP</v>
      </c>
      <c r="CF19" s="11" t="str">
        <f aca="false">IF($P19=0,CF18,IF(CF$3=$E19,IF($AA19=1,$F19&amp;$AB19,$G19),IF(OR(CF$3=$D19,CF$3=$AC19,CF$3=$AE19),"",IF(CF$3=$AD19,$F19&amp;"R",CF18))))</f>
        <v>bP</v>
      </c>
      <c r="CG19" s="11" t="str">
        <f aca="false">IF($P19=0,CG18,IF(CG$3=$E19,IF($AA19=1,$F19&amp;$AB19,$G19),IF(OR(CG$3=$D19,CG$3=$AC19,CG$3=$AE19),"",IF(CG$3=$AD19,$F19&amp;"R",CG18))))</f>
        <v>bP</v>
      </c>
      <c r="CH19" s="11" t="str">
        <f aca="false">IF($P19=0,CH18,IF(CH$3=$E19,IF($AA19=1,$F19&amp;$AB19,$G19),IF(OR(CH$3=$D19,CH$3=$AC19,CH$3=$AE19),"",IF(CH$3=$AD19,$F19&amp;"R",CH18))))</f>
        <v>bP</v>
      </c>
      <c r="CI19" s="11" t="str">
        <f aca="false">IF($P19=0,CI18,IF(CI$3=$E19,IF($AA19=1,$F19&amp;$AB19,$G19),IF(OR(CI$3=$D19,CI$3=$AC19,CI$3=$AE19),"",IF(CI$3=$AD19,$F19&amp;"R",CI18))))</f>
        <v>bP</v>
      </c>
      <c r="CJ19" s="11" t="str">
        <f aca="false">IF($P19=0,CJ18,IF(CJ$3=$E19,IF($AA19=1,$F19&amp;$AB19,$G19),IF(OR(CJ$3=$D19,CJ$3=$AC19,CJ$3=$AE19),"",IF(CJ$3=$AD19,$F19&amp;"R",CJ18))))</f>
        <v>bP</v>
      </c>
      <c r="CK19" s="11" t="str">
        <f aca="false">IF($P19=0,CK18,IF(CK$3=$E19,IF($AA19=1,$F19&amp;$AB19,$G19),IF(OR(CK$3=$D19,CK$3=$AC19,CK$3=$AE19),"",IF(CK$3=$AD19,$F19&amp;"R",CK18))))</f>
        <v>bP</v>
      </c>
      <c r="CL19" s="11" t="str">
        <f aca="false">IF($P19=0,CL18,IF(CL$3=$E19,IF($AA19=1,$F19&amp;$AB19,$G19),IF(OR(CL$3=$D19,CL$3=$AC19,CL$3=$AE19),"",IF(CL$3=$AD19,$F19&amp;"R",CL18))))</f>
        <v>bR</v>
      </c>
      <c r="CM19" s="11" t="str">
        <f aca="false">IF($P19=0,CM18,IF(CM$3=$E19,IF($AA19=1,$F19&amp;$AB19,$G19),IF(OR(CM$3=$D19,CM$3=$AC19,CM$3=$AE19),"",IF(CM$3=$AD19,$F19&amp;"R",CM18))))</f>
        <v>bN</v>
      </c>
      <c r="CN19" s="11" t="str">
        <f aca="false">IF($P19=0,CN18,IF(CN$3=$E19,IF($AA19=1,$F19&amp;$AB19,$G19),IF(OR(CN$3=$D19,CN$3=$AC19,CN$3=$AE19),"",IF(CN$3=$AD19,$F19&amp;"R",CN18))))</f>
        <v>bB</v>
      </c>
      <c r="CO19" s="11" t="str">
        <f aca="false">IF($P19=0,CO18,IF(CO$3=$E19,IF($AA19=1,$F19&amp;$AB19,$G19),IF(OR(CO$3=$D19,CO$3=$AC19,CO$3=$AE19),"",IF(CO$3=$AD19,$F19&amp;"R",CO18))))</f>
        <v>bQ</v>
      </c>
      <c r="CP19" s="11" t="str">
        <f aca="false">IF($P19=0,CP18,IF(CP$3=$E19,IF($AA19=1,$F19&amp;$AB19,$G19),IF(OR(CP$3=$D19,CP$3=$AC19,CP$3=$AE19),"",IF(CP$3=$AD19,$F19&amp;"R",CP18))))</f>
        <v>bK</v>
      </c>
      <c r="CQ19" s="11" t="str">
        <f aca="false">IF($P19=0,CQ18,IF(CQ$3=$E19,IF($AA19=1,$F19&amp;$AB19,$G19),IF(OR(CQ$3=$D19,CQ$3=$AC19,CQ$3=$AE19),"",IF(CQ$3=$AD19,$F19&amp;"R",CQ18))))</f>
        <v>bB</v>
      </c>
      <c r="CR19" s="11" t="str">
        <f aca="false">IF($P19=0,CR18,IF(CR$3=$E19,IF($AA19=1,$F19&amp;$AB19,$G19),IF(OR(CR$3=$D19,CR$3=$AC19,CR$3=$AE19),"",IF(CR$3=$AD19,$F19&amp;"R",CR18))))</f>
        <v>bN</v>
      </c>
      <c r="CS19" s="11" t="str">
        <f aca="false">IF($P19=0,CS18,IF(CS$3=$E19,IF($AA19=1,$F19&amp;$AB19,$G19),IF(OR(CS$3=$D19,CS$3=$AC19,CS$3=$AE19),"",IF(CS$3=$AD19,$F19&amp;"R",CS18))))</f>
        <v>bR</v>
      </c>
      <c r="CT19" s="11"/>
      <c r="CU19" s="11"/>
      <c r="CV19" s="11"/>
    </row>
    <row r="20" customFormat="false" ht="15" hidden="false" customHeight="false" outlineLevel="0" collapsed="false">
      <c r="A20" s="11" t="n">
        <v>15</v>
      </c>
      <c r="B20" s="11" t="str">
        <f aca="false">IF(Chess!$L$24="","",Chess!$L$24&amp;"")</f>
        <v/>
      </c>
      <c r="C20" s="11" t="str">
        <f aca="false">LOWER(SUBSTITUTE(SUBSTITUTE(SUBSTITUTE(SUBSTITUTE(TRIM($B20),"-",""),"=","")," ",""),"x",""))</f>
        <v/>
      </c>
      <c r="D20" s="11" t="n">
        <f aca="false">IF(LEN($C20)&lt;4,0,IFERROR(IF(AND(CODE(MID($C20,1,1))&gt;=97,CODE(MID($C20,1,1))&lt;=104,VALUE(MID($C20,2,1))&gt;=1,VALUE(MID($C20,2,1))&lt;=8),(VALUE(MID($C20,2,1))-1)*8+CODE(MID($C20,1,1))-96,0),0))</f>
        <v>0</v>
      </c>
      <c r="E20" s="11" t="n">
        <f aca="false">IF(LEN($C20)&lt;4,0,IFERROR(IF(AND(CODE(MID($C20,3,1))&gt;=97,CODE(MID($C20,3,1))&lt;=104,VALUE(MID($C20,4,1))&gt;=1,VALUE(MID($C20,4,1))&lt;=8),(VALUE(MID($C20,4,1))-1)*8+CODE(MID($C20,3,1))-96,0),0))</f>
        <v>0</v>
      </c>
      <c r="F20" s="11" t="str">
        <f aca="false">IF(MOD(SUM($P$5:$P19),2)=0,"w","b")</f>
        <v>w</v>
      </c>
      <c r="G20" s="11" t="str">
        <f aca="false">IF($D20=0,"",INDEX($AH19:$CS19,1,$D20)&amp;"")</f>
        <v/>
      </c>
      <c r="H20" s="11" t="str">
        <f aca="false">IF($E20=0,"",INDEX($AH19:$CS19,1,$E20)&amp;"")</f>
        <v/>
      </c>
      <c r="I20" s="11" t="n">
        <f aca="false">IF(OR($D20=0,$E20=0),0,MOD($E20-1,8)-MOD($D20-1,8))</f>
        <v>0</v>
      </c>
      <c r="J20" s="11" t="n">
        <f aca="false">IF(OR($D20=0,$E20=0),0,INT(($E20-1)/8)-INT(($D20-1)/8))</f>
        <v>0</v>
      </c>
      <c r="K20" s="11" t="str">
        <f aca="false">IF($G20="","",RIGHT($G20,1))</f>
        <v/>
      </c>
      <c r="L20" s="11" t="n">
        <f aca="false">IF(OR($D20=0,$E20=0),0,SUMPRODUCT(($AH$3:$CS$3&gt;MIN($D20,$E20))*($AH$3:$CS$3&lt;MAX($D20,$E20))*(MOD($AH$3:$CS$3-MIN($D20,$E20),MAX(1,ABS(SIGN($J20)*8+SIGN($I20))))=0)*($AH19:$CS19&lt;&gt;"")))</f>
        <v>0</v>
      </c>
      <c r="M20" s="11" t="n">
        <f aca="false">IF($K20&lt;&gt;"K",0,IFERROR(--AND($J20=0,ABS($I20)=2,$D20=IF($F20="w",5,61),IF($F20="w",$S19,$V19)=0,IF($I20=2,AND(IF($F20="w",$U19,$X19)=0,INDEX($AH19:$CS19,1,$D20+1)&amp;""="",INDEX($AH19:$CS19,1,$D20+2)&amp;""=""),AND(IF($F20="w",$T19,$W19)=0,INDEX($AH19:$CS19,1,$D20-1)&amp;""="",INDEX($AH19:$CS19,1,$D20-2)&amp;""="",INDEX($AH19:$CS19,1,$D20-3)&amp;""=""))),0))</f>
        <v>0</v>
      </c>
      <c r="N20" s="11" t="n">
        <f aca="false">IF($K20&lt;&gt;"P",0,IFERROR(--OR(AND($I20=0,$J20=IF($F20="w",1,-1),$H20=""),AND($I20=0,$J20=2*IF($F20="w",1,-1),$H20="",INT(($D20-1)/8)=IF($F20="w",1,6),INDEX($AH19:$CS19,1,MAX(1,MIN(64,$D20+8*IF($F20="w",1,-1))))&amp;""=""),AND(ABS($I20)=1,$J20=IF($F20="w",1,-1),$H20&lt;&gt;""),AND(ABS($I20)=1,$J20=IF($F20="w",1,-1),$H20="",$R19&gt;0,$E20=$R19)),0))</f>
        <v>0</v>
      </c>
      <c r="O20" s="11" t="n">
        <f aca="false">IF(OR($D20=0,$E20=0,$G20=""),0,IF($K20="N",--OR(AND(ABS($I20)=1,ABS($J20)=2),AND(ABS($I20)=2,ABS($J20)=1)),IF($K20="B",--AND(ABS($I20)=ABS($J20),$I20&lt;&gt;0,$L20=0),IF($K20="R",--AND(OR($I20=0,$J20=0),OR($I20&lt;&gt;0,$J20&lt;&gt;0),$L20=0),IF($K20="Q",--AND(OR(AND(ABS($I20)=ABS($J20),$I20&lt;&gt;0),AND(OR($I20=0,$J20=0),OR($I20&lt;&gt;0,$J20&lt;&gt;0))),$L20=0),IF($K20="K",--OR(MAX(ABS($I20),ABS($J20))=1,$M20=1),$N20))))))</f>
        <v>0</v>
      </c>
      <c r="P20" s="11" t="n">
        <f aca="false">IF($Q20="OK",1,0)</f>
        <v>0</v>
      </c>
      <c r="Q20" s="11" t="str">
        <f aca="false">IF($B20="","",IF(OR(COUNTIF($AH19:$CS19,"wK")=0,COUNTIF($AH19:$CS19,"bK")=0),"Game is over",IF(OR($D20=0,$E20=0),"Use the format e2e4",IF($G20="","No piece on that square",IF(LEFT($G20,1)&lt;&gt;$F20,"Not your piece ("&amp;IF($F20="w","White","Black")&amp;" to move)",IF($D20=$E20,"Piece must move",IF(AND($H20&lt;&gt;"",LEFT($H20,1)=$F20),"Cannot capture your own piece",IF($O20=0,"Illegal move for that piece (or path blocked)","OK"))))))))</f>
        <v/>
      </c>
      <c r="R20" s="11" t="n">
        <f aca="false">IF($P20=1,IF(AND($K20="P",ABS($J20)=2),($D20+$E20)/2,0),$R19)</f>
        <v>0</v>
      </c>
      <c r="S20" s="12" t="b">
        <f aca="false">--OR($S19=1,AND($P20=1,OR($D20=5,$E20=5)))</f>
        <v>0</v>
      </c>
      <c r="T20" s="12" t="b">
        <f aca="false">--OR($T19=1,AND($P20=1,OR($D20=1,$E20=1)))</f>
        <v>0</v>
      </c>
      <c r="U20" s="12" t="b">
        <f aca="false">--OR($U19=1,AND($P20=1,OR($D20=8,$E20=8)))</f>
        <v>0</v>
      </c>
      <c r="V20" s="12" t="b">
        <f aca="false">--OR($V19=1,AND($P20=1,OR($D20=61,$E20=61)))</f>
        <v>0</v>
      </c>
      <c r="W20" s="12" t="b">
        <f aca="false">--OR($W19=1,AND($P20=1,OR($D20=57,$E20=57)))</f>
        <v>0</v>
      </c>
      <c r="X20" s="12" t="b">
        <f aca="false">--OR($X19=1,AND($P20=1,OR($D20=64,$E20=64)))</f>
        <v>0</v>
      </c>
      <c r="Y20" s="12" t="b">
        <f aca="false">--AND($P20=1,$K20="K",ABS($I20)=2)</f>
        <v>0</v>
      </c>
      <c r="Z20" s="12" t="b">
        <f aca="false">--AND($P20=1,$K20="P",ABS($I20)=1,$H20="")</f>
        <v>0</v>
      </c>
      <c r="AA20" s="12" t="b">
        <f aca="false">--AND($P20=1,$K20="P",INT(($E20-1)/8)=IF($F20="w",7,0))</f>
        <v>0</v>
      </c>
      <c r="AB20" s="11" t="str">
        <f aca="false">IF(LEN($C20)&gt;=5,IF(ISNUMBER(FIND(MID($C20,5,1),"qrbn")),UPPER(MID($C20,5,1)),"Q"),"Q")</f>
        <v>Q</v>
      </c>
      <c r="AC20" s="11" t="n">
        <f aca="false">IF($Y20=1,IF($I20=2,$D20+3,$D20-4),0)</f>
        <v>0</v>
      </c>
      <c r="AD20" s="11" t="n">
        <f aca="false">IF($Y20=1,IF($I20=2,$D20+1,$D20-1),0)</f>
        <v>0</v>
      </c>
      <c r="AE20" s="11" t="n">
        <f aca="false">IF($Z20=1,$E20-8*IF($F20="w",1,-1),0)</f>
        <v>0</v>
      </c>
      <c r="AF20" s="11" t="str">
        <f aca="false">IF($B20="","",IF($P20=1,LOWER(INDEX($CV$2:$CV$13,MATCH($G20,$CU$2:$CU$13,0)))&amp;" "&amp;MID("abcdefgh",MOD($D20-1,8)+1,1)&amp;(INT(($D20-1)/8)+1)&amp;"→"&amp;MID("abcdefgh",MOD($E20-1,8)+1,1)&amp;(INT(($E20-1)/8)+1)&amp;IF(OR($H20&lt;&gt;"",$Z20=1)," ×","")&amp;IF($Y20=1," castles","")&amp;IF($Z20=1," e.p.","")&amp;IF($AA20=1," =" &amp;LOWER(INDEX($CV$2:$CV$13,MATCH($F20&amp;$AB20,$CU$2:$CU$13,0))),""),"X "&amp;$Q20))</f>
        <v/>
      </c>
      <c r="AG20" s="11"/>
      <c r="AH20" s="11" t="str">
        <f aca="false">IF($P20=0,AH19,IF(AH$3=$E20,IF($AA20=1,$F20&amp;$AB20,$G20),IF(OR(AH$3=$D20,AH$3=$AC20,AH$3=$AE20),"",IF(AH$3=$AD20,$F20&amp;"R",AH19))))</f>
        <v>wR</v>
      </c>
      <c r="AI20" s="11" t="str">
        <f aca="false">IF($P20=0,AI19,IF(AI$3=$E20,IF($AA20=1,$F20&amp;$AB20,$G20),IF(OR(AI$3=$D20,AI$3=$AC20,AI$3=$AE20),"",IF(AI$3=$AD20,$F20&amp;"R",AI19))))</f>
        <v>wN</v>
      </c>
      <c r="AJ20" s="11" t="str">
        <f aca="false">IF($P20=0,AJ19,IF(AJ$3=$E20,IF($AA20=1,$F20&amp;$AB20,$G20),IF(OR(AJ$3=$D20,AJ$3=$AC20,AJ$3=$AE20),"",IF(AJ$3=$AD20,$F20&amp;"R",AJ19))))</f>
        <v>wB</v>
      </c>
      <c r="AK20" s="11" t="str">
        <f aca="false">IF($P20=0,AK19,IF(AK$3=$E20,IF($AA20=1,$F20&amp;$AB20,$G20),IF(OR(AK$3=$D20,AK$3=$AC20,AK$3=$AE20),"",IF(AK$3=$AD20,$F20&amp;"R",AK19))))</f>
        <v>wQ</v>
      </c>
      <c r="AL20" s="11" t="str">
        <f aca="false">IF($P20=0,AL19,IF(AL$3=$E20,IF($AA20=1,$F20&amp;$AB20,$G20),IF(OR(AL$3=$D20,AL$3=$AC20,AL$3=$AE20),"",IF(AL$3=$AD20,$F20&amp;"R",AL19))))</f>
        <v>wK</v>
      </c>
      <c r="AM20" s="11" t="str">
        <f aca="false">IF($P20=0,AM19,IF(AM$3=$E20,IF($AA20=1,$F20&amp;$AB20,$G20),IF(OR(AM$3=$D20,AM$3=$AC20,AM$3=$AE20),"",IF(AM$3=$AD20,$F20&amp;"R",AM19))))</f>
        <v>wB</v>
      </c>
      <c r="AN20" s="11" t="str">
        <f aca="false">IF($P20=0,AN19,IF(AN$3=$E20,IF($AA20=1,$F20&amp;$AB20,$G20),IF(OR(AN$3=$D20,AN$3=$AC20,AN$3=$AE20),"",IF(AN$3=$AD20,$F20&amp;"R",AN19))))</f>
        <v>wN</v>
      </c>
      <c r="AO20" s="11" t="str">
        <f aca="false">IF($P20=0,AO19,IF(AO$3=$E20,IF($AA20=1,$F20&amp;$AB20,$G20),IF(OR(AO$3=$D20,AO$3=$AC20,AO$3=$AE20),"",IF(AO$3=$AD20,$F20&amp;"R",AO19))))</f>
        <v>wR</v>
      </c>
      <c r="AP20" s="11" t="str">
        <f aca="false">IF($P20=0,AP19,IF(AP$3=$E20,IF($AA20=1,$F20&amp;$AB20,$G20),IF(OR(AP$3=$D20,AP$3=$AC20,AP$3=$AE20),"",IF(AP$3=$AD20,$F20&amp;"R",AP19))))</f>
        <v>wP</v>
      </c>
      <c r="AQ20" s="11" t="str">
        <f aca="false">IF($P20=0,AQ19,IF(AQ$3=$E20,IF($AA20=1,$F20&amp;$AB20,$G20),IF(OR(AQ$3=$D20,AQ$3=$AC20,AQ$3=$AE20),"",IF(AQ$3=$AD20,$F20&amp;"R",AQ19))))</f>
        <v>wP</v>
      </c>
      <c r="AR20" s="11" t="str">
        <f aca="false">IF($P20=0,AR19,IF(AR$3=$E20,IF($AA20=1,$F20&amp;$AB20,$G20),IF(OR(AR$3=$D20,AR$3=$AC20,AR$3=$AE20),"",IF(AR$3=$AD20,$F20&amp;"R",AR19))))</f>
        <v>wP</v>
      </c>
      <c r="AS20" s="11" t="str">
        <f aca="false">IF($P20=0,AS19,IF(AS$3=$E20,IF($AA20=1,$F20&amp;$AB20,$G20),IF(OR(AS$3=$D20,AS$3=$AC20,AS$3=$AE20),"",IF(AS$3=$AD20,$F20&amp;"R",AS19))))</f>
        <v>wP</v>
      </c>
      <c r="AT20" s="11" t="str">
        <f aca="false">IF($P20=0,AT19,IF(AT$3=$E20,IF($AA20=1,$F20&amp;$AB20,$G20),IF(OR(AT$3=$D20,AT$3=$AC20,AT$3=$AE20),"",IF(AT$3=$AD20,$F20&amp;"R",AT19))))</f>
        <v>wP</v>
      </c>
      <c r="AU20" s="11" t="str">
        <f aca="false">IF($P20=0,AU19,IF(AU$3=$E20,IF($AA20=1,$F20&amp;$AB20,$G20),IF(OR(AU$3=$D20,AU$3=$AC20,AU$3=$AE20),"",IF(AU$3=$AD20,$F20&amp;"R",AU19))))</f>
        <v>wP</v>
      </c>
      <c r="AV20" s="11" t="str">
        <f aca="false">IF($P20=0,AV19,IF(AV$3=$E20,IF($AA20=1,$F20&amp;$AB20,$G20),IF(OR(AV$3=$D20,AV$3=$AC20,AV$3=$AE20),"",IF(AV$3=$AD20,$F20&amp;"R",AV19))))</f>
        <v>wP</v>
      </c>
      <c r="AW20" s="11" t="str">
        <f aca="false">IF($P20=0,AW19,IF(AW$3=$E20,IF($AA20=1,$F20&amp;$AB20,$G20),IF(OR(AW$3=$D20,AW$3=$AC20,AW$3=$AE20),"",IF(AW$3=$AD20,$F20&amp;"R",AW19))))</f>
        <v>wP</v>
      </c>
      <c r="AX20" s="11" t="str">
        <f aca="false">IF($P20=0,AX19,IF(AX$3=$E20,IF($AA20=1,$F20&amp;$AB20,$G20),IF(OR(AX$3=$D20,AX$3=$AC20,AX$3=$AE20),"",IF(AX$3=$AD20,$F20&amp;"R",AX19))))</f>
        <v/>
      </c>
      <c r="AY20" s="11" t="str">
        <f aca="false">IF($P20=0,AY19,IF(AY$3=$E20,IF($AA20=1,$F20&amp;$AB20,$G20),IF(OR(AY$3=$D20,AY$3=$AC20,AY$3=$AE20),"",IF(AY$3=$AD20,$F20&amp;"R",AY19))))</f>
        <v/>
      </c>
      <c r="AZ20" s="11" t="str">
        <f aca="false">IF($P20=0,AZ19,IF(AZ$3=$E20,IF($AA20=1,$F20&amp;$AB20,$G20),IF(OR(AZ$3=$D20,AZ$3=$AC20,AZ$3=$AE20),"",IF(AZ$3=$AD20,$F20&amp;"R",AZ19))))</f>
        <v/>
      </c>
      <c r="BA20" s="11" t="str">
        <f aca="false">IF($P20=0,BA19,IF(BA$3=$E20,IF($AA20=1,$F20&amp;$AB20,$G20),IF(OR(BA$3=$D20,BA$3=$AC20,BA$3=$AE20),"",IF(BA$3=$AD20,$F20&amp;"R",BA19))))</f>
        <v/>
      </c>
      <c r="BB20" s="11" t="str">
        <f aca="false">IF($P20=0,BB19,IF(BB$3=$E20,IF($AA20=1,$F20&amp;$AB20,$G20),IF(OR(BB$3=$D20,BB$3=$AC20,BB$3=$AE20),"",IF(BB$3=$AD20,$F20&amp;"R",BB19))))</f>
        <v/>
      </c>
      <c r="BC20" s="11" t="str">
        <f aca="false">IF($P20=0,BC19,IF(BC$3=$E20,IF($AA20=1,$F20&amp;$AB20,$G20),IF(OR(BC$3=$D20,BC$3=$AC20,BC$3=$AE20),"",IF(BC$3=$AD20,$F20&amp;"R",BC19))))</f>
        <v/>
      </c>
      <c r="BD20" s="11" t="str">
        <f aca="false">IF($P20=0,BD19,IF(BD$3=$E20,IF($AA20=1,$F20&amp;$AB20,$G20),IF(OR(BD$3=$D20,BD$3=$AC20,BD$3=$AE20),"",IF(BD$3=$AD20,$F20&amp;"R",BD19))))</f>
        <v/>
      </c>
      <c r="BE20" s="11" t="str">
        <f aca="false">IF($P20=0,BE19,IF(BE$3=$E20,IF($AA20=1,$F20&amp;$AB20,$G20),IF(OR(BE$3=$D20,BE$3=$AC20,BE$3=$AE20),"",IF(BE$3=$AD20,$F20&amp;"R",BE19))))</f>
        <v/>
      </c>
      <c r="BF20" s="11" t="str">
        <f aca="false">IF($P20=0,BF19,IF(BF$3=$E20,IF($AA20=1,$F20&amp;$AB20,$G20),IF(OR(BF$3=$D20,BF$3=$AC20,BF$3=$AE20),"",IF(BF$3=$AD20,$F20&amp;"R",BF19))))</f>
        <v/>
      </c>
      <c r="BG20" s="11" t="str">
        <f aca="false">IF($P20=0,BG19,IF(BG$3=$E20,IF($AA20=1,$F20&amp;$AB20,$G20),IF(OR(BG$3=$D20,BG$3=$AC20,BG$3=$AE20),"",IF(BG$3=$AD20,$F20&amp;"R",BG19))))</f>
        <v/>
      </c>
      <c r="BH20" s="11" t="str">
        <f aca="false">IF($P20=0,BH19,IF(BH$3=$E20,IF($AA20=1,$F20&amp;$AB20,$G20),IF(OR(BH$3=$D20,BH$3=$AC20,BH$3=$AE20),"",IF(BH$3=$AD20,$F20&amp;"R",BH19))))</f>
        <v/>
      </c>
      <c r="BI20" s="11" t="str">
        <f aca="false">IF($P20=0,BI19,IF(BI$3=$E20,IF($AA20=1,$F20&amp;$AB20,$G20),IF(OR(BI$3=$D20,BI$3=$AC20,BI$3=$AE20),"",IF(BI$3=$AD20,$F20&amp;"R",BI19))))</f>
        <v/>
      </c>
      <c r="BJ20" s="11" t="str">
        <f aca="false">IF($P20=0,BJ19,IF(BJ$3=$E20,IF($AA20=1,$F20&amp;$AB20,$G20),IF(OR(BJ$3=$D20,BJ$3=$AC20,BJ$3=$AE20),"",IF(BJ$3=$AD20,$F20&amp;"R",BJ19))))</f>
        <v/>
      </c>
      <c r="BK20" s="11" t="str">
        <f aca="false">IF($P20=0,BK19,IF(BK$3=$E20,IF($AA20=1,$F20&amp;$AB20,$G20),IF(OR(BK$3=$D20,BK$3=$AC20,BK$3=$AE20),"",IF(BK$3=$AD20,$F20&amp;"R",BK19))))</f>
        <v/>
      </c>
      <c r="BL20" s="11" t="str">
        <f aca="false">IF($P20=0,BL19,IF(BL$3=$E20,IF($AA20=1,$F20&amp;$AB20,$G20),IF(OR(BL$3=$D20,BL$3=$AC20,BL$3=$AE20),"",IF(BL$3=$AD20,$F20&amp;"R",BL19))))</f>
        <v/>
      </c>
      <c r="BM20" s="11" t="str">
        <f aca="false">IF($P20=0,BM19,IF(BM$3=$E20,IF($AA20=1,$F20&amp;$AB20,$G20),IF(OR(BM$3=$D20,BM$3=$AC20,BM$3=$AE20),"",IF(BM$3=$AD20,$F20&amp;"R",BM19))))</f>
        <v/>
      </c>
      <c r="BN20" s="11" t="str">
        <f aca="false">IF($P20=0,BN19,IF(BN$3=$E20,IF($AA20=1,$F20&amp;$AB20,$G20),IF(OR(BN$3=$D20,BN$3=$AC20,BN$3=$AE20),"",IF(BN$3=$AD20,$F20&amp;"R",BN19))))</f>
        <v/>
      </c>
      <c r="BO20" s="11" t="str">
        <f aca="false">IF($P20=0,BO19,IF(BO$3=$E20,IF($AA20=1,$F20&amp;$AB20,$G20),IF(OR(BO$3=$D20,BO$3=$AC20,BO$3=$AE20),"",IF(BO$3=$AD20,$F20&amp;"R",BO19))))</f>
        <v/>
      </c>
      <c r="BP20" s="11" t="str">
        <f aca="false">IF($P20=0,BP19,IF(BP$3=$E20,IF($AA20=1,$F20&amp;$AB20,$G20),IF(OR(BP$3=$D20,BP$3=$AC20,BP$3=$AE20),"",IF(BP$3=$AD20,$F20&amp;"R",BP19))))</f>
        <v/>
      </c>
      <c r="BQ20" s="11" t="str">
        <f aca="false">IF($P20=0,BQ19,IF(BQ$3=$E20,IF($AA20=1,$F20&amp;$AB20,$G20),IF(OR(BQ$3=$D20,BQ$3=$AC20,BQ$3=$AE20),"",IF(BQ$3=$AD20,$F20&amp;"R",BQ19))))</f>
        <v/>
      </c>
      <c r="BR20" s="11" t="str">
        <f aca="false">IF($P20=0,BR19,IF(BR$3=$E20,IF($AA20=1,$F20&amp;$AB20,$G20),IF(OR(BR$3=$D20,BR$3=$AC20,BR$3=$AE20),"",IF(BR$3=$AD20,$F20&amp;"R",BR19))))</f>
        <v/>
      </c>
      <c r="BS20" s="11" t="str">
        <f aca="false">IF($P20=0,BS19,IF(BS$3=$E20,IF($AA20=1,$F20&amp;$AB20,$G20),IF(OR(BS$3=$D20,BS$3=$AC20,BS$3=$AE20),"",IF(BS$3=$AD20,$F20&amp;"R",BS19))))</f>
        <v/>
      </c>
      <c r="BT20" s="11" t="str">
        <f aca="false">IF($P20=0,BT19,IF(BT$3=$E20,IF($AA20=1,$F20&amp;$AB20,$G20),IF(OR(BT$3=$D20,BT$3=$AC20,BT$3=$AE20),"",IF(BT$3=$AD20,$F20&amp;"R",BT19))))</f>
        <v/>
      </c>
      <c r="BU20" s="11" t="str">
        <f aca="false">IF($P20=0,BU19,IF(BU$3=$E20,IF($AA20=1,$F20&amp;$AB20,$G20),IF(OR(BU$3=$D20,BU$3=$AC20,BU$3=$AE20),"",IF(BU$3=$AD20,$F20&amp;"R",BU19))))</f>
        <v/>
      </c>
      <c r="BV20" s="11" t="str">
        <f aca="false">IF($P20=0,BV19,IF(BV$3=$E20,IF($AA20=1,$F20&amp;$AB20,$G20),IF(OR(BV$3=$D20,BV$3=$AC20,BV$3=$AE20),"",IF(BV$3=$AD20,$F20&amp;"R",BV19))))</f>
        <v/>
      </c>
      <c r="BW20" s="11" t="str">
        <f aca="false">IF($P20=0,BW19,IF(BW$3=$E20,IF($AA20=1,$F20&amp;$AB20,$G20),IF(OR(BW$3=$D20,BW$3=$AC20,BW$3=$AE20),"",IF(BW$3=$AD20,$F20&amp;"R",BW19))))</f>
        <v/>
      </c>
      <c r="BX20" s="11" t="str">
        <f aca="false">IF($P20=0,BX19,IF(BX$3=$E20,IF($AA20=1,$F20&amp;$AB20,$G20),IF(OR(BX$3=$D20,BX$3=$AC20,BX$3=$AE20),"",IF(BX$3=$AD20,$F20&amp;"R",BX19))))</f>
        <v/>
      </c>
      <c r="BY20" s="11" t="str">
        <f aca="false">IF($P20=0,BY19,IF(BY$3=$E20,IF($AA20=1,$F20&amp;$AB20,$G20),IF(OR(BY$3=$D20,BY$3=$AC20,BY$3=$AE20),"",IF(BY$3=$AD20,$F20&amp;"R",BY19))))</f>
        <v/>
      </c>
      <c r="BZ20" s="11" t="str">
        <f aca="false">IF($P20=0,BZ19,IF(BZ$3=$E20,IF($AA20=1,$F20&amp;$AB20,$G20),IF(OR(BZ$3=$D20,BZ$3=$AC20,BZ$3=$AE20),"",IF(BZ$3=$AD20,$F20&amp;"R",BZ19))))</f>
        <v/>
      </c>
      <c r="CA20" s="11" t="str">
        <f aca="false">IF($P20=0,CA19,IF(CA$3=$E20,IF($AA20=1,$F20&amp;$AB20,$G20),IF(OR(CA$3=$D20,CA$3=$AC20,CA$3=$AE20),"",IF(CA$3=$AD20,$F20&amp;"R",CA19))))</f>
        <v/>
      </c>
      <c r="CB20" s="11" t="str">
        <f aca="false">IF($P20=0,CB19,IF(CB$3=$E20,IF($AA20=1,$F20&amp;$AB20,$G20),IF(OR(CB$3=$D20,CB$3=$AC20,CB$3=$AE20),"",IF(CB$3=$AD20,$F20&amp;"R",CB19))))</f>
        <v/>
      </c>
      <c r="CC20" s="11" t="str">
        <f aca="false">IF($P20=0,CC19,IF(CC$3=$E20,IF($AA20=1,$F20&amp;$AB20,$G20),IF(OR(CC$3=$D20,CC$3=$AC20,CC$3=$AE20),"",IF(CC$3=$AD20,$F20&amp;"R",CC19))))</f>
        <v/>
      </c>
      <c r="CD20" s="11" t="str">
        <f aca="false">IF($P20=0,CD19,IF(CD$3=$E20,IF($AA20=1,$F20&amp;$AB20,$G20),IF(OR(CD$3=$D20,CD$3=$AC20,CD$3=$AE20),"",IF(CD$3=$AD20,$F20&amp;"R",CD19))))</f>
        <v>bP</v>
      </c>
      <c r="CE20" s="11" t="str">
        <f aca="false">IF($P20=0,CE19,IF(CE$3=$E20,IF($AA20=1,$F20&amp;$AB20,$G20),IF(OR(CE$3=$D20,CE$3=$AC20,CE$3=$AE20),"",IF(CE$3=$AD20,$F20&amp;"R",CE19))))</f>
        <v>bP</v>
      </c>
      <c r="CF20" s="11" t="str">
        <f aca="false">IF($P20=0,CF19,IF(CF$3=$E20,IF($AA20=1,$F20&amp;$AB20,$G20),IF(OR(CF$3=$D20,CF$3=$AC20,CF$3=$AE20),"",IF(CF$3=$AD20,$F20&amp;"R",CF19))))</f>
        <v>bP</v>
      </c>
      <c r="CG20" s="11" t="str">
        <f aca="false">IF($P20=0,CG19,IF(CG$3=$E20,IF($AA20=1,$F20&amp;$AB20,$G20),IF(OR(CG$3=$D20,CG$3=$AC20,CG$3=$AE20),"",IF(CG$3=$AD20,$F20&amp;"R",CG19))))</f>
        <v>bP</v>
      </c>
      <c r="CH20" s="11" t="str">
        <f aca="false">IF($P20=0,CH19,IF(CH$3=$E20,IF($AA20=1,$F20&amp;$AB20,$G20),IF(OR(CH$3=$D20,CH$3=$AC20,CH$3=$AE20),"",IF(CH$3=$AD20,$F20&amp;"R",CH19))))</f>
        <v>bP</v>
      </c>
      <c r="CI20" s="11" t="str">
        <f aca="false">IF($P20=0,CI19,IF(CI$3=$E20,IF($AA20=1,$F20&amp;$AB20,$G20),IF(OR(CI$3=$D20,CI$3=$AC20,CI$3=$AE20),"",IF(CI$3=$AD20,$F20&amp;"R",CI19))))</f>
        <v>bP</v>
      </c>
      <c r="CJ20" s="11" t="str">
        <f aca="false">IF($P20=0,CJ19,IF(CJ$3=$E20,IF($AA20=1,$F20&amp;$AB20,$G20),IF(OR(CJ$3=$D20,CJ$3=$AC20,CJ$3=$AE20),"",IF(CJ$3=$AD20,$F20&amp;"R",CJ19))))</f>
        <v>bP</v>
      </c>
      <c r="CK20" s="11" t="str">
        <f aca="false">IF($P20=0,CK19,IF(CK$3=$E20,IF($AA20=1,$F20&amp;$AB20,$G20),IF(OR(CK$3=$D20,CK$3=$AC20,CK$3=$AE20),"",IF(CK$3=$AD20,$F20&amp;"R",CK19))))</f>
        <v>bP</v>
      </c>
      <c r="CL20" s="11" t="str">
        <f aca="false">IF($P20=0,CL19,IF(CL$3=$E20,IF($AA20=1,$F20&amp;$AB20,$G20),IF(OR(CL$3=$D20,CL$3=$AC20,CL$3=$AE20),"",IF(CL$3=$AD20,$F20&amp;"R",CL19))))</f>
        <v>bR</v>
      </c>
      <c r="CM20" s="11" t="str">
        <f aca="false">IF($P20=0,CM19,IF(CM$3=$E20,IF($AA20=1,$F20&amp;$AB20,$G20),IF(OR(CM$3=$D20,CM$3=$AC20,CM$3=$AE20),"",IF(CM$3=$AD20,$F20&amp;"R",CM19))))</f>
        <v>bN</v>
      </c>
      <c r="CN20" s="11" t="str">
        <f aca="false">IF($P20=0,CN19,IF(CN$3=$E20,IF($AA20=1,$F20&amp;$AB20,$G20),IF(OR(CN$3=$D20,CN$3=$AC20,CN$3=$AE20),"",IF(CN$3=$AD20,$F20&amp;"R",CN19))))</f>
        <v>bB</v>
      </c>
      <c r="CO20" s="11" t="str">
        <f aca="false">IF($P20=0,CO19,IF(CO$3=$E20,IF($AA20=1,$F20&amp;$AB20,$G20),IF(OR(CO$3=$D20,CO$3=$AC20,CO$3=$AE20),"",IF(CO$3=$AD20,$F20&amp;"R",CO19))))</f>
        <v>bQ</v>
      </c>
      <c r="CP20" s="11" t="str">
        <f aca="false">IF($P20=0,CP19,IF(CP$3=$E20,IF($AA20=1,$F20&amp;$AB20,$G20),IF(OR(CP$3=$D20,CP$3=$AC20,CP$3=$AE20),"",IF(CP$3=$AD20,$F20&amp;"R",CP19))))</f>
        <v>bK</v>
      </c>
      <c r="CQ20" s="11" t="str">
        <f aca="false">IF($P20=0,CQ19,IF(CQ$3=$E20,IF($AA20=1,$F20&amp;$AB20,$G20),IF(OR(CQ$3=$D20,CQ$3=$AC20,CQ$3=$AE20),"",IF(CQ$3=$AD20,$F20&amp;"R",CQ19))))</f>
        <v>bB</v>
      </c>
      <c r="CR20" s="11" t="str">
        <f aca="false">IF($P20=0,CR19,IF(CR$3=$E20,IF($AA20=1,$F20&amp;$AB20,$G20),IF(OR(CR$3=$D20,CR$3=$AC20,CR$3=$AE20),"",IF(CR$3=$AD20,$F20&amp;"R",CR19))))</f>
        <v>bN</v>
      </c>
      <c r="CS20" s="11" t="str">
        <f aca="false">IF($P20=0,CS19,IF(CS$3=$E20,IF($AA20=1,$F20&amp;$AB20,$G20),IF(OR(CS$3=$D20,CS$3=$AC20,CS$3=$AE20),"",IF(CS$3=$AD20,$F20&amp;"R",CS19))))</f>
        <v>bR</v>
      </c>
      <c r="CT20" s="11"/>
      <c r="CU20" s="11"/>
      <c r="CV20" s="11"/>
    </row>
    <row r="21" customFormat="false" ht="15" hidden="false" customHeight="false" outlineLevel="0" collapsed="false">
      <c r="A21" s="11" t="n">
        <v>16</v>
      </c>
      <c r="B21" s="11" t="str">
        <f aca="false">IF(Chess!$L$25="","",Chess!$L$25&amp;"")</f>
        <v/>
      </c>
      <c r="C21" s="11" t="str">
        <f aca="false">LOWER(SUBSTITUTE(SUBSTITUTE(SUBSTITUTE(SUBSTITUTE(TRIM($B21),"-",""),"=","")," ",""),"x",""))</f>
        <v/>
      </c>
      <c r="D21" s="11" t="n">
        <f aca="false">IF(LEN($C21)&lt;4,0,IFERROR(IF(AND(CODE(MID($C21,1,1))&gt;=97,CODE(MID($C21,1,1))&lt;=104,VALUE(MID($C21,2,1))&gt;=1,VALUE(MID($C21,2,1))&lt;=8),(VALUE(MID($C21,2,1))-1)*8+CODE(MID($C21,1,1))-96,0),0))</f>
        <v>0</v>
      </c>
      <c r="E21" s="11" t="n">
        <f aca="false">IF(LEN($C21)&lt;4,0,IFERROR(IF(AND(CODE(MID($C21,3,1))&gt;=97,CODE(MID($C21,3,1))&lt;=104,VALUE(MID($C21,4,1))&gt;=1,VALUE(MID($C21,4,1))&lt;=8),(VALUE(MID($C21,4,1))-1)*8+CODE(MID($C21,3,1))-96,0),0))</f>
        <v>0</v>
      </c>
      <c r="F21" s="11" t="str">
        <f aca="false">IF(MOD(SUM($P$5:$P20),2)=0,"w","b")</f>
        <v>w</v>
      </c>
      <c r="G21" s="11" t="str">
        <f aca="false">IF($D21=0,"",INDEX($AH20:$CS20,1,$D21)&amp;"")</f>
        <v/>
      </c>
      <c r="H21" s="11" t="str">
        <f aca="false">IF($E21=0,"",INDEX($AH20:$CS20,1,$E21)&amp;"")</f>
        <v/>
      </c>
      <c r="I21" s="11" t="n">
        <f aca="false">IF(OR($D21=0,$E21=0),0,MOD($E21-1,8)-MOD($D21-1,8))</f>
        <v>0</v>
      </c>
      <c r="J21" s="11" t="n">
        <f aca="false">IF(OR($D21=0,$E21=0),0,INT(($E21-1)/8)-INT(($D21-1)/8))</f>
        <v>0</v>
      </c>
      <c r="K21" s="11" t="str">
        <f aca="false">IF($G21="","",RIGHT($G21,1))</f>
        <v/>
      </c>
      <c r="L21" s="11" t="n">
        <f aca="false">IF(OR($D21=0,$E21=0),0,SUMPRODUCT(($AH$3:$CS$3&gt;MIN($D21,$E21))*($AH$3:$CS$3&lt;MAX($D21,$E21))*(MOD($AH$3:$CS$3-MIN($D21,$E21),MAX(1,ABS(SIGN($J21)*8+SIGN($I21))))=0)*($AH20:$CS20&lt;&gt;"")))</f>
        <v>0</v>
      </c>
      <c r="M21" s="11" t="n">
        <f aca="false">IF($K21&lt;&gt;"K",0,IFERROR(--AND($J21=0,ABS($I21)=2,$D21=IF($F21="w",5,61),IF($F21="w",$S20,$V20)=0,IF($I21=2,AND(IF($F21="w",$U20,$X20)=0,INDEX($AH20:$CS20,1,$D21+1)&amp;""="",INDEX($AH20:$CS20,1,$D21+2)&amp;""=""),AND(IF($F21="w",$T20,$W20)=0,INDEX($AH20:$CS20,1,$D21-1)&amp;""="",INDEX($AH20:$CS20,1,$D21-2)&amp;""="",INDEX($AH20:$CS20,1,$D21-3)&amp;""=""))),0))</f>
        <v>0</v>
      </c>
      <c r="N21" s="11" t="n">
        <f aca="false">IF($K21&lt;&gt;"P",0,IFERROR(--OR(AND($I21=0,$J21=IF($F21="w",1,-1),$H21=""),AND($I21=0,$J21=2*IF($F21="w",1,-1),$H21="",INT(($D21-1)/8)=IF($F21="w",1,6),INDEX($AH20:$CS20,1,MAX(1,MIN(64,$D21+8*IF($F21="w",1,-1))))&amp;""=""),AND(ABS($I21)=1,$J21=IF($F21="w",1,-1),$H21&lt;&gt;""),AND(ABS($I21)=1,$J21=IF($F21="w",1,-1),$H21="",$R20&gt;0,$E21=$R20)),0))</f>
        <v>0</v>
      </c>
      <c r="O21" s="11" t="n">
        <f aca="false">IF(OR($D21=0,$E21=0,$G21=""),0,IF($K21="N",--OR(AND(ABS($I21)=1,ABS($J21)=2),AND(ABS($I21)=2,ABS($J21)=1)),IF($K21="B",--AND(ABS($I21)=ABS($J21),$I21&lt;&gt;0,$L21=0),IF($K21="R",--AND(OR($I21=0,$J21=0),OR($I21&lt;&gt;0,$J21&lt;&gt;0),$L21=0),IF($K21="Q",--AND(OR(AND(ABS($I21)=ABS($J21),$I21&lt;&gt;0),AND(OR($I21=0,$J21=0),OR($I21&lt;&gt;0,$J21&lt;&gt;0))),$L21=0),IF($K21="K",--OR(MAX(ABS($I21),ABS($J21))=1,$M21=1),$N21))))))</f>
        <v>0</v>
      </c>
      <c r="P21" s="11" t="n">
        <f aca="false">IF($Q21="OK",1,0)</f>
        <v>0</v>
      </c>
      <c r="Q21" s="11" t="str">
        <f aca="false">IF($B21="","",IF(OR(COUNTIF($AH20:$CS20,"wK")=0,COUNTIF($AH20:$CS20,"bK")=0),"Game is over",IF(OR($D21=0,$E21=0),"Use the format e2e4",IF($G21="","No piece on that square",IF(LEFT($G21,1)&lt;&gt;$F21,"Not your piece ("&amp;IF($F21="w","White","Black")&amp;" to move)",IF($D21=$E21,"Piece must move",IF(AND($H21&lt;&gt;"",LEFT($H21,1)=$F21),"Cannot capture your own piece",IF($O21=0,"Illegal move for that piece (or path blocked)","OK"))))))))</f>
        <v/>
      </c>
      <c r="R21" s="11" t="n">
        <f aca="false">IF($P21=1,IF(AND($K21="P",ABS($J21)=2),($D21+$E21)/2,0),$R20)</f>
        <v>0</v>
      </c>
      <c r="S21" s="12" t="b">
        <f aca="false">--OR($S20=1,AND($P21=1,OR($D21=5,$E21=5)))</f>
        <v>0</v>
      </c>
      <c r="T21" s="12" t="b">
        <f aca="false">--OR($T20=1,AND($P21=1,OR($D21=1,$E21=1)))</f>
        <v>0</v>
      </c>
      <c r="U21" s="12" t="b">
        <f aca="false">--OR($U20=1,AND($P21=1,OR($D21=8,$E21=8)))</f>
        <v>0</v>
      </c>
      <c r="V21" s="12" t="b">
        <f aca="false">--OR($V20=1,AND($P21=1,OR($D21=61,$E21=61)))</f>
        <v>0</v>
      </c>
      <c r="W21" s="12" t="b">
        <f aca="false">--OR($W20=1,AND($P21=1,OR($D21=57,$E21=57)))</f>
        <v>0</v>
      </c>
      <c r="X21" s="12" t="b">
        <f aca="false">--OR($X20=1,AND($P21=1,OR($D21=64,$E21=64)))</f>
        <v>0</v>
      </c>
      <c r="Y21" s="12" t="b">
        <f aca="false">--AND($P21=1,$K21="K",ABS($I21)=2)</f>
        <v>0</v>
      </c>
      <c r="Z21" s="12" t="b">
        <f aca="false">--AND($P21=1,$K21="P",ABS($I21)=1,$H21="")</f>
        <v>0</v>
      </c>
      <c r="AA21" s="12" t="b">
        <f aca="false">--AND($P21=1,$K21="P",INT(($E21-1)/8)=IF($F21="w",7,0))</f>
        <v>0</v>
      </c>
      <c r="AB21" s="11" t="str">
        <f aca="false">IF(LEN($C21)&gt;=5,IF(ISNUMBER(FIND(MID($C21,5,1),"qrbn")),UPPER(MID($C21,5,1)),"Q"),"Q")</f>
        <v>Q</v>
      </c>
      <c r="AC21" s="11" t="n">
        <f aca="false">IF($Y21=1,IF($I21=2,$D21+3,$D21-4),0)</f>
        <v>0</v>
      </c>
      <c r="AD21" s="11" t="n">
        <f aca="false">IF($Y21=1,IF($I21=2,$D21+1,$D21-1),0)</f>
        <v>0</v>
      </c>
      <c r="AE21" s="11" t="n">
        <f aca="false">IF($Z21=1,$E21-8*IF($F21="w",1,-1),0)</f>
        <v>0</v>
      </c>
      <c r="AF21" s="11" t="str">
        <f aca="false">IF($B21="","",IF($P21=1,LOWER(INDEX($CV$2:$CV$13,MATCH($G21,$CU$2:$CU$13,0)))&amp;" "&amp;MID("abcdefgh",MOD($D21-1,8)+1,1)&amp;(INT(($D21-1)/8)+1)&amp;"→"&amp;MID("abcdefgh",MOD($E21-1,8)+1,1)&amp;(INT(($E21-1)/8)+1)&amp;IF(OR($H21&lt;&gt;"",$Z21=1)," ×","")&amp;IF($Y21=1," castles","")&amp;IF($Z21=1," e.p.","")&amp;IF($AA21=1," =" &amp;LOWER(INDEX($CV$2:$CV$13,MATCH($F21&amp;$AB21,$CU$2:$CU$13,0))),""),"X "&amp;$Q21))</f>
        <v/>
      </c>
      <c r="AG21" s="11"/>
      <c r="AH21" s="11" t="str">
        <f aca="false">IF($P21=0,AH20,IF(AH$3=$E21,IF($AA21=1,$F21&amp;$AB21,$G21),IF(OR(AH$3=$D21,AH$3=$AC21,AH$3=$AE21),"",IF(AH$3=$AD21,$F21&amp;"R",AH20))))</f>
        <v>wR</v>
      </c>
      <c r="AI21" s="11" t="str">
        <f aca="false">IF($P21=0,AI20,IF(AI$3=$E21,IF($AA21=1,$F21&amp;$AB21,$G21),IF(OR(AI$3=$D21,AI$3=$AC21,AI$3=$AE21),"",IF(AI$3=$AD21,$F21&amp;"R",AI20))))</f>
        <v>wN</v>
      </c>
      <c r="AJ21" s="11" t="str">
        <f aca="false">IF($P21=0,AJ20,IF(AJ$3=$E21,IF($AA21=1,$F21&amp;$AB21,$G21),IF(OR(AJ$3=$D21,AJ$3=$AC21,AJ$3=$AE21),"",IF(AJ$3=$AD21,$F21&amp;"R",AJ20))))</f>
        <v>wB</v>
      </c>
      <c r="AK21" s="11" t="str">
        <f aca="false">IF($P21=0,AK20,IF(AK$3=$E21,IF($AA21=1,$F21&amp;$AB21,$G21),IF(OR(AK$3=$D21,AK$3=$AC21,AK$3=$AE21),"",IF(AK$3=$AD21,$F21&amp;"R",AK20))))</f>
        <v>wQ</v>
      </c>
      <c r="AL21" s="11" t="str">
        <f aca="false">IF($P21=0,AL20,IF(AL$3=$E21,IF($AA21=1,$F21&amp;$AB21,$G21),IF(OR(AL$3=$D21,AL$3=$AC21,AL$3=$AE21),"",IF(AL$3=$AD21,$F21&amp;"R",AL20))))</f>
        <v>wK</v>
      </c>
      <c r="AM21" s="11" t="str">
        <f aca="false">IF($P21=0,AM20,IF(AM$3=$E21,IF($AA21=1,$F21&amp;$AB21,$G21),IF(OR(AM$3=$D21,AM$3=$AC21,AM$3=$AE21),"",IF(AM$3=$AD21,$F21&amp;"R",AM20))))</f>
        <v>wB</v>
      </c>
      <c r="AN21" s="11" t="str">
        <f aca="false">IF($P21=0,AN20,IF(AN$3=$E21,IF($AA21=1,$F21&amp;$AB21,$G21),IF(OR(AN$3=$D21,AN$3=$AC21,AN$3=$AE21),"",IF(AN$3=$AD21,$F21&amp;"R",AN20))))</f>
        <v>wN</v>
      </c>
      <c r="AO21" s="11" t="str">
        <f aca="false">IF($P21=0,AO20,IF(AO$3=$E21,IF($AA21=1,$F21&amp;$AB21,$G21),IF(OR(AO$3=$D21,AO$3=$AC21,AO$3=$AE21),"",IF(AO$3=$AD21,$F21&amp;"R",AO20))))</f>
        <v>wR</v>
      </c>
      <c r="AP21" s="11" t="str">
        <f aca="false">IF($P21=0,AP20,IF(AP$3=$E21,IF($AA21=1,$F21&amp;$AB21,$G21),IF(OR(AP$3=$D21,AP$3=$AC21,AP$3=$AE21),"",IF(AP$3=$AD21,$F21&amp;"R",AP20))))</f>
        <v>wP</v>
      </c>
      <c r="AQ21" s="11" t="str">
        <f aca="false">IF($P21=0,AQ20,IF(AQ$3=$E21,IF($AA21=1,$F21&amp;$AB21,$G21),IF(OR(AQ$3=$D21,AQ$3=$AC21,AQ$3=$AE21),"",IF(AQ$3=$AD21,$F21&amp;"R",AQ20))))</f>
        <v>wP</v>
      </c>
      <c r="AR21" s="11" t="str">
        <f aca="false">IF($P21=0,AR20,IF(AR$3=$E21,IF($AA21=1,$F21&amp;$AB21,$G21),IF(OR(AR$3=$D21,AR$3=$AC21,AR$3=$AE21),"",IF(AR$3=$AD21,$F21&amp;"R",AR20))))</f>
        <v>wP</v>
      </c>
      <c r="AS21" s="11" t="str">
        <f aca="false">IF($P21=0,AS20,IF(AS$3=$E21,IF($AA21=1,$F21&amp;$AB21,$G21),IF(OR(AS$3=$D21,AS$3=$AC21,AS$3=$AE21),"",IF(AS$3=$AD21,$F21&amp;"R",AS20))))</f>
        <v>wP</v>
      </c>
      <c r="AT21" s="11" t="str">
        <f aca="false">IF($P21=0,AT20,IF(AT$3=$E21,IF($AA21=1,$F21&amp;$AB21,$G21),IF(OR(AT$3=$D21,AT$3=$AC21,AT$3=$AE21),"",IF(AT$3=$AD21,$F21&amp;"R",AT20))))</f>
        <v>wP</v>
      </c>
      <c r="AU21" s="11" t="str">
        <f aca="false">IF($P21=0,AU20,IF(AU$3=$E21,IF($AA21=1,$F21&amp;$AB21,$G21),IF(OR(AU$3=$D21,AU$3=$AC21,AU$3=$AE21),"",IF(AU$3=$AD21,$F21&amp;"R",AU20))))</f>
        <v>wP</v>
      </c>
      <c r="AV21" s="11" t="str">
        <f aca="false">IF($P21=0,AV20,IF(AV$3=$E21,IF($AA21=1,$F21&amp;$AB21,$G21),IF(OR(AV$3=$D21,AV$3=$AC21,AV$3=$AE21),"",IF(AV$3=$AD21,$F21&amp;"R",AV20))))</f>
        <v>wP</v>
      </c>
      <c r="AW21" s="11" t="str">
        <f aca="false">IF($P21=0,AW20,IF(AW$3=$E21,IF($AA21=1,$F21&amp;$AB21,$G21),IF(OR(AW$3=$D21,AW$3=$AC21,AW$3=$AE21),"",IF(AW$3=$AD21,$F21&amp;"R",AW20))))</f>
        <v>wP</v>
      </c>
      <c r="AX21" s="11" t="str">
        <f aca="false">IF($P21=0,AX20,IF(AX$3=$E21,IF($AA21=1,$F21&amp;$AB21,$G21),IF(OR(AX$3=$D21,AX$3=$AC21,AX$3=$AE21),"",IF(AX$3=$AD21,$F21&amp;"R",AX20))))</f>
        <v/>
      </c>
      <c r="AY21" s="11" t="str">
        <f aca="false">IF($P21=0,AY20,IF(AY$3=$E21,IF($AA21=1,$F21&amp;$AB21,$G21),IF(OR(AY$3=$D21,AY$3=$AC21,AY$3=$AE21),"",IF(AY$3=$AD21,$F21&amp;"R",AY20))))</f>
        <v/>
      </c>
      <c r="AZ21" s="11" t="str">
        <f aca="false">IF($P21=0,AZ20,IF(AZ$3=$E21,IF($AA21=1,$F21&amp;$AB21,$G21),IF(OR(AZ$3=$D21,AZ$3=$AC21,AZ$3=$AE21),"",IF(AZ$3=$AD21,$F21&amp;"R",AZ20))))</f>
        <v/>
      </c>
      <c r="BA21" s="11" t="str">
        <f aca="false">IF($P21=0,BA20,IF(BA$3=$E21,IF($AA21=1,$F21&amp;$AB21,$G21),IF(OR(BA$3=$D21,BA$3=$AC21,BA$3=$AE21),"",IF(BA$3=$AD21,$F21&amp;"R",BA20))))</f>
        <v/>
      </c>
      <c r="BB21" s="11" t="str">
        <f aca="false">IF($P21=0,BB20,IF(BB$3=$E21,IF($AA21=1,$F21&amp;$AB21,$G21),IF(OR(BB$3=$D21,BB$3=$AC21,BB$3=$AE21),"",IF(BB$3=$AD21,$F21&amp;"R",BB20))))</f>
        <v/>
      </c>
      <c r="BC21" s="11" t="str">
        <f aca="false">IF($P21=0,BC20,IF(BC$3=$E21,IF($AA21=1,$F21&amp;$AB21,$G21),IF(OR(BC$3=$D21,BC$3=$AC21,BC$3=$AE21),"",IF(BC$3=$AD21,$F21&amp;"R",BC20))))</f>
        <v/>
      </c>
      <c r="BD21" s="11" t="str">
        <f aca="false">IF($P21=0,BD20,IF(BD$3=$E21,IF($AA21=1,$F21&amp;$AB21,$G21),IF(OR(BD$3=$D21,BD$3=$AC21,BD$3=$AE21),"",IF(BD$3=$AD21,$F21&amp;"R",BD20))))</f>
        <v/>
      </c>
      <c r="BE21" s="11" t="str">
        <f aca="false">IF($P21=0,BE20,IF(BE$3=$E21,IF($AA21=1,$F21&amp;$AB21,$G21),IF(OR(BE$3=$D21,BE$3=$AC21,BE$3=$AE21),"",IF(BE$3=$AD21,$F21&amp;"R",BE20))))</f>
        <v/>
      </c>
      <c r="BF21" s="11" t="str">
        <f aca="false">IF($P21=0,BF20,IF(BF$3=$E21,IF($AA21=1,$F21&amp;$AB21,$G21),IF(OR(BF$3=$D21,BF$3=$AC21,BF$3=$AE21),"",IF(BF$3=$AD21,$F21&amp;"R",BF20))))</f>
        <v/>
      </c>
      <c r="BG21" s="11" t="str">
        <f aca="false">IF($P21=0,BG20,IF(BG$3=$E21,IF($AA21=1,$F21&amp;$AB21,$G21),IF(OR(BG$3=$D21,BG$3=$AC21,BG$3=$AE21),"",IF(BG$3=$AD21,$F21&amp;"R",BG20))))</f>
        <v/>
      </c>
      <c r="BH21" s="11" t="str">
        <f aca="false">IF($P21=0,BH20,IF(BH$3=$E21,IF($AA21=1,$F21&amp;$AB21,$G21),IF(OR(BH$3=$D21,BH$3=$AC21,BH$3=$AE21),"",IF(BH$3=$AD21,$F21&amp;"R",BH20))))</f>
        <v/>
      </c>
      <c r="BI21" s="11" t="str">
        <f aca="false">IF($P21=0,BI20,IF(BI$3=$E21,IF($AA21=1,$F21&amp;$AB21,$G21),IF(OR(BI$3=$D21,BI$3=$AC21,BI$3=$AE21),"",IF(BI$3=$AD21,$F21&amp;"R",BI20))))</f>
        <v/>
      </c>
      <c r="BJ21" s="11" t="str">
        <f aca="false">IF($P21=0,BJ20,IF(BJ$3=$E21,IF($AA21=1,$F21&amp;$AB21,$G21),IF(OR(BJ$3=$D21,BJ$3=$AC21,BJ$3=$AE21),"",IF(BJ$3=$AD21,$F21&amp;"R",BJ20))))</f>
        <v/>
      </c>
      <c r="BK21" s="11" t="str">
        <f aca="false">IF($P21=0,BK20,IF(BK$3=$E21,IF($AA21=1,$F21&amp;$AB21,$G21),IF(OR(BK$3=$D21,BK$3=$AC21,BK$3=$AE21),"",IF(BK$3=$AD21,$F21&amp;"R",BK20))))</f>
        <v/>
      </c>
      <c r="BL21" s="11" t="str">
        <f aca="false">IF($P21=0,BL20,IF(BL$3=$E21,IF($AA21=1,$F21&amp;$AB21,$G21),IF(OR(BL$3=$D21,BL$3=$AC21,BL$3=$AE21),"",IF(BL$3=$AD21,$F21&amp;"R",BL20))))</f>
        <v/>
      </c>
      <c r="BM21" s="11" t="str">
        <f aca="false">IF($P21=0,BM20,IF(BM$3=$E21,IF($AA21=1,$F21&amp;$AB21,$G21),IF(OR(BM$3=$D21,BM$3=$AC21,BM$3=$AE21),"",IF(BM$3=$AD21,$F21&amp;"R",BM20))))</f>
        <v/>
      </c>
      <c r="BN21" s="11" t="str">
        <f aca="false">IF($P21=0,BN20,IF(BN$3=$E21,IF($AA21=1,$F21&amp;$AB21,$G21),IF(OR(BN$3=$D21,BN$3=$AC21,BN$3=$AE21),"",IF(BN$3=$AD21,$F21&amp;"R",BN20))))</f>
        <v/>
      </c>
      <c r="BO21" s="11" t="str">
        <f aca="false">IF($P21=0,BO20,IF(BO$3=$E21,IF($AA21=1,$F21&amp;$AB21,$G21),IF(OR(BO$3=$D21,BO$3=$AC21,BO$3=$AE21),"",IF(BO$3=$AD21,$F21&amp;"R",BO20))))</f>
        <v/>
      </c>
      <c r="BP21" s="11" t="str">
        <f aca="false">IF($P21=0,BP20,IF(BP$3=$E21,IF($AA21=1,$F21&amp;$AB21,$G21),IF(OR(BP$3=$D21,BP$3=$AC21,BP$3=$AE21),"",IF(BP$3=$AD21,$F21&amp;"R",BP20))))</f>
        <v/>
      </c>
      <c r="BQ21" s="11" t="str">
        <f aca="false">IF($P21=0,BQ20,IF(BQ$3=$E21,IF($AA21=1,$F21&amp;$AB21,$G21),IF(OR(BQ$3=$D21,BQ$3=$AC21,BQ$3=$AE21),"",IF(BQ$3=$AD21,$F21&amp;"R",BQ20))))</f>
        <v/>
      </c>
      <c r="BR21" s="11" t="str">
        <f aca="false">IF($P21=0,BR20,IF(BR$3=$E21,IF($AA21=1,$F21&amp;$AB21,$G21),IF(OR(BR$3=$D21,BR$3=$AC21,BR$3=$AE21),"",IF(BR$3=$AD21,$F21&amp;"R",BR20))))</f>
        <v/>
      </c>
      <c r="BS21" s="11" t="str">
        <f aca="false">IF($P21=0,BS20,IF(BS$3=$E21,IF($AA21=1,$F21&amp;$AB21,$G21),IF(OR(BS$3=$D21,BS$3=$AC21,BS$3=$AE21),"",IF(BS$3=$AD21,$F21&amp;"R",BS20))))</f>
        <v/>
      </c>
      <c r="BT21" s="11" t="str">
        <f aca="false">IF($P21=0,BT20,IF(BT$3=$E21,IF($AA21=1,$F21&amp;$AB21,$G21),IF(OR(BT$3=$D21,BT$3=$AC21,BT$3=$AE21),"",IF(BT$3=$AD21,$F21&amp;"R",BT20))))</f>
        <v/>
      </c>
      <c r="BU21" s="11" t="str">
        <f aca="false">IF($P21=0,BU20,IF(BU$3=$E21,IF($AA21=1,$F21&amp;$AB21,$G21),IF(OR(BU$3=$D21,BU$3=$AC21,BU$3=$AE21),"",IF(BU$3=$AD21,$F21&amp;"R",BU20))))</f>
        <v/>
      </c>
      <c r="BV21" s="11" t="str">
        <f aca="false">IF($P21=0,BV20,IF(BV$3=$E21,IF($AA21=1,$F21&amp;$AB21,$G21),IF(OR(BV$3=$D21,BV$3=$AC21,BV$3=$AE21),"",IF(BV$3=$AD21,$F21&amp;"R",BV20))))</f>
        <v/>
      </c>
      <c r="BW21" s="11" t="str">
        <f aca="false">IF($P21=0,BW20,IF(BW$3=$E21,IF($AA21=1,$F21&amp;$AB21,$G21),IF(OR(BW$3=$D21,BW$3=$AC21,BW$3=$AE21),"",IF(BW$3=$AD21,$F21&amp;"R",BW20))))</f>
        <v/>
      </c>
      <c r="BX21" s="11" t="str">
        <f aca="false">IF($P21=0,BX20,IF(BX$3=$E21,IF($AA21=1,$F21&amp;$AB21,$G21),IF(OR(BX$3=$D21,BX$3=$AC21,BX$3=$AE21),"",IF(BX$3=$AD21,$F21&amp;"R",BX20))))</f>
        <v/>
      </c>
      <c r="BY21" s="11" t="str">
        <f aca="false">IF($P21=0,BY20,IF(BY$3=$E21,IF($AA21=1,$F21&amp;$AB21,$G21),IF(OR(BY$3=$D21,BY$3=$AC21,BY$3=$AE21),"",IF(BY$3=$AD21,$F21&amp;"R",BY20))))</f>
        <v/>
      </c>
      <c r="BZ21" s="11" t="str">
        <f aca="false">IF($P21=0,BZ20,IF(BZ$3=$E21,IF($AA21=1,$F21&amp;$AB21,$G21),IF(OR(BZ$3=$D21,BZ$3=$AC21,BZ$3=$AE21),"",IF(BZ$3=$AD21,$F21&amp;"R",BZ20))))</f>
        <v/>
      </c>
      <c r="CA21" s="11" t="str">
        <f aca="false">IF($P21=0,CA20,IF(CA$3=$E21,IF($AA21=1,$F21&amp;$AB21,$G21),IF(OR(CA$3=$D21,CA$3=$AC21,CA$3=$AE21),"",IF(CA$3=$AD21,$F21&amp;"R",CA20))))</f>
        <v/>
      </c>
      <c r="CB21" s="11" t="str">
        <f aca="false">IF($P21=0,CB20,IF(CB$3=$E21,IF($AA21=1,$F21&amp;$AB21,$G21),IF(OR(CB$3=$D21,CB$3=$AC21,CB$3=$AE21),"",IF(CB$3=$AD21,$F21&amp;"R",CB20))))</f>
        <v/>
      </c>
      <c r="CC21" s="11" t="str">
        <f aca="false">IF($P21=0,CC20,IF(CC$3=$E21,IF($AA21=1,$F21&amp;$AB21,$G21),IF(OR(CC$3=$D21,CC$3=$AC21,CC$3=$AE21),"",IF(CC$3=$AD21,$F21&amp;"R",CC20))))</f>
        <v/>
      </c>
      <c r="CD21" s="11" t="str">
        <f aca="false">IF($P21=0,CD20,IF(CD$3=$E21,IF($AA21=1,$F21&amp;$AB21,$G21),IF(OR(CD$3=$D21,CD$3=$AC21,CD$3=$AE21),"",IF(CD$3=$AD21,$F21&amp;"R",CD20))))</f>
        <v>bP</v>
      </c>
      <c r="CE21" s="11" t="str">
        <f aca="false">IF($P21=0,CE20,IF(CE$3=$E21,IF($AA21=1,$F21&amp;$AB21,$G21),IF(OR(CE$3=$D21,CE$3=$AC21,CE$3=$AE21),"",IF(CE$3=$AD21,$F21&amp;"R",CE20))))</f>
        <v>bP</v>
      </c>
      <c r="CF21" s="11" t="str">
        <f aca="false">IF($P21=0,CF20,IF(CF$3=$E21,IF($AA21=1,$F21&amp;$AB21,$G21),IF(OR(CF$3=$D21,CF$3=$AC21,CF$3=$AE21),"",IF(CF$3=$AD21,$F21&amp;"R",CF20))))</f>
        <v>bP</v>
      </c>
      <c r="CG21" s="11" t="str">
        <f aca="false">IF($P21=0,CG20,IF(CG$3=$E21,IF($AA21=1,$F21&amp;$AB21,$G21),IF(OR(CG$3=$D21,CG$3=$AC21,CG$3=$AE21),"",IF(CG$3=$AD21,$F21&amp;"R",CG20))))</f>
        <v>bP</v>
      </c>
      <c r="CH21" s="11" t="str">
        <f aca="false">IF($P21=0,CH20,IF(CH$3=$E21,IF($AA21=1,$F21&amp;$AB21,$G21),IF(OR(CH$3=$D21,CH$3=$AC21,CH$3=$AE21),"",IF(CH$3=$AD21,$F21&amp;"R",CH20))))</f>
        <v>bP</v>
      </c>
      <c r="CI21" s="11" t="str">
        <f aca="false">IF($P21=0,CI20,IF(CI$3=$E21,IF($AA21=1,$F21&amp;$AB21,$G21),IF(OR(CI$3=$D21,CI$3=$AC21,CI$3=$AE21),"",IF(CI$3=$AD21,$F21&amp;"R",CI20))))</f>
        <v>bP</v>
      </c>
      <c r="CJ21" s="11" t="str">
        <f aca="false">IF($P21=0,CJ20,IF(CJ$3=$E21,IF($AA21=1,$F21&amp;$AB21,$G21),IF(OR(CJ$3=$D21,CJ$3=$AC21,CJ$3=$AE21),"",IF(CJ$3=$AD21,$F21&amp;"R",CJ20))))</f>
        <v>bP</v>
      </c>
      <c r="CK21" s="11" t="str">
        <f aca="false">IF($P21=0,CK20,IF(CK$3=$E21,IF($AA21=1,$F21&amp;$AB21,$G21),IF(OR(CK$3=$D21,CK$3=$AC21,CK$3=$AE21),"",IF(CK$3=$AD21,$F21&amp;"R",CK20))))</f>
        <v>bP</v>
      </c>
      <c r="CL21" s="11" t="str">
        <f aca="false">IF($P21=0,CL20,IF(CL$3=$E21,IF($AA21=1,$F21&amp;$AB21,$G21),IF(OR(CL$3=$D21,CL$3=$AC21,CL$3=$AE21),"",IF(CL$3=$AD21,$F21&amp;"R",CL20))))</f>
        <v>bR</v>
      </c>
      <c r="CM21" s="11" t="str">
        <f aca="false">IF($P21=0,CM20,IF(CM$3=$E21,IF($AA21=1,$F21&amp;$AB21,$G21),IF(OR(CM$3=$D21,CM$3=$AC21,CM$3=$AE21),"",IF(CM$3=$AD21,$F21&amp;"R",CM20))))</f>
        <v>bN</v>
      </c>
      <c r="CN21" s="11" t="str">
        <f aca="false">IF($P21=0,CN20,IF(CN$3=$E21,IF($AA21=1,$F21&amp;$AB21,$G21),IF(OR(CN$3=$D21,CN$3=$AC21,CN$3=$AE21),"",IF(CN$3=$AD21,$F21&amp;"R",CN20))))</f>
        <v>bB</v>
      </c>
      <c r="CO21" s="11" t="str">
        <f aca="false">IF($P21=0,CO20,IF(CO$3=$E21,IF($AA21=1,$F21&amp;$AB21,$G21),IF(OR(CO$3=$D21,CO$3=$AC21,CO$3=$AE21),"",IF(CO$3=$AD21,$F21&amp;"R",CO20))))</f>
        <v>bQ</v>
      </c>
      <c r="CP21" s="11" t="str">
        <f aca="false">IF($P21=0,CP20,IF(CP$3=$E21,IF($AA21=1,$F21&amp;$AB21,$G21),IF(OR(CP$3=$D21,CP$3=$AC21,CP$3=$AE21),"",IF(CP$3=$AD21,$F21&amp;"R",CP20))))</f>
        <v>bK</v>
      </c>
      <c r="CQ21" s="11" t="str">
        <f aca="false">IF($P21=0,CQ20,IF(CQ$3=$E21,IF($AA21=1,$F21&amp;$AB21,$G21),IF(OR(CQ$3=$D21,CQ$3=$AC21,CQ$3=$AE21),"",IF(CQ$3=$AD21,$F21&amp;"R",CQ20))))</f>
        <v>bB</v>
      </c>
      <c r="CR21" s="11" t="str">
        <f aca="false">IF($P21=0,CR20,IF(CR$3=$E21,IF($AA21=1,$F21&amp;$AB21,$G21),IF(OR(CR$3=$D21,CR$3=$AC21,CR$3=$AE21),"",IF(CR$3=$AD21,$F21&amp;"R",CR20))))</f>
        <v>bN</v>
      </c>
      <c r="CS21" s="11" t="str">
        <f aca="false">IF($P21=0,CS20,IF(CS$3=$E21,IF($AA21=1,$F21&amp;$AB21,$G21),IF(OR(CS$3=$D21,CS$3=$AC21,CS$3=$AE21),"",IF(CS$3=$AD21,$F21&amp;"R",CS20))))</f>
        <v>bR</v>
      </c>
      <c r="CT21" s="11"/>
      <c r="CU21" s="11"/>
      <c r="CV21" s="11"/>
    </row>
    <row r="22" customFormat="false" ht="15" hidden="false" customHeight="false" outlineLevel="0" collapsed="false">
      <c r="A22" s="11" t="n">
        <v>17</v>
      </c>
      <c r="B22" s="11" t="str">
        <f aca="false">IF(Chess!$L$26="","",Chess!$L$26&amp;"")</f>
        <v/>
      </c>
      <c r="C22" s="11" t="str">
        <f aca="false">LOWER(SUBSTITUTE(SUBSTITUTE(SUBSTITUTE(SUBSTITUTE(TRIM($B22),"-",""),"=","")," ",""),"x",""))</f>
        <v/>
      </c>
      <c r="D22" s="11" t="n">
        <f aca="false">IF(LEN($C22)&lt;4,0,IFERROR(IF(AND(CODE(MID($C22,1,1))&gt;=97,CODE(MID($C22,1,1))&lt;=104,VALUE(MID($C22,2,1))&gt;=1,VALUE(MID($C22,2,1))&lt;=8),(VALUE(MID($C22,2,1))-1)*8+CODE(MID($C22,1,1))-96,0),0))</f>
        <v>0</v>
      </c>
      <c r="E22" s="11" t="n">
        <f aca="false">IF(LEN($C22)&lt;4,0,IFERROR(IF(AND(CODE(MID($C22,3,1))&gt;=97,CODE(MID($C22,3,1))&lt;=104,VALUE(MID($C22,4,1))&gt;=1,VALUE(MID($C22,4,1))&lt;=8),(VALUE(MID($C22,4,1))-1)*8+CODE(MID($C22,3,1))-96,0),0))</f>
        <v>0</v>
      </c>
      <c r="F22" s="11" t="str">
        <f aca="false">IF(MOD(SUM($P$5:$P21),2)=0,"w","b")</f>
        <v>w</v>
      </c>
      <c r="G22" s="11" t="str">
        <f aca="false">IF($D22=0,"",INDEX($AH21:$CS21,1,$D22)&amp;"")</f>
        <v/>
      </c>
      <c r="H22" s="11" t="str">
        <f aca="false">IF($E22=0,"",INDEX($AH21:$CS21,1,$E22)&amp;"")</f>
        <v/>
      </c>
      <c r="I22" s="11" t="n">
        <f aca="false">IF(OR($D22=0,$E22=0),0,MOD($E22-1,8)-MOD($D22-1,8))</f>
        <v>0</v>
      </c>
      <c r="J22" s="11" t="n">
        <f aca="false">IF(OR($D22=0,$E22=0),0,INT(($E22-1)/8)-INT(($D22-1)/8))</f>
        <v>0</v>
      </c>
      <c r="K22" s="11" t="str">
        <f aca="false">IF($G22="","",RIGHT($G22,1))</f>
        <v/>
      </c>
      <c r="L22" s="11" t="n">
        <f aca="false">IF(OR($D22=0,$E22=0),0,SUMPRODUCT(($AH$3:$CS$3&gt;MIN($D22,$E22))*($AH$3:$CS$3&lt;MAX($D22,$E22))*(MOD($AH$3:$CS$3-MIN($D22,$E22),MAX(1,ABS(SIGN($J22)*8+SIGN($I22))))=0)*($AH21:$CS21&lt;&gt;"")))</f>
        <v>0</v>
      </c>
      <c r="M22" s="11" t="n">
        <f aca="false">IF($K22&lt;&gt;"K",0,IFERROR(--AND($J22=0,ABS($I22)=2,$D22=IF($F22="w",5,61),IF($F22="w",$S21,$V21)=0,IF($I22=2,AND(IF($F22="w",$U21,$X21)=0,INDEX($AH21:$CS21,1,$D22+1)&amp;""="",INDEX($AH21:$CS21,1,$D22+2)&amp;""=""),AND(IF($F22="w",$T21,$W21)=0,INDEX($AH21:$CS21,1,$D22-1)&amp;""="",INDEX($AH21:$CS21,1,$D22-2)&amp;""="",INDEX($AH21:$CS21,1,$D22-3)&amp;""=""))),0))</f>
        <v>0</v>
      </c>
      <c r="N22" s="11" t="n">
        <f aca="false">IF($K22&lt;&gt;"P",0,IFERROR(--OR(AND($I22=0,$J22=IF($F22="w",1,-1),$H22=""),AND($I22=0,$J22=2*IF($F22="w",1,-1),$H22="",INT(($D22-1)/8)=IF($F22="w",1,6),INDEX($AH21:$CS21,1,MAX(1,MIN(64,$D22+8*IF($F22="w",1,-1))))&amp;""=""),AND(ABS($I22)=1,$J22=IF($F22="w",1,-1),$H22&lt;&gt;""),AND(ABS($I22)=1,$J22=IF($F22="w",1,-1),$H22="",$R21&gt;0,$E22=$R21)),0))</f>
        <v>0</v>
      </c>
      <c r="O22" s="11" t="n">
        <f aca="false">IF(OR($D22=0,$E22=0,$G22=""),0,IF($K22="N",--OR(AND(ABS($I22)=1,ABS($J22)=2),AND(ABS($I22)=2,ABS($J22)=1)),IF($K22="B",--AND(ABS($I22)=ABS($J22),$I22&lt;&gt;0,$L22=0),IF($K22="R",--AND(OR($I22=0,$J22=0),OR($I22&lt;&gt;0,$J22&lt;&gt;0),$L22=0),IF($K22="Q",--AND(OR(AND(ABS($I22)=ABS($J22),$I22&lt;&gt;0),AND(OR($I22=0,$J22=0),OR($I22&lt;&gt;0,$J22&lt;&gt;0))),$L22=0),IF($K22="K",--OR(MAX(ABS($I22),ABS($J22))=1,$M22=1),$N22))))))</f>
        <v>0</v>
      </c>
      <c r="P22" s="11" t="n">
        <f aca="false">IF($Q22="OK",1,0)</f>
        <v>0</v>
      </c>
      <c r="Q22" s="11" t="str">
        <f aca="false">IF($B22="","",IF(OR(COUNTIF($AH21:$CS21,"wK")=0,COUNTIF($AH21:$CS21,"bK")=0),"Game is over",IF(OR($D22=0,$E22=0),"Use the format e2e4",IF($G22="","No piece on that square",IF(LEFT($G22,1)&lt;&gt;$F22,"Not your piece ("&amp;IF($F22="w","White","Black")&amp;" to move)",IF($D22=$E22,"Piece must move",IF(AND($H22&lt;&gt;"",LEFT($H22,1)=$F22),"Cannot capture your own piece",IF($O22=0,"Illegal move for that piece (or path blocked)","OK"))))))))</f>
        <v/>
      </c>
      <c r="R22" s="11" t="n">
        <f aca="false">IF($P22=1,IF(AND($K22="P",ABS($J22)=2),($D22+$E22)/2,0),$R21)</f>
        <v>0</v>
      </c>
      <c r="S22" s="12" t="b">
        <f aca="false">--OR($S21=1,AND($P22=1,OR($D22=5,$E22=5)))</f>
        <v>0</v>
      </c>
      <c r="T22" s="12" t="b">
        <f aca="false">--OR($T21=1,AND($P22=1,OR($D22=1,$E22=1)))</f>
        <v>0</v>
      </c>
      <c r="U22" s="12" t="b">
        <f aca="false">--OR($U21=1,AND($P22=1,OR($D22=8,$E22=8)))</f>
        <v>0</v>
      </c>
      <c r="V22" s="12" t="b">
        <f aca="false">--OR($V21=1,AND($P22=1,OR($D22=61,$E22=61)))</f>
        <v>0</v>
      </c>
      <c r="W22" s="12" t="b">
        <f aca="false">--OR($W21=1,AND($P22=1,OR($D22=57,$E22=57)))</f>
        <v>0</v>
      </c>
      <c r="X22" s="12" t="b">
        <f aca="false">--OR($X21=1,AND($P22=1,OR($D22=64,$E22=64)))</f>
        <v>0</v>
      </c>
      <c r="Y22" s="12" t="b">
        <f aca="false">--AND($P22=1,$K22="K",ABS($I22)=2)</f>
        <v>0</v>
      </c>
      <c r="Z22" s="12" t="b">
        <f aca="false">--AND($P22=1,$K22="P",ABS($I22)=1,$H22="")</f>
        <v>0</v>
      </c>
      <c r="AA22" s="12" t="b">
        <f aca="false">--AND($P22=1,$K22="P",INT(($E22-1)/8)=IF($F22="w",7,0))</f>
        <v>0</v>
      </c>
      <c r="AB22" s="11" t="str">
        <f aca="false">IF(LEN($C22)&gt;=5,IF(ISNUMBER(FIND(MID($C22,5,1),"qrbn")),UPPER(MID($C22,5,1)),"Q"),"Q")</f>
        <v>Q</v>
      </c>
      <c r="AC22" s="11" t="n">
        <f aca="false">IF($Y22=1,IF($I22=2,$D22+3,$D22-4),0)</f>
        <v>0</v>
      </c>
      <c r="AD22" s="11" t="n">
        <f aca="false">IF($Y22=1,IF($I22=2,$D22+1,$D22-1),0)</f>
        <v>0</v>
      </c>
      <c r="AE22" s="11" t="n">
        <f aca="false">IF($Z22=1,$E22-8*IF($F22="w",1,-1),0)</f>
        <v>0</v>
      </c>
      <c r="AF22" s="11" t="str">
        <f aca="false">IF($B22="","",IF($P22=1,LOWER(INDEX($CV$2:$CV$13,MATCH($G22,$CU$2:$CU$13,0)))&amp;" "&amp;MID("abcdefgh",MOD($D22-1,8)+1,1)&amp;(INT(($D22-1)/8)+1)&amp;"→"&amp;MID("abcdefgh",MOD($E22-1,8)+1,1)&amp;(INT(($E22-1)/8)+1)&amp;IF(OR($H22&lt;&gt;"",$Z22=1)," ×","")&amp;IF($Y22=1," castles","")&amp;IF($Z22=1," e.p.","")&amp;IF($AA22=1," =" &amp;LOWER(INDEX($CV$2:$CV$13,MATCH($F22&amp;$AB22,$CU$2:$CU$13,0))),""),"X "&amp;$Q22))</f>
        <v/>
      </c>
      <c r="AG22" s="11"/>
      <c r="AH22" s="11" t="str">
        <f aca="false">IF($P22=0,AH21,IF(AH$3=$E22,IF($AA22=1,$F22&amp;$AB22,$G22),IF(OR(AH$3=$D22,AH$3=$AC22,AH$3=$AE22),"",IF(AH$3=$AD22,$F22&amp;"R",AH21))))</f>
        <v>wR</v>
      </c>
      <c r="AI22" s="11" t="str">
        <f aca="false">IF($P22=0,AI21,IF(AI$3=$E22,IF($AA22=1,$F22&amp;$AB22,$G22),IF(OR(AI$3=$D22,AI$3=$AC22,AI$3=$AE22),"",IF(AI$3=$AD22,$F22&amp;"R",AI21))))</f>
        <v>wN</v>
      </c>
      <c r="AJ22" s="11" t="str">
        <f aca="false">IF($P22=0,AJ21,IF(AJ$3=$E22,IF($AA22=1,$F22&amp;$AB22,$G22),IF(OR(AJ$3=$D22,AJ$3=$AC22,AJ$3=$AE22),"",IF(AJ$3=$AD22,$F22&amp;"R",AJ21))))</f>
        <v>wB</v>
      </c>
      <c r="AK22" s="11" t="str">
        <f aca="false">IF($P22=0,AK21,IF(AK$3=$E22,IF($AA22=1,$F22&amp;$AB22,$G22),IF(OR(AK$3=$D22,AK$3=$AC22,AK$3=$AE22),"",IF(AK$3=$AD22,$F22&amp;"R",AK21))))</f>
        <v>wQ</v>
      </c>
      <c r="AL22" s="11" t="str">
        <f aca="false">IF($P22=0,AL21,IF(AL$3=$E22,IF($AA22=1,$F22&amp;$AB22,$G22),IF(OR(AL$3=$D22,AL$3=$AC22,AL$3=$AE22),"",IF(AL$3=$AD22,$F22&amp;"R",AL21))))</f>
        <v>wK</v>
      </c>
      <c r="AM22" s="11" t="str">
        <f aca="false">IF($P22=0,AM21,IF(AM$3=$E22,IF($AA22=1,$F22&amp;$AB22,$G22),IF(OR(AM$3=$D22,AM$3=$AC22,AM$3=$AE22),"",IF(AM$3=$AD22,$F22&amp;"R",AM21))))</f>
        <v>wB</v>
      </c>
      <c r="AN22" s="11" t="str">
        <f aca="false">IF($P22=0,AN21,IF(AN$3=$E22,IF($AA22=1,$F22&amp;$AB22,$G22),IF(OR(AN$3=$D22,AN$3=$AC22,AN$3=$AE22),"",IF(AN$3=$AD22,$F22&amp;"R",AN21))))</f>
        <v>wN</v>
      </c>
      <c r="AO22" s="11" t="str">
        <f aca="false">IF($P22=0,AO21,IF(AO$3=$E22,IF($AA22=1,$F22&amp;$AB22,$G22),IF(OR(AO$3=$D22,AO$3=$AC22,AO$3=$AE22),"",IF(AO$3=$AD22,$F22&amp;"R",AO21))))</f>
        <v>wR</v>
      </c>
      <c r="AP22" s="11" t="str">
        <f aca="false">IF($P22=0,AP21,IF(AP$3=$E22,IF($AA22=1,$F22&amp;$AB22,$G22),IF(OR(AP$3=$D22,AP$3=$AC22,AP$3=$AE22),"",IF(AP$3=$AD22,$F22&amp;"R",AP21))))</f>
        <v>wP</v>
      </c>
      <c r="AQ22" s="11" t="str">
        <f aca="false">IF($P22=0,AQ21,IF(AQ$3=$E22,IF($AA22=1,$F22&amp;$AB22,$G22),IF(OR(AQ$3=$D22,AQ$3=$AC22,AQ$3=$AE22),"",IF(AQ$3=$AD22,$F22&amp;"R",AQ21))))</f>
        <v>wP</v>
      </c>
      <c r="AR22" s="11" t="str">
        <f aca="false">IF($P22=0,AR21,IF(AR$3=$E22,IF($AA22=1,$F22&amp;$AB22,$G22),IF(OR(AR$3=$D22,AR$3=$AC22,AR$3=$AE22),"",IF(AR$3=$AD22,$F22&amp;"R",AR21))))</f>
        <v>wP</v>
      </c>
      <c r="AS22" s="11" t="str">
        <f aca="false">IF($P22=0,AS21,IF(AS$3=$E22,IF($AA22=1,$F22&amp;$AB22,$G22),IF(OR(AS$3=$D22,AS$3=$AC22,AS$3=$AE22),"",IF(AS$3=$AD22,$F22&amp;"R",AS21))))</f>
        <v>wP</v>
      </c>
      <c r="AT22" s="11" t="str">
        <f aca="false">IF($P22=0,AT21,IF(AT$3=$E22,IF($AA22=1,$F22&amp;$AB22,$G22),IF(OR(AT$3=$D22,AT$3=$AC22,AT$3=$AE22),"",IF(AT$3=$AD22,$F22&amp;"R",AT21))))</f>
        <v>wP</v>
      </c>
      <c r="AU22" s="11" t="str">
        <f aca="false">IF($P22=0,AU21,IF(AU$3=$E22,IF($AA22=1,$F22&amp;$AB22,$G22),IF(OR(AU$3=$D22,AU$3=$AC22,AU$3=$AE22),"",IF(AU$3=$AD22,$F22&amp;"R",AU21))))</f>
        <v>wP</v>
      </c>
      <c r="AV22" s="11" t="str">
        <f aca="false">IF($P22=0,AV21,IF(AV$3=$E22,IF($AA22=1,$F22&amp;$AB22,$G22),IF(OR(AV$3=$D22,AV$3=$AC22,AV$3=$AE22),"",IF(AV$3=$AD22,$F22&amp;"R",AV21))))</f>
        <v>wP</v>
      </c>
      <c r="AW22" s="11" t="str">
        <f aca="false">IF($P22=0,AW21,IF(AW$3=$E22,IF($AA22=1,$F22&amp;$AB22,$G22),IF(OR(AW$3=$D22,AW$3=$AC22,AW$3=$AE22),"",IF(AW$3=$AD22,$F22&amp;"R",AW21))))</f>
        <v>wP</v>
      </c>
      <c r="AX22" s="11" t="str">
        <f aca="false">IF($P22=0,AX21,IF(AX$3=$E22,IF($AA22=1,$F22&amp;$AB22,$G22),IF(OR(AX$3=$D22,AX$3=$AC22,AX$3=$AE22),"",IF(AX$3=$AD22,$F22&amp;"R",AX21))))</f>
        <v/>
      </c>
      <c r="AY22" s="11" t="str">
        <f aca="false">IF($P22=0,AY21,IF(AY$3=$E22,IF($AA22=1,$F22&amp;$AB22,$G22),IF(OR(AY$3=$D22,AY$3=$AC22,AY$3=$AE22),"",IF(AY$3=$AD22,$F22&amp;"R",AY21))))</f>
        <v/>
      </c>
      <c r="AZ22" s="11" t="str">
        <f aca="false">IF($P22=0,AZ21,IF(AZ$3=$E22,IF($AA22=1,$F22&amp;$AB22,$G22),IF(OR(AZ$3=$D22,AZ$3=$AC22,AZ$3=$AE22),"",IF(AZ$3=$AD22,$F22&amp;"R",AZ21))))</f>
        <v/>
      </c>
      <c r="BA22" s="11" t="str">
        <f aca="false">IF($P22=0,BA21,IF(BA$3=$E22,IF($AA22=1,$F22&amp;$AB22,$G22),IF(OR(BA$3=$D22,BA$3=$AC22,BA$3=$AE22),"",IF(BA$3=$AD22,$F22&amp;"R",BA21))))</f>
        <v/>
      </c>
      <c r="BB22" s="11" t="str">
        <f aca="false">IF($P22=0,BB21,IF(BB$3=$E22,IF($AA22=1,$F22&amp;$AB22,$G22),IF(OR(BB$3=$D22,BB$3=$AC22,BB$3=$AE22),"",IF(BB$3=$AD22,$F22&amp;"R",BB21))))</f>
        <v/>
      </c>
      <c r="BC22" s="11" t="str">
        <f aca="false">IF($P22=0,BC21,IF(BC$3=$E22,IF($AA22=1,$F22&amp;$AB22,$G22),IF(OR(BC$3=$D22,BC$3=$AC22,BC$3=$AE22),"",IF(BC$3=$AD22,$F22&amp;"R",BC21))))</f>
        <v/>
      </c>
      <c r="BD22" s="11" t="str">
        <f aca="false">IF($P22=0,BD21,IF(BD$3=$E22,IF($AA22=1,$F22&amp;$AB22,$G22),IF(OR(BD$3=$D22,BD$3=$AC22,BD$3=$AE22),"",IF(BD$3=$AD22,$F22&amp;"R",BD21))))</f>
        <v/>
      </c>
      <c r="BE22" s="11" t="str">
        <f aca="false">IF($P22=0,BE21,IF(BE$3=$E22,IF($AA22=1,$F22&amp;$AB22,$G22),IF(OR(BE$3=$D22,BE$3=$AC22,BE$3=$AE22),"",IF(BE$3=$AD22,$F22&amp;"R",BE21))))</f>
        <v/>
      </c>
      <c r="BF22" s="11" t="str">
        <f aca="false">IF($P22=0,BF21,IF(BF$3=$E22,IF($AA22=1,$F22&amp;$AB22,$G22),IF(OR(BF$3=$D22,BF$3=$AC22,BF$3=$AE22),"",IF(BF$3=$AD22,$F22&amp;"R",BF21))))</f>
        <v/>
      </c>
      <c r="BG22" s="11" t="str">
        <f aca="false">IF($P22=0,BG21,IF(BG$3=$E22,IF($AA22=1,$F22&amp;$AB22,$G22),IF(OR(BG$3=$D22,BG$3=$AC22,BG$3=$AE22),"",IF(BG$3=$AD22,$F22&amp;"R",BG21))))</f>
        <v/>
      </c>
      <c r="BH22" s="11" t="str">
        <f aca="false">IF($P22=0,BH21,IF(BH$3=$E22,IF($AA22=1,$F22&amp;$AB22,$G22),IF(OR(BH$3=$D22,BH$3=$AC22,BH$3=$AE22),"",IF(BH$3=$AD22,$F22&amp;"R",BH21))))</f>
        <v/>
      </c>
      <c r="BI22" s="11" t="str">
        <f aca="false">IF($P22=0,BI21,IF(BI$3=$E22,IF($AA22=1,$F22&amp;$AB22,$G22),IF(OR(BI$3=$D22,BI$3=$AC22,BI$3=$AE22),"",IF(BI$3=$AD22,$F22&amp;"R",BI21))))</f>
        <v/>
      </c>
      <c r="BJ22" s="11" t="str">
        <f aca="false">IF($P22=0,BJ21,IF(BJ$3=$E22,IF($AA22=1,$F22&amp;$AB22,$G22),IF(OR(BJ$3=$D22,BJ$3=$AC22,BJ$3=$AE22),"",IF(BJ$3=$AD22,$F22&amp;"R",BJ21))))</f>
        <v/>
      </c>
      <c r="BK22" s="11" t="str">
        <f aca="false">IF($P22=0,BK21,IF(BK$3=$E22,IF($AA22=1,$F22&amp;$AB22,$G22),IF(OR(BK$3=$D22,BK$3=$AC22,BK$3=$AE22),"",IF(BK$3=$AD22,$F22&amp;"R",BK21))))</f>
        <v/>
      </c>
      <c r="BL22" s="11" t="str">
        <f aca="false">IF($P22=0,BL21,IF(BL$3=$E22,IF($AA22=1,$F22&amp;$AB22,$G22),IF(OR(BL$3=$D22,BL$3=$AC22,BL$3=$AE22),"",IF(BL$3=$AD22,$F22&amp;"R",BL21))))</f>
        <v/>
      </c>
      <c r="BM22" s="11" t="str">
        <f aca="false">IF($P22=0,BM21,IF(BM$3=$E22,IF($AA22=1,$F22&amp;$AB22,$G22),IF(OR(BM$3=$D22,BM$3=$AC22,BM$3=$AE22),"",IF(BM$3=$AD22,$F22&amp;"R",BM21))))</f>
        <v/>
      </c>
      <c r="BN22" s="11" t="str">
        <f aca="false">IF($P22=0,BN21,IF(BN$3=$E22,IF($AA22=1,$F22&amp;$AB22,$G22),IF(OR(BN$3=$D22,BN$3=$AC22,BN$3=$AE22),"",IF(BN$3=$AD22,$F22&amp;"R",BN21))))</f>
        <v/>
      </c>
      <c r="BO22" s="11" t="str">
        <f aca="false">IF($P22=0,BO21,IF(BO$3=$E22,IF($AA22=1,$F22&amp;$AB22,$G22),IF(OR(BO$3=$D22,BO$3=$AC22,BO$3=$AE22),"",IF(BO$3=$AD22,$F22&amp;"R",BO21))))</f>
        <v/>
      </c>
      <c r="BP22" s="11" t="str">
        <f aca="false">IF($P22=0,BP21,IF(BP$3=$E22,IF($AA22=1,$F22&amp;$AB22,$G22),IF(OR(BP$3=$D22,BP$3=$AC22,BP$3=$AE22),"",IF(BP$3=$AD22,$F22&amp;"R",BP21))))</f>
        <v/>
      </c>
      <c r="BQ22" s="11" t="str">
        <f aca="false">IF($P22=0,BQ21,IF(BQ$3=$E22,IF($AA22=1,$F22&amp;$AB22,$G22),IF(OR(BQ$3=$D22,BQ$3=$AC22,BQ$3=$AE22),"",IF(BQ$3=$AD22,$F22&amp;"R",BQ21))))</f>
        <v/>
      </c>
      <c r="BR22" s="11" t="str">
        <f aca="false">IF($P22=0,BR21,IF(BR$3=$E22,IF($AA22=1,$F22&amp;$AB22,$G22),IF(OR(BR$3=$D22,BR$3=$AC22,BR$3=$AE22),"",IF(BR$3=$AD22,$F22&amp;"R",BR21))))</f>
        <v/>
      </c>
      <c r="BS22" s="11" t="str">
        <f aca="false">IF($P22=0,BS21,IF(BS$3=$E22,IF($AA22=1,$F22&amp;$AB22,$G22),IF(OR(BS$3=$D22,BS$3=$AC22,BS$3=$AE22),"",IF(BS$3=$AD22,$F22&amp;"R",BS21))))</f>
        <v/>
      </c>
      <c r="BT22" s="11" t="str">
        <f aca="false">IF($P22=0,BT21,IF(BT$3=$E22,IF($AA22=1,$F22&amp;$AB22,$G22),IF(OR(BT$3=$D22,BT$3=$AC22,BT$3=$AE22),"",IF(BT$3=$AD22,$F22&amp;"R",BT21))))</f>
        <v/>
      </c>
      <c r="BU22" s="11" t="str">
        <f aca="false">IF($P22=0,BU21,IF(BU$3=$E22,IF($AA22=1,$F22&amp;$AB22,$G22),IF(OR(BU$3=$D22,BU$3=$AC22,BU$3=$AE22),"",IF(BU$3=$AD22,$F22&amp;"R",BU21))))</f>
        <v/>
      </c>
      <c r="BV22" s="11" t="str">
        <f aca="false">IF($P22=0,BV21,IF(BV$3=$E22,IF($AA22=1,$F22&amp;$AB22,$G22),IF(OR(BV$3=$D22,BV$3=$AC22,BV$3=$AE22),"",IF(BV$3=$AD22,$F22&amp;"R",BV21))))</f>
        <v/>
      </c>
      <c r="BW22" s="11" t="str">
        <f aca="false">IF($P22=0,BW21,IF(BW$3=$E22,IF($AA22=1,$F22&amp;$AB22,$G22),IF(OR(BW$3=$D22,BW$3=$AC22,BW$3=$AE22),"",IF(BW$3=$AD22,$F22&amp;"R",BW21))))</f>
        <v/>
      </c>
      <c r="BX22" s="11" t="str">
        <f aca="false">IF($P22=0,BX21,IF(BX$3=$E22,IF($AA22=1,$F22&amp;$AB22,$G22),IF(OR(BX$3=$D22,BX$3=$AC22,BX$3=$AE22),"",IF(BX$3=$AD22,$F22&amp;"R",BX21))))</f>
        <v/>
      </c>
      <c r="BY22" s="11" t="str">
        <f aca="false">IF($P22=0,BY21,IF(BY$3=$E22,IF($AA22=1,$F22&amp;$AB22,$G22),IF(OR(BY$3=$D22,BY$3=$AC22,BY$3=$AE22),"",IF(BY$3=$AD22,$F22&amp;"R",BY21))))</f>
        <v/>
      </c>
      <c r="BZ22" s="11" t="str">
        <f aca="false">IF($P22=0,BZ21,IF(BZ$3=$E22,IF($AA22=1,$F22&amp;$AB22,$G22),IF(OR(BZ$3=$D22,BZ$3=$AC22,BZ$3=$AE22),"",IF(BZ$3=$AD22,$F22&amp;"R",BZ21))))</f>
        <v/>
      </c>
      <c r="CA22" s="11" t="str">
        <f aca="false">IF($P22=0,CA21,IF(CA$3=$E22,IF($AA22=1,$F22&amp;$AB22,$G22),IF(OR(CA$3=$D22,CA$3=$AC22,CA$3=$AE22),"",IF(CA$3=$AD22,$F22&amp;"R",CA21))))</f>
        <v/>
      </c>
      <c r="CB22" s="11" t="str">
        <f aca="false">IF($P22=0,CB21,IF(CB$3=$E22,IF($AA22=1,$F22&amp;$AB22,$G22),IF(OR(CB$3=$D22,CB$3=$AC22,CB$3=$AE22),"",IF(CB$3=$AD22,$F22&amp;"R",CB21))))</f>
        <v/>
      </c>
      <c r="CC22" s="11" t="str">
        <f aca="false">IF($P22=0,CC21,IF(CC$3=$E22,IF($AA22=1,$F22&amp;$AB22,$G22),IF(OR(CC$3=$D22,CC$3=$AC22,CC$3=$AE22),"",IF(CC$3=$AD22,$F22&amp;"R",CC21))))</f>
        <v/>
      </c>
      <c r="CD22" s="11" t="str">
        <f aca="false">IF($P22=0,CD21,IF(CD$3=$E22,IF($AA22=1,$F22&amp;$AB22,$G22),IF(OR(CD$3=$D22,CD$3=$AC22,CD$3=$AE22),"",IF(CD$3=$AD22,$F22&amp;"R",CD21))))</f>
        <v>bP</v>
      </c>
      <c r="CE22" s="11" t="str">
        <f aca="false">IF($P22=0,CE21,IF(CE$3=$E22,IF($AA22=1,$F22&amp;$AB22,$G22),IF(OR(CE$3=$D22,CE$3=$AC22,CE$3=$AE22),"",IF(CE$3=$AD22,$F22&amp;"R",CE21))))</f>
        <v>bP</v>
      </c>
      <c r="CF22" s="11" t="str">
        <f aca="false">IF($P22=0,CF21,IF(CF$3=$E22,IF($AA22=1,$F22&amp;$AB22,$G22),IF(OR(CF$3=$D22,CF$3=$AC22,CF$3=$AE22),"",IF(CF$3=$AD22,$F22&amp;"R",CF21))))</f>
        <v>bP</v>
      </c>
      <c r="CG22" s="11" t="str">
        <f aca="false">IF($P22=0,CG21,IF(CG$3=$E22,IF($AA22=1,$F22&amp;$AB22,$G22),IF(OR(CG$3=$D22,CG$3=$AC22,CG$3=$AE22),"",IF(CG$3=$AD22,$F22&amp;"R",CG21))))</f>
        <v>bP</v>
      </c>
      <c r="CH22" s="11" t="str">
        <f aca="false">IF($P22=0,CH21,IF(CH$3=$E22,IF($AA22=1,$F22&amp;$AB22,$G22),IF(OR(CH$3=$D22,CH$3=$AC22,CH$3=$AE22),"",IF(CH$3=$AD22,$F22&amp;"R",CH21))))</f>
        <v>bP</v>
      </c>
      <c r="CI22" s="11" t="str">
        <f aca="false">IF($P22=0,CI21,IF(CI$3=$E22,IF($AA22=1,$F22&amp;$AB22,$G22),IF(OR(CI$3=$D22,CI$3=$AC22,CI$3=$AE22),"",IF(CI$3=$AD22,$F22&amp;"R",CI21))))</f>
        <v>bP</v>
      </c>
      <c r="CJ22" s="11" t="str">
        <f aca="false">IF($P22=0,CJ21,IF(CJ$3=$E22,IF($AA22=1,$F22&amp;$AB22,$G22),IF(OR(CJ$3=$D22,CJ$3=$AC22,CJ$3=$AE22),"",IF(CJ$3=$AD22,$F22&amp;"R",CJ21))))</f>
        <v>bP</v>
      </c>
      <c r="CK22" s="11" t="str">
        <f aca="false">IF($P22=0,CK21,IF(CK$3=$E22,IF($AA22=1,$F22&amp;$AB22,$G22),IF(OR(CK$3=$D22,CK$3=$AC22,CK$3=$AE22),"",IF(CK$3=$AD22,$F22&amp;"R",CK21))))</f>
        <v>bP</v>
      </c>
      <c r="CL22" s="11" t="str">
        <f aca="false">IF($P22=0,CL21,IF(CL$3=$E22,IF($AA22=1,$F22&amp;$AB22,$G22),IF(OR(CL$3=$D22,CL$3=$AC22,CL$3=$AE22),"",IF(CL$3=$AD22,$F22&amp;"R",CL21))))</f>
        <v>bR</v>
      </c>
      <c r="CM22" s="11" t="str">
        <f aca="false">IF($P22=0,CM21,IF(CM$3=$E22,IF($AA22=1,$F22&amp;$AB22,$G22),IF(OR(CM$3=$D22,CM$3=$AC22,CM$3=$AE22),"",IF(CM$3=$AD22,$F22&amp;"R",CM21))))</f>
        <v>bN</v>
      </c>
      <c r="CN22" s="11" t="str">
        <f aca="false">IF($P22=0,CN21,IF(CN$3=$E22,IF($AA22=1,$F22&amp;$AB22,$G22),IF(OR(CN$3=$D22,CN$3=$AC22,CN$3=$AE22),"",IF(CN$3=$AD22,$F22&amp;"R",CN21))))</f>
        <v>bB</v>
      </c>
      <c r="CO22" s="11" t="str">
        <f aca="false">IF($P22=0,CO21,IF(CO$3=$E22,IF($AA22=1,$F22&amp;$AB22,$G22),IF(OR(CO$3=$D22,CO$3=$AC22,CO$3=$AE22),"",IF(CO$3=$AD22,$F22&amp;"R",CO21))))</f>
        <v>bQ</v>
      </c>
      <c r="CP22" s="11" t="str">
        <f aca="false">IF($P22=0,CP21,IF(CP$3=$E22,IF($AA22=1,$F22&amp;$AB22,$G22),IF(OR(CP$3=$D22,CP$3=$AC22,CP$3=$AE22),"",IF(CP$3=$AD22,$F22&amp;"R",CP21))))</f>
        <v>bK</v>
      </c>
      <c r="CQ22" s="11" t="str">
        <f aca="false">IF($P22=0,CQ21,IF(CQ$3=$E22,IF($AA22=1,$F22&amp;$AB22,$G22),IF(OR(CQ$3=$D22,CQ$3=$AC22,CQ$3=$AE22),"",IF(CQ$3=$AD22,$F22&amp;"R",CQ21))))</f>
        <v>bB</v>
      </c>
      <c r="CR22" s="11" t="str">
        <f aca="false">IF($P22=0,CR21,IF(CR$3=$E22,IF($AA22=1,$F22&amp;$AB22,$G22),IF(OR(CR$3=$D22,CR$3=$AC22,CR$3=$AE22),"",IF(CR$3=$AD22,$F22&amp;"R",CR21))))</f>
        <v>bN</v>
      </c>
      <c r="CS22" s="11" t="str">
        <f aca="false">IF($P22=0,CS21,IF(CS$3=$E22,IF($AA22=1,$F22&amp;$AB22,$G22),IF(OR(CS$3=$D22,CS$3=$AC22,CS$3=$AE22),"",IF(CS$3=$AD22,$F22&amp;"R",CS21))))</f>
        <v>bR</v>
      </c>
      <c r="CT22" s="11"/>
      <c r="CU22" s="11"/>
      <c r="CV22" s="11"/>
    </row>
    <row r="23" customFormat="false" ht="15" hidden="false" customHeight="false" outlineLevel="0" collapsed="false">
      <c r="A23" s="11" t="n">
        <v>18</v>
      </c>
      <c r="B23" s="11" t="str">
        <f aca="false">IF(Chess!$L$27="","",Chess!$L$27&amp;"")</f>
        <v/>
      </c>
      <c r="C23" s="11" t="str">
        <f aca="false">LOWER(SUBSTITUTE(SUBSTITUTE(SUBSTITUTE(SUBSTITUTE(TRIM($B23),"-",""),"=","")," ",""),"x",""))</f>
        <v/>
      </c>
      <c r="D23" s="11" t="n">
        <f aca="false">IF(LEN($C23)&lt;4,0,IFERROR(IF(AND(CODE(MID($C23,1,1))&gt;=97,CODE(MID($C23,1,1))&lt;=104,VALUE(MID($C23,2,1))&gt;=1,VALUE(MID($C23,2,1))&lt;=8),(VALUE(MID($C23,2,1))-1)*8+CODE(MID($C23,1,1))-96,0),0))</f>
        <v>0</v>
      </c>
      <c r="E23" s="11" t="n">
        <f aca="false">IF(LEN($C23)&lt;4,0,IFERROR(IF(AND(CODE(MID($C23,3,1))&gt;=97,CODE(MID($C23,3,1))&lt;=104,VALUE(MID($C23,4,1))&gt;=1,VALUE(MID($C23,4,1))&lt;=8),(VALUE(MID($C23,4,1))-1)*8+CODE(MID($C23,3,1))-96,0),0))</f>
        <v>0</v>
      </c>
      <c r="F23" s="11" t="str">
        <f aca="false">IF(MOD(SUM($P$5:$P22),2)=0,"w","b")</f>
        <v>w</v>
      </c>
      <c r="G23" s="11" t="str">
        <f aca="false">IF($D23=0,"",INDEX($AH22:$CS22,1,$D23)&amp;"")</f>
        <v/>
      </c>
      <c r="H23" s="11" t="str">
        <f aca="false">IF($E23=0,"",INDEX($AH22:$CS22,1,$E23)&amp;"")</f>
        <v/>
      </c>
      <c r="I23" s="11" t="n">
        <f aca="false">IF(OR($D23=0,$E23=0),0,MOD($E23-1,8)-MOD($D23-1,8))</f>
        <v>0</v>
      </c>
      <c r="J23" s="11" t="n">
        <f aca="false">IF(OR($D23=0,$E23=0),0,INT(($E23-1)/8)-INT(($D23-1)/8))</f>
        <v>0</v>
      </c>
      <c r="K23" s="11" t="str">
        <f aca="false">IF($G23="","",RIGHT($G23,1))</f>
        <v/>
      </c>
      <c r="L23" s="11" t="n">
        <f aca="false">IF(OR($D23=0,$E23=0),0,SUMPRODUCT(($AH$3:$CS$3&gt;MIN($D23,$E23))*($AH$3:$CS$3&lt;MAX($D23,$E23))*(MOD($AH$3:$CS$3-MIN($D23,$E23),MAX(1,ABS(SIGN($J23)*8+SIGN($I23))))=0)*($AH22:$CS22&lt;&gt;"")))</f>
        <v>0</v>
      </c>
      <c r="M23" s="11" t="n">
        <f aca="false">IF($K23&lt;&gt;"K",0,IFERROR(--AND($J23=0,ABS($I23)=2,$D23=IF($F23="w",5,61),IF($F23="w",$S22,$V22)=0,IF($I23=2,AND(IF($F23="w",$U22,$X22)=0,INDEX($AH22:$CS22,1,$D23+1)&amp;""="",INDEX($AH22:$CS22,1,$D23+2)&amp;""=""),AND(IF($F23="w",$T22,$W22)=0,INDEX($AH22:$CS22,1,$D23-1)&amp;""="",INDEX($AH22:$CS22,1,$D23-2)&amp;""="",INDEX($AH22:$CS22,1,$D23-3)&amp;""=""))),0))</f>
        <v>0</v>
      </c>
      <c r="N23" s="11" t="n">
        <f aca="false">IF($K23&lt;&gt;"P",0,IFERROR(--OR(AND($I23=0,$J23=IF($F23="w",1,-1),$H23=""),AND($I23=0,$J23=2*IF($F23="w",1,-1),$H23="",INT(($D23-1)/8)=IF($F23="w",1,6),INDEX($AH22:$CS22,1,MAX(1,MIN(64,$D23+8*IF($F23="w",1,-1))))&amp;""=""),AND(ABS($I23)=1,$J23=IF($F23="w",1,-1),$H23&lt;&gt;""),AND(ABS($I23)=1,$J23=IF($F23="w",1,-1),$H23="",$R22&gt;0,$E23=$R22)),0))</f>
        <v>0</v>
      </c>
      <c r="O23" s="11" t="n">
        <f aca="false">IF(OR($D23=0,$E23=0,$G23=""),0,IF($K23="N",--OR(AND(ABS($I23)=1,ABS($J23)=2),AND(ABS($I23)=2,ABS($J23)=1)),IF($K23="B",--AND(ABS($I23)=ABS($J23),$I23&lt;&gt;0,$L23=0),IF($K23="R",--AND(OR($I23=0,$J23=0),OR($I23&lt;&gt;0,$J23&lt;&gt;0),$L23=0),IF($K23="Q",--AND(OR(AND(ABS($I23)=ABS($J23),$I23&lt;&gt;0),AND(OR($I23=0,$J23=0),OR($I23&lt;&gt;0,$J23&lt;&gt;0))),$L23=0),IF($K23="K",--OR(MAX(ABS($I23),ABS($J23))=1,$M23=1),$N23))))))</f>
        <v>0</v>
      </c>
      <c r="P23" s="11" t="n">
        <f aca="false">IF($Q23="OK",1,0)</f>
        <v>0</v>
      </c>
      <c r="Q23" s="11" t="str">
        <f aca="false">IF($B23="","",IF(OR(COUNTIF($AH22:$CS22,"wK")=0,COUNTIF($AH22:$CS22,"bK")=0),"Game is over",IF(OR($D23=0,$E23=0),"Use the format e2e4",IF($G23="","No piece on that square",IF(LEFT($G23,1)&lt;&gt;$F23,"Not your piece ("&amp;IF($F23="w","White","Black")&amp;" to move)",IF($D23=$E23,"Piece must move",IF(AND($H23&lt;&gt;"",LEFT($H23,1)=$F23),"Cannot capture your own piece",IF($O23=0,"Illegal move for that piece (or path blocked)","OK"))))))))</f>
        <v/>
      </c>
      <c r="R23" s="11" t="n">
        <f aca="false">IF($P23=1,IF(AND($K23="P",ABS($J23)=2),($D23+$E23)/2,0),$R22)</f>
        <v>0</v>
      </c>
      <c r="S23" s="12" t="b">
        <f aca="false">--OR($S22=1,AND($P23=1,OR($D23=5,$E23=5)))</f>
        <v>0</v>
      </c>
      <c r="T23" s="12" t="b">
        <f aca="false">--OR($T22=1,AND($P23=1,OR($D23=1,$E23=1)))</f>
        <v>0</v>
      </c>
      <c r="U23" s="12" t="b">
        <f aca="false">--OR($U22=1,AND($P23=1,OR($D23=8,$E23=8)))</f>
        <v>0</v>
      </c>
      <c r="V23" s="12" t="b">
        <f aca="false">--OR($V22=1,AND($P23=1,OR($D23=61,$E23=61)))</f>
        <v>0</v>
      </c>
      <c r="W23" s="12" t="b">
        <f aca="false">--OR($W22=1,AND($P23=1,OR($D23=57,$E23=57)))</f>
        <v>0</v>
      </c>
      <c r="X23" s="12" t="b">
        <f aca="false">--OR($X22=1,AND($P23=1,OR($D23=64,$E23=64)))</f>
        <v>0</v>
      </c>
      <c r="Y23" s="12" t="b">
        <f aca="false">--AND($P23=1,$K23="K",ABS($I23)=2)</f>
        <v>0</v>
      </c>
      <c r="Z23" s="12" t="b">
        <f aca="false">--AND($P23=1,$K23="P",ABS($I23)=1,$H23="")</f>
        <v>0</v>
      </c>
      <c r="AA23" s="12" t="b">
        <f aca="false">--AND($P23=1,$K23="P",INT(($E23-1)/8)=IF($F23="w",7,0))</f>
        <v>0</v>
      </c>
      <c r="AB23" s="11" t="str">
        <f aca="false">IF(LEN($C23)&gt;=5,IF(ISNUMBER(FIND(MID($C23,5,1),"qrbn")),UPPER(MID($C23,5,1)),"Q"),"Q")</f>
        <v>Q</v>
      </c>
      <c r="AC23" s="11" t="n">
        <f aca="false">IF($Y23=1,IF($I23=2,$D23+3,$D23-4),0)</f>
        <v>0</v>
      </c>
      <c r="AD23" s="11" t="n">
        <f aca="false">IF($Y23=1,IF($I23=2,$D23+1,$D23-1),0)</f>
        <v>0</v>
      </c>
      <c r="AE23" s="11" t="n">
        <f aca="false">IF($Z23=1,$E23-8*IF($F23="w",1,-1),0)</f>
        <v>0</v>
      </c>
      <c r="AF23" s="11" t="str">
        <f aca="false">IF($B23="","",IF($P23=1,LOWER(INDEX($CV$2:$CV$13,MATCH($G23,$CU$2:$CU$13,0)))&amp;" "&amp;MID("abcdefgh",MOD($D23-1,8)+1,1)&amp;(INT(($D23-1)/8)+1)&amp;"→"&amp;MID("abcdefgh",MOD($E23-1,8)+1,1)&amp;(INT(($E23-1)/8)+1)&amp;IF(OR($H23&lt;&gt;"",$Z23=1)," ×","")&amp;IF($Y23=1," castles","")&amp;IF($Z23=1," e.p.","")&amp;IF($AA23=1," =" &amp;LOWER(INDEX($CV$2:$CV$13,MATCH($F23&amp;$AB23,$CU$2:$CU$13,0))),""),"X "&amp;$Q23))</f>
        <v/>
      </c>
      <c r="AG23" s="11"/>
      <c r="AH23" s="11" t="str">
        <f aca="false">IF($P23=0,AH22,IF(AH$3=$E23,IF($AA23=1,$F23&amp;$AB23,$G23),IF(OR(AH$3=$D23,AH$3=$AC23,AH$3=$AE23),"",IF(AH$3=$AD23,$F23&amp;"R",AH22))))</f>
        <v>wR</v>
      </c>
      <c r="AI23" s="11" t="str">
        <f aca="false">IF($P23=0,AI22,IF(AI$3=$E23,IF($AA23=1,$F23&amp;$AB23,$G23),IF(OR(AI$3=$D23,AI$3=$AC23,AI$3=$AE23),"",IF(AI$3=$AD23,$F23&amp;"R",AI22))))</f>
        <v>wN</v>
      </c>
      <c r="AJ23" s="11" t="str">
        <f aca="false">IF($P23=0,AJ22,IF(AJ$3=$E23,IF($AA23=1,$F23&amp;$AB23,$G23),IF(OR(AJ$3=$D23,AJ$3=$AC23,AJ$3=$AE23),"",IF(AJ$3=$AD23,$F23&amp;"R",AJ22))))</f>
        <v>wB</v>
      </c>
      <c r="AK23" s="11" t="str">
        <f aca="false">IF($P23=0,AK22,IF(AK$3=$E23,IF($AA23=1,$F23&amp;$AB23,$G23),IF(OR(AK$3=$D23,AK$3=$AC23,AK$3=$AE23),"",IF(AK$3=$AD23,$F23&amp;"R",AK22))))</f>
        <v>wQ</v>
      </c>
      <c r="AL23" s="11" t="str">
        <f aca="false">IF($P23=0,AL22,IF(AL$3=$E23,IF($AA23=1,$F23&amp;$AB23,$G23),IF(OR(AL$3=$D23,AL$3=$AC23,AL$3=$AE23),"",IF(AL$3=$AD23,$F23&amp;"R",AL22))))</f>
        <v>wK</v>
      </c>
      <c r="AM23" s="11" t="str">
        <f aca="false">IF($P23=0,AM22,IF(AM$3=$E23,IF($AA23=1,$F23&amp;$AB23,$G23),IF(OR(AM$3=$D23,AM$3=$AC23,AM$3=$AE23),"",IF(AM$3=$AD23,$F23&amp;"R",AM22))))</f>
        <v>wB</v>
      </c>
      <c r="AN23" s="11" t="str">
        <f aca="false">IF($P23=0,AN22,IF(AN$3=$E23,IF($AA23=1,$F23&amp;$AB23,$G23),IF(OR(AN$3=$D23,AN$3=$AC23,AN$3=$AE23),"",IF(AN$3=$AD23,$F23&amp;"R",AN22))))</f>
        <v>wN</v>
      </c>
      <c r="AO23" s="11" t="str">
        <f aca="false">IF($P23=0,AO22,IF(AO$3=$E23,IF($AA23=1,$F23&amp;$AB23,$G23),IF(OR(AO$3=$D23,AO$3=$AC23,AO$3=$AE23),"",IF(AO$3=$AD23,$F23&amp;"R",AO22))))</f>
        <v>wR</v>
      </c>
      <c r="AP23" s="11" t="str">
        <f aca="false">IF($P23=0,AP22,IF(AP$3=$E23,IF($AA23=1,$F23&amp;$AB23,$G23),IF(OR(AP$3=$D23,AP$3=$AC23,AP$3=$AE23),"",IF(AP$3=$AD23,$F23&amp;"R",AP22))))</f>
        <v>wP</v>
      </c>
      <c r="AQ23" s="11" t="str">
        <f aca="false">IF($P23=0,AQ22,IF(AQ$3=$E23,IF($AA23=1,$F23&amp;$AB23,$G23),IF(OR(AQ$3=$D23,AQ$3=$AC23,AQ$3=$AE23),"",IF(AQ$3=$AD23,$F23&amp;"R",AQ22))))</f>
        <v>wP</v>
      </c>
      <c r="AR23" s="11" t="str">
        <f aca="false">IF($P23=0,AR22,IF(AR$3=$E23,IF($AA23=1,$F23&amp;$AB23,$G23),IF(OR(AR$3=$D23,AR$3=$AC23,AR$3=$AE23),"",IF(AR$3=$AD23,$F23&amp;"R",AR22))))</f>
        <v>wP</v>
      </c>
      <c r="AS23" s="11" t="str">
        <f aca="false">IF($P23=0,AS22,IF(AS$3=$E23,IF($AA23=1,$F23&amp;$AB23,$G23),IF(OR(AS$3=$D23,AS$3=$AC23,AS$3=$AE23),"",IF(AS$3=$AD23,$F23&amp;"R",AS22))))</f>
        <v>wP</v>
      </c>
      <c r="AT23" s="11" t="str">
        <f aca="false">IF($P23=0,AT22,IF(AT$3=$E23,IF($AA23=1,$F23&amp;$AB23,$G23),IF(OR(AT$3=$D23,AT$3=$AC23,AT$3=$AE23),"",IF(AT$3=$AD23,$F23&amp;"R",AT22))))</f>
        <v>wP</v>
      </c>
      <c r="AU23" s="11" t="str">
        <f aca="false">IF($P23=0,AU22,IF(AU$3=$E23,IF($AA23=1,$F23&amp;$AB23,$G23),IF(OR(AU$3=$D23,AU$3=$AC23,AU$3=$AE23),"",IF(AU$3=$AD23,$F23&amp;"R",AU22))))</f>
        <v>wP</v>
      </c>
      <c r="AV23" s="11" t="str">
        <f aca="false">IF($P23=0,AV22,IF(AV$3=$E23,IF($AA23=1,$F23&amp;$AB23,$G23),IF(OR(AV$3=$D23,AV$3=$AC23,AV$3=$AE23),"",IF(AV$3=$AD23,$F23&amp;"R",AV22))))</f>
        <v>wP</v>
      </c>
      <c r="AW23" s="11" t="str">
        <f aca="false">IF($P23=0,AW22,IF(AW$3=$E23,IF($AA23=1,$F23&amp;$AB23,$G23),IF(OR(AW$3=$D23,AW$3=$AC23,AW$3=$AE23),"",IF(AW$3=$AD23,$F23&amp;"R",AW22))))</f>
        <v>wP</v>
      </c>
      <c r="AX23" s="11" t="str">
        <f aca="false">IF($P23=0,AX22,IF(AX$3=$E23,IF($AA23=1,$F23&amp;$AB23,$G23),IF(OR(AX$3=$D23,AX$3=$AC23,AX$3=$AE23),"",IF(AX$3=$AD23,$F23&amp;"R",AX22))))</f>
        <v/>
      </c>
      <c r="AY23" s="11" t="str">
        <f aca="false">IF($P23=0,AY22,IF(AY$3=$E23,IF($AA23=1,$F23&amp;$AB23,$G23),IF(OR(AY$3=$D23,AY$3=$AC23,AY$3=$AE23),"",IF(AY$3=$AD23,$F23&amp;"R",AY22))))</f>
        <v/>
      </c>
      <c r="AZ23" s="11" t="str">
        <f aca="false">IF($P23=0,AZ22,IF(AZ$3=$E23,IF($AA23=1,$F23&amp;$AB23,$G23),IF(OR(AZ$3=$D23,AZ$3=$AC23,AZ$3=$AE23),"",IF(AZ$3=$AD23,$F23&amp;"R",AZ22))))</f>
        <v/>
      </c>
      <c r="BA23" s="11" t="str">
        <f aca="false">IF($P23=0,BA22,IF(BA$3=$E23,IF($AA23=1,$F23&amp;$AB23,$G23),IF(OR(BA$3=$D23,BA$3=$AC23,BA$3=$AE23),"",IF(BA$3=$AD23,$F23&amp;"R",BA22))))</f>
        <v/>
      </c>
      <c r="BB23" s="11" t="str">
        <f aca="false">IF($P23=0,BB22,IF(BB$3=$E23,IF($AA23=1,$F23&amp;$AB23,$G23),IF(OR(BB$3=$D23,BB$3=$AC23,BB$3=$AE23),"",IF(BB$3=$AD23,$F23&amp;"R",BB22))))</f>
        <v/>
      </c>
      <c r="BC23" s="11" t="str">
        <f aca="false">IF($P23=0,BC22,IF(BC$3=$E23,IF($AA23=1,$F23&amp;$AB23,$G23),IF(OR(BC$3=$D23,BC$3=$AC23,BC$3=$AE23),"",IF(BC$3=$AD23,$F23&amp;"R",BC22))))</f>
        <v/>
      </c>
      <c r="BD23" s="11" t="str">
        <f aca="false">IF($P23=0,BD22,IF(BD$3=$E23,IF($AA23=1,$F23&amp;$AB23,$G23),IF(OR(BD$3=$D23,BD$3=$AC23,BD$3=$AE23),"",IF(BD$3=$AD23,$F23&amp;"R",BD22))))</f>
        <v/>
      </c>
      <c r="BE23" s="11" t="str">
        <f aca="false">IF($P23=0,BE22,IF(BE$3=$E23,IF($AA23=1,$F23&amp;$AB23,$G23),IF(OR(BE$3=$D23,BE$3=$AC23,BE$3=$AE23),"",IF(BE$3=$AD23,$F23&amp;"R",BE22))))</f>
        <v/>
      </c>
      <c r="BF23" s="11" t="str">
        <f aca="false">IF($P23=0,BF22,IF(BF$3=$E23,IF($AA23=1,$F23&amp;$AB23,$G23),IF(OR(BF$3=$D23,BF$3=$AC23,BF$3=$AE23),"",IF(BF$3=$AD23,$F23&amp;"R",BF22))))</f>
        <v/>
      </c>
      <c r="BG23" s="11" t="str">
        <f aca="false">IF($P23=0,BG22,IF(BG$3=$E23,IF($AA23=1,$F23&amp;$AB23,$G23),IF(OR(BG$3=$D23,BG$3=$AC23,BG$3=$AE23),"",IF(BG$3=$AD23,$F23&amp;"R",BG22))))</f>
        <v/>
      </c>
      <c r="BH23" s="11" t="str">
        <f aca="false">IF($P23=0,BH22,IF(BH$3=$E23,IF($AA23=1,$F23&amp;$AB23,$G23),IF(OR(BH$3=$D23,BH$3=$AC23,BH$3=$AE23),"",IF(BH$3=$AD23,$F23&amp;"R",BH22))))</f>
        <v/>
      </c>
      <c r="BI23" s="11" t="str">
        <f aca="false">IF($P23=0,BI22,IF(BI$3=$E23,IF($AA23=1,$F23&amp;$AB23,$G23),IF(OR(BI$3=$D23,BI$3=$AC23,BI$3=$AE23),"",IF(BI$3=$AD23,$F23&amp;"R",BI22))))</f>
        <v/>
      </c>
      <c r="BJ23" s="11" t="str">
        <f aca="false">IF($P23=0,BJ22,IF(BJ$3=$E23,IF($AA23=1,$F23&amp;$AB23,$G23),IF(OR(BJ$3=$D23,BJ$3=$AC23,BJ$3=$AE23),"",IF(BJ$3=$AD23,$F23&amp;"R",BJ22))))</f>
        <v/>
      </c>
      <c r="BK23" s="11" t="str">
        <f aca="false">IF($P23=0,BK22,IF(BK$3=$E23,IF($AA23=1,$F23&amp;$AB23,$G23),IF(OR(BK$3=$D23,BK$3=$AC23,BK$3=$AE23),"",IF(BK$3=$AD23,$F23&amp;"R",BK22))))</f>
        <v/>
      </c>
      <c r="BL23" s="11" t="str">
        <f aca="false">IF($P23=0,BL22,IF(BL$3=$E23,IF($AA23=1,$F23&amp;$AB23,$G23),IF(OR(BL$3=$D23,BL$3=$AC23,BL$3=$AE23),"",IF(BL$3=$AD23,$F23&amp;"R",BL22))))</f>
        <v/>
      </c>
      <c r="BM23" s="11" t="str">
        <f aca="false">IF($P23=0,BM22,IF(BM$3=$E23,IF($AA23=1,$F23&amp;$AB23,$G23),IF(OR(BM$3=$D23,BM$3=$AC23,BM$3=$AE23),"",IF(BM$3=$AD23,$F23&amp;"R",BM22))))</f>
        <v/>
      </c>
      <c r="BN23" s="11" t="str">
        <f aca="false">IF($P23=0,BN22,IF(BN$3=$E23,IF($AA23=1,$F23&amp;$AB23,$G23),IF(OR(BN$3=$D23,BN$3=$AC23,BN$3=$AE23),"",IF(BN$3=$AD23,$F23&amp;"R",BN22))))</f>
        <v/>
      </c>
      <c r="BO23" s="11" t="str">
        <f aca="false">IF($P23=0,BO22,IF(BO$3=$E23,IF($AA23=1,$F23&amp;$AB23,$G23),IF(OR(BO$3=$D23,BO$3=$AC23,BO$3=$AE23),"",IF(BO$3=$AD23,$F23&amp;"R",BO22))))</f>
        <v/>
      </c>
      <c r="BP23" s="11" t="str">
        <f aca="false">IF($P23=0,BP22,IF(BP$3=$E23,IF($AA23=1,$F23&amp;$AB23,$G23),IF(OR(BP$3=$D23,BP$3=$AC23,BP$3=$AE23),"",IF(BP$3=$AD23,$F23&amp;"R",BP22))))</f>
        <v/>
      </c>
      <c r="BQ23" s="11" t="str">
        <f aca="false">IF($P23=0,BQ22,IF(BQ$3=$E23,IF($AA23=1,$F23&amp;$AB23,$G23),IF(OR(BQ$3=$D23,BQ$3=$AC23,BQ$3=$AE23),"",IF(BQ$3=$AD23,$F23&amp;"R",BQ22))))</f>
        <v/>
      </c>
      <c r="BR23" s="11" t="str">
        <f aca="false">IF($P23=0,BR22,IF(BR$3=$E23,IF($AA23=1,$F23&amp;$AB23,$G23),IF(OR(BR$3=$D23,BR$3=$AC23,BR$3=$AE23),"",IF(BR$3=$AD23,$F23&amp;"R",BR22))))</f>
        <v/>
      </c>
      <c r="BS23" s="11" t="str">
        <f aca="false">IF($P23=0,BS22,IF(BS$3=$E23,IF($AA23=1,$F23&amp;$AB23,$G23),IF(OR(BS$3=$D23,BS$3=$AC23,BS$3=$AE23),"",IF(BS$3=$AD23,$F23&amp;"R",BS22))))</f>
        <v/>
      </c>
      <c r="BT23" s="11" t="str">
        <f aca="false">IF($P23=0,BT22,IF(BT$3=$E23,IF($AA23=1,$F23&amp;$AB23,$G23),IF(OR(BT$3=$D23,BT$3=$AC23,BT$3=$AE23),"",IF(BT$3=$AD23,$F23&amp;"R",BT22))))</f>
        <v/>
      </c>
      <c r="BU23" s="11" t="str">
        <f aca="false">IF($P23=0,BU22,IF(BU$3=$E23,IF($AA23=1,$F23&amp;$AB23,$G23),IF(OR(BU$3=$D23,BU$3=$AC23,BU$3=$AE23),"",IF(BU$3=$AD23,$F23&amp;"R",BU22))))</f>
        <v/>
      </c>
      <c r="BV23" s="11" t="str">
        <f aca="false">IF($P23=0,BV22,IF(BV$3=$E23,IF($AA23=1,$F23&amp;$AB23,$G23),IF(OR(BV$3=$D23,BV$3=$AC23,BV$3=$AE23),"",IF(BV$3=$AD23,$F23&amp;"R",BV22))))</f>
        <v/>
      </c>
      <c r="BW23" s="11" t="str">
        <f aca="false">IF($P23=0,BW22,IF(BW$3=$E23,IF($AA23=1,$F23&amp;$AB23,$G23),IF(OR(BW$3=$D23,BW$3=$AC23,BW$3=$AE23),"",IF(BW$3=$AD23,$F23&amp;"R",BW22))))</f>
        <v/>
      </c>
      <c r="BX23" s="11" t="str">
        <f aca="false">IF($P23=0,BX22,IF(BX$3=$E23,IF($AA23=1,$F23&amp;$AB23,$G23),IF(OR(BX$3=$D23,BX$3=$AC23,BX$3=$AE23),"",IF(BX$3=$AD23,$F23&amp;"R",BX22))))</f>
        <v/>
      </c>
      <c r="BY23" s="11" t="str">
        <f aca="false">IF($P23=0,BY22,IF(BY$3=$E23,IF($AA23=1,$F23&amp;$AB23,$G23),IF(OR(BY$3=$D23,BY$3=$AC23,BY$3=$AE23),"",IF(BY$3=$AD23,$F23&amp;"R",BY22))))</f>
        <v/>
      </c>
      <c r="BZ23" s="11" t="str">
        <f aca="false">IF($P23=0,BZ22,IF(BZ$3=$E23,IF($AA23=1,$F23&amp;$AB23,$G23),IF(OR(BZ$3=$D23,BZ$3=$AC23,BZ$3=$AE23),"",IF(BZ$3=$AD23,$F23&amp;"R",BZ22))))</f>
        <v/>
      </c>
      <c r="CA23" s="11" t="str">
        <f aca="false">IF($P23=0,CA22,IF(CA$3=$E23,IF($AA23=1,$F23&amp;$AB23,$G23),IF(OR(CA$3=$D23,CA$3=$AC23,CA$3=$AE23),"",IF(CA$3=$AD23,$F23&amp;"R",CA22))))</f>
        <v/>
      </c>
      <c r="CB23" s="11" t="str">
        <f aca="false">IF($P23=0,CB22,IF(CB$3=$E23,IF($AA23=1,$F23&amp;$AB23,$G23),IF(OR(CB$3=$D23,CB$3=$AC23,CB$3=$AE23),"",IF(CB$3=$AD23,$F23&amp;"R",CB22))))</f>
        <v/>
      </c>
      <c r="CC23" s="11" t="str">
        <f aca="false">IF($P23=0,CC22,IF(CC$3=$E23,IF($AA23=1,$F23&amp;$AB23,$G23),IF(OR(CC$3=$D23,CC$3=$AC23,CC$3=$AE23),"",IF(CC$3=$AD23,$F23&amp;"R",CC22))))</f>
        <v/>
      </c>
      <c r="CD23" s="11" t="str">
        <f aca="false">IF($P23=0,CD22,IF(CD$3=$E23,IF($AA23=1,$F23&amp;$AB23,$G23),IF(OR(CD$3=$D23,CD$3=$AC23,CD$3=$AE23),"",IF(CD$3=$AD23,$F23&amp;"R",CD22))))</f>
        <v>bP</v>
      </c>
      <c r="CE23" s="11" t="str">
        <f aca="false">IF($P23=0,CE22,IF(CE$3=$E23,IF($AA23=1,$F23&amp;$AB23,$G23),IF(OR(CE$3=$D23,CE$3=$AC23,CE$3=$AE23),"",IF(CE$3=$AD23,$F23&amp;"R",CE22))))</f>
        <v>bP</v>
      </c>
      <c r="CF23" s="11" t="str">
        <f aca="false">IF($P23=0,CF22,IF(CF$3=$E23,IF($AA23=1,$F23&amp;$AB23,$G23),IF(OR(CF$3=$D23,CF$3=$AC23,CF$3=$AE23),"",IF(CF$3=$AD23,$F23&amp;"R",CF22))))</f>
        <v>bP</v>
      </c>
      <c r="CG23" s="11" t="str">
        <f aca="false">IF($P23=0,CG22,IF(CG$3=$E23,IF($AA23=1,$F23&amp;$AB23,$G23),IF(OR(CG$3=$D23,CG$3=$AC23,CG$3=$AE23),"",IF(CG$3=$AD23,$F23&amp;"R",CG22))))</f>
        <v>bP</v>
      </c>
      <c r="CH23" s="11" t="str">
        <f aca="false">IF($P23=0,CH22,IF(CH$3=$E23,IF($AA23=1,$F23&amp;$AB23,$G23),IF(OR(CH$3=$D23,CH$3=$AC23,CH$3=$AE23),"",IF(CH$3=$AD23,$F23&amp;"R",CH22))))</f>
        <v>bP</v>
      </c>
      <c r="CI23" s="11" t="str">
        <f aca="false">IF($P23=0,CI22,IF(CI$3=$E23,IF($AA23=1,$F23&amp;$AB23,$G23),IF(OR(CI$3=$D23,CI$3=$AC23,CI$3=$AE23),"",IF(CI$3=$AD23,$F23&amp;"R",CI22))))</f>
        <v>bP</v>
      </c>
      <c r="CJ23" s="11" t="str">
        <f aca="false">IF($P23=0,CJ22,IF(CJ$3=$E23,IF($AA23=1,$F23&amp;$AB23,$G23),IF(OR(CJ$3=$D23,CJ$3=$AC23,CJ$3=$AE23),"",IF(CJ$3=$AD23,$F23&amp;"R",CJ22))))</f>
        <v>bP</v>
      </c>
      <c r="CK23" s="11" t="str">
        <f aca="false">IF($P23=0,CK22,IF(CK$3=$E23,IF($AA23=1,$F23&amp;$AB23,$G23),IF(OR(CK$3=$D23,CK$3=$AC23,CK$3=$AE23),"",IF(CK$3=$AD23,$F23&amp;"R",CK22))))</f>
        <v>bP</v>
      </c>
      <c r="CL23" s="11" t="str">
        <f aca="false">IF($P23=0,CL22,IF(CL$3=$E23,IF($AA23=1,$F23&amp;$AB23,$G23),IF(OR(CL$3=$D23,CL$3=$AC23,CL$3=$AE23),"",IF(CL$3=$AD23,$F23&amp;"R",CL22))))</f>
        <v>bR</v>
      </c>
      <c r="CM23" s="11" t="str">
        <f aca="false">IF($P23=0,CM22,IF(CM$3=$E23,IF($AA23=1,$F23&amp;$AB23,$G23),IF(OR(CM$3=$D23,CM$3=$AC23,CM$3=$AE23),"",IF(CM$3=$AD23,$F23&amp;"R",CM22))))</f>
        <v>bN</v>
      </c>
      <c r="CN23" s="11" t="str">
        <f aca="false">IF($P23=0,CN22,IF(CN$3=$E23,IF($AA23=1,$F23&amp;$AB23,$G23),IF(OR(CN$3=$D23,CN$3=$AC23,CN$3=$AE23),"",IF(CN$3=$AD23,$F23&amp;"R",CN22))))</f>
        <v>bB</v>
      </c>
      <c r="CO23" s="11" t="str">
        <f aca="false">IF($P23=0,CO22,IF(CO$3=$E23,IF($AA23=1,$F23&amp;$AB23,$G23),IF(OR(CO$3=$D23,CO$3=$AC23,CO$3=$AE23),"",IF(CO$3=$AD23,$F23&amp;"R",CO22))))</f>
        <v>bQ</v>
      </c>
      <c r="CP23" s="11" t="str">
        <f aca="false">IF($P23=0,CP22,IF(CP$3=$E23,IF($AA23=1,$F23&amp;$AB23,$G23),IF(OR(CP$3=$D23,CP$3=$AC23,CP$3=$AE23),"",IF(CP$3=$AD23,$F23&amp;"R",CP22))))</f>
        <v>bK</v>
      </c>
      <c r="CQ23" s="11" t="str">
        <f aca="false">IF($P23=0,CQ22,IF(CQ$3=$E23,IF($AA23=1,$F23&amp;$AB23,$G23),IF(OR(CQ$3=$D23,CQ$3=$AC23,CQ$3=$AE23),"",IF(CQ$3=$AD23,$F23&amp;"R",CQ22))))</f>
        <v>bB</v>
      </c>
      <c r="CR23" s="11" t="str">
        <f aca="false">IF($P23=0,CR22,IF(CR$3=$E23,IF($AA23=1,$F23&amp;$AB23,$G23),IF(OR(CR$3=$D23,CR$3=$AC23,CR$3=$AE23),"",IF(CR$3=$AD23,$F23&amp;"R",CR22))))</f>
        <v>bN</v>
      </c>
      <c r="CS23" s="11" t="str">
        <f aca="false">IF($P23=0,CS22,IF(CS$3=$E23,IF($AA23=1,$F23&amp;$AB23,$G23),IF(OR(CS$3=$D23,CS$3=$AC23,CS$3=$AE23),"",IF(CS$3=$AD23,$F23&amp;"R",CS22))))</f>
        <v>bR</v>
      </c>
      <c r="CT23" s="11"/>
      <c r="CU23" s="11"/>
      <c r="CV23" s="11"/>
    </row>
    <row r="24" customFormat="false" ht="15" hidden="false" customHeight="false" outlineLevel="0" collapsed="false">
      <c r="A24" s="11" t="n">
        <v>19</v>
      </c>
      <c r="B24" s="11" t="str">
        <f aca="false">IF(Chess!$L$28="","",Chess!$L$28&amp;"")</f>
        <v/>
      </c>
      <c r="C24" s="11" t="str">
        <f aca="false">LOWER(SUBSTITUTE(SUBSTITUTE(SUBSTITUTE(SUBSTITUTE(TRIM($B24),"-",""),"=","")," ",""),"x",""))</f>
        <v/>
      </c>
      <c r="D24" s="11" t="n">
        <f aca="false">IF(LEN($C24)&lt;4,0,IFERROR(IF(AND(CODE(MID($C24,1,1))&gt;=97,CODE(MID($C24,1,1))&lt;=104,VALUE(MID($C24,2,1))&gt;=1,VALUE(MID($C24,2,1))&lt;=8),(VALUE(MID($C24,2,1))-1)*8+CODE(MID($C24,1,1))-96,0),0))</f>
        <v>0</v>
      </c>
      <c r="E24" s="11" t="n">
        <f aca="false">IF(LEN($C24)&lt;4,0,IFERROR(IF(AND(CODE(MID($C24,3,1))&gt;=97,CODE(MID($C24,3,1))&lt;=104,VALUE(MID($C24,4,1))&gt;=1,VALUE(MID($C24,4,1))&lt;=8),(VALUE(MID($C24,4,1))-1)*8+CODE(MID($C24,3,1))-96,0),0))</f>
        <v>0</v>
      </c>
      <c r="F24" s="11" t="str">
        <f aca="false">IF(MOD(SUM($P$5:$P23),2)=0,"w","b")</f>
        <v>w</v>
      </c>
      <c r="G24" s="11" t="str">
        <f aca="false">IF($D24=0,"",INDEX($AH23:$CS23,1,$D24)&amp;"")</f>
        <v/>
      </c>
      <c r="H24" s="11" t="str">
        <f aca="false">IF($E24=0,"",INDEX($AH23:$CS23,1,$E24)&amp;"")</f>
        <v/>
      </c>
      <c r="I24" s="11" t="n">
        <f aca="false">IF(OR($D24=0,$E24=0),0,MOD($E24-1,8)-MOD($D24-1,8))</f>
        <v>0</v>
      </c>
      <c r="J24" s="11" t="n">
        <f aca="false">IF(OR($D24=0,$E24=0),0,INT(($E24-1)/8)-INT(($D24-1)/8))</f>
        <v>0</v>
      </c>
      <c r="K24" s="11" t="str">
        <f aca="false">IF($G24="","",RIGHT($G24,1))</f>
        <v/>
      </c>
      <c r="L24" s="11" t="n">
        <f aca="false">IF(OR($D24=0,$E24=0),0,SUMPRODUCT(($AH$3:$CS$3&gt;MIN($D24,$E24))*($AH$3:$CS$3&lt;MAX($D24,$E24))*(MOD($AH$3:$CS$3-MIN($D24,$E24),MAX(1,ABS(SIGN($J24)*8+SIGN($I24))))=0)*($AH23:$CS23&lt;&gt;"")))</f>
        <v>0</v>
      </c>
      <c r="M24" s="11" t="n">
        <f aca="false">IF($K24&lt;&gt;"K",0,IFERROR(--AND($J24=0,ABS($I24)=2,$D24=IF($F24="w",5,61),IF($F24="w",$S23,$V23)=0,IF($I24=2,AND(IF($F24="w",$U23,$X23)=0,INDEX($AH23:$CS23,1,$D24+1)&amp;""="",INDEX($AH23:$CS23,1,$D24+2)&amp;""=""),AND(IF($F24="w",$T23,$W23)=0,INDEX($AH23:$CS23,1,$D24-1)&amp;""="",INDEX($AH23:$CS23,1,$D24-2)&amp;""="",INDEX($AH23:$CS23,1,$D24-3)&amp;""=""))),0))</f>
        <v>0</v>
      </c>
      <c r="N24" s="11" t="n">
        <f aca="false">IF($K24&lt;&gt;"P",0,IFERROR(--OR(AND($I24=0,$J24=IF($F24="w",1,-1),$H24=""),AND($I24=0,$J24=2*IF($F24="w",1,-1),$H24="",INT(($D24-1)/8)=IF($F24="w",1,6),INDEX($AH23:$CS23,1,MAX(1,MIN(64,$D24+8*IF($F24="w",1,-1))))&amp;""=""),AND(ABS($I24)=1,$J24=IF($F24="w",1,-1),$H24&lt;&gt;""),AND(ABS($I24)=1,$J24=IF($F24="w",1,-1),$H24="",$R23&gt;0,$E24=$R23)),0))</f>
        <v>0</v>
      </c>
      <c r="O24" s="11" t="n">
        <f aca="false">IF(OR($D24=0,$E24=0,$G24=""),0,IF($K24="N",--OR(AND(ABS($I24)=1,ABS($J24)=2),AND(ABS($I24)=2,ABS($J24)=1)),IF($K24="B",--AND(ABS($I24)=ABS($J24),$I24&lt;&gt;0,$L24=0),IF($K24="R",--AND(OR($I24=0,$J24=0),OR($I24&lt;&gt;0,$J24&lt;&gt;0),$L24=0),IF($K24="Q",--AND(OR(AND(ABS($I24)=ABS($J24),$I24&lt;&gt;0),AND(OR($I24=0,$J24=0),OR($I24&lt;&gt;0,$J24&lt;&gt;0))),$L24=0),IF($K24="K",--OR(MAX(ABS($I24),ABS($J24))=1,$M24=1),$N24))))))</f>
        <v>0</v>
      </c>
      <c r="P24" s="11" t="n">
        <f aca="false">IF($Q24="OK",1,0)</f>
        <v>0</v>
      </c>
      <c r="Q24" s="11" t="str">
        <f aca="false">IF($B24="","",IF(OR(COUNTIF($AH23:$CS23,"wK")=0,COUNTIF($AH23:$CS23,"bK")=0),"Game is over",IF(OR($D24=0,$E24=0),"Use the format e2e4",IF($G24="","No piece on that square",IF(LEFT($G24,1)&lt;&gt;$F24,"Not your piece ("&amp;IF($F24="w","White","Black")&amp;" to move)",IF($D24=$E24,"Piece must move",IF(AND($H24&lt;&gt;"",LEFT($H24,1)=$F24),"Cannot capture your own piece",IF($O24=0,"Illegal move for that piece (or path blocked)","OK"))))))))</f>
        <v/>
      </c>
      <c r="R24" s="11" t="n">
        <f aca="false">IF($P24=1,IF(AND($K24="P",ABS($J24)=2),($D24+$E24)/2,0),$R23)</f>
        <v>0</v>
      </c>
      <c r="S24" s="12" t="b">
        <f aca="false">--OR($S23=1,AND($P24=1,OR($D24=5,$E24=5)))</f>
        <v>0</v>
      </c>
      <c r="T24" s="12" t="b">
        <f aca="false">--OR($T23=1,AND($P24=1,OR($D24=1,$E24=1)))</f>
        <v>0</v>
      </c>
      <c r="U24" s="12" t="b">
        <f aca="false">--OR($U23=1,AND($P24=1,OR($D24=8,$E24=8)))</f>
        <v>0</v>
      </c>
      <c r="V24" s="12" t="b">
        <f aca="false">--OR($V23=1,AND($P24=1,OR($D24=61,$E24=61)))</f>
        <v>0</v>
      </c>
      <c r="W24" s="12" t="b">
        <f aca="false">--OR($W23=1,AND($P24=1,OR($D24=57,$E24=57)))</f>
        <v>0</v>
      </c>
      <c r="X24" s="12" t="b">
        <f aca="false">--OR($X23=1,AND($P24=1,OR($D24=64,$E24=64)))</f>
        <v>0</v>
      </c>
      <c r="Y24" s="12" t="b">
        <f aca="false">--AND($P24=1,$K24="K",ABS($I24)=2)</f>
        <v>0</v>
      </c>
      <c r="Z24" s="12" t="b">
        <f aca="false">--AND($P24=1,$K24="P",ABS($I24)=1,$H24="")</f>
        <v>0</v>
      </c>
      <c r="AA24" s="12" t="b">
        <f aca="false">--AND($P24=1,$K24="P",INT(($E24-1)/8)=IF($F24="w",7,0))</f>
        <v>0</v>
      </c>
      <c r="AB24" s="11" t="str">
        <f aca="false">IF(LEN($C24)&gt;=5,IF(ISNUMBER(FIND(MID($C24,5,1),"qrbn")),UPPER(MID($C24,5,1)),"Q"),"Q")</f>
        <v>Q</v>
      </c>
      <c r="AC24" s="11" t="n">
        <f aca="false">IF($Y24=1,IF($I24=2,$D24+3,$D24-4),0)</f>
        <v>0</v>
      </c>
      <c r="AD24" s="11" t="n">
        <f aca="false">IF($Y24=1,IF($I24=2,$D24+1,$D24-1),0)</f>
        <v>0</v>
      </c>
      <c r="AE24" s="11" t="n">
        <f aca="false">IF($Z24=1,$E24-8*IF($F24="w",1,-1),0)</f>
        <v>0</v>
      </c>
      <c r="AF24" s="11" t="str">
        <f aca="false">IF($B24="","",IF($P24=1,LOWER(INDEX($CV$2:$CV$13,MATCH($G24,$CU$2:$CU$13,0)))&amp;" "&amp;MID("abcdefgh",MOD($D24-1,8)+1,1)&amp;(INT(($D24-1)/8)+1)&amp;"→"&amp;MID("abcdefgh",MOD($E24-1,8)+1,1)&amp;(INT(($E24-1)/8)+1)&amp;IF(OR($H24&lt;&gt;"",$Z24=1)," ×","")&amp;IF($Y24=1," castles","")&amp;IF($Z24=1," e.p.","")&amp;IF($AA24=1," =" &amp;LOWER(INDEX($CV$2:$CV$13,MATCH($F24&amp;$AB24,$CU$2:$CU$13,0))),""),"X "&amp;$Q24))</f>
        <v/>
      </c>
      <c r="AG24" s="11"/>
      <c r="AH24" s="11" t="str">
        <f aca="false">IF($P24=0,AH23,IF(AH$3=$E24,IF($AA24=1,$F24&amp;$AB24,$G24),IF(OR(AH$3=$D24,AH$3=$AC24,AH$3=$AE24),"",IF(AH$3=$AD24,$F24&amp;"R",AH23))))</f>
        <v>wR</v>
      </c>
      <c r="AI24" s="11" t="str">
        <f aca="false">IF($P24=0,AI23,IF(AI$3=$E24,IF($AA24=1,$F24&amp;$AB24,$G24),IF(OR(AI$3=$D24,AI$3=$AC24,AI$3=$AE24),"",IF(AI$3=$AD24,$F24&amp;"R",AI23))))</f>
        <v>wN</v>
      </c>
      <c r="AJ24" s="11" t="str">
        <f aca="false">IF($P24=0,AJ23,IF(AJ$3=$E24,IF($AA24=1,$F24&amp;$AB24,$G24),IF(OR(AJ$3=$D24,AJ$3=$AC24,AJ$3=$AE24),"",IF(AJ$3=$AD24,$F24&amp;"R",AJ23))))</f>
        <v>wB</v>
      </c>
      <c r="AK24" s="11" t="str">
        <f aca="false">IF($P24=0,AK23,IF(AK$3=$E24,IF($AA24=1,$F24&amp;$AB24,$G24),IF(OR(AK$3=$D24,AK$3=$AC24,AK$3=$AE24),"",IF(AK$3=$AD24,$F24&amp;"R",AK23))))</f>
        <v>wQ</v>
      </c>
      <c r="AL24" s="11" t="str">
        <f aca="false">IF($P24=0,AL23,IF(AL$3=$E24,IF($AA24=1,$F24&amp;$AB24,$G24),IF(OR(AL$3=$D24,AL$3=$AC24,AL$3=$AE24),"",IF(AL$3=$AD24,$F24&amp;"R",AL23))))</f>
        <v>wK</v>
      </c>
      <c r="AM24" s="11" t="str">
        <f aca="false">IF($P24=0,AM23,IF(AM$3=$E24,IF($AA24=1,$F24&amp;$AB24,$G24),IF(OR(AM$3=$D24,AM$3=$AC24,AM$3=$AE24),"",IF(AM$3=$AD24,$F24&amp;"R",AM23))))</f>
        <v>wB</v>
      </c>
      <c r="AN24" s="11" t="str">
        <f aca="false">IF($P24=0,AN23,IF(AN$3=$E24,IF($AA24=1,$F24&amp;$AB24,$G24),IF(OR(AN$3=$D24,AN$3=$AC24,AN$3=$AE24),"",IF(AN$3=$AD24,$F24&amp;"R",AN23))))</f>
        <v>wN</v>
      </c>
      <c r="AO24" s="11" t="str">
        <f aca="false">IF($P24=0,AO23,IF(AO$3=$E24,IF($AA24=1,$F24&amp;$AB24,$G24),IF(OR(AO$3=$D24,AO$3=$AC24,AO$3=$AE24),"",IF(AO$3=$AD24,$F24&amp;"R",AO23))))</f>
        <v>wR</v>
      </c>
      <c r="AP24" s="11" t="str">
        <f aca="false">IF($P24=0,AP23,IF(AP$3=$E24,IF($AA24=1,$F24&amp;$AB24,$G24),IF(OR(AP$3=$D24,AP$3=$AC24,AP$3=$AE24),"",IF(AP$3=$AD24,$F24&amp;"R",AP23))))</f>
        <v>wP</v>
      </c>
      <c r="AQ24" s="11" t="str">
        <f aca="false">IF($P24=0,AQ23,IF(AQ$3=$E24,IF($AA24=1,$F24&amp;$AB24,$G24),IF(OR(AQ$3=$D24,AQ$3=$AC24,AQ$3=$AE24),"",IF(AQ$3=$AD24,$F24&amp;"R",AQ23))))</f>
        <v>wP</v>
      </c>
      <c r="AR24" s="11" t="str">
        <f aca="false">IF($P24=0,AR23,IF(AR$3=$E24,IF($AA24=1,$F24&amp;$AB24,$G24),IF(OR(AR$3=$D24,AR$3=$AC24,AR$3=$AE24),"",IF(AR$3=$AD24,$F24&amp;"R",AR23))))</f>
        <v>wP</v>
      </c>
      <c r="AS24" s="11" t="str">
        <f aca="false">IF($P24=0,AS23,IF(AS$3=$E24,IF($AA24=1,$F24&amp;$AB24,$G24),IF(OR(AS$3=$D24,AS$3=$AC24,AS$3=$AE24),"",IF(AS$3=$AD24,$F24&amp;"R",AS23))))</f>
        <v>wP</v>
      </c>
      <c r="AT24" s="11" t="str">
        <f aca="false">IF($P24=0,AT23,IF(AT$3=$E24,IF($AA24=1,$F24&amp;$AB24,$G24),IF(OR(AT$3=$D24,AT$3=$AC24,AT$3=$AE24),"",IF(AT$3=$AD24,$F24&amp;"R",AT23))))</f>
        <v>wP</v>
      </c>
      <c r="AU24" s="11" t="str">
        <f aca="false">IF($P24=0,AU23,IF(AU$3=$E24,IF($AA24=1,$F24&amp;$AB24,$G24),IF(OR(AU$3=$D24,AU$3=$AC24,AU$3=$AE24),"",IF(AU$3=$AD24,$F24&amp;"R",AU23))))</f>
        <v>wP</v>
      </c>
      <c r="AV24" s="11" t="str">
        <f aca="false">IF($P24=0,AV23,IF(AV$3=$E24,IF($AA24=1,$F24&amp;$AB24,$G24),IF(OR(AV$3=$D24,AV$3=$AC24,AV$3=$AE24),"",IF(AV$3=$AD24,$F24&amp;"R",AV23))))</f>
        <v>wP</v>
      </c>
      <c r="AW24" s="11" t="str">
        <f aca="false">IF($P24=0,AW23,IF(AW$3=$E24,IF($AA24=1,$F24&amp;$AB24,$G24),IF(OR(AW$3=$D24,AW$3=$AC24,AW$3=$AE24),"",IF(AW$3=$AD24,$F24&amp;"R",AW23))))</f>
        <v>wP</v>
      </c>
      <c r="AX24" s="11" t="str">
        <f aca="false">IF($P24=0,AX23,IF(AX$3=$E24,IF($AA24=1,$F24&amp;$AB24,$G24),IF(OR(AX$3=$D24,AX$3=$AC24,AX$3=$AE24),"",IF(AX$3=$AD24,$F24&amp;"R",AX23))))</f>
        <v/>
      </c>
      <c r="AY24" s="11" t="str">
        <f aca="false">IF($P24=0,AY23,IF(AY$3=$E24,IF($AA24=1,$F24&amp;$AB24,$G24),IF(OR(AY$3=$D24,AY$3=$AC24,AY$3=$AE24),"",IF(AY$3=$AD24,$F24&amp;"R",AY23))))</f>
        <v/>
      </c>
      <c r="AZ24" s="11" t="str">
        <f aca="false">IF($P24=0,AZ23,IF(AZ$3=$E24,IF($AA24=1,$F24&amp;$AB24,$G24),IF(OR(AZ$3=$D24,AZ$3=$AC24,AZ$3=$AE24),"",IF(AZ$3=$AD24,$F24&amp;"R",AZ23))))</f>
        <v/>
      </c>
      <c r="BA24" s="11" t="str">
        <f aca="false">IF($P24=0,BA23,IF(BA$3=$E24,IF($AA24=1,$F24&amp;$AB24,$G24),IF(OR(BA$3=$D24,BA$3=$AC24,BA$3=$AE24),"",IF(BA$3=$AD24,$F24&amp;"R",BA23))))</f>
        <v/>
      </c>
      <c r="BB24" s="11" t="str">
        <f aca="false">IF($P24=0,BB23,IF(BB$3=$E24,IF($AA24=1,$F24&amp;$AB24,$G24),IF(OR(BB$3=$D24,BB$3=$AC24,BB$3=$AE24),"",IF(BB$3=$AD24,$F24&amp;"R",BB23))))</f>
        <v/>
      </c>
      <c r="BC24" s="11" t="str">
        <f aca="false">IF($P24=0,BC23,IF(BC$3=$E24,IF($AA24=1,$F24&amp;$AB24,$G24),IF(OR(BC$3=$D24,BC$3=$AC24,BC$3=$AE24),"",IF(BC$3=$AD24,$F24&amp;"R",BC23))))</f>
        <v/>
      </c>
      <c r="BD24" s="11" t="str">
        <f aca="false">IF($P24=0,BD23,IF(BD$3=$E24,IF($AA24=1,$F24&amp;$AB24,$G24),IF(OR(BD$3=$D24,BD$3=$AC24,BD$3=$AE24),"",IF(BD$3=$AD24,$F24&amp;"R",BD23))))</f>
        <v/>
      </c>
      <c r="BE24" s="11" t="str">
        <f aca="false">IF($P24=0,BE23,IF(BE$3=$E24,IF($AA24=1,$F24&amp;$AB24,$G24),IF(OR(BE$3=$D24,BE$3=$AC24,BE$3=$AE24),"",IF(BE$3=$AD24,$F24&amp;"R",BE23))))</f>
        <v/>
      </c>
      <c r="BF24" s="11" t="str">
        <f aca="false">IF($P24=0,BF23,IF(BF$3=$E24,IF($AA24=1,$F24&amp;$AB24,$G24),IF(OR(BF$3=$D24,BF$3=$AC24,BF$3=$AE24),"",IF(BF$3=$AD24,$F24&amp;"R",BF23))))</f>
        <v/>
      </c>
      <c r="BG24" s="11" t="str">
        <f aca="false">IF($P24=0,BG23,IF(BG$3=$E24,IF($AA24=1,$F24&amp;$AB24,$G24),IF(OR(BG$3=$D24,BG$3=$AC24,BG$3=$AE24),"",IF(BG$3=$AD24,$F24&amp;"R",BG23))))</f>
        <v/>
      </c>
      <c r="BH24" s="11" t="str">
        <f aca="false">IF($P24=0,BH23,IF(BH$3=$E24,IF($AA24=1,$F24&amp;$AB24,$G24),IF(OR(BH$3=$D24,BH$3=$AC24,BH$3=$AE24),"",IF(BH$3=$AD24,$F24&amp;"R",BH23))))</f>
        <v/>
      </c>
      <c r="BI24" s="11" t="str">
        <f aca="false">IF($P24=0,BI23,IF(BI$3=$E24,IF($AA24=1,$F24&amp;$AB24,$G24),IF(OR(BI$3=$D24,BI$3=$AC24,BI$3=$AE24),"",IF(BI$3=$AD24,$F24&amp;"R",BI23))))</f>
        <v/>
      </c>
      <c r="BJ24" s="11" t="str">
        <f aca="false">IF($P24=0,BJ23,IF(BJ$3=$E24,IF($AA24=1,$F24&amp;$AB24,$G24),IF(OR(BJ$3=$D24,BJ$3=$AC24,BJ$3=$AE24),"",IF(BJ$3=$AD24,$F24&amp;"R",BJ23))))</f>
        <v/>
      </c>
      <c r="BK24" s="11" t="str">
        <f aca="false">IF($P24=0,BK23,IF(BK$3=$E24,IF($AA24=1,$F24&amp;$AB24,$G24),IF(OR(BK$3=$D24,BK$3=$AC24,BK$3=$AE24),"",IF(BK$3=$AD24,$F24&amp;"R",BK23))))</f>
        <v/>
      </c>
      <c r="BL24" s="11" t="str">
        <f aca="false">IF($P24=0,BL23,IF(BL$3=$E24,IF($AA24=1,$F24&amp;$AB24,$G24),IF(OR(BL$3=$D24,BL$3=$AC24,BL$3=$AE24),"",IF(BL$3=$AD24,$F24&amp;"R",BL23))))</f>
        <v/>
      </c>
      <c r="BM24" s="11" t="str">
        <f aca="false">IF($P24=0,BM23,IF(BM$3=$E24,IF($AA24=1,$F24&amp;$AB24,$G24),IF(OR(BM$3=$D24,BM$3=$AC24,BM$3=$AE24),"",IF(BM$3=$AD24,$F24&amp;"R",BM23))))</f>
        <v/>
      </c>
      <c r="BN24" s="11" t="str">
        <f aca="false">IF($P24=0,BN23,IF(BN$3=$E24,IF($AA24=1,$F24&amp;$AB24,$G24),IF(OR(BN$3=$D24,BN$3=$AC24,BN$3=$AE24),"",IF(BN$3=$AD24,$F24&amp;"R",BN23))))</f>
        <v/>
      </c>
      <c r="BO24" s="11" t="str">
        <f aca="false">IF($P24=0,BO23,IF(BO$3=$E24,IF($AA24=1,$F24&amp;$AB24,$G24),IF(OR(BO$3=$D24,BO$3=$AC24,BO$3=$AE24),"",IF(BO$3=$AD24,$F24&amp;"R",BO23))))</f>
        <v/>
      </c>
      <c r="BP24" s="11" t="str">
        <f aca="false">IF($P24=0,BP23,IF(BP$3=$E24,IF($AA24=1,$F24&amp;$AB24,$G24),IF(OR(BP$3=$D24,BP$3=$AC24,BP$3=$AE24),"",IF(BP$3=$AD24,$F24&amp;"R",BP23))))</f>
        <v/>
      </c>
      <c r="BQ24" s="11" t="str">
        <f aca="false">IF($P24=0,BQ23,IF(BQ$3=$E24,IF($AA24=1,$F24&amp;$AB24,$G24),IF(OR(BQ$3=$D24,BQ$3=$AC24,BQ$3=$AE24),"",IF(BQ$3=$AD24,$F24&amp;"R",BQ23))))</f>
        <v/>
      </c>
      <c r="BR24" s="11" t="str">
        <f aca="false">IF($P24=0,BR23,IF(BR$3=$E24,IF($AA24=1,$F24&amp;$AB24,$G24),IF(OR(BR$3=$D24,BR$3=$AC24,BR$3=$AE24),"",IF(BR$3=$AD24,$F24&amp;"R",BR23))))</f>
        <v/>
      </c>
      <c r="BS24" s="11" t="str">
        <f aca="false">IF($P24=0,BS23,IF(BS$3=$E24,IF($AA24=1,$F24&amp;$AB24,$G24),IF(OR(BS$3=$D24,BS$3=$AC24,BS$3=$AE24),"",IF(BS$3=$AD24,$F24&amp;"R",BS23))))</f>
        <v/>
      </c>
      <c r="BT24" s="11" t="str">
        <f aca="false">IF($P24=0,BT23,IF(BT$3=$E24,IF($AA24=1,$F24&amp;$AB24,$G24),IF(OR(BT$3=$D24,BT$3=$AC24,BT$3=$AE24),"",IF(BT$3=$AD24,$F24&amp;"R",BT23))))</f>
        <v/>
      </c>
      <c r="BU24" s="11" t="str">
        <f aca="false">IF($P24=0,BU23,IF(BU$3=$E24,IF($AA24=1,$F24&amp;$AB24,$G24),IF(OR(BU$3=$D24,BU$3=$AC24,BU$3=$AE24),"",IF(BU$3=$AD24,$F24&amp;"R",BU23))))</f>
        <v/>
      </c>
      <c r="BV24" s="11" t="str">
        <f aca="false">IF($P24=0,BV23,IF(BV$3=$E24,IF($AA24=1,$F24&amp;$AB24,$G24),IF(OR(BV$3=$D24,BV$3=$AC24,BV$3=$AE24),"",IF(BV$3=$AD24,$F24&amp;"R",BV23))))</f>
        <v/>
      </c>
      <c r="BW24" s="11" t="str">
        <f aca="false">IF($P24=0,BW23,IF(BW$3=$E24,IF($AA24=1,$F24&amp;$AB24,$G24),IF(OR(BW$3=$D24,BW$3=$AC24,BW$3=$AE24),"",IF(BW$3=$AD24,$F24&amp;"R",BW23))))</f>
        <v/>
      </c>
      <c r="BX24" s="11" t="str">
        <f aca="false">IF($P24=0,BX23,IF(BX$3=$E24,IF($AA24=1,$F24&amp;$AB24,$G24),IF(OR(BX$3=$D24,BX$3=$AC24,BX$3=$AE24),"",IF(BX$3=$AD24,$F24&amp;"R",BX23))))</f>
        <v/>
      </c>
      <c r="BY24" s="11" t="str">
        <f aca="false">IF($P24=0,BY23,IF(BY$3=$E24,IF($AA24=1,$F24&amp;$AB24,$G24),IF(OR(BY$3=$D24,BY$3=$AC24,BY$3=$AE24),"",IF(BY$3=$AD24,$F24&amp;"R",BY23))))</f>
        <v/>
      </c>
      <c r="BZ24" s="11" t="str">
        <f aca="false">IF($P24=0,BZ23,IF(BZ$3=$E24,IF($AA24=1,$F24&amp;$AB24,$G24),IF(OR(BZ$3=$D24,BZ$3=$AC24,BZ$3=$AE24),"",IF(BZ$3=$AD24,$F24&amp;"R",BZ23))))</f>
        <v/>
      </c>
      <c r="CA24" s="11" t="str">
        <f aca="false">IF($P24=0,CA23,IF(CA$3=$E24,IF($AA24=1,$F24&amp;$AB24,$G24),IF(OR(CA$3=$D24,CA$3=$AC24,CA$3=$AE24),"",IF(CA$3=$AD24,$F24&amp;"R",CA23))))</f>
        <v/>
      </c>
      <c r="CB24" s="11" t="str">
        <f aca="false">IF($P24=0,CB23,IF(CB$3=$E24,IF($AA24=1,$F24&amp;$AB24,$G24),IF(OR(CB$3=$D24,CB$3=$AC24,CB$3=$AE24),"",IF(CB$3=$AD24,$F24&amp;"R",CB23))))</f>
        <v/>
      </c>
      <c r="CC24" s="11" t="str">
        <f aca="false">IF($P24=0,CC23,IF(CC$3=$E24,IF($AA24=1,$F24&amp;$AB24,$G24),IF(OR(CC$3=$D24,CC$3=$AC24,CC$3=$AE24),"",IF(CC$3=$AD24,$F24&amp;"R",CC23))))</f>
        <v/>
      </c>
      <c r="CD24" s="11" t="str">
        <f aca="false">IF($P24=0,CD23,IF(CD$3=$E24,IF($AA24=1,$F24&amp;$AB24,$G24),IF(OR(CD$3=$D24,CD$3=$AC24,CD$3=$AE24),"",IF(CD$3=$AD24,$F24&amp;"R",CD23))))</f>
        <v>bP</v>
      </c>
      <c r="CE24" s="11" t="str">
        <f aca="false">IF($P24=0,CE23,IF(CE$3=$E24,IF($AA24=1,$F24&amp;$AB24,$G24),IF(OR(CE$3=$D24,CE$3=$AC24,CE$3=$AE24),"",IF(CE$3=$AD24,$F24&amp;"R",CE23))))</f>
        <v>bP</v>
      </c>
      <c r="CF24" s="11" t="str">
        <f aca="false">IF($P24=0,CF23,IF(CF$3=$E24,IF($AA24=1,$F24&amp;$AB24,$G24),IF(OR(CF$3=$D24,CF$3=$AC24,CF$3=$AE24),"",IF(CF$3=$AD24,$F24&amp;"R",CF23))))</f>
        <v>bP</v>
      </c>
      <c r="CG24" s="11" t="str">
        <f aca="false">IF($P24=0,CG23,IF(CG$3=$E24,IF($AA24=1,$F24&amp;$AB24,$G24),IF(OR(CG$3=$D24,CG$3=$AC24,CG$3=$AE24),"",IF(CG$3=$AD24,$F24&amp;"R",CG23))))</f>
        <v>bP</v>
      </c>
      <c r="CH24" s="11" t="str">
        <f aca="false">IF($P24=0,CH23,IF(CH$3=$E24,IF($AA24=1,$F24&amp;$AB24,$G24),IF(OR(CH$3=$D24,CH$3=$AC24,CH$3=$AE24),"",IF(CH$3=$AD24,$F24&amp;"R",CH23))))</f>
        <v>bP</v>
      </c>
      <c r="CI24" s="11" t="str">
        <f aca="false">IF($P24=0,CI23,IF(CI$3=$E24,IF($AA24=1,$F24&amp;$AB24,$G24),IF(OR(CI$3=$D24,CI$3=$AC24,CI$3=$AE24),"",IF(CI$3=$AD24,$F24&amp;"R",CI23))))</f>
        <v>bP</v>
      </c>
      <c r="CJ24" s="11" t="str">
        <f aca="false">IF($P24=0,CJ23,IF(CJ$3=$E24,IF($AA24=1,$F24&amp;$AB24,$G24),IF(OR(CJ$3=$D24,CJ$3=$AC24,CJ$3=$AE24),"",IF(CJ$3=$AD24,$F24&amp;"R",CJ23))))</f>
        <v>bP</v>
      </c>
      <c r="CK24" s="11" t="str">
        <f aca="false">IF($P24=0,CK23,IF(CK$3=$E24,IF($AA24=1,$F24&amp;$AB24,$G24),IF(OR(CK$3=$D24,CK$3=$AC24,CK$3=$AE24),"",IF(CK$3=$AD24,$F24&amp;"R",CK23))))</f>
        <v>bP</v>
      </c>
      <c r="CL24" s="11" t="str">
        <f aca="false">IF($P24=0,CL23,IF(CL$3=$E24,IF($AA24=1,$F24&amp;$AB24,$G24),IF(OR(CL$3=$D24,CL$3=$AC24,CL$3=$AE24),"",IF(CL$3=$AD24,$F24&amp;"R",CL23))))</f>
        <v>bR</v>
      </c>
      <c r="CM24" s="11" t="str">
        <f aca="false">IF($P24=0,CM23,IF(CM$3=$E24,IF($AA24=1,$F24&amp;$AB24,$G24),IF(OR(CM$3=$D24,CM$3=$AC24,CM$3=$AE24),"",IF(CM$3=$AD24,$F24&amp;"R",CM23))))</f>
        <v>bN</v>
      </c>
      <c r="CN24" s="11" t="str">
        <f aca="false">IF($P24=0,CN23,IF(CN$3=$E24,IF($AA24=1,$F24&amp;$AB24,$G24),IF(OR(CN$3=$D24,CN$3=$AC24,CN$3=$AE24),"",IF(CN$3=$AD24,$F24&amp;"R",CN23))))</f>
        <v>bB</v>
      </c>
      <c r="CO24" s="11" t="str">
        <f aca="false">IF($P24=0,CO23,IF(CO$3=$E24,IF($AA24=1,$F24&amp;$AB24,$G24),IF(OR(CO$3=$D24,CO$3=$AC24,CO$3=$AE24),"",IF(CO$3=$AD24,$F24&amp;"R",CO23))))</f>
        <v>bQ</v>
      </c>
      <c r="CP24" s="11" t="str">
        <f aca="false">IF($P24=0,CP23,IF(CP$3=$E24,IF($AA24=1,$F24&amp;$AB24,$G24),IF(OR(CP$3=$D24,CP$3=$AC24,CP$3=$AE24),"",IF(CP$3=$AD24,$F24&amp;"R",CP23))))</f>
        <v>bK</v>
      </c>
      <c r="CQ24" s="11" t="str">
        <f aca="false">IF($P24=0,CQ23,IF(CQ$3=$E24,IF($AA24=1,$F24&amp;$AB24,$G24),IF(OR(CQ$3=$D24,CQ$3=$AC24,CQ$3=$AE24),"",IF(CQ$3=$AD24,$F24&amp;"R",CQ23))))</f>
        <v>bB</v>
      </c>
      <c r="CR24" s="11" t="str">
        <f aca="false">IF($P24=0,CR23,IF(CR$3=$E24,IF($AA24=1,$F24&amp;$AB24,$G24),IF(OR(CR$3=$D24,CR$3=$AC24,CR$3=$AE24),"",IF(CR$3=$AD24,$F24&amp;"R",CR23))))</f>
        <v>bN</v>
      </c>
      <c r="CS24" s="11" t="str">
        <f aca="false">IF($P24=0,CS23,IF(CS$3=$E24,IF($AA24=1,$F24&amp;$AB24,$G24),IF(OR(CS$3=$D24,CS$3=$AC24,CS$3=$AE24),"",IF(CS$3=$AD24,$F24&amp;"R",CS23))))</f>
        <v>bR</v>
      </c>
      <c r="CT24" s="11"/>
      <c r="CU24" s="11"/>
      <c r="CV24" s="11"/>
    </row>
    <row r="25" customFormat="false" ht="15" hidden="false" customHeight="false" outlineLevel="0" collapsed="false">
      <c r="A25" s="11" t="n">
        <v>20</v>
      </c>
      <c r="B25" s="11" t="str">
        <f aca="false">IF(Chess!$L$29="","",Chess!$L$29&amp;"")</f>
        <v/>
      </c>
      <c r="C25" s="11" t="str">
        <f aca="false">LOWER(SUBSTITUTE(SUBSTITUTE(SUBSTITUTE(SUBSTITUTE(TRIM($B25),"-",""),"=","")," ",""),"x",""))</f>
        <v/>
      </c>
      <c r="D25" s="11" t="n">
        <f aca="false">IF(LEN($C25)&lt;4,0,IFERROR(IF(AND(CODE(MID($C25,1,1))&gt;=97,CODE(MID($C25,1,1))&lt;=104,VALUE(MID($C25,2,1))&gt;=1,VALUE(MID($C25,2,1))&lt;=8),(VALUE(MID($C25,2,1))-1)*8+CODE(MID($C25,1,1))-96,0),0))</f>
        <v>0</v>
      </c>
      <c r="E25" s="11" t="n">
        <f aca="false">IF(LEN($C25)&lt;4,0,IFERROR(IF(AND(CODE(MID($C25,3,1))&gt;=97,CODE(MID($C25,3,1))&lt;=104,VALUE(MID($C25,4,1))&gt;=1,VALUE(MID($C25,4,1))&lt;=8),(VALUE(MID($C25,4,1))-1)*8+CODE(MID($C25,3,1))-96,0),0))</f>
        <v>0</v>
      </c>
      <c r="F25" s="11" t="str">
        <f aca="false">IF(MOD(SUM($P$5:$P24),2)=0,"w","b")</f>
        <v>w</v>
      </c>
      <c r="G25" s="11" t="str">
        <f aca="false">IF($D25=0,"",INDEX($AH24:$CS24,1,$D25)&amp;"")</f>
        <v/>
      </c>
      <c r="H25" s="11" t="str">
        <f aca="false">IF($E25=0,"",INDEX($AH24:$CS24,1,$E25)&amp;"")</f>
        <v/>
      </c>
      <c r="I25" s="11" t="n">
        <f aca="false">IF(OR($D25=0,$E25=0),0,MOD($E25-1,8)-MOD($D25-1,8))</f>
        <v>0</v>
      </c>
      <c r="J25" s="11" t="n">
        <f aca="false">IF(OR($D25=0,$E25=0),0,INT(($E25-1)/8)-INT(($D25-1)/8))</f>
        <v>0</v>
      </c>
      <c r="K25" s="11" t="str">
        <f aca="false">IF($G25="","",RIGHT($G25,1))</f>
        <v/>
      </c>
      <c r="L25" s="11" t="n">
        <f aca="false">IF(OR($D25=0,$E25=0),0,SUMPRODUCT(($AH$3:$CS$3&gt;MIN($D25,$E25))*($AH$3:$CS$3&lt;MAX($D25,$E25))*(MOD($AH$3:$CS$3-MIN($D25,$E25),MAX(1,ABS(SIGN($J25)*8+SIGN($I25))))=0)*($AH24:$CS24&lt;&gt;"")))</f>
        <v>0</v>
      </c>
      <c r="M25" s="11" t="n">
        <f aca="false">IF($K25&lt;&gt;"K",0,IFERROR(--AND($J25=0,ABS($I25)=2,$D25=IF($F25="w",5,61),IF($F25="w",$S24,$V24)=0,IF($I25=2,AND(IF($F25="w",$U24,$X24)=0,INDEX($AH24:$CS24,1,$D25+1)&amp;""="",INDEX($AH24:$CS24,1,$D25+2)&amp;""=""),AND(IF($F25="w",$T24,$W24)=0,INDEX($AH24:$CS24,1,$D25-1)&amp;""="",INDEX($AH24:$CS24,1,$D25-2)&amp;""="",INDEX($AH24:$CS24,1,$D25-3)&amp;""=""))),0))</f>
        <v>0</v>
      </c>
      <c r="N25" s="11" t="n">
        <f aca="false">IF($K25&lt;&gt;"P",0,IFERROR(--OR(AND($I25=0,$J25=IF($F25="w",1,-1),$H25=""),AND($I25=0,$J25=2*IF($F25="w",1,-1),$H25="",INT(($D25-1)/8)=IF($F25="w",1,6),INDEX($AH24:$CS24,1,MAX(1,MIN(64,$D25+8*IF($F25="w",1,-1))))&amp;""=""),AND(ABS($I25)=1,$J25=IF($F25="w",1,-1),$H25&lt;&gt;""),AND(ABS($I25)=1,$J25=IF($F25="w",1,-1),$H25="",$R24&gt;0,$E25=$R24)),0))</f>
        <v>0</v>
      </c>
      <c r="O25" s="11" t="n">
        <f aca="false">IF(OR($D25=0,$E25=0,$G25=""),0,IF($K25="N",--OR(AND(ABS($I25)=1,ABS($J25)=2),AND(ABS($I25)=2,ABS($J25)=1)),IF($K25="B",--AND(ABS($I25)=ABS($J25),$I25&lt;&gt;0,$L25=0),IF($K25="R",--AND(OR($I25=0,$J25=0),OR($I25&lt;&gt;0,$J25&lt;&gt;0),$L25=0),IF($K25="Q",--AND(OR(AND(ABS($I25)=ABS($J25),$I25&lt;&gt;0),AND(OR($I25=0,$J25=0),OR($I25&lt;&gt;0,$J25&lt;&gt;0))),$L25=0),IF($K25="K",--OR(MAX(ABS($I25),ABS($J25))=1,$M25=1),$N25))))))</f>
        <v>0</v>
      </c>
      <c r="P25" s="11" t="n">
        <f aca="false">IF($Q25="OK",1,0)</f>
        <v>0</v>
      </c>
      <c r="Q25" s="11" t="str">
        <f aca="false">IF($B25="","",IF(OR(COUNTIF($AH24:$CS24,"wK")=0,COUNTIF($AH24:$CS24,"bK")=0),"Game is over",IF(OR($D25=0,$E25=0),"Use the format e2e4",IF($G25="","No piece on that square",IF(LEFT($G25,1)&lt;&gt;$F25,"Not your piece ("&amp;IF($F25="w","White","Black")&amp;" to move)",IF($D25=$E25,"Piece must move",IF(AND($H25&lt;&gt;"",LEFT($H25,1)=$F25),"Cannot capture your own piece",IF($O25=0,"Illegal move for that piece (or path blocked)","OK"))))))))</f>
        <v/>
      </c>
      <c r="R25" s="11" t="n">
        <f aca="false">IF($P25=1,IF(AND($K25="P",ABS($J25)=2),($D25+$E25)/2,0),$R24)</f>
        <v>0</v>
      </c>
      <c r="S25" s="12" t="b">
        <f aca="false">--OR($S24=1,AND($P25=1,OR($D25=5,$E25=5)))</f>
        <v>0</v>
      </c>
      <c r="T25" s="12" t="b">
        <f aca="false">--OR($T24=1,AND($P25=1,OR($D25=1,$E25=1)))</f>
        <v>0</v>
      </c>
      <c r="U25" s="12" t="b">
        <f aca="false">--OR($U24=1,AND($P25=1,OR($D25=8,$E25=8)))</f>
        <v>0</v>
      </c>
      <c r="V25" s="12" t="b">
        <f aca="false">--OR($V24=1,AND($P25=1,OR($D25=61,$E25=61)))</f>
        <v>0</v>
      </c>
      <c r="W25" s="12" t="b">
        <f aca="false">--OR($W24=1,AND($P25=1,OR($D25=57,$E25=57)))</f>
        <v>0</v>
      </c>
      <c r="X25" s="12" t="b">
        <f aca="false">--OR($X24=1,AND($P25=1,OR($D25=64,$E25=64)))</f>
        <v>0</v>
      </c>
      <c r="Y25" s="12" t="b">
        <f aca="false">--AND($P25=1,$K25="K",ABS($I25)=2)</f>
        <v>0</v>
      </c>
      <c r="Z25" s="12" t="b">
        <f aca="false">--AND($P25=1,$K25="P",ABS($I25)=1,$H25="")</f>
        <v>0</v>
      </c>
      <c r="AA25" s="12" t="b">
        <f aca="false">--AND($P25=1,$K25="P",INT(($E25-1)/8)=IF($F25="w",7,0))</f>
        <v>0</v>
      </c>
      <c r="AB25" s="11" t="str">
        <f aca="false">IF(LEN($C25)&gt;=5,IF(ISNUMBER(FIND(MID($C25,5,1),"qrbn")),UPPER(MID($C25,5,1)),"Q"),"Q")</f>
        <v>Q</v>
      </c>
      <c r="AC25" s="11" t="n">
        <f aca="false">IF($Y25=1,IF($I25=2,$D25+3,$D25-4),0)</f>
        <v>0</v>
      </c>
      <c r="AD25" s="11" t="n">
        <f aca="false">IF($Y25=1,IF($I25=2,$D25+1,$D25-1),0)</f>
        <v>0</v>
      </c>
      <c r="AE25" s="11" t="n">
        <f aca="false">IF($Z25=1,$E25-8*IF($F25="w",1,-1),0)</f>
        <v>0</v>
      </c>
      <c r="AF25" s="11" t="str">
        <f aca="false">IF($B25="","",IF($P25=1,LOWER(INDEX($CV$2:$CV$13,MATCH($G25,$CU$2:$CU$13,0)))&amp;" "&amp;MID("abcdefgh",MOD($D25-1,8)+1,1)&amp;(INT(($D25-1)/8)+1)&amp;"→"&amp;MID("abcdefgh",MOD($E25-1,8)+1,1)&amp;(INT(($E25-1)/8)+1)&amp;IF(OR($H25&lt;&gt;"",$Z25=1)," ×","")&amp;IF($Y25=1," castles","")&amp;IF($Z25=1," e.p.","")&amp;IF($AA25=1," =" &amp;LOWER(INDEX($CV$2:$CV$13,MATCH($F25&amp;$AB25,$CU$2:$CU$13,0))),""),"X "&amp;$Q25))</f>
        <v/>
      </c>
      <c r="AG25" s="11"/>
      <c r="AH25" s="11" t="str">
        <f aca="false">IF($P25=0,AH24,IF(AH$3=$E25,IF($AA25=1,$F25&amp;$AB25,$G25),IF(OR(AH$3=$D25,AH$3=$AC25,AH$3=$AE25),"",IF(AH$3=$AD25,$F25&amp;"R",AH24))))</f>
        <v>wR</v>
      </c>
      <c r="AI25" s="11" t="str">
        <f aca="false">IF($P25=0,AI24,IF(AI$3=$E25,IF($AA25=1,$F25&amp;$AB25,$G25),IF(OR(AI$3=$D25,AI$3=$AC25,AI$3=$AE25),"",IF(AI$3=$AD25,$F25&amp;"R",AI24))))</f>
        <v>wN</v>
      </c>
      <c r="AJ25" s="11" t="str">
        <f aca="false">IF($P25=0,AJ24,IF(AJ$3=$E25,IF($AA25=1,$F25&amp;$AB25,$G25),IF(OR(AJ$3=$D25,AJ$3=$AC25,AJ$3=$AE25),"",IF(AJ$3=$AD25,$F25&amp;"R",AJ24))))</f>
        <v>wB</v>
      </c>
      <c r="AK25" s="11" t="str">
        <f aca="false">IF($P25=0,AK24,IF(AK$3=$E25,IF($AA25=1,$F25&amp;$AB25,$G25),IF(OR(AK$3=$D25,AK$3=$AC25,AK$3=$AE25),"",IF(AK$3=$AD25,$F25&amp;"R",AK24))))</f>
        <v>wQ</v>
      </c>
      <c r="AL25" s="11" t="str">
        <f aca="false">IF($P25=0,AL24,IF(AL$3=$E25,IF($AA25=1,$F25&amp;$AB25,$G25),IF(OR(AL$3=$D25,AL$3=$AC25,AL$3=$AE25),"",IF(AL$3=$AD25,$F25&amp;"R",AL24))))</f>
        <v>wK</v>
      </c>
      <c r="AM25" s="11" t="str">
        <f aca="false">IF($P25=0,AM24,IF(AM$3=$E25,IF($AA25=1,$F25&amp;$AB25,$G25),IF(OR(AM$3=$D25,AM$3=$AC25,AM$3=$AE25),"",IF(AM$3=$AD25,$F25&amp;"R",AM24))))</f>
        <v>wB</v>
      </c>
      <c r="AN25" s="11" t="str">
        <f aca="false">IF($P25=0,AN24,IF(AN$3=$E25,IF($AA25=1,$F25&amp;$AB25,$G25),IF(OR(AN$3=$D25,AN$3=$AC25,AN$3=$AE25),"",IF(AN$3=$AD25,$F25&amp;"R",AN24))))</f>
        <v>wN</v>
      </c>
      <c r="AO25" s="11" t="str">
        <f aca="false">IF($P25=0,AO24,IF(AO$3=$E25,IF($AA25=1,$F25&amp;$AB25,$G25),IF(OR(AO$3=$D25,AO$3=$AC25,AO$3=$AE25),"",IF(AO$3=$AD25,$F25&amp;"R",AO24))))</f>
        <v>wR</v>
      </c>
      <c r="AP25" s="11" t="str">
        <f aca="false">IF($P25=0,AP24,IF(AP$3=$E25,IF($AA25=1,$F25&amp;$AB25,$G25),IF(OR(AP$3=$D25,AP$3=$AC25,AP$3=$AE25),"",IF(AP$3=$AD25,$F25&amp;"R",AP24))))</f>
        <v>wP</v>
      </c>
      <c r="AQ25" s="11" t="str">
        <f aca="false">IF($P25=0,AQ24,IF(AQ$3=$E25,IF($AA25=1,$F25&amp;$AB25,$G25),IF(OR(AQ$3=$D25,AQ$3=$AC25,AQ$3=$AE25),"",IF(AQ$3=$AD25,$F25&amp;"R",AQ24))))</f>
        <v>wP</v>
      </c>
      <c r="AR25" s="11" t="str">
        <f aca="false">IF($P25=0,AR24,IF(AR$3=$E25,IF($AA25=1,$F25&amp;$AB25,$G25),IF(OR(AR$3=$D25,AR$3=$AC25,AR$3=$AE25),"",IF(AR$3=$AD25,$F25&amp;"R",AR24))))</f>
        <v>wP</v>
      </c>
      <c r="AS25" s="11" t="str">
        <f aca="false">IF($P25=0,AS24,IF(AS$3=$E25,IF($AA25=1,$F25&amp;$AB25,$G25),IF(OR(AS$3=$D25,AS$3=$AC25,AS$3=$AE25),"",IF(AS$3=$AD25,$F25&amp;"R",AS24))))</f>
        <v>wP</v>
      </c>
      <c r="AT25" s="11" t="str">
        <f aca="false">IF($P25=0,AT24,IF(AT$3=$E25,IF($AA25=1,$F25&amp;$AB25,$G25),IF(OR(AT$3=$D25,AT$3=$AC25,AT$3=$AE25),"",IF(AT$3=$AD25,$F25&amp;"R",AT24))))</f>
        <v>wP</v>
      </c>
      <c r="AU25" s="11" t="str">
        <f aca="false">IF($P25=0,AU24,IF(AU$3=$E25,IF($AA25=1,$F25&amp;$AB25,$G25),IF(OR(AU$3=$D25,AU$3=$AC25,AU$3=$AE25),"",IF(AU$3=$AD25,$F25&amp;"R",AU24))))</f>
        <v>wP</v>
      </c>
      <c r="AV25" s="11" t="str">
        <f aca="false">IF($P25=0,AV24,IF(AV$3=$E25,IF($AA25=1,$F25&amp;$AB25,$G25),IF(OR(AV$3=$D25,AV$3=$AC25,AV$3=$AE25),"",IF(AV$3=$AD25,$F25&amp;"R",AV24))))</f>
        <v>wP</v>
      </c>
      <c r="AW25" s="11" t="str">
        <f aca="false">IF($P25=0,AW24,IF(AW$3=$E25,IF($AA25=1,$F25&amp;$AB25,$G25),IF(OR(AW$3=$D25,AW$3=$AC25,AW$3=$AE25),"",IF(AW$3=$AD25,$F25&amp;"R",AW24))))</f>
        <v>wP</v>
      </c>
      <c r="AX25" s="11" t="str">
        <f aca="false">IF($P25=0,AX24,IF(AX$3=$E25,IF($AA25=1,$F25&amp;$AB25,$G25),IF(OR(AX$3=$D25,AX$3=$AC25,AX$3=$AE25),"",IF(AX$3=$AD25,$F25&amp;"R",AX24))))</f>
        <v/>
      </c>
      <c r="AY25" s="11" t="str">
        <f aca="false">IF($P25=0,AY24,IF(AY$3=$E25,IF($AA25=1,$F25&amp;$AB25,$G25),IF(OR(AY$3=$D25,AY$3=$AC25,AY$3=$AE25),"",IF(AY$3=$AD25,$F25&amp;"R",AY24))))</f>
        <v/>
      </c>
      <c r="AZ25" s="11" t="str">
        <f aca="false">IF($P25=0,AZ24,IF(AZ$3=$E25,IF($AA25=1,$F25&amp;$AB25,$G25),IF(OR(AZ$3=$D25,AZ$3=$AC25,AZ$3=$AE25),"",IF(AZ$3=$AD25,$F25&amp;"R",AZ24))))</f>
        <v/>
      </c>
      <c r="BA25" s="11" t="str">
        <f aca="false">IF($P25=0,BA24,IF(BA$3=$E25,IF($AA25=1,$F25&amp;$AB25,$G25),IF(OR(BA$3=$D25,BA$3=$AC25,BA$3=$AE25),"",IF(BA$3=$AD25,$F25&amp;"R",BA24))))</f>
        <v/>
      </c>
      <c r="BB25" s="11" t="str">
        <f aca="false">IF($P25=0,BB24,IF(BB$3=$E25,IF($AA25=1,$F25&amp;$AB25,$G25),IF(OR(BB$3=$D25,BB$3=$AC25,BB$3=$AE25),"",IF(BB$3=$AD25,$F25&amp;"R",BB24))))</f>
        <v/>
      </c>
      <c r="BC25" s="11" t="str">
        <f aca="false">IF($P25=0,BC24,IF(BC$3=$E25,IF($AA25=1,$F25&amp;$AB25,$G25),IF(OR(BC$3=$D25,BC$3=$AC25,BC$3=$AE25),"",IF(BC$3=$AD25,$F25&amp;"R",BC24))))</f>
        <v/>
      </c>
      <c r="BD25" s="11" t="str">
        <f aca="false">IF($P25=0,BD24,IF(BD$3=$E25,IF($AA25=1,$F25&amp;$AB25,$G25),IF(OR(BD$3=$D25,BD$3=$AC25,BD$3=$AE25),"",IF(BD$3=$AD25,$F25&amp;"R",BD24))))</f>
        <v/>
      </c>
      <c r="BE25" s="11" t="str">
        <f aca="false">IF($P25=0,BE24,IF(BE$3=$E25,IF($AA25=1,$F25&amp;$AB25,$G25),IF(OR(BE$3=$D25,BE$3=$AC25,BE$3=$AE25),"",IF(BE$3=$AD25,$F25&amp;"R",BE24))))</f>
        <v/>
      </c>
      <c r="BF25" s="11" t="str">
        <f aca="false">IF($P25=0,BF24,IF(BF$3=$E25,IF($AA25=1,$F25&amp;$AB25,$G25),IF(OR(BF$3=$D25,BF$3=$AC25,BF$3=$AE25),"",IF(BF$3=$AD25,$F25&amp;"R",BF24))))</f>
        <v/>
      </c>
      <c r="BG25" s="11" t="str">
        <f aca="false">IF($P25=0,BG24,IF(BG$3=$E25,IF($AA25=1,$F25&amp;$AB25,$G25),IF(OR(BG$3=$D25,BG$3=$AC25,BG$3=$AE25),"",IF(BG$3=$AD25,$F25&amp;"R",BG24))))</f>
        <v/>
      </c>
      <c r="BH25" s="11" t="str">
        <f aca="false">IF($P25=0,BH24,IF(BH$3=$E25,IF($AA25=1,$F25&amp;$AB25,$G25),IF(OR(BH$3=$D25,BH$3=$AC25,BH$3=$AE25),"",IF(BH$3=$AD25,$F25&amp;"R",BH24))))</f>
        <v/>
      </c>
      <c r="BI25" s="11" t="str">
        <f aca="false">IF($P25=0,BI24,IF(BI$3=$E25,IF($AA25=1,$F25&amp;$AB25,$G25),IF(OR(BI$3=$D25,BI$3=$AC25,BI$3=$AE25),"",IF(BI$3=$AD25,$F25&amp;"R",BI24))))</f>
        <v/>
      </c>
      <c r="BJ25" s="11" t="str">
        <f aca="false">IF($P25=0,BJ24,IF(BJ$3=$E25,IF($AA25=1,$F25&amp;$AB25,$G25),IF(OR(BJ$3=$D25,BJ$3=$AC25,BJ$3=$AE25),"",IF(BJ$3=$AD25,$F25&amp;"R",BJ24))))</f>
        <v/>
      </c>
      <c r="BK25" s="11" t="str">
        <f aca="false">IF($P25=0,BK24,IF(BK$3=$E25,IF($AA25=1,$F25&amp;$AB25,$G25),IF(OR(BK$3=$D25,BK$3=$AC25,BK$3=$AE25),"",IF(BK$3=$AD25,$F25&amp;"R",BK24))))</f>
        <v/>
      </c>
      <c r="BL25" s="11" t="str">
        <f aca="false">IF($P25=0,BL24,IF(BL$3=$E25,IF($AA25=1,$F25&amp;$AB25,$G25),IF(OR(BL$3=$D25,BL$3=$AC25,BL$3=$AE25),"",IF(BL$3=$AD25,$F25&amp;"R",BL24))))</f>
        <v/>
      </c>
      <c r="BM25" s="11" t="str">
        <f aca="false">IF($P25=0,BM24,IF(BM$3=$E25,IF($AA25=1,$F25&amp;$AB25,$G25),IF(OR(BM$3=$D25,BM$3=$AC25,BM$3=$AE25),"",IF(BM$3=$AD25,$F25&amp;"R",BM24))))</f>
        <v/>
      </c>
      <c r="BN25" s="11" t="str">
        <f aca="false">IF($P25=0,BN24,IF(BN$3=$E25,IF($AA25=1,$F25&amp;$AB25,$G25),IF(OR(BN$3=$D25,BN$3=$AC25,BN$3=$AE25),"",IF(BN$3=$AD25,$F25&amp;"R",BN24))))</f>
        <v/>
      </c>
      <c r="BO25" s="11" t="str">
        <f aca="false">IF($P25=0,BO24,IF(BO$3=$E25,IF($AA25=1,$F25&amp;$AB25,$G25),IF(OR(BO$3=$D25,BO$3=$AC25,BO$3=$AE25),"",IF(BO$3=$AD25,$F25&amp;"R",BO24))))</f>
        <v/>
      </c>
      <c r="BP25" s="11" t="str">
        <f aca="false">IF($P25=0,BP24,IF(BP$3=$E25,IF($AA25=1,$F25&amp;$AB25,$G25),IF(OR(BP$3=$D25,BP$3=$AC25,BP$3=$AE25),"",IF(BP$3=$AD25,$F25&amp;"R",BP24))))</f>
        <v/>
      </c>
      <c r="BQ25" s="11" t="str">
        <f aca="false">IF($P25=0,BQ24,IF(BQ$3=$E25,IF($AA25=1,$F25&amp;$AB25,$G25),IF(OR(BQ$3=$D25,BQ$3=$AC25,BQ$3=$AE25),"",IF(BQ$3=$AD25,$F25&amp;"R",BQ24))))</f>
        <v/>
      </c>
      <c r="BR25" s="11" t="str">
        <f aca="false">IF($P25=0,BR24,IF(BR$3=$E25,IF($AA25=1,$F25&amp;$AB25,$G25),IF(OR(BR$3=$D25,BR$3=$AC25,BR$3=$AE25),"",IF(BR$3=$AD25,$F25&amp;"R",BR24))))</f>
        <v/>
      </c>
      <c r="BS25" s="11" t="str">
        <f aca="false">IF($P25=0,BS24,IF(BS$3=$E25,IF($AA25=1,$F25&amp;$AB25,$G25),IF(OR(BS$3=$D25,BS$3=$AC25,BS$3=$AE25),"",IF(BS$3=$AD25,$F25&amp;"R",BS24))))</f>
        <v/>
      </c>
      <c r="BT25" s="11" t="str">
        <f aca="false">IF($P25=0,BT24,IF(BT$3=$E25,IF($AA25=1,$F25&amp;$AB25,$G25),IF(OR(BT$3=$D25,BT$3=$AC25,BT$3=$AE25),"",IF(BT$3=$AD25,$F25&amp;"R",BT24))))</f>
        <v/>
      </c>
      <c r="BU25" s="11" t="str">
        <f aca="false">IF($P25=0,BU24,IF(BU$3=$E25,IF($AA25=1,$F25&amp;$AB25,$G25),IF(OR(BU$3=$D25,BU$3=$AC25,BU$3=$AE25),"",IF(BU$3=$AD25,$F25&amp;"R",BU24))))</f>
        <v/>
      </c>
      <c r="BV25" s="11" t="str">
        <f aca="false">IF($P25=0,BV24,IF(BV$3=$E25,IF($AA25=1,$F25&amp;$AB25,$G25),IF(OR(BV$3=$D25,BV$3=$AC25,BV$3=$AE25),"",IF(BV$3=$AD25,$F25&amp;"R",BV24))))</f>
        <v/>
      </c>
      <c r="BW25" s="11" t="str">
        <f aca="false">IF($P25=0,BW24,IF(BW$3=$E25,IF($AA25=1,$F25&amp;$AB25,$G25),IF(OR(BW$3=$D25,BW$3=$AC25,BW$3=$AE25),"",IF(BW$3=$AD25,$F25&amp;"R",BW24))))</f>
        <v/>
      </c>
      <c r="BX25" s="11" t="str">
        <f aca="false">IF($P25=0,BX24,IF(BX$3=$E25,IF($AA25=1,$F25&amp;$AB25,$G25),IF(OR(BX$3=$D25,BX$3=$AC25,BX$3=$AE25),"",IF(BX$3=$AD25,$F25&amp;"R",BX24))))</f>
        <v/>
      </c>
      <c r="BY25" s="11" t="str">
        <f aca="false">IF($P25=0,BY24,IF(BY$3=$E25,IF($AA25=1,$F25&amp;$AB25,$G25),IF(OR(BY$3=$D25,BY$3=$AC25,BY$3=$AE25),"",IF(BY$3=$AD25,$F25&amp;"R",BY24))))</f>
        <v/>
      </c>
      <c r="BZ25" s="11" t="str">
        <f aca="false">IF($P25=0,BZ24,IF(BZ$3=$E25,IF($AA25=1,$F25&amp;$AB25,$G25),IF(OR(BZ$3=$D25,BZ$3=$AC25,BZ$3=$AE25),"",IF(BZ$3=$AD25,$F25&amp;"R",BZ24))))</f>
        <v/>
      </c>
      <c r="CA25" s="11" t="str">
        <f aca="false">IF($P25=0,CA24,IF(CA$3=$E25,IF($AA25=1,$F25&amp;$AB25,$G25),IF(OR(CA$3=$D25,CA$3=$AC25,CA$3=$AE25),"",IF(CA$3=$AD25,$F25&amp;"R",CA24))))</f>
        <v/>
      </c>
      <c r="CB25" s="11" t="str">
        <f aca="false">IF($P25=0,CB24,IF(CB$3=$E25,IF($AA25=1,$F25&amp;$AB25,$G25),IF(OR(CB$3=$D25,CB$3=$AC25,CB$3=$AE25),"",IF(CB$3=$AD25,$F25&amp;"R",CB24))))</f>
        <v/>
      </c>
      <c r="CC25" s="11" t="str">
        <f aca="false">IF($P25=0,CC24,IF(CC$3=$E25,IF($AA25=1,$F25&amp;$AB25,$G25),IF(OR(CC$3=$D25,CC$3=$AC25,CC$3=$AE25),"",IF(CC$3=$AD25,$F25&amp;"R",CC24))))</f>
        <v/>
      </c>
      <c r="CD25" s="11" t="str">
        <f aca="false">IF($P25=0,CD24,IF(CD$3=$E25,IF($AA25=1,$F25&amp;$AB25,$G25),IF(OR(CD$3=$D25,CD$3=$AC25,CD$3=$AE25),"",IF(CD$3=$AD25,$F25&amp;"R",CD24))))</f>
        <v>bP</v>
      </c>
      <c r="CE25" s="11" t="str">
        <f aca="false">IF($P25=0,CE24,IF(CE$3=$E25,IF($AA25=1,$F25&amp;$AB25,$G25),IF(OR(CE$3=$D25,CE$3=$AC25,CE$3=$AE25),"",IF(CE$3=$AD25,$F25&amp;"R",CE24))))</f>
        <v>bP</v>
      </c>
      <c r="CF25" s="11" t="str">
        <f aca="false">IF($P25=0,CF24,IF(CF$3=$E25,IF($AA25=1,$F25&amp;$AB25,$G25),IF(OR(CF$3=$D25,CF$3=$AC25,CF$3=$AE25),"",IF(CF$3=$AD25,$F25&amp;"R",CF24))))</f>
        <v>bP</v>
      </c>
      <c r="CG25" s="11" t="str">
        <f aca="false">IF($P25=0,CG24,IF(CG$3=$E25,IF($AA25=1,$F25&amp;$AB25,$G25),IF(OR(CG$3=$D25,CG$3=$AC25,CG$3=$AE25),"",IF(CG$3=$AD25,$F25&amp;"R",CG24))))</f>
        <v>bP</v>
      </c>
      <c r="CH25" s="11" t="str">
        <f aca="false">IF($P25=0,CH24,IF(CH$3=$E25,IF($AA25=1,$F25&amp;$AB25,$G25),IF(OR(CH$3=$D25,CH$3=$AC25,CH$3=$AE25),"",IF(CH$3=$AD25,$F25&amp;"R",CH24))))</f>
        <v>bP</v>
      </c>
      <c r="CI25" s="11" t="str">
        <f aca="false">IF($P25=0,CI24,IF(CI$3=$E25,IF($AA25=1,$F25&amp;$AB25,$G25),IF(OR(CI$3=$D25,CI$3=$AC25,CI$3=$AE25),"",IF(CI$3=$AD25,$F25&amp;"R",CI24))))</f>
        <v>bP</v>
      </c>
      <c r="CJ25" s="11" t="str">
        <f aca="false">IF($P25=0,CJ24,IF(CJ$3=$E25,IF($AA25=1,$F25&amp;$AB25,$G25),IF(OR(CJ$3=$D25,CJ$3=$AC25,CJ$3=$AE25),"",IF(CJ$3=$AD25,$F25&amp;"R",CJ24))))</f>
        <v>bP</v>
      </c>
      <c r="CK25" s="11" t="str">
        <f aca="false">IF($P25=0,CK24,IF(CK$3=$E25,IF($AA25=1,$F25&amp;$AB25,$G25),IF(OR(CK$3=$D25,CK$3=$AC25,CK$3=$AE25),"",IF(CK$3=$AD25,$F25&amp;"R",CK24))))</f>
        <v>bP</v>
      </c>
      <c r="CL25" s="11" t="str">
        <f aca="false">IF($P25=0,CL24,IF(CL$3=$E25,IF($AA25=1,$F25&amp;$AB25,$G25),IF(OR(CL$3=$D25,CL$3=$AC25,CL$3=$AE25),"",IF(CL$3=$AD25,$F25&amp;"R",CL24))))</f>
        <v>bR</v>
      </c>
      <c r="CM25" s="11" t="str">
        <f aca="false">IF($P25=0,CM24,IF(CM$3=$E25,IF($AA25=1,$F25&amp;$AB25,$G25),IF(OR(CM$3=$D25,CM$3=$AC25,CM$3=$AE25),"",IF(CM$3=$AD25,$F25&amp;"R",CM24))))</f>
        <v>bN</v>
      </c>
      <c r="CN25" s="11" t="str">
        <f aca="false">IF($P25=0,CN24,IF(CN$3=$E25,IF($AA25=1,$F25&amp;$AB25,$G25),IF(OR(CN$3=$D25,CN$3=$AC25,CN$3=$AE25),"",IF(CN$3=$AD25,$F25&amp;"R",CN24))))</f>
        <v>bB</v>
      </c>
      <c r="CO25" s="11" t="str">
        <f aca="false">IF($P25=0,CO24,IF(CO$3=$E25,IF($AA25=1,$F25&amp;$AB25,$G25),IF(OR(CO$3=$D25,CO$3=$AC25,CO$3=$AE25),"",IF(CO$3=$AD25,$F25&amp;"R",CO24))))</f>
        <v>bQ</v>
      </c>
      <c r="CP25" s="11" t="str">
        <f aca="false">IF($P25=0,CP24,IF(CP$3=$E25,IF($AA25=1,$F25&amp;$AB25,$G25),IF(OR(CP$3=$D25,CP$3=$AC25,CP$3=$AE25),"",IF(CP$3=$AD25,$F25&amp;"R",CP24))))</f>
        <v>bK</v>
      </c>
      <c r="CQ25" s="11" t="str">
        <f aca="false">IF($P25=0,CQ24,IF(CQ$3=$E25,IF($AA25=1,$F25&amp;$AB25,$G25),IF(OR(CQ$3=$D25,CQ$3=$AC25,CQ$3=$AE25),"",IF(CQ$3=$AD25,$F25&amp;"R",CQ24))))</f>
        <v>bB</v>
      </c>
      <c r="CR25" s="11" t="str">
        <f aca="false">IF($P25=0,CR24,IF(CR$3=$E25,IF($AA25=1,$F25&amp;$AB25,$G25),IF(OR(CR$3=$D25,CR$3=$AC25,CR$3=$AE25),"",IF(CR$3=$AD25,$F25&amp;"R",CR24))))</f>
        <v>bN</v>
      </c>
      <c r="CS25" s="11" t="str">
        <f aca="false">IF($P25=0,CS24,IF(CS$3=$E25,IF($AA25=1,$F25&amp;$AB25,$G25),IF(OR(CS$3=$D25,CS$3=$AC25,CS$3=$AE25),"",IF(CS$3=$AD25,$F25&amp;"R",CS24))))</f>
        <v>bR</v>
      </c>
      <c r="CT25" s="11"/>
      <c r="CU25" s="11"/>
      <c r="CV25" s="11"/>
    </row>
    <row r="26" customFormat="false" ht="15" hidden="false" customHeight="false" outlineLevel="0" collapsed="false">
      <c r="A26" s="11" t="n">
        <v>21</v>
      </c>
      <c r="B26" s="11" t="str">
        <f aca="false">IF(Chess!$L$30="","",Chess!$L$30&amp;"")</f>
        <v/>
      </c>
      <c r="C26" s="11" t="str">
        <f aca="false">LOWER(SUBSTITUTE(SUBSTITUTE(SUBSTITUTE(SUBSTITUTE(TRIM($B26),"-",""),"=","")," ",""),"x",""))</f>
        <v/>
      </c>
      <c r="D26" s="11" t="n">
        <f aca="false">IF(LEN($C26)&lt;4,0,IFERROR(IF(AND(CODE(MID($C26,1,1))&gt;=97,CODE(MID($C26,1,1))&lt;=104,VALUE(MID($C26,2,1))&gt;=1,VALUE(MID($C26,2,1))&lt;=8),(VALUE(MID($C26,2,1))-1)*8+CODE(MID($C26,1,1))-96,0),0))</f>
        <v>0</v>
      </c>
      <c r="E26" s="11" t="n">
        <f aca="false">IF(LEN($C26)&lt;4,0,IFERROR(IF(AND(CODE(MID($C26,3,1))&gt;=97,CODE(MID($C26,3,1))&lt;=104,VALUE(MID($C26,4,1))&gt;=1,VALUE(MID($C26,4,1))&lt;=8),(VALUE(MID($C26,4,1))-1)*8+CODE(MID($C26,3,1))-96,0),0))</f>
        <v>0</v>
      </c>
      <c r="F26" s="11" t="str">
        <f aca="false">IF(MOD(SUM($P$5:$P25),2)=0,"w","b")</f>
        <v>w</v>
      </c>
      <c r="G26" s="11" t="str">
        <f aca="false">IF($D26=0,"",INDEX($AH25:$CS25,1,$D26)&amp;"")</f>
        <v/>
      </c>
      <c r="H26" s="11" t="str">
        <f aca="false">IF($E26=0,"",INDEX($AH25:$CS25,1,$E26)&amp;"")</f>
        <v/>
      </c>
      <c r="I26" s="11" t="n">
        <f aca="false">IF(OR($D26=0,$E26=0),0,MOD($E26-1,8)-MOD($D26-1,8))</f>
        <v>0</v>
      </c>
      <c r="J26" s="11" t="n">
        <f aca="false">IF(OR($D26=0,$E26=0),0,INT(($E26-1)/8)-INT(($D26-1)/8))</f>
        <v>0</v>
      </c>
      <c r="K26" s="11" t="str">
        <f aca="false">IF($G26="","",RIGHT($G26,1))</f>
        <v/>
      </c>
      <c r="L26" s="11" t="n">
        <f aca="false">IF(OR($D26=0,$E26=0),0,SUMPRODUCT(($AH$3:$CS$3&gt;MIN($D26,$E26))*($AH$3:$CS$3&lt;MAX($D26,$E26))*(MOD($AH$3:$CS$3-MIN($D26,$E26),MAX(1,ABS(SIGN($J26)*8+SIGN($I26))))=0)*($AH25:$CS25&lt;&gt;"")))</f>
        <v>0</v>
      </c>
      <c r="M26" s="11" t="n">
        <f aca="false">IF($K26&lt;&gt;"K",0,IFERROR(--AND($J26=0,ABS($I26)=2,$D26=IF($F26="w",5,61),IF($F26="w",$S25,$V25)=0,IF($I26=2,AND(IF($F26="w",$U25,$X25)=0,INDEX($AH25:$CS25,1,$D26+1)&amp;""="",INDEX($AH25:$CS25,1,$D26+2)&amp;""=""),AND(IF($F26="w",$T25,$W25)=0,INDEX($AH25:$CS25,1,$D26-1)&amp;""="",INDEX($AH25:$CS25,1,$D26-2)&amp;""="",INDEX($AH25:$CS25,1,$D26-3)&amp;""=""))),0))</f>
        <v>0</v>
      </c>
      <c r="N26" s="11" t="n">
        <f aca="false">IF($K26&lt;&gt;"P",0,IFERROR(--OR(AND($I26=0,$J26=IF($F26="w",1,-1),$H26=""),AND($I26=0,$J26=2*IF($F26="w",1,-1),$H26="",INT(($D26-1)/8)=IF($F26="w",1,6),INDEX($AH25:$CS25,1,MAX(1,MIN(64,$D26+8*IF($F26="w",1,-1))))&amp;""=""),AND(ABS($I26)=1,$J26=IF($F26="w",1,-1),$H26&lt;&gt;""),AND(ABS($I26)=1,$J26=IF($F26="w",1,-1),$H26="",$R25&gt;0,$E26=$R25)),0))</f>
        <v>0</v>
      </c>
      <c r="O26" s="11" t="n">
        <f aca="false">IF(OR($D26=0,$E26=0,$G26=""),0,IF($K26="N",--OR(AND(ABS($I26)=1,ABS($J26)=2),AND(ABS($I26)=2,ABS($J26)=1)),IF($K26="B",--AND(ABS($I26)=ABS($J26),$I26&lt;&gt;0,$L26=0),IF($K26="R",--AND(OR($I26=0,$J26=0),OR($I26&lt;&gt;0,$J26&lt;&gt;0),$L26=0),IF($K26="Q",--AND(OR(AND(ABS($I26)=ABS($J26),$I26&lt;&gt;0),AND(OR($I26=0,$J26=0),OR($I26&lt;&gt;0,$J26&lt;&gt;0))),$L26=0),IF($K26="K",--OR(MAX(ABS($I26),ABS($J26))=1,$M26=1),$N26))))))</f>
        <v>0</v>
      </c>
      <c r="P26" s="11" t="n">
        <f aca="false">IF($Q26="OK",1,0)</f>
        <v>0</v>
      </c>
      <c r="Q26" s="11" t="str">
        <f aca="false">IF($B26="","",IF(OR(COUNTIF($AH25:$CS25,"wK")=0,COUNTIF($AH25:$CS25,"bK")=0),"Game is over",IF(OR($D26=0,$E26=0),"Use the format e2e4",IF($G26="","No piece on that square",IF(LEFT($G26,1)&lt;&gt;$F26,"Not your piece ("&amp;IF($F26="w","White","Black")&amp;" to move)",IF($D26=$E26,"Piece must move",IF(AND($H26&lt;&gt;"",LEFT($H26,1)=$F26),"Cannot capture your own piece",IF($O26=0,"Illegal move for that piece (or path blocked)","OK"))))))))</f>
        <v/>
      </c>
      <c r="R26" s="11" t="n">
        <f aca="false">IF($P26=1,IF(AND($K26="P",ABS($J26)=2),($D26+$E26)/2,0),$R25)</f>
        <v>0</v>
      </c>
      <c r="S26" s="12" t="b">
        <f aca="false">--OR($S25=1,AND($P26=1,OR($D26=5,$E26=5)))</f>
        <v>0</v>
      </c>
      <c r="T26" s="12" t="b">
        <f aca="false">--OR($T25=1,AND($P26=1,OR($D26=1,$E26=1)))</f>
        <v>0</v>
      </c>
      <c r="U26" s="12" t="b">
        <f aca="false">--OR($U25=1,AND($P26=1,OR($D26=8,$E26=8)))</f>
        <v>0</v>
      </c>
      <c r="V26" s="12" t="b">
        <f aca="false">--OR($V25=1,AND($P26=1,OR($D26=61,$E26=61)))</f>
        <v>0</v>
      </c>
      <c r="W26" s="12" t="b">
        <f aca="false">--OR($W25=1,AND($P26=1,OR($D26=57,$E26=57)))</f>
        <v>0</v>
      </c>
      <c r="X26" s="12" t="b">
        <f aca="false">--OR($X25=1,AND($P26=1,OR($D26=64,$E26=64)))</f>
        <v>0</v>
      </c>
      <c r="Y26" s="12" t="b">
        <f aca="false">--AND($P26=1,$K26="K",ABS($I26)=2)</f>
        <v>0</v>
      </c>
      <c r="Z26" s="12" t="b">
        <f aca="false">--AND($P26=1,$K26="P",ABS($I26)=1,$H26="")</f>
        <v>0</v>
      </c>
      <c r="AA26" s="12" t="b">
        <f aca="false">--AND($P26=1,$K26="P",INT(($E26-1)/8)=IF($F26="w",7,0))</f>
        <v>0</v>
      </c>
      <c r="AB26" s="11" t="str">
        <f aca="false">IF(LEN($C26)&gt;=5,IF(ISNUMBER(FIND(MID($C26,5,1),"qrbn")),UPPER(MID($C26,5,1)),"Q"),"Q")</f>
        <v>Q</v>
      </c>
      <c r="AC26" s="11" t="n">
        <f aca="false">IF($Y26=1,IF($I26=2,$D26+3,$D26-4),0)</f>
        <v>0</v>
      </c>
      <c r="AD26" s="11" t="n">
        <f aca="false">IF($Y26=1,IF($I26=2,$D26+1,$D26-1),0)</f>
        <v>0</v>
      </c>
      <c r="AE26" s="11" t="n">
        <f aca="false">IF($Z26=1,$E26-8*IF($F26="w",1,-1),0)</f>
        <v>0</v>
      </c>
      <c r="AF26" s="11" t="str">
        <f aca="false">IF($B26="","",IF($P26=1,LOWER(INDEX($CV$2:$CV$13,MATCH($G26,$CU$2:$CU$13,0)))&amp;" "&amp;MID("abcdefgh",MOD($D26-1,8)+1,1)&amp;(INT(($D26-1)/8)+1)&amp;"→"&amp;MID("abcdefgh",MOD($E26-1,8)+1,1)&amp;(INT(($E26-1)/8)+1)&amp;IF(OR($H26&lt;&gt;"",$Z26=1)," ×","")&amp;IF($Y26=1," castles","")&amp;IF($Z26=1," e.p.","")&amp;IF($AA26=1," =" &amp;LOWER(INDEX($CV$2:$CV$13,MATCH($F26&amp;$AB26,$CU$2:$CU$13,0))),""),"X "&amp;$Q26))</f>
        <v/>
      </c>
      <c r="AG26" s="11"/>
      <c r="AH26" s="11" t="str">
        <f aca="false">IF($P26=0,AH25,IF(AH$3=$E26,IF($AA26=1,$F26&amp;$AB26,$G26),IF(OR(AH$3=$D26,AH$3=$AC26,AH$3=$AE26),"",IF(AH$3=$AD26,$F26&amp;"R",AH25))))</f>
        <v>wR</v>
      </c>
      <c r="AI26" s="11" t="str">
        <f aca="false">IF($P26=0,AI25,IF(AI$3=$E26,IF($AA26=1,$F26&amp;$AB26,$G26),IF(OR(AI$3=$D26,AI$3=$AC26,AI$3=$AE26),"",IF(AI$3=$AD26,$F26&amp;"R",AI25))))</f>
        <v>wN</v>
      </c>
      <c r="AJ26" s="11" t="str">
        <f aca="false">IF($P26=0,AJ25,IF(AJ$3=$E26,IF($AA26=1,$F26&amp;$AB26,$G26),IF(OR(AJ$3=$D26,AJ$3=$AC26,AJ$3=$AE26),"",IF(AJ$3=$AD26,$F26&amp;"R",AJ25))))</f>
        <v>wB</v>
      </c>
      <c r="AK26" s="11" t="str">
        <f aca="false">IF($P26=0,AK25,IF(AK$3=$E26,IF($AA26=1,$F26&amp;$AB26,$G26),IF(OR(AK$3=$D26,AK$3=$AC26,AK$3=$AE26),"",IF(AK$3=$AD26,$F26&amp;"R",AK25))))</f>
        <v>wQ</v>
      </c>
      <c r="AL26" s="11" t="str">
        <f aca="false">IF($P26=0,AL25,IF(AL$3=$E26,IF($AA26=1,$F26&amp;$AB26,$G26),IF(OR(AL$3=$D26,AL$3=$AC26,AL$3=$AE26),"",IF(AL$3=$AD26,$F26&amp;"R",AL25))))</f>
        <v>wK</v>
      </c>
      <c r="AM26" s="11" t="str">
        <f aca="false">IF($P26=0,AM25,IF(AM$3=$E26,IF($AA26=1,$F26&amp;$AB26,$G26),IF(OR(AM$3=$D26,AM$3=$AC26,AM$3=$AE26),"",IF(AM$3=$AD26,$F26&amp;"R",AM25))))</f>
        <v>wB</v>
      </c>
      <c r="AN26" s="11" t="str">
        <f aca="false">IF($P26=0,AN25,IF(AN$3=$E26,IF($AA26=1,$F26&amp;$AB26,$G26),IF(OR(AN$3=$D26,AN$3=$AC26,AN$3=$AE26),"",IF(AN$3=$AD26,$F26&amp;"R",AN25))))</f>
        <v>wN</v>
      </c>
      <c r="AO26" s="11" t="str">
        <f aca="false">IF($P26=0,AO25,IF(AO$3=$E26,IF($AA26=1,$F26&amp;$AB26,$G26),IF(OR(AO$3=$D26,AO$3=$AC26,AO$3=$AE26),"",IF(AO$3=$AD26,$F26&amp;"R",AO25))))</f>
        <v>wR</v>
      </c>
      <c r="AP26" s="11" t="str">
        <f aca="false">IF($P26=0,AP25,IF(AP$3=$E26,IF($AA26=1,$F26&amp;$AB26,$G26),IF(OR(AP$3=$D26,AP$3=$AC26,AP$3=$AE26),"",IF(AP$3=$AD26,$F26&amp;"R",AP25))))</f>
        <v>wP</v>
      </c>
      <c r="AQ26" s="11" t="str">
        <f aca="false">IF($P26=0,AQ25,IF(AQ$3=$E26,IF($AA26=1,$F26&amp;$AB26,$G26),IF(OR(AQ$3=$D26,AQ$3=$AC26,AQ$3=$AE26),"",IF(AQ$3=$AD26,$F26&amp;"R",AQ25))))</f>
        <v>wP</v>
      </c>
      <c r="AR26" s="11" t="str">
        <f aca="false">IF($P26=0,AR25,IF(AR$3=$E26,IF($AA26=1,$F26&amp;$AB26,$G26),IF(OR(AR$3=$D26,AR$3=$AC26,AR$3=$AE26),"",IF(AR$3=$AD26,$F26&amp;"R",AR25))))</f>
        <v>wP</v>
      </c>
      <c r="AS26" s="11" t="str">
        <f aca="false">IF($P26=0,AS25,IF(AS$3=$E26,IF($AA26=1,$F26&amp;$AB26,$G26),IF(OR(AS$3=$D26,AS$3=$AC26,AS$3=$AE26),"",IF(AS$3=$AD26,$F26&amp;"R",AS25))))</f>
        <v>wP</v>
      </c>
      <c r="AT26" s="11" t="str">
        <f aca="false">IF($P26=0,AT25,IF(AT$3=$E26,IF($AA26=1,$F26&amp;$AB26,$G26),IF(OR(AT$3=$D26,AT$3=$AC26,AT$3=$AE26),"",IF(AT$3=$AD26,$F26&amp;"R",AT25))))</f>
        <v>wP</v>
      </c>
      <c r="AU26" s="11" t="str">
        <f aca="false">IF($P26=0,AU25,IF(AU$3=$E26,IF($AA26=1,$F26&amp;$AB26,$G26),IF(OR(AU$3=$D26,AU$3=$AC26,AU$3=$AE26),"",IF(AU$3=$AD26,$F26&amp;"R",AU25))))</f>
        <v>wP</v>
      </c>
      <c r="AV26" s="11" t="str">
        <f aca="false">IF($P26=0,AV25,IF(AV$3=$E26,IF($AA26=1,$F26&amp;$AB26,$G26),IF(OR(AV$3=$D26,AV$3=$AC26,AV$3=$AE26),"",IF(AV$3=$AD26,$F26&amp;"R",AV25))))</f>
        <v>wP</v>
      </c>
      <c r="AW26" s="11" t="str">
        <f aca="false">IF($P26=0,AW25,IF(AW$3=$E26,IF($AA26=1,$F26&amp;$AB26,$G26),IF(OR(AW$3=$D26,AW$3=$AC26,AW$3=$AE26),"",IF(AW$3=$AD26,$F26&amp;"R",AW25))))</f>
        <v>wP</v>
      </c>
      <c r="AX26" s="11" t="str">
        <f aca="false">IF($P26=0,AX25,IF(AX$3=$E26,IF($AA26=1,$F26&amp;$AB26,$G26),IF(OR(AX$3=$D26,AX$3=$AC26,AX$3=$AE26),"",IF(AX$3=$AD26,$F26&amp;"R",AX25))))</f>
        <v/>
      </c>
      <c r="AY26" s="11" t="str">
        <f aca="false">IF($P26=0,AY25,IF(AY$3=$E26,IF($AA26=1,$F26&amp;$AB26,$G26),IF(OR(AY$3=$D26,AY$3=$AC26,AY$3=$AE26),"",IF(AY$3=$AD26,$F26&amp;"R",AY25))))</f>
        <v/>
      </c>
      <c r="AZ26" s="11" t="str">
        <f aca="false">IF($P26=0,AZ25,IF(AZ$3=$E26,IF($AA26=1,$F26&amp;$AB26,$G26),IF(OR(AZ$3=$D26,AZ$3=$AC26,AZ$3=$AE26),"",IF(AZ$3=$AD26,$F26&amp;"R",AZ25))))</f>
        <v/>
      </c>
      <c r="BA26" s="11" t="str">
        <f aca="false">IF($P26=0,BA25,IF(BA$3=$E26,IF($AA26=1,$F26&amp;$AB26,$G26),IF(OR(BA$3=$D26,BA$3=$AC26,BA$3=$AE26),"",IF(BA$3=$AD26,$F26&amp;"R",BA25))))</f>
        <v/>
      </c>
      <c r="BB26" s="11" t="str">
        <f aca="false">IF($P26=0,BB25,IF(BB$3=$E26,IF($AA26=1,$F26&amp;$AB26,$G26),IF(OR(BB$3=$D26,BB$3=$AC26,BB$3=$AE26),"",IF(BB$3=$AD26,$F26&amp;"R",BB25))))</f>
        <v/>
      </c>
      <c r="BC26" s="11" t="str">
        <f aca="false">IF($P26=0,BC25,IF(BC$3=$E26,IF($AA26=1,$F26&amp;$AB26,$G26),IF(OR(BC$3=$D26,BC$3=$AC26,BC$3=$AE26),"",IF(BC$3=$AD26,$F26&amp;"R",BC25))))</f>
        <v/>
      </c>
      <c r="BD26" s="11" t="str">
        <f aca="false">IF($P26=0,BD25,IF(BD$3=$E26,IF($AA26=1,$F26&amp;$AB26,$G26),IF(OR(BD$3=$D26,BD$3=$AC26,BD$3=$AE26),"",IF(BD$3=$AD26,$F26&amp;"R",BD25))))</f>
        <v/>
      </c>
      <c r="BE26" s="11" t="str">
        <f aca="false">IF($P26=0,BE25,IF(BE$3=$E26,IF($AA26=1,$F26&amp;$AB26,$G26),IF(OR(BE$3=$D26,BE$3=$AC26,BE$3=$AE26),"",IF(BE$3=$AD26,$F26&amp;"R",BE25))))</f>
        <v/>
      </c>
      <c r="BF26" s="11" t="str">
        <f aca="false">IF($P26=0,BF25,IF(BF$3=$E26,IF($AA26=1,$F26&amp;$AB26,$G26),IF(OR(BF$3=$D26,BF$3=$AC26,BF$3=$AE26),"",IF(BF$3=$AD26,$F26&amp;"R",BF25))))</f>
        <v/>
      </c>
      <c r="BG26" s="11" t="str">
        <f aca="false">IF($P26=0,BG25,IF(BG$3=$E26,IF($AA26=1,$F26&amp;$AB26,$G26),IF(OR(BG$3=$D26,BG$3=$AC26,BG$3=$AE26),"",IF(BG$3=$AD26,$F26&amp;"R",BG25))))</f>
        <v/>
      </c>
      <c r="BH26" s="11" t="str">
        <f aca="false">IF($P26=0,BH25,IF(BH$3=$E26,IF($AA26=1,$F26&amp;$AB26,$G26),IF(OR(BH$3=$D26,BH$3=$AC26,BH$3=$AE26),"",IF(BH$3=$AD26,$F26&amp;"R",BH25))))</f>
        <v/>
      </c>
      <c r="BI26" s="11" t="str">
        <f aca="false">IF($P26=0,BI25,IF(BI$3=$E26,IF($AA26=1,$F26&amp;$AB26,$G26),IF(OR(BI$3=$D26,BI$3=$AC26,BI$3=$AE26),"",IF(BI$3=$AD26,$F26&amp;"R",BI25))))</f>
        <v/>
      </c>
      <c r="BJ26" s="11" t="str">
        <f aca="false">IF($P26=0,BJ25,IF(BJ$3=$E26,IF($AA26=1,$F26&amp;$AB26,$G26),IF(OR(BJ$3=$D26,BJ$3=$AC26,BJ$3=$AE26),"",IF(BJ$3=$AD26,$F26&amp;"R",BJ25))))</f>
        <v/>
      </c>
      <c r="BK26" s="11" t="str">
        <f aca="false">IF($P26=0,BK25,IF(BK$3=$E26,IF($AA26=1,$F26&amp;$AB26,$G26),IF(OR(BK$3=$D26,BK$3=$AC26,BK$3=$AE26),"",IF(BK$3=$AD26,$F26&amp;"R",BK25))))</f>
        <v/>
      </c>
      <c r="BL26" s="11" t="str">
        <f aca="false">IF($P26=0,BL25,IF(BL$3=$E26,IF($AA26=1,$F26&amp;$AB26,$G26),IF(OR(BL$3=$D26,BL$3=$AC26,BL$3=$AE26),"",IF(BL$3=$AD26,$F26&amp;"R",BL25))))</f>
        <v/>
      </c>
      <c r="BM26" s="11" t="str">
        <f aca="false">IF($P26=0,BM25,IF(BM$3=$E26,IF($AA26=1,$F26&amp;$AB26,$G26),IF(OR(BM$3=$D26,BM$3=$AC26,BM$3=$AE26),"",IF(BM$3=$AD26,$F26&amp;"R",BM25))))</f>
        <v/>
      </c>
      <c r="BN26" s="11" t="str">
        <f aca="false">IF($P26=0,BN25,IF(BN$3=$E26,IF($AA26=1,$F26&amp;$AB26,$G26),IF(OR(BN$3=$D26,BN$3=$AC26,BN$3=$AE26),"",IF(BN$3=$AD26,$F26&amp;"R",BN25))))</f>
        <v/>
      </c>
      <c r="BO26" s="11" t="str">
        <f aca="false">IF($P26=0,BO25,IF(BO$3=$E26,IF($AA26=1,$F26&amp;$AB26,$G26),IF(OR(BO$3=$D26,BO$3=$AC26,BO$3=$AE26),"",IF(BO$3=$AD26,$F26&amp;"R",BO25))))</f>
        <v/>
      </c>
      <c r="BP26" s="11" t="str">
        <f aca="false">IF($P26=0,BP25,IF(BP$3=$E26,IF($AA26=1,$F26&amp;$AB26,$G26),IF(OR(BP$3=$D26,BP$3=$AC26,BP$3=$AE26),"",IF(BP$3=$AD26,$F26&amp;"R",BP25))))</f>
        <v/>
      </c>
      <c r="BQ26" s="11" t="str">
        <f aca="false">IF($P26=0,BQ25,IF(BQ$3=$E26,IF($AA26=1,$F26&amp;$AB26,$G26),IF(OR(BQ$3=$D26,BQ$3=$AC26,BQ$3=$AE26),"",IF(BQ$3=$AD26,$F26&amp;"R",BQ25))))</f>
        <v/>
      </c>
      <c r="BR26" s="11" t="str">
        <f aca="false">IF($P26=0,BR25,IF(BR$3=$E26,IF($AA26=1,$F26&amp;$AB26,$G26),IF(OR(BR$3=$D26,BR$3=$AC26,BR$3=$AE26),"",IF(BR$3=$AD26,$F26&amp;"R",BR25))))</f>
        <v/>
      </c>
      <c r="BS26" s="11" t="str">
        <f aca="false">IF($P26=0,BS25,IF(BS$3=$E26,IF($AA26=1,$F26&amp;$AB26,$G26),IF(OR(BS$3=$D26,BS$3=$AC26,BS$3=$AE26),"",IF(BS$3=$AD26,$F26&amp;"R",BS25))))</f>
        <v/>
      </c>
      <c r="BT26" s="11" t="str">
        <f aca="false">IF($P26=0,BT25,IF(BT$3=$E26,IF($AA26=1,$F26&amp;$AB26,$G26),IF(OR(BT$3=$D26,BT$3=$AC26,BT$3=$AE26),"",IF(BT$3=$AD26,$F26&amp;"R",BT25))))</f>
        <v/>
      </c>
      <c r="BU26" s="11" t="str">
        <f aca="false">IF($P26=0,BU25,IF(BU$3=$E26,IF($AA26=1,$F26&amp;$AB26,$G26),IF(OR(BU$3=$D26,BU$3=$AC26,BU$3=$AE26),"",IF(BU$3=$AD26,$F26&amp;"R",BU25))))</f>
        <v/>
      </c>
      <c r="BV26" s="11" t="str">
        <f aca="false">IF($P26=0,BV25,IF(BV$3=$E26,IF($AA26=1,$F26&amp;$AB26,$G26),IF(OR(BV$3=$D26,BV$3=$AC26,BV$3=$AE26),"",IF(BV$3=$AD26,$F26&amp;"R",BV25))))</f>
        <v/>
      </c>
      <c r="BW26" s="11" t="str">
        <f aca="false">IF($P26=0,BW25,IF(BW$3=$E26,IF($AA26=1,$F26&amp;$AB26,$G26),IF(OR(BW$3=$D26,BW$3=$AC26,BW$3=$AE26),"",IF(BW$3=$AD26,$F26&amp;"R",BW25))))</f>
        <v/>
      </c>
      <c r="BX26" s="11" t="str">
        <f aca="false">IF($P26=0,BX25,IF(BX$3=$E26,IF($AA26=1,$F26&amp;$AB26,$G26),IF(OR(BX$3=$D26,BX$3=$AC26,BX$3=$AE26),"",IF(BX$3=$AD26,$F26&amp;"R",BX25))))</f>
        <v/>
      </c>
      <c r="BY26" s="11" t="str">
        <f aca="false">IF($P26=0,BY25,IF(BY$3=$E26,IF($AA26=1,$F26&amp;$AB26,$G26),IF(OR(BY$3=$D26,BY$3=$AC26,BY$3=$AE26),"",IF(BY$3=$AD26,$F26&amp;"R",BY25))))</f>
        <v/>
      </c>
      <c r="BZ26" s="11" t="str">
        <f aca="false">IF($P26=0,BZ25,IF(BZ$3=$E26,IF($AA26=1,$F26&amp;$AB26,$G26),IF(OR(BZ$3=$D26,BZ$3=$AC26,BZ$3=$AE26),"",IF(BZ$3=$AD26,$F26&amp;"R",BZ25))))</f>
        <v/>
      </c>
      <c r="CA26" s="11" t="str">
        <f aca="false">IF($P26=0,CA25,IF(CA$3=$E26,IF($AA26=1,$F26&amp;$AB26,$G26),IF(OR(CA$3=$D26,CA$3=$AC26,CA$3=$AE26),"",IF(CA$3=$AD26,$F26&amp;"R",CA25))))</f>
        <v/>
      </c>
      <c r="CB26" s="11" t="str">
        <f aca="false">IF($P26=0,CB25,IF(CB$3=$E26,IF($AA26=1,$F26&amp;$AB26,$G26),IF(OR(CB$3=$D26,CB$3=$AC26,CB$3=$AE26),"",IF(CB$3=$AD26,$F26&amp;"R",CB25))))</f>
        <v/>
      </c>
      <c r="CC26" s="11" t="str">
        <f aca="false">IF($P26=0,CC25,IF(CC$3=$E26,IF($AA26=1,$F26&amp;$AB26,$G26),IF(OR(CC$3=$D26,CC$3=$AC26,CC$3=$AE26),"",IF(CC$3=$AD26,$F26&amp;"R",CC25))))</f>
        <v/>
      </c>
      <c r="CD26" s="11" t="str">
        <f aca="false">IF($P26=0,CD25,IF(CD$3=$E26,IF($AA26=1,$F26&amp;$AB26,$G26),IF(OR(CD$3=$D26,CD$3=$AC26,CD$3=$AE26),"",IF(CD$3=$AD26,$F26&amp;"R",CD25))))</f>
        <v>bP</v>
      </c>
      <c r="CE26" s="11" t="str">
        <f aca="false">IF($P26=0,CE25,IF(CE$3=$E26,IF($AA26=1,$F26&amp;$AB26,$G26),IF(OR(CE$3=$D26,CE$3=$AC26,CE$3=$AE26),"",IF(CE$3=$AD26,$F26&amp;"R",CE25))))</f>
        <v>bP</v>
      </c>
      <c r="CF26" s="11" t="str">
        <f aca="false">IF($P26=0,CF25,IF(CF$3=$E26,IF($AA26=1,$F26&amp;$AB26,$G26),IF(OR(CF$3=$D26,CF$3=$AC26,CF$3=$AE26),"",IF(CF$3=$AD26,$F26&amp;"R",CF25))))</f>
        <v>bP</v>
      </c>
      <c r="CG26" s="11" t="str">
        <f aca="false">IF($P26=0,CG25,IF(CG$3=$E26,IF($AA26=1,$F26&amp;$AB26,$G26),IF(OR(CG$3=$D26,CG$3=$AC26,CG$3=$AE26),"",IF(CG$3=$AD26,$F26&amp;"R",CG25))))</f>
        <v>bP</v>
      </c>
      <c r="CH26" s="11" t="str">
        <f aca="false">IF($P26=0,CH25,IF(CH$3=$E26,IF($AA26=1,$F26&amp;$AB26,$G26),IF(OR(CH$3=$D26,CH$3=$AC26,CH$3=$AE26),"",IF(CH$3=$AD26,$F26&amp;"R",CH25))))</f>
        <v>bP</v>
      </c>
      <c r="CI26" s="11" t="str">
        <f aca="false">IF($P26=0,CI25,IF(CI$3=$E26,IF($AA26=1,$F26&amp;$AB26,$G26),IF(OR(CI$3=$D26,CI$3=$AC26,CI$3=$AE26),"",IF(CI$3=$AD26,$F26&amp;"R",CI25))))</f>
        <v>bP</v>
      </c>
      <c r="CJ26" s="11" t="str">
        <f aca="false">IF($P26=0,CJ25,IF(CJ$3=$E26,IF($AA26=1,$F26&amp;$AB26,$G26),IF(OR(CJ$3=$D26,CJ$3=$AC26,CJ$3=$AE26),"",IF(CJ$3=$AD26,$F26&amp;"R",CJ25))))</f>
        <v>bP</v>
      </c>
      <c r="CK26" s="11" t="str">
        <f aca="false">IF($P26=0,CK25,IF(CK$3=$E26,IF($AA26=1,$F26&amp;$AB26,$G26),IF(OR(CK$3=$D26,CK$3=$AC26,CK$3=$AE26),"",IF(CK$3=$AD26,$F26&amp;"R",CK25))))</f>
        <v>bP</v>
      </c>
      <c r="CL26" s="11" t="str">
        <f aca="false">IF($P26=0,CL25,IF(CL$3=$E26,IF($AA26=1,$F26&amp;$AB26,$G26),IF(OR(CL$3=$D26,CL$3=$AC26,CL$3=$AE26),"",IF(CL$3=$AD26,$F26&amp;"R",CL25))))</f>
        <v>bR</v>
      </c>
      <c r="CM26" s="11" t="str">
        <f aca="false">IF($P26=0,CM25,IF(CM$3=$E26,IF($AA26=1,$F26&amp;$AB26,$G26),IF(OR(CM$3=$D26,CM$3=$AC26,CM$3=$AE26),"",IF(CM$3=$AD26,$F26&amp;"R",CM25))))</f>
        <v>bN</v>
      </c>
      <c r="CN26" s="11" t="str">
        <f aca="false">IF($P26=0,CN25,IF(CN$3=$E26,IF($AA26=1,$F26&amp;$AB26,$G26),IF(OR(CN$3=$D26,CN$3=$AC26,CN$3=$AE26),"",IF(CN$3=$AD26,$F26&amp;"R",CN25))))</f>
        <v>bB</v>
      </c>
      <c r="CO26" s="11" t="str">
        <f aca="false">IF($P26=0,CO25,IF(CO$3=$E26,IF($AA26=1,$F26&amp;$AB26,$G26),IF(OR(CO$3=$D26,CO$3=$AC26,CO$3=$AE26),"",IF(CO$3=$AD26,$F26&amp;"R",CO25))))</f>
        <v>bQ</v>
      </c>
      <c r="CP26" s="11" t="str">
        <f aca="false">IF($P26=0,CP25,IF(CP$3=$E26,IF($AA26=1,$F26&amp;$AB26,$G26),IF(OR(CP$3=$D26,CP$3=$AC26,CP$3=$AE26),"",IF(CP$3=$AD26,$F26&amp;"R",CP25))))</f>
        <v>bK</v>
      </c>
      <c r="CQ26" s="11" t="str">
        <f aca="false">IF($P26=0,CQ25,IF(CQ$3=$E26,IF($AA26=1,$F26&amp;$AB26,$G26),IF(OR(CQ$3=$D26,CQ$3=$AC26,CQ$3=$AE26),"",IF(CQ$3=$AD26,$F26&amp;"R",CQ25))))</f>
        <v>bB</v>
      </c>
      <c r="CR26" s="11" t="str">
        <f aca="false">IF($P26=0,CR25,IF(CR$3=$E26,IF($AA26=1,$F26&amp;$AB26,$G26),IF(OR(CR$3=$D26,CR$3=$AC26,CR$3=$AE26),"",IF(CR$3=$AD26,$F26&amp;"R",CR25))))</f>
        <v>bN</v>
      </c>
      <c r="CS26" s="11" t="str">
        <f aca="false">IF($P26=0,CS25,IF(CS$3=$E26,IF($AA26=1,$F26&amp;$AB26,$G26),IF(OR(CS$3=$D26,CS$3=$AC26,CS$3=$AE26),"",IF(CS$3=$AD26,$F26&amp;"R",CS25))))</f>
        <v>bR</v>
      </c>
      <c r="CT26" s="11"/>
      <c r="CU26" s="11"/>
      <c r="CV26" s="11"/>
    </row>
    <row r="27" customFormat="false" ht="15" hidden="false" customHeight="false" outlineLevel="0" collapsed="false">
      <c r="A27" s="11" t="n">
        <v>22</v>
      </c>
      <c r="B27" s="11" t="str">
        <f aca="false">IF(Chess!$L$31="","",Chess!$L$31&amp;"")</f>
        <v/>
      </c>
      <c r="C27" s="11" t="str">
        <f aca="false">LOWER(SUBSTITUTE(SUBSTITUTE(SUBSTITUTE(SUBSTITUTE(TRIM($B27),"-",""),"=","")," ",""),"x",""))</f>
        <v/>
      </c>
      <c r="D27" s="11" t="n">
        <f aca="false">IF(LEN($C27)&lt;4,0,IFERROR(IF(AND(CODE(MID($C27,1,1))&gt;=97,CODE(MID($C27,1,1))&lt;=104,VALUE(MID($C27,2,1))&gt;=1,VALUE(MID($C27,2,1))&lt;=8),(VALUE(MID($C27,2,1))-1)*8+CODE(MID($C27,1,1))-96,0),0))</f>
        <v>0</v>
      </c>
      <c r="E27" s="11" t="n">
        <f aca="false">IF(LEN($C27)&lt;4,0,IFERROR(IF(AND(CODE(MID($C27,3,1))&gt;=97,CODE(MID($C27,3,1))&lt;=104,VALUE(MID($C27,4,1))&gt;=1,VALUE(MID($C27,4,1))&lt;=8),(VALUE(MID($C27,4,1))-1)*8+CODE(MID($C27,3,1))-96,0),0))</f>
        <v>0</v>
      </c>
      <c r="F27" s="11" t="str">
        <f aca="false">IF(MOD(SUM($P$5:$P26),2)=0,"w","b")</f>
        <v>w</v>
      </c>
      <c r="G27" s="11" t="str">
        <f aca="false">IF($D27=0,"",INDEX($AH26:$CS26,1,$D27)&amp;"")</f>
        <v/>
      </c>
      <c r="H27" s="11" t="str">
        <f aca="false">IF($E27=0,"",INDEX($AH26:$CS26,1,$E27)&amp;"")</f>
        <v/>
      </c>
      <c r="I27" s="11" t="n">
        <f aca="false">IF(OR($D27=0,$E27=0),0,MOD($E27-1,8)-MOD($D27-1,8))</f>
        <v>0</v>
      </c>
      <c r="J27" s="11" t="n">
        <f aca="false">IF(OR($D27=0,$E27=0),0,INT(($E27-1)/8)-INT(($D27-1)/8))</f>
        <v>0</v>
      </c>
      <c r="K27" s="11" t="str">
        <f aca="false">IF($G27="","",RIGHT($G27,1))</f>
        <v/>
      </c>
      <c r="L27" s="11" t="n">
        <f aca="false">IF(OR($D27=0,$E27=0),0,SUMPRODUCT(($AH$3:$CS$3&gt;MIN($D27,$E27))*($AH$3:$CS$3&lt;MAX($D27,$E27))*(MOD($AH$3:$CS$3-MIN($D27,$E27),MAX(1,ABS(SIGN($J27)*8+SIGN($I27))))=0)*($AH26:$CS26&lt;&gt;"")))</f>
        <v>0</v>
      </c>
      <c r="M27" s="11" t="n">
        <f aca="false">IF($K27&lt;&gt;"K",0,IFERROR(--AND($J27=0,ABS($I27)=2,$D27=IF($F27="w",5,61),IF($F27="w",$S26,$V26)=0,IF($I27=2,AND(IF($F27="w",$U26,$X26)=0,INDEX($AH26:$CS26,1,$D27+1)&amp;""="",INDEX($AH26:$CS26,1,$D27+2)&amp;""=""),AND(IF($F27="w",$T26,$W26)=0,INDEX($AH26:$CS26,1,$D27-1)&amp;""="",INDEX($AH26:$CS26,1,$D27-2)&amp;""="",INDEX($AH26:$CS26,1,$D27-3)&amp;""=""))),0))</f>
        <v>0</v>
      </c>
      <c r="N27" s="11" t="n">
        <f aca="false">IF($K27&lt;&gt;"P",0,IFERROR(--OR(AND($I27=0,$J27=IF($F27="w",1,-1),$H27=""),AND($I27=0,$J27=2*IF($F27="w",1,-1),$H27="",INT(($D27-1)/8)=IF($F27="w",1,6),INDEX($AH26:$CS26,1,MAX(1,MIN(64,$D27+8*IF($F27="w",1,-1))))&amp;""=""),AND(ABS($I27)=1,$J27=IF($F27="w",1,-1),$H27&lt;&gt;""),AND(ABS($I27)=1,$J27=IF($F27="w",1,-1),$H27="",$R26&gt;0,$E27=$R26)),0))</f>
        <v>0</v>
      </c>
      <c r="O27" s="11" t="n">
        <f aca="false">IF(OR($D27=0,$E27=0,$G27=""),0,IF($K27="N",--OR(AND(ABS($I27)=1,ABS($J27)=2),AND(ABS($I27)=2,ABS($J27)=1)),IF($K27="B",--AND(ABS($I27)=ABS($J27),$I27&lt;&gt;0,$L27=0),IF($K27="R",--AND(OR($I27=0,$J27=0),OR($I27&lt;&gt;0,$J27&lt;&gt;0),$L27=0),IF($K27="Q",--AND(OR(AND(ABS($I27)=ABS($J27),$I27&lt;&gt;0),AND(OR($I27=0,$J27=0),OR($I27&lt;&gt;0,$J27&lt;&gt;0))),$L27=0),IF($K27="K",--OR(MAX(ABS($I27),ABS($J27))=1,$M27=1),$N27))))))</f>
        <v>0</v>
      </c>
      <c r="P27" s="11" t="n">
        <f aca="false">IF($Q27="OK",1,0)</f>
        <v>0</v>
      </c>
      <c r="Q27" s="11" t="str">
        <f aca="false">IF($B27="","",IF(OR(COUNTIF($AH26:$CS26,"wK")=0,COUNTIF($AH26:$CS26,"bK")=0),"Game is over",IF(OR($D27=0,$E27=0),"Use the format e2e4",IF($G27="","No piece on that square",IF(LEFT($G27,1)&lt;&gt;$F27,"Not your piece ("&amp;IF($F27="w","White","Black")&amp;" to move)",IF($D27=$E27,"Piece must move",IF(AND($H27&lt;&gt;"",LEFT($H27,1)=$F27),"Cannot capture your own piece",IF($O27=0,"Illegal move for that piece (or path blocked)","OK"))))))))</f>
        <v/>
      </c>
      <c r="R27" s="11" t="n">
        <f aca="false">IF($P27=1,IF(AND($K27="P",ABS($J27)=2),($D27+$E27)/2,0),$R26)</f>
        <v>0</v>
      </c>
      <c r="S27" s="12" t="b">
        <f aca="false">--OR($S26=1,AND($P27=1,OR($D27=5,$E27=5)))</f>
        <v>0</v>
      </c>
      <c r="T27" s="12" t="b">
        <f aca="false">--OR($T26=1,AND($P27=1,OR($D27=1,$E27=1)))</f>
        <v>0</v>
      </c>
      <c r="U27" s="12" t="b">
        <f aca="false">--OR($U26=1,AND($P27=1,OR($D27=8,$E27=8)))</f>
        <v>0</v>
      </c>
      <c r="V27" s="12" t="b">
        <f aca="false">--OR($V26=1,AND($P27=1,OR($D27=61,$E27=61)))</f>
        <v>0</v>
      </c>
      <c r="W27" s="12" t="b">
        <f aca="false">--OR($W26=1,AND($P27=1,OR($D27=57,$E27=57)))</f>
        <v>0</v>
      </c>
      <c r="X27" s="12" t="b">
        <f aca="false">--OR($X26=1,AND($P27=1,OR($D27=64,$E27=64)))</f>
        <v>0</v>
      </c>
      <c r="Y27" s="12" t="b">
        <f aca="false">--AND($P27=1,$K27="K",ABS($I27)=2)</f>
        <v>0</v>
      </c>
      <c r="Z27" s="12" t="b">
        <f aca="false">--AND($P27=1,$K27="P",ABS($I27)=1,$H27="")</f>
        <v>0</v>
      </c>
      <c r="AA27" s="12" t="b">
        <f aca="false">--AND($P27=1,$K27="P",INT(($E27-1)/8)=IF($F27="w",7,0))</f>
        <v>0</v>
      </c>
      <c r="AB27" s="11" t="str">
        <f aca="false">IF(LEN($C27)&gt;=5,IF(ISNUMBER(FIND(MID($C27,5,1),"qrbn")),UPPER(MID($C27,5,1)),"Q"),"Q")</f>
        <v>Q</v>
      </c>
      <c r="AC27" s="11" t="n">
        <f aca="false">IF($Y27=1,IF($I27=2,$D27+3,$D27-4),0)</f>
        <v>0</v>
      </c>
      <c r="AD27" s="11" t="n">
        <f aca="false">IF($Y27=1,IF($I27=2,$D27+1,$D27-1),0)</f>
        <v>0</v>
      </c>
      <c r="AE27" s="11" t="n">
        <f aca="false">IF($Z27=1,$E27-8*IF($F27="w",1,-1),0)</f>
        <v>0</v>
      </c>
      <c r="AF27" s="11" t="str">
        <f aca="false">IF($B27="","",IF($P27=1,LOWER(INDEX($CV$2:$CV$13,MATCH($G27,$CU$2:$CU$13,0)))&amp;" "&amp;MID("abcdefgh",MOD($D27-1,8)+1,1)&amp;(INT(($D27-1)/8)+1)&amp;"→"&amp;MID("abcdefgh",MOD($E27-1,8)+1,1)&amp;(INT(($E27-1)/8)+1)&amp;IF(OR($H27&lt;&gt;"",$Z27=1)," ×","")&amp;IF($Y27=1," castles","")&amp;IF($Z27=1," e.p.","")&amp;IF($AA27=1," =" &amp;LOWER(INDEX($CV$2:$CV$13,MATCH($F27&amp;$AB27,$CU$2:$CU$13,0))),""),"X "&amp;$Q27))</f>
        <v/>
      </c>
      <c r="AG27" s="11"/>
      <c r="AH27" s="11" t="str">
        <f aca="false">IF($P27=0,AH26,IF(AH$3=$E27,IF($AA27=1,$F27&amp;$AB27,$G27),IF(OR(AH$3=$D27,AH$3=$AC27,AH$3=$AE27),"",IF(AH$3=$AD27,$F27&amp;"R",AH26))))</f>
        <v>wR</v>
      </c>
      <c r="AI27" s="11" t="str">
        <f aca="false">IF($P27=0,AI26,IF(AI$3=$E27,IF($AA27=1,$F27&amp;$AB27,$G27),IF(OR(AI$3=$D27,AI$3=$AC27,AI$3=$AE27),"",IF(AI$3=$AD27,$F27&amp;"R",AI26))))</f>
        <v>wN</v>
      </c>
      <c r="AJ27" s="11" t="str">
        <f aca="false">IF($P27=0,AJ26,IF(AJ$3=$E27,IF($AA27=1,$F27&amp;$AB27,$G27),IF(OR(AJ$3=$D27,AJ$3=$AC27,AJ$3=$AE27),"",IF(AJ$3=$AD27,$F27&amp;"R",AJ26))))</f>
        <v>wB</v>
      </c>
      <c r="AK27" s="11" t="str">
        <f aca="false">IF($P27=0,AK26,IF(AK$3=$E27,IF($AA27=1,$F27&amp;$AB27,$G27),IF(OR(AK$3=$D27,AK$3=$AC27,AK$3=$AE27),"",IF(AK$3=$AD27,$F27&amp;"R",AK26))))</f>
        <v>wQ</v>
      </c>
      <c r="AL27" s="11" t="str">
        <f aca="false">IF($P27=0,AL26,IF(AL$3=$E27,IF($AA27=1,$F27&amp;$AB27,$G27),IF(OR(AL$3=$D27,AL$3=$AC27,AL$3=$AE27),"",IF(AL$3=$AD27,$F27&amp;"R",AL26))))</f>
        <v>wK</v>
      </c>
      <c r="AM27" s="11" t="str">
        <f aca="false">IF($P27=0,AM26,IF(AM$3=$E27,IF($AA27=1,$F27&amp;$AB27,$G27),IF(OR(AM$3=$D27,AM$3=$AC27,AM$3=$AE27),"",IF(AM$3=$AD27,$F27&amp;"R",AM26))))</f>
        <v>wB</v>
      </c>
      <c r="AN27" s="11" t="str">
        <f aca="false">IF($P27=0,AN26,IF(AN$3=$E27,IF($AA27=1,$F27&amp;$AB27,$G27),IF(OR(AN$3=$D27,AN$3=$AC27,AN$3=$AE27),"",IF(AN$3=$AD27,$F27&amp;"R",AN26))))</f>
        <v>wN</v>
      </c>
      <c r="AO27" s="11" t="str">
        <f aca="false">IF($P27=0,AO26,IF(AO$3=$E27,IF($AA27=1,$F27&amp;$AB27,$G27),IF(OR(AO$3=$D27,AO$3=$AC27,AO$3=$AE27),"",IF(AO$3=$AD27,$F27&amp;"R",AO26))))</f>
        <v>wR</v>
      </c>
      <c r="AP27" s="11" t="str">
        <f aca="false">IF($P27=0,AP26,IF(AP$3=$E27,IF($AA27=1,$F27&amp;$AB27,$G27),IF(OR(AP$3=$D27,AP$3=$AC27,AP$3=$AE27),"",IF(AP$3=$AD27,$F27&amp;"R",AP26))))</f>
        <v>wP</v>
      </c>
      <c r="AQ27" s="11" t="str">
        <f aca="false">IF($P27=0,AQ26,IF(AQ$3=$E27,IF($AA27=1,$F27&amp;$AB27,$G27),IF(OR(AQ$3=$D27,AQ$3=$AC27,AQ$3=$AE27),"",IF(AQ$3=$AD27,$F27&amp;"R",AQ26))))</f>
        <v>wP</v>
      </c>
      <c r="AR27" s="11" t="str">
        <f aca="false">IF($P27=0,AR26,IF(AR$3=$E27,IF($AA27=1,$F27&amp;$AB27,$G27),IF(OR(AR$3=$D27,AR$3=$AC27,AR$3=$AE27),"",IF(AR$3=$AD27,$F27&amp;"R",AR26))))</f>
        <v>wP</v>
      </c>
      <c r="AS27" s="11" t="str">
        <f aca="false">IF($P27=0,AS26,IF(AS$3=$E27,IF($AA27=1,$F27&amp;$AB27,$G27),IF(OR(AS$3=$D27,AS$3=$AC27,AS$3=$AE27),"",IF(AS$3=$AD27,$F27&amp;"R",AS26))))</f>
        <v>wP</v>
      </c>
      <c r="AT27" s="11" t="str">
        <f aca="false">IF($P27=0,AT26,IF(AT$3=$E27,IF($AA27=1,$F27&amp;$AB27,$G27),IF(OR(AT$3=$D27,AT$3=$AC27,AT$3=$AE27),"",IF(AT$3=$AD27,$F27&amp;"R",AT26))))</f>
        <v>wP</v>
      </c>
      <c r="AU27" s="11" t="str">
        <f aca="false">IF($P27=0,AU26,IF(AU$3=$E27,IF($AA27=1,$F27&amp;$AB27,$G27),IF(OR(AU$3=$D27,AU$3=$AC27,AU$3=$AE27),"",IF(AU$3=$AD27,$F27&amp;"R",AU26))))</f>
        <v>wP</v>
      </c>
      <c r="AV27" s="11" t="str">
        <f aca="false">IF($P27=0,AV26,IF(AV$3=$E27,IF($AA27=1,$F27&amp;$AB27,$G27),IF(OR(AV$3=$D27,AV$3=$AC27,AV$3=$AE27),"",IF(AV$3=$AD27,$F27&amp;"R",AV26))))</f>
        <v>wP</v>
      </c>
      <c r="AW27" s="11" t="str">
        <f aca="false">IF($P27=0,AW26,IF(AW$3=$E27,IF($AA27=1,$F27&amp;$AB27,$G27),IF(OR(AW$3=$D27,AW$3=$AC27,AW$3=$AE27),"",IF(AW$3=$AD27,$F27&amp;"R",AW26))))</f>
        <v>wP</v>
      </c>
      <c r="AX27" s="11" t="str">
        <f aca="false">IF($P27=0,AX26,IF(AX$3=$E27,IF($AA27=1,$F27&amp;$AB27,$G27),IF(OR(AX$3=$D27,AX$3=$AC27,AX$3=$AE27),"",IF(AX$3=$AD27,$F27&amp;"R",AX26))))</f>
        <v/>
      </c>
      <c r="AY27" s="11" t="str">
        <f aca="false">IF($P27=0,AY26,IF(AY$3=$E27,IF($AA27=1,$F27&amp;$AB27,$G27),IF(OR(AY$3=$D27,AY$3=$AC27,AY$3=$AE27),"",IF(AY$3=$AD27,$F27&amp;"R",AY26))))</f>
        <v/>
      </c>
      <c r="AZ27" s="11" t="str">
        <f aca="false">IF($P27=0,AZ26,IF(AZ$3=$E27,IF($AA27=1,$F27&amp;$AB27,$G27),IF(OR(AZ$3=$D27,AZ$3=$AC27,AZ$3=$AE27),"",IF(AZ$3=$AD27,$F27&amp;"R",AZ26))))</f>
        <v/>
      </c>
      <c r="BA27" s="11" t="str">
        <f aca="false">IF($P27=0,BA26,IF(BA$3=$E27,IF($AA27=1,$F27&amp;$AB27,$G27),IF(OR(BA$3=$D27,BA$3=$AC27,BA$3=$AE27),"",IF(BA$3=$AD27,$F27&amp;"R",BA26))))</f>
        <v/>
      </c>
      <c r="BB27" s="11" t="str">
        <f aca="false">IF($P27=0,BB26,IF(BB$3=$E27,IF($AA27=1,$F27&amp;$AB27,$G27),IF(OR(BB$3=$D27,BB$3=$AC27,BB$3=$AE27),"",IF(BB$3=$AD27,$F27&amp;"R",BB26))))</f>
        <v/>
      </c>
      <c r="BC27" s="11" t="str">
        <f aca="false">IF($P27=0,BC26,IF(BC$3=$E27,IF($AA27=1,$F27&amp;$AB27,$G27),IF(OR(BC$3=$D27,BC$3=$AC27,BC$3=$AE27),"",IF(BC$3=$AD27,$F27&amp;"R",BC26))))</f>
        <v/>
      </c>
      <c r="BD27" s="11" t="str">
        <f aca="false">IF($P27=0,BD26,IF(BD$3=$E27,IF($AA27=1,$F27&amp;$AB27,$G27),IF(OR(BD$3=$D27,BD$3=$AC27,BD$3=$AE27),"",IF(BD$3=$AD27,$F27&amp;"R",BD26))))</f>
        <v/>
      </c>
      <c r="BE27" s="11" t="str">
        <f aca="false">IF($P27=0,BE26,IF(BE$3=$E27,IF($AA27=1,$F27&amp;$AB27,$G27),IF(OR(BE$3=$D27,BE$3=$AC27,BE$3=$AE27),"",IF(BE$3=$AD27,$F27&amp;"R",BE26))))</f>
        <v/>
      </c>
      <c r="BF27" s="11" t="str">
        <f aca="false">IF($P27=0,BF26,IF(BF$3=$E27,IF($AA27=1,$F27&amp;$AB27,$G27),IF(OR(BF$3=$D27,BF$3=$AC27,BF$3=$AE27),"",IF(BF$3=$AD27,$F27&amp;"R",BF26))))</f>
        <v/>
      </c>
      <c r="BG27" s="11" t="str">
        <f aca="false">IF($P27=0,BG26,IF(BG$3=$E27,IF($AA27=1,$F27&amp;$AB27,$G27),IF(OR(BG$3=$D27,BG$3=$AC27,BG$3=$AE27),"",IF(BG$3=$AD27,$F27&amp;"R",BG26))))</f>
        <v/>
      </c>
      <c r="BH27" s="11" t="str">
        <f aca="false">IF($P27=0,BH26,IF(BH$3=$E27,IF($AA27=1,$F27&amp;$AB27,$G27),IF(OR(BH$3=$D27,BH$3=$AC27,BH$3=$AE27),"",IF(BH$3=$AD27,$F27&amp;"R",BH26))))</f>
        <v/>
      </c>
      <c r="BI27" s="11" t="str">
        <f aca="false">IF($P27=0,BI26,IF(BI$3=$E27,IF($AA27=1,$F27&amp;$AB27,$G27),IF(OR(BI$3=$D27,BI$3=$AC27,BI$3=$AE27),"",IF(BI$3=$AD27,$F27&amp;"R",BI26))))</f>
        <v/>
      </c>
      <c r="BJ27" s="11" t="str">
        <f aca="false">IF($P27=0,BJ26,IF(BJ$3=$E27,IF($AA27=1,$F27&amp;$AB27,$G27),IF(OR(BJ$3=$D27,BJ$3=$AC27,BJ$3=$AE27),"",IF(BJ$3=$AD27,$F27&amp;"R",BJ26))))</f>
        <v/>
      </c>
      <c r="BK27" s="11" t="str">
        <f aca="false">IF($P27=0,BK26,IF(BK$3=$E27,IF($AA27=1,$F27&amp;$AB27,$G27),IF(OR(BK$3=$D27,BK$3=$AC27,BK$3=$AE27),"",IF(BK$3=$AD27,$F27&amp;"R",BK26))))</f>
        <v/>
      </c>
      <c r="BL27" s="11" t="str">
        <f aca="false">IF($P27=0,BL26,IF(BL$3=$E27,IF($AA27=1,$F27&amp;$AB27,$G27),IF(OR(BL$3=$D27,BL$3=$AC27,BL$3=$AE27),"",IF(BL$3=$AD27,$F27&amp;"R",BL26))))</f>
        <v/>
      </c>
      <c r="BM27" s="11" t="str">
        <f aca="false">IF($P27=0,BM26,IF(BM$3=$E27,IF($AA27=1,$F27&amp;$AB27,$G27),IF(OR(BM$3=$D27,BM$3=$AC27,BM$3=$AE27),"",IF(BM$3=$AD27,$F27&amp;"R",BM26))))</f>
        <v/>
      </c>
      <c r="BN27" s="11" t="str">
        <f aca="false">IF($P27=0,BN26,IF(BN$3=$E27,IF($AA27=1,$F27&amp;$AB27,$G27),IF(OR(BN$3=$D27,BN$3=$AC27,BN$3=$AE27),"",IF(BN$3=$AD27,$F27&amp;"R",BN26))))</f>
        <v/>
      </c>
      <c r="BO27" s="11" t="str">
        <f aca="false">IF($P27=0,BO26,IF(BO$3=$E27,IF($AA27=1,$F27&amp;$AB27,$G27),IF(OR(BO$3=$D27,BO$3=$AC27,BO$3=$AE27),"",IF(BO$3=$AD27,$F27&amp;"R",BO26))))</f>
        <v/>
      </c>
      <c r="BP27" s="11" t="str">
        <f aca="false">IF($P27=0,BP26,IF(BP$3=$E27,IF($AA27=1,$F27&amp;$AB27,$G27),IF(OR(BP$3=$D27,BP$3=$AC27,BP$3=$AE27),"",IF(BP$3=$AD27,$F27&amp;"R",BP26))))</f>
        <v/>
      </c>
      <c r="BQ27" s="11" t="str">
        <f aca="false">IF($P27=0,BQ26,IF(BQ$3=$E27,IF($AA27=1,$F27&amp;$AB27,$G27),IF(OR(BQ$3=$D27,BQ$3=$AC27,BQ$3=$AE27),"",IF(BQ$3=$AD27,$F27&amp;"R",BQ26))))</f>
        <v/>
      </c>
      <c r="BR27" s="11" t="str">
        <f aca="false">IF($P27=0,BR26,IF(BR$3=$E27,IF($AA27=1,$F27&amp;$AB27,$G27),IF(OR(BR$3=$D27,BR$3=$AC27,BR$3=$AE27),"",IF(BR$3=$AD27,$F27&amp;"R",BR26))))</f>
        <v/>
      </c>
      <c r="BS27" s="11" t="str">
        <f aca="false">IF($P27=0,BS26,IF(BS$3=$E27,IF($AA27=1,$F27&amp;$AB27,$G27),IF(OR(BS$3=$D27,BS$3=$AC27,BS$3=$AE27),"",IF(BS$3=$AD27,$F27&amp;"R",BS26))))</f>
        <v/>
      </c>
      <c r="BT27" s="11" t="str">
        <f aca="false">IF($P27=0,BT26,IF(BT$3=$E27,IF($AA27=1,$F27&amp;$AB27,$G27),IF(OR(BT$3=$D27,BT$3=$AC27,BT$3=$AE27),"",IF(BT$3=$AD27,$F27&amp;"R",BT26))))</f>
        <v/>
      </c>
      <c r="BU27" s="11" t="str">
        <f aca="false">IF($P27=0,BU26,IF(BU$3=$E27,IF($AA27=1,$F27&amp;$AB27,$G27),IF(OR(BU$3=$D27,BU$3=$AC27,BU$3=$AE27),"",IF(BU$3=$AD27,$F27&amp;"R",BU26))))</f>
        <v/>
      </c>
      <c r="BV27" s="11" t="str">
        <f aca="false">IF($P27=0,BV26,IF(BV$3=$E27,IF($AA27=1,$F27&amp;$AB27,$G27),IF(OR(BV$3=$D27,BV$3=$AC27,BV$3=$AE27),"",IF(BV$3=$AD27,$F27&amp;"R",BV26))))</f>
        <v/>
      </c>
      <c r="BW27" s="11" t="str">
        <f aca="false">IF($P27=0,BW26,IF(BW$3=$E27,IF($AA27=1,$F27&amp;$AB27,$G27),IF(OR(BW$3=$D27,BW$3=$AC27,BW$3=$AE27),"",IF(BW$3=$AD27,$F27&amp;"R",BW26))))</f>
        <v/>
      </c>
      <c r="BX27" s="11" t="str">
        <f aca="false">IF($P27=0,BX26,IF(BX$3=$E27,IF($AA27=1,$F27&amp;$AB27,$G27),IF(OR(BX$3=$D27,BX$3=$AC27,BX$3=$AE27),"",IF(BX$3=$AD27,$F27&amp;"R",BX26))))</f>
        <v/>
      </c>
      <c r="BY27" s="11" t="str">
        <f aca="false">IF($P27=0,BY26,IF(BY$3=$E27,IF($AA27=1,$F27&amp;$AB27,$G27),IF(OR(BY$3=$D27,BY$3=$AC27,BY$3=$AE27),"",IF(BY$3=$AD27,$F27&amp;"R",BY26))))</f>
        <v/>
      </c>
      <c r="BZ27" s="11" t="str">
        <f aca="false">IF($P27=0,BZ26,IF(BZ$3=$E27,IF($AA27=1,$F27&amp;$AB27,$G27),IF(OR(BZ$3=$D27,BZ$3=$AC27,BZ$3=$AE27),"",IF(BZ$3=$AD27,$F27&amp;"R",BZ26))))</f>
        <v/>
      </c>
      <c r="CA27" s="11" t="str">
        <f aca="false">IF($P27=0,CA26,IF(CA$3=$E27,IF($AA27=1,$F27&amp;$AB27,$G27),IF(OR(CA$3=$D27,CA$3=$AC27,CA$3=$AE27),"",IF(CA$3=$AD27,$F27&amp;"R",CA26))))</f>
        <v/>
      </c>
      <c r="CB27" s="11" t="str">
        <f aca="false">IF($P27=0,CB26,IF(CB$3=$E27,IF($AA27=1,$F27&amp;$AB27,$G27),IF(OR(CB$3=$D27,CB$3=$AC27,CB$3=$AE27),"",IF(CB$3=$AD27,$F27&amp;"R",CB26))))</f>
        <v/>
      </c>
      <c r="CC27" s="11" t="str">
        <f aca="false">IF($P27=0,CC26,IF(CC$3=$E27,IF($AA27=1,$F27&amp;$AB27,$G27),IF(OR(CC$3=$D27,CC$3=$AC27,CC$3=$AE27),"",IF(CC$3=$AD27,$F27&amp;"R",CC26))))</f>
        <v/>
      </c>
      <c r="CD27" s="11" t="str">
        <f aca="false">IF($P27=0,CD26,IF(CD$3=$E27,IF($AA27=1,$F27&amp;$AB27,$G27),IF(OR(CD$3=$D27,CD$3=$AC27,CD$3=$AE27),"",IF(CD$3=$AD27,$F27&amp;"R",CD26))))</f>
        <v>bP</v>
      </c>
      <c r="CE27" s="11" t="str">
        <f aca="false">IF($P27=0,CE26,IF(CE$3=$E27,IF($AA27=1,$F27&amp;$AB27,$G27),IF(OR(CE$3=$D27,CE$3=$AC27,CE$3=$AE27),"",IF(CE$3=$AD27,$F27&amp;"R",CE26))))</f>
        <v>bP</v>
      </c>
      <c r="CF27" s="11" t="str">
        <f aca="false">IF($P27=0,CF26,IF(CF$3=$E27,IF($AA27=1,$F27&amp;$AB27,$G27),IF(OR(CF$3=$D27,CF$3=$AC27,CF$3=$AE27),"",IF(CF$3=$AD27,$F27&amp;"R",CF26))))</f>
        <v>bP</v>
      </c>
      <c r="CG27" s="11" t="str">
        <f aca="false">IF($P27=0,CG26,IF(CG$3=$E27,IF($AA27=1,$F27&amp;$AB27,$G27),IF(OR(CG$3=$D27,CG$3=$AC27,CG$3=$AE27),"",IF(CG$3=$AD27,$F27&amp;"R",CG26))))</f>
        <v>bP</v>
      </c>
      <c r="CH27" s="11" t="str">
        <f aca="false">IF($P27=0,CH26,IF(CH$3=$E27,IF($AA27=1,$F27&amp;$AB27,$G27),IF(OR(CH$3=$D27,CH$3=$AC27,CH$3=$AE27),"",IF(CH$3=$AD27,$F27&amp;"R",CH26))))</f>
        <v>bP</v>
      </c>
      <c r="CI27" s="11" t="str">
        <f aca="false">IF($P27=0,CI26,IF(CI$3=$E27,IF($AA27=1,$F27&amp;$AB27,$G27),IF(OR(CI$3=$D27,CI$3=$AC27,CI$3=$AE27),"",IF(CI$3=$AD27,$F27&amp;"R",CI26))))</f>
        <v>bP</v>
      </c>
      <c r="CJ27" s="11" t="str">
        <f aca="false">IF($P27=0,CJ26,IF(CJ$3=$E27,IF($AA27=1,$F27&amp;$AB27,$G27),IF(OR(CJ$3=$D27,CJ$3=$AC27,CJ$3=$AE27),"",IF(CJ$3=$AD27,$F27&amp;"R",CJ26))))</f>
        <v>bP</v>
      </c>
      <c r="CK27" s="11" t="str">
        <f aca="false">IF($P27=0,CK26,IF(CK$3=$E27,IF($AA27=1,$F27&amp;$AB27,$G27),IF(OR(CK$3=$D27,CK$3=$AC27,CK$3=$AE27),"",IF(CK$3=$AD27,$F27&amp;"R",CK26))))</f>
        <v>bP</v>
      </c>
      <c r="CL27" s="11" t="str">
        <f aca="false">IF($P27=0,CL26,IF(CL$3=$E27,IF($AA27=1,$F27&amp;$AB27,$G27),IF(OR(CL$3=$D27,CL$3=$AC27,CL$3=$AE27),"",IF(CL$3=$AD27,$F27&amp;"R",CL26))))</f>
        <v>bR</v>
      </c>
      <c r="CM27" s="11" t="str">
        <f aca="false">IF($P27=0,CM26,IF(CM$3=$E27,IF($AA27=1,$F27&amp;$AB27,$G27),IF(OR(CM$3=$D27,CM$3=$AC27,CM$3=$AE27),"",IF(CM$3=$AD27,$F27&amp;"R",CM26))))</f>
        <v>bN</v>
      </c>
      <c r="CN27" s="11" t="str">
        <f aca="false">IF($P27=0,CN26,IF(CN$3=$E27,IF($AA27=1,$F27&amp;$AB27,$G27),IF(OR(CN$3=$D27,CN$3=$AC27,CN$3=$AE27),"",IF(CN$3=$AD27,$F27&amp;"R",CN26))))</f>
        <v>bB</v>
      </c>
      <c r="CO27" s="11" t="str">
        <f aca="false">IF($P27=0,CO26,IF(CO$3=$E27,IF($AA27=1,$F27&amp;$AB27,$G27),IF(OR(CO$3=$D27,CO$3=$AC27,CO$3=$AE27),"",IF(CO$3=$AD27,$F27&amp;"R",CO26))))</f>
        <v>bQ</v>
      </c>
      <c r="CP27" s="11" t="str">
        <f aca="false">IF($P27=0,CP26,IF(CP$3=$E27,IF($AA27=1,$F27&amp;$AB27,$G27),IF(OR(CP$3=$D27,CP$3=$AC27,CP$3=$AE27),"",IF(CP$3=$AD27,$F27&amp;"R",CP26))))</f>
        <v>bK</v>
      </c>
      <c r="CQ27" s="11" t="str">
        <f aca="false">IF($P27=0,CQ26,IF(CQ$3=$E27,IF($AA27=1,$F27&amp;$AB27,$G27),IF(OR(CQ$3=$D27,CQ$3=$AC27,CQ$3=$AE27),"",IF(CQ$3=$AD27,$F27&amp;"R",CQ26))))</f>
        <v>bB</v>
      </c>
      <c r="CR27" s="11" t="str">
        <f aca="false">IF($P27=0,CR26,IF(CR$3=$E27,IF($AA27=1,$F27&amp;$AB27,$G27),IF(OR(CR$3=$D27,CR$3=$AC27,CR$3=$AE27),"",IF(CR$3=$AD27,$F27&amp;"R",CR26))))</f>
        <v>bN</v>
      </c>
      <c r="CS27" s="11" t="str">
        <f aca="false">IF($P27=0,CS26,IF(CS$3=$E27,IF($AA27=1,$F27&amp;$AB27,$G27),IF(OR(CS$3=$D27,CS$3=$AC27,CS$3=$AE27),"",IF(CS$3=$AD27,$F27&amp;"R",CS26))))</f>
        <v>bR</v>
      </c>
      <c r="CT27" s="11"/>
      <c r="CU27" s="11"/>
      <c r="CV27" s="11"/>
    </row>
    <row r="28" customFormat="false" ht="15" hidden="false" customHeight="false" outlineLevel="0" collapsed="false">
      <c r="A28" s="11" t="n">
        <v>23</v>
      </c>
      <c r="B28" s="11" t="str">
        <f aca="false">IF(Chess!$L$32="","",Chess!$L$32&amp;"")</f>
        <v/>
      </c>
      <c r="C28" s="11" t="str">
        <f aca="false">LOWER(SUBSTITUTE(SUBSTITUTE(SUBSTITUTE(SUBSTITUTE(TRIM($B28),"-",""),"=","")," ",""),"x",""))</f>
        <v/>
      </c>
      <c r="D28" s="11" t="n">
        <f aca="false">IF(LEN($C28)&lt;4,0,IFERROR(IF(AND(CODE(MID($C28,1,1))&gt;=97,CODE(MID($C28,1,1))&lt;=104,VALUE(MID($C28,2,1))&gt;=1,VALUE(MID($C28,2,1))&lt;=8),(VALUE(MID($C28,2,1))-1)*8+CODE(MID($C28,1,1))-96,0),0))</f>
        <v>0</v>
      </c>
      <c r="E28" s="11" t="n">
        <f aca="false">IF(LEN($C28)&lt;4,0,IFERROR(IF(AND(CODE(MID($C28,3,1))&gt;=97,CODE(MID($C28,3,1))&lt;=104,VALUE(MID($C28,4,1))&gt;=1,VALUE(MID($C28,4,1))&lt;=8),(VALUE(MID($C28,4,1))-1)*8+CODE(MID($C28,3,1))-96,0),0))</f>
        <v>0</v>
      </c>
      <c r="F28" s="11" t="str">
        <f aca="false">IF(MOD(SUM($P$5:$P27),2)=0,"w","b")</f>
        <v>w</v>
      </c>
      <c r="G28" s="11" t="str">
        <f aca="false">IF($D28=0,"",INDEX($AH27:$CS27,1,$D28)&amp;"")</f>
        <v/>
      </c>
      <c r="H28" s="11" t="str">
        <f aca="false">IF($E28=0,"",INDEX($AH27:$CS27,1,$E28)&amp;"")</f>
        <v/>
      </c>
      <c r="I28" s="11" t="n">
        <f aca="false">IF(OR($D28=0,$E28=0),0,MOD($E28-1,8)-MOD($D28-1,8))</f>
        <v>0</v>
      </c>
      <c r="J28" s="11" t="n">
        <f aca="false">IF(OR($D28=0,$E28=0),0,INT(($E28-1)/8)-INT(($D28-1)/8))</f>
        <v>0</v>
      </c>
      <c r="K28" s="11" t="str">
        <f aca="false">IF($G28="","",RIGHT($G28,1))</f>
        <v/>
      </c>
      <c r="L28" s="11" t="n">
        <f aca="false">IF(OR($D28=0,$E28=0),0,SUMPRODUCT(($AH$3:$CS$3&gt;MIN($D28,$E28))*($AH$3:$CS$3&lt;MAX($D28,$E28))*(MOD($AH$3:$CS$3-MIN($D28,$E28),MAX(1,ABS(SIGN($J28)*8+SIGN($I28))))=0)*($AH27:$CS27&lt;&gt;"")))</f>
        <v>0</v>
      </c>
      <c r="M28" s="11" t="n">
        <f aca="false">IF($K28&lt;&gt;"K",0,IFERROR(--AND($J28=0,ABS($I28)=2,$D28=IF($F28="w",5,61),IF($F28="w",$S27,$V27)=0,IF($I28=2,AND(IF($F28="w",$U27,$X27)=0,INDEX($AH27:$CS27,1,$D28+1)&amp;""="",INDEX($AH27:$CS27,1,$D28+2)&amp;""=""),AND(IF($F28="w",$T27,$W27)=0,INDEX($AH27:$CS27,1,$D28-1)&amp;""="",INDEX($AH27:$CS27,1,$D28-2)&amp;""="",INDEX($AH27:$CS27,1,$D28-3)&amp;""=""))),0))</f>
        <v>0</v>
      </c>
      <c r="N28" s="11" t="n">
        <f aca="false">IF($K28&lt;&gt;"P",0,IFERROR(--OR(AND($I28=0,$J28=IF($F28="w",1,-1),$H28=""),AND($I28=0,$J28=2*IF($F28="w",1,-1),$H28="",INT(($D28-1)/8)=IF($F28="w",1,6),INDEX($AH27:$CS27,1,MAX(1,MIN(64,$D28+8*IF($F28="w",1,-1))))&amp;""=""),AND(ABS($I28)=1,$J28=IF($F28="w",1,-1),$H28&lt;&gt;""),AND(ABS($I28)=1,$J28=IF($F28="w",1,-1),$H28="",$R27&gt;0,$E28=$R27)),0))</f>
        <v>0</v>
      </c>
      <c r="O28" s="11" t="n">
        <f aca="false">IF(OR($D28=0,$E28=0,$G28=""),0,IF($K28="N",--OR(AND(ABS($I28)=1,ABS($J28)=2),AND(ABS($I28)=2,ABS($J28)=1)),IF($K28="B",--AND(ABS($I28)=ABS($J28),$I28&lt;&gt;0,$L28=0),IF($K28="R",--AND(OR($I28=0,$J28=0),OR($I28&lt;&gt;0,$J28&lt;&gt;0),$L28=0),IF($K28="Q",--AND(OR(AND(ABS($I28)=ABS($J28),$I28&lt;&gt;0),AND(OR($I28=0,$J28=0),OR($I28&lt;&gt;0,$J28&lt;&gt;0))),$L28=0),IF($K28="K",--OR(MAX(ABS($I28),ABS($J28))=1,$M28=1),$N28))))))</f>
        <v>0</v>
      </c>
      <c r="P28" s="11" t="n">
        <f aca="false">IF($Q28="OK",1,0)</f>
        <v>0</v>
      </c>
      <c r="Q28" s="11" t="str">
        <f aca="false">IF($B28="","",IF(OR(COUNTIF($AH27:$CS27,"wK")=0,COUNTIF($AH27:$CS27,"bK")=0),"Game is over",IF(OR($D28=0,$E28=0),"Use the format e2e4",IF($G28="","No piece on that square",IF(LEFT($G28,1)&lt;&gt;$F28,"Not your piece ("&amp;IF($F28="w","White","Black")&amp;" to move)",IF($D28=$E28,"Piece must move",IF(AND($H28&lt;&gt;"",LEFT($H28,1)=$F28),"Cannot capture your own piece",IF($O28=0,"Illegal move for that piece (or path blocked)","OK"))))))))</f>
        <v/>
      </c>
      <c r="R28" s="11" t="n">
        <f aca="false">IF($P28=1,IF(AND($K28="P",ABS($J28)=2),($D28+$E28)/2,0),$R27)</f>
        <v>0</v>
      </c>
      <c r="S28" s="12" t="b">
        <f aca="false">--OR($S27=1,AND($P28=1,OR($D28=5,$E28=5)))</f>
        <v>0</v>
      </c>
      <c r="T28" s="12" t="b">
        <f aca="false">--OR($T27=1,AND($P28=1,OR($D28=1,$E28=1)))</f>
        <v>0</v>
      </c>
      <c r="U28" s="12" t="b">
        <f aca="false">--OR($U27=1,AND($P28=1,OR($D28=8,$E28=8)))</f>
        <v>0</v>
      </c>
      <c r="V28" s="12" t="b">
        <f aca="false">--OR($V27=1,AND($P28=1,OR($D28=61,$E28=61)))</f>
        <v>0</v>
      </c>
      <c r="W28" s="12" t="b">
        <f aca="false">--OR($W27=1,AND($P28=1,OR($D28=57,$E28=57)))</f>
        <v>0</v>
      </c>
      <c r="X28" s="12" t="b">
        <f aca="false">--OR($X27=1,AND($P28=1,OR($D28=64,$E28=64)))</f>
        <v>0</v>
      </c>
      <c r="Y28" s="12" t="b">
        <f aca="false">--AND($P28=1,$K28="K",ABS($I28)=2)</f>
        <v>0</v>
      </c>
      <c r="Z28" s="12" t="b">
        <f aca="false">--AND($P28=1,$K28="P",ABS($I28)=1,$H28="")</f>
        <v>0</v>
      </c>
      <c r="AA28" s="12" t="b">
        <f aca="false">--AND($P28=1,$K28="P",INT(($E28-1)/8)=IF($F28="w",7,0))</f>
        <v>0</v>
      </c>
      <c r="AB28" s="11" t="str">
        <f aca="false">IF(LEN($C28)&gt;=5,IF(ISNUMBER(FIND(MID($C28,5,1),"qrbn")),UPPER(MID($C28,5,1)),"Q"),"Q")</f>
        <v>Q</v>
      </c>
      <c r="AC28" s="11" t="n">
        <f aca="false">IF($Y28=1,IF($I28=2,$D28+3,$D28-4),0)</f>
        <v>0</v>
      </c>
      <c r="AD28" s="11" t="n">
        <f aca="false">IF($Y28=1,IF($I28=2,$D28+1,$D28-1),0)</f>
        <v>0</v>
      </c>
      <c r="AE28" s="11" t="n">
        <f aca="false">IF($Z28=1,$E28-8*IF($F28="w",1,-1),0)</f>
        <v>0</v>
      </c>
      <c r="AF28" s="11" t="str">
        <f aca="false">IF($B28="","",IF($P28=1,LOWER(INDEX($CV$2:$CV$13,MATCH($G28,$CU$2:$CU$13,0)))&amp;" "&amp;MID("abcdefgh",MOD($D28-1,8)+1,1)&amp;(INT(($D28-1)/8)+1)&amp;"→"&amp;MID("abcdefgh",MOD($E28-1,8)+1,1)&amp;(INT(($E28-1)/8)+1)&amp;IF(OR($H28&lt;&gt;"",$Z28=1)," ×","")&amp;IF($Y28=1," castles","")&amp;IF($Z28=1," e.p.","")&amp;IF($AA28=1," =" &amp;LOWER(INDEX($CV$2:$CV$13,MATCH($F28&amp;$AB28,$CU$2:$CU$13,0))),""),"X "&amp;$Q28))</f>
        <v/>
      </c>
      <c r="AG28" s="11"/>
      <c r="AH28" s="11" t="str">
        <f aca="false">IF($P28=0,AH27,IF(AH$3=$E28,IF($AA28=1,$F28&amp;$AB28,$G28),IF(OR(AH$3=$D28,AH$3=$AC28,AH$3=$AE28),"",IF(AH$3=$AD28,$F28&amp;"R",AH27))))</f>
        <v>wR</v>
      </c>
      <c r="AI28" s="11" t="str">
        <f aca="false">IF($P28=0,AI27,IF(AI$3=$E28,IF($AA28=1,$F28&amp;$AB28,$G28),IF(OR(AI$3=$D28,AI$3=$AC28,AI$3=$AE28),"",IF(AI$3=$AD28,$F28&amp;"R",AI27))))</f>
        <v>wN</v>
      </c>
      <c r="AJ28" s="11" t="str">
        <f aca="false">IF($P28=0,AJ27,IF(AJ$3=$E28,IF($AA28=1,$F28&amp;$AB28,$G28),IF(OR(AJ$3=$D28,AJ$3=$AC28,AJ$3=$AE28),"",IF(AJ$3=$AD28,$F28&amp;"R",AJ27))))</f>
        <v>wB</v>
      </c>
      <c r="AK28" s="11" t="str">
        <f aca="false">IF($P28=0,AK27,IF(AK$3=$E28,IF($AA28=1,$F28&amp;$AB28,$G28),IF(OR(AK$3=$D28,AK$3=$AC28,AK$3=$AE28),"",IF(AK$3=$AD28,$F28&amp;"R",AK27))))</f>
        <v>wQ</v>
      </c>
      <c r="AL28" s="11" t="str">
        <f aca="false">IF($P28=0,AL27,IF(AL$3=$E28,IF($AA28=1,$F28&amp;$AB28,$G28),IF(OR(AL$3=$D28,AL$3=$AC28,AL$3=$AE28),"",IF(AL$3=$AD28,$F28&amp;"R",AL27))))</f>
        <v>wK</v>
      </c>
      <c r="AM28" s="11" t="str">
        <f aca="false">IF($P28=0,AM27,IF(AM$3=$E28,IF($AA28=1,$F28&amp;$AB28,$G28),IF(OR(AM$3=$D28,AM$3=$AC28,AM$3=$AE28),"",IF(AM$3=$AD28,$F28&amp;"R",AM27))))</f>
        <v>wB</v>
      </c>
      <c r="AN28" s="11" t="str">
        <f aca="false">IF($P28=0,AN27,IF(AN$3=$E28,IF($AA28=1,$F28&amp;$AB28,$G28),IF(OR(AN$3=$D28,AN$3=$AC28,AN$3=$AE28),"",IF(AN$3=$AD28,$F28&amp;"R",AN27))))</f>
        <v>wN</v>
      </c>
      <c r="AO28" s="11" t="str">
        <f aca="false">IF($P28=0,AO27,IF(AO$3=$E28,IF($AA28=1,$F28&amp;$AB28,$G28),IF(OR(AO$3=$D28,AO$3=$AC28,AO$3=$AE28),"",IF(AO$3=$AD28,$F28&amp;"R",AO27))))</f>
        <v>wR</v>
      </c>
      <c r="AP28" s="11" t="str">
        <f aca="false">IF($P28=0,AP27,IF(AP$3=$E28,IF($AA28=1,$F28&amp;$AB28,$G28),IF(OR(AP$3=$D28,AP$3=$AC28,AP$3=$AE28),"",IF(AP$3=$AD28,$F28&amp;"R",AP27))))</f>
        <v>wP</v>
      </c>
      <c r="AQ28" s="11" t="str">
        <f aca="false">IF($P28=0,AQ27,IF(AQ$3=$E28,IF($AA28=1,$F28&amp;$AB28,$G28),IF(OR(AQ$3=$D28,AQ$3=$AC28,AQ$3=$AE28),"",IF(AQ$3=$AD28,$F28&amp;"R",AQ27))))</f>
        <v>wP</v>
      </c>
      <c r="AR28" s="11" t="str">
        <f aca="false">IF($P28=0,AR27,IF(AR$3=$E28,IF($AA28=1,$F28&amp;$AB28,$G28),IF(OR(AR$3=$D28,AR$3=$AC28,AR$3=$AE28),"",IF(AR$3=$AD28,$F28&amp;"R",AR27))))</f>
        <v>wP</v>
      </c>
      <c r="AS28" s="11" t="str">
        <f aca="false">IF($P28=0,AS27,IF(AS$3=$E28,IF($AA28=1,$F28&amp;$AB28,$G28),IF(OR(AS$3=$D28,AS$3=$AC28,AS$3=$AE28),"",IF(AS$3=$AD28,$F28&amp;"R",AS27))))</f>
        <v>wP</v>
      </c>
      <c r="AT28" s="11" t="str">
        <f aca="false">IF($P28=0,AT27,IF(AT$3=$E28,IF($AA28=1,$F28&amp;$AB28,$G28),IF(OR(AT$3=$D28,AT$3=$AC28,AT$3=$AE28),"",IF(AT$3=$AD28,$F28&amp;"R",AT27))))</f>
        <v>wP</v>
      </c>
      <c r="AU28" s="11" t="str">
        <f aca="false">IF($P28=0,AU27,IF(AU$3=$E28,IF($AA28=1,$F28&amp;$AB28,$G28),IF(OR(AU$3=$D28,AU$3=$AC28,AU$3=$AE28),"",IF(AU$3=$AD28,$F28&amp;"R",AU27))))</f>
        <v>wP</v>
      </c>
      <c r="AV28" s="11" t="str">
        <f aca="false">IF($P28=0,AV27,IF(AV$3=$E28,IF($AA28=1,$F28&amp;$AB28,$G28),IF(OR(AV$3=$D28,AV$3=$AC28,AV$3=$AE28),"",IF(AV$3=$AD28,$F28&amp;"R",AV27))))</f>
        <v>wP</v>
      </c>
      <c r="AW28" s="11" t="str">
        <f aca="false">IF($P28=0,AW27,IF(AW$3=$E28,IF($AA28=1,$F28&amp;$AB28,$G28),IF(OR(AW$3=$D28,AW$3=$AC28,AW$3=$AE28),"",IF(AW$3=$AD28,$F28&amp;"R",AW27))))</f>
        <v>wP</v>
      </c>
      <c r="AX28" s="11" t="str">
        <f aca="false">IF($P28=0,AX27,IF(AX$3=$E28,IF($AA28=1,$F28&amp;$AB28,$G28),IF(OR(AX$3=$D28,AX$3=$AC28,AX$3=$AE28),"",IF(AX$3=$AD28,$F28&amp;"R",AX27))))</f>
        <v/>
      </c>
      <c r="AY28" s="11" t="str">
        <f aca="false">IF($P28=0,AY27,IF(AY$3=$E28,IF($AA28=1,$F28&amp;$AB28,$G28),IF(OR(AY$3=$D28,AY$3=$AC28,AY$3=$AE28),"",IF(AY$3=$AD28,$F28&amp;"R",AY27))))</f>
        <v/>
      </c>
      <c r="AZ28" s="11" t="str">
        <f aca="false">IF($P28=0,AZ27,IF(AZ$3=$E28,IF($AA28=1,$F28&amp;$AB28,$G28),IF(OR(AZ$3=$D28,AZ$3=$AC28,AZ$3=$AE28),"",IF(AZ$3=$AD28,$F28&amp;"R",AZ27))))</f>
        <v/>
      </c>
      <c r="BA28" s="11" t="str">
        <f aca="false">IF($P28=0,BA27,IF(BA$3=$E28,IF($AA28=1,$F28&amp;$AB28,$G28),IF(OR(BA$3=$D28,BA$3=$AC28,BA$3=$AE28),"",IF(BA$3=$AD28,$F28&amp;"R",BA27))))</f>
        <v/>
      </c>
      <c r="BB28" s="11" t="str">
        <f aca="false">IF($P28=0,BB27,IF(BB$3=$E28,IF($AA28=1,$F28&amp;$AB28,$G28),IF(OR(BB$3=$D28,BB$3=$AC28,BB$3=$AE28),"",IF(BB$3=$AD28,$F28&amp;"R",BB27))))</f>
        <v/>
      </c>
      <c r="BC28" s="11" t="str">
        <f aca="false">IF($P28=0,BC27,IF(BC$3=$E28,IF($AA28=1,$F28&amp;$AB28,$G28),IF(OR(BC$3=$D28,BC$3=$AC28,BC$3=$AE28),"",IF(BC$3=$AD28,$F28&amp;"R",BC27))))</f>
        <v/>
      </c>
      <c r="BD28" s="11" t="str">
        <f aca="false">IF($P28=0,BD27,IF(BD$3=$E28,IF($AA28=1,$F28&amp;$AB28,$G28),IF(OR(BD$3=$D28,BD$3=$AC28,BD$3=$AE28),"",IF(BD$3=$AD28,$F28&amp;"R",BD27))))</f>
        <v/>
      </c>
      <c r="BE28" s="11" t="str">
        <f aca="false">IF($P28=0,BE27,IF(BE$3=$E28,IF($AA28=1,$F28&amp;$AB28,$G28),IF(OR(BE$3=$D28,BE$3=$AC28,BE$3=$AE28),"",IF(BE$3=$AD28,$F28&amp;"R",BE27))))</f>
        <v/>
      </c>
      <c r="BF28" s="11" t="str">
        <f aca="false">IF($P28=0,BF27,IF(BF$3=$E28,IF($AA28=1,$F28&amp;$AB28,$G28),IF(OR(BF$3=$D28,BF$3=$AC28,BF$3=$AE28),"",IF(BF$3=$AD28,$F28&amp;"R",BF27))))</f>
        <v/>
      </c>
      <c r="BG28" s="11" t="str">
        <f aca="false">IF($P28=0,BG27,IF(BG$3=$E28,IF($AA28=1,$F28&amp;$AB28,$G28),IF(OR(BG$3=$D28,BG$3=$AC28,BG$3=$AE28),"",IF(BG$3=$AD28,$F28&amp;"R",BG27))))</f>
        <v/>
      </c>
      <c r="BH28" s="11" t="str">
        <f aca="false">IF($P28=0,BH27,IF(BH$3=$E28,IF($AA28=1,$F28&amp;$AB28,$G28),IF(OR(BH$3=$D28,BH$3=$AC28,BH$3=$AE28),"",IF(BH$3=$AD28,$F28&amp;"R",BH27))))</f>
        <v/>
      </c>
      <c r="BI28" s="11" t="str">
        <f aca="false">IF($P28=0,BI27,IF(BI$3=$E28,IF($AA28=1,$F28&amp;$AB28,$G28),IF(OR(BI$3=$D28,BI$3=$AC28,BI$3=$AE28),"",IF(BI$3=$AD28,$F28&amp;"R",BI27))))</f>
        <v/>
      </c>
      <c r="BJ28" s="11" t="str">
        <f aca="false">IF($P28=0,BJ27,IF(BJ$3=$E28,IF($AA28=1,$F28&amp;$AB28,$G28),IF(OR(BJ$3=$D28,BJ$3=$AC28,BJ$3=$AE28),"",IF(BJ$3=$AD28,$F28&amp;"R",BJ27))))</f>
        <v/>
      </c>
      <c r="BK28" s="11" t="str">
        <f aca="false">IF($P28=0,BK27,IF(BK$3=$E28,IF($AA28=1,$F28&amp;$AB28,$G28),IF(OR(BK$3=$D28,BK$3=$AC28,BK$3=$AE28),"",IF(BK$3=$AD28,$F28&amp;"R",BK27))))</f>
        <v/>
      </c>
      <c r="BL28" s="11" t="str">
        <f aca="false">IF($P28=0,BL27,IF(BL$3=$E28,IF($AA28=1,$F28&amp;$AB28,$G28),IF(OR(BL$3=$D28,BL$3=$AC28,BL$3=$AE28),"",IF(BL$3=$AD28,$F28&amp;"R",BL27))))</f>
        <v/>
      </c>
      <c r="BM28" s="11" t="str">
        <f aca="false">IF($P28=0,BM27,IF(BM$3=$E28,IF($AA28=1,$F28&amp;$AB28,$G28),IF(OR(BM$3=$D28,BM$3=$AC28,BM$3=$AE28),"",IF(BM$3=$AD28,$F28&amp;"R",BM27))))</f>
        <v/>
      </c>
      <c r="BN28" s="11" t="str">
        <f aca="false">IF($P28=0,BN27,IF(BN$3=$E28,IF($AA28=1,$F28&amp;$AB28,$G28),IF(OR(BN$3=$D28,BN$3=$AC28,BN$3=$AE28),"",IF(BN$3=$AD28,$F28&amp;"R",BN27))))</f>
        <v/>
      </c>
      <c r="BO28" s="11" t="str">
        <f aca="false">IF($P28=0,BO27,IF(BO$3=$E28,IF($AA28=1,$F28&amp;$AB28,$G28),IF(OR(BO$3=$D28,BO$3=$AC28,BO$3=$AE28),"",IF(BO$3=$AD28,$F28&amp;"R",BO27))))</f>
        <v/>
      </c>
      <c r="BP28" s="11" t="str">
        <f aca="false">IF($P28=0,BP27,IF(BP$3=$E28,IF($AA28=1,$F28&amp;$AB28,$G28),IF(OR(BP$3=$D28,BP$3=$AC28,BP$3=$AE28),"",IF(BP$3=$AD28,$F28&amp;"R",BP27))))</f>
        <v/>
      </c>
      <c r="BQ28" s="11" t="str">
        <f aca="false">IF($P28=0,BQ27,IF(BQ$3=$E28,IF($AA28=1,$F28&amp;$AB28,$G28),IF(OR(BQ$3=$D28,BQ$3=$AC28,BQ$3=$AE28),"",IF(BQ$3=$AD28,$F28&amp;"R",BQ27))))</f>
        <v/>
      </c>
      <c r="BR28" s="11" t="str">
        <f aca="false">IF($P28=0,BR27,IF(BR$3=$E28,IF($AA28=1,$F28&amp;$AB28,$G28),IF(OR(BR$3=$D28,BR$3=$AC28,BR$3=$AE28),"",IF(BR$3=$AD28,$F28&amp;"R",BR27))))</f>
        <v/>
      </c>
      <c r="BS28" s="11" t="str">
        <f aca="false">IF($P28=0,BS27,IF(BS$3=$E28,IF($AA28=1,$F28&amp;$AB28,$G28),IF(OR(BS$3=$D28,BS$3=$AC28,BS$3=$AE28),"",IF(BS$3=$AD28,$F28&amp;"R",BS27))))</f>
        <v/>
      </c>
      <c r="BT28" s="11" t="str">
        <f aca="false">IF($P28=0,BT27,IF(BT$3=$E28,IF($AA28=1,$F28&amp;$AB28,$G28),IF(OR(BT$3=$D28,BT$3=$AC28,BT$3=$AE28),"",IF(BT$3=$AD28,$F28&amp;"R",BT27))))</f>
        <v/>
      </c>
      <c r="BU28" s="11" t="str">
        <f aca="false">IF($P28=0,BU27,IF(BU$3=$E28,IF($AA28=1,$F28&amp;$AB28,$G28),IF(OR(BU$3=$D28,BU$3=$AC28,BU$3=$AE28),"",IF(BU$3=$AD28,$F28&amp;"R",BU27))))</f>
        <v/>
      </c>
      <c r="BV28" s="11" t="str">
        <f aca="false">IF($P28=0,BV27,IF(BV$3=$E28,IF($AA28=1,$F28&amp;$AB28,$G28),IF(OR(BV$3=$D28,BV$3=$AC28,BV$3=$AE28),"",IF(BV$3=$AD28,$F28&amp;"R",BV27))))</f>
        <v/>
      </c>
      <c r="BW28" s="11" t="str">
        <f aca="false">IF($P28=0,BW27,IF(BW$3=$E28,IF($AA28=1,$F28&amp;$AB28,$G28),IF(OR(BW$3=$D28,BW$3=$AC28,BW$3=$AE28),"",IF(BW$3=$AD28,$F28&amp;"R",BW27))))</f>
        <v/>
      </c>
      <c r="BX28" s="11" t="str">
        <f aca="false">IF($P28=0,BX27,IF(BX$3=$E28,IF($AA28=1,$F28&amp;$AB28,$G28),IF(OR(BX$3=$D28,BX$3=$AC28,BX$3=$AE28),"",IF(BX$3=$AD28,$F28&amp;"R",BX27))))</f>
        <v/>
      </c>
      <c r="BY28" s="11" t="str">
        <f aca="false">IF($P28=0,BY27,IF(BY$3=$E28,IF($AA28=1,$F28&amp;$AB28,$G28),IF(OR(BY$3=$D28,BY$3=$AC28,BY$3=$AE28),"",IF(BY$3=$AD28,$F28&amp;"R",BY27))))</f>
        <v/>
      </c>
      <c r="BZ28" s="11" t="str">
        <f aca="false">IF($P28=0,BZ27,IF(BZ$3=$E28,IF($AA28=1,$F28&amp;$AB28,$G28),IF(OR(BZ$3=$D28,BZ$3=$AC28,BZ$3=$AE28),"",IF(BZ$3=$AD28,$F28&amp;"R",BZ27))))</f>
        <v/>
      </c>
      <c r="CA28" s="11" t="str">
        <f aca="false">IF($P28=0,CA27,IF(CA$3=$E28,IF($AA28=1,$F28&amp;$AB28,$G28),IF(OR(CA$3=$D28,CA$3=$AC28,CA$3=$AE28),"",IF(CA$3=$AD28,$F28&amp;"R",CA27))))</f>
        <v/>
      </c>
      <c r="CB28" s="11" t="str">
        <f aca="false">IF($P28=0,CB27,IF(CB$3=$E28,IF($AA28=1,$F28&amp;$AB28,$G28),IF(OR(CB$3=$D28,CB$3=$AC28,CB$3=$AE28),"",IF(CB$3=$AD28,$F28&amp;"R",CB27))))</f>
        <v/>
      </c>
      <c r="CC28" s="11" t="str">
        <f aca="false">IF($P28=0,CC27,IF(CC$3=$E28,IF($AA28=1,$F28&amp;$AB28,$G28),IF(OR(CC$3=$D28,CC$3=$AC28,CC$3=$AE28),"",IF(CC$3=$AD28,$F28&amp;"R",CC27))))</f>
        <v/>
      </c>
      <c r="CD28" s="11" t="str">
        <f aca="false">IF($P28=0,CD27,IF(CD$3=$E28,IF($AA28=1,$F28&amp;$AB28,$G28),IF(OR(CD$3=$D28,CD$3=$AC28,CD$3=$AE28),"",IF(CD$3=$AD28,$F28&amp;"R",CD27))))</f>
        <v>bP</v>
      </c>
      <c r="CE28" s="11" t="str">
        <f aca="false">IF($P28=0,CE27,IF(CE$3=$E28,IF($AA28=1,$F28&amp;$AB28,$G28),IF(OR(CE$3=$D28,CE$3=$AC28,CE$3=$AE28),"",IF(CE$3=$AD28,$F28&amp;"R",CE27))))</f>
        <v>bP</v>
      </c>
      <c r="CF28" s="11" t="str">
        <f aca="false">IF($P28=0,CF27,IF(CF$3=$E28,IF($AA28=1,$F28&amp;$AB28,$G28),IF(OR(CF$3=$D28,CF$3=$AC28,CF$3=$AE28),"",IF(CF$3=$AD28,$F28&amp;"R",CF27))))</f>
        <v>bP</v>
      </c>
      <c r="CG28" s="11" t="str">
        <f aca="false">IF($P28=0,CG27,IF(CG$3=$E28,IF($AA28=1,$F28&amp;$AB28,$G28),IF(OR(CG$3=$D28,CG$3=$AC28,CG$3=$AE28),"",IF(CG$3=$AD28,$F28&amp;"R",CG27))))</f>
        <v>bP</v>
      </c>
      <c r="CH28" s="11" t="str">
        <f aca="false">IF($P28=0,CH27,IF(CH$3=$E28,IF($AA28=1,$F28&amp;$AB28,$G28),IF(OR(CH$3=$D28,CH$3=$AC28,CH$3=$AE28),"",IF(CH$3=$AD28,$F28&amp;"R",CH27))))</f>
        <v>bP</v>
      </c>
      <c r="CI28" s="11" t="str">
        <f aca="false">IF($P28=0,CI27,IF(CI$3=$E28,IF($AA28=1,$F28&amp;$AB28,$G28),IF(OR(CI$3=$D28,CI$3=$AC28,CI$3=$AE28),"",IF(CI$3=$AD28,$F28&amp;"R",CI27))))</f>
        <v>bP</v>
      </c>
      <c r="CJ28" s="11" t="str">
        <f aca="false">IF($P28=0,CJ27,IF(CJ$3=$E28,IF($AA28=1,$F28&amp;$AB28,$G28),IF(OR(CJ$3=$D28,CJ$3=$AC28,CJ$3=$AE28),"",IF(CJ$3=$AD28,$F28&amp;"R",CJ27))))</f>
        <v>bP</v>
      </c>
      <c r="CK28" s="11" t="str">
        <f aca="false">IF($P28=0,CK27,IF(CK$3=$E28,IF($AA28=1,$F28&amp;$AB28,$G28),IF(OR(CK$3=$D28,CK$3=$AC28,CK$3=$AE28),"",IF(CK$3=$AD28,$F28&amp;"R",CK27))))</f>
        <v>bP</v>
      </c>
      <c r="CL28" s="11" t="str">
        <f aca="false">IF($P28=0,CL27,IF(CL$3=$E28,IF($AA28=1,$F28&amp;$AB28,$G28),IF(OR(CL$3=$D28,CL$3=$AC28,CL$3=$AE28),"",IF(CL$3=$AD28,$F28&amp;"R",CL27))))</f>
        <v>bR</v>
      </c>
      <c r="CM28" s="11" t="str">
        <f aca="false">IF($P28=0,CM27,IF(CM$3=$E28,IF($AA28=1,$F28&amp;$AB28,$G28),IF(OR(CM$3=$D28,CM$3=$AC28,CM$3=$AE28),"",IF(CM$3=$AD28,$F28&amp;"R",CM27))))</f>
        <v>bN</v>
      </c>
      <c r="CN28" s="11" t="str">
        <f aca="false">IF($P28=0,CN27,IF(CN$3=$E28,IF($AA28=1,$F28&amp;$AB28,$G28),IF(OR(CN$3=$D28,CN$3=$AC28,CN$3=$AE28),"",IF(CN$3=$AD28,$F28&amp;"R",CN27))))</f>
        <v>bB</v>
      </c>
      <c r="CO28" s="11" t="str">
        <f aca="false">IF($P28=0,CO27,IF(CO$3=$E28,IF($AA28=1,$F28&amp;$AB28,$G28),IF(OR(CO$3=$D28,CO$3=$AC28,CO$3=$AE28),"",IF(CO$3=$AD28,$F28&amp;"R",CO27))))</f>
        <v>bQ</v>
      </c>
      <c r="CP28" s="11" t="str">
        <f aca="false">IF($P28=0,CP27,IF(CP$3=$E28,IF($AA28=1,$F28&amp;$AB28,$G28),IF(OR(CP$3=$D28,CP$3=$AC28,CP$3=$AE28),"",IF(CP$3=$AD28,$F28&amp;"R",CP27))))</f>
        <v>bK</v>
      </c>
      <c r="CQ28" s="11" t="str">
        <f aca="false">IF($P28=0,CQ27,IF(CQ$3=$E28,IF($AA28=1,$F28&amp;$AB28,$G28),IF(OR(CQ$3=$D28,CQ$3=$AC28,CQ$3=$AE28),"",IF(CQ$3=$AD28,$F28&amp;"R",CQ27))))</f>
        <v>bB</v>
      </c>
      <c r="CR28" s="11" t="str">
        <f aca="false">IF($P28=0,CR27,IF(CR$3=$E28,IF($AA28=1,$F28&amp;$AB28,$G28),IF(OR(CR$3=$D28,CR$3=$AC28,CR$3=$AE28),"",IF(CR$3=$AD28,$F28&amp;"R",CR27))))</f>
        <v>bN</v>
      </c>
      <c r="CS28" s="11" t="str">
        <f aca="false">IF($P28=0,CS27,IF(CS$3=$E28,IF($AA28=1,$F28&amp;$AB28,$G28),IF(OR(CS$3=$D28,CS$3=$AC28,CS$3=$AE28),"",IF(CS$3=$AD28,$F28&amp;"R",CS27))))</f>
        <v>bR</v>
      </c>
      <c r="CT28" s="11"/>
      <c r="CU28" s="11"/>
      <c r="CV28" s="11"/>
    </row>
    <row r="29" customFormat="false" ht="15" hidden="false" customHeight="false" outlineLevel="0" collapsed="false">
      <c r="A29" s="11" t="n">
        <v>24</v>
      </c>
      <c r="B29" s="11" t="str">
        <f aca="false">IF(Chess!$L$33="","",Chess!$L$33&amp;"")</f>
        <v/>
      </c>
      <c r="C29" s="11" t="str">
        <f aca="false">LOWER(SUBSTITUTE(SUBSTITUTE(SUBSTITUTE(SUBSTITUTE(TRIM($B29),"-",""),"=","")," ",""),"x",""))</f>
        <v/>
      </c>
      <c r="D29" s="11" t="n">
        <f aca="false">IF(LEN($C29)&lt;4,0,IFERROR(IF(AND(CODE(MID($C29,1,1))&gt;=97,CODE(MID($C29,1,1))&lt;=104,VALUE(MID($C29,2,1))&gt;=1,VALUE(MID($C29,2,1))&lt;=8),(VALUE(MID($C29,2,1))-1)*8+CODE(MID($C29,1,1))-96,0),0))</f>
        <v>0</v>
      </c>
      <c r="E29" s="11" t="n">
        <f aca="false">IF(LEN($C29)&lt;4,0,IFERROR(IF(AND(CODE(MID($C29,3,1))&gt;=97,CODE(MID($C29,3,1))&lt;=104,VALUE(MID($C29,4,1))&gt;=1,VALUE(MID($C29,4,1))&lt;=8),(VALUE(MID($C29,4,1))-1)*8+CODE(MID($C29,3,1))-96,0),0))</f>
        <v>0</v>
      </c>
      <c r="F29" s="11" t="str">
        <f aca="false">IF(MOD(SUM($P$5:$P28),2)=0,"w","b")</f>
        <v>w</v>
      </c>
      <c r="G29" s="11" t="str">
        <f aca="false">IF($D29=0,"",INDEX($AH28:$CS28,1,$D29)&amp;"")</f>
        <v/>
      </c>
      <c r="H29" s="11" t="str">
        <f aca="false">IF($E29=0,"",INDEX($AH28:$CS28,1,$E29)&amp;"")</f>
        <v/>
      </c>
      <c r="I29" s="11" t="n">
        <f aca="false">IF(OR($D29=0,$E29=0),0,MOD($E29-1,8)-MOD($D29-1,8))</f>
        <v>0</v>
      </c>
      <c r="J29" s="11" t="n">
        <f aca="false">IF(OR($D29=0,$E29=0),0,INT(($E29-1)/8)-INT(($D29-1)/8))</f>
        <v>0</v>
      </c>
      <c r="K29" s="11" t="str">
        <f aca="false">IF($G29="","",RIGHT($G29,1))</f>
        <v/>
      </c>
      <c r="L29" s="11" t="n">
        <f aca="false">IF(OR($D29=0,$E29=0),0,SUMPRODUCT(($AH$3:$CS$3&gt;MIN($D29,$E29))*($AH$3:$CS$3&lt;MAX($D29,$E29))*(MOD($AH$3:$CS$3-MIN($D29,$E29),MAX(1,ABS(SIGN($J29)*8+SIGN($I29))))=0)*($AH28:$CS28&lt;&gt;"")))</f>
        <v>0</v>
      </c>
      <c r="M29" s="11" t="n">
        <f aca="false">IF($K29&lt;&gt;"K",0,IFERROR(--AND($J29=0,ABS($I29)=2,$D29=IF($F29="w",5,61),IF($F29="w",$S28,$V28)=0,IF($I29=2,AND(IF($F29="w",$U28,$X28)=0,INDEX($AH28:$CS28,1,$D29+1)&amp;""="",INDEX($AH28:$CS28,1,$D29+2)&amp;""=""),AND(IF($F29="w",$T28,$W28)=0,INDEX($AH28:$CS28,1,$D29-1)&amp;""="",INDEX($AH28:$CS28,1,$D29-2)&amp;""="",INDEX($AH28:$CS28,1,$D29-3)&amp;""=""))),0))</f>
        <v>0</v>
      </c>
      <c r="N29" s="11" t="n">
        <f aca="false">IF($K29&lt;&gt;"P",0,IFERROR(--OR(AND($I29=0,$J29=IF($F29="w",1,-1),$H29=""),AND($I29=0,$J29=2*IF($F29="w",1,-1),$H29="",INT(($D29-1)/8)=IF($F29="w",1,6),INDEX($AH28:$CS28,1,MAX(1,MIN(64,$D29+8*IF($F29="w",1,-1))))&amp;""=""),AND(ABS($I29)=1,$J29=IF($F29="w",1,-1),$H29&lt;&gt;""),AND(ABS($I29)=1,$J29=IF($F29="w",1,-1),$H29="",$R28&gt;0,$E29=$R28)),0))</f>
        <v>0</v>
      </c>
      <c r="O29" s="11" t="n">
        <f aca="false">IF(OR($D29=0,$E29=0,$G29=""),0,IF($K29="N",--OR(AND(ABS($I29)=1,ABS($J29)=2),AND(ABS($I29)=2,ABS($J29)=1)),IF($K29="B",--AND(ABS($I29)=ABS($J29),$I29&lt;&gt;0,$L29=0),IF($K29="R",--AND(OR($I29=0,$J29=0),OR($I29&lt;&gt;0,$J29&lt;&gt;0),$L29=0),IF($K29="Q",--AND(OR(AND(ABS($I29)=ABS($J29),$I29&lt;&gt;0),AND(OR($I29=0,$J29=0),OR($I29&lt;&gt;0,$J29&lt;&gt;0))),$L29=0),IF($K29="K",--OR(MAX(ABS($I29),ABS($J29))=1,$M29=1),$N29))))))</f>
        <v>0</v>
      </c>
      <c r="P29" s="11" t="n">
        <f aca="false">IF($Q29="OK",1,0)</f>
        <v>0</v>
      </c>
      <c r="Q29" s="11" t="str">
        <f aca="false">IF($B29="","",IF(OR(COUNTIF($AH28:$CS28,"wK")=0,COUNTIF($AH28:$CS28,"bK")=0),"Game is over",IF(OR($D29=0,$E29=0),"Use the format e2e4",IF($G29="","No piece on that square",IF(LEFT($G29,1)&lt;&gt;$F29,"Not your piece ("&amp;IF($F29="w","White","Black")&amp;" to move)",IF($D29=$E29,"Piece must move",IF(AND($H29&lt;&gt;"",LEFT($H29,1)=$F29),"Cannot capture your own piece",IF($O29=0,"Illegal move for that piece (or path blocked)","OK"))))))))</f>
        <v/>
      </c>
      <c r="R29" s="11" t="n">
        <f aca="false">IF($P29=1,IF(AND($K29="P",ABS($J29)=2),($D29+$E29)/2,0),$R28)</f>
        <v>0</v>
      </c>
      <c r="S29" s="12" t="b">
        <f aca="false">--OR($S28=1,AND($P29=1,OR($D29=5,$E29=5)))</f>
        <v>0</v>
      </c>
      <c r="T29" s="12" t="b">
        <f aca="false">--OR($T28=1,AND($P29=1,OR($D29=1,$E29=1)))</f>
        <v>0</v>
      </c>
      <c r="U29" s="12" t="b">
        <f aca="false">--OR($U28=1,AND($P29=1,OR($D29=8,$E29=8)))</f>
        <v>0</v>
      </c>
      <c r="V29" s="12" t="b">
        <f aca="false">--OR($V28=1,AND($P29=1,OR($D29=61,$E29=61)))</f>
        <v>0</v>
      </c>
      <c r="W29" s="12" t="b">
        <f aca="false">--OR($W28=1,AND($P29=1,OR($D29=57,$E29=57)))</f>
        <v>0</v>
      </c>
      <c r="X29" s="12" t="b">
        <f aca="false">--OR($X28=1,AND($P29=1,OR($D29=64,$E29=64)))</f>
        <v>0</v>
      </c>
      <c r="Y29" s="12" t="b">
        <f aca="false">--AND($P29=1,$K29="K",ABS($I29)=2)</f>
        <v>0</v>
      </c>
      <c r="Z29" s="12" t="b">
        <f aca="false">--AND($P29=1,$K29="P",ABS($I29)=1,$H29="")</f>
        <v>0</v>
      </c>
      <c r="AA29" s="12" t="b">
        <f aca="false">--AND($P29=1,$K29="P",INT(($E29-1)/8)=IF($F29="w",7,0))</f>
        <v>0</v>
      </c>
      <c r="AB29" s="11" t="str">
        <f aca="false">IF(LEN($C29)&gt;=5,IF(ISNUMBER(FIND(MID($C29,5,1),"qrbn")),UPPER(MID($C29,5,1)),"Q"),"Q")</f>
        <v>Q</v>
      </c>
      <c r="AC29" s="11" t="n">
        <f aca="false">IF($Y29=1,IF($I29=2,$D29+3,$D29-4),0)</f>
        <v>0</v>
      </c>
      <c r="AD29" s="11" t="n">
        <f aca="false">IF($Y29=1,IF($I29=2,$D29+1,$D29-1),0)</f>
        <v>0</v>
      </c>
      <c r="AE29" s="11" t="n">
        <f aca="false">IF($Z29=1,$E29-8*IF($F29="w",1,-1),0)</f>
        <v>0</v>
      </c>
      <c r="AF29" s="11" t="str">
        <f aca="false">IF($B29="","",IF($P29=1,LOWER(INDEX($CV$2:$CV$13,MATCH($G29,$CU$2:$CU$13,0)))&amp;" "&amp;MID("abcdefgh",MOD($D29-1,8)+1,1)&amp;(INT(($D29-1)/8)+1)&amp;"→"&amp;MID("abcdefgh",MOD($E29-1,8)+1,1)&amp;(INT(($E29-1)/8)+1)&amp;IF(OR($H29&lt;&gt;"",$Z29=1)," ×","")&amp;IF($Y29=1," castles","")&amp;IF($Z29=1," e.p.","")&amp;IF($AA29=1," =" &amp;LOWER(INDEX($CV$2:$CV$13,MATCH($F29&amp;$AB29,$CU$2:$CU$13,0))),""),"X "&amp;$Q29))</f>
        <v/>
      </c>
      <c r="AG29" s="11"/>
      <c r="AH29" s="11" t="str">
        <f aca="false">IF($P29=0,AH28,IF(AH$3=$E29,IF($AA29=1,$F29&amp;$AB29,$G29),IF(OR(AH$3=$D29,AH$3=$AC29,AH$3=$AE29),"",IF(AH$3=$AD29,$F29&amp;"R",AH28))))</f>
        <v>wR</v>
      </c>
      <c r="AI29" s="11" t="str">
        <f aca="false">IF($P29=0,AI28,IF(AI$3=$E29,IF($AA29=1,$F29&amp;$AB29,$G29),IF(OR(AI$3=$D29,AI$3=$AC29,AI$3=$AE29),"",IF(AI$3=$AD29,$F29&amp;"R",AI28))))</f>
        <v>wN</v>
      </c>
      <c r="AJ29" s="11" t="str">
        <f aca="false">IF($P29=0,AJ28,IF(AJ$3=$E29,IF($AA29=1,$F29&amp;$AB29,$G29),IF(OR(AJ$3=$D29,AJ$3=$AC29,AJ$3=$AE29),"",IF(AJ$3=$AD29,$F29&amp;"R",AJ28))))</f>
        <v>wB</v>
      </c>
      <c r="AK29" s="11" t="str">
        <f aca="false">IF($P29=0,AK28,IF(AK$3=$E29,IF($AA29=1,$F29&amp;$AB29,$G29),IF(OR(AK$3=$D29,AK$3=$AC29,AK$3=$AE29),"",IF(AK$3=$AD29,$F29&amp;"R",AK28))))</f>
        <v>wQ</v>
      </c>
      <c r="AL29" s="11" t="str">
        <f aca="false">IF($P29=0,AL28,IF(AL$3=$E29,IF($AA29=1,$F29&amp;$AB29,$G29),IF(OR(AL$3=$D29,AL$3=$AC29,AL$3=$AE29),"",IF(AL$3=$AD29,$F29&amp;"R",AL28))))</f>
        <v>wK</v>
      </c>
      <c r="AM29" s="11" t="str">
        <f aca="false">IF($P29=0,AM28,IF(AM$3=$E29,IF($AA29=1,$F29&amp;$AB29,$G29),IF(OR(AM$3=$D29,AM$3=$AC29,AM$3=$AE29),"",IF(AM$3=$AD29,$F29&amp;"R",AM28))))</f>
        <v>wB</v>
      </c>
      <c r="AN29" s="11" t="str">
        <f aca="false">IF($P29=0,AN28,IF(AN$3=$E29,IF($AA29=1,$F29&amp;$AB29,$G29),IF(OR(AN$3=$D29,AN$3=$AC29,AN$3=$AE29),"",IF(AN$3=$AD29,$F29&amp;"R",AN28))))</f>
        <v>wN</v>
      </c>
      <c r="AO29" s="11" t="str">
        <f aca="false">IF($P29=0,AO28,IF(AO$3=$E29,IF($AA29=1,$F29&amp;$AB29,$G29),IF(OR(AO$3=$D29,AO$3=$AC29,AO$3=$AE29),"",IF(AO$3=$AD29,$F29&amp;"R",AO28))))</f>
        <v>wR</v>
      </c>
      <c r="AP29" s="11" t="str">
        <f aca="false">IF($P29=0,AP28,IF(AP$3=$E29,IF($AA29=1,$F29&amp;$AB29,$G29),IF(OR(AP$3=$D29,AP$3=$AC29,AP$3=$AE29),"",IF(AP$3=$AD29,$F29&amp;"R",AP28))))</f>
        <v>wP</v>
      </c>
      <c r="AQ29" s="11" t="str">
        <f aca="false">IF($P29=0,AQ28,IF(AQ$3=$E29,IF($AA29=1,$F29&amp;$AB29,$G29),IF(OR(AQ$3=$D29,AQ$3=$AC29,AQ$3=$AE29),"",IF(AQ$3=$AD29,$F29&amp;"R",AQ28))))</f>
        <v>wP</v>
      </c>
      <c r="AR29" s="11" t="str">
        <f aca="false">IF($P29=0,AR28,IF(AR$3=$E29,IF($AA29=1,$F29&amp;$AB29,$G29),IF(OR(AR$3=$D29,AR$3=$AC29,AR$3=$AE29),"",IF(AR$3=$AD29,$F29&amp;"R",AR28))))</f>
        <v>wP</v>
      </c>
      <c r="AS29" s="11" t="str">
        <f aca="false">IF($P29=0,AS28,IF(AS$3=$E29,IF($AA29=1,$F29&amp;$AB29,$G29),IF(OR(AS$3=$D29,AS$3=$AC29,AS$3=$AE29),"",IF(AS$3=$AD29,$F29&amp;"R",AS28))))</f>
        <v>wP</v>
      </c>
      <c r="AT29" s="11" t="str">
        <f aca="false">IF($P29=0,AT28,IF(AT$3=$E29,IF($AA29=1,$F29&amp;$AB29,$G29),IF(OR(AT$3=$D29,AT$3=$AC29,AT$3=$AE29),"",IF(AT$3=$AD29,$F29&amp;"R",AT28))))</f>
        <v>wP</v>
      </c>
      <c r="AU29" s="11" t="str">
        <f aca="false">IF($P29=0,AU28,IF(AU$3=$E29,IF($AA29=1,$F29&amp;$AB29,$G29),IF(OR(AU$3=$D29,AU$3=$AC29,AU$3=$AE29),"",IF(AU$3=$AD29,$F29&amp;"R",AU28))))</f>
        <v>wP</v>
      </c>
      <c r="AV29" s="11" t="str">
        <f aca="false">IF($P29=0,AV28,IF(AV$3=$E29,IF($AA29=1,$F29&amp;$AB29,$G29),IF(OR(AV$3=$D29,AV$3=$AC29,AV$3=$AE29),"",IF(AV$3=$AD29,$F29&amp;"R",AV28))))</f>
        <v>wP</v>
      </c>
      <c r="AW29" s="11" t="str">
        <f aca="false">IF($P29=0,AW28,IF(AW$3=$E29,IF($AA29=1,$F29&amp;$AB29,$G29),IF(OR(AW$3=$D29,AW$3=$AC29,AW$3=$AE29),"",IF(AW$3=$AD29,$F29&amp;"R",AW28))))</f>
        <v>wP</v>
      </c>
      <c r="AX29" s="11" t="str">
        <f aca="false">IF($P29=0,AX28,IF(AX$3=$E29,IF($AA29=1,$F29&amp;$AB29,$G29),IF(OR(AX$3=$D29,AX$3=$AC29,AX$3=$AE29),"",IF(AX$3=$AD29,$F29&amp;"R",AX28))))</f>
        <v/>
      </c>
      <c r="AY29" s="11" t="str">
        <f aca="false">IF($P29=0,AY28,IF(AY$3=$E29,IF($AA29=1,$F29&amp;$AB29,$G29),IF(OR(AY$3=$D29,AY$3=$AC29,AY$3=$AE29),"",IF(AY$3=$AD29,$F29&amp;"R",AY28))))</f>
        <v/>
      </c>
      <c r="AZ29" s="11" t="str">
        <f aca="false">IF($P29=0,AZ28,IF(AZ$3=$E29,IF($AA29=1,$F29&amp;$AB29,$G29),IF(OR(AZ$3=$D29,AZ$3=$AC29,AZ$3=$AE29),"",IF(AZ$3=$AD29,$F29&amp;"R",AZ28))))</f>
        <v/>
      </c>
      <c r="BA29" s="11" t="str">
        <f aca="false">IF($P29=0,BA28,IF(BA$3=$E29,IF($AA29=1,$F29&amp;$AB29,$G29),IF(OR(BA$3=$D29,BA$3=$AC29,BA$3=$AE29),"",IF(BA$3=$AD29,$F29&amp;"R",BA28))))</f>
        <v/>
      </c>
      <c r="BB29" s="11" t="str">
        <f aca="false">IF($P29=0,BB28,IF(BB$3=$E29,IF($AA29=1,$F29&amp;$AB29,$G29),IF(OR(BB$3=$D29,BB$3=$AC29,BB$3=$AE29),"",IF(BB$3=$AD29,$F29&amp;"R",BB28))))</f>
        <v/>
      </c>
      <c r="BC29" s="11" t="str">
        <f aca="false">IF($P29=0,BC28,IF(BC$3=$E29,IF($AA29=1,$F29&amp;$AB29,$G29),IF(OR(BC$3=$D29,BC$3=$AC29,BC$3=$AE29),"",IF(BC$3=$AD29,$F29&amp;"R",BC28))))</f>
        <v/>
      </c>
      <c r="BD29" s="11" t="str">
        <f aca="false">IF($P29=0,BD28,IF(BD$3=$E29,IF($AA29=1,$F29&amp;$AB29,$G29),IF(OR(BD$3=$D29,BD$3=$AC29,BD$3=$AE29),"",IF(BD$3=$AD29,$F29&amp;"R",BD28))))</f>
        <v/>
      </c>
      <c r="BE29" s="11" t="str">
        <f aca="false">IF($P29=0,BE28,IF(BE$3=$E29,IF($AA29=1,$F29&amp;$AB29,$G29),IF(OR(BE$3=$D29,BE$3=$AC29,BE$3=$AE29),"",IF(BE$3=$AD29,$F29&amp;"R",BE28))))</f>
        <v/>
      </c>
      <c r="BF29" s="11" t="str">
        <f aca="false">IF($P29=0,BF28,IF(BF$3=$E29,IF($AA29=1,$F29&amp;$AB29,$G29),IF(OR(BF$3=$D29,BF$3=$AC29,BF$3=$AE29),"",IF(BF$3=$AD29,$F29&amp;"R",BF28))))</f>
        <v/>
      </c>
      <c r="BG29" s="11" t="str">
        <f aca="false">IF($P29=0,BG28,IF(BG$3=$E29,IF($AA29=1,$F29&amp;$AB29,$G29),IF(OR(BG$3=$D29,BG$3=$AC29,BG$3=$AE29),"",IF(BG$3=$AD29,$F29&amp;"R",BG28))))</f>
        <v/>
      </c>
      <c r="BH29" s="11" t="str">
        <f aca="false">IF($P29=0,BH28,IF(BH$3=$E29,IF($AA29=1,$F29&amp;$AB29,$G29),IF(OR(BH$3=$D29,BH$3=$AC29,BH$3=$AE29),"",IF(BH$3=$AD29,$F29&amp;"R",BH28))))</f>
        <v/>
      </c>
      <c r="BI29" s="11" t="str">
        <f aca="false">IF($P29=0,BI28,IF(BI$3=$E29,IF($AA29=1,$F29&amp;$AB29,$G29),IF(OR(BI$3=$D29,BI$3=$AC29,BI$3=$AE29),"",IF(BI$3=$AD29,$F29&amp;"R",BI28))))</f>
        <v/>
      </c>
      <c r="BJ29" s="11" t="str">
        <f aca="false">IF($P29=0,BJ28,IF(BJ$3=$E29,IF($AA29=1,$F29&amp;$AB29,$G29),IF(OR(BJ$3=$D29,BJ$3=$AC29,BJ$3=$AE29),"",IF(BJ$3=$AD29,$F29&amp;"R",BJ28))))</f>
        <v/>
      </c>
      <c r="BK29" s="11" t="str">
        <f aca="false">IF($P29=0,BK28,IF(BK$3=$E29,IF($AA29=1,$F29&amp;$AB29,$G29),IF(OR(BK$3=$D29,BK$3=$AC29,BK$3=$AE29),"",IF(BK$3=$AD29,$F29&amp;"R",BK28))))</f>
        <v/>
      </c>
      <c r="BL29" s="11" t="str">
        <f aca="false">IF($P29=0,BL28,IF(BL$3=$E29,IF($AA29=1,$F29&amp;$AB29,$G29),IF(OR(BL$3=$D29,BL$3=$AC29,BL$3=$AE29),"",IF(BL$3=$AD29,$F29&amp;"R",BL28))))</f>
        <v/>
      </c>
      <c r="BM29" s="11" t="str">
        <f aca="false">IF($P29=0,BM28,IF(BM$3=$E29,IF($AA29=1,$F29&amp;$AB29,$G29),IF(OR(BM$3=$D29,BM$3=$AC29,BM$3=$AE29),"",IF(BM$3=$AD29,$F29&amp;"R",BM28))))</f>
        <v/>
      </c>
      <c r="BN29" s="11" t="str">
        <f aca="false">IF($P29=0,BN28,IF(BN$3=$E29,IF($AA29=1,$F29&amp;$AB29,$G29),IF(OR(BN$3=$D29,BN$3=$AC29,BN$3=$AE29),"",IF(BN$3=$AD29,$F29&amp;"R",BN28))))</f>
        <v/>
      </c>
      <c r="BO29" s="11" t="str">
        <f aca="false">IF($P29=0,BO28,IF(BO$3=$E29,IF($AA29=1,$F29&amp;$AB29,$G29),IF(OR(BO$3=$D29,BO$3=$AC29,BO$3=$AE29),"",IF(BO$3=$AD29,$F29&amp;"R",BO28))))</f>
        <v/>
      </c>
      <c r="BP29" s="11" t="str">
        <f aca="false">IF($P29=0,BP28,IF(BP$3=$E29,IF($AA29=1,$F29&amp;$AB29,$G29),IF(OR(BP$3=$D29,BP$3=$AC29,BP$3=$AE29),"",IF(BP$3=$AD29,$F29&amp;"R",BP28))))</f>
        <v/>
      </c>
      <c r="BQ29" s="11" t="str">
        <f aca="false">IF($P29=0,BQ28,IF(BQ$3=$E29,IF($AA29=1,$F29&amp;$AB29,$G29),IF(OR(BQ$3=$D29,BQ$3=$AC29,BQ$3=$AE29),"",IF(BQ$3=$AD29,$F29&amp;"R",BQ28))))</f>
        <v/>
      </c>
      <c r="BR29" s="11" t="str">
        <f aca="false">IF($P29=0,BR28,IF(BR$3=$E29,IF($AA29=1,$F29&amp;$AB29,$G29),IF(OR(BR$3=$D29,BR$3=$AC29,BR$3=$AE29),"",IF(BR$3=$AD29,$F29&amp;"R",BR28))))</f>
        <v/>
      </c>
      <c r="BS29" s="11" t="str">
        <f aca="false">IF($P29=0,BS28,IF(BS$3=$E29,IF($AA29=1,$F29&amp;$AB29,$G29),IF(OR(BS$3=$D29,BS$3=$AC29,BS$3=$AE29),"",IF(BS$3=$AD29,$F29&amp;"R",BS28))))</f>
        <v/>
      </c>
      <c r="BT29" s="11" t="str">
        <f aca="false">IF($P29=0,BT28,IF(BT$3=$E29,IF($AA29=1,$F29&amp;$AB29,$G29),IF(OR(BT$3=$D29,BT$3=$AC29,BT$3=$AE29),"",IF(BT$3=$AD29,$F29&amp;"R",BT28))))</f>
        <v/>
      </c>
      <c r="BU29" s="11" t="str">
        <f aca="false">IF($P29=0,BU28,IF(BU$3=$E29,IF($AA29=1,$F29&amp;$AB29,$G29),IF(OR(BU$3=$D29,BU$3=$AC29,BU$3=$AE29),"",IF(BU$3=$AD29,$F29&amp;"R",BU28))))</f>
        <v/>
      </c>
      <c r="BV29" s="11" t="str">
        <f aca="false">IF($P29=0,BV28,IF(BV$3=$E29,IF($AA29=1,$F29&amp;$AB29,$G29),IF(OR(BV$3=$D29,BV$3=$AC29,BV$3=$AE29),"",IF(BV$3=$AD29,$F29&amp;"R",BV28))))</f>
        <v/>
      </c>
      <c r="BW29" s="11" t="str">
        <f aca="false">IF($P29=0,BW28,IF(BW$3=$E29,IF($AA29=1,$F29&amp;$AB29,$G29),IF(OR(BW$3=$D29,BW$3=$AC29,BW$3=$AE29),"",IF(BW$3=$AD29,$F29&amp;"R",BW28))))</f>
        <v/>
      </c>
      <c r="BX29" s="11" t="str">
        <f aca="false">IF($P29=0,BX28,IF(BX$3=$E29,IF($AA29=1,$F29&amp;$AB29,$G29),IF(OR(BX$3=$D29,BX$3=$AC29,BX$3=$AE29),"",IF(BX$3=$AD29,$F29&amp;"R",BX28))))</f>
        <v/>
      </c>
      <c r="BY29" s="11" t="str">
        <f aca="false">IF($P29=0,BY28,IF(BY$3=$E29,IF($AA29=1,$F29&amp;$AB29,$G29),IF(OR(BY$3=$D29,BY$3=$AC29,BY$3=$AE29),"",IF(BY$3=$AD29,$F29&amp;"R",BY28))))</f>
        <v/>
      </c>
      <c r="BZ29" s="11" t="str">
        <f aca="false">IF($P29=0,BZ28,IF(BZ$3=$E29,IF($AA29=1,$F29&amp;$AB29,$G29),IF(OR(BZ$3=$D29,BZ$3=$AC29,BZ$3=$AE29),"",IF(BZ$3=$AD29,$F29&amp;"R",BZ28))))</f>
        <v/>
      </c>
      <c r="CA29" s="11" t="str">
        <f aca="false">IF($P29=0,CA28,IF(CA$3=$E29,IF($AA29=1,$F29&amp;$AB29,$G29),IF(OR(CA$3=$D29,CA$3=$AC29,CA$3=$AE29),"",IF(CA$3=$AD29,$F29&amp;"R",CA28))))</f>
        <v/>
      </c>
      <c r="CB29" s="11" t="str">
        <f aca="false">IF($P29=0,CB28,IF(CB$3=$E29,IF($AA29=1,$F29&amp;$AB29,$G29),IF(OR(CB$3=$D29,CB$3=$AC29,CB$3=$AE29),"",IF(CB$3=$AD29,$F29&amp;"R",CB28))))</f>
        <v/>
      </c>
      <c r="CC29" s="11" t="str">
        <f aca="false">IF($P29=0,CC28,IF(CC$3=$E29,IF($AA29=1,$F29&amp;$AB29,$G29),IF(OR(CC$3=$D29,CC$3=$AC29,CC$3=$AE29),"",IF(CC$3=$AD29,$F29&amp;"R",CC28))))</f>
        <v/>
      </c>
      <c r="CD29" s="11" t="str">
        <f aca="false">IF($P29=0,CD28,IF(CD$3=$E29,IF($AA29=1,$F29&amp;$AB29,$G29),IF(OR(CD$3=$D29,CD$3=$AC29,CD$3=$AE29),"",IF(CD$3=$AD29,$F29&amp;"R",CD28))))</f>
        <v>bP</v>
      </c>
      <c r="CE29" s="11" t="str">
        <f aca="false">IF($P29=0,CE28,IF(CE$3=$E29,IF($AA29=1,$F29&amp;$AB29,$G29),IF(OR(CE$3=$D29,CE$3=$AC29,CE$3=$AE29),"",IF(CE$3=$AD29,$F29&amp;"R",CE28))))</f>
        <v>bP</v>
      </c>
      <c r="CF29" s="11" t="str">
        <f aca="false">IF($P29=0,CF28,IF(CF$3=$E29,IF($AA29=1,$F29&amp;$AB29,$G29),IF(OR(CF$3=$D29,CF$3=$AC29,CF$3=$AE29),"",IF(CF$3=$AD29,$F29&amp;"R",CF28))))</f>
        <v>bP</v>
      </c>
      <c r="CG29" s="11" t="str">
        <f aca="false">IF($P29=0,CG28,IF(CG$3=$E29,IF($AA29=1,$F29&amp;$AB29,$G29),IF(OR(CG$3=$D29,CG$3=$AC29,CG$3=$AE29),"",IF(CG$3=$AD29,$F29&amp;"R",CG28))))</f>
        <v>bP</v>
      </c>
      <c r="CH29" s="11" t="str">
        <f aca="false">IF($P29=0,CH28,IF(CH$3=$E29,IF($AA29=1,$F29&amp;$AB29,$G29),IF(OR(CH$3=$D29,CH$3=$AC29,CH$3=$AE29),"",IF(CH$3=$AD29,$F29&amp;"R",CH28))))</f>
        <v>bP</v>
      </c>
      <c r="CI29" s="11" t="str">
        <f aca="false">IF($P29=0,CI28,IF(CI$3=$E29,IF($AA29=1,$F29&amp;$AB29,$G29),IF(OR(CI$3=$D29,CI$3=$AC29,CI$3=$AE29),"",IF(CI$3=$AD29,$F29&amp;"R",CI28))))</f>
        <v>bP</v>
      </c>
      <c r="CJ29" s="11" t="str">
        <f aca="false">IF($P29=0,CJ28,IF(CJ$3=$E29,IF($AA29=1,$F29&amp;$AB29,$G29),IF(OR(CJ$3=$D29,CJ$3=$AC29,CJ$3=$AE29),"",IF(CJ$3=$AD29,$F29&amp;"R",CJ28))))</f>
        <v>bP</v>
      </c>
      <c r="CK29" s="11" t="str">
        <f aca="false">IF($P29=0,CK28,IF(CK$3=$E29,IF($AA29=1,$F29&amp;$AB29,$G29),IF(OR(CK$3=$D29,CK$3=$AC29,CK$3=$AE29),"",IF(CK$3=$AD29,$F29&amp;"R",CK28))))</f>
        <v>bP</v>
      </c>
      <c r="CL29" s="11" t="str">
        <f aca="false">IF($P29=0,CL28,IF(CL$3=$E29,IF($AA29=1,$F29&amp;$AB29,$G29),IF(OR(CL$3=$D29,CL$3=$AC29,CL$3=$AE29),"",IF(CL$3=$AD29,$F29&amp;"R",CL28))))</f>
        <v>bR</v>
      </c>
      <c r="CM29" s="11" t="str">
        <f aca="false">IF($P29=0,CM28,IF(CM$3=$E29,IF($AA29=1,$F29&amp;$AB29,$G29),IF(OR(CM$3=$D29,CM$3=$AC29,CM$3=$AE29),"",IF(CM$3=$AD29,$F29&amp;"R",CM28))))</f>
        <v>bN</v>
      </c>
      <c r="CN29" s="11" t="str">
        <f aca="false">IF($P29=0,CN28,IF(CN$3=$E29,IF($AA29=1,$F29&amp;$AB29,$G29),IF(OR(CN$3=$D29,CN$3=$AC29,CN$3=$AE29),"",IF(CN$3=$AD29,$F29&amp;"R",CN28))))</f>
        <v>bB</v>
      </c>
      <c r="CO29" s="11" t="str">
        <f aca="false">IF($P29=0,CO28,IF(CO$3=$E29,IF($AA29=1,$F29&amp;$AB29,$G29),IF(OR(CO$3=$D29,CO$3=$AC29,CO$3=$AE29),"",IF(CO$3=$AD29,$F29&amp;"R",CO28))))</f>
        <v>bQ</v>
      </c>
      <c r="CP29" s="11" t="str">
        <f aca="false">IF($P29=0,CP28,IF(CP$3=$E29,IF($AA29=1,$F29&amp;$AB29,$G29),IF(OR(CP$3=$D29,CP$3=$AC29,CP$3=$AE29),"",IF(CP$3=$AD29,$F29&amp;"R",CP28))))</f>
        <v>bK</v>
      </c>
      <c r="CQ29" s="11" t="str">
        <f aca="false">IF($P29=0,CQ28,IF(CQ$3=$E29,IF($AA29=1,$F29&amp;$AB29,$G29),IF(OR(CQ$3=$D29,CQ$3=$AC29,CQ$3=$AE29),"",IF(CQ$3=$AD29,$F29&amp;"R",CQ28))))</f>
        <v>bB</v>
      </c>
      <c r="CR29" s="11" t="str">
        <f aca="false">IF($P29=0,CR28,IF(CR$3=$E29,IF($AA29=1,$F29&amp;$AB29,$G29),IF(OR(CR$3=$D29,CR$3=$AC29,CR$3=$AE29),"",IF(CR$3=$AD29,$F29&amp;"R",CR28))))</f>
        <v>bN</v>
      </c>
      <c r="CS29" s="11" t="str">
        <f aca="false">IF($P29=0,CS28,IF(CS$3=$E29,IF($AA29=1,$F29&amp;$AB29,$G29),IF(OR(CS$3=$D29,CS$3=$AC29,CS$3=$AE29),"",IF(CS$3=$AD29,$F29&amp;"R",CS28))))</f>
        <v>bR</v>
      </c>
      <c r="CT29" s="11"/>
      <c r="CU29" s="11"/>
      <c r="CV29" s="11"/>
    </row>
    <row r="30" customFormat="false" ht="15" hidden="false" customHeight="false" outlineLevel="0" collapsed="false">
      <c r="A30" s="11" t="n">
        <v>25</v>
      </c>
      <c r="B30" s="11" t="str">
        <f aca="false">IF(Chess!$L$34="","",Chess!$L$34&amp;"")</f>
        <v/>
      </c>
      <c r="C30" s="11" t="str">
        <f aca="false">LOWER(SUBSTITUTE(SUBSTITUTE(SUBSTITUTE(SUBSTITUTE(TRIM($B30),"-",""),"=","")," ",""),"x",""))</f>
        <v/>
      </c>
      <c r="D30" s="11" t="n">
        <f aca="false">IF(LEN($C30)&lt;4,0,IFERROR(IF(AND(CODE(MID($C30,1,1))&gt;=97,CODE(MID($C30,1,1))&lt;=104,VALUE(MID($C30,2,1))&gt;=1,VALUE(MID($C30,2,1))&lt;=8),(VALUE(MID($C30,2,1))-1)*8+CODE(MID($C30,1,1))-96,0),0))</f>
        <v>0</v>
      </c>
      <c r="E30" s="11" t="n">
        <f aca="false">IF(LEN($C30)&lt;4,0,IFERROR(IF(AND(CODE(MID($C30,3,1))&gt;=97,CODE(MID($C30,3,1))&lt;=104,VALUE(MID($C30,4,1))&gt;=1,VALUE(MID($C30,4,1))&lt;=8),(VALUE(MID($C30,4,1))-1)*8+CODE(MID($C30,3,1))-96,0),0))</f>
        <v>0</v>
      </c>
      <c r="F30" s="11" t="str">
        <f aca="false">IF(MOD(SUM($P$5:$P29),2)=0,"w","b")</f>
        <v>w</v>
      </c>
      <c r="G30" s="11" t="str">
        <f aca="false">IF($D30=0,"",INDEX($AH29:$CS29,1,$D30)&amp;"")</f>
        <v/>
      </c>
      <c r="H30" s="11" t="str">
        <f aca="false">IF($E30=0,"",INDEX($AH29:$CS29,1,$E30)&amp;"")</f>
        <v/>
      </c>
      <c r="I30" s="11" t="n">
        <f aca="false">IF(OR($D30=0,$E30=0),0,MOD($E30-1,8)-MOD($D30-1,8))</f>
        <v>0</v>
      </c>
      <c r="J30" s="11" t="n">
        <f aca="false">IF(OR($D30=0,$E30=0),0,INT(($E30-1)/8)-INT(($D30-1)/8))</f>
        <v>0</v>
      </c>
      <c r="K30" s="11" t="str">
        <f aca="false">IF($G30="","",RIGHT($G30,1))</f>
        <v/>
      </c>
      <c r="L30" s="11" t="n">
        <f aca="false">IF(OR($D30=0,$E30=0),0,SUMPRODUCT(($AH$3:$CS$3&gt;MIN($D30,$E30))*($AH$3:$CS$3&lt;MAX($D30,$E30))*(MOD($AH$3:$CS$3-MIN($D30,$E30),MAX(1,ABS(SIGN($J30)*8+SIGN($I30))))=0)*($AH29:$CS29&lt;&gt;"")))</f>
        <v>0</v>
      </c>
      <c r="M30" s="11" t="n">
        <f aca="false">IF($K30&lt;&gt;"K",0,IFERROR(--AND($J30=0,ABS($I30)=2,$D30=IF($F30="w",5,61),IF($F30="w",$S29,$V29)=0,IF($I30=2,AND(IF($F30="w",$U29,$X29)=0,INDEX($AH29:$CS29,1,$D30+1)&amp;""="",INDEX($AH29:$CS29,1,$D30+2)&amp;""=""),AND(IF($F30="w",$T29,$W29)=0,INDEX($AH29:$CS29,1,$D30-1)&amp;""="",INDEX($AH29:$CS29,1,$D30-2)&amp;""="",INDEX($AH29:$CS29,1,$D30-3)&amp;""=""))),0))</f>
        <v>0</v>
      </c>
      <c r="N30" s="11" t="n">
        <f aca="false">IF($K30&lt;&gt;"P",0,IFERROR(--OR(AND($I30=0,$J30=IF($F30="w",1,-1),$H30=""),AND($I30=0,$J30=2*IF($F30="w",1,-1),$H30="",INT(($D30-1)/8)=IF($F30="w",1,6),INDEX($AH29:$CS29,1,MAX(1,MIN(64,$D30+8*IF($F30="w",1,-1))))&amp;""=""),AND(ABS($I30)=1,$J30=IF($F30="w",1,-1),$H30&lt;&gt;""),AND(ABS($I30)=1,$J30=IF($F30="w",1,-1),$H30="",$R29&gt;0,$E30=$R29)),0))</f>
        <v>0</v>
      </c>
      <c r="O30" s="11" t="n">
        <f aca="false">IF(OR($D30=0,$E30=0,$G30=""),0,IF($K30="N",--OR(AND(ABS($I30)=1,ABS($J30)=2),AND(ABS($I30)=2,ABS($J30)=1)),IF($K30="B",--AND(ABS($I30)=ABS($J30),$I30&lt;&gt;0,$L30=0),IF($K30="R",--AND(OR($I30=0,$J30=0),OR($I30&lt;&gt;0,$J30&lt;&gt;0),$L30=0),IF($K30="Q",--AND(OR(AND(ABS($I30)=ABS($J30),$I30&lt;&gt;0),AND(OR($I30=0,$J30=0),OR($I30&lt;&gt;0,$J30&lt;&gt;0))),$L30=0),IF($K30="K",--OR(MAX(ABS($I30),ABS($J30))=1,$M30=1),$N30))))))</f>
        <v>0</v>
      </c>
      <c r="P30" s="11" t="n">
        <f aca="false">IF($Q30="OK",1,0)</f>
        <v>0</v>
      </c>
      <c r="Q30" s="11" t="str">
        <f aca="false">IF($B30="","",IF(OR(COUNTIF($AH29:$CS29,"wK")=0,COUNTIF($AH29:$CS29,"bK")=0),"Game is over",IF(OR($D30=0,$E30=0),"Use the format e2e4",IF($G30="","No piece on that square",IF(LEFT($G30,1)&lt;&gt;$F30,"Not your piece ("&amp;IF($F30="w","White","Black")&amp;" to move)",IF($D30=$E30,"Piece must move",IF(AND($H30&lt;&gt;"",LEFT($H30,1)=$F30),"Cannot capture your own piece",IF($O30=0,"Illegal move for that piece (or path blocked)","OK"))))))))</f>
        <v/>
      </c>
      <c r="R30" s="11" t="n">
        <f aca="false">IF($P30=1,IF(AND($K30="P",ABS($J30)=2),($D30+$E30)/2,0),$R29)</f>
        <v>0</v>
      </c>
      <c r="S30" s="12" t="b">
        <f aca="false">--OR($S29=1,AND($P30=1,OR($D30=5,$E30=5)))</f>
        <v>0</v>
      </c>
      <c r="T30" s="12" t="b">
        <f aca="false">--OR($T29=1,AND($P30=1,OR($D30=1,$E30=1)))</f>
        <v>0</v>
      </c>
      <c r="U30" s="12" t="b">
        <f aca="false">--OR($U29=1,AND($P30=1,OR($D30=8,$E30=8)))</f>
        <v>0</v>
      </c>
      <c r="V30" s="12" t="b">
        <f aca="false">--OR($V29=1,AND($P30=1,OR($D30=61,$E30=61)))</f>
        <v>0</v>
      </c>
      <c r="W30" s="12" t="b">
        <f aca="false">--OR($W29=1,AND($P30=1,OR($D30=57,$E30=57)))</f>
        <v>0</v>
      </c>
      <c r="X30" s="12" t="b">
        <f aca="false">--OR($X29=1,AND($P30=1,OR($D30=64,$E30=64)))</f>
        <v>0</v>
      </c>
      <c r="Y30" s="12" t="b">
        <f aca="false">--AND($P30=1,$K30="K",ABS($I30)=2)</f>
        <v>0</v>
      </c>
      <c r="Z30" s="12" t="b">
        <f aca="false">--AND($P30=1,$K30="P",ABS($I30)=1,$H30="")</f>
        <v>0</v>
      </c>
      <c r="AA30" s="12" t="b">
        <f aca="false">--AND($P30=1,$K30="P",INT(($E30-1)/8)=IF($F30="w",7,0))</f>
        <v>0</v>
      </c>
      <c r="AB30" s="11" t="str">
        <f aca="false">IF(LEN($C30)&gt;=5,IF(ISNUMBER(FIND(MID($C30,5,1),"qrbn")),UPPER(MID($C30,5,1)),"Q"),"Q")</f>
        <v>Q</v>
      </c>
      <c r="AC30" s="11" t="n">
        <f aca="false">IF($Y30=1,IF($I30=2,$D30+3,$D30-4),0)</f>
        <v>0</v>
      </c>
      <c r="AD30" s="11" t="n">
        <f aca="false">IF($Y30=1,IF($I30=2,$D30+1,$D30-1),0)</f>
        <v>0</v>
      </c>
      <c r="AE30" s="11" t="n">
        <f aca="false">IF($Z30=1,$E30-8*IF($F30="w",1,-1),0)</f>
        <v>0</v>
      </c>
      <c r="AF30" s="11" t="str">
        <f aca="false">IF($B30="","",IF($P30=1,LOWER(INDEX($CV$2:$CV$13,MATCH($G30,$CU$2:$CU$13,0)))&amp;" "&amp;MID("abcdefgh",MOD($D30-1,8)+1,1)&amp;(INT(($D30-1)/8)+1)&amp;"→"&amp;MID("abcdefgh",MOD($E30-1,8)+1,1)&amp;(INT(($E30-1)/8)+1)&amp;IF(OR($H30&lt;&gt;"",$Z30=1)," ×","")&amp;IF($Y30=1," castles","")&amp;IF($Z30=1," e.p.","")&amp;IF($AA30=1," =" &amp;LOWER(INDEX($CV$2:$CV$13,MATCH($F30&amp;$AB30,$CU$2:$CU$13,0))),""),"X "&amp;$Q30))</f>
        <v/>
      </c>
      <c r="AG30" s="11"/>
      <c r="AH30" s="11" t="str">
        <f aca="false">IF($P30=0,AH29,IF(AH$3=$E30,IF($AA30=1,$F30&amp;$AB30,$G30),IF(OR(AH$3=$D30,AH$3=$AC30,AH$3=$AE30),"",IF(AH$3=$AD30,$F30&amp;"R",AH29))))</f>
        <v>wR</v>
      </c>
      <c r="AI30" s="11" t="str">
        <f aca="false">IF($P30=0,AI29,IF(AI$3=$E30,IF($AA30=1,$F30&amp;$AB30,$G30),IF(OR(AI$3=$D30,AI$3=$AC30,AI$3=$AE30),"",IF(AI$3=$AD30,$F30&amp;"R",AI29))))</f>
        <v>wN</v>
      </c>
      <c r="AJ30" s="11" t="str">
        <f aca="false">IF($P30=0,AJ29,IF(AJ$3=$E30,IF($AA30=1,$F30&amp;$AB30,$G30),IF(OR(AJ$3=$D30,AJ$3=$AC30,AJ$3=$AE30),"",IF(AJ$3=$AD30,$F30&amp;"R",AJ29))))</f>
        <v>wB</v>
      </c>
      <c r="AK30" s="11" t="str">
        <f aca="false">IF($P30=0,AK29,IF(AK$3=$E30,IF($AA30=1,$F30&amp;$AB30,$G30),IF(OR(AK$3=$D30,AK$3=$AC30,AK$3=$AE30),"",IF(AK$3=$AD30,$F30&amp;"R",AK29))))</f>
        <v>wQ</v>
      </c>
      <c r="AL30" s="11" t="str">
        <f aca="false">IF($P30=0,AL29,IF(AL$3=$E30,IF($AA30=1,$F30&amp;$AB30,$G30),IF(OR(AL$3=$D30,AL$3=$AC30,AL$3=$AE30),"",IF(AL$3=$AD30,$F30&amp;"R",AL29))))</f>
        <v>wK</v>
      </c>
      <c r="AM30" s="11" t="str">
        <f aca="false">IF($P30=0,AM29,IF(AM$3=$E30,IF($AA30=1,$F30&amp;$AB30,$G30),IF(OR(AM$3=$D30,AM$3=$AC30,AM$3=$AE30),"",IF(AM$3=$AD30,$F30&amp;"R",AM29))))</f>
        <v>wB</v>
      </c>
      <c r="AN30" s="11" t="str">
        <f aca="false">IF($P30=0,AN29,IF(AN$3=$E30,IF($AA30=1,$F30&amp;$AB30,$G30),IF(OR(AN$3=$D30,AN$3=$AC30,AN$3=$AE30),"",IF(AN$3=$AD30,$F30&amp;"R",AN29))))</f>
        <v>wN</v>
      </c>
      <c r="AO30" s="11" t="str">
        <f aca="false">IF($P30=0,AO29,IF(AO$3=$E30,IF($AA30=1,$F30&amp;$AB30,$G30),IF(OR(AO$3=$D30,AO$3=$AC30,AO$3=$AE30),"",IF(AO$3=$AD30,$F30&amp;"R",AO29))))</f>
        <v>wR</v>
      </c>
      <c r="AP30" s="11" t="str">
        <f aca="false">IF($P30=0,AP29,IF(AP$3=$E30,IF($AA30=1,$F30&amp;$AB30,$G30),IF(OR(AP$3=$D30,AP$3=$AC30,AP$3=$AE30),"",IF(AP$3=$AD30,$F30&amp;"R",AP29))))</f>
        <v>wP</v>
      </c>
      <c r="AQ30" s="11" t="str">
        <f aca="false">IF($P30=0,AQ29,IF(AQ$3=$E30,IF($AA30=1,$F30&amp;$AB30,$G30),IF(OR(AQ$3=$D30,AQ$3=$AC30,AQ$3=$AE30),"",IF(AQ$3=$AD30,$F30&amp;"R",AQ29))))</f>
        <v>wP</v>
      </c>
      <c r="AR30" s="11" t="str">
        <f aca="false">IF($P30=0,AR29,IF(AR$3=$E30,IF($AA30=1,$F30&amp;$AB30,$G30),IF(OR(AR$3=$D30,AR$3=$AC30,AR$3=$AE30),"",IF(AR$3=$AD30,$F30&amp;"R",AR29))))</f>
        <v>wP</v>
      </c>
      <c r="AS30" s="11" t="str">
        <f aca="false">IF($P30=0,AS29,IF(AS$3=$E30,IF($AA30=1,$F30&amp;$AB30,$G30),IF(OR(AS$3=$D30,AS$3=$AC30,AS$3=$AE30),"",IF(AS$3=$AD30,$F30&amp;"R",AS29))))</f>
        <v>wP</v>
      </c>
      <c r="AT30" s="11" t="str">
        <f aca="false">IF($P30=0,AT29,IF(AT$3=$E30,IF($AA30=1,$F30&amp;$AB30,$G30),IF(OR(AT$3=$D30,AT$3=$AC30,AT$3=$AE30),"",IF(AT$3=$AD30,$F30&amp;"R",AT29))))</f>
        <v>wP</v>
      </c>
      <c r="AU30" s="11" t="str">
        <f aca="false">IF($P30=0,AU29,IF(AU$3=$E30,IF($AA30=1,$F30&amp;$AB30,$G30),IF(OR(AU$3=$D30,AU$3=$AC30,AU$3=$AE30),"",IF(AU$3=$AD30,$F30&amp;"R",AU29))))</f>
        <v>wP</v>
      </c>
      <c r="AV30" s="11" t="str">
        <f aca="false">IF($P30=0,AV29,IF(AV$3=$E30,IF($AA30=1,$F30&amp;$AB30,$G30),IF(OR(AV$3=$D30,AV$3=$AC30,AV$3=$AE30),"",IF(AV$3=$AD30,$F30&amp;"R",AV29))))</f>
        <v>wP</v>
      </c>
      <c r="AW30" s="11" t="str">
        <f aca="false">IF($P30=0,AW29,IF(AW$3=$E30,IF($AA30=1,$F30&amp;$AB30,$G30),IF(OR(AW$3=$D30,AW$3=$AC30,AW$3=$AE30),"",IF(AW$3=$AD30,$F30&amp;"R",AW29))))</f>
        <v>wP</v>
      </c>
      <c r="AX30" s="11" t="str">
        <f aca="false">IF($P30=0,AX29,IF(AX$3=$E30,IF($AA30=1,$F30&amp;$AB30,$G30),IF(OR(AX$3=$D30,AX$3=$AC30,AX$3=$AE30),"",IF(AX$3=$AD30,$F30&amp;"R",AX29))))</f>
        <v/>
      </c>
      <c r="AY30" s="11" t="str">
        <f aca="false">IF($P30=0,AY29,IF(AY$3=$E30,IF($AA30=1,$F30&amp;$AB30,$G30),IF(OR(AY$3=$D30,AY$3=$AC30,AY$3=$AE30),"",IF(AY$3=$AD30,$F30&amp;"R",AY29))))</f>
        <v/>
      </c>
      <c r="AZ30" s="11" t="str">
        <f aca="false">IF($P30=0,AZ29,IF(AZ$3=$E30,IF($AA30=1,$F30&amp;$AB30,$G30),IF(OR(AZ$3=$D30,AZ$3=$AC30,AZ$3=$AE30),"",IF(AZ$3=$AD30,$F30&amp;"R",AZ29))))</f>
        <v/>
      </c>
      <c r="BA30" s="11" t="str">
        <f aca="false">IF($P30=0,BA29,IF(BA$3=$E30,IF($AA30=1,$F30&amp;$AB30,$G30),IF(OR(BA$3=$D30,BA$3=$AC30,BA$3=$AE30),"",IF(BA$3=$AD30,$F30&amp;"R",BA29))))</f>
        <v/>
      </c>
      <c r="BB30" s="11" t="str">
        <f aca="false">IF($P30=0,BB29,IF(BB$3=$E30,IF($AA30=1,$F30&amp;$AB30,$G30),IF(OR(BB$3=$D30,BB$3=$AC30,BB$3=$AE30),"",IF(BB$3=$AD30,$F30&amp;"R",BB29))))</f>
        <v/>
      </c>
      <c r="BC30" s="11" t="str">
        <f aca="false">IF($P30=0,BC29,IF(BC$3=$E30,IF($AA30=1,$F30&amp;$AB30,$G30),IF(OR(BC$3=$D30,BC$3=$AC30,BC$3=$AE30),"",IF(BC$3=$AD30,$F30&amp;"R",BC29))))</f>
        <v/>
      </c>
      <c r="BD30" s="11" t="str">
        <f aca="false">IF($P30=0,BD29,IF(BD$3=$E30,IF($AA30=1,$F30&amp;$AB30,$G30),IF(OR(BD$3=$D30,BD$3=$AC30,BD$3=$AE30),"",IF(BD$3=$AD30,$F30&amp;"R",BD29))))</f>
        <v/>
      </c>
      <c r="BE30" s="11" t="str">
        <f aca="false">IF($P30=0,BE29,IF(BE$3=$E30,IF($AA30=1,$F30&amp;$AB30,$G30),IF(OR(BE$3=$D30,BE$3=$AC30,BE$3=$AE30),"",IF(BE$3=$AD30,$F30&amp;"R",BE29))))</f>
        <v/>
      </c>
      <c r="BF30" s="11" t="str">
        <f aca="false">IF($P30=0,BF29,IF(BF$3=$E30,IF($AA30=1,$F30&amp;$AB30,$G30),IF(OR(BF$3=$D30,BF$3=$AC30,BF$3=$AE30),"",IF(BF$3=$AD30,$F30&amp;"R",BF29))))</f>
        <v/>
      </c>
      <c r="BG30" s="11" t="str">
        <f aca="false">IF($P30=0,BG29,IF(BG$3=$E30,IF($AA30=1,$F30&amp;$AB30,$G30),IF(OR(BG$3=$D30,BG$3=$AC30,BG$3=$AE30),"",IF(BG$3=$AD30,$F30&amp;"R",BG29))))</f>
        <v/>
      </c>
      <c r="BH30" s="11" t="str">
        <f aca="false">IF($P30=0,BH29,IF(BH$3=$E30,IF($AA30=1,$F30&amp;$AB30,$G30),IF(OR(BH$3=$D30,BH$3=$AC30,BH$3=$AE30),"",IF(BH$3=$AD30,$F30&amp;"R",BH29))))</f>
        <v/>
      </c>
      <c r="BI30" s="11" t="str">
        <f aca="false">IF($P30=0,BI29,IF(BI$3=$E30,IF($AA30=1,$F30&amp;$AB30,$G30),IF(OR(BI$3=$D30,BI$3=$AC30,BI$3=$AE30),"",IF(BI$3=$AD30,$F30&amp;"R",BI29))))</f>
        <v/>
      </c>
      <c r="BJ30" s="11" t="str">
        <f aca="false">IF($P30=0,BJ29,IF(BJ$3=$E30,IF($AA30=1,$F30&amp;$AB30,$G30),IF(OR(BJ$3=$D30,BJ$3=$AC30,BJ$3=$AE30),"",IF(BJ$3=$AD30,$F30&amp;"R",BJ29))))</f>
        <v/>
      </c>
      <c r="BK30" s="11" t="str">
        <f aca="false">IF($P30=0,BK29,IF(BK$3=$E30,IF($AA30=1,$F30&amp;$AB30,$G30),IF(OR(BK$3=$D30,BK$3=$AC30,BK$3=$AE30),"",IF(BK$3=$AD30,$F30&amp;"R",BK29))))</f>
        <v/>
      </c>
      <c r="BL30" s="11" t="str">
        <f aca="false">IF($P30=0,BL29,IF(BL$3=$E30,IF($AA30=1,$F30&amp;$AB30,$G30),IF(OR(BL$3=$D30,BL$3=$AC30,BL$3=$AE30),"",IF(BL$3=$AD30,$F30&amp;"R",BL29))))</f>
        <v/>
      </c>
      <c r="BM30" s="11" t="str">
        <f aca="false">IF($P30=0,BM29,IF(BM$3=$E30,IF($AA30=1,$F30&amp;$AB30,$G30),IF(OR(BM$3=$D30,BM$3=$AC30,BM$3=$AE30),"",IF(BM$3=$AD30,$F30&amp;"R",BM29))))</f>
        <v/>
      </c>
      <c r="BN30" s="11" t="str">
        <f aca="false">IF($P30=0,BN29,IF(BN$3=$E30,IF($AA30=1,$F30&amp;$AB30,$G30),IF(OR(BN$3=$D30,BN$3=$AC30,BN$3=$AE30),"",IF(BN$3=$AD30,$F30&amp;"R",BN29))))</f>
        <v/>
      </c>
      <c r="BO30" s="11" t="str">
        <f aca="false">IF($P30=0,BO29,IF(BO$3=$E30,IF($AA30=1,$F30&amp;$AB30,$G30),IF(OR(BO$3=$D30,BO$3=$AC30,BO$3=$AE30),"",IF(BO$3=$AD30,$F30&amp;"R",BO29))))</f>
        <v/>
      </c>
      <c r="BP30" s="11" t="str">
        <f aca="false">IF($P30=0,BP29,IF(BP$3=$E30,IF($AA30=1,$F30&amp;$AB30,$G30),IF(OR(BP$3=$D30,BP$3=$AC30,BP$3=$AE30),"",IF(BP$3=$AD30,$F30&amp;"R",BP29))))</f>
        <v/>
      </c>
      <c r="BQ30" s="11" t="str">
        <f aca="false">IF($P30=0,BQ29,IF(BQ$3=$E30,IF($AA30=1,$F30&amp;$AB30,$G30),IF(OR(BQ$3=$D30,BQ$3=$AC30,BQ$3=$AE30),"",IF(BQ$3=$AD30,$F30&amp;"R",BQ29))))</f>
        <v/>
      </c>
      <c r="BR30" s="11" t="str">
        <f aca="false">IF($P30=0,BR29,IF(BR$3=$E30,IF($AA30=1,$F30&amp;$AB30,$G30),IF(OR(BR$3=$D30,BR$3=$AC30,BR$3=$AE30),"",IF(BR$3=$AD30,$F30&amp;"R",BR29))))</f>
        <v/>
      </c>
      <c r="BS30" s="11" t="str">
        <f aca="false">IF($P30=0,BS29,IF(BS$3=$E30,IF($AA30=1,$F30&amp;$AB30,$G30),IF(OR(BS$3=$D30,BS$3=$AC30,BS$3=$AE30),"",IF(BS$3=$AD30,$F30&amp;"R",BS29))))</f>
        <v/>
      </c>
      <c r="BT30" s="11" t="str">
        <f aca="false">IF($P30=0,BT29,IF(BT$3=$E30,IF($AA30=1,$F30&amp;$AB30,$G30),IF(OR(BT$3=$D30,BT$3=$AC30,BT$3=$AE30),"",IF(BT$3=$AD30,$F30&amp;"R",BT29))))</f>
        <v/>
      </c>
      <c r="BU30" s="11" t="str">
        <f aca="false">IF($P30=0,BU29,IF(BU$3=$E30,IF($AA30=1,$F30&amp;$AB30,$G30),IF(OR(BU$3=$D30,BU$3=$AC30,BU$3=$AE30),"",IF(BU$3=$AD30,$F30&amp;"R",BU29))))</f>
        <v/>
      </c>
      <c r="BV30" s="11" t="str">
        <f aca="false">IF($P30=0,BV29,IF(BV$3=$E30,IF($AA30=1,$F30&amp;$AB30,$G30),IF(OR(BV$3=$D30,BV$3=$AC30,BV$3=$AE30),"",IF(BV$3=$AD30,$F30&amp;"R",BV29))))</f>
        <v/>
      </c>
      <c r="BW30" s="11" t="str">
        <f aca="false">IF($P30=0,BW29,IF(BW$3=$E30,IF($AA30=1,$F30&amp;$AB30,$G30),IF(OR(BW$3=$D30,BW$3=$AC30,BW$3=$AE30),"",IF(BW$3=$AD30,$F30&amp;"R",BW29))))</f>
        <v/>
      </c>
      <c r="BX30" s="11" t="str">
        <f aca="false">IF($P30=0,BX29,IF(BX$3=$E30,IF($AA30=1,$F30&amp;$AB30,$G30),IF(OR(BX$3=$D30,BX$3=$AC30,BX$3=$AE30),"",IF(BX$3=$AD30,$F30&amp;"R",BX29))))</f>
        <v/>
      </c>
      <c r="BY30" s="11" t="str">
        <f aca="false">IF($P30=0,BY29,IF(BY$3=$E30,IF($AA30=1,$F30&amp;$AB30,$G30),IF(OR(BY$3=$D30,BY$3=$AC30,BY$3=$AE30),"",IF(BY$3=$AD30,$F30&amp;"R",BY29))))</f>
        <v/>
      </c>
      <c r="BZ30" s="11" t="str">
        <f aca="false">IF($P30=0,BZ29,IF(BZ$3=$E30,IF($AA30=1,$F30&amp;$AB30,$G30),IF(OR(BZ$3=$D30,BZ$3=$AC30,BZ$3=$AE30),"",IF(BZ$3=$AD30,$F30&amp;"R",BZ29))))</f>
        <v/>
      </c>
      <c r="CA30" s="11" t="str">
        <f aca="false">IF($P30=0,CA29,IF(CA$3=$E30,IF($AA30=1,$F30&amp;$AB30,$G30),IF(OR(CA$3=$D30,CA$3=$AC30,CA$3=$AE30),"",IF(CA$3=$AD30,$F30&amp;"R",CA29))))</f>
        <v/>
      </c>
      <c r="CB30" s="11" t="str">
        <f aca="false">IF($P30=0,CB29,IF(CB$3=$E30,IF($AA30=1,$F30&amp;$AB30,$G30),IF(OR(CB$3=$D30,CB$3=$AC30,CB$3=$AE30),"",IF(CB$3=$AD30,$F30&amp;"R",CB29))))</f>
        <v/>
      </c>
      <c r="CC30" s="11" t="str">
        <f aca="false">IF($P30=0,CC29,IF(CC$3=$E30,IF($AA30=1,$F30&amp;$AB30,$G30),IF(OR(CC$3=$D30,CC$3=$AC30,CC$3=$AE30),"",IF(CC$3=$AD30,$F30&amp;"R",CC29))))</f>
        <v/>
      </c>
      <c r="CD30" s="11" t="str">
        <f aca="false">IF($P30=0,CD29,IF(CD$3=$E30,IF($AA30=1,$F30&amp;$AB30,$G30),IF(OR(CD$3=$D30,CD$3=$AC30,CD$3=$AE30),"",IF(CD$3=$AD30,$F30&amp;"R",CD29))))</f>
        <v>bP</v>
      </c>
      <c r="CE30" s="11" t="str">
        <f aca="false">IF($P30=0,CE29,IF(CE$3=$E30,IF($AA30=1,$F30&amp;$AB30,$G30),IF(OR(CE$3=$D30,CE$3=$AC30,CE$3=$AE30),"",IF(CE$3=$AD30,$F30&amp;"R",CE29))))</f>
        <v>bP</v>
      </c>
      <c r="CF30" s="11" t="str">
        <f aca="false">IF($P30=0,CF29,IF(CF$3=$E30,IF($AA30=1,$F30&amp;$AB30,$G30),IF(OR(CF$3=$D30,CF$3=$AC30,CF$3=$AE30),"",IF(CF$3=$AD30,$F30&amp;"R",CF29))))</f>
        <v>bP</v>
      </c>
      <c r="CG30" s="11" t="str">
        <f aca="false">IF($P30=0,CG29,IF(CG$3=$E30,IF($AA30=1,$F30&amp;$AB30,$G30),IF(OR(CG$3=$D30,CG$3=$AC30,CG$3=$AE30),"",IF(CG$3=$AD30,$F30&amp;"R",CG29))))</f>
        <v>bP</v>
      </c>
      <c r="CH30" s="11" t="str">
        <f aca="false">IF($P30=0,CH29,IF(CH$3=$E30,IF($AA30=1,$F30&amp;$AB30,$G30),IF(OR(CH$3=$D30,CH$3=$AC30,CH$3=$AE30),"",IF(CH$3=$AD30,$F30&amp;"R",CH29))))</f>
        <v>bP</v>
      </c>
      <c r="CI30" s="11" t="str">
        <f aca="false">IF($P30=0,CI29,IF(CI$3=$E30,IF($AA30=1,$F30&amp;$AB30,$G30),IF(OR(CI$3=$D30,CI$3=$AC30,CI$3=$AE30),"",IF(CI$3=$AD30,$F30&amp;"R",CI29))))</f>
        <v>bP</v>
      </c>
      <c r="CJ30" s="11" t="str">
        <f aca="false">IF($P30=0,CJ29,IF(CJ$3=$E30,IF($AA30=1,$F30&amp;$AB30,$G30),IF(OR(CJ$3=$D30,CJ$3=$AC30,CJ$3=$AE30),"",IF(CJ$3=$AD30,$F30&amp;"R",CJ29))))</f>
        <v>bP</v>
      </c>
      <c r="CK30" s="11" t="str">
        <f aca="false">IF($P30=0,CK29,IF(CK$3=$E30,IF($AA30=1,$F30&amp;$AB30,$G30),IF(OR(CK$3=$D30,CK$3=$AC30,CK$3=$AE30),"",IF(CK$3=$AD30,$F30&amp;"R",CK29))))</f>
        <v>bP</v>
      </c>
      <c r="CL30" s="11" t="str">
        <f aca="false">IF($P30=0,CL29,IF(CL$3=$E30,IF($AA30=1,$F30&amp;$AB30,$G30),IF(OR(CL$3=$D30,CL$3=$AC30,CL$3=$AE30),"",IF(CL$3=$AD30,$F30&amp;"R",CL29))))</f>
        <v>bR</v>
      </c>
      <c r="CM30" s="11" t="str">
        <f aca="false">IF($P30=0,CM29,IF(CM$3=$E30,IF($AA30=1,$F30&amp;$AB30,$G30),IF(OR(CM$3=$D30,CM$3=$AC30,CM$3=$AE30),"",IF(CM$3=$AD30,$F30&amp;"R",CM29))))</f>
        <v>bN</v>
      </c>
      <c r="CN30" s="11" t="str">
        <f aca="false">IF($P30=0,CN29,IF(CN$3=$E30,IF($AA30=1,$F30&amp;$AB30,$G30),IF(OR(CN$3=$D30,CN$3=$AC30,CN$3=$AE30),"",IF(CN$3=$AD30,$F30&amp;"R",CN29))))</f>
        <v>bB</v>
      </c>
      <c r="CO30" s="11" t="str">
        <f aca="false">IF($P30=0,CO29,IF(CO$3=$E30,IF($AA30=1,$F30&amp;$AB30,$G30),IF(OR(CO$3=$D30,CO$3=$AC30,CO$3=$AE30),"",IF(CO$3=$AD30,$F30&amp;"R",CO29))))</f>
        <v>bQ</v>
      </c>
      <c r="CP30" s="11" t="str">
        <f aca="false">IF($P30=0,CP29,IF(CP$3=$E30,IF($AA30=1,$F30&amp;$AB30,$G30),IF(OR(CP$3=$D30,CP$3=$AC30,CP$3=$AE30),"",IF(CP$3=$AD30,$F30&amp;"R",CP29))))</f>
        <v>bK</v>
      </c>
      <c r="CQ30" s="11" t="str">
        <f aca="false">IF($P30=0,CQ29,IF(CQ$3=$E30,IF($AA30=1,$F30&amp;$AB30,$G30),IF(OR(CQ$3=$D30,CQ$3=$AC30,CQ$3=$AE30),"",IF(CQ$3=$AD30,$F30&amp;"R",CQ29))))</f>
        <v>bB</v>
      </c>
      <c r="CR30" s="11" t="str">
        <f aca="false">IF($P30=0,CR29,IF(CR$3=$E30,IF($AA30=1,$F30&amp;$AB30,$G30),IF(OR(CR$3=$D30,CR$3=$AC30,CR$3=$AE30),"",IF(CR$3=$AD30,$F30&amp;"R",CR29))))</f>
        <v>bN</v>
      </c>
      <c r="CS30" s="11" t="str">
        <f aca="false">IF($P30=0,CS29,IF(CS$3=$E30,IF($AA30=1,$F30&amp;$AB30,$G30),IF(OR(CS$3=$D30,CS$3=$AC30,CS$3=$AE30),"",IF(CS$3=$AD30,$F30&amp;"R",CS29))))</f>
        <v>bR</v>
      </c>
      <c r="CT30" s="11"/>
      <c r="CU30" s="11"/>
      <c r="CV30" s="11"/>
    </row>
    <row r="31" customFormat="false" ht="15" hidden="false" customHeight="false" outlineLevel="0" collapsed="false">
      <c r="A31" s="11" t="n">
        <v>26</v>
      </c>
      <c r="B31" s="11" t="str">
        <f aca="false">IF(Chess!$L$35="","",Chess!$L$35&amp;"")</f>
        <v/>
      </c>
      <c r="C31" s="11" t="str">
        <f aca="false">LOWER(SUBSTITUTE(SUBSTITUTE(SUBSTITUTE(SUBSTITUTE(TRIM($B31),"-",""),"=","")," ",""),"x",""))</f>
        <v/>
      </c>
      <c r="D31" s="11" t="n">
        <f aca="false">IF(LEN($C31)&lt;4,0,IFERROR(IF(AND(CODE(MID($C31,1,1))&gt;=97,CODE(MID($C31,1,1))&lt;=104,VALUE(MID($C31,2,1))&gt;=1,VALUE(MID($C31,2,1))&lt;=8),(VALUE(MID($C31,2,1))-1)*8+CODE(MID($C31,1,1))-96,0),0))</f>
        <v>0</v>
      </c>
      <c r="E31" s="11" t="n">
        <f aca="false">IF(LEN($C31)&lt;4,0,IFERROR(IF(AND(CODE(MID($C31,3,1))&gt;=97,CODE(MID($C31,3,1))&lt;=104,VALUE(MID($C31,4,1))&gt;=1,VALUE(MID($C31,4,1))&lt;=8),(VALUE(MID($C31,4,1))-1)*8+CODE(MID($C31,3,1))-96,0),0))</f>
        <v>0</v>
      </c>
      <c r="F31" s="11" t="str">
        <f aca="false">IF(MOD(SUM($P$5:$P30),2)=0,"w","b")</f>
        <v>w</v>
      </c>
      <c r="G31" s="11" t="str">
        <f aca="false">IF($D31=0,"",INDEX($AH30:$CS30,1,$D31)&amp;"")</f>
        <v/>
      </c>
      <c r="H31" s="11" t="str">
        <f aca="false">IF($E31=0,"",INDEX($AH30:$CS30,1,$E31)&amp;"")</f>
        <v/>
      </c>
      <c r="I31" s="11" t="n">
        <f aca="false">IF(OR($D31=0,$E31=0),0,MOD($E31-1,8)-MOD($D31-1,8))</f>
        <v>0</v>
      </c>
      <c r="J31" s="11" t="n">
        <f aca="false">IF(OR($D31=0,$E31=0),0,INT(($E31-1)/8)-INT(($D31-1)/8))</f>
        <v>0</v>
      </c>
      <c r="K31" s="11" t="str">
        <f aca="false">IF($G31="","",RIGHT($G31,1))</f>
        <v/>
      </c>
      <c r="L31" s="11" t="n">
        <f aca="false">IF(OR($D31=0,$E31=0),0,SUMPRODUCT(($AH$3:$CS$3&gt;MIN($D31,$E31))*($AH$3:$CS$3&lt;MAX($D31,$E31))*(MOD($AH$3:$CS$3-MIN($D31,$E31),MAX(1,ABS(SIGN($J31)*8+SIGN($I31))))=0)*($AH30:$CS30&lt;&gt;"")))</f>
        <v>0</v>
      </c>
      <c r="M31" s="11" t="n">
        <f aca="false">IF($K31&lt;&gt;"K",0,IFERROR(--AND($J31=0,ABS($I31)=2,$D31=IF($F31="w",5,61),IF($F31="w",$S30,$V30)=0,IF($I31=2,AND(IF($F31="w",$U30,$X30)=0,INDEX($AH30:$CS30,1,$D31+1)&amp;""="",INDEX($AH30:$CS30,1,$D31+2)&amp;""=""),AND(IF($F31="w",$T30,$W30)=0,INDEX($AH30:$CS30,1,$D31-1)&amp;""="",INDEX($AH30:$CS30,1,$D31-2)&amp;""="",INDEX($AH30:$CS30,1,$D31-3)&amp;""=""))),0))</f>
        <v>0</v>
      </c>
      <c r="N31" s="11" t="n">
        <f aca="false">IF($K31&lt;&gt;"P",0,IFERROR(--OR(AND($I31=0,$J31=IF($F31="w",1,-1),$H31=""),AND($I31=0,$J31=2*IF($F31="w",1,-1),$H31="",INT(($D31-1)/8)=IF($F31="w",1,6),INDEX($AH30:$CS30,1,MAX(1,MIN(64,$D31+8*IF($F31="w",1,-1))))&amp;""=""),AND(ABS($I31)=1,$J31=IF($F31="w",1,-1),$H31&lt;&gt;""),AND(ABS($I31)=1,$J31=IF($F31="w",1,-1),$H31="",$R30&gt;0,$E31=$R30)),0))</f>
        <v>0</v>
      </c>
      <c r="O31" s="11" t="n">
        <f aca="false">IF(OR($D31=0,$E31=0,$G31=""),0,IF($K31="N",--OR(AND(ABS($I31)=1,ABS($J31)=2),AND(ABS($I31)=2,ABS($J31)=1)),IF($K31="B",--AND(ABS($I31)=ABS($J31),$I31&lt;&gt;0,$L31=0),IF($K31="R",--AND(OR($I31=0,$J31=0),OR($I31&lt;&gt;0,$J31&lt;&gt;0),$L31=0),IF($K31="Q",--AND(OR(AND(ABS($I31)=ABS($J31),$I31&lt;&gt;0),AND(OR($I31=0,$J31=0),OR($I31&lt;&gt;0,$J31&lt;&gt;0))),$L31=0),IF($K31="K",--OR(MAX(ABS($I31),ABS($J31))=1,$M31=1),$N31))))))</f>
        <v>0</v>
      </c>
      <c r="P31" s="11" t="n">
        <f aca="false">IF($Q31="OK",1,0)</f>
        <v>0</v>
      </c>
      <c r="Q31" s="11" t="str">
        <f aca="false">IF($B31="","",IF(OR(COUNTIF($AH30:$CS30,"wK")=0,COUNTIF($AH30:$CS30,"bK")=0),"Game is over",IF(OR($D31=0,$E31=0),"Use the format e2e4",IF($G31="","No piece on that square",IF(LEFT($G31,1)&lt;&gt;$F31,"Not your piece ("&amp;IF($F31="w","White","Black")&amp;" to move)",IF($D31=$E31,"Piece must move",IF(AND($H31&lt;&gt;"",LEFT($H31,1)=$F31),"Cannot capture your own piece",IF($O31=0,"Illegal move for that piece (or path blocked)","OK"))))))))</f>
        <v/>
      </c>
      <c r="R31" s="11" t="n">
        <f aca="false">IF($P31=1,IF(AND($K31="P",ABS($J31)=2),($D31+$E31)/2,0),$R30)</f>
        <v>0</v>
      </c>
      <c r="S31" s="12" t="b">
        <f aca="false">--OR($S30=1,AND($P31=1,OR($D31=5,$E31=5)))</f>
        <v>0</v>
      </c>
      <c r="T31" s="12" t="b">
        <f aca="false">--OR($T30=1,AND($P31=1,OR($D31=1,$E31=1)))</f>
        <v>0</v>
      </c>
      <c r="U31" s="12" t="b">
        <f aca="false">--OR($U30=1,AND($P31=1,OR($D31=8,$E31=8)))</f>
        <v>0</v>
      </c>
      <c r="V31" s="12" t="b">
        <f aca="false">--OR($V30=1,AND($P31=1,OR($D31=61,$E31=61)))</f>
        <v>0</v>
      </c>
      <c r="W31" s="12" t="b">
        <f aca="false">--OR($W30=1,AND($P31=1,OR($D31=57,$E31=57)))</f>
        <v>0</v>
      </c>
      <c r="X31" s="12" t="b">
        <f aca="false">--OR($X30=1,AND($P31=1,OR($D31=64,$E31=64)))</f>
        <v>0</v>
      </c>
      <c r="Y31" s="12" t="b">
        <f aca="false">--AND($P31=1,$K31="K",ABS($I31)=2)</f>
        <v>0</v>
      </c>
      <c r="Z31" s="12" t="b">
        <f aca="false">--AND($P31=1,$K31="P",ABS($I31)=1,$H31="")</f>
        <v>0</v>
      </c>
      <c r="AA31" s="12" t="b">
        <f aca="false">--AND($P31=1,$K31="P",INT(($E31-1)/8)=IF($F31="w",7,0))</f>
        <v>0</v>
      </c>
      <c r="AB31" s="11" t="str">
        <f aca="false">IF(LEN($C31)&gt;=5,IF(ISNUMBER(FIND(MID($C31,5,1),"qrbn")),UPPER(MID($C31,5,1)),"Q"),"Q")</f>
        <v>Q</v>
      </c>
      <c r="AC31" s="11" t="n">
        <f aca="false">IF($Y31=1,IF($I31=2,$D31+3,$D31-4),0)</f>
        <v>0</v>
      </c>
      <c r="AD31" s="11" t="n">
        <f aca="false">IF($Y31=1,IF($I31=2,$D31+1,$D31-1),0)</f>
        <v>0</v>
      </c>
      <c r="AE31" s="11" t="n">
        <f aca="false">IF($Z31=1,$E31-8*IF($F31="w",1,-1),0)</f>
        <v>0</v>
      </c>
      <c r="AF31" s="11" t="str">
        <f aca="false">IF($B31="","",IF($P31=1,LOWER(INDEX($CV$2:$CV$13,MATCH($G31,$CU$2:$CU$13,0)))&amp;" "&amp;MID("abcdefgh",MOD($D31-1,8)+1,1)&amp;(INT(($D31-1)/8)+1)&amp;"→"&amp;MID("abcdefgh",MOD($E31-1,8)+1,1)&amp;(INT(($E31-1)/8)+1)&amp;IF(OR($H31&lt;&gt;"",$Z31=1)," ×","")&amp;IF($Y31=1," castles","")&amp;IF($Z31=1," e.p.","")&amp;IF($AA31=1," =" &amp;LOWER(INDEX($CV$2:$CV$13,MATCH($F31&amp;$AB31,$CU$2:$CU$13,0))),""),"X "&amp;$Q31))</f>
        <v/>
      </c>
      <c r="AG31" s="11"/>
      <c r="AH31" s="11" t="str">
        <f aca="false">IF($P31=0,AH30,IF(AH$3=$E31,IF($AA31=1,$F31&amp;$AB31,$G31),IF(OR(AH$3=$D31,AH$3=$AC31,AH$3=$AE31),"",IF(AH$3=$AD31,$F31&amp;"R",AH30))))</f>
        <v>wR</v>
      </c>
      <c r="AI31" s="11" t="str">
        <f aca="false">IF($P31=0,AI30,IF(AI$3=$E31,IF($AA31=1,$F31&amp;$AB31,$G31),IF(OR(AI$3=$D31,AI$3=$AC31,AI$3=$AE31),"",IF(AI$3=$AD31,$F31&amp;"R",AI30))))</f>
        <v>wN</v>
      </c>
      <c r="AJ31" s="11" t="str">
        <f aca="false">IF($P31=0,AJ30,IF(AJ$3=$E31,IF($AA31=1,$F31&amp;$AB31,$G31),IF(OR(AJ$3=$D31,AJ$3=$AC31,AJ$3=$AE31),"",IF(AJ$3=$AD31,$F31&amp;"R",AJ30))))</f>
        <v>wB</v>
      </c>
      <c r="AK31" s="11" t="str">
        <f aca="false">IF($P31=0,AK30,IF(AK$3=$E31,IF($AA31=1,$F31&amp;$AB31,$G31),IF(OR(AK$3=$D31,AK$3=$AC31,AK$3=$AE31),"",IF(AK$3=$AD31,$F31&amp;"R",AK30))))</f>
        <v>wQ</v>
      </c>
      <c r="AL31" s="11" t="str">
        <f aca="false">IF($P31=0,AL30,IF(AL$3=$E31,IF($AA31=1,$F31&amp;$AB31,$G31),IF(OR(AL$3=$D31,AL$3=$AC31,AL$3=$AE31),"",IF(AL$3=$AD31,$F31&amp;"R",AL30))))</f>
        <v>wK</v>
      </c>
      <c r="AM31" s="11" t="str">
        <f aca="false">IF($P31=0,AM30,IF(AM$3=$E31,IF($AA31=1,$F31&amp;$AB31,$G31),IF(OR(AM$3=$D31,AM$3=$AC31,AM$3=$AE31),"",IF(AM$3=$AD31,$F31&amp;"R",AM30))))</f>
        <v>wB</v>
      </c>
      <c r="AN31" s="11" t="str">
        <f aca="false">IF($P31=0,AN30,IF(AN$3=$E31,IF($AA31=1,$F31&amp;$AB31,$G31),IF(OR(AN$3=$D31,AN$3=$AC31,AN$3=$AE31),"",IF(AN$3=$AD31,$F31&amp;"R",AN30))))</f>
        <v>wN</v>
      </c>
      <c r="AO31" s="11" t="str">
        <f aca="false">IF($P31=0,AO30,IF(AO$3=$E31,IF($AA31=1,$F31&amp;$AB31,$G31),IF(OR(AO$3=$D31,AO$3=$AC31,AO$3=$AE31),"",IF(AO$3=$AD31,$F31&amp;"R",AO30))))</f>
        <v>wR</v>
      </c>
      <c r="AP31" s="11" t="str">
        <f aca="false">IF($P31=0,AP30,IF(AP$3=$E31,IF($AA31=1,$F31&amp;$AB31,$G31),IF(OR(AP$3=$D31,AP$3=$AC31,AP$3=$AE31),"",IF(AP$3=$AD31,$F31&amp;"R",AP30))))</f>
        <v>wP</v>
      </c>
      <c r="AQ31" s="11" t="str">
        <f aca="false">IF($P31=0,AQ30,IF(AQ$3=$E31,IF($AA31=1,$F31&amp;$AB31,$G31),IF(OR(AQ$3=$D31,AQ$3=$AC31,AQ$3=$AE31),"",IF(AQ$3=$AD31,$F31&amp;"R",AQ30))))</f>
        <v>wP</v>
      </c>
      <c r="AR31" s="11" t="str">
        <f aca="false">IF($P31=0,AR30,IF(AR$3=$E31,IF($AA31=1,$F31&amp;$AB31,$G31),IF(OR(AR$3=$D31,AR$3=$AC31,AR$3=$AE31),"",IF(AR$3=$AD31,$F31&amp;"R",AR30))))</f>
        <v>wP</v>
      </c>
      <c r="AS31" s="11" t="str">
        <f aca="false">IF($P31=0,AS30,IF(AS$3=$E31,IF($AA31=1,$F31&amp;$AB31,$G31),IF(OR(AS$3=$D31,AS$3=$AC31,AS$3=$AE31),"",IF(AS$3=$AD31,$F31&amp;"R",AS30))))</f>
        <v>wP</v>
      </c>
      <c r="AT31" s="11" t="str">
        <f aca="false">IF($P31=0,AT30,IF(AT$3=$E31,IF($AA31=1,$F31&amp;$AB31,$G31),IF(OR(AT$3=$D31,AT$3=$AC31,AT$3=$AE31),"",IF(AT$3=$AD31,$F31&amp;"R",AT30))))</f>
        <v>wP</v>
      </c>
      <c r="AU31" s="11" t="str">
        <f aca="false">IF($P31=0,AU30,IF(AU$3=$E31,IF($AA31=1,$F31&amp;$AB31,$G31),IF(OR(AU$3=$D31,AU$3=$AC31,AU$3=$AE31),"",IF(AU$3=$AD31,$F31&amp;"R",AU30))))</f>
        <v>wP</v>
      </c>
      <c r="AV31" s="11" t="str">
        <f aca="false">IF($P31=0,AV30,IF(AV$3=$E31,IF($AA31=1,$F31&amp;$AB31,$G31),IF(OR(AV$3=$D31,AV$3=$AC31,AV$3=$AE31),"",IF(AV$3=$AD31,$F31&amp;"R",AV30))))</f>
        <v>wP</v>
      </c>
      <c r="AW31" s="11" t="str">
        <f aca="false">IF($P31=0,AW30,IF(AW$3=$E31,IF($AA31=1,$F31&amp;$AB31,$G31),IF(OR(AW$3=$D31,AW$3=$AC31,AW$3=$AE31),"",IF(AW$3=$AD31,$F31&amp;"R",AW30))))</f>
        <v>wP</v>
      </c>
      <c r="AX31" s="11" t="str">
        <f aca="false">IF($P31=0,AX30,IF(AX$3=$E31,IF($AA31=1,$F31&amp;$AB31,$G31),IF(OR(AX$3=$D31,AX$3=$AC31,AX$3=$AE31),"",IF(AX$3=$AD31,$F31&amp;"R",AX30))))</f>
        <v/>
      </c>
      <c r="AY31" s="11" t="str">
        <f aca="false">IF($P31=0,AY30,IF(AY$3=$E31,IF($AA31=1,$F31&amp;$AB31,$G31),IF(OR(AY$3=$D31,AY$3=$AC31,AY$3=$AE31),"",IF(AY$3=$AD31,$F31&amp;"R",AY30))))</f>
        <v/>
      </c>
      <c r="AZ31" s="11" t="str">
        <f aca="false">IF($P31=0,AZ30,IF(AZ$3=$E31,IF($AA31=1,$F31&amp;$AB31,$G31),IF(OR(AZ$3=$D31,AZ$3=$AC31,AZ$3=$AE31),"",IF(AZ$3=$AD31,$F31&amp;"R",AZ30))))</f>
        <v/>
      </c>
      <c r="BA31" s="11" t="str">
        <f aca="false">IF($P31=0,BA30,IF(BA$3=$E31,IF($AA31=1,$F31&amp;$AB31,$G31),IF(OR(BA$3=$D31,BA$3=$AC31,BA$3=$AE31),"",IF(BA$3=$AD31,$F31&amp;"R",BA30))))</f>
        <v/>
      </c>
      <c r="BB31" s="11" t="str">
        <f aca="false">IF($P31=0,BB30,IF(BB$3=$E31,IF($AA31=1,$F31&amp;$AB31,$G31),IF(OR(BB$3=$D31,BB$3=$AC31,BB$3=$AE31),"",IF(BB$3=$AD31,$F31&amp;"R",BB30))))</f>
        <v/>
      </c>
      <c r="BC31" s="11" t="str">
        <f aca="false">IF($P31=0,BC30,IF(BC$3=$E31,IF($AA31=1,$F31&amp;$AB31,$G31),IF(OR(BC$3=$D31,BC$3=$AC31,BC$3=$AE31),"",IF(BC$3=$AD31,$F31&amp;"R",BC30))))</f>
        <v/>
      </c>
      <c r="BD31" s="11" t="str">
        <f aca="false">IF($P31=0,BD30,IF(BD$3=$E31,IF($AA31=1,$F31&amp;$AB31,$G31),IF(OR(BD$3=$D31,BD$3=$AC31,BD$3=$AE31),"",IF(BD$3=$AD31,$F31&amp;"R",BD30))))</f>
        <v/>
      </c>
      <c r="BE31" s="11" t="str">
        <f aca="false">IF($P31=0,BE30,IF(BE$3=$E31,IF($AA31=1,$F31&amp;$AB31,$G31),IF(OR(BE$3=$D31,BE$3=$AC31,BE$3=$AE31),"",IF(BE$3=$AD31,$F31&amp;"R",BE30))))</f>
        <v/>
      </c>
      <c r="BF31" s="11" t="str">
        <f aca="false">IF($P31=0,BF30,IF(BF$3=$E31,IF($AA31=1,$F31&amp;$AB31,$G31),IF(OR(BF$3=$D31,BF$3=$AC31,BF$3=$AE31),"",IF(BF$3=$AD31,$F31&amp;"R",BF30))))</f>
        <v/>
      </c>
      <c r="BG31" s="11" t="str">
        <f aca="false">IF($P31=0,BG30,IF(BG$3=$E31,IF($AA31=1,$F31&amp;$AB31,$G31),IF(OR(BG$3=$D31,BG$3=$AC31,BG$3=$AE31),"",IF(BG$3=$AD31,$F31&amp;"R",BG30))))</f>
        <v/>
      </c>
      <c r="BH31" s="11" t="str">
        <f aca="false">IF($P31=0,BH30,IF(BH$3=$E31,IF($AA31=1,$F31&amp;$AB31,$G31),IF(OR(BH$3=$D31,BH$3=$AC31,BH$3=$AE31),"",IF(BH$3=$AD31,$F31&amp;"R",BH30))))</f>
        <v/>
      </c>
      <c r="BI31" s="11" t="str">
        <f aca="false">IF($P31=0,BI30,IF(BI$3=$E31,IF($AA31=1,$F31&amp;$AB31,$G31),IF(OR(BI$3=$D31,BI$3=$AC31,BI$3=$AE31),"",IF(BI$3=$AD31,$F31&amp;"R",BI30))))</f>
        <v/>
      </c>
      <c r="BJ31" s="11" t="str">
        <f aca="false">IF($P31=0,BJ30,IF(BJ$3=$E31,IF($AA31=1,$F31&amp;$AB31,$G31),IF(OR(BJ$3=$D31,BJ$3=$AC31,BJ$3=$AE31),"",IF(BJ$3=$AD31,$F31&amp;"R",BJ30))))</f>
        <v/>
      </c>
      <c r="BK31" s="11" t="str">
        <f aca="false">IF($P31=0,BK30,IF(BK$3=$E31,IF($AA31=1,$F31&amp;$AB31,$G31),IF(OR(BK$3=$D31,BK$3=$AC31,BK$3=$AE31),"",IF(BK$3=$AD31,$F31&amp;"R",BK30))))</f>
        <v/>
      </c>
      <c r="BL31" s="11" t="str">
        <f aca="false">IF($P31=0,BL30,IF(BL$3=$E31,IF($AA31=1,$F31&amp;$AB31,$G31),IF(OR(BL$3=$D31,BL$3=$AC31,BL$3=$AE31),"",IF(BL$3=$AD31,$F31&amp;"R",BL30))))</f>
        <v/>
      </c>
      <c r="BM31" s="11" t="str">
        <f aca="false">IF($P31=0,BM30,IF(BM$3=$E31,IF($AA31=1,$F31&amp;$AB31,$G31),IF(OR(BM$3=$D31,BM$3=$AC31,BM$3=$AE31),"",IF(BM$3=$AD31,$F31&amp;"R",BM30))))</f>
        <v/>
      </c>
      <c r="BN31" s="11" t="str">
        <f aca="false">IF($P31=0,BN30,IF(BN$3=$E31,IF($AA31=1,$F31&amp;$AB31,$G31),IF(OR(BN$3=$D31,BN$3=$AC31,BN$3=$AE31),"",IF(BN$3=$AD31,$F31&amp;"R",BN30))))</f>
        <v/>
      </c>
      <c r="BO31" s="11" t="str">
        <f aca="false">IF($P31=0,BO30,IF(BO$3=$E31,IF($AA31=1,$F31&amp;$AB31,$G31),IF(OR(BO$3=$D31,BO$3=$AC31,BO$3=$AE31),"",IF(BO$3=$AD31,$F31&amp;"R",BO30))))</f>
        <v/>
      </c>
      <c r="BP31" s="11" t="str">
        <f aca="false">IF($P31=0,BP30,IF(BP$3=$E31,IF($AA31=1,$F31&amp;$AB31,$G31),IF(OR(BP$3=$D31,BP$3=$AC31,BP$3=$AE31),"",IF(BP$3=$AD31,$F31&amp;"R",BP30))))</f>
        <v/>
      </c>
      <c r="BQ31" s="11" t="str">
        <f aca="false">IF($P31=0,BQ30,IF(BQ$3=$E31,IF($AA31=1,$F31&amp;$AB31,$G31),IF(OR(BQ$3=$D31,BQ$3=$AC31,BQ$3=$AE31),"",IF(BQ$3=$AD31,$F31&amp;"R",BQ30))))</f>
        <v/>
      </c>
      <c r="BR31" s="11" t="str">
        <f aca="false">IF($P31=0,BR30,IF(BR$3=$E31,IF($AA31=1,$F31&amp;$AB31,$G31),IF(OR(BR$3=$D31,BR$3=$AC31,BR$3=$AE31),"",IF(BR$3=$AD31,$F31&amp;"R",BR30))))</f>
        <v/>
      </c>
      <c r="BS31" s="11" t="str">
        <f aca="false">IF($P31=0,BS30,IF(BS$3=$E31,IF($AA31=1,$F31&amp;$AB31,$G31),IF(OR(BS$3=$D31,BS$3=$AC31,BS$3=$AE31),"",IF(BS$3=$AD31,$F31&amp;"R",BS30))))</f>
        <v/>
      </c>
      <c r="BT31" s="11" t="str">
        <f aca="false">IF($P31=0,BT30,IF(BT$3=$E31,IF($AA31=1,$F31&amp;$AB31,$G31),IF(OR(BT$3=$D31,BT$3=$AC31,BT$3=$AE31),"",IF(BT$3=$AD31,$F31&amp;"R",BT30))))</f>
        <v/>
      </c>
      <c r="BU31" s="11" t="str">
        <f aca="false">IF($P31=0,BU30,IF(BU$3=$E31,IF($AA31=1,$F31&amp;$AB31,$G31),IF(OR(BU$3=$D31,BU$3=$AC31,BU$3=$AE31),"",IF(BU$3=$AD31,$F31&amp;"R",BU30))))</f>
        <v/>
      </c>
      <c r="BV31" s="11" t="str">
        <f aca="false">IF($P31=0,BV30,IF(BV$3=$E31,IF($AA31=1,$F31&amp;$AB31,$G31),IF(OR(BV$3=$D31,BV$3=$AC31,BV$3=$AE31),"",IF(BV$3=$AD31,$F31&amp;"R",BV30))))</f>
        <v/>
      </c>
      <c r="BW31" s="11" t="str">
        <f aca="false">IF($P31=0,BW30,IF(BW$3=$E31,IF($AA31=1,$F31&amp;$AB31,$G31),IF(OR(BW$3=$D31,BW$3=$AC31,BW$3=$AE31),"",IF(BW$3=$AD31,$F31&amp;"R",BW30))))</f>
        <v/>
      </c>
      <c r="BX31" s="11" t="str">
        <f aca="false">IF($P31=0,BX30,IF(BX$3=$E31,IF($AA31=1,$F31&amp;$AB31,$G31),IF(OR(BX$3=$D31,BX$3=$AC31,BX$3=$AE31),"",IF(BX$3=$AD31,$F31&amp;"R",BX30))))</f>
        <v/>
      </c>
      <c r="BY31" s="11" t="str">
        <f aca="false">IF($P31=0,BY30,IF(BY$3=$E31,IF($AA31=1,$F31&amp;$AB31,$G31),IF(OR(BY$3=$D31,BY$3=$AC31,BY$3=$AE31),"",IF(BY$3=$AD31,$F31&amp;"R",BY30))))</f>
        <v/>
      </c>
      <c r="BZ31" s="11" t="str">
        <f aca="false">IF($P31=0,BZ30,IF(BZ$3=$E31,IF($AA31=1,$F31&amp;$AB31,$G31),IF(OR(BZ$3=$D31,BZ$3=$AC31,BZ$3=$AE31),"",IF(BZ$3=$AD31,$F31&amp;"R",BZ30))))</f>
        <v/>
      </c>
      <c r="CA31" s="11" t="str">
        <f aca="false">IF($P31=0,CA30,IF(CA$3=$E31,IF($AA31=1,$F31&amp;$AB31,$G31),IF(OR(CA$3=$D31,CA$3=$AC31,CA$3=$AE31),"",IF(CA$3=$AD31,$F31&amp;"R",CA30))))</f>
        <v/>
      </c>
      <c r="CB31" s="11" t="str">
        <f aca="false">IF($P31=0,CB30,IF(CB$3=$E31,IF($AA31=1,$F31&amp;$AB31,$G31),IF(OR(CB$3=$D31,CB$3=$AC31,CB$3=$AE31),"",IF(CB$3=$AD31,$F31&amp;"R",CB30))))</f>
        <v/>
      </c>
      <c r="CC31" s="11" t="str">
        <f aca="false">IF($P31=0,CC30,IF(CC$3=$E31,IF($AA31=1,$F31&amp;$AB31,$G31),IF(OR(CC$3=$D31,CC$3=$AC31,CC$3=$AE31),"",IF(CC$3=$AD31,$F31&amp;"R",CC30))))</f>
        <v/>
      </c>
      <c r="CD31" s="11" t="str">
        <f aca="false">IF($P31=0,CD30,IF(CD$3=$E31,IF($AA31=1,$F31&amp;$AB31,$G31),IF(OR(CD$3=$D31,CD$3=$AC31,CD$3=$AE31),"",IF(CD$3=$AD31,$F31&amp;"R",CD30))))</f>
        <v>bP</v>
      </c>
      <c r="CE31" s="11" t="str">
        <f aca="false">IF($P31=0,CE30,IF(CE$3=$E31,IF($AA31=1,$F31&amp;$AB31,$G31),IF(OR(CE$3=$D31,CE$3=$AC31,CE$3=$AE31),"",IF(CE$3=$AD31,$F31&amp;"R",CE30))))</f>
        <v>bP</v>
      </c>
      <c r="CF31" s="11" t="str">
        <f aca="false">IF($P31=0,CF30,IF(CF$3=$E31,IF($AA31=1,$F31&amp;$AB31,$G31),IF(OR(CF$3=$D31,CF$3=$AC31,CF$3=$AE31),"",IF(CF$3=$AD31,$F31&amp;"R",CF30))))</f>
        <v>bP</v>
      </c>
      <c r="CG31" s="11" t="str">
        <f aca="false">IF($P31=0,CG30,IF(CG$3=$E31,IF($AA31=1,$F31&amp;$AB31,$G31),IF(OR(CG$3=$D31,CG$3=$AC31,CG$3=$AE31),"",IF(CG$3=$AD31,$F31&amp;"R",CG30))))</f>
        <v>bP</v>
      </c>
      <c r="CH31" s="11" t="str">
        <f aca="false">IF($P31=0,CH30,IF(CH$3=$E31,IF($AA31=1,$F31&amp;$AB31,$G31),IF(OR(CH$3=$D31,CH$3=$AC31,CH$3=$AE31),"",IF(CH$3=$AD31,$F31&amp;"R",CH30))))</f>
        <v>bP</v>
      </c>
      <c r="CI31" s="11" t="str">
        <f aca="false">IF($P31=0,CI30,IF(CI$3=$E31,IF($AA31=1,$F31&amp;$AB31,$G31),IF(OR(CI$3=$D31,CI$3=$AC31,CI$3=$AE31),"",IF(CI$3=$AD31,$F31&amp;"R",CI30))))</f>
        <v>bP</v>
      </c>
      <c r="CJ31" s="11" t="str">
        <f aca="false">IF($P31=0,CJ30,IF(CJ$3=$E31,IF($AA31=1,$F31&amp;$AB31,$G31),IF(OR(CJ$3=$D31,CJ$3=$AC31,CJ$3=$AE31),"",IF(CJ$3=$AD31,$F31&amp;"R",CJ30))))</f>
        <v>bP</v>
      </c>
      <c r="CK31" s="11" t="str">
        <f aca="false">IF($P31=0,CK30,IF(CK$3=$E31,IF($AA31=1,$F31&amp;$AB31,$G31),IF(OR(CK$3=$D31,CK$3=$AC31,CK$3=$AE31),"",IF(CK$3=$AD31,$F31&amp;"R",CK30))))</f>
        <v>bP</v>
      </c>
      <c r="CL31" s="11" t="str">
        <f aca="false">IF($P31=0,CL30,IF(CL$3=$E31,IF($AA31=1,$F31&amp;$AB31,$G31),IF(OR(CL$3=$D31,CL$3=$AC31,CL$3=$AE31),"",IF(CL$3=$AD31,$F31&amp;"R",CL30))))</f>
        <v>bR</v>
      </c>
      <c r="CM31" s="11" t="str">
        <f aca="false">IF($P31=0,CM30,IF(CM$3=$E31,IF($AA31=1,$F31&amp;$AB31,$G31),IF(OR(CM$3=$D31,CM$3=$AC31,CM$3=$AE31),"",IF(CM$3=$AD31,$F31&amp;"R",CM30))))</f>
        <v>bN</v>
      </c>
      <c r="CN31" s="11" t="str">
        <f aca="false">IF($P31=0,CN30,IF(CN$3=$E31,IF($AA31=1,$F31&amp;$AB31,$G31),IF(OR(CN$3=$D31,CN$3=$AC31,CN$3=$AE31),"",IF(CN$3=$AD31,$F31&amp;"R",CN30))))</f>
        <v>bB</v>
      </c>
      <c r="CO31" s="11" t="str">
        <f aca="false">IF($P31=0,CO30,IF(CO$3=$E31,IF($AA31=1,$F31&amp;$AB31,$G31),IF(OR(CO$3=$D31,CO$3=$AC31,CO$3=$AE31),"",IF(CO$3=$AD31,$F31&amp;"R",CO30))))</f>
        <v>bQ</v>
      </c>
      <c r="CP31" s="11" t="str">
        <f aca="false">IF($P31=0,CP30,IF(CP$3=$E31,IF($AA31=1,$F31&amp;$AB31,$G31),IF(OR(CP$3=$D31,CP$3=$AC31,CP$3=$AE31),"",IF(CP$3=$AD31,$F31&amp;"R",CP30))))</f>
        <v>bK</v>
      </c>
      <c r="CQ31" s="11" t="str">
        <f aca="false">IF($P31=0,CQ30,IF(CQ$3=$E31,IF($AA31=1,$F31&amp;$AB31,$G31),IF(OR(CQ$3=$D31,CQ$3=$AC31,CQ$3=$AE31),"",IF(CQ$3=$AD31,$F31&amp;"R",CQ30))))</f>
        <v>bB</v>
      </c>
      <c r="CR31" s="11" t="str">
        <f aca="false">IF($P31=0,CR30,IF(CR$3=$E31,IF($AA31=1,$F31&amp;$AB31,$G31),IF(OR(CR$3=$D31,CR$3=$AC31,CR$3=$AE31),"",IF(CR$3=$AD31,$F31&amp;"R",CR30))))</f>
        <v>bN</v>
      </c>
      <c r="CS31" s="11" t="str">
        <f aca="false">IF($P31=0,CS30,IF(CS$3=$E31,IF($AA31=1,$F31&amp;$AB31,$G31),IF(OR(CS$3=$D31,CS$3=$AC31,CS$3=$AE31),"",IF(CS$3=$AD31,$F31&amp;"R",CS30))))</f>
        <v>bR</v>
      </c>
      <c r="CT31" s="11"/>
      <c r="CU31" s="11"/>
      <c r="CV31" s="11"/>
    </row>
    <row r="32" customFormat="false" ht="15" hidden="false" customHeight="false" outlineLevel="0" collapsed="false">
      <c r="A32" s="11" t="n">
        <v>27</v>
      </c>
      <c r="B32" s="11" t="str">
        <f aca="false">IF(Chess!$L$36="","",Chess!$L$36&amp;"")</f>
        <v/>
      </c>
      <c r="C32" s="11" t="str">
        <f aca="false">LOWER(SUBSTITUTE(SUBSTITUTE(SUBSTITUTE(SUBSTITUTE(TRIM($B32),"-",""),"=","")," ",""),"x",""))</f>
        <v/>
      </c>
      <c r="D32" s="11" t="n">
        <f aca="false">IF(LEN($C32)&lt;4,0,IFERROR(IF(AND(CODE(MID($C32,1,1))&gt;=97,CODE(MID($C32,1,1))&lt;=104,VALUE(MID($C32,2,1))&gt;=1,VALUE(MID($C32,2,1))&lt;=8),(VALUE(MID($C32,2,1))-1)*8+CODE(MID($C32,1,1))-96,0),0))</f>
        <v>0</v>
      </c>
      <c r="E32" s="11" t="n">
        <f aca="false">IF(LEN($C32)&lt;4,0,IFERROR(IF(AND(CODE(MID($C32,3,1))&gt;=97,CODE(MID($C32,3,1))&lt;=104,VALUE(MID($C32,4,1))&gt;=1,VALUE(MID($C32,4,1))&lt;=8),(VALUE(MID($C32,4,1))-1)*8+CODE(MID($C32,3,1))-96,0),0))</f>
        <v>0</v>
      </c>
      <c r="F32" s="11" t="str">
        <f aca="false">IF(MOD(SUM($P$5:$P31),2)=0,"w","b")</f>
        <v>w</v>
      </c>
      <c r="G32" s="11" t="str">
        <f aca="false">IF($D32=0,"",INDEX($AH31:$CS31,1,$D32)&amp;"")</f>
        <v/>
      </c>
      <c r="H32" s="11" t="str">
        <f aca="false">IF($E32=0,"",INDEX($AH31:$CS31,1,$E32)&amp;"")</f>
        <v/>
      </c>
      <c r="I32" s="11" t="n">
        <f aca="false">IF(OR($D32=0,$E32=0),0,MOD($E32-1,8)-MOD($D32-1,8))</f>
        <v>0</v>
      </c>
      <c r="J32" s="11" t="n">
        <f aca="false">IF(OR($D32=0,$E32=0),0,INT(($E32-1)/8)-INT(($D32-1)/8))</f>
        <v>0</v>
      </c>
      <c r="K32" s="11" t="str">
        <f aca="false">IF($G32="","",RIGHT($G32,1))</f>
        <v/>
      </c>
      <c r="L32" s="11" t="n">
        <f aca="false">IF(OR($D32=0,$E32=0),0,SUMPRODUCT(($AH$3:$CS$3&gt;MIN($D32,$E32))*($AH$3:$CS$3&lt;MAX($D32,$E32))*(MOD($AH$3:$CS$3-MIN($D32,$E32),MAX(1,ABS(SIGN($J32)*8+SIGN($I32))))=0)*($AH31:$CS31&lt;&gt;"")))</f>
        <v>0</v>
      </c>
      <c r="M32" s="11" t="n">
        <f aca="false">IF($K32&lt;&gt;"K",0,IFERROR(--AND($J32=0,ABS($I32)=2,$D32=IF($F32="w",5,61),IF($F32="w",$S31,$V31)=0,IF($I32=2,AND(IF($F32="w",$U31,$X31)=0,INDEX($AH31:$CS31,1,$D32+1)&amp;""="",INDEX($AH31:$CS31,1,$D32+2)&amp;""=""),AND(IF($F32="w",$T31,$W31)=0,INDEX($AH31:$CS31,1,$D32-1)&amp;""="",INDEX($AH31:$CS31,1,$D32-2)&amp;""="",INDEX($AH31:$CS31,1,$D32-3)&amp;""=""))),0))</f>
        <v>0</v>
      </c>
      <c r="N32" s="11" t="n">
        <f aca="false">IF($K32&lt;&gt;"P",0,IFERROR(--OR(AND($I32=0,$J32=IF($F32="w",1,-1),$H32=""),AND($I32=0,$J32=2*IF($F32="w",1,-1),$H32="",INT(($D32-1)/8)=IF($F32="w",1,6),INDEX($AH31:$CS31,1,MAX(1,MIN(64,$D32+8*IF($F32="w",1,-1))))&amp;""=""),AND(ABS($I32)=1,$J32=IF($F32="w",1,-1),$H32&lt;&gt;""),AND(ABS($I32)=1,$J32=IF($F32="w",1,-1),$H32="",$R31&gt;0,$E32=$R31)),0))</f>
        <v>0</v>
      </c>
      <c r="O32" s="11" t="n">
        <f aca="false">IF(OR($D32=0,$E32=0,$G32=""),0,IF($K32="N",--OR(AND(ABS($I32)=1,ABS($J32)=2),AND(ABS($I32)=2,ABS($J32)=1)),IF($K32="B",--AND(ABS($I32)=ABS($J32),$I32&lt;&gt;0,$L32=0),IF($K32="R",--AND(OR($I32=0,$J32=0),OR($I32&lt;&gt;0,$J32&lt;&gt;0),$L32=0),IF($K32="Q",--AND(OR(AND(ABS($I32)=ABS($J32),$I32&lt;&gt;0),AND(OR($I32=0,$J32=0),OR($I32&lt;&gt;0,$J32&lt;&gt;0))),$L32=0),IF($K32="K",--OR(MAX(ABS($I32),ABS($J32))=1,$M32=1),$N32))))))</f>
        <v>0</v>
      </c>
      <c r="P32" s="11" t="n">
        <f aca="false">IF($Q32="OK",1,0)</f>
        <v>0</v>
      </c>
      <c r="Q32" s="11" t="str">
        <f aca="false">IF($B32="","",IF(OR(COUNTIF($AH31:$CS31,"wK")=0,COUNTIF($AH31:$CS31,"bK")=0),"Game is over",IF(OR($D32=0,$E32=0),"Use the format e2e4",IF($G32="","No piece on that square",IF(LEFT($G32,1)&lt;&gt;$F32,"Not your piece ("&amp;IF($F32="w","White","Black")&amp;" to move)",IF($D32=$E32,"Piece must move",IF(AND($H32&lt;&gt;"",LEFT($H32,1)=$F32),"Cannot capture your own piece",IF($O32=0,"Illegal move for that piece (or path blocked)","OK"))))))))</f>
        <v/>
      </c>
      <c r="R32" s="11" t="n">
        <f aca="false">IF($P32=1,IF(AND($K32="P",ABS($J32)=2),($D32+$E32)/2,0),$R31)</f>
        <v>0</v>
      </c>
      <c r="S32" s="12" t="b">
        <f aca="false">--OR($S31=1,AND($P32=1,OR($D32=5,$E32=5)))</f>
        <v>0</v>
      </c>
      <c r="T32" s="12" t="b">
        <f aca="false">--OR($T31=1,AND($P32=1,OR($D32=1,$E32=1)))</f>
        <v>0</v>
      </c>
      <c r="U32" s="12" t="b">
        <f aca="false">--OR($U31=1,AND($P32=1,OR($D32=8,$E32=8)))</f>
        <v>0</v>
      </c>
      <c r="V32" s="12" t="b">
        <f aca="false">--OR($V31=1,AND($P32=1,OR($D32=61,$E32=61)))</f>
        <v>0</v>
      </c>
      <c r="W32" s="12" t="b">
        <f aca="false">--OR($W31=1,AND($P32=1,OR($D32=57,$E32=57)))</f>
        <v>0</v>
      </c>
      <c r="X32" s="12" t="b">
        <f aca="false">--OR($X31=1,AND($P32=1,OR($D32=64,$E32=64)))</f>
        <v>0</v>
      </c>
      <c r="Y32" s="12" t="b">
        <f aca="false">--AND($P32=1,$K32="K",ABS($I32)=2)</f>
        <v>0</v>
      </c>
      <c r="Z32" s="12" t="b">
        <f aca="false">--AND($P32=1,$K32="P",ABS($I32)=1,$H32="")</f>
        <v>0</v>
      </c>
      <c r="AA32" s="12" t="b">
        <f aca="false">--AND($P32=1,$K32="P",INT(($E32-1)/8)=IF($F32="w",7,0))</f>
        <v>0</v>
      </c>
      <c r="AB32" s="11" t="str">
        <f aca="false">IF(LEN($C32)&gt;=5,IF(ISNUMBER(FIND(MID($C32,5,1),"qrbn")),UPPER(MID($C32,5,1)),"Q"),"Q")</f>
        <v>Q</v>
      </c>
      <c r="AC32" s="11" t="n">
        <f aca="false">IF($Y32=1,IF($I32=2,$D32+3,$D32-4),0)</f>
        <v>0</v>
      </c>
      <c r="AD32" s="11" t="n">
        <f aca="false">IF($Y32=1,IF($I32=2,$D32+1,$D32-1),0)</f>
        <v>0</v>
      </c>
      <c r="AE32" s="11" t="n">
        <f aca="false">IF($Z32=1,$E32-8*IF($F32="w",1,-1),0)</f>
        <v>0</v>
      </c>
      <c r="AF32" s="11" t="str">
        <f aca="false">IF($B32="","",IF($P32=1,LOWER(INDEX($CV$2:$CV$13,MATCH($G32,$CU$2:$CU$13,0)))&amp;" "&amp;MID("abcdefgh",MOD($D32-1,8)+1,1)&amp;(INT(($D32-1)/8)+1)&amp;"→"&amp;MID("abcdefgh",MOD($E32-1,8)+1,1)&amp;(INT(($E32-1)/8)+1)&amp;IF(OR($H32&lt;&gt;"",$Z32=1)," ×","")&amp;IF($Y32=1," castles","")&amp;IF($Z32=1," e.p.","")&amp;IF($AA32=1," =" &amp;LOWER(INDEX($CV$2:$CV$13,MATCH($F32&amp;$AB32,$CU$2:$CU$13,0))),""),"X "&amp;$Q32))</f>
        <v/>
      </c>
      <c r="AG32" s="11"/>
      <c r="AH32" s="11" t="str">
        <f aca="false">IF($P32=0,AH31,IF(AH$3=$E32,IF($AA32=1,$F32&amp;$AB32,$G32),IF(OR(AH$3=$D32,AH$3=$AC32,AH$3=$AE32),"",IF(AH$3=$AD32,$F32&amp;"R",AH31))))</f>
        <v>wR</v>
      </c>
      <c r="AI32" s="11" t="str">
        <f aca="false">IF($P32=0,AI31,IF(AI$3=$E32,IF($AA32=1,$F32&amp;$AB32,$G32),IF(OR(AI$3=$D32,AI$3=$AC32,AI$3=$AE32),"",IF(AI$3=$AD32,$F32&amp;"R",AI31))))</f>
        <v>wN</v>
      </c>
      <c r="AJ32" s="11" t="str">
        <f aca="false">IF($P32=0,AJ31,IF(AJ$3=$E32,IF($AA32=1,$F32&amp;$AB32,$G32),IF(OR(AJ$3=$D32,AJ$3=$AC32,AJ$3=$AE32),"",IF(AJ$3=$AD32,$F32&amp;"R",AJ31))))</f>
        <v>wB</v>
      </c>
      <c r="AK32" s="11" t="str">
        <f aca="false">IF($P32=0,AK31,IF(AK$3=$E32,IF($AA32=1,$F32&amp;$AB32,$G32),IF(OR(AK$3=$D32,AK$3=$AC32,AK$3=$AE32),"",IF(AK$3=$AD32,$F32&amp;"R",AK31))))</f>
        <v>wQ</v>
      </c>
      <c r="AL32" s="11" t="str">
        <f aca="false">IF($P32=0,AL31,IF(AL$3=$E32,IF($AA32=1,$F32&amp;$AB32,$G32),IF(OR(AL$3=$D32,AL$3=$AC32,AL$3=$AE32),"",IF(AL$3=$AD32,$F32&amp;"R",AL31))))</f>
        <v>wK</v>
      </c>
      <c r="AM32" s="11" t="str">
        <f aca="false">IF($P32=0,AM31,IF(AM$3=$E32,IF($AA32=1,$F32&amp;$AB32,$G32),IF(OR(AM$3=$D32,AM$3=$AC32,AM$3=$AE32),"",IF(AM$3=$AD32,$F32&amp;"R",AM31))))</f>
        <v>wB</v>
      </c>
      <c r="AN32" s="11" t="str">
        <f aca="false">IF($P32=0,AN31,IF(AN$3=$E32,IF($AA32=1,$F32&amp;$AB32,$G32),IF(OR(AN$3=$D32,AN$3=$AC32,AN$3=$AE32),"",IF(AN$3=$AD32,$F32&amp;"R",AN31))))</f>
        <v>wN</v>
      </c>
      <c r="AO32" s="11" t="str">
        <f aca="false">IF($P32=0,AO31,IF(AO$3=$E32,IF($AA32=1,$F32&amp;$AB32,$G32),IF(OR(AO$3=$D32,AO$3=$AC32,AO$3=$AE32),"",IF(AO$3=$AD32,$F32&amp;"R",AO31))))</f>
        <v>wR</v>
      </c>
      <c r="AP32" s="11" t="str">
        <f aca="false">IF($P32=0,AP31,IF(AP$3=$E32,IF($AA32=1,$F32&amp;$AB32,$G32),IF(OR(AP$3=$D32,AP$3=$AC32,AP$3=$AE32),"",IF(AP$3=$AD32,$F32&amp;"R",AP31))))</f>
        <v>wP</v>
      </c>
      <c r="AQ32" s="11" t="str">
        <f aca="false">IF($P32=0,AQ31,IF(AQ$3=$E32,IF($AA32=1,$F32&amp;$AB32,$G32),IF(OR(AQ$3=$D32,AQ$3=$AC32,AQ$3=$AE32),"",IF(AQ$3=$AD32,$F32&amp;"R",AQ31))))</f>
        <v>wP</v>
      </c>
      <c r="AR32" s="11" t="str">
        <f aca="false">IF($P32=0,AR31,IF(AR$3=$E32,IF($AA32=1,$F32&amp;$AB32,$G32),IF(OR(AR$3=$D32,AR$3=$AC32,AR$3=$AE32),"",IF(AR$3=$AD32,$F32&amp;"R",AR31))))</f>
        <v>wP</v>
      </c>
      <c r="AS32" s="11" t="str">
        <f aca="false">IF($P32=0,AS31,IF(AS$3=$E32,IF($AA32=1,$F32&amp;$AB32,$G32),IF(OR(AS$3=$D32,AS$3=$AC32,AS$3=$AE32),"",IF(AS$3=$AD32,$F32&amp;"R",AS31))))</f>
        <v>wP</v>
      </c>
      <c r="AT32" s="11" t="str">
        <f aca="false">IF($P32=0,AT31,IF(AT$3=$E32,IF($AA32=1,$F32&amp;$AB32,$G32),IF(OR(AT$3=$D32,AT$3=$AC32,AT$3=$AE32),"",IF(AT$3=$AD32,$F32&amp;"R",AT31))))</f>
        <v>wP</v>
      </c>
      <c r="AU32" s="11" t="str">
        <f aca="false">IF($P32=0,AU31,IF(AU$3=$E32,IF($AA32=1,$F32&amp;$AB32,$G32),IF(OR(AU$3=$D32,AU$3=$AC32,AU$3=$AE32),"",IF(AU$3=$AD32,$F32&amp;"R",AU31))))</f>
        <v>wP</v>
      </c>
      <c r="AV32" s="11" t="str">
        <f aca="false">IF($P32=0,AV31,IF(AV$3=$E32,IF($AA32=1,$F32&amp;$AB32,$G32),IF(OR(AV$3=$D32,AV$3=$AC32,AV$3=$AE32),"",IF(AV$3=$AD32,$F32&amp;"R",AV31))))</f>
        <v>wP</v>
      </c>
      <c r="AW32" s="11" t="str">
        <f aca="false">IF($P32=0,AW31,IF(AW$3=$E32,IF($AA32=1,$F32&amp;$AB32,$G32),IF(OR(AW$3=$D32,AW$3=$AC32,AW$3=$AE32),"",IF(AW$3=$AD32,$F32&amp;"R",AW31))))</f>
        <v>wP</v>
      </c>
      <c r="AX32" s="11" t="str">
        <f aca="false">IF($P32=0,AX31,IF(AX$3=$E32,IF($AA32=1,$F32&amp;$AB32,$G32),IF(OR(AX$3=$D32,AX$3=$AC32,AX$3=$AE32),"",IF(AX$3=$AD32,$F32&amp;"R",AX31))))</f>
        <v/>
      </c>
      <c r="AY32" s="11" t="str">
        <f aca="false">IF($P32=0,AY31,IF(AY$3=$E32,IF($AA32=1,$F32&amp;$AB32,$G32),IF(OR(AY$3=$D32,AY$3=$AC32,AY$3=$AE32),"",IF(AY$3=$AD32,$F32&amp;"R",AY31))))</f>
        <v/>
      </c>
      <c r="AZ32" s="11" t="str">
        <f aca="false">IF($P32=0,AZ31,IF(AZ$3=$E32,IF($AA32=1,$F32&amp;$AB32,$G32),IF(OR(AZ$3=$D32,AZ$3=$AC32,AZ$3=$AE32),"",IF(AZ$3=$AD32,$F32&amp;"R",AZ31))))</f>
        <v/>
      </c>
      <c r="BA32" s="11" t="str">
        <f aca="false">IF($P32=0,BA31,IF(BA$3=$E32,IF($AA32=1,$F32&amp;$AB32,$G32),IF(OR(BA$3=$D32,BA$3=$AC32,BA$3=$AE32),"",IF(BA$3=$AD32,$F32&amp;"R",BA31))))</f>
        <v/>
      </c>
      <c r="BB32" s="11" t="str">
        <f aca="false">IF($P32=0,BB31,IF(BB$3=$E32,IF($AA32=1,$F32&amp;$AB32,$G32),IF(OR(BB$3=$D32,BB$3=$AC32,BB$3=$AE32),"",IF(BB$3=$AD32,$F32&amp;"R",BB31))))</f>
        <v/>
      </c>
      <c r="BC32" s="11" t="str">
        <f aca="false">IF($P32=0,BC31,IF(BC$3=$E32,IF($AA32=1,$F32&amp;$AB32,$G32),IF(OR(BC$3=$D32,BC$3=$AC32,BC$3=$AE32),"",IF(BC$3=$AD32,$F32&amp;"R",BC31))))</f>
        <v/>
      </c>
      <c r="BD32" s="11" t="str">
        <f aca="false">IF($P32=0,BD31,IF(BD$3=$E32,IF($AA32=1,$F32&amp;$AB32,$G32),IF(OR(BD$3=$D32,BD$3=$AC32,BD$3=$AE32),"",IF(BD$3=$AD32,$F32&amp;"R",BD31))))</f>
        <v/>
      </c>
      <c r="BE32" s="11" t="str">
        <f aca="false">IF($P32=0,BE31,IF(BE$3=$E32,IF($AA32=1,$F32&amp;$AB32,$G32),IF(OR(BE$3=$D32,BE$3=$AC32,BE$3=$AE32),"",IF(BE$3=$AD32,$F32&amp;"R",BE31))))</f>
        <v/>
      </c>
      <c r="BF32" s="11" t="str">
        <f aca="false">IF($P32=0,BF31,IF(BF$3=$E32,IF($AA32=1,$F32&amp;$AB32,$G32),IF(OR(BF$3=$D32,BF$3=$AC32,BF$3=$AE32),"",IF(BF$3=$AD32,$F32&amp;"R",BF31))))</f>
        <v/>
      </c>
      <c r="BG32" s="11" t="str">
        <f aca="false">IF($P32=0,BG31,IF(BG$3=$E32,IF($AA32=1,$F32&amp;$AB32,$G32),IF(OR(BG$3=$D32,BG$3=$AC32,BG$3=$AE32),"",IF(BG$3=$AD32,$F32&amp;"R",BG31))))</f>
        <v/>
      </c>
      <c r="BH32" s="11" t="str">
        <f aca="false">IF($P32=0,BH31,IF(BH$3=$E32,IF($AA32=1,$F32&amp;$AB32,$G32),IF(OR(BH$3=$D32,BH$3=$AC32,BH$3=$AE32),"",IF(BH$3=$AD32,$F32&amp;"R",BH31))))</f>
        <v/>
      </c>
      <c r="BI32" s="11" t="str">
        <f aca="false">IF($P32=0,BI31,IF(BI$3=$E32,IF($AA32=1,$F32&amp;$AB32,$G32),IF(OR(BI$3=$D32,BI$3=$AC32,BI$3=$AE32),"",IF(BI$3=$AD32,$F32&amp;"R",BI31))))</f>
        <v/>
      </c>
      <c r="BJ32" s="11" t="str">
        <f aca="false">IF($P32=0,BJ31,IF(BJ$3=$E32,IF($AA32=1,$F32&amp;$AB32,$G32),IF(OR(BJ$3=$D32,BJ$3=$AC32,BJ$3=$AE32),"",IF(BJ$3=$AD32,$F32&amp;"R",BJ31))))</f>
        <v/>
      </c>
      <c r="BK32" s="11" t="str">
        <f aca="false">IF($P32=0,BK31,IF(BK$3=$E32,IF($AA32=1,$F32&amp;$AB32,$G32),IF(OR(BK$3=$D32,BK$3=$AC32,BK$3=$AE32),"",IF(BK$3=$AD32,$F32&amp;"R",BK31))))</f>
        <v/>
      </c>
      <c r="BL32" s="11" t="str">
        <f aca="false">IF($P32=0,BL31,IF(BL$3=$E32,IF($AA32=1,$F32&amp;$AB32,$G32),IF(OR(BL$3=$D32,BL$3=$AC32,BL$3=$AE32),"",IF(BL$3=$AD32,$F32&amp;"R",BL31))))</f>
        <v/>
      </c>
      <c r="BM32" s="11" t="str">
        <f aca="false">IF($P32=0,BM31,IF(BM$3=$E32,IF($AA32=1,$F32&amp;$AB32,$G32),IF(OR(BM$3=$D32,BM$3=$AC32,BM$3=$AE32),"",IF(BM$3=$AD32,$F32&amp;"R",BM31))))</f>
        <v/>
      </c>
      <c r="BN32" s="11" t="str">
        <f aca="false">IF($P32=0,BN31,IF(BN$3=$E32,IF($AA32=1,$F32&amp;$AB32,$G32),IF(OR(BN$3=$D32,BN$3=$AC32,BN$3=$AE32),"",IF(BN$3=$AD32,$F32&amp;"R",BN31))))</f>
        <v/>
      </c>
      <c r="BO32" s="11" t="str">
        <f aca="false">IF($P32=0,BO31,IF(BO$3=$E32,IF($AA32=1,$F32&amp;$AB32,$G32),IF(OR(BO$3=$D32,BO$3=$AC32,BO$3=$AE32),"",IF(BO$3=$AD32,$F32&amp;"R",BO31))))</f>
        <v/>
      </c>
      <c r="BP32" s="11" t="str">
        <f aca="false">IF($P32=0,BP31,IF(BP$3=$E32,IF($AA32=1,$F32&amp;$AB32,$G32),IF(OR(BP$3=$D32,BP$3=$AC32,BP$3=$AE32),"",IF(BP$3=$AD32,$F32&amp;"R",BP31))))</f>
        <v/>
      </c>
      <c r="BQ32" s="11" t="str">
        <f aca="false">IF($P32=0,BQ31,IF(BQ$3=$E32,IF($AA32=1,$F32&amp;$AB32,$G32),IF(OR(BQ$3=$D32,BQ$3=$AC32,BQ$3=$AE32),"",IF(BQ$3=$AD32,$F32&amp;"R",BQ31))))</f>
        <v/>
      </c>
      <c r="BR32" s="11" t="str">
        <f aca="false">IF($P32=0,BR31,IF(BR$3=$E32,IF($AA32=1,$F32&amp;$AB32,$G32),IF(OR(BR$3=$D32,BR$3=$AC32,BR$3=$AE32),"",IF(BR$3=$AD32,$F32&amp;"R",BR31))))</f>
        <v/>
      </c>
      <c r="BS32" s="11" t="str">
        <f aca="false">IF($P32=0,BS31,IF(BS$3=$E32,IF($AA32=1,$F32&amp;$AB32,$G32),IF(OR(BS$3=$D32,BS$3=$AC32,BS$3=$AE32),"",IF(BS$3=$AD32,$F32&amp;"R",BS31))))</f>
        <v/>
      </c>
      <c r="BT32" s="11" t="str">
        <f aca="false">IF($P32=0,BT31,IF(BT$3=$E32,IF($AA32=1,$F32&amp;$AB32,$G32),IF(OR(BT$3=$D32,BT$3=$AC32,BT$3=$AE32),"",IF(BT$3=$AD32,$F32&amp;"R",BT31))))</f>
        <v/>
      </c>
      <c r="BU32" s="11" t="str">
        <f aca="false">IF($P32=0,BU31,IF(BU$3=$E32,IF($AA32=1,$F32&amp;$AB32,$G32),IF(OR(BU$3=$D32,BU$3=$AC32,BU$3=$AE32),"",IF(BU$3=$AD32,$F32&amp;"R",BU31))))</f>
        <v/>
      </c>
      <c r="BV32" s="11" t="str">
        <f aca="false">IF($P32=0,BV31,IF(BV$3=$E32,IF($AA32=1,$F32&amp;$AB32,$G32),IF(OR(BV$3=$D32,BV$3=$AC32,BV$3=$AE32),"",IF(BV$3=$AD32,$F32&amp;"R",BV31))))</f>
        <v/>
      </c>
      <c r="BW32" s="11" t="str">
        <f aca="false">IF($P32=0,BW31,IF(BW$3=$E32,IF($AA32=1,$F32&amp;$AB32,$G32),IF(OR(BW$3=$D32,BW$3=$AC32,BW$3=$AE32),"",IF(BW$3=$AD32,$F32&amp;"R",BW31))))</f>
        <v/>
      </c>
      <c r="BX32" s="11" t="str">
        <f aca="false">IF($P32=0,BX31,IF(BX$3=$E32,IF($AA32=1,$F32&amp;$AB32,$G32),IF(OR(BX$3=$D32,BX$3=$AC32,BX$3=$AE32),"",IF(BX$3=$AD32,$F32&amp;"R",BX31))))</f>
        <v/>
      </c>
      <c r="BY32" s="11" t="str">
        <f aca="false">IF($P32=0,BY31,IF(BY$3=$E32,IF($AA32=1,$F32&amp;$AB32,$G32),IF(OR(BY$3=$D32,BY$3=$AC32,BY$3=$AE32),"",IF(BY$3=$AD32,$F32&amp;"R",BY31))))</f>
        <v/>
      </c>
      <c r="BZ32" s="11" t="str">
        <f aca="false">IF($P32=0,BZ31,IF(BZ$3=$E32,IF($AA32=1,$F32&amp;$AB32,$G32),IF(OR(BZ$3=$D32,BZ$3=$AC32,BZ$3=$AE32),"",IF(BZ$3=$AD32,$F32&amp;"R",BZ31))))</f>
        <v/>
      </c>
      <c r="CA32" s="11" t="str">
        <f aca="false">IF($P32=0,CA31,IF(CA$3=$E32,IF($AA32=1,$F32&amp;$AB32,$G32),IF(OR(CA$3=$D32,CA$3=$AC32,CA$3=$AE32),"",IF(CA$3=$AD32,$F32&amp;"R",CA31))))</f>
        <v/>
      </c>
      <c r="CB32" s="11" t="str">
        <f aca="false">IF($P32=0,CB31,IF(CB$3=$E32,IF($AA32=1,$F32&amp;$AB32,$G32),IF(OR(CB$3=$D32,CB$3=$AC32,CB$3=$AE32),"",IF(CB$3=$AD32,$F32&amp;"R",CB31))))</f>
        <v/>
      </c>
      <c r="CC32" s="11" t="str">
        <f aca="false">IF($P32=0,CC31,IF(CC$3=$E32,IF($AA32=1,$F32&amp;$AB32,$G32),IF(OR(CC$3=$D32,CC$3=$AC32,CC$3=$AE32),"",IF(CC$3=$AD32,$F32&amp;"R",CC31))))</f>
        <v/>
      </c>
      <c r="CD32" s="11" t="str">
        <f aca="false">IF($P32=0,CD31,IF(CD$3=$E32,IF($AA32=1,$F32&amp;$AB32,$G32),IF(OR(CD$3=$D32,CD$3=$AC32,CD$3=$AE32),"",IF(CD$3=$AD32,$F32&amp;"R",CD31))))</f>
        <v>bP</v>
      </c>
      <c r="CE32" s="11" t="str">
        <f aca="false">IF($P32=0,CE31,IF(CE$3=$E32,IF($AA32=1,$F32&amp;$AB32,$G32),IF(OR(CE$3=$D32,CE$3=$AC32,CE$3=$AE32),"",IF(CE$3=$AD32,$F32&amp;"R",CE31))))</f>
        <v>bP</v>
      </c>
      <c r="CF32" s="11" t="str">
        <f aca="false">IF($P32=0,CF31,IF(CF$3=$E32,IF($AA32=1,$F32&amp;$AB32,$G32),IF(OR(CF$3=$D32,CF$3=$AC32,CF$3=$AE32),"",IF(CF$3=$AD32,$F32&amp;"R",CF31))))</f>
        <v>bP</v>
      </c>
      <c r="CG32" s="11" t="str">
        <f aca="false">IF($P32=0,CG31,IF(CG$3=$E32,IF($AA32=1,$F32&amp;$AB32,$G32),IF(OR(CG$3=$D32,CG$3=$AC32,CG$3=$AE32),"",IF(CG$3=$AD32,$F32&amp;"R",CG31))))</f>
        <v>bP</v>
      </c>
      <c r="CH32" s="11" t="str">
        <f aca="false">IF($P32=0,CH31,IF(CH$3=$E32,IF($AA32=1,$F32&amp;$AB32,$G32),IF(OR(CH$3=$D32,CH$3=$AC32,CH$3=$AE32),"",IF(CH$3=$AD32,$F32&amp;"R",CH31))))</f>
        <v>bP</v>
      </c>
      <c r="CI32" s="11" t="str">
        <f aca="false">IF($P32=0,CI31,IF(CI$3=$E32,IF($AA32=1,$F32&amp;$AB32,$G32),IF(OR(CI$3=$D32,CI$3=$AC32,CI$3=$AE32),"",IF(CI$3=$AD32,$F32&amp;"R",CI31))))</f>
        <v>bP</v>
      </c>
      <c r="CJ32" s="11" t="str">
        <f aca="false">IF($P32=0,CJ31,IF(CJ$3=$E32,IF($AA32=1,$F32&amp;$AB32,$G32),IF(OR(CJ$3=$D32,CJ$3=$AC32,CJ$3=$AE32),"",IF(CJ$3=$AD32,$F32&amp;"R",CJ31))))</f>
        <v>bP</v>
      </c>
      <c r="CK32" s="11" t="str">
        <f aca="false">IF($P32=0,CK31,IF(CK$3=$E32,IF($AA32=1,$F32&amp;$AB32,$G32),IF(OR(CK$3=$D32,CK$3=$AC32,CK$3=$AE32),"",IF(CK$3=$AD32,$F32&amp;"R",CK31))))</f>
        <v>bP</v>
      </c>
      <c r="CL32" s="11" t="str">
        <f aca="false">IF($P32=0,CL31,IF(CL$3=$E32,IF($AA32=1,$F32&amp;$AB32,$G32),IF(OR(CL$3=$D32,CL$3=$AC32,CL$3=$AE32),"",IF(CL$3=$AD32,$F32&amp;"R",CL31))))</f>
        <v>bR</v>
      </c>
      <c r="CM32" s="11" t="str">
        <f aca="false">IF($P32=0,CM31,IF(CM$3=$E32,IF($AA32=1,$F32&amp;$AB32,$G32),IF(OR(CM$3=$D32,CM$3=$AC32,CM$3=$AE32),"",IF(CM$3=$AD32,$F32&amp;"R",CM31))))</f>
        <v>bN</v>
      </c>
      <c r="CN32" s="11" t="str">
        <f aca="false">IF($P32=0,CN31,IF(CN$3=$E32,IF($AA32=1,$F32&amp;$AB32,$G32),IF(OR(CN$3=$D32,CN$3=$AC32,CN$3=$AE32),"",IF(CN$3=$AD32,$F32&amp;"R",CN31))))</f>
        <v>bB</v>
      </c>
      <c r="CO32" s="11" t="str">
        <f aca="false">IF($P32=0,CO31,IF(CO$3=$E32,IF($AA32=1,$F32&amp;$AB32,$G32),IF(OR(CO$3=$D32,CO$3=$AC32,CO$3=$AE32),"",IF(CO$3=$AD32,$F32&amp;"R",CO31))))</f>
        <v>bQ</v>
      </c>
      <c r="CP32" s="11" t="str">
        <f aca="false">IF($P32=0,CP31,IF(CP$3=$E32,IF($AA32=1,$F32&amp;$AB32,$G32),IF(OR(CP$3=$D32,CP$3=$AC32,CP$3=$AE32),"",IF(CP$3=$AD32,$F32&amp;"R",CP31))))</f>
        <v>bK</v>
      </c>
      <c r="CQ32" s="11" t="str">
        <f aca="false">IF($P32=0,CQ31,IF(CQ$3=$E32,IF($AA32=1,$F32&amp;$AB32,$G32),IF(OR(CQ$3=$D32,CQ$3=$AC32,CQ$3=$AE32),"",IF(CQ$3=$AD32,$F32&amp;"R",CQ31))))</f>
        <v>bB</v>
      </c>
      <c r="CR32" s="11" t="str">
        <f aca="false">IF($P32=0,CR31,IF(CR$3=$E32,IF($AA32=1,$F32&amp;$AB32,$G32),IF(OR(CR$3=$D32,CR$3=$AC32,CR$3=$AE32),"",IF(CR$3=$AD32,$F32&amp;"R",CR31))))</f>
        <v>bN</v>
      </c>
      <c r="CS32" s="11" t="str">
        <f aca="false">IF($P32=0,CS31,IF(CS$3=$E32,IF($AA32=1,$F32&amp;$AB32,$G32),IF(OR(CS$3=$D32,CS$3=$AC32,CS$3=$AE32),"",IF(CS$3=$AD32,$F32&amp;"R",CS31))))</f>
        <v>bR</v>
      </c>
      <c r="CT32" s="11"/>
      <c r="CU32" s="11"/>
      <c r="CV32" s="11"/>
    </row>
    <row r="33" customFormat="false" ht="15" hidden="false" customHeight="false" outlineLevel="0" collapsed="false">
      <c r="A33" s="11" t="n">
        <v>28</v>
      </c>
      <c r="B33" s="11" t="str">
        <f aca="false">IF(Chess!$L$37="","",Chess!$L$37&amp;"")</f>
        <v/>
      </c>
      <c r="C33" s="11" t="str">
        <f aca="false">LOWER(SUBSTITUTE(SUBSTITUTE(SUBSTITUTE(SUBSTITUTE(TRIM($B33),"-",""),"=","")," ",""),"x",""))</f>
        <v/>
      </c>
      <c r="D33" s="11" t="n">
        <f aca="false">IF(LEN($C33)&lt;4,0,IFERROR(IF(AND(CODE(MID($C33,1,1))&gt;=97,CODE(MID($C33,1,1))&lt;=104,VALUE(MID($C33,2,1))&gt;=1,VALUE(MID($C33,2,1))&lt;=8),(VALUE(MID($C33,2,1))-1)*8+CODE(MID($C33,1,1))-96,0),0))</f>
        <v>0</v>
      </c>
      <c r="E33" s="11" t="n">
        <f aca="false">IF(LEN($C33)&lt;4,0,IFERROR(IF(AND(CODE(MID($C33,3,1))&gt;=97,CODE(MID($C33,3,1))&lt;=104,VALUE(MID($C33,4,1))&gt;=1,VALUE(MID($C33,4,1))&lt;=8),(VALUE(MID($C33,4,1))-1)*8+CODE(MID($C33,3,1))-96,0),0))</f>
        <v>0</v>
      </c>
      <c r="F33" s="11" t="str">
        <f aca="false">IF(MOD(SUM($P$5:$P32),2)=0,"w","b")</f>
        <v>w</v>
      </c>
      <c r="G33" s="11" t="str">
        <f aca="false">IF($D33=0,"",INDEX($AH32:$CS32,1,$D33)&amp;"")</f>
        <v/>
      </c>
      <c r="H33" s="11" t="str">
        <f aca="false">IF($E33=0,"",INDEX($AH32:$CS32,1,$E33)&amp;"")</f>
        <v/>
      </c>
      <c r="I33" s="11" t="n">
        <f aca="false">IF(OR($D33=0,$E33=0),0,MOD($E33-1,8)-MOD($D33-1,8))</f>
        <v>0</v>
      </c>
      <c r="J33" s="11" t="n">
        <f aca="false">IF(OR($D33=0,$E33=0),0,INT(($E33-1)/8)-INT(($D33-1)/8))</f>
        <v>0</v>
      </c>
      <c r="K33" s="11" t="str">
        <f aca="false">IF($G33="","",RIGHT($G33,1))</f>
        <v/>
      </c>
      <c r="L33" s="11" t="n">
        <f aca="false">IF(OR($D33=0,$E33=0),0,SUMPRODUCT(($AH$3:$CS$3&gt;MIN($D33,$E33))*($AH$3:$CS$3&lt;MAX($D33,$E33))*(MOD($AH$3:$CS$3-MIN($D33,$E33),MAX(1,ABS(SIGN($J33)*8+SIGN($I33))))=0)*($AH32:$CS32&lt;&gt;"")))</f>
        <v>0</v>
      </c>
      <c r="M33" s="11" t="n">
        <f aca="false">IF($K33&lt;&gt;"K",0,IFERROR(--AND($J33=0,ABS($I33)=2,$D33=IF($F33="w",5,61),IF($F33="w",$S32,$V32)=0,IF($I33=2,AND(IF($F33="w",$U32,$X32)=0,INDEX($AH32:$CS32,1,$D33+1)&amp;""="",INDEX($AH32:$CS32,1,$D33+2)&amp;""=""),AND(IF($F33="w",$T32,$W32)=0,INDEX($AH32:$CS32,1,$D33-1)&amp;""="",INDEX($AH32:$CS32,1,$D33-2)&amp;""="",INDEX($AH32:$CS32,1,$D33-3)&amp;""=""))),0))</f>
        <v>0</v>
      </c>
      <c r="N33" s="11" t="n">
        <f aca="false">IF($K33&lt;&gt;"P",0,IFERROR(--OR(AND($I33=0,$J33=IF($F33="w",1,-1),$H33=""),AND($I33=0,$J33=2*IF($F33="w",1,-1),$H33="",INT(($D33-1)/8)=IF($F33="w",1,6),INDEX($AH32:$CS32,1,MAX(1,MIN(64,$D33+8*IF($F33="w",1,-1))))&amp;""=""),AND(ABS($I33)=1,$J33=IF($F33="w",1,-1),$H33&lt;&gt;""),AND(ABS($I33)=1,$J33=IF($F33="w",1,-1),$H33="",$R32&gt;0,$E33=$R32)),0))</f>
        <v>0</v>
      </c>
      <c r="O33" s="11" t="n">
        <f aca="false">IF(OR($D33=0,$E33=0,$G33=""),0,IF($K33="N",--OR(AND(ABS($I33)=1,ABS($J33)=2),AND(ABS($I33)=2,ABS($J33)=1)),IF($K33="B",--AND(ABS($I33)=ABS($J33),$I33&lt;&gt;0,$L33=0),IF($K33="R",--AND(OR($I33=0,$J33=0),OR($I33&lt;&gt;0,$J33&lt;&gt;0),$L33=0),IF($K33="Q",--AND(OR(AND(ABS($I33)=ABS($J33),$I33&lt;&gt;0),AND(OR($I33=0,$J33=0),OR($I33&lt;&gt;0,$J33&lt;&gt;0))),$L33=0),IF($K33="K",--OR(MAX(ABS($I33),ABS($J33))=1,$M33=1),$N33))))))</f>
        <v>0</v>
      </c>
      <c r="P33" s="11" t="n">
        <f aca="false">IF($Q33="OK",1,0)</f>
        <v>0</v>
      </c>
      <c r="Q33" s="11" t="str">
        <f aca="false">IF($B33="","",IF(OR(COUNTIF($AH32:$CS32,"wK")=0,COUNTIF($AH32:$CS32,"bK")=0),"Game is over",IF(OR($D33=0,$E33=0),"Use the format e2e4",IF($G33="","No piece on that square",IF(LEFT($G33,1)&lt;&gt;$F33,"Not your piece ("&amp;IF($F33="w","White","Black")&amp;" to move)",IF($D33=$E33,"Piece must move",IF(AND($H33&lt;&gt;"",LEFT($H33,1)=$F33),"Cannot capture your own piece",IF($O33=0,"Illegal move for that piece (or path blocked)","OK"))))))))</f>
        <v/>
      </c>
      <c r="R33" s="11" t="n">
        <f aca="false">IF($P33=1,IF(AND($K33="P",ABS($J33)=2),($D33+$E33)/2,0),$R32)</f>
        <v>0</v>
      </c>
      <c r="S33" s="12" t="b">
        <f aca="false">--OR($S32=1,AND($P33=1,OR($D33=5,$E33=5)))</f>
        <v>0</v>
      </c>
      <c r="T33" s="12" t="b">
        <f aca="false">--OR($T32=1,AND($P33=1,OR($D33=1,$E33=1)))</f>
        <v>0</v>
      </c>
      <c r="U33" s="12" t="b">
        <f aca="false">--OR($U32=1,AND($P33=1,OR($D33=8,$E33=8)))</f>
        <v>0</v>
      </c>
      <c r="V33" s="12" t="b">
        <f aca="false">--OR($V32=1,AND($P33=1,OR($D33=61,$E33=61)))</f>
        <v>0</v>
      </c>
      <c r="W33" s="12" t="b">
        <f aca="false">--OR($W32=1,AND($P33=1,OR($D33=57,$E33=57)))</f>
        <v>0</v>
      </c>
      <c r="X33" s="12" t="b">
        <f aca="false">--OR($X32=1,AND($P33=1,OR($D33=64,$E33=64)))</f>
        <v>0</v>
      </c>
      <c r="Y33" s="12" t="b">
        <f aca="false">--AND($P33=1,$K33="K",ABS($I33)=2)</f>
        <v>0</v>
      </c>
      <c r="Z33" s="12" t="b">
        <f aca="false">--AND($P33=1,$K33="P",ABS($I33)=1,$H33="")</f>
        <v>0</v>
      </c>
      <c r="AA33" s="12" t="b">
        <f aca="false">--AND($P33=1,$K33="P",INT(($E33-1)/8)=IF($F33="w",7,0))</f>
        <v>0</v>
      </c>
      <c r="AB33" s="11" t="str">
        <f aca="false">IF(LEN($C33)&gt;=5,IF(ISNUMBER(FIND(MID($C33,5,1),"qrbn")),UPPER(MID($C33,5,1)),"Q"),"Q")</f>
        <v>Q</v>
      </c>
      <c r="AC33" s="11" t="n">
        <f aca="false">IF($Y33=1,IF($I33=2,$D33+3,$D33-4),0)</f>
        <v>0</v>
      </c>
      <c r="AD33" s="11" t="n">
        <f aca="false">IF($Y33=1,IF($I33=2,$D33+1,$D33-1),0)</f>
        <v>0</v>
      </c>
      <c r="AE33" s="11" t="n">
        <f aca="false">IF($Z33=1,$E33-8*IF($F33="w",1,-1),0)</f>
        <v>0</v>
      </c>
      <c r="AF33" s="11" t="str">
        <f aca="false">IF($B33="","",IF($P33=1,LOWER(INDEX($CV$2:$CV$13,MATCH($G33,$CU$2:$CU$13,0)))&amp;" "&amp;MID("abcdefgh",MOD($D33-1,8)+1,1)&amp;(INT(($D33-1)/8)+1)&amp;"→"&amp;MID("abcdefgh",MOD($E33-1,8)+1,1)&amp;(INT(($E33-1)/8)+1)&amp;IF(OR($H33&lt;&gt;"",$Z33=1)," ×","")&amp;IF($Y33=1," castles","")&amp;IF($Z33=1," e.p.","")&amp;IF($AA33=1," =" &amp;LOWER(INDEX($CV$2:$CV$13,MATCH($F33&amp;$AB33,$CU$2:$CU$13,0))),""),"X "&amp;$Q33))</f>
        <v/>
      </c>
      <c r="AG33" s="11"/>
      <c r="AH33" s="11" t="str">
        <f aca="false">IF($P33=0,AH32,IF(AH$3=$E33,IF($AA33=1,$F33&amp;$AB33,$G33),IF(OR(AH$3=$D33,AH$3=$AC33,AH$3=$AE33),"",IF(AH$3=$AD33,$F33&amp;"R",AH32))))</f>
        <v>wR</v>
      </c>
      <c r="AI33" s="11" t="str">
        <f aca="false">IF($P33=0,AI32,IF(AI$3=$E33,IF($AA33=1,$F33&amp;$AB33,$G33),IF(OR(AI$3=$D33,AI$3=$AC33,AI$3=$AE33),"",IF(AI$3=$AD33,$F33&amp;"R",AI32))))</f>
        <v>wN</v>
      </c>
      <c r="AJ33" s="11" t="str">
        <f aca="false">IF($P33=0,AJ32,IF(AJ$3=$E33,IF($AA33=1,$F33&amp;$AB33,$G33),IF(OR(AJ$3=$D33,AJ$3=$AC33,AJ$3=$AE33),"",IF(AJ$3=$AD33,$F33&amp;"R",AJ32))))</f>
        <v>wB</v>
      </c>
      <c r="AK33" s="11" t="str">
        <f aca="false">IF($P33=0,AK32,IF(AK$3=$E33,IF($AA33=1,$F33&amp;$AB33,$G33),IF(OR(AK$3=$D33,AK$3=$AC33,AK$3=$AE33),"",IF(AK$3=$AD33,$F33&amp;"R",AK32))))</f>
        <v>wQ</v>
      </c>
      <c r="AL33" s="11" t="str">
        <f aca="false">IF($P33=0,AL32,IF(AL$3=$E33,IF($AA33=1,$F33&amp;$AB33,$G33),IF(OR(AL$3=$D33,AL$3=$AC33,AL$3=$AE33),"",IF(AL$3=$AD33,$F33&amp;"R",AL32))))</f>
        <v>wK</v>
      </c>
      <c r="AM33" s="11" t="str">
        <f aca="false">IF($P33=0,AM32,IF(AM$3=$E33,IF($AA33=1,$F33&amp;$AB33,$G33),IF(OR(AM$3=$D33,AM$3=$AC33,AM$3=$AE33),"",IF(AM$3=$AD33,$F33&amp;"R",AM32))))</f>
        <v>wB</v>
      </c>
      <c r="AN33" s="11" t="str">
        <f aca="false">IF($P33=0,AN32,IF(AN$3=$E33,IF($AA33=1,$F33&amp;$AB33,$G33),IF(OR(AN$3=$D33,AN$3=$AC33,AN$3=$AE33),"",IF(AN$3=$AD33,$F33&amp;"R",AN32))))</f>
        <v>wN</v>
      </c>
      <c r="AO33" s="11" t="str">
        <f aca="false">IF($P33=0,AO32,IF(AO$3=$E33,IF($AA33=1,$F33&amp;$AB33,$G33),IF(OR(AO$3=$D33,AO$3=$AC33,AO$3=$AE33),"",IF(AO$3=$AD33,$F33&amp;"R",AO32))))</f>
        <v>wR</v>
      </c>
      <c r="AP33" s="11" t="str">
        <f aca="false">IF($P33=0,AP32,IF(AP$3=$E33,IF($AA33=1,$F33&amp;$AB33,$G33),IF(OR(AP$3=$D33,AP$3=$AC33,AP$3=$AE33),"",IF(AP$3=$AD33,$F33&amp;"R",AP32))))</f>
        <v>wP</v>
      </c>
      <c r="AQ33" s="11" t="str">
        <f aca="false">IF($P33=0,AQ32,IF(AQ$3=$E33,IF($AA33=1,$F33&amp;$AB33,$G33),IF(OR(AQ$3=$D33,AQ$3=$AC33,AQ$3=$AE33),"",IF(AQ$3=$AD33,$F33&amp;"R",AQ32))))</f>
        <v>wP</v>
      </c>
      <c r="AR33" s="11" t="str">
        <f aca="false">IF($P33=0,AR32,IF(AR$3=$E33,IF($AA33=1,$F33&amp;$AB33,$G33),IF(OR(AR$3=$D33,AR$3=$AC33,AR$3=$AE33),"",IF(AR$3=$AD33,$F33&amp;"R",AR32))))</f>
        <v>wP</v>
      </c>
      <c r="AS33" s="11" t="str">
        <f aca="false">IF($P33=0,AS32,IF(AS$3=$E33,IF($AA33=1,$F33&amp;$AB33,$G33),IF(OR(AS$3=$D33,AS$3=$AC33,AS$3=$AE33),"",IF(AS$3=$AD33,$F33&amp;"R",AS32))))</f>
        <v>wP</v>
      </c>
      <c r="AT33" s="11" t="str">
        <f aca="false">IF($P33=0,AT32,IF(AT$3=$E33,IF($AA33=1,$F33&amp;$AB33,$G33),IF(OR(AT$3=$D33,AT$3=$AC33,AT$3=$AE33),"",IF(AT$3=$AD33,$F33&amp;"R",AT32))))</f>
        <v>wP</v>
      </c>
      <c r="AU33" s="11" t="str">
        <f aca="false">IF($P33=0,AU32,IF(AU$3=$E33,IF($AA33=1,$F33&amp;$AB33,$G33),IF(OR(AU$3=$D33,AU$3=$AC33,AU$3=$AE33),"",IF(AU$3=$AD33,$F33&amp;"R",AU32))))</f>
        <v>wP</v>
      </c>
      <c r="AV33" s="11" t="str">
        <f aca="false">IF($P33=0,AV32,IF(AV$3=$E33,IF($AA33=1,$F33&amp;$AB33,$G33),IF(OR(AV$3=$D33,AV$3=$AC33,AV$3=$AE33),"",IF(AV$3=$AD33,$F33&amp;"R",AV32))))</f>
        <v>wP</v>
      </c>
      <c r="AW33" s="11" t="str">
        <f aca="false">IF($P33=0,AW32,IF(AW$3=$E33,IF($AA33=1,$F33&amp;$AB33,$G33),IF(OR(AW$3=$D33,AW$3=$AC33,AW$3=$AE33),"",IF(AW$3=$AD33,$F33&amp;"R",AW32))))</f>
        <v>wP</v>
      </c>
      <c r="AX33" s="11" t="str">
        <f aca="false">IF($P33=0,AX32,IF(AX$3=$E33,IF($AA33=1,$F33&amp;$AB33,$G33),IF(OR(AX$3=$D33,AX$3=$AC33,AX$3=$AE33),"",IF(AX$3=$AD33,$F33&amp;"R",AX32))))</f>
        <v/>
      </c>
      <c r="AY33" s="11" t="str">
        <f aca="false">IF($P33=0,AY32,IF(AY$3=$E33,IF($AA33=1,$F33&amp;$AB33,$G33),IF(OR(AY$3=$D33,AY$3=$AC33,AY$3=$AE33),"",IF(AY$3=$AD33,$F33&amp;"R",AY32))))</f>
        <v/>
      </c>
      <c r="AZ33" s="11" t="str">
        <f aca="false">IF($P33=0,AZ32,IF(AZ$3=$E33,IF($AA33=1,$F33&amp;$AB33,$G33),IF(OR(AZ$3=$D33,AZ$3=$AC33,AZ$3=$AE33),"",IF(AZ$3=$AD33,$F33&amp;"R",AZ32))))</f>
        <v/>
      </c>
      <c r="BA33" s="11" t="str">
        <f aca="false">IF($P33=0,BA32,IF(BA$3=$E33,IF($AA33=1,$F33&amp;$AB33,$G33),IF(OR(BA$3=$D33,BA$3=$AC33,BA$3=$AE33),"",IF(BA$3=$AD33,$F33&amp;"R",BA32))))</f>
        <v/>
      </c>
      <c r="BB33" s="11" t="str">
        <f aca="false">IF($P33=0,BB32,IF(BB$3=$E33,IF($AA33=1,$F33&amp;$AB33,$G33),IF(OR(BB$3=$D33,BB$3=$AC33,BB$3=$AE33),"",IF(BB$3=$AD33,$F33&amp;"R",BB32))))</f>
        <v/>
      </c>
      <c r="BC33" s="11" t="str">
        <f aca="false">IF($P33=0,BC32,IF(BC$3=$E33,IF($AA33=1,$F33&amp;$AB33,$G33),IF(OR(BC$3=$D33,BC$3=$AC33,BC$3=$AE33),"",IF(BC$3=$AD33,$F33&amp;"R",BC32))))</f>
        <v/>
      </c>
      <c r="BD33" s="11" t="str">
        <f aca="false">IF($P33=0,BD32,IF(BD$3=$E33,IF($AA33=1,$F33&amp;$AB33,$G33),IF(OR(BD$3=$D33,BD$3=$AC33,BD$3=$AE33),"",IF(BD$3=$AD33,$F33&amp;"R",BD32))))</f>
        <v/>
      </c>
      <c r="BE33" s="11" t="str">
        <f aca="false">IF($P33=0,BE32,IF(BE$3=$E33,IF($AA33=1,$F33&amp;$AB33,$G33),IF(OR(BE$3=$D33,BE$3=$AC33,BE$3=$AE33),"",IF(BE$3=$AD33,$F33&amp;"R",BE32))))</f>
        <v/>
      </c>
      <c r="BF33" s="11" t="str">
        <f aca="false">IF($P33=0,BF32,IF(BF$3=$E33,IF($AA33=1,$F33&amp;$AB33,$G33),IF(OR(BF$3=$D33,BF$3=$AC33,BF$3=$AE33),"",IF(BF$3=$AD33,$F33&amp;"R",BF32))))</f>
        <v/>
      </c>
      <c r="BG33" s="11" t="str">
        <f aca="false">IF($P33=0,BG32,IF(BG$3=$E33,IF($AA33=1,$F33&amp;$AB33,$G33),IF(OR(BG$3=$D33,BG$3=$AC33,BG$3=$AE33),"",IF(BG$3=$AD33,$F33&amp;"R",BG32))))</f>
        <v/>
      </c>
      <c r="BH33" s="11" t="str">
        <f aca="false">IF($P33=0,BH32,IF(BH$3=$E33,IF($AA33=1,$F33&amp;$AB33,$G33),IF(OR(BH$3=$D33,BH$3=$AC33,BH$3=$AE33),"",IF(BH$3=$AD33,$F33&amp;"R",BH32))))</f>
        <v/>
      </c>
      <c r="BI33" s="11" t="str">
        <f aca="false">IF($P33=0,BI32,IF(BI$3=$E33,IF($AA33=1,$F33&amp;$AB33,$G33),IF(OR(BI$3=$D33,BI$3=$AC33,BI$3=$AE33),"",IF(BI$3=$AD33,$F33&amp;"R",BI32))))</f>
        <v/>
      </c>
      <c r="BJ33" s="11" t="str">
        <f aca="false">IF($P33=0,BJ32,IF(BJ$3=$E33,IF($AA33=1,$F33&amp;$AB33,$G33),IF(OR(BJ$3=$D33,BJ$3=$AC33,BJ$3=$AE33),"",IF(BJ$3=$AD33,$F33&amp;"R",BJ32))))</f>
        <v/>
      </c>
      <c r="BK33" s="11" t="str">
        <f aca="false">IF($P33=0,BK32,IF(BK$3=$E33,IF($AA33=1,$F33&amp;$AB33,$G33),IF(OR(BK$3=$D33,BK$3=$AC33,BK$3=$AE33),"",IF(BK$3=$AD33,$F33&amp;"R",BK32))))</f>
        <v/>
      </c>
      <c r="BL33" s="11" t="str">
        <f aca="false">IF($P33=0,BL32,IF(BL$3=$E33,IF($AA33=1,$F33&amp;$AB33,$G33),IF(OR(BL$3=$D33,BL$3=$AC33,BL$3=$AE33),"",IF(BL$3=$AD33,$F33&amp;"R",BL32))))</f>
        <v/>
      </c>
      <c r="BM33" s="11" t="str">
        <f aca="false">IF($P33=0,BM32,IF(BM$3=$E33,IF($AA33=1,$F33&amp;$AB33,$G33),IF(OR(BM$3=$D33,BM$3=$AC33,BM$3=$AE33),"",IF(BM$3=$AD33,$F33&amp;"R",BM32))))</f>
        <v/>
      </c>
      <c r="BN33" s="11" t="str">
        <f aca="false">IF($P33=0,BN32,IF(BN$3=$E33,IF($AA33=1,$F33&amp;$AB33,$G33),IF(OR(BN$3=$D33,BN$3=$AC33,BN$3=$AE33),"",IF(BN$3=$AD33,$F33&amp;"R",BN32))))</f>
        <v/>
      </c>
      <c r="BO33" s="11" t="str">
        <f aca="false">IF($P33=0,BO32,IF(BO$3=$E33,IF($AA33=1,$F33&amp;$AB33,$G33),IF(OR(BO$3=$D33,BO$3=$AC33,BO$3=$AE33),"",IF(BO$3=$AD33,$F33&amp;"R",BO32))))</f>
        <v/>
      </c>
      <c r="BP33" s="11" t="str">
        <f aca="false">IF($P33=0,BP32,IF(BP$3=$E33,IF($AA33=1,$F33&amp;$AB33,$G33),IF(OR(BP$3=$D33,BP$3=$AC33,BP$3=$AE33),"",IF(BP$3=$AD33,$F33&amp;"R",BP32))))</f>
        <v/>
      </c>
      <c r="BQ33" s="11" t="str">
        <f aca="false">IF($P33=0,BQ32,IF(BQ$3=$E33,IF($AA33=1,$F33&amp;$AB33,$G33),IF(OR(BQ$3=$D33,BQ$3=$AC33,BQ$3=$AE33),"",IF(BQ$3=$AD33,$F33&amp;"R",BQ32))))</f>
        <v/>
      </c>
      <c r="BR33" s="11" t="str">
        <f aca="false">IF($P33=0,BR32,IF(BR$3=$E33,IF($AA33=1,$F33&amp;$AB33,$G33),IF(OR(BR$3=$D33,BR$3=$AC33,BR$3=$AE33),"",IF(BR$3=$AD33,$F33&amp;"R",BR32))))</f>
        <v/>
      </c>
      <c r="BS33" s="11" t="str">
        <f aca="false">IF($P33=0,BS32,IF(BS$3=$E33,IF($AA33=1,$F33&amp;$AB33,$G33),IF(OR(BS$3=$D33,BS$3=$AC33,BS$3=$AE33),"",IF(BS$3=$AD33,$F33&amp;"R",BS32))))</f>
        <v/>
      </c>
      <c r="BT33" s="11" t="str">
        <f aca="false">IF($P33=0,BT32,IF(BT$3=$E33,IF($AA33=1,$F33&amp;$AB33,$G33),IF(OR(BT$3=$D33,BT$3=$AC33,BT$3=$AE33),"",IF(BT$3=$AD33,$F33&amp;"R",BT32))))</f>
        <v/>
      </c>
      <c r="BU33" s="11" t="str">
        <f aca="false">IF($P33=0,BU32,IF(BU$3=$E33,IF($AA33=1,$F33&amp;$AB33,$G33),IF(OR(BU$3=$D33,BU$3=$AC33,BU$3=$AE33),"",IF(BU$3=$AD33,$F33&amp;"R",BU32))))</f>
        <v/>
      </c>
      <c r="BV33" s="11" t="str">
        <f aca="false">IF($P33=0,BV32,IF(BV$3=$E33,IF($AA33=1,$F33&amp;$AB33,$G33),IF(OR(BV$3=$D33,BV$3=$AC33,BV$3=$AE33),"",IF(BV$3=$AD33,$F33&amp;"R",BV32))))</f>
        <v/>
      </c>
      <c r="BW33" s="11" t="str">
        <f aca="false">IF($P33=0,BW32,IF(BW$3=$E33,IF($AA33=1,$F33&amp;$AB33,$G33),IF(OR(BW$3=$D33,BW$3=$AC33,BW$3=$AE33),"",IF(BW$3=$AD33,$F33&amp;"R",BW32))))</f>
        <v/>
      </c>
      <c r="BX33" s="11" t="str">
        <f aca="false">IF($P33=0,BX32,IF(BX$3=$E33,IF($AA33=1,$F33&amp;$AB33,$G33),IF(OR(BX$3=$D33,BX$3=$AC33,BX$3=$AE33),"",IF(BX$3=$AD33,$F33&amp;"R",BX32))))</f>
        <v/>
      </c>
      <c r="BY33" s="11" t="str">
        <f aca="false">IF($P33=0,BY32,IF(BY$3=$E33,IF($AA33=1,$F33&amp;$AB33,$G33),IF(OR(BY$3=$D33,BY$3=$AC33,BY$3=$AE33),"",IF(BY$3=$AD33,$F33&amp;"R",BY32))))</f>
        <v/>
      </c>
      <c r="BZ33" s="11" t="str">
        <f aca="false">IF($P33=0,BZ32,IF(BZ$3=$E33,IF($AA33=1,$F33&amp;$AB33,$G33),IF(OR(BZ$3=$D33,BZ$3=$AC33,BZ$3=$AE33),"",IF(BZ$3=$AD33,$F33&amp;"R",BZ32))))</f>
        <v/>
      </c>
      <c r="CA33" s="11" t="str">
        <f aca="false">IF($P33=0,CA32,IF(CA$3=$E33,IF($AA33=1,$F33&amp;$AB33,$G33),IF(OR(CA$3=$D33,CA$3=$AC33,CA$3=$AE33),"",IF(CA$3=$AD33,$F33&amp;"R",CA32))))</f>
        <v/>
      </c>
      <c r="CB33" s="11" t="str">
        <f aca="false">IF($P33=0,CB32,IF(CB$3=$E33,IF($AA33=1,$F33&amp;$AB33,$G33),IF(OR(CB$3=$D33,CB$3=$AC33,CB$3=$AE33),"",IF(CB$3=$AD33,$F33&amp;"R",CB32))))</f>
        <v/>
      </c>
      <c r="CC33" s="11" t="str">
        <f aca="false">IF($P33=0,CC32,IF(CC$3=$E33,IF($AA33=1,$F33&amp;$AB33,$G33),IF(OR(CC$3=$D33,CC$3=$AC33,CC$3=$AE33),"",IF(CC$3=$AD33,$F33&amp;"R",CC32))))</f>
        <v/>
      </c>
      <c r="CD33" s="11" t="str">
        <f aca="false">IF($P33=0,CD32,IF(CD$3=$E33,IF($AA33=1,$F33&amp;$AB33,$G33),IF(OR(CD$3=$D33,CD$3=$AC33,CD$3=$AE33),"",IF(CD$3=$AD33,$F33&amp;"R",CD32))))</f>
        <v>bP</v>
      </c>
      <c r="CE33" s="11" t="str">
        <f aca="false">IF($P33=0,CE32,IF(CE$3=$E33,IF($AA33=1,$F33&amp;$AB33,$G33),IF(OR(CE$3=$D33,CE$3=$AC33,CE$3=$AE33),"",IF(CE$3=$AD33,$F33&amp;"R",CE32))))</f>
        <v>bP</v>
      </c>
      <c r="CF33" s="11" t="str">
        <f aca="false">IF($P33=0,CF32,IF(CF$3=$E33,IF($AA33=1,$F33&amp;$AB33,$G33),IF(OR(CF$3=$D33,CF$3=$AC33,CF$3=$AE33),"",IF(CF$3=$AD33,$F33&amp;"R",CF32))))</f>
        <v>bP</v>
      </c>
      <c r="CG33" s="11" t="str">
        <f aca="false">IF($P33=0,CG32,IF(CG$3=$E33,IF($AA33=1,$F33&amp;$AB33,$G33),IF(OR(CG$3=$D33,CG$3=$AC33,CG$3=$AE33),"",IF(CG$3=$AD33,$F33&amp;"R",CG32))))</f>
        <v>bP</v>
      </c>
      <c r="CH33" s="11" t="str">
        <f aca="false">IF($P33=0,CH32,IF(CH$3=$E33,IF($AA33=1,$F33&amp;$AB33,$G33),IF(OR(CH$3=$D33,CH$3=$AC33,CH$3=$AE33),"",IF(CH$3=$AD33,$F33&amp;"R",CH32))))</f>
        <v>bP</v>
      </c>
      <c r="CI33" s="11" t="str">
        <f aca="false">IF($P33=0,CI32,IF(CI$3=$E33,IF($AA33=1,$F33&amp;$AB33,$G33),IF(OR(CI$3=$D33,CI$3=$AC33,CI$3=$AE33),"",IF(CI$3=$AD33,$F33&amp;"R",CI32))))</f>
        <v>bP</v>
      </c>
      <c r="CJ33" s="11" t="str">
        <f aca="false">IF($P33=0,CJ32,IF(CJ$3=$E33,IF($AA33=1,$F33&amp;$AB33,$G33),IF(OR(CJ$3=$D33,CJ$3=$AC33,CJ$3=$AE33),"",IF(CJ$3=$AD33,$F33&amp;"R",CJ32))))</f>
        <v>bP</v>
      </c>
      <c r="CK33" s="11" t="str">
        <f aca="false">IF($P33=0,CK32,IF(CK$3=$E33,IF($AA33=1,$F33&amp;$AB33,$G33),IF(OR(CK$3=$D33,CK$3=$AC33,CK$3=$AE33),"",IF(CK$3=$AD33,$F33&amp;"R",CK32))))</f>
        <v>bP</v>
      </c>
      <c r="CL33" s="11" t="str">
        <f aca="false">IF($P33=0,CL32,IF(CL$3=$E33,IF($AA33=1,$F33&amp;$AB33,$G33),IF(OR(CL$3=$D33,CL$3=$AC33,CL$3=$AE33),"",IF(CL$3=$AD33,$F33&amp;"R",CL32))))</f>
        <v>bR</v>
      </c>
      <c r="CM33" s="11" t="str">
        <f aca="false">IF($P33=0,CM32,IF(CM$3=$E33,IF($AA33=1,$F33&amp;$AB33,$G33),IF(OR(CM$3=$D33,CM$3=$AC33,CM$3=$AE33),"",IF(CM$3=$AD33,$F33&amp;"R",CM32))))</f>
        <v>bN</v>
      </c>
      <c r="CN33" s="11" t="str">
        <f aca="false">IF($P33=0,CN32,IF(CN$3=$E33,IF($AA33=1,$F33&amp;$AB33,$G33),IF(OR(CN$3=$D33,CN$3=$AC33,CN$3=$AE33),"",IF(CN$3=$AD33,$F33&amp;"R",CN32))))</f>
        <v>bB</v>
      </c>
      <c r="CO33" s="11" t="str">
        <f aca="false">IF($P33=0,CO32,IF(CO$3=$E33,IF($AA33=1,$F33&amp;$AB33,$G33),IF(OR(CO$3=$D33,CO$3=$AC33,CO$3=$AE33),"",IF(CO$3=$AD33,$F33&amp;"R",CO32))))</f>
        <v>bQ</v>
      </c>
      <c r="CP33" s="11" t="str">
        <f aca="false">IF($P33=0,CP32,IF(CP$3=$E33,IF($AA33=1,$F33&amp;$AB33,$G33),IF(OR(CP$3=$D33,CP$3=$AC33,CP$3=$AE33),"",IF(CP$3=$AD33,$F33&amp;"R",CP32))))</f>
        <v>bK</v>
      </c>
      <c r="CQ33" s="11" t="str">
        <f aca="false">IF($P33=0,CQ32,IF(CQ$3=$E33,IF($AA33=1,$F33&amp;$AB33,$G33),IF(OR(CQ$3=$D33,CQ$3=$AC33,CQ$3=$AE33),"",IF(CQ$3=$AD33,$F33&amp;"R",CQ32))))</f>
        <v>bB</v>
      </c>
      <c r="CR33" s="11" t="str">
        <f aca="false">IF($P33=0,CR32,IF(CR$3=$E33,IF($AA33=1,$F33&amp;$AB33,$G33),IF(OR(CR$3=$D33,CR$3=$AC33,CR$3=$AE33),"",IF(CR$3=$AD33,$F33&amp;"R",CR32))))</f>
        <v>bN</v>
      </c>
      <c r="CS33" s="11" t="str">
        <f aca="false">IF($P33=0,CS32,IF(CS$3=$E33,IF($AA33=1,$F33&amp;$AB33,$G33),IF(OR(CS$3=$D33,CS$3=$AC33,CS$3=$AE33),"",IF(CS$3=$AD33,$F33&amp;"R",CS32))))</f>
        <v>bR</v>
      </c>
      <c r="CT33" s="11"/>
      <c r="CU33" s="11"/>
      <c r="CV33" s="11"/>
    </row>
    <row r="34" customFormat="false" ht="15" hidden="false" customHeight="false" outlineLevel="0" collapsed="false">
      <c r="A34" s="11" t="n">
        <v>29</v>
      </c>
      <c r="B34" s="11" t="str">
        <f aca="false">IF(Chess!$L$38="","",Chess!$L$38&amp;"")</f>
        <v/>
      </c>
      <c r="C34" s="11" t="str">
        <f aca="false">LOWER(SUBSTITUTE(SUBSTITUTE(SUBSTITUTE(SUBSTITUTE(TRIM($B34),"-",""),"=","")," ",""),"x",""))</f>
        <v/>
      </c>
      <c r="D34" s="11" t="n">
        <f aca="false">IF(LEN($C34)&lt;4,0,IFERROR(IF(AND(CODE(MID($C34,1,1))&gt;=97,CODE(MID($C34,1,1))&lt;=104,VALUE(MID($C34,2,1))&gt;=1,VALUE(MID($C34,2,1))&lt;=8),(VALUE(MID($C34,2,1))-1)*8+CODE(MID($C34,1,1))-96,0),0))</f>
        <v>0</v>
      </c>
      <c r="E34" s="11" t="n">
        <f aca="false">IF(LEN($C34)&lt;4,0,IFERROR(IF(AND(CODE(MID($C34,3,1))&gt;=97,CODE(MID($C34,3,1))&lt;=104,VALUE(MID($C34,4,1))&gt;=1,VALUE(MID($C34,4,1))&lt;=8),(VALUE(MID($C34,4,1))-1)*8+CODE(MID($C34,3,1))-96,0),0))</f>
        <v>0</v>
      </c>
      <c r="F34" s="11" t="str">
        <f aca="false">IF(MOD(SUM($P$5:$P33),2)=0,"w","b")</f>
        <v>w</v>
      </c>
      <c r="G34" s="11" t="str">
        <f aca="false">IF($D34=0,"",INDEX($AH33:$CS33,1,$D34)&amp;"")</f>
        <v/>
      </c>
      <c r="H34" s="11" t="str">
        <f aca="false">IF($E34=0,"",INDEX($AH33:$CS33,1,$E34)&amp;"")</f>
        <v/>
      </c>
      <c r="I34" s="11" t="n">
        <f aca="false">IF(OR($D34=0,$E34=0),0,MOD($E34-1,8)-MOD($D34-1,8))</f>
        <v>0</v>
      </c>
      <c r="J34" s="11" t="n">
        <f aca="false">IF(OR($D34=0,$E34=0),0,INT(($E34-1)/8)-INT(($D34-1)/8))</f>
        <v>0</v>
      </c>
      <c r="K34" s="11" t="str">
        <f aca="false">IF($G34="","",RIGHT($G34,1))</f>
        <v/>
      </c>
      <c r="L34" s="11" t="n">
        <f aca="false">IF(OR($D34=0,$E34=0),0,SUMPRODUCT(($AH$3:$CS$3&gt;MIN($D34,$E34))*($AH$3:$CS$3&lt;MAX($D34,$E34))*(MOD($AH$3:$CS$3-MIN($D34,$E34),MAX(1,ABS(SIGN($J34)*8+SIGN($I34))))=0)*($AH33:$CS33&lt;&gt;"")))</f>
        <v>0</v>
      </c>
      <c r="M34" s="11" t="n">
        <f aca="false">IF($K34&lt;&gt;"K",0,IFERROR(--AND($J34=0,ABS($I34)=2,$D34=IF($F34="w",5,61),IF($F34="w",$S33,$V33)=0,IF($I34=2,AND(IF($F34="w",$U33,$X33)=0,INDEX($AH33:$CS33,1,$D34+1)&amp;""="",INDEX($AH33:$CS33,1,$D34+2)&amp;""=""),AND(IF($F34="w",$T33,$W33)=0,INDEX($AH33:$CS33,1,$D34-1)&amp;""="",INDEX($AH33:$CS33,1,$D34-2)&amp;""="",INDEX($AH33:$CS33,1,$D34-3)&amp;""=""))),0))</f>
        <v>0</v>
      </c>
      <c r="N34" s="11" t="n">
        <f aca="false">IF($K34&lt;&gt;"P",0,IFERROR(--OR(AND($I34=0,$J34=IF($F34="w",1,-1),$H34=""),AND($I34=0,$J34=2*IF($F34="w",1,-1),$H34="",INT(($D34-1)/8)=IF($F34="w",1,6),INDEX($AH33:$CS33,1,MAX(1,MIN(64,$D34+8*IF($F34="w",1,-1))))&amp;""=""),AND(ABS($I34)=1,$J34=IF($F34="w",1,-1),$H34&lt;&gt;""),AND(ABS($I34)=1,$J34=IF($F34="w",1,-1),$H34="",$R33&gt;0,$E34=$R33)),0))</f>
        <v>0</v>
      </c>
      <c r="O34" s="11" t="n">
        <f aca="false">IF(OR($D34=0,$E34=0,$G34=""),0,IF($K34="N",--OR(AND(ABS($I34)=1,ABS($J34)=2),AND(ABS($I34)=2,ABS($J34)=1)),IF($K34="B",--AND(ABS($I34)=ABS($J34),$I34&lt;&gt;0,$L34=0),IF($K34="R",--AND(OR($I34=0,$J34=0),OR($I34&lt;&gt;0,$J34&lt;&gt;0),$L34=0),IF($K34="Q",--AND(OR(AND(ABS($I34)=ABS($J34),$I34&lt;&gt;0),AND(OR($I34=0,$J34=0),OR($I34&lt;&gt;0,$J34&lt;&gt;0))),$L34=0),IF($K34="K",--OR(MAX(ABS($I34),ABS($J34))=1,$M34=1),$N34))))))</f>
        <v>0</v>
      </c>
      <c r="P34" s="11" t="n">
        <f aca="false">IF($Q34="OK",1,0)</f>
        <v>0</v>
      </c>
      <c r="Q34" s="11" t="str">
        <f aca="false">IF($B34="","",IF(OR(COUNTIF($AH33:$CS33,"wK")=0,COUNTIF($AH33:$CS33,"bK")=0),"Game is over",IF(OR($D34=0,$E34=0),"Use the format e2e4",IF($G34="","No piece on that square",IF(LEFT($G34,1)&lt;&gt;$F34,"Not your piece ("&amp;IF($F34="w","White","Black")&amp;" to move)",IF($D34=$E34,"Piece must move",IF(AND($H34&lt;&gt;"",LEFT($H34,1)=$F34),"Cannot capture your own piece",IF($O34=0,"Illegal move for that piece (or path blocked)","OK"))))))))</f>
        <v/>
      </c>
      <c r="R34" s="11" t="n">
        <f aca="false">IF($P34=1,IF(AND($K34="P",ABS($J34)=2),($D34+$E34)/2,0),$R33)</f>
        <v>0</v>
      </c>
      <c r="S34" s="12" t="b">
        <f aca="false">--OR($S33=1,AND($P34=1,OR($D34=5,$E34=5)))</f>
        <v>0</v>
      </c>
      <c r="T34" s="12" t="b">
        <f aca="false">--OR($T33=1,AND($P34=1,OR($D34=1,$E34=1)))</f>
        <v>0</v>
      </c>
      <c r="U34" s="12" t="b">
        <f aca="false">--OR($U33=1,AND($P34=1,OR($D34=8,$E34=8)))</f>
        <v>0</v>
      </c>
      <c r="V34" s="12" t="b">
        <f aca="false">--OR($V33=1,AND($P34=1,OR($D34=61,$E34=61)))</f>
        <v>0</v>
      </c>
      <c r="W34" s="12" t="b">
        <f aca="false">--OR($W33=1,AND($P34=1,OR($D34=57,$E34=57)))</f>
        <v>0</v>
      </c>
      <c r="X34" s="12" t="b">
        <f aca="false">--OR($X33=1,AND($P34=1,OR($D34=64,$E34=64)))</f>
        <v>0</v>
      </c>
      <c r="Y34" s="12" t="b">
        <f aca="false">--AND($P34=1,$K34="K",ABS($I34)=2)</f>
        <v>0</v>
      </c>
      <c r="Z34" s="12" t="b">
        <f aca="false">--AND($P34=1,$K34="P",ABS($I34)=1,$H34="")</f>
        <v>0</v>
      </c>
      <c r="AA34" s="12" t="b">
        <f aca="false">--AND($P34=1,$K34="P",INT(($E34-1)/8)=IF($F34="w",7,0))</f>
        <v>0</v>
      </c>
      <c r="AB34" s="11" t="str">
        <f aca="false">IF(LEN($C34)&gt;=5,IF(ISNUMBER(FIND(MID($C34,5,1),"qrbn")),UPPER(MID($C34,5,1)),"Q"),"Q")</f>
        <v>Q</v>
      </c>
      <c r="AC34" s="11" t="n">
        <f aca="false">IF($Y34=1,IF($I34=2,$D34+3,$D34-4),0)</f>
        <v>0</v>
      </c>
      <c r="AD34" s="11" t="n">
        <f aca="false">IF($Y34=1,IF($I34=2,$D34+1,$D34-1),0)</f>
        <v>0</v>
      </c>
      <c r="AE34" s="11" t="n">
        <f aca="false">IF($Z34=1,$E34-8*IF($F34="w",1,-1),0)</f>
        <v>0</v>
      </c>
      <c r="AF34" s="11" t="str">
        <f aca="false">IF($B34="","",IF($P34=1,LOWER(INDEX($CV$2:$CV$13,MATCH($G34,$CU$2:$CU$13,0)))&amp;" "&amp;MID("abcdefgh",MOD($D34-1,8)+1,1)&amp;(INT(($D34-1)/8)+1)&amp;"→"&amp;MID("abcdefgh",MOD($E34-1,8)+1,1)&amp;(INT(($E34-1)/8)+1)&amp;IF(OR($H34&lt;&gt;"",$Z34=1)," ×","")&amp;IF($Y34=1," castles","")&amp;IF($Z34=1," e.p.","")&amp;IF($AA34=1," =" &amp;LOWER(INDEX($CV$2:$CV$13,MATCH($F34&amp;$AB34,$CU$2:$CU$13,0))),""),"X "&amp;$Q34))</f>
        <v/>
      </c>
      <c r="AG34" s="11"/>
      <c r="AH34" s="11" t="str">
        <f aca="false">IF($P34=0,AH33,IF(AH$3=$E34,IF($AA34=1,$F34&amp;$AB34,$G34),IF(OR(AH$3=$D34,AH$3=$AC34,AH$3=$AE34),"",IF(AH$3=$AD34,$F34&amp;"R",AH33))))</f>
        <v>wR</v>
      </c>
      <c r="AI34" s="11" t="str">
        <f aca="false">IF($P34=0,AI33,IF(AI$3=$E34,IF($AA34=1,$F34&amp;$AB34,$G34),IF(OR(AI$3=$D34,AI$3=$AC34,AI$3=$AE34),"",IF(AI$3=$AD34,$F34&amp;"R",AI33))))</f>
        <v>wN</v>
      </c>
      <c r="AJ34" s="11" t="str">
        <f aca="false">IF($P34=0,AJ33,IF(AJ$3=$E34,IF($AA34=1,$F34&amp;$AB34,$G34),IF(OR(AJ$3=$D34,AJ$3=$AC34,AJ$3=$AE34),"",IF(AJ$3=$AD34,$F34&amp;"R",AJ33))))</f>
        <v>wB</v>
      </c>
      <c r="AK34" s="11" t="str">
        <f aca="false">IF($P34=0,AK33,IF(AK$3=$E34,IF($AA34=1,$F34&amp;$AB34,$G34),IF(OR(AK$3=$D34,AK$3=$AC34,AK$3=$AE34),"",IF(AK$3=$AD34,$F34&amp;"R",AK33))))</f>
        <v>wQ</v>
      </c>
      <c r="AL34" s="11" t="str">
        <f aca="false">IF($P34=0,AL33,IF(AL$3=$E34,IF($AA34=1,$F34&amp;$AB34,$G34),IF(OR(AL$3=$D34,AL$3=$AC34,AL$3=$AE34),"",IF(AL$3=$AD34,$F34&amp;"R",AL33))))</f>
        <v>wK</v>
      </c>
      <c r="AM34" s="11" t="str">
        <f aca="false">IF($P34=0,AM33,IF(AM$3=$E34,IF($AA34=1,$F34&amp;$AB34,$G34),IF(OR(AM$3=$D34,AM$3=$AC34,AM$3=$AE34),"",IF(AM$3=$AD34,$F34&amp;"R",AM33))))</f>
        <v>wB</v>
      </c>
      <c r="AN34" s="11" t="str">
        <f aca="false">IF($P34=0,AN33,IF(AN$3=$E34,IF($AA34=1,$F34&amp;$AB34,$G34),IF(OR(AN$3=$D34,AN$3=$AC34,AN$3=$AE34),"",IF(AN$3=$AD34,$F34&amp;"R",AN33))))</f>
        <v>wN</v>
      </c>
      <c r="AO34" s="11" t="str">
        <f aca="false">IF($P34=0,AO33,IF(AO$3=$E34,IF($AA34=1,$F34&amp;$AB34,$G34),IF(OR(AO$3=$D34,AO$3=$AC34,AO$3=$AE34),"",IF(AO$3=$AD34,$F34&amp;"R",AO33))))</f>
        <v>wR</v>
      </c>
      <c r="AP34" s="11" t="str">
        <f aca="false">IF($P34=0,AP33,IF(AP$3=$E34,IF($AA34=1,$F34&amp;$AB34,$G34),IF(OR(AP$3=$D34,AP$3=$AC34,AP$3=$AE34),"",IF(AP$3=$AD34,$F34&amp;"R",AP33))))</f>
        <v>wP</v>
      </c>
      <c r="AQ34" s="11" t="str">
        <f aca="false">IF($P34=0,AQ33,IF(AQ$3=$E34,IF($AA34=1,$F34&amp;$AB34,$G34),IF(OR(AQ$3=$D34,AQ$3=$AC34,AQ$3=$AE34),"",IF(AQ$3=$AD34,$F34&amp;"R",AQ33))))</f>
        <v>wP</v>
      </c>
      <c r="AR34" s="11" t="str">
        <f aca="false">IF($P34=0,AR33,IF(AR$3=$E34,IF($AA34=1,$F34&amp;$AB34,$G34),IF(OR(AR$3=$D34,AR$3=$AC34,AR$3=$AE34),"",IF(AR$3=$AD34,$F34&amp;"R",AR33))))</f>
        <v>wP</v>
      </c>
      <c r="AS34" s="11" t="str">
        <f aca="false">IF($P34=0,AS33,IF(AS$3=$E34,IF($AA34=1,$F34&amp;$AB34,$G34),IF(OR(AS$3=$D34,AS$3=$AC34,AS$3=$AE34),"",IF(AS$3=$AD34,$F34&amp;"R",AS33))))</f>
        <v>wP</v>
      </c>
      <c r="AT34" s="11" t="str">
        <f aca="false">IF($P34=0,AT33,IF(AT$3=$E34,IF($AA34=1,$F34&amp;$AB34,$G34),IF(OR(AT$3=$D34,AT$3=$AC34,AT$3=$AE34),"",IF(AT$3=$AD34,$F34&amp;"R",AT33))))</f>
        <v>wP</v>
      </c>
      <c r="AU34" s="11" t="str">
        <f aca="false">IF($P34=0,AU33,IF(AU$3=$E34,IF($AA34=1,$F34&amp;$AB34,$G34),IF(OR(AU$3=$D34,AU$3=$AC34,AU$3=$AE34),"",IF(AU$3=$AD34,$F34&amp;"R",AU33))))</f>
        <v>wP</v>
      </c>
      <c r="AV34" s="11" t="str">
        <f aca="false">IF($P34=0,AV33,IF(AV$3=$E34,IF($AA34=1,$F34&amp;$AB34,$G34),IF(OR(AV$3=$D34,AV$3=$AC34,AV$3=$AE34),"",IF(AV$3=$AD34,$F34&amp;"R",AV33))))</f>
        <v>wP</v>
      </c>
      <c r="AW34" s="11" t="str">
        <f aca="false">IF($P34=0,AW33,IF(AW$3=$E34,IF($AA34=1,$F34&amp;$AB34,$G34),IF(OR(AW$3=$D34,AW$3=$AC34,AW$3=$AE34),"",IF(AW$3=$AD34,$F34&amp;"R",AW33))))</f>
        <v>wP</v>
      </c>
      <c r="AX34" s="11" t="str">
        <f aca="false">IF($P34=0,AX33,IF(AX$3=$E34,IF($AA34=1,$F34&amp;$AB34,$G34),IF(OR(AX$3=$D34,AX$3=$AC34,AX$3=$AE34),"",IF(AX$3=$AD34,$F34&amp;"R",AX33))))</f>
        <v/>
      </c>
      <c r="AY34" s="11" t="str">
        <f aca="false">IF($P34=0,AY33,IF(AY$3=$E34,IF($AA34=1,$F34&amp;$AB34,$G34),IF(OR(AY$3=$D34,AY$3=$AC34,AY$3=$AE34),"",IF(AY$3=$AD34,$F34&amp;"R",AY33))))</f>
        <v/>
      </c>
      <c r="AZ34" s="11" t="str">
        <f aca="false">IF($P34=0,AZ33,IF(AZ$3=$E34,IF($AA34=1,$F34&amp;$AB34,$G34),IF(OR(AZ$3=$D34,AZ$3=$AC34,AZ$3=$AE34),"",IF(AZ$3=$AD34,$F34&amp;"R",AZ33))))</f>
        <v/>
      </c>
      <c r="BA34" s="11" t="str">
        <f aca="false">IF($P34=0,BA33,IF(BA$3=$E34,IF($AA34=1,$F34&amp;$AB34,$G34),IF(OR(BA$3=$D34,BA$3=$AC34,BA$3=$AE34),"",IF(BA$3=$AD34,$F34&amp;"R",BA33))))</f>
        <v/>
      </c>
      <c r="BB34" s="11" t="str">
        <f aca="false">IF($P34=0,BB33,IF(BB$3=$E34,IF($AA34=1,$F34&amp;$AB34,$G34),IF(OR(BB$3=$D34,BB$3=$AC34,BB$3=$AE34),"",IF(BB$3=$AD34,$F34&amp;"R",BB33))))</f>
        <v/>
      </c>
      <c r="BC34" s="11" t="str">
        <f aca="false">IF($P34=0,BC33,IF(BC$3=$E34,IF($AA34=1,$F34&amp;$AB34,$G34),IF(OR(BC$3=$D34,BC$3=$AC34,BC$3=$AE34),"",IF(BC$3=$AD34,$F34&amp;"R",BC33))))</f>
        <v/>
      </c>
      <c r="BD34" s="11" t="str">
        <f aca="false">IF($P34=0,BD33,IF(BD$3=$E34,IF($AA34=1,$F34&amp;$AB34,$G34),IF(OR(BD$3=$D34,BD$3=$AC34,BD$3=$AE34),"",IF(BD$3=$AD34,$F34&amp;"R",BD33))))</f>
        <v/>
      </c>
      <c r="BE34" s="11" t="str">
        <f aca="false">IF($P34=0,BE33,IF(BE$3=$E34,IF($AA34=1,$F34&amp;$AB34,$G34),IF(OR(BE$3=$D34,BE$3=$AC34,BE$3=$AE34),"",IF(BE$3=$AD34,$F34&amp;"R",BE33))))</f>
        <v/>
      </c>
      <c r="BF34" s="11" t="str">
        <f aca="false">IF($P34=0,BF33,IF(BF$3=$E34,IF($AA34=1,$F34&amp;$AB34,$G34),IF(OR(BF$3=$D34,BF$3=$AC34,BF$3=$AE34),"",IF(BF$3=$AD34,$F34&amp;"R",BF33))))</f>
        <v/>
      </c>
      <c r="BG34" s="11" t="str">
        <f aca="false">IF($P34=0,BG33,IF(BG$3=$E34,IF($AA34=1,$F34&amp;$AB34,$G34),IF(OR(BG$3=$D34,BG$3=$AC34,BG$3=$AE34),"",IF(BG$3=$AD34,$F34&amp;"R",BG33))))</f>
        <v/>
      </c>
      <c r="BH34" s="11" t="str">
        <f aca="false">IF($P34=0,BH33,IF(BH$3=$E34,IF($AA34=1,$F34&amp;$AB34,$G34),IF(OR(BH$3=$D34,BH$3=$AC34,BH$3=$AE34),"",IF(BH$3=$AD34,$F34&amp;"R",BH33))))</f>
        <v/>
      </c>
      <c r="BI34" s="11" t="str">
        <f aca="false">IF($P34=0,BI33,IF(BI$3=$E34,IF($AA34=1,$F34&amp;$AB34,$G34),IF(OR(BI$3=$D34,BI$3=$AC34,BI$3=$AE34),"",IF(BI$3=$AD34,$F34&amp;"R",BI33))))</f>
        <v/>
      </c>
      <c r="BJ34" s="11" t="str">
        <f aca="false">IF($P34=0,BJ33,IF(BJ$3=$E34,IF($AA34=1,$F34&amp;$AB34,$G34),IF(OR(BJ$3=$D34,BJ$3=$AC34,BJ$3=$AE34),"",IF(BJ$3=$AD34,$F34&amp;"R",BJ33))))</f>
        <v/>
      </c>
      <c r="BK34" s="11" t="str">
        <f aca="false">IF($P34=0,BK33,IF(BK$3=$E34,IF($AA34=1,$F34&amp;$AB34,$G34),IF(OR(BK$3=$D34,BK$3=$AC34,BK$3=$AE34),"",IF(BK$3=$AD34,$F34&amp;"R",BK33))))</f>
        <v/>
      </c>
      <c r="BL34" s="11" t="str">
        <f aca="false">IF($P34=0,BL33,IF(BL$3=$E34,IF($AA34=1,$F34&amp;$AB34,$G34),IF(OR(BL$3=$D34,BL$3=$AC34,BL$3=$AE34),"",IF(BL$3=$AD34,$F34&amp;"R",BL33))))</f>
        <v/>
      </c>
      <c r="BM34" s="11" t="str">
        <f aca="false">IF($P34=0,BM33,IF(BM$3=$E34,IF($AA34=1,$F34&amp;$AB34,$G34),IF(OR(BM$3=$D34,BM$3=$AC34,BM$3=$AE34),"",IF(BM$3=$AD34,$F34&amp;"R",BM33))))</f>
        <v/>
      </c>
      <c r="BN34" s="11" t="str">
        <f aca="false">IF($P34=0,BN33,IF(BN$3=$E34,IF($AA34=1,$F34&amp;$AB34,$G34),IF(OR(BN$3=$D34,BN$3=$AC34,BN$3=$AE34),"",IF(BN$3=$AD34,$F34&amp;"R",BN33))))</f>
        <v/>
      </c>
      <c r="BO34" s="11" t="str">
        <f aca="false">IF($P34=0,BO33,IF(BO$3=$E34,IF($AA34=1,$F34&amp;$AB34,$G34),IF(OR(BO$3=$D34,BO$3=$AC34,BO$3=$AE34),"",IF(BO$3=$AD34,$F34&amp;"R",BO33))))</f>
        <v/>
      </c>
      <c r="BP34" s="11" t="str">
        <f aca="false">IF($P34=0,BP33,IF(BP$3=$E34,IF($AA34=1,$F34&amp;$AB34,$G34),IF(OR(BP$3=$D34,BP$3=$AC34,BP$3=$AE34),"",IF(BP$3=$AD34,$F34&amp;"R",BP33))))</f>
        <v/>
      </c>
      <c r="BQ34" s="11" t="str">
        <f aca="false">IF($P34=0,BQ33,IF(BQ$3=$E34,IF($AA34=1,$F34&amp;$AB34,$G34),IF(OR(BQ$3=$D34,BQ$3=$AC34,BQ$3=$AE34),"",IF(BQ$3=$AD34,$F34&amp;"R",BQ33))))</f>
        <v/>
      </c>
      <c r="BR34" s="11" t="str">
        <f aca="false">IF($P34=0,BR33,IF(BR$3=$E34,IF($AA34=1,$F34&amp;$AB34,$G34),IF(OR(BR$3=$D34,BR$3=$AC34,BR$3=$AE34),"",IF(BR$3=$AD34,$F34&amp;"R",BR33))))</f>
        <v/>
      </c>
      <c r="BS34" s="11" t="str">
        <f aca="false">IF($P34=0,BS33,IF(BS$3=$E34,IF($AA34=1,$F34&amp;$AB34,$G34),IF(OR(BS$3=$D34,BS$3=$AC34,BS$3=$AE34),"",IF(BS$3=$AD34,$F34&amp;"R",BS33))))</f>
        <v/>
      </c>
      <c r="BT34" s="11" t="str">
        <f aca="false">IF($P34=0,BT33,IF(BT$3=$E34,IF($AA34=1,$F34&amp;$AB34,$G34),IF(OR(BT$3=$D34,BT$3=$AC34,BT$3=$AE34),"",IF(BT$3=$AD34,$F34&amp;"R",BT33))))</f>
        <v/>
      </c>
      <c r="BU34" s="11" t="str">
        <f aca="false">IF($P34=0,BU33,IF(BU$3=$E34,IF($AA34=1,$F34&amp;$AB34,$G34),IF(OR(BU$3=$D34,BU$3=$AC34,BU$3=$AE34),"",IF(BU$3=$AD34,$F34&amp;"R",BU33))))</f>
        <v/>
      </c>
      <c r="BV34" s="11" t="str">
        <f aca="false">IF($P34=0,BV33,IF(BV$3=$E34,IF($AA34=1,$F34&amp;$AB34,$G34),IF(OR(BV$3=$D34,BV$3=$AC34,BV$3=$AE34),"",IF(BV$3=$AD34,$F34&amp;"R",BV33))))</f>
        <v/>
      </c>
      <c r="BW34" s="11" t="str">
        <f aca="false">IF($P34=0,BW33,IF(BW$3=$E34,IF($AA34=1,$F34&amp;$AB34,$G34),IF(OR(BW$3=$D34,BW$3=$AC34,BW$3=$AE34),"",IF(BW$3=$AD34,$F34&amp;"R",BW33))))</f>
        <v/>
      </c>
      <c r="BX34" s="11" t="str">
        <f aca="false">IF($P34=0,BX33,IF(BX$3=$E34,IF($AA34=1,$F34&amp;$AB34,$G34),IF(OR(BX$3=$D34,BX$3=$AC34,BX$3=$AE34),"",IF(BX$3=$AD34,$F34&amp;"R",BX33))))</f>
        <v/>
      </c>
      <c r="BY34" s="11" t="str">
        <f aca="false">IF($P34=0,BY33,IF(BY$3=$E34,IF($AA34=1,$F34&amp;$AB34,$G34),IF(OR(BY$3=$D34,BY$3=$AC34,BY$3=$AE34),"",IF(BY$3=$AD34,$F34&amp;"R",BY33))))</f>
        <v/>
      </c>
      <c r="BZ34" s="11" t="str">
        <f aca="false">IF($P34=0,BZ33,IF(BZ$3=$E34,IF($AA34=1,$F34&amp;$AB34,$G34),IF(OR(BZ$3=$D34,BZ$3=$AC34,BZ$3=$AE34),"",IF(BZ$3=$AD34,$F34&amp;"R",BZ33))))</f>
        <v/>
      </c>
      <c r="CA34" s="11" t="str">
        <f aca="false">IF($P34=0,CA33,IF(CA$3=$E34,IF($AA34=1,$F34&amp;$AB34,$G34),IF(OR(CA$3=$D34,CA$3=$AC34,CA$3=$AE34),"",IF(CA$3=$AD34,$F34&amp;"R",CA33))))</f>
        <v/>
      </c>
      <c r="CB34" s="11" t="str">
        <f aca="false">IF($P34=0,CB33,IF(CB$3=$E34,IF($AA34=1,$F34&amp;$AB34,$G34),IF(OR(CB$3=$D34,CB$3=$AC34,CB$3=$AE34),"",IF(CB$3=$AD34,$F34&amp;"R",CB33))))</f>
        <v/>
      </c>
      <c r="CC34" s="11" t="str">
        <f aca="false">IF($P34=0,CC33,IF(CC$3=$E34,IF($AA34=1,$F34&amp;$AB34,$G34),IF(OR(CC$3=$D34,CC$3=$AC34,CC$3=$AE34),"",IF(CC$3=$AD34,$F34&amp;"R",CC33))))</f>
        <v/>
      </c>
      <c r="CD34" s="11" t="str">
        <f aca="false">IF($P34=0,CD33,IF(CD$3=$E34,IF($AA34=1,$F34&amp;$AB34,$G34),IF(OR(CD$3=$D34,CD$3=$AC34,CD$3=$AE34),"",IF(CD$3=$AD34,$F34&amp;"R",CD33))))</f>
        <v>bP</v>
      </c>
      <c r="CE34" s="11" t="str">
        <f aca="false">IF($P34=0,CE33,IF(CE$3=$E34,IF($AA34=1,$F34&amp;$AB34,$G34),IF(OR(CE$3=$D34,CE$3=$AC34,CE$3=$AE34),"",IF(CE$3=$AD34,$F34&amp;"R",CE33))))</f>
        <v>bP</v>
      </c>
      <c r="CF34" s="11" t="str">
        <f aca="false">IF($P34=0,CF33,IF(CF$3=$E34,IF($AA34=1,$F34&amp;$AB34,$G34),IF(OR(CF$3=$D34,CF$3=$AC34,CF$3=$AE34),"",IF(CF$3=$AD34,$F34&amp;"R",CF33))))</f>
        <v>bP</v>
      </c>
      <c r="CG34" s="11" t="str">
        <f aca="false">IF($P34=0,CG33,IF(CG$3=$E34,IF($AA34=1,$F34&amp;$AB34,$G34),IF(OR(CG$3=$D34,CG$3=$AC34,CG$3=$AE34),"",IF(CG$3=$AD34,$F34&amp;"R",CG33))))</f>
        <v>bP</v>
      </c>
      <c r="CH34" s="11" t="str">
        <f aca="false">IF($P34=0,CH33,IF(CH$3=$E34,IF($AA34=1,$F34&amp;$AB34,$G34),IF(OR(CH$3=$D34,CH$3=$AC34,CH$3=$AE34),"",IF(CH$3=$AD34,$F34&amp;"R",CH33))))</f>
        <v>bP</v>
      </c>
      <c r="CI34" s="11" t="str">
        <f aca="false">IF($P34=0,CI33,IF(CI$3=$E34,IF($AA34=1,$F34&amp;$AB34,$G34),IF(OR(CI$3=$D34,CI$3=$AC34,CI$3=$AE34),"",IF(CI$3=$AD34,$F34&amp;"R",CI33))))</f>
        <v>bP</v>
      </c>
      <c r="CJ34" s="11" t="str">
        <f aca="false">IF($P34=0,CJ33,IF(CJ$3=$E34,IF($AA34=1,$F34&amp;$AB34,$G34),IF(OR(CJ$3=$D34,CJ$3=$AC34,CJ$3=$AE34),"",IF(CJ$3=$AD34,$F34&amp;"R",CJ33))))</f>
        <v>bP</v>
      </c>
      <c r="CK34" s="11" t="str">
        <f aca="false">IF($P34=0,CK33,IF(CK$3=$E34,IF($AA34=1,$F34&amp;$AB34,$G34),IF(OR(CK$3=$D34,CK$3=$AC34,CK$3=$AE34),"",IF(CK$3=$AD34,$F34&amp;"R",CK33))))</f>
        <v>bP</v>
      </c>
      <c r="CL34" s="11" t="str">
        <f aca="false">IF($P34=0,CL33,IF(CL$3=$E34,IF($AA34=1,$F34&amp;$AB34,$G34),IF(OR(CL$3=$D34,CL$3=$AC34,CL$3=$AE34),"",IF(CL$3=$AD34,$F34&amp;"R",CL33))))</f>
        <v>bR</v>
      </c>
      <c r="CM34" s="11" t="str">
        <f aca="false">IF($P34=0,CM33,IF(CM$3=$E34,IF($AA34=1,$F34&amp;$AB34,$G34),IF(OR(CM$3=$D34,CM$3=$AC34,CM$3=$AE34),"",IF(CM$3=$AD34,$F34&amp;"R",CM33))))</f>
        <v>bN</v>
      </c>
      <c r="CN34" s="11" t="str">
        <f aca="false">IF($P34=0,CN33,IF(CN$3=$E34,IF($AA34=1,$F34&amp;$AB34,$G34),IF(OR(CN$3=$D34,CN$3=$AC34,CN$3=$AE34),"",IF(CN$3=$AD34,$F34&amp;"R",CN33))))</f>
        <v>bB</v>
      </c>
      <c r="CO34" s="11" t="str">
        <f aca="false">IF($P34=0,CO33,IF(CO$3=$E34,IF($AA34=1,$F34&amp;$AB34,$G34),IF(OR(CO$3=$D34,CO$3=$AC34,CO$3=$AE34),"",IF(CO$3=$AD34,$F34&amp;"R",CO33))))</f>
        <v>bQ</v>
      </c>
      <c r="CP34" s="11" t="str">
        <f aca="false">IF($P34=0,CP33,IF(CP$3=$E34,IF($AA34=1,$F34&amp;$AB34,$G34),IF(OR(CP$3=$D34,CP$3=$AC34,CP$3=$AE34),"",IF(CP$3=$AD34,$F34&amp;"R",CP33))))</f>
        <v>bK</v>
      </c>
      <c r="CQ34" s="11" t="str">
        <f aca="false">IF($P34=0,CQ33,IF(CQ$3=$E34,IF($AA34=1,$F34&amp;$AB34,$G34),IF(OR(CQ$3=$D34,CQ$3=$AC34,CQ$3=$AE34),"",IF(CQ$3=$AD34,$F34&amp;"R",CQ33))))</f>
        <v>bB</v>
      </c>
      <c r="CR34" s="11" t="str">
        <f aca="false">IF($P34=0,CR33,IF(CR$3=$E34,IF($AA34=1,$F34&amp;$AB34,$G34),IF(OR(CR$3=$D34,CR$3=$AC34,CR$3=$AE34),"",IF(CR$3=$AD34,$F34&amp;"R",CR33))))</f>
        <v>bN</v>
      </c>
      <c r="CS34" s="11" t="str">
        <f aca="false">IF($P34=0,CS33,IF(CS$3=$E34,IF($AA34=1,$F34&amp;$AB34,$G34),IF(OR(CS$3=$D34,CS$3=$AC34,CS$3=$AE34),"",IF(CS$3=$AD34,$F34&amp;"R",CS33))))</f>
        <v>bR</v>
      </c>
      <c r="CT34" s="11"/>
      <c r="CU34" s="11"/>
      <c r="CV34" s="11"/>
    </row>
    <row r="35" customFormat="false" ht="15" hidden="false" customHeight="false" outlineLevel="0" collapsed="false">
      <c r="A35" s="11" t="n">
        <v>30</v>
      </c>
      <c r="B35" s="11" t="str">
        <f aca="false">IF(Chess!$L$39="","",Chess!$L$39&amp;"")</f>
        <v/>
      </c>
      <c r="C35" s="11" t="str">
        <f aca="false">LOWER(SUBSTITUTE(SUBSTITUTE(SUBSTITUTE(SUBSTITUTE(TRIM($B35),"-",""),"=","")," ",""),"x",""))</f>
        <v/>
      </c>
      <c r="D35" s="11" t="n">
        <f aca="false">IF(LEN($C35)&lt;4,0,IFERROR(IF(AND(CODE(MID($C35,1,1))&gt;=97,CODE(MID($C35,1,1))&lt;=104,VALUE(MID($C35,2,1))&gt;=1,VALUE(MID($C35,2,1))&lt;=8),(VALUE(MID($C35,2,1))-1)*8+CODE(MID($C35,1,1))-96,0),0))</f>
        <v>0</v>
      </c>
      <c r="E35" s="11" t="n">
        <f aca="false">IF(LEN($C35)&lt;4,0,IFERROR(IF(AND(CODE(MID($C35,3,1))&gt;=97,CODE(MID($C35,3,1))&lt;=104,VALUE(MID($C35,4,1))&gt;=1,VALUE(MID($C35,4,1))&lt;=8),(VALUE(MID($C35,4,1))-1)*8+CODE(MID($C35,3,1))-96,0),0))</f>
        <v>0</v>
      </c>
      <c r="F35" s="11" t="str">
        <f aca="false">IF(MOD(SUM($P$5:$P34),2)=0,"w","b")</f>
        <v>w</v>
      </c>
      <c r="G35" s="11" t="str">
        <f aca="false">IF($D35=0,"",INDEX($AH34:$CS34,1,$D35)&amp;"")</f>
        <v/>
      </c>
      <c r="H35" s="11" t="str">
        <f aca="false">IF($E35=0,"",INDEX($AH34:$CS34,1,$E35)&amp;"")</f>
        <v/>
      </c>
      <c r="I35" s="11" t="n">
        <f aca="false">IF(OR($D35=0,$E35=0),0,MOD($E35-1,8)-MOD($D35-1,8))</f>
        <v>0</v>
      </c>
      <c r="J35" s="11" t="n">
        <f aca="false">IF(OR($D35=0,$E35=0),0,INT(($E35-1)/8)-INT(($D35-1)/8))</f>
        <v>0</v>
      </c>
      <c r="K35" s="11" t="str">
        <f aca="false">IF($G35="","",RIGHT($G35,1))</f>
        <v/>
      </c>
      <c r="L35" s="11" t="n">
        <f aca="false">IF(OR($D35=0,$E35=0),0,SUMPRODUCT(($AH$3:$CS$3&gt;MIN($D35,$E35))*($AH$3:$CS$3&lt;MAX($D35,$E35))*(MOD($AH$3:$CS$3-MIN($D35,$E35),MAX(1,ABS(SIGN($J35)*8+SIGN($I35))))=0)*($AH34:$CS34&lt;&gt;"")))</f>
        <v>0</v>
      </c>
      <c r="M35" s="11" t="n">
        <f aca="false">IF($K35&lt;&gt;"K",0,IFERROR(--AND($J35=0,ABS($I35)=2,$D35=IF($F35="w",5,61),IF($F35="w",$S34,$V34)=0,IF($I35=2,AND(IF($F35="w",$U34,$X34)=0,INDEX($AH34:$CS34,1,$D35+1)&amp;""="",INDEX($AH34:$CS34,1,$D35+2)&amp;""=""),AND(IF($F35="w",$T34,$W34)=0,INDEX($AH34:$CS34,1,$D35-1)&amp;""="",INDEX($AH34:$CS34,1,$D35-2)&amp;""="",INDEX($AH34:$CS34,1,$D35-3)&amp;""=""))),0))</f>
        <v>0</v>
      </c>
      <c r="N35" s="11" t="n">
        <f aca="false">IF($K35&lt;&gt;"P",0,IFERROR(--OR(AND($I35=0,$J35=IF($F35="w",1,-1),$H35=""),AND($I35=0,$J35=2*IF($F35="w",1,-1),$H35="",INT(($D35-1)/8)=IF($F35="w",1,6),INDEX($AH34:$CS34,1,MAX(1,MIN(64,$D35+8*IF($F35="w",1,-1))))&amp;""=""),AND(ABS($I35)=1,$J35=IF($F35="w",1,-1),$H35&lt;&gt;""),AND(ABS($I35)=1,$J35=IF($F35="w",1,-1),$H35="",$R34&gt;0,$E35=$R34)),0))</f>
        <v>0</v>
      </c>
      <c r="O35" s="11" t="n">
        <f aca="false">IF(OR($D35=0,$E35=0,$G35=""),0,IF($K35="N",--OR(AND(ABS($I35)=1,ABS($J35)=2),AND(ABS($I35)=2,ABS($J35)=1)),IF($K35="B",--AND(ABS($I35)=ABS($J35),$I35&lt;&gt;0,$L35=0),IF($K35="R",--AND(OR($I35=0,$J35=0),OR($I35&lt;&gt;0,$J35&lt;&gt;0),$L35=0),IF($K35="Q",--AND(OR(AND(ABS($I35)=ABS($J35),$I35&lt;&gt;0),AND(OR($I35=0,$J35=0),OR($I35&lt;&gt;0,$J35&lt;&gt;0))),$L35=0),IF($K35="K",--OR(MAX(ABS($I35),ABS($J35))=1,$M35=1),$N35))))))</f>
        <v>0</v>
      </c>
      <c r="P35" s="11" t="n">
        <f aca="false">IF($Q35="OK",1,0)</f>
        <v>0</v>
      </c>
      <c r="Q35" s="11" t="str">
        <f aca="false">IF($B35="","",IF(OR(COUNTIF($AH34:$CS34,"wK")=0,COUNTIF($AH34:$CS34,"bK")=0),"Game is over",IF(OR($D35=0,$E35=0),"Use the format e2e4",IF($G35="","No piece on that square",IF(LEFT($G35,1)&lt;&gt;$F35,"Not your piece ("&amp;IF($F35="w","White","Black")&amp;" to move)",IF($D35=$E35,"Piece must move",IF(AND($H35&lt;&gt;"",LEFT($H35,1)=$F35),"Cannot capture your own piece",IF($O35=0,"Illegal move for that piece (or path blocked)","OK"))))))))</f>
        <v/>
      </c>
      <c r="R35" s="11" t="n">
        <f aca="false">IF($P35=1,IF(AND($K35="P",ABS($J35)=2),($D35+$E35)/2,0),$R34)</f>
        <v>0</v>
      </c>
      <c r="S35" s="12" t="b">
        <f aca="false">--OR($S34=1,AND($P35=1,OR($D35=5,$E35=5)))</f>
        <v>0</v>
      </c>
      <c r="T35" s="12" t="b">
        <f aca="false">--OR($T34=1,AND($P35=1,OR($D35=1,$E35=1)))</f>
        <v>0</v>
      </c>
      <c r="U35" s="12" t="b">
        <f aca="false">--OR($U34=1,AND($P35=1,OR($D35=8,$E35=8)))</f>
        <v>0</v>
      </c>
      <c r="V35" s="12" t="b">
        <f aca="false">--OR($V34=1,AND($P35=1,OR($D35=61,$E35=61)))</f>
        <v>0</v>
      </c>
      <c r="W35" s="12" t="b">
        <f aca="false">--OR($W34=1,AND($P35=1,OR($D35=57,$E35=57)))</f>
        <v>0</v>
      </c>
      <c r="X35" s="12" t="b">
        <f aca="false">--OR($X34=1,AND($P35=1,OR($D35=64,$E35=64)))</f>
        <v>0</v>
      </c>
      <c r="Y35" s="12" t="b">
        <f aca="false">--AND($P35=1,$K35="K",ABS($I35)=2)</f>
        <v>0</v>
      </c>
      <c r="Z35" s="12" t="b">
        <f aca="false">--AND($P35=1,$K35="P",ABS($I35)=1,$H35="")</f>
        <v>0</v>
      </c>
      <c r="AA35" s="12" t="b">
        <f aca="false">--AND($P35=1,$K35="P",INT(($E35-1)/8)=IF($F35="w",7,0))</f>
        <v>0</v>
      </c>
      <c r="AB35" s="11" t="str">
        <f aca="false">IF(LEN($C35)&gt;=5,IF(ISNUMBER(FIND(MID($C35,5,1),"qrbn")),UPPER(MID($C35,5,1)),"Q"),"Q")</f>
        <v>Q</v>
      </c>
      <c r="AC35" s="11" t="n">
        <f aca="false">IF($Y35=1,IF($I35=2,$D35+3,$D35-4),0)</f>
        <v>0</v>
      </c>
      <c r="AD35" s="11" t="n">
        <f aca="false">IF($Y35=1,IF($I35=2,$D35+1,$D35-1),0)</f>
        <v>0</v>
      </c>
      <c r="AE35" s="11" t="n">
        <f aca="false">IF($Z35=1,$E35-8*IF($F35="w",1,-1),0)</f>
        <v>0</v>
      </c>
      <c r="AF35" s="11" t="str">
        <f aca="false">IF($B35="","",IF($P35=1,LOWER(INDEX($CV$2:$CV$13,MATCH($G35,$CU$2:$CU$13,0)))&amp;" "&amp;MID("abcdefgh",MOD($D35-1,8)+1,1)&amp;(INT(($D35-1)/8)+1)&amp;"→"&amp;MID("abcdefgh",MOD($E35-1,8)+1,1)&amp;(INT(($E35-1)/8)+1)&amp;IF(OR($H35&lt;&gt;"",$Z35=1)," ×","")&amp;IF($Y35=1," castles","")&amp;IF($Z35=1," e.p.","")&amp;IF($AA35=1," =" &amp;LOWER(INDEX($CV$2:$CV$13,MATCH($F35&amp;$AB35,$CU$2:$CU$13,0))),""),"X "&amp;$Q35))</f>
        <v/>
      </c>
      <c r="AG35" s="11"/>
      <c r="AH35" s="11" t="str">
        <f aca="false">IF($P35=0,AH34,IF(AH$3=$E35,IF($AA35=1,$F35&amp;$AB35,$G35),IF(OR(AH$3=$D35,AH$3=$AC35,AH$3=$AE35),"",IF(AH$3=$AD35,$F35&amp;"R",AH34))))</f>
        <v>wR</v>
      </c>
      <c r="AI35" s="11" t="str">
        <f aca="false">IF($P35=0,AI34,IF(AI$3=$E35,IF($AA35=1,$F35&amp;$AB35,$G35),IF(OR(AI$3=$D35,AI$3=$AC35,AI$3=$AE35),"",IF(AI$3=$AD35,$F35&amp;"R",AI34))))</f>
        <v>wN</v>
      </c>
      <c r="AJ35" s="11" t="str">
        <f aca="false">IF($P35=0,AJ34,IF(AJ$3=$E35,IF($AA35=1,$F35&amp;$AB35,$G35),IF(OR(AJ$3=$D35,AJ$3=$AC35,AJ$3=$AE35),"",IF(AJ$3=$AD35,$F35&amp;"R",AJ34))))</f>
        <v>wB</v>
      </c>
      <c r="AK35" s="11" t="str">
        <f aca="false">IF($P35=0,AK34,IF(AK$3=$E35,IF($AA35=1,$F35&amp;$AB35,$G35),IF(OR(AK$3=$D35,AK$3=$AC35,AK$3=$AE35),"",IF(AK$3=$AD35,$F35&amp;"R",AK34))))</f>
        <v>wQ</v>
      </c>
      <c r="AL35" s="11" t="str">
        <f aca="false">IF($P35=0,AL34,IF(AL$3=$E35,IF($AA35=1,$F35&amp;$AB35,$G35),IF(OR(AL$3=$D35,AL$3=$AC35,AL$3=$AE35),"",IF(AL$3=$AD35,$F35&amp;"R",AL34))))</f>
        <v>wK</v>
      </c>
      <c r="AM35" s="11" t="str">
        <f aca="false">IF($P35=0,AM34,IF(AM$3=$E35,IF($AA35=1,$F35&amp;$AB35,$G35),IF(OR(AM$3=$D35,AM$3=$AC35,AM$3=$AE35),"",IF(AM$3=$AD35,$F35&amp;"R",AM34))))</f>
        <v>wB</v>
      </c>
      <c r="AN35" s="11" t="str">
        <f aca="false">IF($P35=0,AN34,IF(AN$3=$E35,IF($AA35=1,$F35&amp;$AB35,$G35),IF(OR(AN$3=$D35,AN$3=$AC35,AN$3=$AE35),"",IF(AN$3=$AD35,$F35&amp;"R",AN34))))</f>
        <v>wN</v>
      </c>
      <c r="AO35" s="11" t="str">
        <f aca="false">IF($P35=0,AO34,IF(AO$3=$E35,IF($AA35=1,$F35&amp;$AB35,$G35),IF(OR(AO$3=$D35,AO$3=$AC35,AO$3=$AE35),"",IF(AO$3=$AD35,$F35&amp;"R",AO34))))</f>
        <v>wR</v>
      </c>
      <c r="AP35" s="11" t="str">
        <f aca="false">IF($P35=0,AP34,IF(AP$3=$E35,IF($AA35=1,$F35&amp;$AB35,$G35),IF(OR(AP$3=$D35,AP$3=$AC35,AP$3=$AE35),"",IF(AP$3=$AD35,$F35&amp;"R",AP34))))</f>
        <v>wP</v>
      </c>
      <c r="AQ35" s="11" t="str">
        <f aca="false">IF($P35=0,AQ34,IF(AQ$3=$E35,IF($AA35=1,$F35&amp;$AB35,$G35),IF(OR(AQ$3=$D35,AQ$3=$AC35,AQ$3=$AE35),"",IF(AQ$3=$AD35,$F35&amp;"R",AQ34))))</f>
        <v>wP</v>
      </c>
      <c r="AR35" s="11" t="str">
        <f aca="false">IF($P35=0,AR34,IF(AR$3=$E35,IF($AA35=1,$F35&amp;$AB35,$G35),IF(OR(AR$3=$D35,AR$3=$AC35,AR$3=$AE35),"",IF(AR$3=$AD35,$F35&amp;"R",AR34))))</f>
        <v>wP</v>
      </c>
      <c r="AS35" s="11" t="str">
        <f aca="false">IF($P35=0,AS34,IF(AS$3=$E35,IF($AA35=1,$F35&amp;$AB35,$G35),IF(OR(AS$3=$D35,AS$3=$AC35,AS$3=$AE35),"",IF(AS$3=$AD35,$F35&amp;"R",AS34))))</f>
        <v>wP</v>
      </c>
      <c r="AT35" s="11" t="str">
        <f aca="false">IF($P35=0,AT34,IF(AT$3=$E35,IF($AA35=1,$F35&amp;$AB35,$G35),IF(OR(AT$3=$D35,AT$3=$AC35,AT$3=$AE35),"",IF(AT$3=$AD35,$F35&amp;"R",AT34))))</f>
        <v>wP</v>
      </c>
      <c r="AU35" s="11" t="str">
        <f aca="false">IF($P35=0,AU34,IF(AU$3=$E35,IF($AA35=1,$F35&amp;$AB35,$G35),IF(OR(AU$3=$D35,AU$3=$AC35,AU$3=$AE35),"",IF(AU$3=$AD35,$F35&amp;"R",AU34))))</f>
        <v>wP</v>
      </c>
      <c r="AV35" s="11" t="str">
        <f aca="false">IF($P35=0,AV34,IF(AV$3=$E35,IF($AA35=1,$F35&amp;$AB35,$G35),IF(OR(AV$3=$D35,AV$3=$AC35,AV$3=$AE35),"",IF(AV$3=$AD35,$F35&amp;"R",AV34))))</f>
        <v>wP</v>
      </c>
      <c r="AW35" s="11" t="str">
        <f aca="false">IF($P35=0,AW34,IF(AW$3=$E35,IF($AA35=1,$F35&amp;$AB35,$G35),IF(OR(AW$3=$D35,AW$3=$AC35,AW$3=$AE35),"",IF(AW$3=$AD35,$F35&amp;"R",AW34))))</f>
        <v>wP</v>
      </c>
      <c r="AX35" s="11" t="str">
        <f aca="false">IF($P35=0,AX34,IF(AX$3=$E35,IF($AA35=1,$F35&amp;$AB35,$G35),IF(OR(AX$3=$D35,AX$3=$AC35,AX$3=$AE35),"",IF(AX$3=$AD35,$F35&amp;"R",AX34))))</f>
        <v/>
      </c>
      <c r="AY35" s="11" t="str">
        <f aca="false">IF($P35=0,AY34,IF(AY$3=$E35,IF($AA35=1,$F35&amp;$AB35,$G35),IF(OR(AY$3=$D35,AY$3=$AC35,AY$3=$AE35),"",IF(AY$3=$AD35,$F35&amp;"R",AY34))))</f>
        <v/>
      </c>
      <c r="AZ35" s="11" t="str">
        <f aca="false">IF($P35=0,AZ34,IF(AZ$3=$E35,IF($AA35=1,$F35&amp;$AB35,$G35),IF(OR(AZ$3=$D35,AZ$3=$AC35,AZ$3=$AE35),"",IF(AZ$3=$AD35,$F35&amp;"R",AZ34))))</f>
        <v/>
      </c>
      <c r="BA35" s="11" t="str">
        <f aca="false">IF($P35=0,BA34,IF(BA$3=$E35,IF($AA35=1,$F35&amp;$AB35,$G35),IF(OR(BA$3=$D35,BA$3=$AC35,BA$3=$AE35),"",IF(BA$3=$AD35,$F35&amp;"R",BA34))))</f>
        <v/>
      </c>
      <c r="BB35" s="11" t="str">
        <f aca="false">IF($P35=0,BB34,IF(BB$3=$E35,IF($AA35=1,$F35&amp;$AB35,$G35),IF(OR(BB$3=$D35,BB$3=$AC35,BB$3=$AE35),"",IF(BB$3=$AD35,$F35&amp;"R",BB34))))</f>
        <v/>
      </c>
      <c r="BC35" s="11" t="str">
        <f aca="false">IF($P35=0,BC34,IF(BC$3=$E35,IF($AA35=1,$F35&amp;$AB35,$G35),IF(OR(BC$3=$D35,BC$3=$AC35,BC$3=$AE35),"",IF(BC$3=$AD35,$F35&amp;"R",BC34))))</f>
        <v/>
      </c>
      <c r="BD35" s="11" t="str">
        <f aca="false">IF($P35=0,BD34,IF(BD$3=$E35,IF($AA35=1,$F35&amp;$AB35,$G35),IF(OR(BD$3=$D35,BD$3=$AC35,BD$3=$AE35),"",IF(BD$3=$AD35,$F35&amp;"R",BD34))))</f>
        <v/>
      </c>
      <c r="BE35" s="11" t="str">
        <f aca="false">IF($P35=0,BE34,IF(BE$3=$E35,IF($AA35=1,$F35&amp;$AB35,$G35),IF(OR(BE$3=$D35,BE$3=$AC35,BE$3=$AE35),"",IF(BE$3=$AD35,$F35&amp;"R",BE34))))</f>
        <v/>
      </c>
      <c r="BF35" s="11" t="str">
        <f aca="false">IF($P35=0,BF34,IF(BF$3=$E35,IF($AA35=1,$F35&amp;$AB35,$G35),IF(OR(BF$3=$D35,BF$3=$AC35,BF$3=$AE35),"",IF(BF$3=$AD35,$F35&amp;"R",BF34))))</f>
        <v/>
      </c>
      <c r="BG35" s="11" t="str">
        <f aca="false">IF($P35=0,BG34,IF(BG$3=$E35,IF($AA35=1,$F35&amp;$AB35,$G35),IF(OR(BG$3=$D35,BG$3=$AC35,BG$3=$AE35),"",IF(BG$3=$AD35,$F35&amp;"R",BG34))))</f>
        <v/>
      </c>
      <c r="BH35" s="11" t="str">
        <f aca="false">IF($P35=0,BH34,IF(BH$3=$E35,IF($AA35=1,$F35&amp;$AB35,$G35),IF(OR(BH$3=$D35,BH$3=$AC35,BH$3=$AE35),"",IF(BH$3=$AD35,$F35&amp;"R",BH34))))</f>
        <v/>
      </c>
      <c r="BI35" s="11" t="str">
        <f aca="false">IF($P35=0,BI34,IF(BI$3=$E35,IF($AA35=1,$F35&amp;$AB35,$G35),IF(OR(BI$3=$D35,BI$3=$AC35,BI$3=$AE35),"",IF(BI$3=$AD35,$F35&amp;"R",BI34))))</f>
        <v/>
      </c>
      <c r="BJ35" s="11" t="str">
        <f aca="false">IF($P35=0,BJ34,IF(BJ$3=$E35,IF($AA35=1,$F35&amp;$AB35,$G35),IF(OR(BJ$3=$D35,BJ$3=$AC35,BJ$3=$AE35),"",IF(BJ$3=$AD35,$F35&amp;"R",BJ34))))</f>
        <v/>
      </c>
      <c r="BK35" s="11" t="str">
        <f aca="false">IF($P35=0,BK34,IF(BK$3=$E35,IF($AA35=1,$F35&amp;$AB35,$G35),IF(OR(BK$3=$D35,BK$3=$AC35,BK$3=$AE35),"",IF(BK$3=$AD35,$F35&amp;"R",BK34))))</f>
        <v/>
      </c>
      <c r="BL35" s="11" t="str">
        <f aca="false">IF($P35=0,BL34,IF(BL$3=$E35,IF($AA35=1,$F35&amp;$AB35,$G35),IF(OR(BL$3=$D35,BL$3=$AC35,BL$3=$AE35),"",IF(BL$3=$AD35,$F35&amp;"R",BL34))))</f>
        <v/>
      </c>
      <c r="BM35" s="11" t="str">
        <f aca="false">IF($P35=0,BM34,IF(BM$3=$E35,IF($AA35=1,$F35&amp;$AB35,$G35),IF(OR(BM$3=$D35,BM$3=$AC35,BM$3=$AE35),"",IF(BM$3=$AD35,$F35&amp;"R",BM34))))</f>
        <v/>
      </c>
      <c r="BN35" s="11" t="str">
        <f aca="false">IF($P35=0,BN34,IF(BN$3=$E35,IF($AA35=1,$F35&amp;$AB35,$G35),IF(OR(BN$3=$D35,BN$3=$AC35,BN$3=$AE35),"",IF(BN$3=$AD35,$F35&amp;"R",BN34))))</f>
        <v/>
      </c>
      <c r="BO35" s="11" t="str">
        <f aca="false">IF($P35=0,BO34,IF(BO$3=$E35,IF($AA35=1,$F35&amp;$AB35,$G35),IF(OR(BO$3=$D35,BO$3=$AC35,BO$3=$AE35),"",IF(BO$3=$AD35,$F35&amp;"R",BO34))))</f>
        <v/>
      </c>
      <c r="BP35" s="11" t="str">
        <f aca="false">IF($P35=0,BP34,IF(BP$3=$E35,IF($AA35=1,$F35&amp;$AB35,$G35),IF(OR(BP$3=$D35,BP$3=$AC35,BP$3=$AE35),"",IF(BP$3=$AD35,$F35&amp;"R",BP34))))</f>
        <v/>
      </c>
      <c r="BQ35" s="11" t="str">
        <f aca="false">IF($P35=0,BQ34,IF(BQ$3=$E35,IF($AA35=1,$F35&amp;$AB35,$G35),IF(OR(BQ$3=$D35,BQ$3=$AC35,BQ$3=$AE35),"",IF(BQ$3=$AD35,$F35&amp;"R",BQ34))))</f>
        <v/>
      </c>
      <c r="BR35" s="11" t="str">
        <f aca="false">IF($P35=0,BR34,IF(BR$3=$E35,IF($AA35=1,$F35&amp;$AB35,$G35),IF(OR(BR$3=$D35,BR$3=$AC35,BR$3=$AE35),"",IF(BR$3=$AD35,$F35&amp;"R",BR34))))</f>
        <v/>
      </c>
      <c r="BS35" s="11" t="str">
        <f aca="false">IF($P35=0,BS34,IF(BS$3=$E35,IF($AA35=1,$F35&amp;$AB35,$G35),IF(OR(BS$3=$D35,BS$3=$AC35,BS$3=$AE35),"",IF(BS$3=$AD35,$F35&amp;"R",BS34))))</f>
        <v/>
      </c>
      <c r="BT35" s="11" t="str">
        <f aca="false">IF($P35=0,BT34,IF(BT$3=$E35,IF($AA35=1,$F35&amp;$AB35,$G35),IF(OR(BT$3=$D35,BT$3=$AC35,BT$3=$AE35),"",IF(BT$3=$AD35,$F35&amp;"R",BT34))))</f>
        <v/>
      </c>
      <c r="BU35" s="11" t="str">
        <f aca="false">IF($P35=0,BU34,IF(BU$3=$E35,IF($AA35=1,$F35&amp;$AB35,$G35),IF(OR(BU$3=$D35,BU$3=$AC35,BU$3=$AE35),"",IF(BU$3=$AD35,$F35&amp;"R",BU34))))</f>
        <v/>
      </c>
      <c r="BV35" s="11" t="str">
        <f aca="false">IF($P35=0,BV34,IF(BV$3=$E35,IF($AA35=1,$F35&amp;$AB35,$G35),IF(OR(BV$3=$D35,BV$3=$AC35,BV$3=$AE35),"",IF(BV$3=$AD35,$F35&amp;"R",BV34))))</f>
        <v/>
      </c>
      <c r="BW35" s="11" t="str">
        <f aca="false">IF($P35=0,BW34,IF(BW$3=$E35,IF($AA35=1,$F35&amp;$AB35,$G35),IF(OR(BW$3=$D35,BW$3=$AC35,BW$3=$AE35),"",IF(BW$3=$AD35,$F35&amp;"R",BW34))))</f>
        <v/>
      </c>
      <c r="BX35" s="11" t="str">
        <f aca="false">IF($P35=0,BX34,IF(BX$3=$E35,IF($AA35=1,$F35&amp;$AB35,$G35),IF(OR(BX$3=$D35,BX$3=$AC35,BX$3=$AE35),"",IF(BX$3=$AD35,$F35&amp;"R",BX34))))</f>
        <v/>
      </c>
      <c r="BY35" s="11" t="str">
        <f aca="false">IF($P35=0,BY34,IF(BY$3=$E35,IF($AA35=1,$F35&amp;$AB35,$G35),IF(OR(BY$3=$D35,BY$3=$AC35,BY$3=$AE35),"",IF(BY$3=$AD35,$F35&amp;"R",BY34))))</f>
        <v/>
      </c>
      <c r="BZ35" s="11" t="str">
        <f aca="false">IF($P35=0,BZ34,IF(BZ$3=$E35,IF($AA35=1,$F35&amp;$AB35,$G35),IF(OR(BZ$3=$D35,BZ$3=$AC35,BZ$3=$AE35),"",IF(BZ$3=$AD35,$F35&amp;"R",BZ34))))</f>
        <v/>
      </c>
      <c r="CA35" s="11" t="str">
        <f aca="false">IF($P35=0,CA34,IF(CA$3=$E35,IF($AA35=1,$F35&amp;$AB35,$G35),IF(OR(CA$3=$D35,CA$3=$AC35,CA$3=$AE35),"",IF(CA$3=$AD35,$F35&amp;"R",CA34))))</f>
        <v/>
      </c>
      <c r="CB35" s="11" t="str">
        <f aca="false">IF($P35=0,CB34,IF(CB$3=$E35,IF($AA35=1,$F35&amp;$AB35,$G35),IF(OR(CB$3=$D35,CB$3=$AC35,CB$3=$AE35),"",IF(CB$3=$AD35,$F35&amp;"R",CB34))))</f>
        <v/>
      </c>
      <c r="CC35" s="11" t="str">
        <f aca="false">IF($P35=0,CC34,IF(CC$3=$E35,IF($AA35=1,$F35&amp;$AB35,$G35),IF(OR(CC$3=$D35,CC$3=$AC35,CC$3=$AE35),"",IF(CC$3=$AD35,$F35&amp;"R",CC34))))</f>
        <v/>
      </c>
      <c r="CD35" s="11" t="str">
        <f aca="false">IF($P35=0,CD34,IF(CD$3=$E35,IF($AA35=1,$F35&amp;$AB35,$G35),IF(OR(CD$3=$D35,CD$3=$AC35,CD$3=$AE35),"",IF(CD$3=$AD35,$F35&amp;"R",CD34))))</f>
        <v>bP</v>
      </c>
      <c r="CE35" s="11" t="str">
        <f aca="false">IF($P35=0,CE34,IF(CE$3=$E35,IF($AA35=1,$F35&amp;$AB35,$G35),IF(OR(CE$3=$D35,CE$3=$AC35,CE$3=$AE35),"",IF(CE$3=$AD35,$F35&amp;"R",CE34))))</f>
        <v>bP</v>
      </c>
      <c r="CF35" s="11" t="str">
        <f aca="false">IF($P35=0,CF34,IF(CF$3=$E35,IF($AA35=1,$F35&amp;$AB35,$G35),IF(OR(CF$3=$D35,CF$3=$AC35,CF$3=$AE35),"",IF(CF$3=$AD35,$F35&amp;"R",CF34))))</f>
        <v>bP</v>
      </c>
      <c r="CG35" s="11" t="str">
        <f aca="false">IF($P35=0,CG34,IF(CG$3=$E35,IF($AA35=1,$F35&amp;$AB35,$G35),IF(OR(CG$3=$D35,CG$3=$AC35,CG$3=$AE35),"",IF(CG$3=$AD35,$F35&amp;"R",CG34))))</f>
        <v>bP</v>
      </c>
      <c r="CH35" s="11" t="str">
        <f aca="false">IF($P35=0,CH34,IF(CH$3=$E35,IF($AA35=1,$F35&amp;$AB35,$G35),IF(OR(CH$3=$D35,CH$3=$AC35,CH$3=$AE35),"",IF(CH$3=$AD35,$F35&amp;"R",CH34))))</f>
        <v>bP</v>
      </c>
      <c r="CI35" s="11" t="str">
        <f aca="false">IF($P35=0,CI34,IF(CI$3=$E35,IF($AA35=1,$F35&amp;$AB35,$G35),IF(OR(CI$3=$D35,CI$3=$AC35,CI$3=$AE35),"",IF(CI$3=$AD35,$F35&amp;"R",CI34))))</f>
        <v>bP</v>
      </c>
      <c r="CJ35" s="11" t="str">
        <f aca="false">IF($P35=0,CJ34,IF(CJ$3=$E35,IF($AA35=1,$F35&amp;$AB35,$G35),IF(OR(CJ$3=$D35,CJ$3=$AC35,CJ$3=$AE35),"",IF(CJ$3=$AD35,$F35&amp;"R",CJ34))))</f>
        <v>bP</v>
      </c>
      <c r="CK35" s="11" t="str">
        <f aca="false">IF($P35=0,CK34,IF(CK$3=$E35,IF($AA35=1,$F35&amp;$AB35,$G35),IF(OR(CK$3=$D35,CK$3=$AC35,CK$3=$AE35),"",IF(CK$3=$AD35,$F35&amp;"R",CK34))))</f>
        <v>bP</v>
      </c>
      <c r="CL35" s="11" t="str">
        <f aca="false">IF($P35=0,CL34,IF(CL$3=$E35,IF($AA35=1,$F35&amp;$AB35,$G35),IF(OR(CL$3=$D35,CL$3=$AC35,CL$3=$AE35),"",IF(CL$3=$AD35,$F35&amp;"R",CL34))))</f>
        <v>bR</v>
      </c>
      <c r="CM35" s="11" t="str">
        <f aca="false">IF($P35=0,CM34,IF(CM$3=$E35,IF($AA35=1,$F35&amp;$AB35,$G35),IF(OR(CM$3=$D35,CM$3=$AC35,CM$3=$AE35),"",IF(CM$3=$AD35,$F35&amp;"R",CM34))))</f>
        <v>bN</v>
      </c>
      <c r="CN35" s="11" t="str">
        <f aca="false">IF($P35=0,CN34,IF(CN$3=$E35,IF($AA35=1,$F35&amp;$AB35,$G35),IF(OR(CN$3=$D35,CN$3=$AC35,CN$3=$AE35),"",IF(CN$3=$AD35,$F35&amp;"R",CN34))))</f>
        <v>bB</v>
      </c>
      <c r="CO35" s="11" t="str">
        <f aca="false">IF($P35=0,CO34,IF(CO$3=$E35,IF($AA35=1,$F35&amp;$AB35,$G35),IF(OR(CO$3=$D35,CO$3=$AC35,CO$3=$AE35),"",IF(CO$3=$AD35,$F35&amp;"R",CO34))))</f>
        <v>bQ</v>
      </c>
      <c r="CP35" s="11" t="str">
        <f aca="false">IF($P35=0,CP34,IF(CP$3=$E35,IF($AA35=1,$F35&amp;$AB35,$G35),IF(OR(CP$3=$D35,CP$3=$AC35,CP$3=$AE35),"",IF(CP$3=$AD35,$F35&amp;"R",CP34))))</f>
        <v>bK</v>
      </c>
      <c r="CQ35" s="11" t="str">
        <f aca="false">IF($P35=0,CQ34,IF(CQ$3=$E35,IF($AA35=1,$F35&amp;$AB35,$G35),IF(OR(CQ$3=$D35,CQ$3=$AC35,CQ$3=$AE35),"",IF(CQ$3=$AD35,$F35&amp;"R",CQ34))))</f>
        <v>bB</v>
      </c>
      <c r="CR35" s="11" t="str">
        <f aca="false">IF($P35=0,CR34,IF(CR$3=$E35,IF($AA35=1,$F35&amp;$AB35,$G35),IF(OR(CR$3=$D35,CR$3=$AC35,CR$3=$AE35),"",IF(CR$3=$AD35,$F35&amp;"R",CR34))))</f>
        <v>bN</v>
      </c>
      <c r="CS35" s="11" t="str">
        <f aca="false">IF($P35=0,CS34,IF(CS$3=$E35,IF($AA35=1,$F35&amp;$AB35,$G35),IF(OR(CS$3=$D35,CS$3=$AC35,CS$3=$AE35),"",IF(CS$3=$AD35,$F35&amp;"R",CS34))))</f>
        <v>bR</v>
      </c>
      <c r="CT35" s="11"/>
      <c r="CU35" s="11"/>
      <c r="CV35" s="11"/>
    </row>
    <row r="36" customFormat="false" ht="15" hidden="false" customHeight="false" outlineLevel="0" collapsed="false">
      <c r="A36" s="11" t="n">
        <v>31</v>
      </c>
      <c r="B36" s="11" t="str">
        <f aca="false">IF(Chess!$L$40="","",Chess!$L$40&amp;"")</f>
        <v/>
      </c>
      <c r="C36" s="11" t="str">
        <f aca="false">LOWER(SUBSTITUTE(SUBSTITUTE(SUBSTITUTE(SUBSTITUTE(TRIM($B36),"-",""),"=","")," ",""),"x",""))</f>
        <v/>
      </c>
      <c r="D36" s="11" t="n">
        <f aca="false">IF(LEN($C36)&lt;4,0,IFERROR(IF(AND(CODE(MID($C36,1,1))&gt;=97,CODE(MID($C36,1,1))&lt;=104,VALUE(MID($C36,2,1))&gt;=1,VALUE(MID($C36,2,1))&lt;=8),(VALUE(MID($C36,2,1))-1)*8+CODE(MID($C36,1,1))-96,0),0))</f>
        <v>0</v>
      </c>
      <c r="E36" s="11" t="n">
        <f aca="false">IF(LEN($C36)&lt;4,0,IFERROR(IF(AND(CODE(MID($C36,3,1))&gt;=97,CODE(MID($C36,3,1))&lt;=104,VALUE(MID($C36,4,1))&gt;=1,VALUE(MID($C36,4,1))&lt;=8),(VALUE(MID($C36,4,1))-1)*8+CODE(MID($C36,3,1))-96,0),0))</f>
        <v>0</v>
      </c>
      <c r="F36" s="11" t="str">
        <f aca="false">IF(MOD(SUM($P$5:$P35),2)=0,"w","b")</f>
        <v>w</v>
      </c>
      <c r="G36" s="11" t="str">
        <f aca="false">IF($D36=0,"",INDEX($AH35:$CS35,1,$D36)&amp;"")</f>
        <v/>
      </c>
      <c r="H36" s="11" t="str">
        <f aca="false">IF($E36=0,"",INDEX($AH35:$CS35,1,$E36)&amp;"")</f>
        <v/>
      </c>
      <c r="I36" s="11" t="n">
        <f aca="false">IF(OR($D36=0,$E36=0),0,MOD($E36-1,8)-MOD($D36-1,8))</f>
        <v>0</v>
      </c>
      <c r="J36" s="11" t="n">
        <f aca="false">IF(OR($D36=0,$E36=0),0,INT(($E36-1)/8)-INT(($D36-1)/8))</f>
        <v>0</v>
      </c>
      <c r="K36" s="11" t="str">
        <f aca="false">IF($G36="","",RIGHT($G36,1))</f>
        <v/>
      </c>
      <c r="L36" s="11" t="n">
        <f aca="false">IF(OR($D36=0,$E36=0),0,SUMPRODUCT(($AH$3:$CS$3&gt;MIN($D36,$E36))*($AH$3:$CS$3&lt;MAX($D36,$E36))*(MOD($AH$3:$CS$3-MIN($D36,$E36),MAX(1,ABS(SIGN($J36)*8+SIGN($I36))))=0)*($AH35:$CS35&lt;&gt;"")))</f>
        <v>0</v>
      </c>
      <c r="M36" s="11" t="n">
        <f aca="false">IF($K36&lt;&gt;"K",0,IFERROR(--AND($J36=0,ABS($I36)=2,$D36=IF($F36="w",5,61),IF($F36="w",$S35,$V35)=0,IF($I36=2,AND(IF($F36="w",$U35,$X35)=0,INDEX($AH35:$CS35,1,$D36+1)&amp;""="",INDEX($AH35:$CS35,1,$D36+2)&amp;""=""),AND(IF($F36="w",$T35,$W35)=0,INDEX($AH35:$CS35,1,$D36-1)&amp;""="",INDEX($AH35:$CS35,1,$D36-2)&amp;""="",INDEX($AH35:$CS35,1,$D36-3)&amp;""=""))),0))</f>
        <v>0</v>
      </c>
      <c r="N36" s="11" t="n">
        <f aca="false">IF($K36&lt;&gt;"P",0,IFERROR(--OR(AND($I36=0,$J36=IF($F36="w",1,-1),$H36=""),AND($I36=0,$J36=2*IF($F36="w",1,-1),$H36="",INT(($D36-1)/8)=IF($F36="w",1,6),INDEX($AH35:$CS35,1,MAX(1,MIN(64,$D36+8*IF($F36="w",1,-1))))&amp;""=""),AND(ABS($I36)=1,$J36=IF($F36="w",1,-1),$H36&lt;&gt;""),AND(ABS($I36)=1,$J36=IF($F36="w",1,-1),$H36="",$R35&gt;0,$E36=$R35)),0))</f>
        <v>0</v>
      </c>
      <c r="O36" s="11" t="n">
        <f aca="false">IF(OR($D36=0,$E36=0,$G36=""),0,IF($K36="N",--OR(AND(ABS($I36)=1,ABS($J36)=2),AND(ABS($I36)=2,ABS($J36)=1)),IF($K36="B",--AND(ABS($I36)=ABS($J36),$I36&lt;&gt;0,$L36=0),IF($K36="R",--AND(OR($I36=0,$J36=0),OR($I36&lt;&gt;0,$J36&lt;&gt;0),$L36=0),IF($K36="Q",--AND(OR(AND(ABS($I36)=ABS($J36),$I36&lt;&gt;0),AND(OR($I36=0,$J36=0),OR($I36&lt;&gt;0,$J36&lt;&gt;0))),$L36=0),IF($K36="K",--OR(MAX(ABS($I36),ABS($J36))=1,$M36=1),$N36))))))</f>
        <v>0</v>
      </c>
      <c r="P36" s="11" t="n">
        <f aca="false">IF($Q36="OK",1,0)</f>
        <v>0</v>
      </c>
      <c r="Q36" s="11" t="str">
        <f aca="false">IF($B36="","",IF(OR(COUNTIF($AH35:$CS35,"wK")=0,COUNTIF($AH35:$CS35,"bK")=0),"Game is over",IF(OR($D36=0,$E36=0),"Use the format e2e4",IF($G36="","No piece on that square",IF(LEFT($G36,1)&lt;&gt;$F36,"Not your piece ("&amp;IF($F36="w","White","Black")&amp;" to move)",IF($D36=$E36,"Piece must move",IF(AND($H36&lt;&gt;"",LEFT($H36,1)=$F36),"Cannot capture your own piece",IF($O36=0,"Illegal move for that piece (or path blocked)","OK"))))))))</f>
        <v/>
      </c>
      <c r="R36" s="11" t="n">
        <f aca="false">IF($P36=1,IF(AND($K36="P",ABS($J36)=2),($D36+$E36)/2,0),$R35)</f>
        <v>0</v>
      </c>
      <c r="S36" s="12" t="b">
        <f aca="false">--OR($S35=1,AND($P36=1,OR($D36=5,$E36=5)))</f>
        <v>0</v>
      </c>
      <c r="T36" s="12" t="b">
        <f aca="false">--OR($T35=1,AND($P36=1,OR($D36=1,$E36=1)))</f>
        <v>0</v>
      </c>
      <c r="U36" s="12" t="b">
        <f aca="false">--OR($U35=1,AND($P36=1,OR($D36=8,$E36=8)))</f>
        <v>0</v>
      </c>
      <c r="V36" s="12" t="b">
        <f aca="false">--OR($V35=1,AND($P36=1,OR($D36=61,$E36=61)))</f>
        <v>0</v>
      </c>
      <c r="W36" s="12" t="b">
        <f aca="false">--OR($W35=1,AND($P36=1,OR($D36=57,$E36=57)))</f>
        <v>0</v>
      </c>
      <c r="X36" s="12" t="b">
        <f aca="false">--OR($X35=1,AND($P36=1,OR($D36=64,$E36=64)))</f>
        <v>0</v>
      </c>
      <c r="Y36" s="12" t="b">
        <f aca="false">--AND($P36=1,$K36="K",ABS($I36)=2)</f>
        <v>0</v>
      </c>
      <c r="Z36" s="12" t="b">
        <f aca="false">--AND($P36=1,$K36="P",ABS($I36)=1,$H36="")</f>
        <v>0</v>
      </c>
      <c r="AA36" s="12" t="b">
        <f aca="false">--AND($P36=1,$K36="P",INT(($E36-1)/8)=IF($F36="w",7,0))</f>
        <v>0</v>
      </c>
      <c r="AB36" s="11" t="str">
        <f aca="false">IF(LEN($C36)&gt;=5,IF(ISNUMBER(FIND(MID($C36,5,1),"qrbn")),UPPER(MID($C36,5,1)),"Q"),"Q")</f>
        <v>Q</v>
      </c>
      <c r="AC36" s="11" t="n">
        <f aca="false">IF($Y36=1,IF($I36=2,$D36+3,$D36-4),0)</f>
        <v>0</v>
      </c>
      <c r="AD36" s="11" t="n">
        <f aca="false">IF($Y36=1,IF($I36=2,$D36+1,$D36-1),0)</f>
        <v>0</v>
      </c>
      <c r="AE36" s="11" t="n">
        <f aca="false">IF($Z36=1,$E36-8*IF($F36="w",1,-1),0)</f>
        <v>0</v>
      </c>
      <c r="AF36" s="11" t="str">
        <f aca="false">IF($B36="","",IF($P36=1,LOWER(INDEX($CV$2:$CV$13,MATCH($G36,$CU$2:$CU$13,0)))&amp;" "&amp;MID("abcdefgh",MOD($D36-1,8)+1,1)&amp;(INT(($D36-1)/8)+1)&amp;"→"&amp;MID("abcdefgh",MOD($E36-1,8)+1,1)&amp;(INT(($E36-1)/8)+1)&amp;IF(OR($H36&lt;&gt;"",$Z36=1)," ×","")&amp;IF($Y36=1," castles","")&amp;IF($Z36=1," e.p.","")&amp;IF($AA36=1," =" &amp;LOWER(INDEX($CV$2:$CV$13,MATCH($F36&amp;$AB36,$CU$2:$CU$13,0))),""),"X "&amp;$Q36))</f>
        <v/>
      </c>
      <c r="AG36" s="11"/>
      <c r="AH36" s="11" t="str">
        <f aca="false">IF($P36=0,AH35,IF(AH$3=$E36,IF($AA36=1,$F36&amp;$AB36,$G36),IF(OR(AH$3=$D36,AH$3=$AC36,AH$3=$AE36),"",IF(AH$3=$AD36,$F36&amp;"R",AH35))))</f>
        <v>wR</v>
      </c>
      <c r="AI36" s="11" t="str">
        <f aca="false">IF($P36=0,AI35,IF(AI$3=$E36,IF($AA36=1,$F36&amp;$AB36,$G36),IF(OR(AI$3=$D36,AI$3=$AC36,AI$3=$AE36),"",IF(AI$3=$AD36,$F36&amp;"R",AI35))))</f>
        <v>wN</v>
      </c>
      <c r="AJ36" s="11" t="str">
        <f aca="false">IF($P36=0,AJ35,IF(AJ$3=$E36,IF($AA36=1,$F36&amp;$AB36,$G36),IF(OR(AJ$3=$D36,AJ$3=$AC36,AJ$3=$AE36),"",IF(AJ$3=$AD36,$F36&amp;"R",AJ35))))</f>
        <v>wB</v>
      </c>
      <c r="AK36" s="11" t="str">
        <f aca="false">IF($P36=0,AK35,IF(AK$3=$E36,IF($AA36=1,$F36&amp;$AB36,$G36),IF(OR(AK$3=$D36,AK$3=$AC36,AK$3=$AE36),"",IF(AK$3=$AD36,$F36&amp;"R",AK35))))</f>
        <v>wQ</v>
      </c>
      <c r="AL36" s="11" t="str">
        <f aca="false">IF($P36=0,AL35,IF(AL$3=$E36,IF($AA36=1,$F36&amp;$AB36,$G36),IF(OR(AL$3=$D36,AL$3=$AC36,AL$3=$AE36),"",IF(AL$3=$AD36,$F36&amp;"R",AL35))))</f>
        <v>wK</v>
      </c>
      <c r="AM36" s="11" t="str">
        <f aca="false">IF($P36=0,AM35,IF(AM$3=$E36,IF($AA36=1,$F36&amp;$AB36,$G36),IF(OR(AM$3=$D36,AM$3=$AC36,AM$3=$AE36),"",IF(AM$3=$AD36,$F36&amp;"R",AM35))))</f>
        <v>wB</v>
      </c>
      <c r="AN36" s="11" t="str">
        <f aca="false">IF($P36=0,AN35,IF(AN$3=$E36,IF($AA36=1,$F36&amp;$AB36,$G36),IF(OR(AN$3=$D36,AN$3=$AC36,AN$3=$AE36),"",IF(AN$3=$AD36,$F36&amp;"R",AN35))))</f>
        <v>wN</v>
      </c>
      <c r="AO36" s="11" t="str">
        <f aca="false">IF($P36=0,AO35,IF(AO$3=$E36,IF($AA36=1,$F36&amp;$AB36,$G36),IF(OR(AO$3=$D36,AO$3=$AC36,AO$3=$AE36),"",IF(AO$3=$AD36,$F36&amp;"R",AO35))))</f>
        <v>wR</v>
      </c>
      <c r="AP36" s="11" t="str">
        <f aca="false">IF($P36=0,AP35,IF(AP$3=$E36,IF($AA36=1,$F36&amp;$AB36,$G36),IF(OR(AP$3=$D36,AP$3=$AC36,AP$3=$AE36),"",IF(AP$3=$AD36,$F36&amp;"R",AP35))))</f>
        <v>wP</v>
      </c>
      <c r="AQ36" s="11" t="str">
        <f aca="false">IF($P36=0,AQ35,IF(AQ$3=$E36,IF($AA36=1,$F36&amp;$AB36,$G36),IF(OR(AQ$3=$D36,AQ$3=$AC36,AQ$3=$AE36),"",IF(AQ$3=$AD36,$F36&amp;"R",AQ35))))</f>
        <v>wP</v>
      </c>
      <c r="AR36" s="11" t="str">
        <f aca="false">IF($P36=0,AR35,IF(AR$3=$E36,IF($AA36=1,$F36&amp;$AB36,$G36),IF(OR(AR$3=$D36,AR$3=$AC36,AR$3=$AE36),"",IF(AR$3=$AD36,$F36&amp;"R",AR35))))</f>
        <v>wP</v>
      </c>
      <c r="AS36" s="11" t="str">
        <f aca="false">IF($P36=0,AS35,IF(AS$3=$E36,IF($AA36=1,$F36&amp;$AB36,$G36),IF(OR(AS$3=$D36,AS$3=$AC36,AS$3=$AE36),"",IF(AS$3=$AD36,$F36&amp;"R",AS35))))</f>
        <v>wP</v>
      </c>
      <c r="AT36" s="11" t="str">
        <f aca="false">IF($P36=0,AT35,IF(AT$3=$E36,IF($AA36=1,$F36&amp;$AB36,$G36),IF(OR(AT$3=$D36,AT$3=$AC36,AT$3=$AE36),"",IF(AT$3=$AD36,$F36&amp;"R",AT35))))</f>
        <v>wP</v>
      </c>
      <c r="AU36" s="11" t="str">
        <f aca="false">IF($P36=0,AU35,IF(AU$3=$E36,IF($AA36=1,$F36&amp;$AB36,$G36),IF(OR(AU$3=$D36,AU$3=$AC36,AU$3=$AE36),"",IF(AU$3=$AD36,$F36&amp;"R",AU35))))</f>
        <v>wP</v>
      </c>
      <c r="AV36" s="11" t="str">
        <f aca="false">IF($P36=0,AV35,IF(AV$3=$E36,IF($AA36=1,$F36&amp;$AB36,$G36),IF(OR(AV$3=$D36,AV$3=$AC36,AV$3=$AE36),"",IF(AV$3=$AD36,$F36&amp;"R",AV35))))</f>
        <v>wP</v>
      </c>
      <c r="AW36" s="11" t="str">
        <f aca="false">IF($P36=0,AW35,IF(AW$3=$E36,IF($AA36=1,$F36&amp;$AB36,$G36),IF(OR(AW$3=$D36,AW$3=$AC36,AW$3=$AE36),"",IF(AW$3=$AD36,$F36&amp;"R",AW35))))</f>
        <v>wP</v>
      </c>
      <c r="AX36" s="11" t="str">
        <f aca="false">IF($P36=0,AX35,IF(AX$3=$E36,IF($AA36=1,$F36&amp;$AB36,$G36),IF(OR(AX$3=$D36,AX$3=$AC36,AX$3=$AE36),"",IF(AX$3=$AD36,$F36&amp;"R",AX35))))</f>
        <v/>
      </c>
      <c r="AY36" s="11" t="str">
        <f aca="false">IF($P36=0,AY35,IF(AY$3=$E36,IF($AA36=1,$F36&amp;$AB36,$G36),IF(OR(AY$3=$D36,AY$3=$AC36,AY$3=$AE36),"",IF(AY$3=$AD36,$F36&amp;"R",AY35))))</f>
        <v/>
      </c>
      <c r="AZ36" s="11" t="str">
        <f aca="false">IF($P36=0,AZ35,IF(AZ$3=$E36,IF($AA36=1,$F36&amp;$AB36,$G36),IF(OR(AZ$3=$D36,AZ$3=$AC36,AZ$3=$AE36),"",IF(AZ$3=$AD36,$F36&amp;"R",AZ35))))</f>
        <v/>
      </c>
      <c r="BA36" s="11" t="str">
        <f aca="false">IF($P36=0,BA35,IF(BA$3=$E36,IF($AA36=1,$F36&amp;$AB36,$G36),IF(OR(BA$3=$D36,BA$3=$AC36,BA$3=$AE36),"",IF(BA$3=$AD36,$F36&amp;"R",BA35))))</f>
        <v/>
      </c>
      <c r="BB36" s="11" t="str">
        <f aca="false">IF($P36=0,BB35,IF(BB$3=$E36,IF($AA36=1,$F36&amp;$AB36,$G36),IF(OR(BB$3=$D36,BB$3=$AC36,BB$3=$AE36),"",IF(BB$3=$AD36,$F36&amp;"R",BB35))))</f>
        <v/>
      </c>
      <c r="BC36" s="11" t="str">
        <f aca="false">IF($P36=0,BC35,IF(BC$3=$E36,IF($AA36=1,$F36&amp;$AB36,$G36),IF(OR(BC$3=$D36,BC$3=$AC36,BC$3=$AE36),"",IF(BC$3=$AD36,$F36&amp;"R",BC35))))</f>
        <v/>
      </c>
      <c r="BD36" s="11" t="str">
        <f aca="false">IF($P36=0,BD35,IF(BD$3=$E36,IF($AA36=1,$F36&amp;$AB36,$G36),IF(OR(BD$3=$D36,BD$3=$AC36,BD$3=$AE36),"",IF(BD$3=$AD36,$F36&amp;"R",BD35))))</f>
        <v/>
      </c>
      <c r="BE36" s="11" t="str">
        <f aca="false">IF($P36=0,BE35,IF(BE$3=$E36,IF($AA36=1,$F36&amp;$AB36,$G36),IF(OR(BE$3=$D36,BE$3=$AC36,BE$3=$AE36),"",IF(BE$3=$AD36,$F36&amp;"R",BE35))))</f>
        <v/>
      </c>
      <c r="BF36" s="11" t="str">
        <f aca="false">IF($P36=0,BF35,IF(BF$3=$E36,IF($AA36=1,$F36&amp;$AB36,$G36),IF(OR(BF$3=$D36,BF$3=$AC36,BF$3=$AE36),"",IF(BF$3=$AD36,$F36&amp;"R",BF35))))</f>
        <v/>
      </c>
      <c r="BG36" s="11" t="str">
        <f aca="false">IF($P36=0,BG35,IF(BG$3=$E36,IF($AA36=1,$F36&amp;$AB36,$G36),IF(OR(BG$3=$D36,BG$3=$AC36,BG$3=$AE36),"",IF(BG$3=$AD36,$F36&amp;"R",BG35))))</f>
        <v/>
      </c>
      <c r="BH36" s="11" t="str">
        <f aca="false">IF($P36=0,BH35,IF(BH$3=$E36,IF($AA36=1,$F36&amp;$AB36,$G36),IF(OR(BH$3=$D36,BH$3=$AC36,BH$3=$AE36),"",IF(BH$3=$AD36,$F36&amp;"R",BH35))))</f>
        <v/>
      </c>
      <c r="BI36" s="11" t="str">
        <f aca="false">IF($P36=0,BI35,IF(BI$3=$E36,IF($AA36=1,$F36&amp;$AB36,$G36),IF(OR(BI$3=$D36,BI$3=$AC36,BI$3=$AE36),"",IF(BI$3=$AD36,$F36&amp;"R",BI35))))</f>
        <v/>
      </c>
      <c r="BJ36" s="11" t="str">
        <f aca="false">IF($P36=0,BJ35,IF(BJ$3=$E36,IF($AA36=1,$F36&amp;$AB36,$G36),IF(OR(BJ$3=$D36,BJ$3=$AC36,BJ$3=$AE36),"",IF(BJ$3=$AD36,$F36&amp;"R",BJ35))))</f>
        <v/>
      </c>
      <c r="BK36" s="11" t="str">
        <f aca="false">IF($P36=0,BK35,IF(BK$3=$E36,IF($AA36=1,$F36&amp;$AB36,$G36),IF(OR(BK$3=$D36,BK$3=$AC36,BK$3=$AE36),"",IF(BK$3=$AD36,$F36&amp;"R",BK35))))</f>
        <v/>
      </c>
      <c r="BL36" s="11" t="str">
        <f aca="false">IF($P36=0,BL35,IF(BL$3=$E36,IF($AA36=1,$F36&amp;$AB36,$G36),IF(OR(BL$3=$D36,BL$3=$AC36,BL$3=$AE36),"",IF(BL$3=$AD36,$F36&amp;"R",BL35))))</f>
        <v/>
      </c>
      <c r="BM36" s="11" t="str">
        <f aca="false">IF($P36=0,BM35,IF(BM$3=$E36,IF($AA36=1,$F36&amp;$AB36,$G36),IF(OR(BM$3=$D36,BM$3=$AC36,BM$3=$AE36),"",IF(BM$3=$AD36,$F36&amp;"R",BM35))))</f>
        <v/>
      </c>
      <c r="BN36" s="11" t="str">
        <f aca="false">IF($P36=0,BN35,IF(BN$3=$E36,IF($AA36=1,$F36&amp;$AB36,$G36),IF(OR(BN$3=$D36,BN$3=$AC36,BN$3=$AE36),"",IF(BN$3=$AD36,$F36&amp;"R",BN35))))</f>
        <v/>
      </c>
      <c r="BO36" s="11" t="str">
        <f aca="false">IF($P36=0,BO35,IF(BO$3=$E36,IF($AA36=1,$F36&amp;$AB36,$G36),IF(OR(BO$3=$D36,BO$3=$AC36,BO$3=$AE36),"",IF(BO$3=$AD36,$F36&amp;"R",BO35))))</f>
        <v/>
      </c>
      <c r="BP36" s="11" t="str">
        <f aca="false">IF($P36=0,BP35,IF(BP$3=$E36,IF($AA36=1,$F36&amp;$AB36,$G36),IF(OR(BP$3=$D36,BP$3=$AC36,BP$3=$AE36),"",IF(BP$3=$AD36,$F36&amp;"R",BP35))))</f>
        <v/>
      </c>
      <c r="BQ36" s="11" t="str">
        <f aca="false">IF($P36=0,BQ35,IF(BQ$3=$E36,IF($AA36=1,$F36&amp;$AB36,$G36),IF(OR(BQ$3=$D36,BQ$3=$AC36,BQ$3=$AE36),"",IF(BQ$3=$AD36,$F36&amp;"R",BQ35))))</f>
        <v/>
      </c>
      <c r="BR36" s="11" t="str">
        <f aca="false">IF($P36=0,BR35,IF(BR$3=$E36,IF($AA36=1,$F36&amp;$AB36,$G36),IF(OR(BR$3=$D36,BR$3=$AC36,BR$3=$AE36),"",IF(BR$3=$AD36,$F36&amp;"R",BR35))))</f>
        <v/>
      </c>
      <c r="BS36" s="11" t="str">
        <f aca="false">IF($P36=0,BS35,IF(BS$3=$E36,IF($AA36=1,$F36&amp;$AB36,$G36),IF(OR(BS$3=$D36,BS$3=$AC36,BS$3=$AE36),"",IF(BS$3=$AD36,$F36&amp;"R",BS35))))</f>
        <v/>
      </c>
      <c r="BT36" s="11" t="str">
        <f aca="false">IF($P36=0,BT35,IF(BT$3=$E36,IF($AA36=1,$F36&amp;$AB36,$G36),IF(OR(BT$3=$D36,BT$3=$AC36,BT$3=$AE36),"",IF(BT$3=$AD36,$F36&amp;"R",BT35))))</f>
        <v/>
      </c>
      <c r="BU36" s="11" t="str">
        <f aca="false">IF($P36=0,BU35,IF(BU$3=$E36,IF($AA36=1,$F36&amp;$AB36,$G36),IF(OR(BU$3=$D36,BU$3=$AC36,BU$3=$AE36),"",IF(BU$3=$AD36,$F36&amp;"R",BU35))))</f>
        <v/>
      </c>
      <c r="BV36" s="11" t="str">
        <f aca="false">IF($P36=0,BV35,IF(BV$3=$E36,IF($AA36=1,$F36&amp;$AB36,$G36),IF(OR(BV$3=$D36,BV$3=$AC36,BV$3=$AE36),"",IF(BV$3=$AD36,$F36&amp;"R",BV35))))</f>
        <v/>
      </c>
      <c r="BW36" s="11" t="str">
        <f aca="false">IF($P36=0,BW35,IF(BW$3=$E36,IF($AA36=1,$F36&amp;$AB36,$G36),IF(OR(BW$3=$D36,BW$3=$AC36,BW$3=$AE36),"",IF(BW$3=$AD36,$F36&amp;"R",BW35))))</f>
        <v/>
      </c>
      <c r="BX36" s="11" t="str">
        <f aca="false">IF($P36=0,BX35,IF(BX$3=$E36,IF($AA36=1,$F36&amp;$AB36,$G36),IF(OR(BX$3=$D36,BX$3=$AC36,BX$3=$AE36),"",IF(BX$3=$AD36,$F36&amp;"R",BX35))))</f>
        <v/>
      </c>
      <c r="BY36" s="11" t="str">
        <f aca="false">IF($P36=0,BY35,IF(BY$3=$E36,IF($AA36=1,$F36&amp;$AB36,$G36),IF(OR(BY$3=$D36,BY$3=$AC36,BY$3=$AE36),"",IF(BY$3=$AD36,$F36&amp;"R",BY35))))</f>
        <v/>
      </c>
      <c r="BZ36" s="11" t="str">
        <f aca="false">IF($P36=0,BZ35,IF(BZ$3=$E36,IF($AA36=1,$F36&amp;$AB36,$G36),IF(OR(BZ$3=$D36,BZ$3=$AC36,BZ$3=$AE36),"",IF(BZ$3=$AD36,$F36&amp;"R",BZ35))))</f>
        <v/>
      </c>
      <c r="CA36" s="11" t="str">
        <f aca="false">IF($P36=0,CA35,IF(CA$3=$E36,IF($AA36=1,$F36&amp;$AB36,$G36),IF(OR(CA$3=$D36,CA$3=$AC36,CA$3=$AE36),"",IF(CA$3=$AD36,$F36&amp;"R",CA35))))</f>
        <v/>
      </c>
      <c r="CB36" s="11" t="str">
        <f aca="false">IF($P36=0,CB35,IF(CB$3=$E36,IF($AA36=1,$F36&amp;$AB36,$G36),IF(OR(CB$3=$D36,CB$3=$AC36,CB$3=$AE36),"",IF(CB$3=$AD36,$F36&amp;"R",CB35))))</f>
        <v/>
      </c>
      <c r="CC36" s="11" t="str">
        <f aca="false">IF($P36=0,CC35,IF(CC$3=$E36,IF($AA36=1,$F36&amp;$AB36,$G36),IF(OR(CC$3=$D36,CC$3=$AC36,CC$3=$AE36),"",IF(CC$3=$AD36,$F36&amp;"R",CC35))))</f>
        <v/>
      </c>
      <c r="CD36" s="11" t="str">
        <f aca="false">IF($P36=0,CD35,IF(CD$3=$E36,IF($AA36=1,$F36&amp;$AB36,$G36),IF(OR(CD$3=$D36,CD$3=$AC36,CD$3=$AE36),"",IF(CD$3=$AD36,$F36&amp;"R",CD35))))</f>
        <v>bP</v>
      </c>
      <c r="CE36" s="11" t="str">
        <f aca="false">IF($P36=0,CE35,IF(CE$3=$E36,IF($AA36=1,$F36&amp;$AB36,$G36),IF(OR(CE$3=$D36,CE$3=$AC36,CE$3=$AE36),"",IF(CE$3=$AD36,$F36&amp;"R",CE35))))</f>
        <v>bP</v>
      </c>
      <c r="CF36" s="11" t="str">
        <f aca="false">IF($P36=0,CF35,IF(CF$3=$E36,IF($AA36=1,$F36&amp;$AB36,$G36),IF(OR(CF$3=$D36,CF$3=$AC36,CF$3=$AE36),"",IF(CF$3=$AD36,$F36&amp;"R",CF35))))</f>
        <v>bP</v>
      </c>
      <c r="CG36" s="11" t="str">
        <f aca="false">IF($P36=0,CG35,IF(CG$3=$E36,IF($AA36=1,$F36&amp;$AB36,$G36),IF(OR(CG$3=$D36,CG$3=$AC36,CG$3=$AE36),"",IF(CG$3=$AD36,$F36&amp;"R",CG35))))</f>
        <v>bP</v>
      </c>
      <c r="CH36" s="11" t="str">
        <f aca="false">IF($P36=0,CH35,IF(CH$3=$E36,IF($AA36=1,$F36&amp;$AB36,$G36),IF(OR(CH$3=$D36,CH$3=$AC36,CH$3=$AE36),"",IF(CH$3=$AD36,$F36&amp;"R",CH35))))</f>
        <v>bP</v>
      </c>
      <c r="CI36" s="11" t="str">
        <f aca="false">IF($P36=0,CI35,IF(CI$3=$E36,IF($AA36=1,$F36&amp;$AB36,$G36),IF(OR(CI$3=$D36,CI$3=$AC36,CI$3=$AE36),"",IF(CI$3=$AD36,$F36&amp;"R",CI35))))</f>
        <v>bP</v>
      </c>
      <c r="CJ36" s="11" t="str">
        <f aca="false">IF($P36=0,CJ35,IF(CJ$3=$E36,IF($AA36=1,$F36&amp;$AB36,$G36),IF(OR(CJ$3=$D36,CJ$3=$AC36,CJ$3=$AE36),"",IF(CJ$3=$AD36,$F36&amp;"R",CJ35))))</f>
        <v>bP</v>
      </c>
      <c r="CK36" s="11" t="str">
        <f aca="false">IF($P36=0,CK35,IF(CK$3=$E36,IF($AA36=1,$F36&amp;$AB36,$G36),IF(OR(CK$3=$D36,CK$3=$AC36,CK$3=$AE36),"",IF(CK$3=$AD36,$F36&amp;"R",CK35))))</f>
        <v>bP</v>
      </c>
      <c r="CL36" s="11" t="str">
        <f aca="false">IF($P36=0,CL35,IF(CL$3=$E36,IF($AA36=1,$F36&amp;$AB36,$G36),IF(OR(CL$3=$D36,CL$3=$AC36,CL$3=$AE36),"",IF(CL$3=$AD36,$F36&amp;"R",CL35))))</f>
        <v>bR</v>
      </c>
      <c r="CM36" s="11" t="str">
        <f aca="false">IF($P36=0,CM35,IF(CM$3=$E36,IF($AA36=1,$F36&amp;$AB36,$G36),IF(OR(CM$3=$D36,CM$3=$AC36,CM$3=$AE36),"",IF(CM$3=$AD36,$F36&amp;"R",CM35))))</f>
        <v>bN</v>
      </c>
      <c r="CN36" s="11" t="str">
        <f aca="false">IF($P36=0,CN35,IF(CN$3=$E36,IF($AA36=1,$F36&amp;$AB36,$G36),IF(OR(CN$3=$D36,CN$3=$AC36,CN$3=$AE36),"",IF(CN$3=$AD36,$F36&amp;"R",CN35))))</f>
        <v>bB</v>
      </c>
      <c r="CO36" s="11" t="str">
        <f aca="false">IF($P36=0,CO35,IF(CO$3=$E36,IF($AA36=1,$F36&amp;$AB36,$G36),IF(OR(CO$3=$D36,CO$3=$AC36,CO$3=$AE36),"",IF(CO$3=$AD36,$F36&amp;"R",CO35))))</f>
        <v>bQ</v>
      </c>
      <c r="CP36" s="11" t="str">
        <f aca="false">IF($P36=0,CP35,IF(CP$3=$E36,IF($AA36=1,$F36&amp;$AB36,$G36),IF(OR(CP$3=$D36,CP$3=$AC36,CP$3=$AE36),"",IF(CP$3=$AD36,$F36&amp;"R",CP35))))</f>
        <v>bK</v>
      </c>
      <c r="CQ36" s="11" t="str">
        <f aca="false">IF($P36=0,CQ35,IF(CQ$3=$E36,IF($AA36=1,$F36&amp;$AB36,$G36),IF(OR(CQ$3=$D36,CQ$3=$AC36,CQ$3=$AE36),"",IF(CQ$3=$AD36,$F36&amp;"R",CQ35))))</f>
        <v>bB</v>
      </c>
      <c r="CR36" s="11" t="str">
        <f aca="false">IF($P36=0,CR35,IF(CR$3=$E36,IF($AA36=1,$F36&amp;$AB36,$G36),IF(OR(CR$3=$D36,CR$3=$AC36,CR$3=$AE36),"",IF(CR$3=$AD36,$F36&amp;"R",CR35))))</f>
        <v>bN</v>
      </c>
      <c r="CS36" s="11" t="str">
        <f aca="false">IF($P36=0,CS35,IF(CS$3=$E36,IF($AA36=1,$F36&amp;$AB36,$G36),IF(OR(CS$3=$D36,CS$3=$AC36,CS$3=$AE36),"",IF(CS$3=$AD36,$F36&amp;"R",CS35))))</f>
        <v>bR</v>
      </c>
      <c r="CT36" s="11"/>
      <c r="CU36" s="11"/>
      <c r="CV36" s="11"/>
    </row>
    <row r="37" customFormat="false" ht="15" hidden="false" customHeight="false" outlineLevel="0" collapsed="false">
      <c r="A37" s="11" t="n">
        <v>32</v>
      </c>
      <c r="B37" s="11" t="str">
        <f aca="false">IF(Chess!$L$41="","",Chess!$L$41&amp;"")</f>
        <v/>
      </c>
      <c r="C37" s="11" t="str">
        <f aca="false">LOWER(SUBSTITUTE(SUBSTITUTE(SUBSTITUTE(SUBSTITUTE(TRIM($B37),"-",""),"=","")," ",""),"x",""))</f>
        <v/>
      </c>
      <c r="D37" s="11" t="n">
        <f aca="false">IF(LEN($C37)&lt;4,0,IFERROR(IF(AND(CODE(MID($C37,1,1))&gt;=97,CODE(MID($C37,1,1))&lt;=104,VALUE(MID($C37,2,1))&gt;=1,VALUE(MID($C37,2,1))&lt;=8),(VALUE(MID($C37,2,1))-1)*8+CODE(MID($C37,1,1))-96,0),0))</f>
        <v>0</v>
      </c>
      <c r="E37" s="11" t="n">
        <f aca="false">IF(LEN($C37)&lt;4,0,IFERROR(IF(AND(CODE(MID($C37,3,1))&gt;=97,CODE(MID($C37,3,1))&lt;=104,VALUE(MID($C37,4,1))&gt;=1,VALUE(MID($C37,4,1))&lt;=8),(VALUE(MID($C37,4,1))-1)*8+CODE(MID($C37,3,1))-96,0),0))</f>
        <v>0</v>
      </c>
      <c r="F37" s="11" t="str">
        <f aca="false">IF(MOD(SUM($P$5:$P36),2)=0,"w","b")</f>
        <v>w</v>
      </c>
      <c r="G37" s="11" t="str">
        <f aca="false">IF($D37=0,"",INDEX($AH36:$CS36,1,$D37)&amp;"")</f>
        <v/>
      </c>
      <c r="H37" s="11" t="str">
        <f aca="false">IF($E37=0,"",INDEX($AH36:$CS36,1,$E37)&amp;"")</f>
        <v/>
      </c>
      <c r="I37" s="11" t="n">
        <f aca="false">IF(OR($D37=0,$E37=0),0,MOD($E37-1,8)-MOD($D37-1,8))</f>
        <v>0</v>
      </c>
      <c r="J37" s="11" t="n">
        <f aca="false">IF(OR($D37=0,$E37=0),0,INT(($E37-1)/8)-INT(($D37-1)/8))</f>
        <v>0</v>
      </c>
      <c r="K37" s="11" t="str">
        <f aca="false">IF($G37="","",RIGHT($G37,1))</f>
        <v/>
      </c>
      <c r="L37" s="11" t="n">
        <f aca="false">IF(OR($D37=0,$E37=0),0,SUMPRODUCT(($AH$3:$CS$3&gt;MIN($D37,$E37))*($AH$3:$CS$3&lt;MAX($D37,$E37))*(MOD($AH$3:$CS$3-MIN($D37,$E37),MAX(1,ABS(SIGN($J37)*8+SIGN($I37))))=0)*($AH36:$CS36&lt;&gt;"")))</f>
        <v>0</v>
      </c>
      <c r="M37" s="11" t="n">
        <f aca="false">IF($K37&lt;&gt;"K",0,IFERROR(--AND($J37=0,ABS($I37)=2,$D37=IF($F37="w",5,61),IF($F37="w",$S36,$V36)=0,IF($I37=2,AND(IF($F37="w",$U36,$X36)=0,INDEX($AH36:$CS36,1,$D37+1)&amp;""="",INDEX($AH36:$CS36,1,$D37+2)&amp;""=""),AND(IF($F37="w",$T36,$W36)=0,INDEX($AH36:$CS36,1,$D37-1)&amp;""="",INDEX($AH36:$CS36,1,$D37-2)&amp;""="",INDEX($AH36:$CS36,1,$D37-3)&amp;""=""))),0))</f>
        <v>0</v>
      </c>
      <c r="N37" s="11" t="n">
        <f aca="false">IF($K37&lt;&gt;"P",0,IFERROR(--OR(AND($I37=0,$J37=IF($F37="w",1,-1),$H37=""),AND($I37=0,$J37=2*IF($F37="w",1,-1),$H37="",INT(($D37-1)/8)=IF($F37="w",1,6),INDEX($AH36:$CS36,1,MAX(1,MIN(64,$D37+8*IF($F37="w",1,-1))))&amp;""=""),AND(ABS($I37)=1,$J37=IF($F37="w",1,-1),$H37&lt;&gt;""),AND(ABS($I37)=1,$J37=IF($F37="w",1,-1),$H37="",$R36&gt;0,$E37=$R36)),0))</f>
        <v>0</v>
      </c>
      <c r="O37" s="11" t="n">
        <f aca="false">IF(OR($D37=0,$E37=0,$G37=""),0,IF($K37="N",--OR(AND(ABS($I37)=1,ABS($J37)=2),AND(ABS($I37)=2,ABS($J37)=1)),IF($K37="B",--AND(ABS($I37)=ABS($J37),$I37&lt;&gt;0,$L37=0),IF($K37="R",--AND(OR($I37=0,$J37=0),OR($I37&lt;&gt;0,$J37&lt;&gt;0),$L37=0),IF($K37="Q",--AND(OR(AND(ABS($I37)=ABS($J37),$I37&lt;&gt;0),AND(OR($I37=0,$J37=0),OR($I37&lt;&gt;0,$J37&lt;&gt;0))),$L37=0),IF($K37="K",--OR(MAX(ABS($I37),ABS($J37))=1,$M37=1),$N37))))))</f>
        <v>0</v>
      </c>
      <c r="P37" s="11" t="n">
        <f aca="false">IF($Q37="OK",1,0)</f>
        <v>0</v>
      </c>
      <c r="Q37" s="11" t="str">
        <f aca="false">IF($B37="","",IF(OR(COUNTIF($AH36:$CS36,"wK")=0,COUNTIF($AH36:$CS36,"bK")=0),"Game is over",IF(OR($D37=0,$E37=0),"Use the format e2e4",IF($G37="","No piece on that square",IF(LEFT($G37,1)&lt;&gt;$F37,"Not your piece ("&amp;IF($F37="w","White","Black")&amp;" to move)",IF($D37=$E37,"Piece must move",IF(AND($H37&lt;&gt;"",LEFT($H37,1)=$F37),"Cannot capture your own piece",IF($O37=0,"Illegal move for that piece (or path blocked)","OK"))))))))</f>
        <v/>
      </c>
      <c r="R37" s="11" t="n">
        <f aca="false">IF($P37=1,IF(AND($K37="P",ABS($J37)=2),($D37+$E37)/2,0),$R36)</f>
        <v>0</v>
      </c>
      <c r="S37" s="12" t="b">
        <f aca="false">--OR($S36=1,AND($P37=1,OR($D37=5,$E37=5)))</f>
        <v>0</v>
      </c>
      <c r="T37" s="12" t="b">
        <f aca="false">--OR($T36=1,AND($P37=1,OR($D37=1,$E37=1)))</f>
        <v>0</v>
      </c>
      <c r="U37" s="12" t="b">
        <f aca="false">--OR($U36=1,AND($P37=1,OR($D37=8,$E37=8)))</f>
        <v>0</v>
      </c>
      <c r="V37" s="12" t="b">
        <f aca="false">--OR($V36=1,AND($P37=1,OR($D37=61,$E37=61)))</f>
        <v>0</v>
      </c>
      <c r="W37" s="12" t="b">
        <f aca="false">--OR($W36=1,AND($P37=1,OR($D37=57,$E37=57)))</f>
        <v>0</v>
      </c>
      <c r="X37" s="12" t="b">
        <f aca="false">--OR($X36=1,AND($P37=1,OR($D37=64,$E37=64)))</f>
        <v>0</v>
      </c>
      <c r="Y37" s="12" t="b">
        <f aca="false">--AND($P37=1,$K37="K",ABS($I37)=2)</f>
        <v>0</v>
      </c>
      <c r="Z37" s="12" t="b">
        <f aca="false">--AND($P37=1,$K37="P",ABS($I37)=1,$H37="")</f>
        <v>0</v>
      </c>
      <c r="AA37" s="12" t="b">
        <f aca="false">--AND($P37=1,$K37="P",INT(($E37-1)/8)=IF($F37="w",7,0))</f>
        <v>0</v>
      </c>
      <c r="AB37" s="11" t="str">
        <f aca="false">IF(LEN($C37)&gt;=5,IF(ISNUMBER(FIND(MID($C37,5,1),"qrbn")),UPPER(MID($C37,5,1)),"Q"),"Q")</f>
        <v>Q</v>
      </c>
      <c r="AC37" s="11" t="n">
        <f aca="false">IF($Y37=1,IF($I37=2,$D37+3,$D37-4),0)</f>
        <v>0</v>
      </c>
      <c r="AD37" s="11" t="n">
        <f aca="false">IF($Y37=1,IF($I37=2,$D37+1,$D37-1),0)</f>
        <v>0</v>
      </c>
      <c r="AE37" s="11" t="n">
        <f aca="false">IF($Z37=1,$E37-8*IF($F37="w",1,-1),0)</f>
        <v>0</v>
      </c>
      <c r="AF37" s="11" t="str">
        <f aca="false">IF($B37="","",IF($P37=1,LOWER(INDEX($CV$2:$CV$13,MATCH($G37,$CU$2:$CU$13,0)))&amp;" "&amp;MID("abcdefgh",MOD($D37-1,8)+1,1)&amp;(INT(($D37-1)/8)+1)&amp;"→"&amp;MID("abcdefgh",MOD($E37-1,8)+1,1)&amp;(INT(($E37-1)/8)+1)&amp;IF(OR($H37&lt;&gt;"",$Z37=1)," ×","")&amp;IF($Y37=1," castles","")&amp;IF($Z37=1," e.p.","")&amp;IF($AA37=1," =" &amp;LOWER(INDEX($CV$2:$CV$13,MATCH($F37&amp;$AB37,$CU$2:$CU$13,0))),""),"X "&amp;$Q37))</f>
        <v/>
      </c>
      <c r="AG37" s="11"/>
      <c r="AH37" s="11" t="str">
        <f aca="false">IF($P37=0,AH36,IF(AH$3=$E37,IF($AA37=1,$F37&amp;$AB37,$G37),IF(OR(AH$3=$D37,AH$3=$AC37,AH$3=$AE37),"",IF(AH$3=$AD37,$F37&amp;"R",AH36))))</f>
        <v>wR</v>
      </c>
      <c r="AI37" s="11" t="str">
        <f aca="false">IF($P37=0,AI36,IF(AI$3=$E37,IF($AA37=1,$F37&amp;$AB37,$G37),IF(OR(AI$3=$D37,AI$3=$AC37,AI$3=$AE37),"",IF(AI$3=$AD37,$F37&amp;"R",AI36))))</f>
        <v>wN</v>
      </c>
      <c r="AJ37" s="11" t="str">
        <f aca="false">IF($P37=0,AJ36,IF(AJ$3=$E37,IF($AA37=1,$F37&amp;$AB37,$G37),IF(OR(AJ$3=$D37,AJ$3=$AC37,AJ$3=$AE37),"",IF(AJ$3=$AD37,$F37&amp;"R",AJ36))))</f>
        <v>wB</v>
      </c>
      <c r="AK37" s="11" t="str">
        <f aca="false">IF($P37=0,AK36,IF(AK$3=$E37,IF($AA37=1,$F37&amp;$AB37,$G37),IF(OR(AK$3=$D37,AK$3=$AC37,AK$3=$AE37),"",IF(AK$3=$AD37,$F37&amp;"R",AK36))))</f>
        <v>wQ</v>
      </c>
      <c r="AL37" s="11" t="str">
        <f aca="false">IF($P37=0,AL36,IF(AL$3=$E37,IF($AA37=1,$F37&amp;$AB37,$G37),IF(OR(AL$3=$D37,AL$3=$AC37,AL$3=$AE37),"",IF(AL$3=$AD37,$F37&amp;"R",AL36))))</f>
        <v>wK</v>
      </c>
      <c r="AM37" s="11" t="str">
        <f aca="false">IF($P37=0,AM36,IF(AM$3=$E37,IF($AA37=1,$F37&amp;$AB37,$G37),IF(OR(AM$3=$D37,AM$3=$AC37,AM$3=$AE37),"",IF(AM$3=$AD37,$F37&amp;"R",AM36))))</f>
        <v>wB</v>
      </c>
      <c r="AN37" s="11" t="str">
        <f aca="false">IF($P37=0,AN36,IF(AN$3=$E37,IF($AA37=1,$F37&amp;$AB37,$G37),IF(OR(AN$3=$D37,AN$3=$AC37,AN$3=$AE37),"",IF(AN$3=$AD37,$F37&amp;"R",AN36))))</f>
        <v>wN</v>
      </c>
      <c r="AO37" s="11" t="str">
        <f aca="false">IF($P37=0,AO36,IF(AO$3=$E37,IF($AA37=1,$F37&amp;$AB37,$G37),IF(OR(AO$3=$D37,AO$3=$AC37,AO$3=$AE37),"",IF(AO$3=$AD37,$F37&amp;"R",AO36))))</f>
        <v>wR</v>
      </c>
      <c r="AP37" s="11" t="str">
        <f aca="false">IF($P37=0,AP36,IF(AP$3=$E37,IF($AA37=1,$F37&amp;$AB37,$G37),IF(OR(AP$3=$D37,AP$3=$AC37,AP$3=$AE37),"",IF(AP$3=$AD37,$F37&amp;"R",AP36))))</f>
        <v>wP</v>
      </c>
      <c r="AQ37" s="11" t="str">
        <f aca="false">IF($P37=0,AQ36,IF(AQ$3=$E37,IF($AA37=1,$F37&amp;$AB37,$G37),IF(OR(AQ$3=$D37,AQ$3=$AC37,AQ$3=$AE37),"",IF(AQ$3=$AD37,$F37&amp;"R",AQ36))))</f>
        <v>wP</v>
      </c>
      <c r="AR37" s="11" t="str">
        <f aca="false">IF($P37=0,AR36,IF(AR$3=$E37,IF($AA37=1,$F37&amp;$AB37,$G37),IF(OR(AR$3=$D37,AR$3=$AC37,AR$3=$AE37),"",IF(AR$3=$AD37,$F37&amp;"R",AR36))))</f>
        <v>wP</v>
      </c>
      <c r="AS37" s="11" t="str">
        <f aca="false">IF($P37=0,AS36,IF(AS$3=$E37,IF($AA37=1,$F37&amp;$AB37,$G37),IF(OR(AS$3=$D37,AS$3=$AC37,AS$3=$AE37),"",IF(AS$3=$AD37,$F37&amp;"R",AS36))))</f>
        <v>wP</v>
      </c>
      <c r="AT37" s="11" t="str">
        <f aca="false">IF($P37=0,AT36,IF(AT$3=$E37,IF($AA37=1,$F37&amp;$AB37,$G37),IF(OR(AT$3=$D37,AT$3=$AC37,AT$3=$AE37),"",IF(AT$3=$AD37,$F37&amp;"R",AT36))))</f>
        <v>wP</v>
      </c>
      <c r="AU37" s="11" t="str">
        <f aca="false">IF($P37=0,AU36,IF(AU$3=$E37,IF($AA37=1,$F37&amp;$AB37,$G37),IF(OR(AU$3=$D37,AU$3=$AC37,AU$3=$AE37),"",IF(AU$3=$AD37,$F37&amp;"R",AU36))))</f>
        <v>wP</v>
      </c>
      <c r="AV37" s="11" t="str">
        <f aca="false">IF($P37=0,AV36,IF(AV$3=$E37,IF($AA37=1,$F37&amp;$AB37,$G37),IF(OR(AV$3=$D37,AV$3=$AC37,AV$3=$AE37),"",IF(AV$3=$AD37,$F37&amp;"R",AV36))))</f>
        <v>wP</v>
      </c>
      <c r="AW37" s="11" t="str">
        <f aca="false">IF($P37=0,AW36,IF(AW$3=$E37,IF($AA37=1,$F37&amp;$AB37,$G37),IF(OR(AW$3=$D37,AW$3=$AC37,AW$3=$AE37),"",IF(AW$3=$AD37,$F37&amp;"R",AW36))))</f>
        <v>wP</v>
      </c>
      <c r="AX37" s="11" t="str">
        <f aca="false">IF($P37=0,AX36,IF(AX$3=$E37,IF($AA37=1,$F37&amp;$AB37,$G37),IF(OR(AX$3=$D37,AX$3=$AC37,AX$3=$AE37),"",IF(AX$3=$AD37,$F37&amp;"R",AX36))))</f>
        <v/>
      </c>
      <c r="AY37" s="11" t="str">
        <f aca="false">IF($P37=0,AY36,IF(AY$3=$E37,IF($AA37=1,$F37&amp;$AB37,$G37),IF(OR(AY$3=$D37,AY$3=$AC37,AY$3=$AE37),"",IF(AY$3=$AD37,$F37&amp;"R",AY36))))</f>
        <v/>
      </c>
      <c r="AZ37" s="11" t="str">
        <f aca="false">IF($P37=0,AZ36,IF(AZ$3=$E37,IF($AA37=1,$F37&amp;$AB37,$G37),IF(OR(AZ$3=$D37,AZ$3=$AC37,AZ$3=$AE37),"",IF(AZ$3=$AD37,$F37&amp;"R",AZ36))))</f>
        <v/>
      </c>
      <c r="BA37" s="11" t="str">
        <f aca="false">IF($P37=0,BA36,IF(BA$3=$E37,IF($AA37=1,$F37&amp;$AB37,$G37),IF(OR(BA$3=$D37,BA$3=$AC37,BA$3=$AE37),"",IF(BA$3=$AD37,$F37&amp;"R",BA36))))</f>
        <v/>
      </c>
      <c r="BB37" s="11" t="str">
        <f aca="false">IF($P37=0,BB36,IF(BB$3=$E37,IF($AA37=1,$F37&amp;$AB37,$G37),IF(OR(BB$3=$D37,BB$3=$AC37,BB$3=$AE37),"",IF(BB$3=$AD37,$F37&amp;"R",BB36))))</f>
        <v/>
      </c>
      <c r="BC37" s="11" t="str">
        <f aca="false">IF($P37=0,BC36,IF(BC$3=$E37,IF($AA37=1,$F37&amp;$AB37,$G37),IF(OR(BC$3=$D37,BC$3=$AC37,BC$3=$AE37),"",IF(BC$3=$AD37,$F37&amp;"R",BC36))))</f>
        <v/>
      </c>
      <c r="BD37" s="11" t="str">
        <f aca="false">IF($P37=0,BD36,IF(BD$3=$E37,IF($AA37=1,$F37&amp;$AB37,$G37),IF(OR(BD$3=$D37,BD$3=$AC37,BD$3=$AE37),"",IF(BD$3=$AD37,$F37&amp;"R",BD36))))</f>
        <v/>
      </c>
      <c r="BE37" s="11" t="str">
        <f aca="false">IF($P37=0,BE36,IF(BE$3=$E37,IF($AA37=1,$F37&amp;$AB37,$G37),IF(OR(BE$3=$D37,BE$3=$AC37,BE$3=$AE37),"",IF(BE$3=$AD37,$F37&amp;"R",BE36))))</f>
        <v/>
      </c>
      <c r="BF37" s="11" t="str">
        <f aca="false">IF($P37=0,BF36,IF(BF$3=$E37,IF($AA37=1,$F37&amp;$AB37,$G37),IF(OR(BF$3=$D37,BF$3=$AC37,BF$3=$AE37),"",IF(BF$3=$AD37,$F37&amp;"R",BF36))))</f>
        <v/>
      </c>
      <c r="BG37" s="11" t="str">
        <f aca="false">IF($P37=0,BG36,IF(BG$3=$E37,IF($AA37=1,$F37&amp;$AB37,$G37),IF(OR(BG$3=$D37,BG$3=$AC37,BG$3=$AE37),"",IF(BG$3=$AD37,$F37&amp;"R",BG36))))</f>
        <v/>
      </c>
      <c r="BH37" s="11" t="str">
        <f aca="false">IF($P37=0,BH36,IF(BH$3=$E37,IF($AA37=1,$F37&amp;$AB37,$G37),IF(OR(BH$3=$D37,BH$3=$AC37,BH$3=$AE37),"",IF(BH$3=$AD37,$F37&amp;"R",BH36))))</f>
        <v/>
      </c>
      <c r="BI37" s="11" t="str">
        <f aca="false">IF($P37=0,BI36,IF(BI$3=$E37,IF($AA37=1,$F37&amp;$AB37,$G37),IF(OR(BI$3=$D37,BI$3=$AC37,BI$3=$AE37),"",IF(BI$3=$AD37,$F37&amp;"R",BI36))))</f>
        <v/>
      </c>
      <c r="BJ37" s="11" t="str">
        <f aca="false">IF($P37=0,BJ36,IF(BJ$3=$E37,IF($AA37=1,$F37&amp;$AB37,$G37),IF(OR(BJ$3=$D37,BJ$3=$AC37,BJ$3=$AE37),"",IF(BJ$3=$AD37,$F37&amp;"R",BJ36))))</f>
        <v/>
      </c>
      <c r="BK37" s="11" t="str">
        <f aca="false">IF($P37=0,BK36,IF(BK$3=$E37,IF($AA37=1,$F37&amp;$AB37,$G37),IF(OR(BK$3=$D37,BK$3=$AC37,BK$3=$AE37),"",IF(BK$3=$AD37,$F37&amp;"R",BK36))))</f>
        <v/>
      </c>
      <c r="BL37" s="11" t="str">
        <f aca="false">IF($P37=0,BL36,IF(BL$3=$E37,IF($AA37=1,$F37&amp;$AB37,$G37),IF(OR(BL$3=$D37,BL$3=$AC37,BL$3=$AE37),"",IF(BL$3=$AD37,$F37&amp;"R",BL36))))</f>
        <v/>
      </c>
      <c r="BM37" s="11" t="str">
        <f aca="false">IF($P37=0,BM36,IF(BM$3=$E37,IF($AA37=1,$F37&amp;$AB37,$G37),IF(OR(BM$3=$D37,BM$3=$AC37,BM$3=$AE37),"",IF(BM$3=$AD37,$F37&amp;"R",BM36))))</f>
        <v/>
      </c>
      <c r="BN37" s="11" t="str">
        <f aca="false">IF($P37=0,BN36,IF(BN$3=$E37,IF($AA37=1,$F37&amp;$AB37,$G37),IF(OR(BN$3=$D37,BN$3=$AC37,BN$3=$AE37),"",IF(BN$3=$AD37,$F37&amp;"R",BN36))))</f>
        <v/>
      </c>
      <c r="BO37" s="11" t="str">
        <f aca="false">IF($P37=0,BO36,IF(BO$3=$E37,IF($AA37=1,$F37&amp;$AB37,$G37),IF(OR(BO$3=$D37,BO$3=$AC37,BO$3=$AE37),"",IF(BO$3=$AD37,$F37&amp;"R",BO36))))</f>
        <v/>
      </c>
      <c r="BP37" s="11" t="str">
        <f aca="false">IF($P37=0,BP36,IF(BP$3=$E37,IF($AA37=1,$F37&amp;$AB37,$G37),IF(OR(BP$3=$D37,BP$3=$AC37,BP$3=$AE37),"",IF(BP$3=$AD37,$F37&amp;"R",BP36))))</f>
        <v/>
      </c>
      <c r="BQ37" s="11" t="str">
        <f aca="false">IF($P37=0,BQ36,IF(BQ$3=$E37,IF($AA37=1,$F37&amp;$AB37,$G37),IF(OR(BQ$3=$D37,BQ$3=$AC37,BQ$3=$AE37),"",IF(BQ$3=$AD37,$F37&amp;"R",BQ36))))</f>
        <v/>
      </c>
      <c r="BR37" s="11" t="str">
        <f aca="false">IF($P37=0,BR36,IF(BR$3=$E37,IF($AA37=1,$F37&amp;$AB37,$G37),IF(OR(BR$3=$D37,BR$3=$AC37,BR$3=$AE37),"",IF(BR$3=$AD37,$F37&amp;"R",BR36))))</f>
        <v/>
      </c>
      <c r="BS37" s="11" t="str">
        <f aca="false">IF($P37=0,BS36,IF(BS$3=$E37,IF($AA37=1,$F37&amp;$AB37,$G37),IF(OR(BS$3=$D37,BS$3=$AC37,BS$3=$AE37),"",IF(BS$3=$AD37,$F37&amp;"R",BS36))))</f>
        <v/>
      </c>
      <c r="BT37" s="11" t="str">
        <f aca="false">IF($P37=0,BT36,IF(BT$3=$E37,IF($AA37=1,$F37&amp;$AB37,$G37),IF(OR(BT$3=$D37,BT$3=$AC37,BT$3=$AE37),"",IF(BT$3=$AD37,$F37&amp;"R",BT36))))</f>
        <v/>
      </c>
      <c r="BU37" s="11" t="str">
        <f aca="false">IF($P37=0,BU36,IF(BU$3=$E37,IF($AA37=1,$F37&amp;$AB37,$G37),IF(OR(BU$3=$D37,BU$3=$AC37,BU$3=$AE37),"",IF(BU$3=$AD37,$F37&amp;"R",BU36))))</f>
        <v/>
      </c>
      <c r="BV37" s="11" t="str">
        <f aca="false">IF($P37=0,BV36,IF(BV$3=$E37,IF($AA37=1,$F37&amp;$AB37,$G37),IF(OR(BV$3=$D37,BV$3=$AC37,BV$3=$AE37),"",IF(BV$3=$AD37,$F37&amp;"R",BV36))))</f>
        <v/>
      </c>
      <c r="BW37" s="11" t="str">
        <f aca="false">IF($P37=0,BW36,IF(BW$3=$E37,IF($AA37=1,$F37&amp;$AB37,$G37),IF(OR(BW$3=$D37,BW$3=$AC37,BW$3=$AE37),"",IF(BW$3=$AD37,$F37&amp;"R",BW36))))</f>
        <v/>
      </c>
      <c r="BX37" s="11" t="str">
        <f aca="false">IF($P37=0,BX36,IF(BX$3=$E37,IF($AA37=1,$F37&amp;$AB37,$G37),IF(OR(BX$3=$D37,BX$3=$AC37,BX$3=$AE37),"",IF(BX$3=$AD37,$F37&amp;"R",BX36))))</f>
        <v/>
      </c>
      <c r="BY37" s="11" t="str">
        <f aca="false">IF($P37=0,BY36,IF(BY$3=$E37,IF($AA37=1,$F37&amp;$AB37,$G37),IF(OR(BY$3=$D37,BY$3=$AC37,BY$3=$AE37),"",IF(BY$3=$AD37,$F37&amp;"R",BY36))))</f>
        <v/>
      </c>
      <c r="BZ37" s="11" t="str">
        <f aca="false">IF($P37=0,BZ36,IF(BZ$3=$E37,IF($AA37=1,$F37&amp;$AB37,$G37),IF(OR(BZ$3=$D37,BZ$3=$AC37,BZ$3=$AE37),"",IF(BZ$3=$AD37,$F37&amp;"R",BZ36))))</f>
        <v/>
      </c>
      <c r="CA37" s="11" t="str">
        <f aca="false">IF($P37=0,CA36,IF(CA$3=$E37,IF($AA37=1,$F37&amp;$AB37,$G37),IF(OR(CA$3=$D37,CA$3=$AC37,CA$3=$AE37),"",IF(CA$3=$AD37,$F37&amp;"R",CA36))))</f>
        <v/>
      </c>
      <c r="CB37" s="11" t="str">
        <f aca="false">IF($P37=0,CB36,IF(CB$3=$E37,IF($AA37=1,$F37&amp;$AB37,$G37),IF(OR(CB$3=$D37,CB$3=$AC37,CB$3=$AE37),"",IF(CB$3=$AD37,$F37&amp;"R",CB36))))</f>
        <v/>
      </c>
      <c r="CC37" s="11" t="str">
        <f aca="false">IF($P37=0,CC36,IF(CC$3=$E37,IF($AA37=1,$F37&amp;$AB37,$G37),IF(OR(CC$3=$D37,CC$3=$AC37,CC$3=$AE37),"",IF(CC$3=$AD37,$F37&amp;"R",CC36))))</f>
        <v/>
      </c>
      <c r="CD37" s="11" t="str">
        <f aca="false">IF($P37=0,CD36,IF(CD$3=$E37,IF($AA37=1,$F37&amp;$AB37,$G37),IF(OR(CD$3=$D37,CD$3=$AC37,CD$3=$AE37),"",IF(CD$3=$AD37,$F37&amp;"R",CD36))))</f>
        <v>bP</v>
      </c>
      <c r="CE37" s="11" t="str">
        <f aca="false">IF($P37=0,CE36,IF(CE$3=$E37,IF($AA37=1,$F37&amp;$AB37,$G37),IF(OR(CE$3=$D37,CE$3=$AC37,CE$3=$AE37),"",IF(CE$3=$AD37,$F37&amp;"R",CE36))))</f>
        <v>bP</v>
      </c>
      <c r="CF37" s="11" t="str">
        <f aca="false">IF($P37=0,CF36,IF(CF$3=$E37,IF($AA37=1,$F37&amp;$AB37,$G37),IF(OR(CF$3=$D37,CF$3=$AC37,CF$3=$AE37),"",IF(CF$3=$AD37,$F37&amp;"R",CF36))))</f>
        <v>bP</v>
      </c>
      <c r="CG37" s="11" t="str">
        <f aca="false">IF($P37=0,CG36,IF(CG$3=$E37,IF($AA37=1,$F37&amp;$AB37,$G37),IF(OR(CG$3=$D37,CG$3=$AC37,CG$3=$AE37),"",IF(CG$3=$AD37,$F37&amp;"R",CG36))))</f>
        <v>bP</v>
      </c>
      <c r="CH37" s="11" t="str">
        <f aca="false">IF($P37=0,CH36,IF(CH$3=$E37,IF($AA37=1,$F37&amp;$AB37,$G37),IF(OR(CH$3=$D37,CH$3=$AC37,CH$3=$AE37),"",IF(CH$3=$AD37,$F37&amp;"R",CH36))))</f>
        <v>bP</v>
      </c>
      <c r="CI37" s="11" t="str">
        <f aca="false">IF($P37=0,CI36,IF(CI$3=$E37,IF($AA37=1,$F37&amp;$AB37,$G37),IF(OR(CI$3=$D37,CI$3=$AC37,CI$3=$AE37),"",IF(CI$3=$AD37,$F37&amp;"R",CI36))))</f>
        <v>bP</v>
      </c>
      <c r="CJ37" s="11" t="str">
        <f aca="false">IF($P37=0,CJ36,IF(CJ$3=$E37,IF($AA37=1,$F37&amp;$AB37,$G37),IF(OR(CJ$3=$D37,CJ$3=$AC37,CJ$3=$AE37),"",IF(CJ$3=$AD37,$F37&amp;"R",CJ36))))</f>
        <v>bP</v>
      </c>
      <c r="CK37" s="11" t="str">
        <f aca="false">IF($P37=0,CK36,IF(CK$3=$E37,IF($AA37=1,$F37&amp;$AB37,$G37),IF(OR(CK$3=$D37,CK$3=$AC37,CK$3=$AE37),"",IF(CK$3=$AD37,$F37&amp;"R",CK36))))</f>
        <v>bP</v>
      </c>
      <c r="CL37" s="11" t="str">
        <f aca="false">IF($P37=0,CL36,IF(CL$3=$E37,IF($AA37=1,$F37&amp;$AB37,$G37),IF(OR(CL$3=$D37,CL$3=$AC37,CL$3=$AE37),"",IF(CL$3=$AD37,$F37&amp;"R",CL36))))</f>
        <v>bR</v>
      </c>
      <c r="CM37" s="11" t="str">
        <f aca="false">IF($P37=0,CM36,IF(CM$3=$E37,IF($AA37=1,$F37&amp;$AB37,$G37),IF(OR(CM$3=$D37,CM$3=$AC37,CM$3=$AE37),"",IF(CM$3=$AD37,$F37&amp;"R",CM36))))</f>
        <v>bN</v>
      </c>
      <c r="CN37" s="11" t="str">
        <f aca="false">IF($P37=0,CN36,IF(CN$3=$E37,IF($AA37=1,$F37&amp;$AB37,$G37),IF(OR(CN$3=$D37,CN$3=$AC37,CN$3=$AE37),"",IF(CN$3=$AD37,$F37&amp;"R",CN36))))</f>
        <v>bB</v>
      </c>
      <c r="CO37" s="11" t="str">
        <f aca="false">IF($P37=0,CO36,IF(CO$3=$E37,IF($AA37=1,$F37&amp;$AB37,$G37),IF(OR(CO$3=$D37,CO$3=$AC37,CO$3=$AE37),"",IF(CO$3=$AD37,$F37&amp;"R",CO36))))</f>
        <v>bQ</v>
      </c>
      <c r="CP37" s="11" t="str">
        <f aca="false">IF($P37=0,CP36,IF(CP$3=$E37,IF($AA37=1,$F37&amp;$AB37,$G37),IF(OR(CP$3=$D37,CP$3=$AC37,CP$3=$AE37),"",IF(CP$3=$AD37,$F37&amp;"R",CP36))))</f>
        <v>bK</v>
      </c>
      <c r="CQ37" s="11" t="str">
        <f aca="false">IF($P37=0,CQ36,IF(CQ$3=$E37,IF($AA37=1,$F37&amp;$AB37,$G37),IF(OR(CQ$3=$D37,CQ$3=$AC37,CQ$3=$AE37),"",IF(CQ$3=$AD37,$F37&amp;"R",CQ36))))</f>
        <v>bB</v>
      </c>
      <c r="CR37" s="11" t="str">
        <f aca="false">IF($P37=0,CR36,IF(CR$3=$E37,IF($AA37=1,$F37&amp;$AB37,$G37),IF(OR(CR$3=$D37,CR$3=$AC37,CR$3=$AE37),"",IF(CR$3=$AD37,$F37&amp;"R",CR36))))</f>
        <v>bN</v>
      </c>
      <c r="CS37" s="11" t="str">
        <f aca="false">IF($P37=0,CS36,IF(CS$3=$E37,IF($AA37=1,$F37&amp;$AB37,$G37),IF(OR(CS$3=$D37,CS$3=$AC37,CS$3=$AE37),"",IF(CS$3=$AD37,$F37&amp;"R",CS36))))</f>
        <v>bR</v>
      </c>
      <c r="CT37" s="11"/>
      <c r="CU37" s="11"/>
      <c r="CV37" s="11"/>
    </row>
    <row r="38" customFormat="false" ht="15" hidden="false" customHeight="false" outlineLevel="0" collapsed="false">
      <c r="A38" s="11" t="n">
        <v>33</v>
      </c>
      <c r="B38" s="11" t="str">
        <f aca="false">IF(Chess!$L$42="","",Chess!$L$42&amp;"")</f>
        <v/>
      </c>
      <c r="C38" s="11" t="str">
        <f aca="false">LOWER(SUBSTITUTE(SUBSTITUTE(SUBSTITUTE(SUBSTITUTE(TRIM($B38),"-",""),"=","")," ",""),"x",""))</f>
        <v/>
      </c>
      <c r="D38" s="11" t="n">
        <f aca="false">IF(LEN($C38)&lt;4,0,IFERROR(IF(AND(CODE(MID($C38,1,1))&gt;=97,CODE(MID($C38,1,1))&lt;=104,VALUE(MID($C38,2,1))&gt;=1,VALUE(MID($C38,2,1))&lt;=8),(VALUE(MID($C38,2,1))-1)*8+CODE(MID($C38,1,1))-96,0),0))</f>
        <v>0</v>
      </c>
      <c r="E38" s="11" t="n">
        <f aca="false">IF(LEN($C38)&lt;4,0,IFERROR(IF(AND(CODE(MID($C38,3,1))&gt;=97,CODE(MID($C38,3,1))&lt;=104,VALUE(MID($C38,4,1))&gt;=1,VALUE(MID($C38,4,1))&lt;=8),(VALUE(MID($C38,4,1))-1)*8+CODE(MID($C38,3,1))-96,0),0))</f>
        <v>0</v>
      </c>
      <c r="F38" s="11" t="str">
        <f aca="false">IF(MOD(SUM($P$5:$P37),2)=0,"w","b")</f>
        <v>w</v>
      </c>
      <c r="G38" s="11" t="str">
        <f aca="false">IF($D38=0,"",INDEX($AH37:$CS37,1,$D38)&amp;"")</f>
        <v/>
      </c>
      <c r="H38" s="11" t="str">
        <f aca="false">IF($E38=0,"",INDEX($AH37:$CS37,1,$E38)&amp;"")</f>
        <v/>
      </c>
      <c r="I38" s="11" t="n">
        <f aca="false">IF(OR($D38=0,$E38=0),0,MOD($E38-1,8)-MOD($D38-1,8))</f>
        <v>0</v>
      </c>
      <c r="J38" s="11" t="n">
        <f aca="false">IF(OR($D38=0,$E38=0),0,INT(($E38-1)/8)-INT(($D38-1)/8))</f>
        <v>0</v>
      </c>
      <c r="K38" s="11" t="str">
        <f aca="false">IF($G38="","",RIGHT($G38,1))</f>
        <v/>
      </c>
      <c r="L38" s="11" t="n">
        <f aca="false">IF(OR($D38=0,$E38=0),0,SUMPRODUCT(($AH$3:$CS$3&gt;MIN($D38,$E38))*($AH$3:$CS$3&lt;MAX($D38,$E38))*(MOD($AH$3:$CS$3-MIN($D38,$E38),MAX(1,ABS(SIGN($J38)*8+SIGN($I38))))=0)*($AH37:$CS37&lt;&gt;"")))</f>
        <v>0</v>
      </c>
      <c r="M38" s="11" t="n">
        <f aca="false">IF($K38&lt;&gt;"K",0,IFERROR(--AND($J38=0,ABS($I38)=2,$D38=IF($F38="w",5,61),IF($F38="w",$S37,$V37)=0,IF($I38=2,AND(IF($F38="w",$U37,$X37)=0,INDEX($AH37:$CS37,1,$D38+1)&amp;""="",INDEX($AH37:$CS37,1,$D38+2)&amp;""=""),AND(IF($F38="w",$T37,$W37)=0,INDEX($AH37:$CS37,1,$D38-1)&amp;""="",INDEX($AH37:$CS37,1,$D38-2)&amp;""="",INDEX($AH37:$CS37,1,$D38-3)&amp;""=""))),0))</f>
        <v>0</v>
      </c>
      <c r="N38" s="11" t="n">
        <f aca="false">IF($K38&lt;&gt;"P",0,IFERROR(--OR(AND($I38=0,$J38=IF($F38="w",1,-1),$H38=""),AND($I38=0,$J38=2*IF($F38="w",1,-1),$H38="",INT(($D38-1)/8)=IF($F38="w",1,6),INDEX($AH37:$CS37,1,MAX(1,MIN(64,$D38+8*IF($F38="w",1,-1))))&amp;""=""),AND(ABS($I38)=1,$J38=IF($F38="w",1,-1),$H38&lt;&gt;""),AND(ABS($I38)=1,$J38=IF($F38="w",1,-1),$H38="",$R37&gt;0,$E38=$R37)),0))</f>
        <v>0</v>
      </c>
      <c r="O38" s="11" t="n">
        <f aca="false">IF(OR($D38=0,$E38=0,$G38=""),0,IF($K38="N",--OR(AND(ABS($I38)=1,ABS($J38)=2),AND(ABS($I38)=2,ABS($J38)=1)),IF($K38="B",--AND(ABS($I38)=ABS($J38),$I38&lt;&gt;0,$L38=0),IF($K38="R",--AND(OR($I38=0,$J38=0),OR($I38&lt;&gt;0,$J38&lt;&gt;0),$L38=0),IF($K38="Q",--AND(OR(AND(ABS($I38)=ABS($J38),$I38&lt;&gt;0),AND(OR($I38=0,$J38=0),OR($I38&lt;&gt;0,$J38&lt;&gt;0))),$L38=0),IF($K38="K",--OR(MAX(ABS($I38),ABS($J38))=1,$M38=1),$N38))))))</f>
        <v>0</v>
      </c>
      <c r="P38" s="11" t="n">
        <f aca="false">IF($Q38="OK",1,0)</f>
        <v>0</v>
      </c>
      <c r="Q38" s="11" t="str">
        <f aca="false">IF($B38="","",IF(OR(COUNTIF($AH37:$CS37,"wK")=0,COUNTIF($AH37:$CS37,"bK")=0),"Game is over",IF(OR($D38=0,$E38=0),"Use the format e2e4",IF($G38="","No piece on that square",IF(LEFT($G38,1)&lt;&gt;$F38,"Not your piece ("&amp;IF($F38="w","White","Black")&amp;" to move)",IF($D38=$E38,"Piece must move",IF(AND($H38&lt;&gt;"",LEFT($H38,1)=$F38),"Cannot capture your own piece",IF($O38=0,"Illegal move for that piece (or path blocked)","OK"))))))))</f>
        <v/>
      </c>
      <c r="R38" s="11" t="n">
        <f aca="false">IF($P38=1,IF(AND($K38="P",ABS($J38)=2),($D38+$E38)/2,0),$R37)</f>
        <v>0</v>
      </c>
      <c r="S38" s="12" t="b">
        <f aca="false">--OR($S37=1,AND($P38=1,OR($D38=5,$E38=5)))</f>
        <v>0</v>
      </c>
      <c r="T38" s="12" t="b">
        <f aca="false">--OR($T37=1,AND($P38=1,OR($D38=1,$E38=1)))</f>
        <v>0</v>
      </c>
      <c r="U38" s="12" t="b">
        <f aca="false">--OR($U37=1,AND($P38=1,OR($D38=8,$E38=8)))</f>
        <v>0</v>
      </c>
      <c r="V38" s="12" t="b">
        <f aca="false">--OR($V37=1,AND($P38=1,OR($D38=61,$E38=61)))</f>
        <v>0</v>
      </c>
      <c r="W38" s="12" t="b">
        <f aca="false">--OR($W37=1,AND($P38=1,OR($D38=57,$E38=57)))</f>
        <v>0</v>
      </c>
      <c r="X38" s="12" t="b">
        <f aca="false">--OR($X37=1,AND($P38=1,OR($D38=64,$E38=64)))</f>
        <v>0</v>
      </c>
      <c r="Y38" s="12" t="b">
        <f aca="false">--AND($P38=1,$K38="K",ABS($I38)=2)</f>
        <v>0</v>
      </c>
      <c r="Z38" s="12" t="b">
        <f aca="false">--AND($P38=1,$K38="P",ABS($I38)=1,$H38="")</f>
        <v>0</v>
      </c>
      <c r="AA38" s="12" t="b">
        <f aca="false">--AND($P38=1,$K38="P",INT(($E38-1)/8)=IF($F38="w",7,0))</f>
        <v>0</v>
      </c>
      <c r="AB38" s="11" t="str">
        <f aca="false">IF(LEN($C38)&gt;=5,IF(ISNUMBER(FIND(MID($C38,5,1),"qrbn")),UPPER(MID($C38,5,1)),"Q"),"Q")</f>
        <v>Q</v>
      </c>
      <c r="AC38" s="11" t="n">
        <f aca="false">IF($Y38=1,IF($I38=2,$D38+3,$D38-4),0)</f>
        <v>0</v>
      </c>
      <c r="AD38" s="11" t="n">
        <f aca="false">IF($Y38=1,IF($I38=2,$D38+1,$D38-1),0)</f>
        <v>0</v>
      </c>
      <c r="AE38" s="11" t="n">
        <f aca="false">IF($Z38=1,$E38-8*IF($F38="w",1,-1),0)</f>
        <v>0</v>
      </c>
      <c r="AF38" s="11" t="str">
        <f aca="false">IF($B38="","",IF($P38=1,LOWER(INDEX($CV$2:$CV$13,MATCH($G38,$CU$2:$CU$13,0)))&amp;" "&amp;MID("abcdefgh",MOD($D38-1,8)+1,1)&amp;(INT(($D38-1)/8)+1)&amp;"→"&amp;MID("abcdefgh",MOD($E38-1,8)+1,1)&amp;(INT(($E38-1)/8)+1)&amp;IF(OR($H38&lt;&gt;"",$Z38=1)," ×","")&amp;IF($Y38=1," castles","")&amp;IF($Z38=1," e.p.","")&amp;IF($AA38=1," =" &amp;LOWER(INDEX($CV$2:$CV$13,MATCH($F38&amp;$AB38,$CU$2:$CU$13,0))),""),"X "&amp;$Q38))</f>
        <v/>
      </c>
      <c r="AG38" s="11"/>
      <c r="AH38" s="11" t="str">
        <f aca="false">IF($P38=0,AH37,IF(AH$3=$E38,IF($AA38=1,$F38&amp;$AB38,$G38),IF(OR(AH$3=$D38,AH$3=$AC38,AH$3=$AE38),"",IF(AH$3=$AD38,$F38&amp;"R",AH37))))</f>
        <v>wR</v>
      </c>
      <c r="AI38" s="11" t="str">
        <f aca="false">IF($P38=0,AI37,IF(AI$3=$E38,IF($AA38=1,$F38&amp;$AB38,$G38),IF(OR(AI$3=$D38,AI$3=$AC38,AI$3=$AE38),"",IF(AI$3=$AD38,$F38&amp;"R",AI37))))</f>
        <v>wN</v>
      </c>
      <c r="AJ38" s="11" t="str">
        <f aca="false">IF($P38=0,AJ37,IF(AJ$3=$E38,IF($AA38=1,$F38&amp;$AB38,$G38),IF(OR(AJ$3=$D38,AJ$3=$AC38,AJ$3=$AE38),"",IF(AJ$3=$AD38,$F38&amp;"R",AJ37))))</f>
        <v>wB</v>
      </c>
      <c r="AK38" s="11" t="str">
        <f aca="false">IF($P38=0,AK37,IF(AK$3=$E38,IF($AA38=1,$F38&amp;$AB38,$G38),IF(OR(AK$3=$D38,AK$3=$AC38,AK$3=$AE38),"",IF(AK$3=$AD38,$F38&amp;"R",AK37))))</f>
        <v>wQ</v>
      </c>
      <c r="AL38" s="11" t="str">
        <f aca="false">IF($P38=0,AL37,IF(AL$3=$E38,IF($AA38=1,$F38&amp;$AB38,$G38),IF(OR(AL$3=$D38,AL$3=$AC38,AL$3=$AE38),"",IF(AL$3=$AD38,$F38&amp;"R",AL37))))</f>
        <v>wK</v>
      </c>
      <c r="AM38" s="11" t="str">
        <f aca="false">IF($P38=0,AM37,IF(AM$3=$E38,IF($AA38=1,$F38&amp;$AB38,$G38),IF(OR(AM$3=$D38,AM$3=$AC38,AM$3=$AE38),"",IF(AM$3=$AD38,$F38&amp;"R",AM37))))</f>
        <v>wB</v>
      </c>
      <c r="AN38" s="11" t="str">
        <f aca="false">IF($P38=0,AN37,IF(AN$3=$E38,IF($AA38=1,$F38&amp;$AB38,$G38),IF(OR(AN$3=$D38,AN$3=$AC38,AN$3=$AE38),"",IF(AN$3=$AD38,$F38&amp;"R",AN37))))</f>
        <v>wN</v>
      </c>
      <c r="AO38" s="11" t="str">
        <f aca="false">IF($P38=0,AO37,IF(AO$3=$E38,IF($AA38=1,$F38&amp;$AB38,$G38),IF(OR(AO$3=$D38,AO$3=$AC38,AO$3=$AE38),"",IF(AO$3=$AD38,$F38&amp;"R",AO37))))</f>
        <v>wR</v>
      </c>
      <c r="AP38" s="11" t="str">
        <f aca="false">IF($P38=0,AP37,IF(AP$3=$E38,IF($AA38=1,$F38&amp;$AB38,$G38),IF(OR(AP$3=$D38,AP$3=$AC38,AP$3=$AE38),"",IF(AP$3=$AD38,$F38&amp;"R",AP37))))</f>
        <v>wP</v>
      </c>
      <c r="AQ38" s="11" t="str">
        <f aca="false">IF($P38=0,AQ37,IF(AQ$3=$E38,IF($AA38=1,$F38&amp;$AB38,$G38),IF(OR(AQ$3=$D38,AQ$3=$AC38,AQ$3=$AE38),"",IF(AQ$3=$AD38,$F38&amp;"R",AQ37))))</f>
        <v>wP</v>
      </c>
      <c r="AR38" s="11" t="str">
        <f aca="false">IF($P38=0,AR37,IF(AR$3=$E38,IF($AA38=1,$F38&amp;$AB38,$G38),IF(OR(AR$3=$D38,AR$3=$AC38,AR$3=$AE38),"",IF(AR$3=$AD38,$F38&amp;"R",AR37))))</f>
        <v>wP</v>
      </c>
      <c r="AS38" s="11" t="str">
        <f aca="false">IF($P38=0,AS37,IF(AS$3=$E38,IF($AA38=1,$F38&amp;$AB38,$G38),IF(OR(AS$3=$D38,AS$3=$AC38,AS$3=$AE38),"",IF(AS$3=$AD38,$F38&amp;"R",AS37))))</f>
        <v>wP</v>
      </c>
      <c r="AT38" s="11" t="str">
        <f aca="false">IF($P38=0,AT37,IF(AT$3=$E38,IF($AA38=1,$F38&amp;$AB38,$G38),IF(OR(AT$3=$D38,AT$3=$AC38,AT$3=$AE38),"",IF(AT$3=$AD38,$F38&amp;"R",AT37))))</f>
        <v>wP</v>
      </c>
      <c r="AU38" s="11" t="str">
        <f aca="false">IF($P38=0,AU37,IF(AU$3=$E38,IF($AA38=1,$F38&amp;$AB38,$G38),IF(OR(AU$3=$D38,AU$3=$AC38,AU$3=$AE38),"",IF(AU$3=$AD38,$F38&amp;"R",AU37))))</f>
        <v>wP</v>
      </c>
      <c r="AV38" s="11" t="str">
        <f aca="false">IF($P38=0,AV37,IF(AV$3=$E38,IF($AA38=1,$F38&amp;$AB38,$G38),IF(OR(AV$3=$D38,AV$3=$AC38,AV$3=$AE38),"",IF(AV$3=$AD38,$F38&amp;"R",AV37))))</f>
        <v>wP</v>
      </c>
      <c r="AW38" s="11" t="str">
        <f aca="false">IF($P38=0,AW37,IF(AW$3=$E38,IF($AA38=1,$F38&amp;$AB38,$G38),IF(OR(AW$3=$D38,AW$3=$AC38,AW$3=$AE38),"",IF(AW$3=$AD38,$F38&amp;"R",AW37))))</f>
        <v>wP</v>
      </c>
      <c r="AX38" s="11" t="str">
        <f aca="false">IF($P38=0,AX37,IF(AX$3=$E38,IF($AA38=1,$F38&amp;$AB38,$G38),IF(OR(AX$3=$D38,AX$3=$AC38,AX$3=$AE38),"",IF(AX$3=$AD38,$F38&amp;"R",AX37))))</f>
        <v/>
      </c>
      <c r="AY38" s="11" t="str">
        <f aca="false">IF($P38=0,AY37,IF(AY$3=$E38,IF($AA38=1,$F38&amp;$AB38,$G38),IF(OR(AY$3=$D38,AY$3=$AC38,AY$3=$AE38),"",IF(AY$3=$AD38,$F38&amp;"R",AY37))))</f>
        <v/>
      </c>
      <c r="AZ38" s="11" t="str">
        <f aca="false">IF($P38=0,AZ37,IF(AZ$3=$E38,IF($AA38=1,$F38&amp;$AB38,$G38),IF(OR(AZ$3=$D38,AZ$3=$AC38,AZ$3=$AE38),"",IF(AZ$3=$AD38,$F38&amp;"R",AZ37))))</f>
        <v/>
      </c>
      <c r="BA38" s="11" t="str">
        <f aca="false">IF($P38=0,BA37,IF(BA$3=$E38,IF($AA38=1,$F38&amp;$AB38,$G38),IF(OR(BA$3=$D38,BA$3=$AC38,BA$3=$AE38),"",IF(BA$3=$AD38,$F38&amp;"R",BA37))))</f>
        <v/>
      </c>
      <c r="BB38" s="11" t="str">
        <f aca="false">IF($P38=0,BB37,IF(BB$3=$E38,IF($AA38=1,$F38&amp;$AB38,$G38),IF(OR(BB$3=$D38,BB$3=$AC38,BB$3=$AE38),"",IF(BB$3=$AD38,$F38&amp;"R",BB37))))</f>
        <v/>
      </c>
      <c r="BC38" s="11" t="str">
        <f aca="false">IF($P38=0,BC37,IF(BC$3=$E38,IF($AA38=1,$F38&amp;$AB38,$G38),IF(OR(BC$3=$D38,BC$3=$AC38,BC$3=$AE38),"",IF(BC$3=$AD38,$F38&amp;"R",BC37))))</f>
        <v/>
      </c>
      <c r="BD38" s="11" t="str">
        <f aca="false">IF($P38=0,BD37,IF(BD$3=$E38,IF($AA38=1,$F38&amp;$AB38,$G38),IF(OR(BD$3=$D38,BD$3=$AC38,BD$3=$AE38),"",IF(BD$3=$AD38,$F38&amp;"R",BD37))))</f>
        <v/>
      </c>
      <c r="BE38" s="11" t="str">
        <f aca="false">IF($P38=0,BE37,IF(BE$3=$E38,IF($AA38=1,$F38&amp;$AB38,$G38),IF(OR(BE$3=$D38,BE$3=$AC38,BE$3=$AE38),"",IF(BE$3=$AD38,$F38&amp;"R",BE37))))</f>
        <v/>
      </c>
      <c r="BF38" s="11" t="str">
        <f aca="false">IF($P38=0,BF37,IF(BF$3=$E38,IF($AA38=1,$F38&amp;$AB38,$G38),IF(OR(BF$3=$D38,BF$3=$AC38,BF$3=$AE38),"",IF(BF$3=$AD38,$F38&amp;"R",BF37))))</f>
        <v/>
      </c>
      <c r="BG38" s="11" t="str">
        <f aca="false">IF($P38=0,BG37,IF(BG$3=$E38,IF($AA38=1,$F38&amp;$AB38,$G38),IF(OR(BG$3=$D38,BG$3=$AC38,BG$3=$AE38),"",IF(BG$3=$AD38,$F38&amp;"R",BG37))))</f>
        <v/>
      </c>
      <c r="BH38" s="11" t="str">
        <f aca="false">IF($P38=0,BH37,IF(BH$3=$E38,IF($AA38=1,$F38&amp;$AB38,$G38),IF(OR(BH$3=$D38,BH$3=$AC38,BH$3=$AE38),"",IF(BH$3=$AD38,$F38&amp;"R",BH37))))</f>
        <v/>
      </c>
      <c r="BI38" s="11" t="str">
        <f aca="false">IF($P38=0,BI37,IF(BI$3=$E38,IF($AA38=1,$F38&amp;$AB38,$G38),IF(OR(BI$3=$D38,BI$3=$AC38,BI$3=$AE38),"",IF(BI$3=$AD38,$F38&amp;"R",BI37))))</f>
        <v/>
      </c>
      <c r="BJ38" s="11" t="str">
        <f aca="false">IF($P38=0,BJ37,IF(BJ$3=$E38,IF($AA38=1,$F38&amp;$AB38,$G38),IF(OR(BJ$3=$D38,BJ$3=$AC38,BJ$3=$AE38),"",IF(BJ$3=$AD38,$F38&amp;"R",BJ37))))</f>
        <v/>
      </c>
      <c r="BK38" s="11" t="str">
        <f aca="false">IF($P38=0,BK37,IF(BK$3=$E38,IF($AA38=1,$F38&amp;$AB38,$G38),IF(OR(BK$3=$D38,BK$3=$AC38,BK$3=$AE38),"",IF(BK$3=$AD38,$F38&amp;"R",BK37))))</f>
        <v/>
      </c>
      <c r="BL38" s="11" t="str">
        <f aca="false">IF($P38=0,BL37,IF(BL$3=$E38,IF($AA38=1,$F38&amp;$AB38,$G38),IF(OR(BL$3=$D38,BL$3=$AC38,BL$3=$AE38),"",IF(BL$3=$AD38,$F38&amp;"R",BL37))))</f>
        <v/>
      </c>
      <c r="BM38" s="11" t="str">
        <f aca="false">IF($P38=0,BM37,IF(BM$3=$E38,IF($AA38=1,$F38&amp;$AB38,$G38),IF(OR(BM$3=$D38,BM$3=$AC38,BM$3=$AE38),"",IF(BM$3=$AD38,$F38&amp;"R",BM37))))</f>
        <v/>
      </c>
      <c r="BN38" s="11" t="str">
        <f aca="false">IF($P38=0,BN37,IF(BN$3=$E38,IF($AA38=1,$F38&amp;$AB38,$G38),IF(OR(BN$3=$D38,BN$3=$AC38,BN$3=$AE38),"",IF(BN$3=$AD38,$F38&amp;"R",BN37))))</f>
        <v/>
      </c>
      <c r="BO38" s="11" t="str">
        <f aca="false">IF($P38=0,BO37,IF(BO$3=$E38,IF($AA38=1,$F38&amp;$AB38,$G38),IF(OR(BO$3=$D38,BO$3=$AC38,BO$3=$AE38),"",IF(BO$3=$AD38,$F38&amp;"R",BO37))))</f>
        <v/>
      </c>
      <c r="BP38" s="11" t="str">
        <f aca="false">IF($P38=0,BP37,IF(BP$3=$E38,IF($AA38=1,$F38&amp;$AB38,$G38),IF(OR(BP$3=$D38,BP$3=$AC38,BP$3=$AE38),"",IF(BP$3=$AD38,$F38&amp;"R",BP37))))</f>
        <v/>
      </c>
      <c r="BQ38" s="11" t="str">
        <f aca="false">IF($P38=0,BQ37,IF(BQ$3=$E38,IF($AA38=1,$F38&amp;$AB38,$G38),IF(OR(BQ$3=$D38,BQ$3=$AC38,BQ$3=$AE38),"",IF(BQ$3=$AD38,$F38&amp;"R",BQ37))))</f>
        <v/>
      </c>
      <c r="BR38" s="11" t="str">
        <f aca="false">IF($P38=0,BR37,IF(BR$3=$E38,IF($AA38=1,$F38&amp;$AB38,$G38),IF(OR(BR$3=$D38,BR$3=$AC38,BR$3=$AE38),"",IF(BR$3=$AD38,$F38&amp;"R",BR37))))</f>
        <v/>
      </c>
      <c r="BS38" s="11" t="str">
        <f aca="false">IF($P38=0,BS37,IF(BS$3=$E38,IF($AA38=1,$F38&amp;$AB38,$G38),IF(OR(BS$3=$D38,BS$3=$AC38,BS$3=$AE38),"",IF(BS$3=$AD38,$F38&amp;"R",BS37))))</f>
        <v/>
      </c>
      <c r="BT38" s="11" t="str">
        <f aca="false">IF($P38=0,BT37,IF(BT$3=$E38,IF($AA38=1,$F38&amp;$AB38,$G38),IF(OR(BT$3=$D38,BT$3=$AC38,BT$3=$AE38),"",IF(BT$3=$AD38,$F38&amp;"R",BT37))))</f>
        <v/>
      </c>
      <c r="BU38" s="11" t="str">
        <f aca="false">IF($P38=0,BU37,IF(BU$3=$E38,IF($AA38=1,$F38&amp;$AB38,$G38),IF(OR(BU$3=$D38,BU$3=$AC38,BU$3=$AE38),"",IF(BU$3=$AD38,$F38&amp;"R",BU37))))</f>
        <v/>
      </c>
      <c r="BV38" s="11" t="str">
        <f aca="false">IF($P38=0,BV37,IF(BV$3=$E38,IF($AA38=1,$F38&amp;$AB38,$G38),IF(OR(BV$3=$D38,BV$3=$AC38,BV$3=$AE38),"",IF(BV$3=$AD38,$F38&amp;"R",BV37))))</f>
        <v/>
      </c>
      <c r="BW38" s="11" t="str">
        <f aca="false">IF($P38=0,BW37,IF(BW$3=$E38,IF($AA38=1,$F38&amp;$AB38,$G38),IF(OR(BW$3=$D38,BW$3=$AC38,BW$3=$AE38),"",IF(BW$3=$AD38,$F38&amp;"R",BW37))))</f>
        <v/>
      </c>
      <c r="BX38" s="11" t="str">
        <f aca="false">IF($P38=0,BX37,IF(BX$3=$E38,IF($AA38=1,$F38&amp;$AB38,$G38),IF(OR(BX$3=$D38,BX$3=$AC38,BX$3=$AE38),"",IF(BX$3=$AD38,$F38&amp;"R",BX37))))</f>
        <v/>
      </c>
      <c r="BY38" s="11" t="str">
        <f aca="false">IF($P38=0,BY37,IF(BY$3=$E38,IF($AA38=1,$F38&amp;$AB38,$G38),IF(OR(BY$3=$D38,BY$3=$AC38,BY$3=$AE38),"",IF(BY$3=$AD38,$F38&amp;"R",BY37))))</f>
        <v/>
      </c>
      <c r="BZ38" s="11" t="str">
        <f aca="false">IF($P38=0,BZ37,IF(BZ$3=$E38,IF($AA38=1,$F38&amp;$AB38,$G38),IF(OR(BZ$3=$D38,BZ$3=$AC38,BZ$3=$AE38),"",IF(BZ$3=$AD38,$F38&amp;"R",BZ37))))</f>
        <v/>
      </c>
      <c r="CA38" s="11" t="str">
        <f aca="false">IF($P38=0,CA37,IF(CA$3=$E38,IF($AA38=1,$F38&amp;$AB38,$G38),IF(OR(CA$3=$D38,CA$3=$AC38,CA$3=$AE38),"",IF(CA$3=$AD38,$F38&amp;"R",CA37))))</f>
        <v/>
      </c>
      <c r="CB38" s="11" t="str">
        <f aca="false">IF($P38=0,CB37,IF(CB$3=$E38,IF($AA38=1,$F38&amp;$AB38,$G38),IF(OR(CB$3=$D38,CB$3=$AC38,CB$3=$AE38),"",IF(CB$3=$AD38,$F38&amp;"R",CB37))))</f>
        <v/>
      </c>
      <c r="CC38" s="11" t="str">
        <f aca="false">IF($P38=0,CC37,IF(CC$3=$E38,IF($AA38=1,$F38&amp;$AB38,$G38),IF(OR(CC$3=$D38,CC$3=$AC38,CC$3=$AE38),"",IF(CC$3=$AD38,$F38&amp;"R",CC37))))</f>
        <v/>
      </c>
      <c r="CD38" s="11" t="str">
        <f aca="false">IF($P38=0,CD37,IF(CD$3=$E38,IF($AA38=1,$F38&amp;$AB38,$G38),IF(OR(CD$3=$D38,CD$3=$AC38,CD$3=$AE38),"",IF(CD$3=$AD38,$F38&amp;"R",CD37))))</f>
        <v>bP</v>
      </c>
      <c r="CE38" s="11" t="str">
        <f aca="false">IF($P38=0,CE37,IF(CE$3=$E38,IF($AA38=1,$F38&amp;$AB38,$G38),IF(OR(CE$3=$D38,CE$3=$AC38,CE$3=$AE38),"",IF(CE$3=$AD38,$F38&amp;"R",CE37))))</f>
        <v>bP</v>
      </c>
      <c r="CF38" s="11" t="str">
        <f aca="false">IF($P38=0,CF37,IF(CF$3=$E38,IF($AA38=1,$F38&amp;$AB38,$G38),IF(OR(CF$3=$D38,CF$3=$AC38,CF$3=$AE38),"",IF(CF$3=$AD38,$F38&amp;"R",CF37))))</f>
        <v>bP</v>
      </c>
      <c r="CG38" s="11" t="str">
        <f aca="false">IF($P38=0,CG37,IF(CG$3=$E38,IF($AA38=1,$F38&amp;$AB38,$G38),IF(OR(CG$3=$D38,CG$3=$AC38,CG$3=$AE38),"",IF(CG$3=$AD38,$F38&amp;"R",CG37))))</f>
        <v>bP</v>
      </c>
      <c r="CH38" s="11" t="str">
        <f aca="false">IF($P38=0,CH37,IF(CH$3=$E38,IF($AA38=1,$F38&amp;$AB38,$G38),IF(OR(CH$3=$D38,CH$3=$AC38,CH$3=$AE38),"",IF(CH$3=$AD38,$F38&amp;"R",CH37))))</f>
        <v>bP</v>
      </c>
      <c r="CI38" s="11" t="str">
        <f aca="false">IF($P38=0,CI37,IF(CI$3=$E38,IF($AA38=1,$F38&amp;$AB38,$G38),IF(OR(CI$3=$D38,CI$3=$AC38,CI$3=$AE38),"",IF(CI$3=$AD38,$F38&amp;"R",CI37))))</f>
        <v>bP</v>
      </c>
      <c r="CJ38" s="11" t="str">
        <f aca="false">IF($P38=0,CJ37,IF(CJ$3=$E38,IF($AA38=1,$F38&amp;$AB38,$G38),IF(OR(CJ$3=$D38,CJ$3=$AC38,CJ$3=$AE38),"",IF(CJ$3=$AD38,$F38&amp;"R",CJ37))))</f>
        <v>bP</v>
      </c>
      <c r="CK38" s="11" t="str">
        <f aca="false">IF($P38=0,CK37,IF(CK$3=$E38,IF($AA38=1,$F38&amp;$AB38,$G38),IF(OR(CK$3=$D38,CK$3=$AC38,CK$3=$AE38),"",IF(CK$3=$AD38,$F38&amp;"R",CK37))))</f>
        <v>bP</v>
      </c>
      <c r="CL38" s="11" t="str">
        <f aca="false">IF($P38=0,CL37,IF(CL$3=$E38,IF($AA38=1,$F38&amp;$AB38,$G38),IF(OR(CL$3=$D38,CL$3=$AC38,CL$3=$AE38),"",IF(CL$3=$AD38,$F38&amp;"R",CL37))))</f>
        <v>bR</v>
      </c>
      <c r="CM38" s="11" t="str">
        <f aca="false">IF($P38=0,CM37,IF(CM$3=$E38,IF($AA38=1,$F38&amp;$AB38,$G38),IF(OR(CM$3=$D38,CM$3=$AC38,CM$3=$AE38),"",IF(CM$3=$AD38,$F38&amp;"R",CM37))))</f>
        <v>bN</v>
      </c>
      <c r="CN38" s="11" t="str">
        <f aca="false">IF($P38=0,CN37,IF(CN$3=$E38,IF($AA38=1,$F38&amp;$AB38,$G38),IF(OR(CN$3=$D38,CN$3=$AC38,CN$3=$AE38),"",IF(CN$3=$AD38,$F38&amp;"R",CN37))))</f>
        <v>bB</v>
      </c>
      <c r="CO38" s="11" t="str">
        <f aca="false">IF($P38=0,CO37,IF(CO$3=$E38,IF($AA38=1,$F38&amp;$AB38,$G38),IF(OR(CO$3=$D38,CO$3=$AC38,CO$3=$AE38),"",IF(CO$3=$AD38,$F38&amp;"R",CO37))))</f>
        <v>bQ</v>
      </c>
      <c r="CP38" s="11" t="str">
        <f aca="false">IF($P38=0,CP37,IF(CP$3=$E38,IF($AA38=1,$F38&amp;$AB38,$G38),IF(OR(CP$3=$D38,CP$3=$AC38,CP$3=$AE38),"",IF(CP$3=$AD38,$F38&amp;"R",CP37))))</f>
        <v>bK</v>
      </c>
      <c r="CQ38" s="11" t="str">
        <f aca="false">IF($P38=0,CQ37,IF(CQ$3=$E38,IF($AA38=1,$F38&amp;$AB38,$G38),IF(OR(CQ$3=$D38,CQ$3=$AC38,CQ$3=$AE38),"",IF(CQ$3=$AD38,$F38&amp;"R",CQ37))))</f>
        <v>bB</v>
      </c>
      <c r="CR38" s="11" t="str">
        <f aca="false">IF($P38=0,CR37,IF(CR$3=$E38,IF($AA38=1,$F38&amp;$AB38,$G38),IF(OR(CR$3=$D38,CR$3=$AC38,CR$3=$AE38),"",IF(CR$3=$AD38,$F38&amp;"R",CR37))))</f>
        <v>bN</v>
      </c>
      <c r="CS38" s="11" t="str">
        <f aca="false">IF($P38=0,CS37,IF(CS$3=$E38,IF($AA38=1,$F38&amp;$AB38,$G38),IF(OR(CS$3=$D38,CS$3=$AC38,CS$3=$AE38),"",IF(CS$3=$AD38,$F38&amp;"R",CS37))))</f>
        <v>bR</v>
      </c>
      <c r="CT38" s="11"/>
      <c r="CU38" s="11"/>
      <c r="CV38" s="11"/>
    </row>
    <row r="39" customFormat="false" ht="15" hidden="false" customHeight="false" outlineLevel="0" collapsed="false">
      <c r="A39" s="11" t="n">
        <v>34</v>
      </c>
      <c r="B39" s="11" t="str">
        <f aca="false">IF(Chess!$L$43="","",Chess!$L$43&amp;"")</f>
        <v/>
      </c>
      <c r="C39" s="11" t="str">
        <f aca="false">LOWER(SUBSTITUTE(SUBSTITUTE(SUBSTITUTE(SUBSTITUTE(TRIM($B39),"-",""),"=","")," ",""),"x",""))</f>
        <v/>
      </c>
      <c r="D39" s="11" t="n">
        <f aca="false">IF(LEN($C39)&lt;4,0,IFERROR(IF(AND(CODE(MID($C39,1,1))&gt;=97,CODE(MID($C39,1,1))&lt;=104,VALUE(MID($C39,2,1))&gt;=1,VALUE(MID($C39,2,1))&lt;=8),(VALUE(MID($C39,2,1))-1)*8+CODE(MID($C39,1,1))-96,0),0))</f>
        <v>0</v>
      </c>
      <c r="E39" s="11" t="n">
        <f aca="false">IF(LEN($C39)&lt;4,0,IFERROR(IF(AND(CODE(MID($C39,3,1))&gt;=97,CODE(MID($C39,3,1))&lt;=104,VALUE(MID($C39,4,1))&gt;=1,VALUE(MID($C39,4,1))&lt;=8),(VALUE(MID($C39,4,1))-1)*8+CODE(MID($C39,3,1))-96,0),0))</f>
        <v>0</v>
      </c>
      <c r="F39" s="11" t="str">
        <f aca="false">IF(MOD(SUM($P$5:$P38),2)=0,"w","b")</f>
        <v>w</v>
      </c>
      <c r="G39" s="11" t="str">
        <f aca="false">IF($D39=0,"",INDEX($AH38:$CS38,1,$D39)&amp;"")</f>
        <v/>
      </c>
      <c r="H39" s="11" t="str">
        <f aca="false">IF($E39=0,"",INDEX($AH38:$CS38,1,$E39)&amp;"")</f>
        <v/>
      </c>
      <c r="I39" s="11" t="n">
        <f aca="false">IF(OR($D39=0,$E39=0),0,MOD($E39-1,8)-MOD($D39-1,8))</f>
        <v>0</v>
      </c>
      <c r="J39" s="11" t="n">
        <f aca="false">IF(OR($D39=0,$E39=0),0,INT(($E39-1)/8)-INT(($D39-1)/8))</f>
        <v>0</v>
      </c>
      <c r="K39" s="11" t="str">
        <f aca="false">IF($G39="","",RIGHT($G39,1))</f>
        <v/>
      </c>
      <c r="L39" s="11" t="n">
        <f aca="false">IF(OR($D39=0,$E39=0),0,SUMPRODUCT(($AH$3:$CS$3&gt;MIN($D39,$E39))*($AH$3:$CS$3&lt;MAX($D39,$E39))*(MOD($AH$3:$CS$3-MIN($D39,$E39),MAX(1,ABS(SIGN($J39)*8+SIGN($I39))))=0)*($AH38:$CS38&lt;&gt;"")))</f>
        <v>0</v>
      </c>
      <c r="M39" s="11" t="n">
        <f aca="false">IF($K39&lt;&gt;"K",0,IFERROR(--AND($J39=0,ABS($I39)=2,$D39=IF($F39="w",5,61),IF($F39="w",$S38,$V38)=0,IF($I39=2,AND(IF($F39="w",$U38,$X38)=0,INDEX($AH38:$CS38,1,$D39+1)&amp;""="",INDEX($AH38:$CS38,1,$D39+2)&amp;""=""),AND(IF($F39="w",$T38,$W38)=0,INDEX($AH38:$CS38,1,$D39-1)&amp;""="",INDEX($AH38:$CS38,1,$D39-2)&amp;""="",INDEX($AH38:$CS38,1,$D39-3)&amp;""=""))),0))</f>
        <v>0</v>
      </c>
      <c r="N39" s="11" t="n">
        <f aca="false">IF($K39&lt;&gt;"P",0,IFERROR(--OR(AND($I39=0,$J39=IF($F39="w",1,-1),$H39=""),AND($I39=0,$J39=2*IF($F39="w",1,-1),$H39="",INT(($D39-1)/8)=IF($F39="w",1,6),INDEX($AH38:$CS38,1,MAX(1,MIN(64,$D39+8*IF($F39="w",1,-1))))&amp;""=""),AND(ABS($I39)=1,$J39=IF($F39="w",1,-1),$H39&lt;&gt;""),AND(ABS($I39)=1,$J39=IF($F39="w",1,-1),$H39="",$R38&gt;0,$E39=$R38)),0))</f>
        <v>0</v>
      </c>
      <c r="O39" s="11" t="n">
        <f aca="false">IF(OR($D39=0,$E39=0,$G39=""),0,IF($K39="N",--OR(AND(ABS($I39)=1,ABS($J39)=2),AND(ABS($I39)=2,ABS($J39)=1)),IF($K39="B",--AND(ABS($I39)=ABS($J39),$I39&lt;&gt;0,$L39=0),IF($K39="R",--AND(OR($I39=0,$J39=0),OR($I39&lt;&gt;0,$J39&lt;&gt;0),$L39=0),IF($K39="Q",--AND(OR(AND(ABS($I39)=ABS($J39),$I39&lt;&gt;0),AND(OR($I39=0,$J39=0),OR($I39&lt;&gt;0,$J39&lt;&gt;0))),$L39=0),IF($K39="K",--OR(MAX(ABS($I39),ABS($J39))=1,$M39=1),$N39))))))</f>
        <v>0</v>
      </c>
      <c r="P39" s="11" t="n">
        <f aca="false">IF($Q39="OK",1,0)</f>
        <v>0</v>
      </c>
      <c r="Q39" s="11" t="str">
        <f aca="false">IF($B39="","",IF(OR(COUNTIF($AH38:$CS38,"wK")=0,COUNTIF($AH38:$CS38,"bK")=0),"Game is over",IF(OR($D39=0,$E39=0),"Use the format e2e4",IF($G39="","No piece on that square",IF(LEFT($G39,1)&lt;&gt;$F39,"Not your piece ("&amp;IF($F39="w","White","Black")&amp;" to move)",IF($D39=$E39,"Piece must move",IF(AND($H39&lt;&gt;"",LEFT($H39,1)=$F39),"Cannot capture your own piece",IF($O39=0,"Illegal move for that piece (or path blocked)","OK"))))))))</f>
        <v/>
      </c>
      <c r="R39" s="11" t="n">
        <f aca="false">IF($P39=1,IF(AND($K39="P",ABS($J39)=2),($D39+$E39)/2,0),$R38)</f>
        <v>0</v>
      </c>
      <c r="S39" s="12" t="b">
        <f aca="false">--OR($S38=1,AND($P39=1,OR($D39=5,$E39=5)))</f>
        <v>0</v>
      </c>
      <c r="T39" s="12" t="b">
        <f aca="false">--OR($T38=1,AND($P39=1,OR($D39=1,$E39=1)))</f>
        <v>0</v>
      </c>
      <c r="U39" s="12" t="b">
        <f aca="false">--OR($U38=1,AND($P39=1,OR($D39=8,$E39=8)))</f>
        <v>0</v>
      </c>
      <c r="V39" s="12" t="b">
        <f aca="false">--OR($V38=1,AND($P39=1,OR($D39=61,$E39=61)))</f>
        <v>0</v>
      </c>
      <c r="W39" s="12" t="b">
        <f aca="false">--OR($W38=1,AND($P39=1,OR($D39=57,$E39=57)))</f>
        <v>0</v>
      </c>
      <c r="X39" s="12" t="b">
        <f aca="false">--OR($X38=1,AND($P39=1,OR($D39=64,$E39=64)))</f>
        <v>0</v>
      </c>
      <c r="Y39" s="12" t="b">
        <f aca="false">--AND($P39=1,$K39="K",ABS($I39)=2)</f>
        <v>0</v>
      </c>
      <c r="Z39" s="12" t="b">
        <f aca="false">--AND($P39=1,$K39="P",ABS($I39)=1,$H39="")</f>
        <v>0</v>
      </c>
      <c r="AA39" s="12" t="b">
        <f aca="false">--AND($P39=1,$K39="P",INT(($E39-1)/8)=IF($F39="w",7,0))</f>
        <v>0</v>
      </c>
      <c r="AB39" s="11" t="str">
        <f aca="false">IF(LEN($C39)&gt;=5,IF(ISNUMBER(FIND(MID($C39,5,1),"qrbn")),UPPER(MID($C39,5,1)),"Q"),"Q")</f>
        <v>Q</v>
      </c>
      <c r="AC39" s="11" t="n">
        <f aca="false">IF($Y39=1,IF($I39=2,$D39+3,$D39-4),0)</f>
        <v>0</v>
      </c>
      <c r="AD39" s="11" t="n">
        <f aca="false">IF($Y39=1,IF($I39=2,$D39+1,$D39-1),0)</f>
        <v>0</v>
      </c>
      <c r="AE39" s="11" t="n">
        <f aca="false">IF($Z39=1,$E39-8*IF($F39="w",1,-1),0)</f>
        <v>0</v>
      </c>
      <c r="AF39" s="11" t="str">
        <f aca="false">IF($B39="","",IF($P39=1,LOWER(INDEX($CV$2:$CV$13,MATCH($G39,$CU$2:$CU$13,0)))&amp;" "&amp;MID("abcdefgh",MOD($D39-1,8)+1,1)&amp;(INT(($D39-1)/8)+1)&amp;"→"&amp;MID("abcdefgh",MOD($E39-1,8)+1,1)&amp;(INT(($E39-1)/8)+1)&amp;IF(OR($H39&lt;&gt;"",$Z39=1)," ×","")&amp;IF($Y39=1," castles","")&amp;IF($Z39=1," e.p.","")&amp;IF($AA39=1," =" &amp;LOWER(INDEX($CV$2:$CV$13,MATCH($F39&amp;$AB39,$CU$2:$CU$13,0))),""),"X "&amp;$Q39))</f>
        <v/>
      </c>
      <c r="AG39" s="11"/>
      <c r="AH39" s="11" t="str">
        <f aca="false">IF($P39=0,AH38,IF(AH$3=$E39,IF($AA39=1,$F39&amp;$AB39,$G39),IF(OR(AH$3=$D39,AH$3=$AC39,AH$3=$AE39),"",IF(AH$3=$AD39,$F39&amp;"R",AH38))))</f>
        <v>wR</v>
      </c>
      <c r="AI39" s="11" t="str">
        <f aca="false">IF($P39=0,AI38,IF(AI$3=$E39,IF($AA39=1,$F39&amp;$AB39,$G39),IF(OR(AI$3=$D39,AI$3=$AC39,AI$3=$AE39),"",IF(AI$3=$AD39,$F39&amp;"R",AI38))))</f>
        <v>wN</v>
      </c>
      <c r="AJ39" s="11" t="str">
        <f aca="false">IF($P39=0,AJ38,IF(AJ$3=$E39,IF($AA39=1,$F39&amp;$AB39,$G39),IF(OR(AJ$3=$D39,AJ$3=$AC39,AJ$3=$AE39),"",IF(AJ$3=$AD39,$F39&amp;"R",AJ38))))</f>
        <v>wB</v>
      </c>
      <c r="AK39" s="11" t="str">
        <f aca="false">IF($P39=0,AK38,IF(AK$3=$E39,IF($AA39=1,$F39&amp;$AB39,$G39),IF(OR(AK$3=$D39,AK$3=$AC39,AK$3=$AE39),"",IF(AK$3=$AD39,$F39&amp;"R",AK38))))</f>
        <v>wQ</v>
      </c>
      <c r="AL39" s="11" t="str">
        <f aca="false">IF($P39=0,AL38,IF(AL$3=$E39,IF($AA39=1,$F39&amp;$AB39,$G39),IF(OR(AL$3=$D39,AL$3=$AC39,AL$3=$AE39),"",IF(AL$3=$AD39,$F39&amp;"R",AL38))))</f>
        <v>wK</v>
      </c>
      <c r="AM39" s="11" t="str">
        <f aca="false">IF($P39=0,AM38,IF(AM$3=$E39,IF($AA39=1,$F39&amp;$AB39,$G39),IF(OR(AM$3=$D39,AM$3=$AC39,AM$3=$AE39),"",IF(AM$3=$AD39,$F39&amp;"R",AM38))))</f>
        <v>wB</v>
      </c>
      <c r="AN39" s="11" t="str">
        <f aca="false">IF($P39=0,AN38,IF(AN$3=$E39,IF($AA39=1,$F39&amp;$AB39,$G39),IF(OR(AN$3=$D39,AN$3=$AC39,AN$3=$AE39),"",IF(AN$3=$AD39,$F39&amp;"R",AN38))))</f>
        <v>wN</v>
      </c>
      <c r="AO39" s="11" t="str">
        <f aca="false">IF($P39=0,AO38,IF(AO$3=$E39,IF($AA39=1,$F39&amp;$AB39,$G39),IF(OR(AO$3=$D39,AO$3=$AC39,AO$3=$AE39),"",IF(AO$3=$AD39,$F39&amp;"R",AO38))))</f>
        <v>wR</v>
      </c>
      <c r="AP39" s="11" t="str">
        <f aca="false">IF($P39=0,AP38,IF(AP$3=$E39,IF($AA39=1,$F39&amp;$AB39,$G39),IF(OR(AP$3=$D39,AP$3=$AC39,AP$3=$AE39),"",IF(AP$3=$AD39,$F39&amp;"R",AP38))))</f>
        <v>wP</v>
      </c>
      <c r="AQ39" s="11" t="str">
        <f aca="false">IF($P39=0,AQ38,IF(AQ$3=$E39,IF($AA39=1,$F39&amp;$AB39,$G39),IF(OR(AQ$3=$D39,AQ$3=$AC39,AQ$3=$AE39),"",IF(AQ$3=$AD39,$F39&amp;"R",AQ38))))</f>
        <v>wP</v>
      </c>
      <c r="AR39" s="11" t="str">
        <f aca="false">IF($P39=0,AR38,IF(AR$3=$E39,IF($AA39=1,$F39&amp;$AB39,$G39),IF(OR(AR$3=$D39,AR$3=$AC39,AR$3=$AE39),"",IF(AR$3=$AD39,$F39&amp;"R",AR38))))</f>
        <v>wP</v>
      </c>
      <c r="AS39" s="11" t="str">
        <f aca="false">IF($P39=0,AS38,IF(AS$3=$E39,IF($AA39=1,$F39&amp;$AB39,$G39),IF(OR(AS$3=$D39,AS$3=$AC39,AS$3=$AE39),"",IF(AS$3=$AD39,$F39&amp;"R",AS38))))</f>
        <v>wP</v>
      </c>
      <c r="AT39" s="11" t="str">
        <f aca="false">IF($P39=0,AT38,IF(AT$3=$E39,IF($AA39=1,$F39&amp;$AB39,$G39),IF(OR(AT$3=$D39,AT$3=$AC39,AT$3=$AE39),"",IF(AT$3=$AD39,$F39&amp;"R",AT38))))</f>
        <v>wP</v>
      </c>
      <c r="AU39" s="11" t="str">
        <f aca="false">IF($P39=0,AU38,IF(AU$3=$E39,IF($AA39=1,$F39&amp;$AB39,$G39),IF(OR(AU$3=$D39,AU$3=$AC39,AU$3=$AE39),"",IF(AU$3=$AD39,$F39&amp;"R",AU38))))</f>
        <v>wP</v>
      </c>
      <c r="AV39" s="11" t="str">
        <f aca="false">IF($P39=0,AV38,IF(AV$3=$E39,IF($AA39=1,$F39&amp;$AB39,$G39),IF(OR(AV$3=$D39,AV$3=$AC39,AV$3=$AE39),"",IF(AV$3=$AD39,$F39&amp;"R",AV38))))</f>
        <v>wP</v>
      </c>
      <c r="AW39" s="11" t="str">
        <f aca="false">IF($P39=0,AW38,IF(AW$3=$E39,IF($AA39=1,$F39&amp;$AB39,$G39),IF(OR(AW$3=$D39,AW$3=$AC39,AW$3=$AE39),"",IF(AW$3=$AD39,$F39&amp;"R",AW38))))</f>
        <v>wP</v>
      </c>
      <c r="AX39" s="11" t="str">
        <f aca="false">IF($P39=0,AX38,IF(AX$3=$E39,IF($AA39=1,$F39&amp;$AB39,$G39),IF(OR(AX$3=$D39,AX$3=$AC39,AX$3=$AE39),"",IF(AX$3=$AD39,$F39&amp;"R",AX38))))</f>
        <v/>
      </c>
      <c r="AY39" s="11" t="str">
        <f aca="false">IF($P39=0,AY38,IF(AY$3=$E39,IF($AA39=1,$F39&amp;$AB39,$G39),IF(OR(AY$3=$D39,AY$3=$AC39,AY$3=$AE39),"",IF(AY$3=$AD39,$F39&amp;"R",AY38))))</f>
        <v/>
      </c>
      <c r="AZ39" s="11" t="str">
        <f aca="false">IF($P39=0,AZ38,IF(AZ$3=$E39,IF($AA39=1,$F39&amp;$AB39,$G39),IF(OR(AZ$3=$D39,AZ$3=$AC39,AZ$3=$AE39),"",IF(AZ$3=$AD39,$F39&amp;"R",AZ38))))</f>
        <v/>
      </c>
      <c r="BA39" s="11" t="str">
        <f aca="false">IF($P39=0,BA38,IF(BA$3=$E39,IF($AA39=1,$F39&amp;$AB39,$G39),IF(OR(BA$3=$D39,BA$3=$AC39,BA$3=$AE39),"",IF(BA$3=$AD39,$F39&amp;"R",BA38))))</f>
        <v/>
      </c>
      <c r="BB39" s="11" t="str">
        <f aca="false">IF($P39=0,BB38,IF(BB$3=$E39,IF($AA39=1,$F39&amp;$AB39,$G39),IF(OR(BB$3=$D39,BB$3=$AC39,BB$3=$AE39),"",IF(BB$3=$AD39,$F39&amp;"R",BB38))))</f>
        <v/>
      </c>
      <c r="BC39" s="11" t="str">
        <f aca="false">IF($P39=0,BC38,IF(BC$3=$E39,IF($AA39=1,$F39&amp;$AB39,$G39),IF(OR(BC$3=$D39,BC$3=$AC39,BC$3=$AE39),"",IF(BC$3=$AD39,$F39&amp;"R",BC38))))</f>
        <v/>
      </c>
      <c r="BD39" s="11" t="str">
        <f aca="false">IF($P39=0,BD38,IF(BD$3=$E39,IF($AA39=1,$F39&amp;$AB39,$G39),IF(OR(BD$3=$D39,BD$3=$AC39,BD$3=$AE39),"",IF(BD$3=$AD39,$F39&amp;"R",BD38))))</f>
        <v/>
      </c>
      <c r="BE39" s="11" t="str">
        <f aca="false">IF($P39=0,BE38,IF(BE$3=$E39,IF($AA39=1,$F39&amp;$AB39,$G39),IF(OR(BE$3=$D39,BE$3=$AC39,BE$3=$AE39),"",IF(BE$3=$AD39,$F39&amp;"R",BE38))))</f>
        <v/>
      </c>
      <c r="BF39" s="11" t="str">
        <f aca="false">IF($P39=0,BF38,IF(BF$3=$E39,IF($AA39=1,$F39&amp;$AB39,$G39),IF(OR(BF$3=$D39,BF$3=$AC39,BF$3=$AE39),"",IF(BF$3=$AD39,$F39&amp;"R",BF38))))</f>
        <v/>
      </c>
      <c r="BG39" s="11" t="str">
        <f aca="false">IF($P39=0,BG38,IF(BG$3=$E39,IF($AA39=1,$F39&amp;$AB39,$G39),IF(OR(BG$3=$D39,BG$3=$AC39,BG$3=$AE39),"",IF(BG$3=$AD39,$F39&amp;"R",BG38))))</f>
        <v/>
      </c>
      <c r="BH39" s="11" t="str">
        <f aca="false">IF($P39=0,BH38,IF(BH$3=$E39,IF($AA39=1,$F39&amp;$AB39,$G39),IF(OR(BH$3=$D39,BH$3=$AC39,BH$3=$AE39),"",IF(BH$3=$AD39,$F39&amp;"R",BH38))))</f>
        <v/>
      </c>
      <c r="BI39" s="11" t="str">
        <f aca="false">IF($P39=0,BI38,IF(BI$3=$E39,IF($AA39=1,$F39&amp;$AB39,$G39),IF(OR(BI$3=$D39,BI$3=$AC39,BI$3=$AE39),"",IF(BI$3=$AD39,$F39&amp;"R",BI38))))</f>
        <v/>
      </c>
      <c r="BJ39" s="11" t="str">
        <f aca="false">IF($P39=0,BJ38,IF(BJ$3=$E39,IF($AA39=1,$F39&amp;$AB39,$G39),IF(OR(BJ$3=$D39,BJ$3=$AC39,BJ$3=$AE39),"",IF(BJ$3=$AD39,$F39&amp;"R",BJ38))))</f>
        <v/>
      </c>
      <c r="BK39" s="11" t="str">
        <f aca="false">IF($P39=0,BK38,IF(BK$3=$E39,IF($AA39=1,$F39&amp;$AB39,$G39),IF(OR(BK$3=$D39,BK$3=$AC39,BK$3=$AE39),"",IF(BK$3=$AD39,$F39&amp;"R",BK38))))</f>
        <v/>
      </c>
      <c r="BL39" s="11" t="str">
        <f aca="false">IF($P39=0,BL38,IF(BL$3=$E39,IF($AA39=1,$F39&amp;$AB39,$G39),IF(OR(BL$3=$D39,BL$3=$AC39,BL$3=$AE39),"",IF(BL$3=$AD39,$F39&amp;"R",BL38))))</f>
        <v/>
      </c>
      <c r="BM39" s="11" t="str">
        <f aca="false">IF($P39=0,BM38,IF(BM$3=$E39,IF($AA39=1,$F39&amp;$AB39,$G39),IF(OR(BM$3=$D39,BM$3=$AC39,BM$3=$AE39),"",IF(BM$3=$AD39,$F39&amp;"R",BM38))))</f>
        <v/>
      </c>
      <c r="BN39" s="11" t="str">
        <f aca="false">IF($P39=0,BN38,IF(BN$3=$E39,IF($AA39=1,$F39&amp;$AB39,$G39),IF(OR(BN$3=$D39,BN$3=$AC39,BN$3=$AE39),"",IF(BN$3=$AD39,$F39&amp;"R",BN38))))</f>
        <v/>
      </c>
      <c r="BO39" s="11" t="str">
        <f aca="false">IF($P39=0,BO38,IF(BO$3=$E39,IF($AA39=1,$F39&amp;$AB39,$G39),IF(OR(BO$3=$D39,BO$3=$AC39,BO$3=$AE39),"",IF(BO$3=$AD39,$F39&amp;"R",BO38))))</f>
        <v/>
      </c>
      <c r="BP39" s="11" t="str">
        <f aca="false">IF($P39=0,BP38,IF(BP$3=$E39,IF($AA39=1,$F39&amp;$AB39,$G39),IF(OR(BP$3=$D39,BP$3=$AC39,BP$3=$AE39),"",IF(BP$3=$AD39,$F39&amp;"R",BP38))))</f>
        <v/>
      </c>
      <c r="BQ39" s="11" t="str">
        <f aca="false">IF($P39=0,BQ38,IF(BQ$3=$E39,IF($AA39=1,$F39&amp;$AB39,$G39),IF(OR(BQ$3=$D39,BQ$3=$AC39,BQ$3=$AE39),"",IF(BQ$3=$AD39,$F39&amp;"R",BQ38))))</f>
        <v/>
      </c>
      <c r="BR39" s="11" t="str">
        <f aca="false">IF($P39=0,BR38,IF(BR$3=$E39,IF($AA39=1,$F39&amp;$AB39,$G39),IF(OR(BR$3=$D39,BR$3=$AC39,BR$3=$AE39),"",IF(BR$3=$AD39,$F39&amp;"R",BR38))))</f>
        <v/>
      </c>
      <c r="BS39" s="11" t="str">
        <f aca="false">IF($P39=0,BS38,IF(BS$3=$E39,IF($AA39=1,$F39&amp;$AB39,$G39),IF(OR(BS$3=$D39,BS$3=$AC39,BS$3=$AE39),"",IF(BS$3=$AD39,$F39&amp;"R",BS38))))</f>
        <v/>
      </c>
      <c r="BT39" s="11" t="str">
        <f aca="false">IF($P39=0,BT38,IF(BT$3=$E39,IF($AA39=1,$F39&amp;$AB39,$G39),IF(OR(BT$3=$D39,BT$3=$AC39,BT$3=$AE39),"",IF(BT$3=$AD39,$F39&amp;"R",BT38))))</f>
        <v/>
      </c>
      <c r="BU39" s="11" t="str">
        <f aca="false">IF($P39=0,BU38,IF(BU$3=$E39,IF($AA39=1,$F39&amp;$AB39,$G39),IF(OR(BU$3=$D39,BU$3=$AC39,BU$3=$AE39),"",IF(BU$3=$AD39,$F39&amp;"R",BU38))))</f>
        <v/>
      </c>
      <c r="BV39" s="11" t="str">
        <f aca="false">IF($P39=0,BV38,IF(BV$3=$E39,IF($AA39=1,$F39&amp;$AB39,$G39),IF(OR(BV$3=$D39,BV$3=$AC39,BV$3=$AE39),"",IF(BV$3=$AD39,$F39&amp;"R",BV38))))</f>
        <v/>
      </c>
      <c r="BW39" s="11" t="str">
        <f aca="false">IF($P39=0,BW38,IF(BW$3=$E39,IF($AA39=1,$F39&amp;$AB39,$G39),IF(OR(BW$3=$D39,BW$3=$AC39,BW$3=$AE39),"",IF(BW$3=$AD39,$F39&amp;"R",BW38))))</f>
        <v/>
      </c>
      <c r="BX39" s="11" t="str">
        <f aca="false">IF($P39=0,BX38,IF(BX$3=$E39,IF($AA39=1,$F39&amp;$AB39,$G39),IF(OR(BX$3=$D39,BX$3=$AC39,BX$3=$AE39),"",IF(BX$3=$AD39,$F39&amp;"R",BX38))))</f>
        <v/>
      </c>
      <c r="BY39" s="11" t="str">
        <f aca="false">IF($P39=0,BY38,IF(BY$3=$E39,IF($AA39=1,$F39&amp;$AB39,$G39),IF(OR(BY$3=$D39,BY$3=$AC39,BY$3=$AE39),"",IF(BY$3=$AD39,$F39&amp;"R",BY38))))</f>
        <v/>
      </c>
      <c r="BZ39" s="11" t="str">
        <f aca="false">IF($P39=0,BZ38,IF(BZ$3=$E39,IF($AA39=1,$F39&amp;$AB39,$G39),IF(OR(BZ$3=$D39,BZ$3=$AC39,BZ$3=$AE39),"",IF(BZ$3=$AD39,$F39&amp;"R",BZ38))))</f>
        <v/>
      </c>
      <c r="CA39" s="11" t="str">
        <f aca="false">IF($P39=0,CA38,IF(CA$3=$E39,IF($AA39=1,$F39&amp;$AB39,$G39),IF(OR(CA$3=$D39,CA$3=$AC39,CA$3=$AE39),"",IF(CA$3=$AD39,$F39&amp;"R",CA38))))</f>
        <v/>
      </c>
      <c r="CB39" s="11" t="str">
        <f aca="false">IF($P39=0,CB38,IF(CB$3=$E39,IF($AA39=1,$F39&amp;$AB39,$G39),IF(OR(CB$3=$D39,CB$3=$AC39,CB$3=$AE39),"",IF(CB$3=$AD39,$F39&amp;"R",CB38))))</f>
        <v/>
      </c>
      <c r="CC39" s="11" t="str">
        <f aca="false">IF($P39=0,CC38,IF(CC$3=$E39,IF($AA39=1,$F39&amp;$AB39,$G39),IF(OR(CC$3=$D39,CC$3=$AC39,CC$3=$AE39),"",IF(CC$3=$AD39,$F39&amp;"R",CC38))))</f>
        <v/>
      </c>
      <c r="CD39" s="11" t="str">
        <f aca="false">IF($P39=0,CD38,IF(CD$3=$E39,IF($AA39=1,$F39&amp;$AB39,$G39),IF(OR(CD$3=$D39,CD$3=$AC39,CD$3=$AE39),"",IF(CD$3=$AD39,$F39&amp;"R",CD38))))</f>
        <v>bP</v>
      </c>
      <c r="CE39" s="11" t="str">
        <f aca="false">IF($P39=0,CE38,IF(CE$3=$E39,IF($AA39=1,$F39&amp;$AB39,$G39),IF(OR(CE$3=$D39,CE$3=$AC39,CE$3=$AE39),"",IF(CE$3=$AD39,$F39&amp;"R",CE38))))</f>
        <v>bP</v>
      </c>
      <c r="CF39" s="11" t="str">
        <f aca="false">IF($P39=0,CF38,IF(CF$3=$E39,IF($AA39=1,$F39&amp;$AB39,$G39),IF(OR(CF$3=$D39,CF$3=$AC39,CF$3=$AE39),"",IF(CF$3=$AD39,$F39&amp;"R",CF38))))</f>
        <v>bP</v>
      </c>
      <c r="CG39" s="11" t="str">
        <f aca="false">IF($P39=0,CG38,IF(CG$3=$E39,IF($AA39=1,$F39&amp;$AB39,$G39),IF(OR(CG$3=$D39,CG$3=$AC39,CG$3=$AE39),"",IF(CG$3=$AD39,$F39&amp;"R",CG38))))</f>
        <v>bP</v>
      </c>
      <c r="CH39" s="11" t="str">
        <f aca="false">IF($P39=0,CH38,IF(CH$3=$E39,IF($AA39=1,$F39&amp;$AB39,$G39),IF(OR(CH$3=$D39,CH$3=$AC39,CH$3=$AE39),"",IF(CH$3=$AD39,$F39&amp;"R",CH38))))</f>
        <v>bP</v>
      </c>
      <c r="CI39" s="11" t="str">
        <f aca="false">IF($P39=0,CI38,IF(CI$3=$E39,IF($AA39=1,$F39&amp;$AB39,$G39),IF(OR(CI$3=$D39,CI$3=$AC39,CI$3=$AE39),"",IF(CI$3=$AD39,$F39&amp;"R",CI38))))</f>
        <v>bP</v>
      </c>
      <c r="CJ39" s="11" t="str">
        <f aca="false">IF($P39=0,CJ38,IF(CJ$3=$E39,IF($AA39=1,$F39&amp;$AB39,$G39),IF(OR(CJ$3=$D39,CJ$3=$AC39,CJ$3=$AE39),"",IF(CJ$3=$AD39,$F39&amp;"R",CJ38))))</f>
        <v>bP</v>
      </c>
      <c r="CK39" s="11" t="str">
        <f aca="false">IF($P39=0,CK38,IF(CK$3=$E39,IF($AA39=1,$F39&amp;$AB39,$G39),IF(OR(CK$3=$D39,CK$3=$AC39,CK$3=$AE39),"",IF(CK$3=$AD39,$F39&amp;"R",CK38))))</f>
        <v>bP</v>
      </c>
      <c r="CL39" s="11" t="str">
        <f aca="false">IF($P39=0,CL38,IF(CL$3=$E39,IF($AA39=1,$F39&amp;$AB39,$G39),IF(OR(CL$3=$D39,CL$3=$AC39,CL$3=$AE39),"",IF(CL$3=$AD39,$F39&amp;"R",CL38))))</f>
        <v>bR</v>
      </c>
      <c r="CM39" s="11" t="str">
        <f aca="false">IF($P39=0,CM38,IF(CM$3=$E39,IF($AA39=1,$F39&amp;$AB39,$G39),IF(OR(CM$3=$D39,CM$3=$AC39,CM$3=$AE39),"",IF(CM$3=$AD39,$F39&amp;"R",CM38))))</f>
        <v>bN</v>
      </c>
      <c r="CN39" s="11" t="str">
        <f aca="false">IF($P39=0,CN38,IF(CN$3=$E39,IF($AA39=1,$F39&amp;$AB39,$G39),IF(OR(CN$3=$D39,CN$3=$AC39,CN$3=$AE39),"",IF(CN$3=$AD39,$F39&amp;"R",CN38))))</f>
        <v>bB</v>
      </c>
      <c r="CO39" s="11" t="str">
        <f aca="false">IF($P39=0,CO38,IF(CO$3=$E39,IF($AA39=1,$F39&amp;$AB39,$G39),IF(OR(CO$3=$D39,CO$3=$AC39,CO$3=$AE39),"",IF(CO$3=$AD39,$F39&amp;"R",CO38))))</f>
        <v>bQ</v>
      </c>
      <c r="CP39" s="11" t="str">
        <f aca="false">IF($P39=0,CP38,IF(CP$3=$E39,IF($AA39=1,$F39&amp;$AB39,$G39),IF(OR(CP$3=$D39,CP$3=$AC39,CP$3=$AE39),"",IF(CP$3=$AD39,$F39&amp;"R",CP38))))</f>
        <v>bK</v>
      </c>
      <c r="CQ39" s="11" t="str">
        <f aca="false">IF($P39=0,CQ38,IF(CQ$3=$E39,IF($AA39=1,$F39&amp;$AB39,$G39),IF(OR(CQ$3=$D39,CQ$3=$AC39,CQ$3=$AE39),"",IF(CQ$3=$AD39,$F39&amp;"R",CQ38))))</f>
        <v>bB</v>
      </c>
      <c r="CR39" s="11" t="str">
        <f aca="false">IF($P39=0,CR38,IF(CR$3=$E39,IF($AA39=1,$F39&amp;$AB39,$G39),IF(OR(CR$3=$D39,CR$3=$AC39,CR$3=$AE39),"",IF(CR$3=$AD39,$F39&amp;"R",CR38))))</f>
        <v>bN</v>
      </c>
      <c r="CS39" s="11" t="str">
        <f aca="false">IF($P39=0,CS38,IF(CS$3=$E39,IF($AA39=1,$F39&amp;$AB39,$G39),IF(OR(CS$3=$D39,CS$3=$AC39,CS$3=$AE39),"",IF(CS$3=$AD39,$F39&amp;"R",CS38))))</f>
        <v>bR</v>
      </c>
      <c r="CT39" s="11"/>
      <c r="CU39" s="11"/>
      <c r="CV39" s="11"/>
    </row>
    <row r="40" customFormat="false" ht="15" hidden="false" customHeight="false" outlineLevel="0" collapsed="false">
      <c r="A40" s="11" t="n">
        <v>35</v>
      </c>
      <c r="B40" s="11" t="str">
        <f aca="false">IF(Chess!$L$44="","",Chess!$L$44&amp;"")</f>
        <v/>
      </c>
      <c r="C40" s="11" t="str">
        <f aca="false">LOWER(SUBSTITUTE(SUBSTITUTE(SUBSTITUTE(SUBSTITUTE(TRIM($B40),"-",""),"=","")," ",""),"x",""))</f>
        <v/>
      </c>
      <c r="D40" s="11" t="n">
        <f aca="false">IF(LEN($C40)&lt;4,0,IFERROR(IF(AND(CODE(MID($C40,1,1))&gt;=97,CODE(MID($C40,1,1))&lt;=104,VALUE(MID($C40,2,1))&gt;=1,VALUE(MID($C40,2,1))&lt;=8),(VALUE(MID($C40,2,1))-1)*8+CODE(MID($C40,1,1))-96,0),0))</f>
        <v>0</v>
      </c>
      <c r="E40" s="11" t="n">
        <f aca="false">IF(LEN($C40)&lt;4,0,IFERROR(IF(AND(CODE(MID($C40,3,1))&gt;=97,CODE(MID($C40,3,1))&lt;=104,VALUE(MID($C40,4,1))&gt;=1,VALUE(MID($C40,4,1))&lt;=8),(VALUE(MID($C40,4,1))-1)*8+CODE(MID($C40,3,1))-96,0),0))</f>
        <v>0</v>
      </c>
      <c r="F40" s="11" t="str">
        <f aca="false">IF(MOD(SUM($P$5:$P39),2)=0,"w","b")</f>
        <v>w</v>
      </c>
      <c r="G40" s="11" t="str">
        <f aca="false">IF($D40=0,"",INDEX($AH39:$CS39,1,$D40)&amp;"")</f>
        <v/>
      </c>
      <c r="H40" s="11" t="str">
        <f aca="false">IF($E40=0,"",INDEX($AH39:$CS39,1,$E40)&amp;"")</f>
        <v/>
      </c>
      <c r="I40" s="11" t="n">
        <f aca="false">IF(OR($D40=0,$E40=0),0,MOD($E40-1,8)-MOD($D40-1,8))</f>
        <v>0</v>
      </c>
      <c r="J40" s="11" t="n">
        <f aca="false">IF(OR($D40=0,$E40=0),0,INT(($E40-1)/8)-INT(($D40-1)/8))</f>
        <v>0</v>
      </c>
      <c r="K40" s="11" t="str">
        <f aca="false">IF($G40="","",RIGHT($G40,1))</f>
        <v/>
      </c>
      <c r="L40" s="11" t="n">
        <f aca="false">IF(OR($D40=0,$E40=0),0,SUMPRODUCT(($AH$3:$CS$3&gt;MIN($D40,$E40))*($AH$3:$CS$3&lt;MAX($D40,$E40))*(MOD($AH$3:$CS$3-MIN($D40,$E40),MAX(1,ABS(SIGN($J40)*8+SIGN($I40))))=0)*($AH39:$CS39&lt;&gt;"")))</f>
        <v>0</v>
      </c>
      <c r="M40" s="11" t="n">
        <f aca="false">IF($K40&lt;&gt;"K",0,IFERROR(--AND($J40=0,ABS($I40)=2,$D40=IF($F40="w",5,61),IF($F40="w",$S39,$V39)=0,IF($I40=2,AND(IF($F40="w",$U39,$X39)=0,INDEX($AH39:$CS39,1,$D40+1)&amp;""="",INDEX($AH39:$CS39,1,$D40+2)&amp;""=""),AND(IF($F40="w",$T39,$W39)=0,INDEX($AH39:$CS39,1,$D40-1)&amp;""="",INDEX($AH39:$CS39,1,$D40-2)&amp;""="",INDEX($AH39:$CS39,1,$D40-3)&amp;""=""))),0))</f>
        <v>0</v>
      </c>
      <c r="N40" s="11" t="n">
        <f aca="false">IF($K40&lt;&gt;"P",0,IFERROR(--OR(AND($I40=0,$J40=IF($F40="w",1,-1),$H40=""),AND($I40=0,$J40=2*IF($F40="w",1,-1),$H40="",INT(($D40-1)/8)=IF($F40="w",1,6),INDEX($AH39:$CS39,1,MAX(1,MIN(64,$D40+8*IF($F40="w",1,-1))))&amp;""=""),AND(ABS($I40)=1,$J40=IF($F40="w",1,-1),$H40&lt;&gt;""),AND(ABS($I40)=1,$J40=IF($F40="w",1,-1),$H40="",$R39&gt;0,$E40=$R39)),0))</f>
        <v>0</v>
      </c>
      <c r="O40" s="11" t="n">
        <f aca="false">IF(OR($D40=0,$E40=0,$G40=""),0,IF($K40="N",--OR(AND(ABS($I40)=1,ABS($J40)=2),AND(ABS($I40)=2,ABS($J40)=1)),IF($K40="B",--AND(ABS($I40)=ABS($J40),$I40&lt;&gt;0,$L40=0),IF($K40="R",--AND(OR($I40=0,$J40=0),OR($I40&lt;&gt;0,$J40&lt;&gt;0),$L40=0),IF($K40="Q",--AND(OR(AND(ABS($I40)=ABS($J40),$I40&lt;&gt;0),AND(OR($I40=0,$J40=0),OR($I40&lt;&gt;0,$J40&lt;&gt;0))),$L40=0),IF($K40="K",--OR(MAX(ABS($I40),ABS($J40))=1,$M40=1),$N40))))))</f>
        <v>0</v>
      </c>
      <c r="P40" s="11" t="n">
        <f aca="false">IF($Q40="OK",1,0)</f>
        <v>0</v>
      </c>
      <c r="Q40" s="11" t="str">
        <f aca="false">IF($B40="","",IF(OR(COUNTIF($AH39:$CS39,"wK")=0,COUNTIF($AH39:$CS39,"bK")=0),"Game is over",IF(OR($D40=0,$E40=0),"Use the format e2e4",IF($G40="","No piece on that square",IF(LEFT($G40,1)&lt;&gt;$F40,"Not your piece ("&amp;IF($F40="w","White","Black")&amp;" to move)",IF($D40=$E40,"Piece must move",IF(AND($H40&lt;&gt;"",LEFT($H40,1)=$F40),"Cannot capture your own piece",IF($O40=0,"Illegal move for that piece (or path blocked)","OK"))))))))</f>
        <v/>
      </c>
      <c r="R40" s="11" t="n">
        <f aca="false">IF($P40=1,IF(AND($K40="P",ABS($J40)=2),($D40+$E40)/2,0),$R39)</f>
        <v>0</v>
      </c>
      <c r="S40" s="12" t="b">
        <f aca="false">--OR($S39=1,AND($P40=1,OR($D40=5,$E40=5)))</f>
        <v>0</v>
      </c>
      <c r="T40" s="12" t="b">
        <f aca="false">--OR($T39=1,AND($P40=1,OR($D40=1,$E40=1)))</f>
        <v>0</v>
      </c>
      <c r="U40" s="12" t="b">
        <f aca="false">--OR($U39=1,AND($P40=1,OR($D40=8,$E40=8)))</f>
        <v>0</v>
      </c>
      <c r="V40" s="12" t="b">
        <f aca="false">--OR($V39=1,AND($P40=1,OR($D40=61,$E40=61)))</f>
        <v>0</v>
      </c>
      <c r="W40" s="12" t="b">
        <f aca="false">--OR($W39=1,AND($P40=1,OR($D40=57,$E40=57)))</f>
        <v>0</v>
      </c>
      <c r="X40" s="12" t="b">
        <f aca="false">--OR($X39=1,AND($P40=1,OR($D40=64,$E40=64)))</f>
        <v>0</v>
      </c>
      <c r="Y40" s="12" t="b">
        <f aca="false">--AND($P40=1,$K40="K",ABS($I40)=2)</f>
        <v>0</v>
      </c>
      <c r="Z40" s="12" t="b">
        <f aca="false">--AND($P40=1,$K40="P",ABS($I40)=1,$H40="")</f>
        <v>0</v>
      </c>
      <c r="AA40" s="12" t="b">
        <f aca="false">--AND($P40=1,$K40="P",INT(($E40-1)/8)=IF($F40="w",7,0))</f>
        <v>0</v>
      </c>
      <c r="AB40" s="11" t="str">
        <f aca="false">IF(LEN($C40)&gt;=5,IF(ISNUMBER(FIND(MID($C40,5,1),"qrbn")),UPPER(MID($C40,5,1)),"Q"),"Q")</f>
        <v>Q</v>
      </c>
      <c r="AC40" s="11" t="n">
        <f aca="false">IF($Y40=1,IF($I40=2,$D40+3,$D40-4),0)</f>
        <v>0</v>
      </c>
      <c r="AD40" s="11" t="n">
        <f aca="false">IF($Y40=1,IF($I40=2,$D40+1,$D40-1),0)</f>
        <v>0</v>
      </c>
      <c r="AE40" s="11" t="n">
        <f aca="false">IF($Z40=1,$E40-8*IF($F40="w",1,-1),0)</f>
        <v>0</v>
      </c>
      <c r="AF40" s="11" t="str">
        <f aca="false">IF($B40="","",IF($P40=1,LOWER(INDEX($CV$2:$CV$13,MATCH($G40,$CU$2:$CU$13,0)))&amp;" "&amp;MID("abcdefgh",MOD($D40-1,8)+1,1)&amp;(INT(($D40-1)/8)+1)&amp;"→"&amp;MID("abcdefgh",MOD($E40-1,8)+1,1)&amp;(INT(($E40-1)/8)+1)&amp;IF(OR($H40&lt;&gt;"",$Z40=1)," ×","")&amp;IF($Y40=1," castles","")&amp;IF($Z40=1," e.p.","")&amp;IF($AA40=1," =" &amp;LOWER(INDEX($CV$2:$CV$13,MATCH($F40&amp;$AB40,$CU$2:$CU$13,0))),""),"X "&amp;$Q40))</f>
        <v/>
      </c>
      <c r="AG40" s="11"/>
      <c r="AH40" s="11" t="str">
        <f aca="false">IF($P40=0,AH39,IF(AH$3=$E40,IF($AA40=1,$F40&amp;$AB40,$G40),IF(OR(AH$3=$D40,AH$3=$AC40,AH$3=$AE40),"",IF(AH$3=$AD40,$F40&amp;"R",AH39))))</f>
        <v>wR</v>
      </c>
      <c r="AI40" s="11" t="str">
        <f aca="false">IF($P40=0,AI39,IF(AI$3=$E40,IF($AA40=1,$F40&amp;$AB40,$G40),IF(OR(AI$3=$D40,AI$3=$AC40,AI$3=$AE40),"",IF(AI$3=$AD40,$F40&amp;"R",AI39))))</f>
        <v>wN</v>
      </c>
      <c r="AJ40" s="11" t="str">
        <f aca="false">IF($P40=0,AJ39,IF(AJ$3=$E40,IF($AA40=1,$F40&amp;$AB40,$G40),IF(OR(AJ$3=$D40,AJ$3=$AC40,AJ$3=$AE40),"",IF(AJ$3=$AD40,$F40&amp;"R",AJ39))))</f>
        <v>wB</v>
      </c>
      <c r="AK40" s="11" t="str">
        <f aca="false">IF($P40=0,AK39,IF(AK$3=$E40,IF($AA40=1,$F40&amp;$AB40,$G40),IF(OR(AK$3=$D40,AK$3=$AC40,AK$3=$AE40),"",IF(AK$3=$AD40,$F40&amp;"R",AK39))))</f>
        <v>wQ</v>
      </c>
      <c r="AL40" s="11" t="str">
        <f aca="false">IF($P40=0,AL39,IF(AL$3=$E40,IF($AA40=1,$F40&amp;$AB40,$G40),IF(OR(AL$3=$D40,AL$3=$AC40,AL$3=$AE40),"",IF(AL$3=$AD40,$F40&amp;"R",AL39))))</f>
        <v>wK</v>
      </c>
      <c r="AM40" s="11" t="str">
        <f aca="false">IF($P40=0,AM39,IF(AM$3=$E40,IF($AA40=1,$F40&amp;$AB40,$G40),IF(OR(AM$3=$D40,AM$3=$AC40,AM$3=$AE40),"",IF(AM$3=$AD40,$F40&amp;"R",AM39))))</f>
        <v>wB</v>
      </c>
      <c r="AN40" s="11" t="str">
        <f aca="false">IF($P40=0,AN39,IF(AN$3=$E40,IF($AA40=1,$F40&amp;$AB40,$G40),IF(OR(AN$3=$D40,AN$3=$AC40,AN$3=$AE40),"",IF(AN$3=$AD40,$F40&amp;"R",AN39))))</f>
        <v>wN</v>
      </c>
      <c r="AO40" s="11" t="str">
        <f aca="false">IF($P40=0,AO39,IF(AO$3=$E40,IF($AA40=1,$F40&amp;$AB40,$G40),IF(OR(AO$3=$D40,AO$3=$AC40,AO$3=$AE40),"",IF(AO$3=$AD40,$F40&amp;"R",AO39))))</f>
        <v>wR</v>
      </c>
      <c r="AP40" s="11" t="str">
        <f aca="false">IF($P40=0,AP39,IF(AP$3=$E40,IF($AA40=1,$F40&amp;$AB40,$G40),IF(OR(AP$3=$D40,AP$3=$AC40,AP$3=$AE40),"",IF(AP$3=$AD40,$F40&amp;"R",AP39))))</f>
        <v>wP</v>
      </c>
      <c r="AQ40" s="11" t="str">
        <f aca="false">IF($P40=0,AQ39,IF(AQ$3=$E40,IF($AA40=1,$F40&amp;$AB40,$G40),IF(OR(AQ$3=$D40,AQ$3=$AC40,AQ$3=$AE40),"",IF(AQ$3=$AD40,$F40&amp;"R",AQ39))))</f>
        <v>wP</v>
      </c>
      <c r="AR40" s="11" t="str">
        <f aca="false">IF($P40=0,AR39,IF(AR$3=$E40,IF($AA40=1,$F40&amp;$AB40,$G40),IF(OR(AR$3=$D40,AR$3=$AC40,AR$3=$AE40),"",IF(AR$3=$AD40,$F40&amp;"R",AR39))))</f>
        <v>wP</v>
      </c>
      <c r="AS40" s="11" t="str">
        <f aca="false">IF($P40=0,AS39,IF(AS$3=$E40,IF($AA40=1,$F40&amp;$AB40,$G40),IF(OR(AS$3=$D40,AS$3=$AC40,AS$3=$AE40),"",IF(AS$3=$AD40,$F40&amp;"R",AS39))))</f>
        <v>wP</v>
      </c>
      <c r="AT40" s="11" t="str">
        <f aca="false">IF($P40=0,AT39,IF(AT$3=$E40,IF($AA40=1,$F40&amp;$AB40,$G40),IF(OR(AT$3=$D40,AT$3=$AC40,AT$3=$AE40),"",IF(AT$3=$AD40,$F40&amp;"R",AT39))))</f>
        <v>wP</v>
      </c>
      <c r="AU40" s="11" t="str">
        <f aca="false">IF($P40=0,AU39,IF(AU$3=$E40,IF($AA40=1,$F40&amp;$AB40,$G40),IF(OR(AU$3=$D40,AU$3=$AC40,AU$3=$AE40),"",IF(AU$3=$AD40,$F40&amp;"R",AU39))))</f>
        <v>wP</v>
      </c>
      <c r="AV40" s="11" t="str">
        <f aca="false">IF($P40=0,AV39,IF(AV$3=$E40,IF($AA40=1,$F40&amp;$AB40,$G40),IF(OR(AV$3=$D40,AV$3=$AC40,AV$3=$AE40),"",IF(AV$3=$AD40,$F40&amp;"R",AV39))))</f>
        <v>wP</v>
      </c>
      <c r="AW40" s="11" t="str">
        <f aca="false">IF($P40=0,AW39,IF(AW$3=$E40,IF($AA40=1,$F40&amp;$AB40,$G40),IF(OR(AW$3=$D40,AW$3=$AC40,AW$3=$AE40),"",IF(AW$3=$AD40,$F40&amp;"R",AW39))))</f>
        <v>wP</v>
      </c>
      <c r="AX40" s="11" t="str">
        <f aca="false">IF($P40=0,AX39,IF(AX$3=$E40,IF($AA40=1,$F40&amp;$AB40,$G40),IF(OR(AX$3=$D40,AX$3=$AC40,AX$3=$AE40),"",IF(AX$3=$AD40,$F40&amp;"R",AX39))))</f>
        <v/>
      </c>
      <c r="AY40" s="11" t="str">
        <f aca="false">IF($P40=0,AY39,IF(AY$3=$E40,IF($AA40=1,$F40&amp;$AB40,$G40),IF(OR(AY$3=$D40,AY$3=$AC40,AY$3=$AE40),"",IF(AY$3=$AD40,$F40&amp;"R",AY39))))</f>
        <v/>
      </c>
      <c r="AZ40" s="11" t="str">
        <f aca="false">IF($P40=0,AZ39,IF(AZ$3=$E40,IF($AA40=1,$F40&amp;$AB40,$G40),IF(OR(AZ$3=$D40,AZ$3=$AC40,AZ$3=$AE40),"",IF(AZ$3=$AD40,$F40&amp;"R",AZ39))))</f>
        <v/>
      </c>
      <c r="BA40" s="11" t="str">
        <f aca="false">IF($P40=0,BA39,IF(BA$3=$E40,IF($AA40=1,$F40&amp;$AB40,$G40),IF(OR(BA$3=$D40,BA$3=$AC40,BA$3=$AE40),"",IF(BA$3=$AD40,$F40&amp;"R",BA39))))</f>
        <v/>
      </c>
      <c r="BB40" s="11" t="str">
        <f aca="false">IF($P40=0,BB39,IF(BB$3=$E40,IF($AA40=1,$F40&amp;$AB40,$G40),IF(OR(BB$3=$D40,BB$3=$AC40,BB$3=$AE40),"",IF(BB$3=$AD40,$F40&amp;"R",BB39))))</f>
        <v/>
      </c>
      <c r="BC40" s="11" t="str">
        <f aca="false">IF($P40=0,BC39,IF(BC$3=$E40,IF($AA40=1,$F40&amp;$AB40,$G40),IF(OR(BC$3=$D40,BC$3=$AC40,BC$3=$AE40),"",IF(BC$3=$AD40,$F40&amp;"R",BC39))))</f>
        <v/>
      </c>
      <c r="BD40" s="11" t="str">
        <f aca="false">IF($P40=0,BD39,IF(BD$3=$E40,IF($AA40=1,$F40&amp;$AB40,$G40),IF(OR(BD$3=$D40,BD$3=$AC40,BD$3=$AE40),"",IF(BD$3=$AD40,$F40&amp;"R",BD39))))</f>
        <v/>
      </c>
      <c r="BE40" s="11" t="str">
        <f aca="false">IF($P40=0,BE39,IF(BE$3=$E40,IF($AA40=1,$F40&amp;$AB40,$G40),IF(OR(BE$3=$D40,BE$3=$AC40,BE$3=$AE40),"",IF(BE$3=$AD40,$F40&amp;"R",BE39))))</f>
        <v/>
      </c>
      <c r="BF40" s="11" t="str">
        <f aca="false">IF($P40=0,BF39,IF(BF$3=$E40,IF($AA40=1,$F40&amp;$AB40,$G40),IF(OR(BF$3=$D40,BF$3=$AC40,BF$3=$AE40),"",IF(BF$3=$AD40,$F40&amp;"R",BF39))))</f>
        <v/>
      </c>
      <c r="BG40" s="11" t="str">
        <f aca="false">IF($P40=0,BG39,IF(BG$3=$E40,IF($AA40=1,$F40&amp;$AB40,$G40),IF(OR(BG$3=$D40,BG$3=$AC40,BG$3=$AE40),"",IF(BG$3=$AD40,$F40&amp;"R",BG39))))</f>
        <v/>
      </c>
      <c r="BH40" s="11" t="str">
        <f aca="false">IF($P40=0,BH39,IF(BH$3=$E40,IF($AA40=1,$F40&amp;$AB40,$G40),IF(OR(BH$3=$D40,BH$3=$AC40,BH$3=$AE40),"",IF(BH$3=$AD40,$F40&amp;"R",BH39))))</f>
        <v/>
      </c>
      <c r="BI40" s="11" t="str">
        <f aca="false">IF($P40=0,BI39,IF(BI$3=$E40,IF($AA40=1,$F40&amp;$AB40,$G40),IF(OR(BI$3=$D40,BI$3=$AC40,BI$3=$AE40),"",IF(BI$3=$AD40,$F40&amp;"R",BI39))))</f>
        <v/>
      </c>
      <c r="BJ40" s="11" t="str">
        <f aca="false">IF($P40=0,BJ39,IF(BJ$3=$E40,IF($AA40=1,$F40&amp;$AB40,$G40),IF(OR(BJ$3=$D40,BJ$3=$AC40,BJ$3=$AE40),"",IF(BJ$3=$AD40,$F40&amp;"R",BJ39))))</f>
        <v/>
      </c>
      <c r="BK40" s="11" t="str">
        <f aca="false">IF($P40=0,BK39,IF(BK$3=$E40,IF($AA40=1,$F40&amp;$AB40,$G40),IF(OR(BK$3=$D40,BK$3=$AC40,BK$3=$AE40),"",IF(BK$3=$AD40,$F40&amp;"R",BK39))))</f>
        <v/>
      </c>
      <c r="BL40" s="11" t="str">
        <f aca="false">IF($P40=0,BL39,IF(BL$3=$E40,IF($AA40=1,$F40&amp;$AB40,$G40),IF(OR(BL$3=$D40,BL$3=$AC40,BL$3=$AE40),"",IF(BL$3=$AD40,$F40&amp;"R",BL39))))</f>
        <v/>
      </c>
      <c r="BM40" s="11" t="str">
        <f aca="false">IF($P40=0,BM39,IF(BM$3=$E40,IF($AA40=1,$F40&amp;$AB40,$G40),IF(OR(BM$3=$D40,BM$3=$AC40,BM$3=$AE40),"",IF(BM$3=$AD40,$F40&amp;"R",BM39))))</f>
        <v/>
      </c>
      <c r="BN40" s="11" t="str">
        <f aca="false">IF($P40=0,BN39,IF(BN$3=$E40,IF($AA40=1,$F40&amp;$AB40,$G40),IF(OR(BN$3=$D40,BN$3=$AC40,BN$3=$AE40),"",IF(BN$3=$AD40,$F40&amp;"R",BN39))))</f>
        <v/>
      </c>
      <c r="BO40" s="11" t="str">
        <f aca="false">IF($P40=0,BO39,IF(BO$3=$E40,IF($AA40=1,$F40&amp;$AB40,$G40),IF(OR(BO$3=$D40,BO$3=$AC40,BO$3=$AE40),"",IF(BO$3=$AD40,$F40&amp;"R",BO39))))</f>
        <v/>
      </c>
      <c r="BP40" s="11" t="str">
        <f aca="false">IF($P40=0,BP39,IF(BP$3=$E40,IF($AA40=1,$F40&amp;$AB40,$G40),IF(OR(BP$3=$D40,BP$3=$AC40,BP$3=$AE40),"",IF(BP$3=$AD40,$F40&amp;"R",BP39))))</f>
        <v/>
      </c>
      <c r="BQ40" s="11" t="str">
        <f aca="false">IF($P40=0,BQ39,IF(BQ$3=$E40,IF($AA40=1,$F40&amp;$AB40,$G40),IF(OR(BQ$3=$D40,BQ$3=$AC40,BQ$3=$AE40),"",IF(BQ$3=$AD40,$F40&amp;"R",BQ39))))</f>
        <v/>
      </c>
      <c r="BR40" s="11" t="str">
        <f aca="false">IF($P40=0,BR39,IF(BR$3=$E40,IF($AA40=1,$F40&amp;$AB40,$G40),IF(OR(BR$3=$D40,BR$3=$AC40,BR$3=$AE40),"",IF(BR$3=$AD40,$F40&amp;"R",BR39))))</f>
        <v/>
      </c>
      <c r="BS40" s="11" t="str">
        <f aca="false">IF($P40=0,BS39,IF(BS$3=$E40,IF($AA40=1,$F40&amp;$AB40,$G40),IF(OR(BS$3=$D40,BS$3=$AC40,BS$3=$AE40),"",IF(BS$3=$AD40,$F40&amp;"R",BS39))))</f>
        <v/>
      </c>
      <c r="BT40" s="11" t="str">
        <f aca="false">IF($P40=0,BT39,IF(BT$3=$E40,IF($AA40=1,$F40&amp;$AB40,$G40),IF(OR(BT$3=$D40,BT$3=$AC40,BT$3=$AE40),"",IF(BT$3=$AD40,$F40&amp;"R",BT39))))</f>
        <v/>
      </c>
      <c r="BU40" s="11" t="str">
        <f aca="false">IF($P40=0,BU39,IF(BU$3=$E40,IF($AA40=1,$F40&amp;$AB40,$G40),IF(OR(BU$3=$D40,BU$3=$AC40,BU$3=$AE40),"",IF(BU$3=$AD40,$F40&amp;"R",BU39))))</f>
        <v/>
      </c>
      <c r="BV40" s="11" t="str">
        <f aca="false">IF($P40=0,BV39,IF(BV$3=$E40,IF($AA40=1,$F40&amp;$AB40,$G40),IF(OR(BV$3=$D40,BV$3=$AC40,BV$3=$AE40),"",IF(BV$3=$AD40,$F40&amp;"R",BV39))))</f>
        <v/>
      </c>
      <c r="BW40" s="11" t="str">
        <f aca="false">IF($P40=0,BW39,IF(BW$3=$E40,IF($AA40=1,$F40&amp;$AB40,$G40),IF(OR(BW$3=$D40,BW$3=$AC40,BW$3=$AE40),"",IF(BW$3=$AD40,$F40&amp;"R",BW39))))</f>
        <v/>
      </c>
      <c r="BX40" s="11" t="str">
        <f aca="false">IF($P40=0,BX39,IF(BX$3=$E40,IF($AA40=1,$F40&amp;$AB40,$G40),IF(OR(BX$3=$D40,BX$3=$AC40,BX$3=$AE40),"",IF(BX$3=$AD40,$F40&amp;"R",BX39))))</f>
        <v/>
      </c>
      <c r="BY40" s="11" t="str">
        <f aca="false">IF($P40=0,BY39,IF(BY$3=$E40,IF($AA40=1,$F40&amp;$AB40,$G40),IF(OR(BY$3=$D40,BY$3=$AC40,BY$3=$AE40),"",IF(BY$3=$AD40,$F40&amp;"R",BY39))))</f>
        <v/>
      </c>
      <c r="BZ40" s="11" t="str">
        <f aca="false">IF($P40=0,BZ39,IF(BZ$3=$E40,IF($AA40=1,$F40&amp;$AB40,$G40),IF(OR(BZ$3=$D40,BZ$3=$AC40,BZ$3=$AE40),"",IF(BZ$3=$AD40,$F40&amp;"R",BZ39))))</f>
        <v/>
      </c>
      <c r="CA40" s="11" t="str">
        <f aca="false">IF($P40=0,CA39,IF(CA$3=$E40,IF($AA40=1,$F40&amp;$AB40,$G40),IF(OR(CA$3=$D40,CA$3=$AC40,CA$3=$AE40),"",IF(CA$3=$AD40,$F40&amp;"R",CA39))))</f>
        <v/>
      </c>
      <c r="CB40" s="11" t="str">
        <f aca="false">IF($P40=0,CB39,IF(CB$3=$E40,IF($AA40=1,$F40&amp;$AB40,$G40),IF(OR(CB$3=$D40,CB$3=$AC40,CB$3=$AE40),"",IF(CB$3=$AD40,$F40&amp;"R",CB39))))</f>
        <v/>
      </c>
      <c r="CC40" s="11" t="str">
        <f aca="false">IF($P40=0,CC39,IF(CC$3=$E40,IF($AA40=1,$F40&amp;$AB40,$G40),IF(OR(CC$3=$D40,CC$3=$AC40,CC$3=$AE40),"",IF(CC$3=$AD40,$F40&amp;"R",CC39))))</f>
        <v/>
      </c>
      <c r="CD40" s="11" t="str">
        <f aca="false">IF($P40=0,CD39,IF(CD$3=$E40,IF($AA40=1,$F40&amp;$AB40,$G40),IF(OR(CD$3=$D40,CD$3=$AC40,CD$3=$AE40),"",IF(CD$3=$AD40,$F40&amp;"R",CD39))))</f>
        <v>bP</v>
      </c>
      <c r="CE40" s="11" t="str">
        <f aca="false">IF($P40=0,CE39,IF(CE$3=$E40,IF($AA40=1,$F40&amp;$AB40,$G40),IF(OR(CE$3=$D40,CE$3=$AC40,CE$3=$AE40),"",IF(CE$3=$AD40,$F40&amp;"R",CE39))))</f>
        <v>bP</v>
      </c>
      <c r="CF40" s="11" t="str">
        <f aca="false">IF($P40=0,CF39,IF(CF$3=$E40,IF($AA40=1,$F40&amp;$AB40,$G40),IF(OR(CF$3=$D40,CF$3=$AC40,CF$3=$AE40),"",IF(CF$3=$AD40,$F40&amp;"R",CF39))))</f>
        <v>bP</v>
      </c>
      <c r="CG40" s="11" t="str">
        <f aca="false">IF($P40=0,CG39,IF(CG$3=$E40,IF($AA40=1,$F40&amp;$AB40,$G40),IF(OR(CG$3=$D40,CG$3=$AC40,CG$3=$AE40),"",IF(CG$3=$AD40,$F40&amp;"R",CG39))))</f>
        <v>bP</v>
      </c>
      <c r="CH40" s="11" t="str">
        <f aca="false">IF($P40=0,CH39,IF(CH$3=$E40,IF($AA40=1,$F40&amp;$AB40,$G40),IF(OR(CH$3=$D40,CH$3=$AC40,CH$3=$AE40),"",IF(CH$3=$AD40,$F40&amp;"R",CH39))))</f>
        <v>bP</v>
      </c>
      <c r="CI40" s="11" t="str">
        <f aca="false">IF($P40=0,CI39,IF(CI$3=$E40,IF($AA40=1,$F40&amp;$AB40,$G40),IF(OR(CI$3=$D40,CI$3=$AC40,CI$3=$AE40),"",IF(CI$3=$AD40,$F40&amp;"R",CI39))))</f>
        <v>bP</v>
      </c>
      <c r="CJ40" s="11" t="str">
        <f aca="false">IF($P40=0,CJ39,IF(CJ$3=$E40,IF($AA40=1,$F40&amp;$AB40,$G40),IF(OR(CJ$3=$D40,CJ$3=$AC40,CJ$3=$AE40),"",IF(CJ$3=$AD40,$F40&amp;"R",CJ39))))</f>
        <v>bP</v>
      </c>
      <c r="CK40" s="11" t="str">
        <f aca="false">IF($P40=0,CK39,IF(CK$3=$E40,IF($AA40=1,$F40&amp;$AB40,$G40),IF(OR(CK$3=$D40,CK$3=$AC40,CK$3=$AE40),"",IF(CK$3=$AD40,$F40&amp;"R",CK39))))</f>
        <v>bP</v>
      </c>
      <c r="CL40" s="11" t="str">
        <f aca="false">IF($P40=0,CL39,IF(CL$3=$E40,IF($AA40=1,$F40&amp;$AB40,$G40),IF(OR(CL$3=$D40,CL$3=$AC40,CL$3=$AE40),"",IF(CL$3=$AD40,$F40&amp;"R",CL39))))</f>
        <v>bR</v>
      </c>
      <c r="CM40" s="11" t="str">
        <f aca="false">IF($P40=0,CM39,IF(CM$3=$E40,IF($AA40=1,$F40&amp;$AB40,$G40),IF(OR(CM$3=$D40,CM$3=$AC40,CM$3=$AE40),"",IF(CM$3=$AD40,$F40&amp;"R",CM39))))</f>
        <v>bN</v>
      </c>
      <c r="CN40" s="11" t="str">
        <f aca="false">IF($P40=0,CN39,IF(CN$3=$E40,IF($AA40=1,$F40&amp;$AB40,$G40),IF(OR(CN$3=$D40,CN$3=$AC40,CN$3=$AE40),"",IF(CN$3=$AD40,$F40&amp;"R",CN39))))</f>
        <v>bB</v>
      </c>
      <c r="CO40" s="11" t="str">
        <f aca="false">IF($P40=0,CO39,IF(CO$3=$E40,IF($AA40=1,$F40&amp;$AB40,$G40),IF(OR(CO$3=$D40,CO$3=$AC40,CO$3=$AE40),"",IF(CO$3=$AD40,$F40&amp;"R",CO39))))</f>
        <v>bQ</v>
      </c>
      <c r="CP40" s="11" t="str">
        <f aca="false">IF($P40=0,CP39,IF(CP$3=$E40,IF($AA40=1,$F40&amp;$AB40,$G40),IF(OR(CP$3=$D40,CP$3=$AC40,CP$3=$AE40),"",IF(CP$3=$AD40,$F40&amp;"R",CP39))))</f>
        <v>bK</v>
      </c>
      <c r="CQ40" s="11" t="str">
        <f aca="false">IF($P40=0,CQ39,IF(CQ$3=$E40,IF($AA40=1,$F40&amp;$AB40,$G40),IF(OR(CQ$3=$D40,CQ$3=$AC40,CQ$3=$AE40),"",IF(CQ$3=$AD40,$F40&amp;"R",CQ39))))</f>
        <v>bB</v>
      </c>
      <c r="CR40" s="11" t="str">
        <f aca="false">IF($P40=0,CR39,IF(CR$3=$E40,IF($AA40=1,$F40&amp;$AB40,$G40),IF(OR(CR$3=$D40,CR$3=$AC40,CR$3=$AE40),"",IF(CR$3=$AD40,$F40&amp;"R",CR39))))</f>
        <v>bN</v>
      </c>
      <c r="CS40" s="11" t="str">
        <f aca="false">IF($P40=0,CS39,IF(CS$3=$E40,IF($AA40=1,$F40&amp;$AB40,$G40),IF(OR(CS$3=$D40,CS$3=$AC40,CS$3=$AE40),"",IF(CS$3=$AD40,$F40&amp;"R",CS39))))</f>
        <v>bR</v>
      </c>
      <c r="CT40" s="11"/>
      <c r="CU40" s="11"/>
      <c r="CV40" s="11"/>
    </row>
    <row r="41" customFormat="false" ht="15" hidden="false" customHeight="false" outlineLevel="0" collapsed="false">
      <c r="A41" s="11" t="n">
        <v>36</v>
      </c>
      <c r="B41" s="11" t="str">
        <f aca="false">IF(Chess!$L$45="","",Chess!$L$45&amp;"")</f>
        <v/>
      </c>
      <c r="C41" s="11" t="str">
        <f aca="false">LOWER(SUBSTITUTE(SUBSTITUTE(SUBSTITUTE(SUBSTITUTE(TRIM($B41),"-",""),"=","")," ",""),"x",""))</f>
        <v/>
      </c>
      <c r="D41" s="11" t="n">
        <f aca="false">IF(LEN($C41)&lt;4,0,IFERROR(IF(AND(CODE(MID($C41,1,1))&gt;=97,CODE(MID($C41,1,1))&lt;=104,VALUE(MID($C41,2,1))&gt;=1,VALUE(MID($C41,2,1))&lt;=8),(VALUE(MID($C41,2,1))-1)*8+CODE(MID($C41,1,1))-96,0),0))</f>
        <v>0</v>
      </c>
      <c r="E41" s="11" t="n">
        <f aca="false">IF(LEN($C41)&lt;4,0,IFERROR(IF(AND(CODE(MID($C41,3,1))&gt;=97,CODE(MID($C41,3,1))&lt;=104,VALUE(MID($C41,4,1))&gt;=1,VALUE(MID($C41,4,1))&lt;=8),(VALUE(MID($C41,4,1))-1)*8+CODE(MID($C41,3,1))-96,0),0))</f>
        <v>0</v>
      </c>
      <c r="F41" s="11" t="str">
        <f aca="false">IF(MOD(SUM($P$5:$P40),2)=0,"w","b")</f>
        <v>w</v>
      </c>
      <c r="G41" s="11" t="str">
        <f aca="false">IF($D41=0,"",INDEX($AH40:$CS40,1,$D41)&amp;"")</f>
        <v/>
      </c>
      <c r="H41" s="11" t="str">
        <f aca="false">IF($E41=0,"",INDEX($AH40:$CS40,1,$E41)&amp;"")</f>
        <v/>
      </c>
      <c r="I41" s="11" t="n">
        <f aca="false">IF(OR($D41=0,$E41=0),0,MOD($E41-1,8)-MOD($D41-1,8))</f>
        <v>0</v>
      </c>
      <c r="J41" s="11" t="n">
        <f aca="false">IF(OR($D41=0,$E41=0),0,INT(($E41-1)/8)-INT(($D41-1)/8))</f>
        <v>0</v>
      </c>
      <c r="K41" s="11" t="str">
        <f aca="false">IF($G41="","",RIGHT($G41,1))</f>
        <v/>
      </c>
      <c r="L41" s="11" t="n">
        <f aca="false">IF(OR($D41=0,$E41=0),0,SUMPRODUCT(($AH$3:$CS$3&gt;MIN($D41,$E41))*($AH$3:$CS$3&lt;MAX($D41,$E41))*(MOD($AH$3:$CS$3-MIN($D41,$E41),MAX(1,ABS(SIGN($J41)*8+SIGN($I41))))=0)*($AH40:$CS40&lt;&gt;"")))</f>
        <v>0</v>
      </c>
      <c r="M41" s="11" t="n">
        <f aca="false">IF($K41&lt;&gt;"K",0,IFERROR(--AND($J41=0,ABS($I41)=2,$D41=IF($F41="w",5,61),IF($F41="w",$S40,$V40)=0,IF($I41=2,AND(IF($F41="w",$U40,$X40)=0,INDEX($AH40:$CS40,1,$D41+1)&amp;""="",INDEX($AH40:$CS40,1,$D41+2)&amp;""=""),AND(IF($F41="w",$T40,$W40)=0,INDEX($AH40:$CS40,1,$D41-1)&amp;""="",INDEX($AH40:$CS40,1,$D41-2)&amp;""="",INDEX($AH40:$CS40,1,$D41-3)&amp;""=""))),0))</f>
        <v>0</v>
      </c>
      <c r="N41" s="11" t="n">
        <f aca="false">IF($K41&lt;&gt;"P",0,IFERROR(--OR(AND($I41=0,$J41=IF($F41="w",1,-1),$H41=""),AND($I41=0,$J41=2*IF($F41="w",1,-1),$H41="",INT(($D41-1)/8)=IF($F41="w",1,6),INDEX($AH40:$CS40,1,MAX(1,MIN(64,$D41+8*IF($F41="w",1,-1))))&amp;""=""),AND(ABS($I41)=1,$J41=IF($F41="w",1,-1),$H41&lt;&gt;""),AND(ABS($I41)=1,$J41=IF($F41="w",1,-1),$H41="",$R40&gt;0,$E41=$R40)),0))</f>
        <v>0</v>
      </c>
      <c r="O41" s="11" t="n">
        <f aca="false">IF(OR($D41=0,$E41=0,$G41=""),0,IF($K41="N",--OR(AND(ABS($I41)=1,ABS($J41)=2),AND(ABS($I41)=2,ABS($J41)=1)),IF($K41="B",--AND(ABS($I41)=ABS($J41),$I41&lt;&gt;0,$L41=0),IF($K41="R",--AND(OR($I41=0,$J41=0),OR($I41&lt;&gt;0,$J41&lt;&gt;0),$L41=0),IF($K41="Q",--AND(OR(AND(ABS($I41)=ABS($J41),$I41&lt;&gt;0),AND(OR($I41=0,$J41=0),OR($I41&lt;&gt;0,$J41&lt;&gt;0))),$L41=0),IF($K41="K",--OR(MAX(ABS($I41),ABS($J41))=1,$M41=1),$N41))))))</f>
        <v>0</v>
      </c>
      <c r="P41" s="11" t="n">
        <f aca="false">IF($Q41="OK",1,0)</f>
        <v>0</v>
      </c>
      <c r="Q41" s="11" t="str">
        <f aca="false">IF($B41="","",IF(OR(COUNTIF($AH40:$CS40,"wK")=0,COUNTIF($AH40:$CS40,"bK")=0),"Game is over",IF(OR($D41=0,$E41=0),"Use the format e2e4",IF($G41="","No piece on that square",IF(LEFT($G41,1)&lt;&gt;$F41,"Not your piece ("&amp;IF($F41="w","White","Black")&amp;" to move)",IF($D41=$E41,"Piece must move",IF(AND($H41&lt;&gt;"",LEFT($H41,1)=$F41),"Cannot capture your own piece",IF($O41=0,"Illegal move for that piece (or path blocked)","OK"))))))))</f>
        <v/>
      </c>
      <c r="R41" s="11" t="n">
        <f aca="false">IF($P41=1,IF(AND($K41="P",ABS($J41)=2),($D41+$E41)/2,0),$R40)</f>
        <v>0</v>
      </c>
      <c r="S41" s="12" t="b">
        <f aca="false">--OR($S40=1,AND($P41=1,OR($D41=5,$E41=5)))</f>
        <v>0</v>
      </c>
      <c r="T41" s="12" t="b">
        <f aca="false">--OR($T40=1,AND($P41=1,OR($D41=1,$E41=1)))</f>
        <v>0</v>
      </c>
      <c r="U41" s="12" t="b">
        <f aca="false">--OR($U40=1,AND($P41=1,OR($D41=8,$E41=8)))</f>
        <v>0</v>
      </c>
      <c r="V41" s="12" t="b">
        <f aca="false">--OR($V40=1,AND($P41=1,OR($D41=61,$E41=61)))</f>
        <v>0</v>
      </c>
      <c r="W41" s="12" t="b">
        <f aca="false">--OR($W40=1,AND($P41=1,OR($D41=57,$E41=57)))</f>
        <v>0</v>
      </c>
      <c r="X41" s="12" t="b">
        <f aca="false">--OR($X40=1,AND($P41=1,OR($D41=64,$E41=64)))</f>
        <v>0</v>
      </c>
      <c r="Y41" s="12" t="b">
        <f aca="false">--AND($P41=1,$K41="K",ABS($I41)=2)</f>
        <v>0</v>
      </c>
      <c r="Z41" s="12" t="b">
        <f aca="false">--AND($P41=1,$K41="P",ABS($I41)=1,$H41="")</f>
        <v>0</v>
      </c>
      <c r="AA41" s="12" t="b">
        <f aca="false">--AND($P41=1,$K41="P",INT(($E41-1)/8)=IF($F41="w",7,0))</f>
        <v>0</v>
      </c>
      <c r="AB41" s="11" t="str">
        <f aca="false">IF(LEN($C41)&gt;=5,IF(ISNUMBER(FIND(MID($C41,5,1),"qrbn")),UPPER(MID($C41,5,1)),"Q"),"Q")</f>
        <v>Q</v>
      </c>
      <c r="AC41" s="11" t="n">
        <f aca="false">IF($Y41=1,IF($I41=2,$D41+3,$D41-4),0)</f>
        <v>0</v>
      </c>
      <c r="AD41" s="11" t="n">
        <f aca="false">IF($Y41=1,IF($I41=2,$D41+1,$D41-1),0)</f>
        <v>0</v>
      </c>
      <c r="AE41" s="11" t="n">
        <f aca="false">IF($Z41=1,$E41-8*IF($F41="w",1,-1),0)</f>
        <v>0</v>
      </c>
      <c r="AF41" s="11" t="str">
        <f aca="false">IF($B41="","",IF($P41=1,LOWER(INDEX($CV$2:$CV$13,MATCH($G41,$CU$2:$CU$13,0)))&amp;" "&amp;MID("abcdefgh",MOD($D41-1,8)+1,1)&amp;(INT(($D41-1)/8)+1)&amp;"→"&amp;MID("abcdefgh",MOD($E41-1,8)+1,1)&amp;(INT(($E41-1)/8)+1)&amp;IF(OR($H41&lt;&gt;"",$Z41=1)," ×","")&amp;IF($Y41=1," castles","")&amp;IF($Z41=1," e.p.","")&amp;IF($AA41=1," =" &amp;LOWER(INDEX($CV$2:$CV$13,MATCH($F41&amp;$AB41,$CU$2:$CU$13,0))),""),"X "&amp;$Q41))</f>
        <v/>
      </c>
      <c r="AG41" s="11"/>
      <c r="AH41" s="11" t="str">
        <f aca="false">IF($P41=0,AH40,IF(AH$3=$E41,IF($AA41=1,$F41&amp;$AB41,$G41),IF(OR(AH$3=$D41,AH$3=$AC41,AH$3=$AE41),"",IF(AH$3=$AD41,$F41&amp;"R",AH40))))</f>
        <v>wR</v>
      </c>
      <c r="AI41" s="11" t="str">
        <f aca="false">IF($P41=0,AI40,IF(AI$3=$E41,IF($AA41=1,$F41&amp;$AB41,$G41),IF(OR(AI$3=$D41,AI$3=$AC41,AI$3=$AE41),"",IF(AI$3=$AD41,$F41&amp;"R",AI40))))</f>
        <v>wN</v>
      </c>
      <c r="AJ41" s="11" t="str">
        <f aca="false">IF($P41=0,AJ40,IF(AJ$3=$E41,IF($AA41=1,$F41&amp;$AB41,$G41),IF(OR(AJ$3=$D41,AJ$3=$AC41,AJ$3=$AE41),"",IF(AJ$3=$AD41,$F41&amp;"R",AJ40))))</f>
        <v>wB</v>
      </c>
      <c r="AK41" s="11" t="str">
        <f aca="false">IF($P41=0,AK40,IF(AK$3=$E41,IF($AA41=1,$F41&amp;$AB41,$G41),IF(OR(AK$3=$D41,AK$3=$AC41,AK$3=$AE41),"",IF(AK$3=$AD41,$F41&amp;"R",AK40))))</f>
        <v>wQ</v>
      </c>
      <c r="AL41" s="11" t="str">
        <f aca="false">IF($P41=0,AL40,IF(AL$3=$E41,IF($AA41=1,$F41&amp;$AB41,$G41),IF(OR(AL$3=$D41,AL$3=$AC41,AL$3=$AE41),"",IF(AL$3=$AD41,$F41&amp;"R",AL40))))</f>
        <v>wK</v>
      </c>
      <c r="AM41" s="11" t="str">
        <f aca="false">IF($P41=0,AM40,IF(AM$3=$E41,IF($AA41=1,$F41&amp;$AB41,$G41),IF(OR(AM$3=$D41,AM$3=$AC41,AM$3=$AE41),"",IF(AM$3=$AD41,$F41&amp;"R",AM40))))</f>
        <v>wB</v>
      </c>
      <c r="AN41" s="11" t="str">
        <f aca="false">IF($P41=0,AN40,IF(AN$3=$E41,IF($AA41=1,$F41&amp;$AB41,$G41),IF(OR(AN$3=$D41,AN$3=$AC41,AN$3=$AE41),"",IF(AN$3=$AD41,$F41&amp;"R",AN40))))</f>
        <v>wN</v>
      </c>
      <c r="AO41" s="11" t="str">
        <f aca="false">IF($P41=0,AO40,IF(AO$3=$E41,IF($AA41=1,$F41&amp;$AB41,$G41),IF(OR(AO$3=$D41,AO$3=$AC41,AO$3=$AE41),"",IF(AO$3=$AD41,$F41&amp;"R",AO40))))</f>
        <v>wR</v>
      </c>
      <c r="AP41" s="11" t="str">
        <f aca="false">IF($P41=0,AP40,IF(AP$3=$E41,IF($AA41=1,$F41&amp;$AB41,$G41),IF(OR(AP$3=$D41,AP$3=$AC41,AP$3=$AE41),"",IF(AP$3=$AD41,$F41&amp;"R",AP40))))</f>
        <v>wP</v>
      </c>
      <c r="AQ41" s="11" t="str">
        <f aca="false">IF($P41=0,AQ40,IF(AQ$3=$E41,IF($AA41=1,$F41&amp;$AB41,$G41),IF(OR(AQ$3=$D41,AQ$3=$AC41,AQ$3=$AE41),"",IF(AQ$3=$AD41,$F41&amp;"R",AQ40))))</f>
        <v>wP</v>
      </c>
      <c r="AR41" s="11" t="str">
        <f aca="false">IF($P41=0,AR40,IF(AR$3=$E41,IF($AA41=1,$F41&amp;$AB41,$G41),IF(OR(AR$3=$D41,AR$3=$AC41,AR$3=$AE41),"",IF(AR$3=$AD41,$F41&amp;"R",AR40))))</f>
        <v>wP</v>
      </c>
      <c r="AS41" s="11" t="str">
        <f aca="false">IF($P41=0,AS40,IF(AS$3=$E41,IF($AA41=1,$F41&amp;$AB41,$G41),IF(OR(AS$3=$D41,AS$3=$AC41,AS$3=$AE41),"",IF(AS$3=$AD41,$F41&amp;"R",AS40))))</f>
        <v>wP</v>
      </c>
      <c r="AT41" s="11" t="str">
        <f aca="false">IF($P41=0,AT40,IF(AT$3=$E41,IF($AA41=1,$F41&amp;$AB41,$G41),IF(OR(AT$3=$D41,AT$3=$AC41,AT$3=$AE41),"",IF(AT$3=$AD41,$F41&amp;"R",AT40))))</f>
        <v>wP</v>
      </c>
      <c r="AU41" s="11" t="str">
        <f aca="false">IF($P41=0,AU40,IF(AU$3=$E41,IF($AA41=1,$F41&amp;$AB41,$G41),IF(OR(AU$3=$D41,AU$3=$AC41,AU$3=$AE41),"",IF(AU$3=$AD41,$F41&amp;"R",AU40))))</f>
        <v>wP</v>
      </c>
      <c r="AV41" s="11" t="str">
        <f aca="false">IF($P41=0,AV40,IF(AV$3=$E41,IF($AA41=1,$F41&amp;$AB41,$G41),IF(OR(AV$3=$D41,AV$3=$AC41,AV$3=$AE41),"",IF(AV$3=$AD41,$F41&amp;"R",AV40))))</f>
        <v>wP</v>
      </c>
      <c r="AW41" s="11" t="str">
        <f aca="false">IF($P41=0,AW40,IF(AW$3=$E41,IF($AA41=1,$F41&amp;$AB41,$G41),IF(OR(AW$3=$D41,AW$3=$AC41,AW$3=$AE41),"",IF(AW$3=$AD41,$F41&amp;"R",AW40))))</f>
        <v>wP</v>
      </c>
      <c r="AX41" s="11" t="str">
        <f aca="false">IF($P41=0,AX40,IF(AX$3=$E41,IF($AA41=1,$F41&amp;$AB41,$G41),IF(OR(AX$3=$D41,AX$3=$AC41,AX$3=$AE41),"",IF(AX$3=$AD41,$F41&amp;"R",AX40))))</f>
        <v/>
      </c>
      <c r="AY41" s="11" t="str">
        <f aca="false">IF($P41=0,AY40,IF(AY$3=$E41,IF($AA41=1,$F41&amp;$AB41,$G41),IF(OR(AY$3=$D41,AY$3=$AC41,AY$3=$AE41),"",IF(AY$3=$AD41,$F41&amp;"R",AY40))))</f>
        <v/>
      </c>
      <c r="AZ41" s="11" t="str">
        <f aca="false">IF($P41=0,AZ40,IF(AZ$3=$E41,IF($AA41=1,$F41&amp;$AB41,$G41),IF(OR(AZ$3=$D41,AZ$3=$AC41,AZ$3=$AE41),"",IF(AZ$3=$AD41,$F41&amp;"R",AZ40))))</f>
        <v/>
      </c>
      <c r="BA41" s="11" t="str">
        <f aca="false">IF($P41=0,BA40,IF(BA$3=$E41,IF($AA41=1,$F41&amp;$AB41,$G41),IF(OR(BA$3=$D41,BA$3=$AC41,BA$3=$AE41),"",IF(BA$3=$AD41,$F41&amp;"R",BA40))))</f>
        <v/>
      </c>
      <c r="BB41" s="11" t="str">
        <f aca="false">IF($P41=0,BB40,IF(BB$3=$E41,IF($AA41=1,$F41&amp;$AB41,$G41),IF(OR(BB$3=$D41,BB$3=$AC41,BB$3=$AE41),"",IF(BB$3=$AD41,$F41&amp;"R",BB40))))</f>
        <v/>
      </c>
      <c r="BC41" s="11" t="str">
        <f aca="false">IF($P41=0,BC40,IF(BC$3=$E41,IF($AA41=1,$F41&amp;$AB41,$G41),IF(OR(BC$3=$D41,BC$3=$AC41,BC$3=$AE41),"",IF(BC$3=$AD41,$F41&amp;"R",BC40))))</f>
        <v/>
      </c>
      <c r="BD41" s="11" t="str">
        <f aca="false">IF($P41=0,BD40,IF(BD$3=$E41,IF($AA41=1,$F41&amp;$AB41,$G41),IF(OR(BD$3=$D41,BD$3=$AC41,BD$3=$AE41),"",IF(BD$3=$AD41,$F41&amp;"R",BD40))))</f>
        <v/>
      </c>
      <c r="BE41" s="11" t="str">
        <f aca="false">IF($P41=0,BE40,IF(BE$3=$E41,IF($AA41=1,$F41&amp;$AB41,$G41),IF(OR(BE$3=$D41,BE$3=$AC41,BE$3=$AE41),"",IF(BE$3=$AD41,$F41&amp;"R",BE40))))</f>
        <v/>
      </c>
      <c r="BF41" s="11" t="str">
        <f aca="false">IF($P41=0,BF40,IF(BF$3=$E41,IF($AA41=1,$F41&amp;$AB41,$G41),IF(OR(BF$3=$D41,BF$3=$AC41,BF$3=$AE41),"",IF(BF$3=$AD41,$F41&amp;"R",BF40))))</f>
        <v/>
      </c>
      <c r="BG41" s="11" t="str">
        <f aca="false">IF($P41=0,BG40,IF(BG$3=$E41,IF($AA41=1,$F41&amp;$AB41,$G41),IF(OR(BG$3=$D41,BG$3=$AC41,BG$3=$AE41),"",IF(BG$3=$AD41,$F41&amp;"R",BG40))))</f>
        <v/>
      </c>
      <c r="BH41" s="11" t="str">
        <f aca="false">IF($P41=0,BH40,IF(BH$3=$E41,IF($AA41=1,$F41&amp;$AB41,$G41),IF(OR(BH$3=$D41,BH$3=$AC41,BH$3=$AE41),"",IF(BH$3=$AD41,$F41&amp;"R",BH40))))</f>
        <v/>
      </c>
      <c r="BI41" s="11" t="str">
        <f aca="false">IF($P41=0,BI40,IF(BI$3=$E41,IF($AA41=1,$F41&amp;$AB41,$G41),IF(OR(BI$3=$D41,BI$3=$AC41,BI$3=$AE41),"",IF(BI$3=$AD41,$F41&amp;"R",BI40))))</f>
        <v/>
      </c>
      <c r="BJ41" s="11" t="str">
        <f aca="false">IF($P41=0,BJ40,IF(BJ$3=$E41,IF($AA41=1,$F41&amp;$AB41,$G41),IF(OR(BJ$3=$D41,BJ$3=$AC41,BJ$3=$AE41),"",IF(BJ$3=$AD41,$F41&amp;"R",BJ40))))</f>
        <v/>
      </c>
      <c r="BK41" s="11" t="str">
        <f aca="false">IF($P41=0,BK40,IF(BK$3=$E41,IF($AA41=1,$F41&amp;$AB41,$G41),IF(OR(BK$3=$D41,BK$3=$AC41,BK$3=$AE41),"",IF(BK$3=$AD41,$F41&amp;"R",BK40))))</f>
        <v/>
      </c>
      <c r="BL41" s="11" t="str">
        <f aca="false">IF($P41=0,BL40,IF(BL$3=$E41,IF($AA41=1,$F41&amp;$AB41,$G41),IF(OR(BL$3=$D41,BL$3=$AC41,BL$3=$AE41),"",IF(BL$3=$AD41,$F41&amp;"R",BL40))))</f>
        <v/>
      </c>
      <c r="BM41" s="11" t="str">
        <f aca="false">IF($P41=0,BM40,IF(BM$3=$E41,IF($AA41=1,$F41&amp;$AB41,$G41),IF(OR(BM$3=$D41,BM$3=$AC41,BM$3=$AE41),"",IF(BM$3=$AD41,$F41&amp;"R",BM40))))</f>
        <v/>
      </c>
      <c r="BN41" s="11" t="str">
        <f aca="false">IF($P41=0,BN40,IF(BN$3=$E41,IF($AA41=1,$F41&amp;$AB41,$G41),IF(OR(BN$3=$D41,BN$3=$AC41,BN$3=$AE41),"",IF(BN$3=$AD41,$F41&amp;"R",BN40))))</f>
        <v/>
      </c>
      <c r="BO41" s="11" t="str">
        <f aca="false">IF($P41=0,BO40,IF(BO$3=$E41,IF($AA41=1,$F41&amp;$AB41,$G41),IF(OR(BO$3=$D41,BO$3=$AC41,BO$3=$AE41),"",IF(BO$3=$AD41,$F41&amp;"R",BO40))))</f>
        <v/>
      </c>
      <c r="BP41" s="11" t="str">
        <f aca="false">IF($P41=0,BP40,IF(BP$3=$E41,IF($AA41=1,$F41&amp;$AB41,$G41),IF(OR(BP$3=$D41,BP$3=$AC41,BP$3=$AE41),"",IF(BP$3=$AD41,$F41&amp;"R",BP40))))</f>
        <v/>
      </c>
      <c r="BQ41" s="11" t="str">
        <f aca="false">IF($P41=0,BQ40,IF(BQ$3=$E41,IF($AA41=1,$F41&amp;$AB41,$G41),IF(OR(BQ$3=$D41,BQ$3=$AC41,BQ$3=$AE41),"",IF(BQ$3=$AD41,$F41&amp;"R",BQ40))))</f>
        <v/>
      </c>
      <c r="BR41" s="11" t="str">
        <f aca="false">IF($P41=0,BR40,IF(BR$3=$E41,IF($AA41=1,$F41&amp;$AB41,$G41),IF(OR(BR$3=$D41,BR$3=$AC41,BR$3=$AE41),"",IF(BR$3=$AD41,$F41&amp;"R",BR40))))</f>
        <v/>
      </c>
      <c r="BS41" s="11" t="str">
        <f aca="false">IF($P41=0,BS40,IF(BS$3=$E41,IF($AA41=1,$F41&amp;$AB41,$G41),IF(OR(BS$3=$D41,BS$3=$AC41,BS$3=$AE41),"",IF(BS$3=$AD41,$F41&amp;"R",BS40))))</f>
        <v/>
      </c>
      <c r="BT41" s="11" t="str">
        <f aca="false">IF($P41=0,BT40,IF(BT$3=$E41,IF($AA41=1,$F41&amp;$AB41,$G41),IF(OR(BT$3=$D41,BT$3=$AC41,BT$3=$AE41),"",IF(BT$3=$AD41,$F41&amp;"R",BT40))))</f>
        <v/>
      </c>
      <c r="BU41" s="11" t="str">
        <f aca="false">IF($P41=0,BU40,IF(BU$3=$E41,IF($AA41=1,$F41&amp;$AB41,$G41),IF(OR(BU$3=$D41,BU$3=$AC41,BU$3=$AE41),"",IF(BU$3=$AD41,$F41&amp;"R",BU40))))</f>
        <v/>
      </c>
      <c r="BV41" s="11" t="str">
        <f aca="false">IF($P41=0,BV40,IF(BV$3=$E41,IF($AA41=1,$F41&amp;$AB41,$G41),IF(OR(BV$3=$D41,BV$3=$AC41,BV$3=$AE41),"",IF(BV$3=$AD41,$F41&amp;"R",BV40))))</f>
        <v/>
      </c>
      <c r="BW41" s="11" t="str">
        <f aca="false">IF($P41=0,BW40,IF(BW$3=$E41,IF($AA41=1,$F41&amp;$AB41,$G41),IF(OR(BW$3=$D41,BW$3=$AC41,BW$3=$AE41),"",IF(BW$3=$AD41,$F41&amp;"R",BW40))))</f>
        <v/>
      </c>
      <c r="BX41" s="11" t="str">
        <f aca="false">IF($P41=0,BX40,IF(BX$3=$E41,IF($AA41=1,$F41&amp;$AB41,$G41),IF(OR(BX$3=$D41,BX$3=$AC41,BX$3=$AE41),"",IF(BX$3=$AD41,$F41&amp;"R",BX40))))</f>
        <v/>
      </c>
      <c r="BY41" s="11" t="str">
        <f aca="false">IF($P41=0,BY40,IF(BY$3=$E41,IF($AA41=1,$F41&amp;$AB41,$G41),IF(OR(BY$3=$D41,BY$3=$AC41,BY$3=$AE41),"",IF(BY$3=$AD41,$F41&amp;"R",BY40))))</f>
        <v/>
      </c>
      <c r="BZ41" s="11" t="str">
        <f aca="false">IF($P41=0,BZ40,IF(BZ$3=$E41,IF($AA41=1,$F41&amp;$AB41,$G41),IF(OR(BZ$3=$D41,BZ$3=$AC41,BZ$3=$AE41),"",IF(BZ$3=$AD41,$F41&amp;"R",BZ40))))</f>
        <v/>
      </c>
      <c r="CA41" s="11" t="str">
        <f aca="false">IF($P41=0,CA40,IF(CA$3=$E41,IF($AA41=1,$F41&amp;$AB41,$G41),IF(OR(CA$3=$D41,CA$3=$AC41,CA$3=$AE41),"",IF(CA$3=$AD41,$F41&amp;"R",CA40))))</f>
        <v/>
      </c>
      <c r="CB41" s="11" t="str">
        <f aca="false">IF($P41=0,CB40,IF(CB$3=$E41,IF($AA41=1,$F41&amp;$AB41,$G41),IF(OR(CB$3=$D41,CB$3=$AC41,CB$3=$AE41),"",IF(CB$3=$AD41,$F41&amp;"R",CB40))))</f>
        <v/>
      </c>
      <c r="CC41" s="11" t="str">
        <f aca="false">IF($P41=0,CC40,IF(CC$3=$E41,IF($AA41=1,$F41&amp;$AB41,$G41),IF(OR(CC$3=$D41,CC$3=$AC41,CC$3=$AE41),"",IF(CC$3=$AD41,$F41&amp;"R",CC40))))</f>
        <v/>
      </c>
      <c r="CD41" s="11" t="str">
        <f aca="false">IF($P41=0,CD40,IF(CD$3=$E41,IF($AA41=1,$F41&amp;$AB41,$G41),IF(OR(CD$3=$D41,CD$3=$AC41,CD$3=$AE41),"",IF(CD$3=$AD41,$F41&amp;"R",CD40))))</f>
        <v>bP</v>
      </c>
      <c r="CE41" s="11" t="str">
        <f aca="false">IF($P41=0,CE40,IF(CE$3=$E41,IF($AA41=1,$F41&amp;$AB41,$G41),IF(OR(CE$3=$D41,CE$3=$AC41,CE$3=$AE41),"",IF(CE$3=$AD41,$F41&amp;"R",CE40))))</f>
        <v>bP</v>
      </c>
      <c r="CF41" s="11" t="str">
        <f aca="false">IF($P41=0,CF40,IF(CF$3=$E41,IF($AA41=1,$F41&amp;$AB41,$G41),IF(OR(CF$3=$D41,CF$3=$AC41,CF$3=$AE41),"",IF(CF$3=$AD41,$F41&amp;"R",CF40))))</f>
        <v>bP</v>
      </c>
      <c r="CG41" s="11" t="str">
        <f aca="false">IF($P41=0,CG40,IF(CG$3=$E41,IF($AA41=1,$F41&amp;$AB41,$G41),IF(OR(CG$3=$D41,CG$3=$AC41,CG$3=$AE41),"",IF(CG$3=$AD41,$F41&amp;"R",CG40))))</f>
        <v>bP</v>
      </c>
      <c r="CH41" s="11" t="str">
        <f aca="false">IF($P41=0,CH40,IF(CH$3=$E41,IF($AA41=1,$F41&amp;$AB41,$G41),IF(OR(CH$3=$D41,CH$3=$AC41,CH$3=$AE41),"",IF(CH$3=$AD41,$F41&amp;"R",CH40))))</f>
        <v>bP</v>
      </c>
      <c r="CI41" s="11" t="str">
        <f aca="false">IF($P41=0,CI40,IF(CI$3=$E41,IF($AA41=1,$F41&amp;$AB41,$G41),IF(OR(CI$3=$D41,CI$3=$AC41,CI$3=$AE41),"",IF(CI$3=$AD41,$F41&amp;"R",CI40))))</f>
        <v>bP</v>
      </c>
      <c r="CJ41" s="11" t="str">
        <f aca="false">IF($P41=0,CJ40,IF(CJ$3=$E41,IF($AA41=1,$F41&amp;$AB41,$G41),IF(OR(CJ$3=$D41,CJ$3=$AC41,CJ$3=$AE41),"",IF(CJ$3=$AD41,$F41&amp;"R",CJ40))))</f>
        <v>bP</v>
      </c>
      <c r="CK41" s="11" t="str">
        <f aca="false">IF($P41=0,CK40,IF(CK$3=$E41,IF($AA41=1,$F41&amp;$AB41,$G41),IF(OR(CK$3=$D41,CK$3=$AC41,CK$3=$AE41),"",IF(CK$3=$AD41,$F41&amp;"R",CK40))))</f>
        <v>bP</v>
      </c>
      <c r="CL41" s="11" t="str">
        <f aca="false">IF($P41=0,CL40,IF(CL$3=$E41,IF($AA41=1,$F41&amp;$AB41,$G41),IF(OR(CL$3=$D41,CL$3=$AC41,CL$3=$AE41),"",IF(CL$3=$AD41,$F41&amp;"R",CL40))))</f>
        <v>bR</v>
      </c>
      <c r="CM41" s="11" t="str">
        <f aca="false">IF($P41=0,CM40,IF(CM$3=$E41,IF($AA41=1,$F41&amp;$AB41,$G41),IF(OR(CM$3=$D41,CM$3=$AC41,CM$3=$AE41),"",IF(CM$3=$AD41,$F41&amp;"R",CM40))))</f>
        <v>bN</v>
      </c>
      <c r="CN41" s="11" t="str">
        <f aca="false">IF($P41=0,CN40,IF(CN$3=$E41,IF($AA41=1,$F41&amp;$AB41,$G41),IF(OR(CN$3=$D41,CN$3=$AC41,CN$3=$AE41),"",IF(CN$3=$AD41,$F41&amp;"R",CN40))))</f>
        <v>bB</v>
      </c>
      <c r="CO41" s="11" t="str">
        <f aca="false">IF($P41=0,CO40,IF(CO$3=$E41,IF($AA41=1,$F41&amp;$AB41,$G41),IF(OR(CO$3=$D41,CO$3=$AC41,CO$3=$AE41),"",IF(CO$3=$AD41,$F41&amp;"R",CO40))))</f>
        <v>bQ</v>
      </c>
      <c r="CP41" s="11" t="str">
        <f aca="false">IF($P41=0,CP40,IF(CP$3=$E41,IF($AA41=1,$F41&amp;$AB41,$G41),IF(OR(CP$3=$D41,CP$3=$AC41,CP$3=$AE41),"",IF(CP$3=$AD41,$F41&amp;"R",CP40))))</f>
        <v>bK</v>
      </c>
      <c r="CQ41" s="11" t="str">
        <f aca="false">IF($P41=0,CQ40,IF(CQ$3=$E41,IF($AA41=1,$F41&amp;$AB41,$G41),IF(OR(CQ$3=$D41,CQ$3=$AC41,CQ$3=$AE41),"",IF(CQ$3=$AD41,$F41&amp;"R",CQ40))))</f>
        <v>bB</v>
      </c>
      <c r="CR41" s="11" t="str">
        <f aca="false">IF($P41=0,CR40,IF(CR$3=$E41,IF($AA41=1,$F41&amp;$AB41,$G41),IF(OR(CR$3=$D41,CR$3=$AC41,CR$3=$AE41),"",IF(CR$3=$AD41,$F41&amp;"R",CR40))))</f>
        <v>bN</v>
      </c>
      <c r="CS41" s="11" t="str">
        <f aca="false">IF($P41=0,CS40,IF(CS$3=$E41,IF($AA41=1,$F41&amp;$AB41,$G41),IF(OR(CS$3=$D41,CS$3=$AC41,CS$3=$AE41),"",IF(CS$3=$AD41,$F41&amp;"R",CS40))))</f>
        <v>bR</v>
      </c>
      <c r="CT41" s="11"/>
      <c r="CU41" s="11"/>
      <c r="CV41" s="11"/>
    </row>
    <row r="42" customFormat="false" ht="15" hidden="false" customHeight="false" outlineLevel="0" collapsed="false">
      <c r="A42" s="11" t="n">
        <v>37</v>
      </c>
      <c r="B42" s="11" t="str">
        <f aca="false">IF(Chess!$L$46="","",Chess!$L$46&amp;"")</f>
        <v/>
      </c>
      <c r="C42" s="11" t="str">
        <f aca="false">LOWER(SUBSTITUTE(SUBSTITUTE(SUBSTITUTE(SUBSTITUTE(TRIM($B42),"-",""),"=","")," ",""),"x",""))</f>
        <v/>
      </c>
      <c r="D42" s="11" t="n">
        <f aca="false">IF(LEN($C42)&lt;4,0,IFERROR(IF(AND(CODE(MID($C42,1,1))&gt;=97,CODE(MID($C42,1,1))&lt;=104,VALUE(MID($C42,2,1))&gt;=1,VALUE(MID($C42,2,1))&lt;=8),(VALUE(MID($C42,2,1))-1)*8+CODE(MID($C42,1,1))-96,0),0))</f>
        <v>0</v>
      </c>
      <c r="E42" s="11" t="n">
        <f aca="false">IF(LEN($C42)&lt;4,0,IFERROR(IF(AND(CODE(MID($C42,3,1))&gt;=97,CODE(MID($C42,3,1))&lt;=104,VALUE(MID($C42,4,1))&gt;=1,VALUE(MID($C42,4,1))&lt;=8),(VALUE(MID($C42,4,1))-1)*8+CODE(MID($C42,3,1))-96,0),0))</f>
        <v>0</v>
      </c>
      <c r="F42" s="11" t="str">
        <f aca="false">IF(MOD(SUM($P$5:$P41),2)=0,"w","b")</f>
        <v>w</v>
      </c>
      <c r="G42" s="11" t="str">
        <f aca="false">IF($D42=0,"",INDEX($AH41:$CS41,1,$D42)&amp;"")</f>
        <v/>
      </c>
      <c r="H42" s="11" t="str">
        <f aca="false">IF($E42=0,"",INDEX($AH41:$CS41,1,$E42)&amp;"")</f>
        <v/>
      </c>
      <c r="I42" s="11" t="n">
        <f aca="false">IF(OR($D42=0,$E42=0),0,MOD($E42-1,8)-MOD($D42-1,8))</f>
        <v>0</v>
      </c>
      <c r="J42" s="11" t="n">
        <f aca="false">IF(OR($D42=0,$E42=0),0,INT(($E42-1)/8)-INT(($D42-1)/8))</f>
        <v>0</v>
      </c>
      <c r="K42" s="11" t="str">
        <f aca="false">IF($G42="","",RIGHT($G42,1))</f>
        <v/>
      </c>
      <c r="L42" s="11" t="n">
        <f aca="false">IF(OR($D42=0,$E42=0),0,SUMPRODUCT(($AH$3:$CS$3&gt;MIN($D42,$E42))*($AH$3:$CS$3&lt;MAX($D42,$E42))*(MOD($AH$3:$CS$3-MIN($D42,$E42),MAX(1,ABS(SIGN($J42)*8+SIGN($I42))))=0)*($AH41:$CS41&lt;&gt;"")))</f>
        <v>0</v>
      </c>
      <c r="M42" s="11" t="n">
        <f aca="false">IF($K42&lt;&gt;"K",0,IFERROR(--AND($J42=0,ABS($I42)=2,$D42=IF($F42="w",5,61),IF($F42="w",$S41,$V41)=0,IF($I42=2,AND(IF($F42="w",$U41,$X41)=0,INDEX($AH41:$CS41,1,$D42+1)&amp;""="",INDEX($AH41:$CS41,1,$D42+2)&amp;""=""),AND(IF($F42="w",$T41,$W41)=0,INDEX($AH41:$CS41,1,$D42-1)&amp;""="",INDEX($AH41:$CS41,1,$D42-2)&amp;""="",INDEX($AH41:$CS41,1,$D42-3)&amp;""=""))),0))</f>
        <v>0</v>
      </c>
      <c r="N42" s="11" t="n">
        <f aca="false">IF($K42&lt;&gt;"P",0,IFERROR(--OR(AND($I42=0,$J42=IF($F42="w",1,-1),$H42=""),AND($I42=0,$J42=2*IF($F42="w",1,-1),$H42="",INT(($D42-1)/8)=IF($F42="w",1,6),INDEX($AH41:$CS41,1,MAX(1,MIN(64,$D42+8*IF($F42="w",1,-1))))&amp;""=""),AND(ABS($I42)=1,$J42=IF($F42="w",1,-1),$H42&lt;&gt;""),AND(ABS($I42)=1,$J42=IF($F42="w",1,-1),$H42="",$R41&gt;0,$E42=$R41)),0))</f>
        <v>0</v>
      </c>
      <c r="O42" s="11" t="n">
        <f aca="false">IF(OR($D42=0,$E42=0,$G42=""),0,IF($K42="N",--OR(AND(ABS($I42)=1,ABS($J42)=2),AND(ABS($I42)=2,ABS($J42)=1)),IF($K42="B",--AND(ABS($I42)=ABS($J42),$I42&lt;&gt;0,$L42=0),IF($K42="R",--AND(OR($I42=0,$J42=0),OR($I42&lt;&gt;0,$J42&lt;&gt;0),$L42=0),IF($K42="Q",--AND(OR(AND(ABS($I42)=ABS($J42),$I42&lt;&gt;0),AND(OR($I42=0,$J42=0),OR($I42&lt;&gt;0,$J42&lt;&gt;0))),$L42=0),IF($K42="K",--OR(MAX(ABS($I42),ABS($J42))=1,$M42=1),$N42))))))</f>
        <v>0</v>
      </c>
      <c r="P42" s="11" t="n">
        <f aca="false">IF($Q42="OK",1,0)</f>
        <v>0</v>
      </c>
      <c r="Q42" s="11" t="str">
        <f aca="false">IF($B42="","",IF(OR(COUNTIF($AH41:$CS41,"wK")=0,COUNTIF($AH41:$CS41,"bK")=0),"Game is over",IF(OR($D42=0,$E42=0),"Use the format e2e4",IF($G42="","No piece on that square",IF(LEFT($G42,1)&lt;&gt;$F42,"Not your piece ("&amp;IF($F42="w","White","Black")&amp;" to move)",IF($D42=$E42,"Piece must move",IF(AND($H42&lt;&gt;"",LEFT($H42,1)=$F42),"Cannot capture your own piece",IF($O42=0,"Illegal move for that piece (or path blocked)","OK"))))))))</f>
        <v/>
      </c>
      <c r="R42" s="11" t="n">
        <f aca="false">IF($P42=1,IF(AND($K42="P",ABS($J42)=2),($D42+$E42)/2,0),$R41)</f>
        <v>0</v>
      </c>
      <c r="S42" s="12" t="b">
        <f aca="false">--OR($S41=1,AND($P42=1,OR($D42=5,$E42=5)))</f>
        <v>0</v>
      </c>
      <c r="T42" s="12" t="b">
        <f aca="false">--OR($T41=1,AND($P42=1,OR($D42=1,$E42=1)))</f>
        <v>0</v>
      </c>
      <c r="U42" s="12" t="b">
        <f aca="false">--OR($U41=1,AND($P42=1,OR($D42=8,$E42=8)))</f>
        <v>0</v>
      </c>
      <c r="V42" s="12" t="b">
        <f aca="false">--OR($V41=1,AND($P42=1,OR($D42=61,$E42=61)))</f>
        <v>0</v>
      </c>
      <c r="W42" s="12" t="b">
        <f aca="false">--OR($W41=1,AND($P42=1,OR($D42=57,$E42=57)))</f>
        <v>0</v>
      </c>
      <c r="X42" s="12" t="b">
        <f aca="false">--OR($X41=1,AND($P42=1,OR($D42=64,$E42=64)))</f>
        <v>0</v>
      </c>
      <c r="Y42" s="12" t="b">
        <f aca="false">--AND($P42=1,$K42="K",ABS($I42)=2)</f>
        <v>0</v>
      </c>
      <c r="Z42" s="12" t="b">
        <f aca="false">--AND($P42=1,$K42="P",ABS($I42)=1,$H42="")</f>
        <v>0</v>
      </c>
      <c r="AA42" s="12" t="b">
        <f aca="false">--AND($P42=1,$K42="P",INT(($E42-1)/8)=IF($F42="w",7,0))</f>
        <v>0</v>
      </c>
      <c r="AB42" s="11" t="str">
        <f aca="false">IF(LEN($C42)&gt;=5,IF(ISNUMBER(FIND(MID($C42,5,1),"qrbn")),UPPER(MID($C42,5,1)),"Q"),"Q")</f>
        <v>Q</v>
      </c>
      <c r="AC42" s="11" t="n">
        <f aca="false">IF($Y42=1,IF($I42=2,$D42+3,$D42-4),0)</f>
        <v>0</v>
      </c>
      <c r="AD42" s="11" t="n">
        <f aca="false">IF($Y42=1,IF($I42=2,$D42+1,$D42-1),0)</f>
        <v>0</v>
      </c>
      <c r="AE42" s="11" t="n">
        <f aca="false">IF($Z42=1,$E42-8*IF($F42="w",1,-1),0)</f>
        <v>0</v>
      </c>
      <c r="AF42" s="11" t="str">
        <f aca="false">IF($B42="","",IF($P42=1,LOWER(INDEX($CV$2:$CV$13,MATCH($G42,$CU$2:$CU$13,0)))&amp;" "&amp;MID("abcdefgh",MOD($D42-1,8)+1,1)&amp;(INT(($D42-1)/8)+1)&amp;"→"&amp;MID("abcdefgh",MOD($E42-1,8)+1,1)&amp;(INT(($E42-1)/8)+1)&amp;IF(OR($H42&lt;&gt;"",$Z42=1)," ×","")&amp;IF($Y42=1," castles","")&amp;IF($Z42=1," e.p.","")&amp;IF($AA42=1," =" &amp;LOWER(INDEX($CV$2:$CV$13,MATCH($F42&amp;$AB42,$CU$2:$CU$13,0))),""),"X "&amp;$Q42))</f>
        <v/>
      </c>
      <c r="AG42" s="11"/>
      <c r="AH42" s="11" t="str">
        <f aca="false">IF($P42=0,AH41,IF(AH$3=$E42,IF($AA42=1,$F42&amp;$AB42,$G42),IF(OR(AH$3=$D42,AH$3=$AC42,AH$3=$AE42),"",IF(AH$3=$AD42,$F42&amp;"R",AH41))))</f>
        <v>wR</v>
      </c>
      <c r="AI42" s="11" t="str">
        <f aca="false">IF($P42=0,AI41,IF(AI$3=$E42,IF($AA42=1,$F42&amp;$AB42,$G42),IF(OR(AI$3=$D42,AI$3=$AC42,AI$3=$AE42),"",IF(AI$3=$AD42,$F42&amp;"R",AI41))))</f>
        <v>wN</v>
      </c>
      <c r="AJ42" s="11" t="str">
        <f aca="false">IF($P42=0,AJ41,IF(AJ$3=$E42,IF($AA42=1,$F42&amp;$AB42,$G42),IF(OR(AJ$3=$D42,AJ$3=$AC42,AJ$3=$AE42),"",IF(AJ$3=$AD42,$F42&amp;"R",AJ41))))</f>
        <v>wB</v>
      </c>
      <c r="AK42" s="11" t="str">
        <f aca="false">IF($P42=0,AK41,IF(AK$3=$E42,IF($AA42=1,$F42&amp;$AB42,$G42),IF(OR(AK$3=$D42,AK$3=$AC42,AK$3=$AE42),"",IF(AK$3=$AD42,$F42&amp;"R",AK41))))</f>
        <v>wQ</v>
      </c>
      <c r="AL42" s="11" t="str">
        <f aca="false">IF($P42=0,AL41,IF(AL$3=$E42,IF($AA42=1,$F42&amp;$AB42,$G42),IF(OR(AL$3=$D42,AL$3=$AC42,AL$3=$AE42),"",IF(AL$3=$AD42,$F42&amp;"R",AL41))))</f>
        <v>wK</v>
      </c>
      <c r="AM42" s="11" t="str">
        <f aca="false">IF($P42=0,AM41,IF(AM$3=$E42,IF($AA42=1,$F42&amp;$AB42,$G42),IF(OR(AM$3=$D42,AM$3=$AC42,AM$3=$AE42),"",IF(AM$3=$AD42,$F42&amp;"R",AM41))))</f>
        <v>wB</v>
      </c>
      <c r="AN42" s="11" t="str">
        <f aca="false">IF($P42=0,AN41,IF(AN$3=$E42,IF($AA42=1,$F42&amp;$AB42,$G42),IF(OR(AN$3=$D42,AN$3=$AC42,AN$3=$AE42),"",IF(AN$3=$AD42,$F42&amp;"R",AN41))))</f>
        <v>wN</v>
      </c>
      <c r="AO42" s="11" t="str">
        <f aca="false">IF($P42=0,AO41,IF(AO$3=$E42,IF($AA42=1,$F42&amp;$AB42,$G42),IF(OR(AO$3=$D42,AO$3=$AC42,AO$3=$AE42),"",IF(AO$3=$AD42,$F42&amp;"R",AO41))))</f>
        <v>wR</v>
      </c>
      <c r="AP42" s="11" t="str">
        <f aca="false">IF($P42=0,AP41,IF(AP$3=$E42,IF($AA42=1,$F42&amp;$AB42,$G42),IF(OR(AP$3=$D42,AP$3=$AC42,AP$3=$AE42),"",IF(AP$3=$AD42,$F42&amp;"R",AP41))))</f>
        <v>wP</v>
      </c>
      <c r="AQ42" s="11" t="str">
        <f aca="false">IF($P42=0,AQ41,IF(AQ$3=$E42,IF($AA42=1,$F42&amp;$AB42,$G42),IF(OR(AQ$3=$D42,AQ$3=$AC42,AQ$3=$AE42),"",IF(AQ$3=$AD42,$F42&amp;"R",AQ41))))</f>
        <v>wP</v>
      </c>
      <c r="AR42" s="11" t="str">
        <f aca="false">IF($P42=0,AR41,IF(AR$3=$E42,IF($AA42=1,$F42&amp;$AB42,$G42),IF(OR(AR$3=$D42,AR$3=$AC42,AR$3=$AE42),"",IF(AR$3=$AD42,$F42&amp;"R",AR41))))</f>
        <v>wP</v>
      </c>
      <c r="AS42" s="11" t="str">
        <f aca="false">IF($P42=0,AS41,IF(AS$3=$E42,IF($AA42=1,$F42&amp;$AB42,$G42),IF(OR(AS$3=$D42,AS$3=$AC42,AS$3=$AE42),"",IF(AS$3=$AD42,$F42&amp;"R",AS41))))</f>
        <v>wP</v>
      </c>
      <c r="AT42" s="11" t="str">
        <f aca="false">IF($P42=0,AT41,IF(AT$3=$E42,IF($AA42=1,$F42&amp;$AB42,$G42),IF(OR(AT$3=$D42,AT$3=$AC42,AT$3=$AE42),"",IF(AT$3=$AD42,$F42&amp;"R",AT41))))</f>
        <v>wP</v>
      </c>
      <c r="AU42" s="11" t="str">
        <f aca="false">IF($P42=0,AU41,IF(AU$3=$E42,IF($AA42=1,$F42&amp;$AB42,$G42),IF(OR(AU$3=$D42,AU$3=$AC42,AU$3=$AE42),"",IF(AU$3=$AD42,$F42&amp;"R",AU41))))</f>
        <v>wP</v>
      </c>
      <c r="AV42" s="11" t="str">
        <f aca="false">IF($P42=0,AV41,IF(AV$3=$E42,IF($AA42=1,$F42&amp;$AB42,$G42),IF(OR(AV$3=$D42,AV$3=$AC42,AV$3=$AE42),"",IF(AV$3=$AD42,$F42&amp;"R",AV41))))</f>
        <v>wP</v>
      </c>
      <c r="AW42" s="11" t="str">
        <f aca="false">IF($P42=0,AW41,IF(AW$3=$E42,IF($AA42=1,$F42&amp;$AB42,$G42),IF(OR(AW$3=$D42,AW$3=$AC42,AW$3=$AE42),"",IF(AW$3=$AD42,$F42&amp;"R",AW41))))</f>
        <v>wP</v>
      </c>
      <c r="AX42" s="11" t="str">
        <f aca="false">IF($P42=0,AX41,IF(AX$3=$E42,IF($AA42=1,$F42&amp;$AB42,$G42),IF(OR(AX$3=$D42,AX$3=$AC42,AX$3=$AE42),"",IF(AX$3=$AD42,$F42&amp;"R",AX41))))</f>
        <v/>
      </c>
      <c r="AY42" s="11" t="str">
        <f aca="false">IF($P42=0,AY41,IF(AY$3=$E42,IF($AA42=1,$F42&amp;$AB42,$G42),IF(OR(AY$3=$D42,AY$3=$AC42,AY$3=$AE42),"",IF(AY$3=$AD42,$F42&amp;"R",AY41))))</f>
        <v/>
      </c>
      <c r="AZ42" s="11" t="str">
        <f aca="false">IF($P42=0,AZ41,IF(AZ$3=$E42,IF($AA42=1,$F42&amp;$AB42,$G42),IF(OR(AZ$3=$D42,AZ$3=$AC42,AZ$3=$AE42),"",IF(AZ$3=$AD42,$F42&amp;"R",AZ41))))</f>
        <v/>
      </c>
      <c r="BA42" s="11" t="str">
        <f aca="false">IF($P42=0,BA41,IF(BA$3=$E42,IF($AA42=1,$F42&amp;$AB42,$G42),IF(OR(BA$3=$D42,BA$3=$AC42,BA$3=$AE42),"",IF(BA$3=$AD42,$F42&amp;"R",BA41))))</f>
        <v/>
      </c>
      <c r="BB42" s="11" t="str">
        <f aca="false">IF($P42=0,BB41,IF(BB$3=$E42,IF($AA42=1,$F42&amp;$AB42,$G42),IF(OR(BB$3=$D42,BB$3=$AC42,BB$3=$AE42),"",IF(BB$3=$AD42,$F42&amp;"R",BB41))))</f>
        <v/>
      </c>
      <c r="BC42" s="11" t="str">
        <f aca="false">IF($P42=0,BC41,IF(BC$3=$E42,IF($AA42=1,$F42&amp;$AB42,$G42),IF(OR(BC$3=$D42,BC$3=$AC42,BC$3=$AE42),"",IF(BC$3=$AD42,$F42&amp;"R",BC41))))</f>
        <v/>
      </c>
      <c r="BD42" s="11" t="str">
        <f aca="false">IF($P42=0,BD41,IF(BD$3=$E42,IF($AA42=1,$F42&amp;$AB42,$G42),IF(OR(BD$3=$D42,BD$3=$AC42,BD$3=$AE42),"",IF(BD$3=$AD42,$F42&amp;"R",BD41))))</f>
        <v/>
      </c>
      <c r="BE42" s="11" t="str">
        <f aca="false">IF($P42=0,BE41,IF(BE$3=$E42,IF($AA42=1,$F42&amp;$AB42,$G42),IF(OR(BE$3=$D42,BE$3=$AC42,BE$3=$AE42),"",IF(BE$3=$AD42,$F42&amp;"R",BE41))))</f>
        <v/>
      </c>
      <c r="BF42" s="11" t="str">
        <f aca="false">IF($P42=0,BF41,IF(BF$3=$E42,IF($AA42=1,$F42&amp;$AB42,$G42),IF(OR(BF$3=$D42,BF$3=$AC42,BF$3=$AE42),"",IF(BF$3=$AD42,$F42&amp;"R",BF41))))</f>
        <v/>
      </c>
      <c r="BG42" s="11" t="str">
        <f aca="false">IF($P42=0,BG41,IF(BG$3=$E42,IF($AA42=1,$F42&amp;$AB42,$G42),IF(OR(BG$3=$D42,BG$3=$AC42,BG$3=$AE42),"",IF(BG$3=$AD42,$F42&amp;"R",BG41))))</f>
        <v/>
      </c>
      <c r="BH42" s="11" t="str">
        <f aca="false">IF($P42=0,BH41,IF(BH$3=$E42,IF($AA42=1,$F42&amp;$AB42,$G42),IF(OR(BH$3=$D42,BH$3=$AC42,BH$3=$AE42),"",IF(BH$3=$AD42,$F42&amp;"R",BH41))))</f>
        <v/>
      </c>
      <c r="BI42" s="11" t="str">
        <f aca="false">IF($P42=0,BI41,IF(BI$3=$E42,IF($AA42=1,$F42&amp;$AB42,$G42),IF(OR(BI$3=$D42,BI$3=$AC42,BI$3=$AE42),"",IF(BI$3=$AD42,$F42&amp;"R",BI41))))</f>
        <v/>
      </c>
      <c r="BJ42" s="11" t="str">
        <f aca="false">IF($P42=0,BJ41,IF(BJ$3=$E42,IF($AA42=1,$F42&amp;$AB42,$G42),IF(OR(BJ$3=$D42,BJ$3=$AC42,BJ$3=$AE42),"",IF(BJ$3=$AD42,$F42&amp;"R",BJ41))))</f>
        <v/>
      </c>
      <c r="BK42" s="11" t="str">
        <f aca="false">IF($P42=0,BK41,IF(BK$3=$E42,IF($AA42=1,$F42&amp;$AB42,$G42),IF(OR(BK$3=$D42,BK$3=$AC42,BK$3=$AE42),"",IF(BK$3=$AD42,$F42&amp;"R",BK41))))</f>
        <v/>
      </c>
      <c r="BL42" s="11" t="str">
        <f aca="false">IF($P42=0,BL41,IF(BL$3=$E42,IF($AA42=1,$F42&amp;$AB42,$G42),IF(OR(BL$3=$D42,BL$3=$AC42,BL$3=$AE42),"",IF(BL$3=$AD42,$F42&amp;"R",BL41))))</f>
        <v/>
      </c>
      <c r="BM42" s="11" t="str">
        <f aca="false">IF($P42=0,BM41,IF(BM$3=$E42,IF($AA42=1,$F42&amp;$AB42,$G42),IF(OR(BM$3=$D42,BM$3=$AC42,BM$3=$AE42),"",IF(BM$3=$AD42,$F42&amp;"R",BM41))))</f>
        <v/>
      </c>
      <c r="BN42" s="11" t="str">
        <f aca="false">IF($P42=0,BN41,IF(BN$3=$E42,IF($AA42=1,$F42&amp;$AB42,$G42),IF(OR(BN$3=$D42,BN$3=$AC42,BN$3=$AE42),"",IF(BN$3=$AD42,$F42&amp;"R",BN41))))</f>
        <v/>
      </c>
      <c r="BO42" s="11" t="str">
        <f aca="false">IF($P42=0,BO41,IF(BO$3=$E42,IF($AA42=1,$F42&amp;$AB42,$G42),IF(OR(BO$3=$D42,BO$3=$AC42,BO$3=$AE42),"",IF(BO$3=$AD42,$F42&amp;"R",BO41))))</f>
        <v/>
      </c>
      <c r="BP42" s="11" t="str">
        <f aca="false">IF($P42=0,BP41,IF(BP$3=$E42,IF($AA42=1,$F42&amp;$AB42,$G42),IF(OR(BP$3=$D42,BP$3=$AC42,BP$3=$AE42),"",IF(BP$3=$AD42,$F42&amp;"R",BP41))))</f>
        <v/>
      </c>
      <c r="BQ42" s="11" t="str">
        <f aca="false">IF($P42=0,BQ41,IF(BQ$3=$E42,IF($AA42=1,$F42&amp;$AB42,$G42),IF(OR(BQ$3=$D42,BQ$3=$AC42,BQ$3=$AE42),"",IF(BQ$3=$AD42,$F42&amp;"R",BQ41))))</f>
        <v/>
      </c>
      <c r="BR42" s="11" t="str">
        <f aca="false">IF($P42=0,BR41,IF(BR$3=$E42,IF($AA42=1,$F42&amp;$AB42,$G42),IF(OR(BR$3=$D42,BR$3=$AC42,BR$3=$AE42),"",IF(BR$3=$AD42,$F42&amp;"R",BR41))))</f>
        <v/>
      </c>
      <c r="BS42" s="11" t="str">
        <f aca="false">IF($P42=0,BS41,IF(BS$3=$E42,IF($AA42=1,$F42&amp;$AB42,$G42),IF(OR(BS$3=$D42,BS$3=$AC42,BS$3=$AE42),"",IF(BS$3=$AD42,$F42&amp;"R",BS41))))</f>
        <v/>
      </c>
      <c r="BT42" s="11" t="str">
        <f aca="false">IF($P42=0,BT41,IF(BT$3=$E42,IF($AA42=1,$F42&amp;$AB42,$G42),IF(OR(BT$3=$D42,BT$3=$AC42,BT$3=$AE42),"",IF(BT$3=$AD42,$F42&amp;"R",BT41))))</f>
        <v/>
      </c>
      <c r="BU42" s="11" t="str">
        <f aca="false">IF($P42=0,BU41,IF(BU$3=$E42,IF($AA42=1,$F42&amp;$AB42,$G42),IF(OR(BU$3=$D42,BU$3=$AC42,BU$3=$AE42),"",IF(BU$3=$AD42,$F42&amp;"R",BU41))))</f>
        <v/>
      </c>
      <c r="BV42" s="11" t="str">
        <f aca="false">IF($P42=0,BV41,IF(BV$3=$E42,IF($AA42=1,$F42&amp;$AB42,$G42),IF(OR(BV$3=$D42,BV$3=$AC42,BV$3=$AE42),"",IF(BV$3=$AD42,$F42&amp;"R",BV41))))</f>
        <v/>
      </c>
      <c r="BW42" s="11" t="str">
        <f aca="false">IF($P42=0,BW41,IF(BW$3=$E42,IF($AA42=1,$F42&amp;$AB42,$G42),IF(OR(BW$3=$D42,BW$3=$AC42,BW$3=$AE42),"",IF(BW$3=$AD42,$F42&amp;"R",BW41))))</f>
        <v/>
      </c>
      <c r="BX42" s="11" t="str">
        <f aca="false">IF($P42=0,BX41,IF(BX$3=$E42,IF($AA42=1,$F42&amp;$AB42,$G42),IF(OR(BX$3=$D42,BX$3=$AC42,BX$3=$AE42),"",IF(BX$3=$AD42,$F42&amp;"R",BX41))))</f>
        <v/>
      </c>
      <c r="BY42" s="11" t="str">
        <f aca="false">IF($P42=0,BY41,IF(BY$3=$E42,IF($AA42=1,$F42&amp;$AB42,$G42),IF(OR(BY$3=$D42,BY$3=$AC42,BY$3=$AE42),"",IF(BY$3=$AD42,$F42&amp;"R",BY41))))</f>
        <v/>
      </c>
      <c r="BZ42" s="11" t="str">
        <f aca="false">IF($P42=0,BZ41,IF(BZ$3=$E42,IF($AA42=1,$F42&amp;$AB42,$G42),IF(OR(BZ$3=$D42,BZ$3=$AC42,BZ$3=$AE42),"",IF(BZ$3=$AD42,$F42&amp;"R",BZ41))))</f>
        <v/>
      </c>
      <c r="CA42" s="11" t="str">
        <f aca="false">IF($P42=0,CA41,IF(CA$3=$E42,IF($AA42=1,$F42&amp;$AB42,$G42),IF(OR(CA$3=$D42,CA$3=$AC42,CA$3=$AE42),"",IF(CA$3=$AD42,$F42&amp;"R",CA41))))</f>
        <v/>
      </c>
      <c r="CB42" s="11" t="str">
        <f aca="false">IF($P42=0,CB41,IF(CB$3=$E42,IF($AA42=1,$F42&amp;$AB42,$G42),IF(OR(CB$3=$D42,CB$3=$AC42,CB$3=$AE42),"",IF(CB$3=$AD42,$F42&amp;"R",CB41))))</f>
        <v/>
      </c>
      <c r="CC42" s="11" t="str">
        <f aca="false">IF($P42=0,CC41,IF(CC$3=$E42,IF($AA42=1,$F42&amp;$AB42,$G42),IF(OR(CC$3=$D42,CC$3=$AC42,CC$3=$AE42),"",IF(CC$3=$AD42,$F42&amp;"R",CC41))))</f>
        <v/>
      </c>
      <c r="CD42" s="11" t="str">
        <f aca="false">IF($P42=0,CD41,IF(CD$3=$E42,IF($AA42=1,$F42&amp;$AB42,$G42),IF(OR(CD$3=$D42,CD$3=$AC42,CD$3=$AE42),"",IF(CD$3=$AD42,$F42&amp;"R",CD41))))</f>
        <v>bP</v>
      </c>
      <c r="CE42" s="11" t="str">
        <f aca="false">IF($P42=0,CE41,IF(CE$3=$E42,IF($AA42=1,$F42&amp;$AB42,$G42),IF(OR(CE$3=$D42,CE$3=$AC42,CE$3=$AE42),"",IF(CE$3=$AD42,$F42&amp;"R",CE41))))</f>
        <v>bP</v>
      </c>
      <c r="CF42" s="11" t="str">
        <f aca="false">IF($P42=0,CF41,IF(CF$3=$E42,IF($AA42=1,$F42&amp;$AB42,$G42),IF(OR(CF$3=$D42,CF$3=$AC42,CF$3=$AE42),"",IF(CF$3=$AD42,$F42&amp;"R",CF41))))</f>
        <v>bP</v>
      </c>
      <c r="CG42" s="11" t="str">
        <f aca="false">IF($P42=0,CG41,IF(CG$3=$E42,IF($AA42=1,$F42&amp;$AB42,$G42),IF(OR(CG$3=$D42,CG$3=$AC42,CG$3=$AE42),"",IF(CG$3=$AD42,$F42&amp;"R",CG41))))</f>
        <v>bP</v>
      </c>
      <c r="CH42" s="11" t="str">
        <f aca="false">IF($P42=0,CH41,IF(CH$3=$E42,IF($AA42=1,$F42&amp;$AB42,$G42),IF(OR(CH$3=$D42,CH$3=$AC42,CH$3=$AE42),"",IF(CH$3=$AD42,$F42&amp;"R",CH41))))</f>
        <v>bP</v>
      </c>
      <c r="CI42" s="11" t="str">
        <f aca="false">IF($P42=0,CI41,IF(CI$3=$E42,IF($AA42=1,$F42&amp;$AB42,$G42),IF(OR(CI$3=$D42,CI$3=$AC42,CI$3=$AE42),"",IF(CI$3=$AD42,$F42&amp;"R",CI41))))</f>
        <v>bP</v>
      </c>
      <c r="CJ42" s="11" t="str">
        <f aca="false">IF($P42=0,CJ41,IF(CJ$3=$E42,IF($AA42=1,$F42&amp;$AB42,$G42),IF(OR(CJ$3=$D42,CJ$3=$AC42,CJ$3=$AE42),"",IF(CJ$3=$AD42,$F42&amp;"R",CJ41))))</f>
        <v>bP</v>
      </c>
      <c r="CK42" s="11" t="str">
        <f aca="false">IF($P42=0,CK41,IF(CK$3=$E42,IF($AA42=1,$F42&amp;$AB42,$G42),IF(OR(CK$3=$D42,CK$3=$AC42,CK$3=$AE42),"",IF(CK$3=$AD42,$F42&amp;"R",CK41))))</f>
        <v>bP</v>
      </c>
      <c r="CL42" s="11" t="str">
        <f aca="false">IF($P42=0,CL41,IF(CL$3=$E42,IF($AA42=1,$F42&amp;$AB42,$G42),IF(OR(CL$3=$D42,CL$3=$AC42,CL$3=$AE42),"",IF(CL$3=$AD42,$F42&amp;"R",CL41))))</f>
        <v>bR</v>
      </c>
      <c r="CM42" s="11" t="str">
        <f aca="false">IF($P42=0,CM41,IF(CM$3=$E42,IF($AA42=1,$F42&amp;$AB42,$G42),IF(OR(CM$3=$D42,CM$3=$AC42,CM$3=$AE42),"",IF(CM$3=$AD42,$F42&amp;"R",CM41))))</f>
        <v>bN</v>
      </c>
      <c r="CN42" s="11" t="str">
        <f aca="false">IF($P42=0,CN41,IF(CN$3=$E42,IF($AA42=1,$F42&amp;$AB42,$G42),IF(OR(CN$3=$D42,CN$3=$AC42,CN$3=$AE42),"",IF(CN$3=$AD42,$F42&amp;"R",CN41))))</f>
        <v>bB</v>
      </c>
      <c r="CO42" s="11" t="str">
        <f aca="false">IF($P42=0,CO41,IF(CO$3=$E42,IF($AA42=1,$F42&amp;$AB42,$G42),IF(OR(CO$3=$D42,CO$3=$AC42,CO$3=$AE42),"",IF(CO$3=$AD42,$F42&amp;"R",CO41))))</f>
        <v>bQ</v>
      </c>
      <c r="CP42" s="11" t="str">
        <f aca="false">IF($P42=0,CP41,IF(CP$3=$E42,IF($AA42=1,$F42&amp;$AB42,$G42),IF(OR(CP$3=$D42,CP$3=$AC42,CP$3=$AE42),"",IF(CP$3=$AD42,$F42&amp;"R",CP41))))</f>
        <v>bK</v>
      </c>
      <c r="CQ42" s="11" t="str">
        <f aca="false">IF($P42=0,CQ41,IF(CQ$3=$E42,IF($AA42=1,$F42&amp;$AB42,$G42),IF(OR(CQ$3=$D42,CQ$3=$AC42,CQ$3=$AE42),"",IF(CQ$3=$AD42,$F42&amp;"R",CQ41))))</f>
        <v>bB</v>
      </c>
      <c r="CR42" s="11" t="str">
        <f aca="false">IF($P42=0,CR41,IF(CR$3=$E42,IF($AA42=1,$F42&amp;$AB42,$G42),IF(OR(CR$3=$D42,CR$3=$AC42,CR$3=$AE42),"",IF(CR$3=$AD42,$F42&amp;"R",CR41))))</f>
        <v>bN</v>
      </c>
      <c r="CS42" s="11" t="str">
        <f aca="false">IF($P42=0,CS41,IF(CS$3=$E42,IF($AA42=1,$F42&amp;$AB42,$G42),IF(OR(CS$3=$D42,CS$3=$AC42,CS$3=$AE42),"",IF(CS$3=$AD42,$F42&amp;"R",CS41))))</f>
        <v>bR</v>
      </c>
      <c r="CT42" s="11"/>
      <c r="CU42" s="11"/>
      <c r="CV42" s="11"/>
    </row>
    <row r="43" customFormat="false" ht="15" hidden="false" customHeight="false" outlineLevel="0" collapsed="false">
      <c r="A43" s="11" t="n">
        <v>38</v>
      </c>
      <c r="B43" s="11" t="str">
        <f aca="false">IF(Chess!$L$47="","",Chess!$L$47&amp;"")</f>
        <v/>
      </c>
      <c r="C43" s="11" t="str">
        <f aca="false">LOWER(SUBSTITUTE(SUBSTITUTE(SUBSTITUTE(SUBSTITUTE(TRIM($B43),"-",""),"=","")," ",""),"x",""))</f>
        <v/>
      </c>
      <c r="D43" s="11" t="n">
        <f aca="false">IF(LEN($C43)&lt;4,0,IFERROR(IF(AND(CODE(MID($C43,1,1))&gt;=97,CODE(MID($C43,1,1))&lt;=104,VALUE(MID($C43,2,1))&gt;=1,VALUE(MID($C43,2,1))&lt;=8),(VALUE(MID($C43,2,1))-1)*8+CODE(MID($C43,1,1))-96,0),0))</f>
        <v>0</v>
      </c>
      <c r="E43" s="11" t="n">
        <f aca="false">IF(LEN($C43)&lt;4,0,IFERROR(IF(AND(CODE(MID($C43,3,1))&gt;=97,CODE(MID($C43,3,1))&lt;=104,VALUE(MID($C43,4,1))&gt;=1,VALUE(MID($C43,4,1))&lt;=8),(VALUE(MID($C43,4,1))-1)*8+CODE(MID($C43,3,1))-96,0),0))</f>
        <v>0</v>
      </c>
      <c r="F43" s="11" t="str">
        <f aca="false">IF(MOD(SUM($P$5:$P42),2)=0,"w","b")</f>
        <v>w</v>
      </c>
      <c r="G43" s="11" t="str">
        <f aca="false">IF($D43=0,"",INDEX($AH42:$CS42,1,$D43)&amp;"")</f>
        <v/>
      </c>
      <c r="H43" s="11" t="str">
        <f aca="false">IF($E43=0,"",INDEX($AH42:$CS42,1,$E43)&amp;"")</f>
        <v/>
      </c>
      <c r="I43" s="11" t="n">
        <f aca="false">IF(OR($D43=0,$E43=0),0,MOD($E43-1,8)-MOD($D43-1,8))</f>
        <v>0</v>
      </c>
      <c r="J43" s="11" t="n">
        <f aca="false">IF(OR($D43=0,$E43=0),0,INT(($E43-1)/8)-INT(($D43-1)/8))</f>
        <v>0</v>
      </c>
      <c r="K43" s="11" t="str">
        <f aca="false">IF($G43="","",RIGHT($G43,1))</f>
        <v/>
      </c>
      <c r="L43" s="11" t="n">
        <f aca="false">IF(OR($D43=0,$E43=0),0,SUMPRODUCT(($AH$3:$CS$3&gt;MIN($D43,$E43))*($AH$3:$CS$3&lt;MAX($D43,$E43))*(MOD($AH$3:$CS$3-MIN($D43,$E43),MAX(1,ABS(SIGN($J43)*8+SIGN($I43))))=0)*($AH42:$CS42&lt;&gt;"")))</f>
        <v>0</v>
      </c>
      <c r="M43" s="11" t="n">
        <f aca="false">IF($K43&lt;&gt;"K",0,IFERROR(--AND($J43=0,ABS($I43)=2,$D43=IF($F43="w",5,61),IF($F43="w",$S42,$V42)=0,IF($I43=2,AND(IF($F43="w",$U42,$X42)=0,INDEX($AH42:$CS42,1,$D43+1)&amp;""="",INDEX($AH42:$CS42,1,$D43+2)&amp;""=""),AND(IF($F43="w",$T42,$W42)=0,INDEX($AH42:$CS42,1,$D43-1)&amp;""="",INDEX($AH42:$CS42,1,$D43-2)&amp;""="",INDEX($AH42:$CS42,1,$D43-3)&amp;""=""))),0))</f>
        <v>0</v>
      </c>
      <c r="N43" s="11" t="n">
        <f aca="false">IF($K43&lt;&gt;"P",0,IFERROR(--OR(AND($I43=0,$J43=IF($F43="w",1,-1),$H43=""),AND($I43=0,$J43=2*IF($F43="w",1,-1),$H43="",INT(($D43-1)/8)=IF($F43="w",1,6),INDEX($AH42:$CS42,1,MAX(1,MIN(64,$D43+8*IF($F43="w",1,-1))))&amp;""=""),AND(ABS($I43)=1,$J43=IF($F43="w",1,-1),$H43&lt;&gt;""),AND(ABS($I43)=1,$J43=IF($F43="w",1,-1),$H43="",$R42&gt;0,$E43=$R42)),0))</f>
        <v>0</v>
      </c>
      <c r="O43" s="11" t="n">
        <f aca="false">IF(OR($D43=0,$E43=0,$G43=""),0,IF($K43="N",--OR(AND(ABS($I43)=1,ABS($J43)=2),AND(ABS($I43)=2,ABS($J43)=1)),IF($K43="B",--AND(ABS($I43)=ABS($J43),$I43&lt;&gt;0,$L43=0),IF($K43="R",--AND(OR($I43=0,$J43=0),OR($I43&lt;&gt;0,$J43&lt;&gt;0),$L43=0),IF($K43="Q",--AND(OR(AND(ABS($I43)=ABS($J43),$I43&lt;&gt;0),AND(OR($I43=0,$J43=0),OR($I43&lt;&gt;0,$J43&lt;&gt;0))),$L43=0),IF($K43="K",--OR(MAX(ABS($I43),ABS($J43))=1,$M43=1),$N43))))))</f>
        <v>0</v>
      </c>
      <c r="P43" s="11" t="n">
        <f aca="false">IF($Q43="OK",1,0)</f>
        <v>0</v>
      </c>
      <c r="Q43" s="11" t="str">
        <f aca="false">IF($B43="","",IF(OR(COUNTIF($AH42:$CS42,"wK")=0,COUNTIF($AH42:$CS42,"bK")=0),"Game is over",IF(OR($D43=0,$E43=0),"Use the format e2e4",IF($G43="","No piece on that square",IF(LEFT($G43,1)&lt;&gt;$F43,"Not your piece ("&amp;IF($F43="w","White","Black")&amp;" to move)",IF($D43=$E43,"Piece must move",IF(AND($H43&lt;&gt;"",LEFT($H43,1)=$F43),"Cannot capture your own piece",IF($O43=0,"Illegal move for that piece (or path blocked)","OK"))))))))</f>
        <v/>
      </c>
      <c r="R43" s="11" t="n">
        <f aca="false">IF($P43=1,IF(AND($K43="P",ABS($J43)=2),($D43+$E43)/2,0),$R42)</f>
        <v>0</v>
      </c>
      <c r="S43" s="12" t="b">
        <f aca="false">--OR($S42=1,AND($P43=1,OR($D43=5,$E43=5)))</f>
        <v>0</v>
      </c>
      <c r="T43" s="12" t="b">
        <f aca="false">--OR($T42=1,AND($P43=1,OR($D43=1,$E43=1)))</f>
        <v>0</v>
      </c>
      <c r="U43" s="12" t="b">
        <f aca="false">--OR($U42=1,AND($P43=1,OR($D43=8,$E43=8)))</f>
        <v>0</v>
      </c>
      <c r="V43" s="12" t="b">
        <f aca="false">--OR($V42=1,AND($P43=1,OR($D43=61,$E43=61)))</f>
        <v>0</v>
      </c>
      <c r="W43" s="12" t="b">
        <f aca="false">--OR($W42=1,AND($P43=1,OR($D43=57,$E43=57)))</f>
        <v>0</v>
      </c>
      <c r="X43" s="12" t="b">
        <f aca="false">--OR($X42=1,AND($P43=1,OR($D43=64,$E43=64)))</f>
        <v>0</v>
      </c>
      <c r="Y43" s="12" t="b">
        <f aca="false">--AND($P43=1,$K43="K",ABS($I43)=2)</f>
        <v>0</v>
      </c>
      <c r="Z43" s="12" t="b">
        <f aca="false">--AND($P43=1,$K43="P",ABS($I43)=1,$H43="")</f>
        <v>0</v>
      </c>
      <c r="AA43" s="12" t="b">
        <f aca="false">--AND($P43=1,$K43="P",INT(($E43-1)/8)=IF($F43="w",7,0))</f>
        <v>0</v>
      </c>
      <c r="AB43" s="11" t="str">
        <f aca="false">IF(LEN($C43)&gt;=5,IF(ISNUMBER(FIND(MID($C43,5,1),"qrbn")),UPPER(MID($C43,5,1)),"Q"),"Q")</f>
        <v>Q</v>
      </c>
      <c r="AC43" s="11" t="n">
        <f aca="false">IF($Y43=1,IF($I43=2,$D43+3,$D43-4),0)</f>
        <v>0</v>
      </c>
      <c r="AD43" s="11" t="n">
        <f aca="false">IF($Y43=1,IF($I43=2,$D43+1,$D43-1),0)</f>
        <v>0</v>
      </c>
      <c r="AE43" s="11" t="n">
        <f aca="false">IF($Z43=1,$E43-8*IF($F43="w",1,-1),0)</f>
        <v>0</v>
      </c>
      <c r="AF43" s="11" t="str">
        <f aca="false">IF($B43="","",IF($P43=1,LOWER(INDEX($CV$2:$CV$13,MATCH($G43,$CU$2:$CU$13,0)))&amp;" "&amp;MID("abcdefgh",MOD($D43-1,8)+1,1)&amp;(INT(($D43-1)/8)+1)&amp;"→"&amp;MID("abcdefgh",MOD($E43-1,8)+1,1)&amp;(INT(($E43-1)/8)+1)&amp;IF(OR($H43&lt;&gt;"",$Z43=1)," ×","")&amp;IF($Y43=1," castles","")&amp;IF($Z43=1," e.p.","")&amp;IF($AA43=1," =" &amp;LOWER(INDEX($CV$2:$CV$13,MATCH($F43&amp;$AB43,$CU$2:$CU$13,0))),""),"X "&amp;$Q43))</f>
        <v/>
      </c>
      <c r="AG43" s="11"/>
      <c r="AH43" s="11" t="str">
        <f aca="false">IF($P43=0,AH42,IF(AH$3=$E43,IF($AA43=1,$F43&amp;$AB43,$G43),IF(OR(AH$3=$D43,AH$3=$AC43,AH$3=$AE43),"",IF(AH$3=$AD43,$F43&amp;"R",AH42))))</f>
        <v>wR</v>
      </c>
      <c r="AI43" s="11" t="str">
        <f aca="false">IF($P43=0,AI42,IF(AI$3=$E43,IF($AA43=1,$F43&amp;$AB43,$G43),IF(OR(AI$3=$D43,AI$3=$AC43,AI$3=$AE43),"",IF(AI$3=$AD43,$F43&amp;"R",AI42))))</f>
        <v>wN</v>
      </c>
      <c r="AJ43" s="11" t="str">
        <f aca="false">IF($P43=0,AJ42,IF(AJ$3=$E43,IF($AA43=1,$F43&amp;$AB43,$G43),IF(OR(AJ$3=$D43,AJ$3=$AC43,AJ$3=$AE43),"",IF(AJ$3=$AD43,$F43&amp;"R",AJ42))))</f>
        <v>wB</v>
      </c>
      <c r="AK43" s="11" t="str">
        <f aca="false">IF($P43=0,AK42,IF(AK$3=$E43,IF($AA43=1,$F43&amp;$AB43,$G43),IF(OR(AK$3=$D43,AK$3=$AC43,AK$3=$AE43),"",IF(AK$3=$AD43,$F43&amp;"R",AK42))))</f>
        <v>wQ</v>
      </c>
      <c r="AL43" s="11" t="str">
        <f aca="false">IF($P43=0,AL42,IF(AL$3=$E43,IF($AA43=1,$F43&amp;$AB43,$G43),IF(OR(AL$3=$D43,AL$3=$AC43,AL$3=$AE43),"",IF(AL$3=$AD43,$F43&amp;"R",AL42))))</f>
        <v>wK</v>
      </c>
      <c r="AM43" s="11" t="str">
        <f aca="false">IF($P43=0,AM42,IF(AM$3=$E43,IF($AA43=1,$F43&amp;$AB43,$G43),IF(OR(AM$3=$D43,AM$3=$AC43,AM$3=$AE43),"",IF(AM$3=$AD43,$F43&amp;"R",AM42))))</f>
        <v>wB</v>
      </c>
      <c r="AN43" s="11" t="str">
        <f aca="false">IF($P43=0,AN42,IF(AN$3=$E43,IF($AA43=1,$F43&amp;$AB43,$G43),IF(OR(AN$3=$D43,AN$3=$AC43,AN$3=$AE43),"",IF(AN$3=$AD43,$F43&amp;"R",AN42))))</f>
        <v>wN</v>
      </c>
      <c r="AO43" s="11" t="str">
        <f aca="false">IF($P43=0,AO42,IF(AO$3=$E43,IF($AA43=1,$F43&amp;$AB43,$G43),IF(OR(AO$3=$D43,AO$3=$AC43,AO$3=$AE43),"",IF(AO$3=$AD43,$F43&amp;"R",AO42))))</f>
        <v>wR</v>
      </c>
      <c r="AP43" s="11" t="str">
        <f aca="false">IF($P43=0,AP42,IF(AP$3=$E43,IF($AA43=1,$F43&amp;$AB43,$G43),IF(OR(AP$3=$D43,AP$3=$AC43,AP$3=$AE43),"",IF(AP$3=$AD43,$F43&amp;"R",AP42))))</f>
        <v>wP</v>
      </c>
      <c r="AQ43" s="11" t="str">
        <f aca="false">IF($P43=0,AQ42,IF(AQ$3=$E43,IF($AA43=1,$F43&amp;$AB43,$G43),IF(OR(AQ$3=$D43,AQ$3=$AC43,AQ$3=$AE43),"",IF(AQ$3=$AD43,$F43&amp;"R",AQ42))))</f>
        <v>wP</v>
      </c>
      <c r="AR43" s="11" t="str">
        <f aca="false">IF($P43=0,AR42,IF(AR$3=$E43,IF($AA43=1,$F43&amp;$AB43,$G43),IF(OR(AR$3=$D43,AR$3=$AC43,AR$3=$AE43),"",IF(AR$3=$AD43,$F43&amp;"R",AR42))))</f>
        <v>wP</v>
      </c>
      <c r="AS43" s="11" t="str">
        <f aca="false">IF($P43=0,AS42,IF(AS$3=$E43,IF($AA43=1,$F43&amp;$AB43,$G43),IF(OR(AS$3=$D43,AS$3=$AC43,AS$3=$AE43),"",IF(AS$3=$AD43,$F43&amp;"R",AS42))))</f>
        <v>wP</v>
      </c>
      <c r="AT43" s="11" t="str">
        <f aca="false">IF($P43=0,AT42,IF(AT$3=$E43,IF($AA43=1,$F43&amp;$AB43,$G43),IF(OR(AT$3=$D43,AT$3=$AC43,AT$3=$AE43),"",IF(AT$3=$AD43,$F43&amp;"R",AT42))))</f>
        <v>wP</v>
      </c>
      <c r="AU43" s="11" t="str">
        <f aca="false">IF($P43=0,AU42,IF(AU$3=$E43,IF($AA43=1,$F43&amp;$AB43,$G43),IF(OR(AU$3=$D43,AU$3=$AC43,AU$3=$AE43),"",IF(AU$3=$AD43,$F43&amp;"R",AU42))))</f>
        <v>wP</v>
      </c>
      <c r="AV43" s="11" t="str">
        <f aca="false">IF($P43=0,AV42,IF(AV$3=$E43,IF($AA43=1,$F43&amp;$AB43,$G43),IF(OR(AV$3=$D43,AV$3=$AC43,AV$3=$AE43),"",IF(AV$3=$AD43,$F43&amp;"R",AV42))))</f>
        <v>wP</v>
      </c>
      <c r="AW43" s="11" t="str">
        <f aca="false">IF($P43=0,AW42,IF(AW$3=$E43,IF($AA43=1,$F43&amp;$AB43,$G43),IF(OR(AW$3=$D43,AW$3=$AC43,AW$3=$AE43),"",IF(AW$3=$AD43,$F43&amp;"R",AW42))))</f>
        <v>wP</v>
      </c>
      <c r="AX43" s="11" t="str">
        <f aca="false">IF($P43=0,AX42,IF(AX$3=$E43,IF($AA43=1,$F43&amp;$AB43,$G43),IF(OR(AX$3=$D43,AX$3=$AC43,AX$3=$AE43),"",IF(AX$3=$AD43,$F43&amp;"R",AX42))))</f>
        <v/>
      </c>
      <c r="AY43" s="11" t="str">
        <f aca="false">IF($P43=0,AY42,IF(AY$3=$E43,IF($AA43=1,$F43&amp;$AB43,$G43),IF(OR(AY$3=$D43,AY$3=$AC43,AY$3=$AE43),"",IF(AY$3=$AD43,$F43&amp;"R",AY42))))</f>
        <v/>
      </c>
      <c r="AZ43" s="11" t="str">
        <f aca="false">IF($P43=0,AZ42,IF(AZ$3=$E43,IF($AA43=1,$F43&amp;$AB43,$G43),IF(OR(AZ$3=$D43,AZ$3=$AC43,AZ$3=$AE43),"",IF(AZ$3=$AD43,$F43&amp;"R",AZ42))))</f>
        <v/>
      </c>
      <c r="BA43" s="11" t="str">
        <f aca="false">IF($P43=0,BA42,IF(BA$3=$E43,IF($AA43=1,$F43&amp;$AB43,$G43),IF(OR(BA$3=$D43,BA$3=$AC43,BA$3=$AE43),"",IF(BA$3=$AD43,$F43&amp;"R",BA42))))</f>
        <v/>
      </c>
      <c r="BB43" s="11" t="str">
        <f aca="false">IF($P43=0,BB42,IF(BB$3=$E43,IF($AA43=1,$F43&amp;$AB43,$G43),IF(OR(BB$3=$D43,BB$3=$AC43,BB$3=$AE43),"",IF(BB$3=$AD43,$F43&amp;"R",BB42))))</f>
        <v/>
      </c>
      <c r="BC43" s="11" t="str">
        <f aca="false">IF($P43=0,BC42,IF(BC$3=$E43,IF($AA43=1,$F43&amp;$AB43,$G43),IF(OR(BC$3=$D43,BC$3=$AC43,BC$3=$AE43),"",IF(BC$3=$AD43,$F43&amp;"R",BC42))))</f>
        <v/>
      </c>
      <c r="BD43" s="11" t="str">
        <f aca="false">IF($P43=0,BD42,IF(BD$3=$E43,IF($AA43=1,$F43&amp;$AB43,$G43),IF(OR(BD$3=$D43,BD$3=$AC43,BD$3=$AE43),"",IF(BD$3=$AD43,$F43&amp;"R",BD42))))</f>
        <v/>
      </c>
      <c r="BE43" s="11" t="str">
        <f aca="false">IF($P43=0,BE42,IF(BE$3=$E43,IF($AA43=1,$F43&amp;$AB43,$G43),IF(OR(BE$3=$D43,BE$3=$AC43,BE$3=$AE43),"",IF(BE$3=$AD43,$F43&amp;"R",BE42))))</f>
        <v/>
      </c>
      <c r="BF43" s="11" t="str">
        <f aca="false">IF($P43=0,BF42,IF(BF$3=$E43,IF($AA43=1,$F43&amp;$AB43,$G43),IF(OR(BF$3=$D43,BF$3=$AC43,BF$3=$AE43),"",IF(BF$3=$AD43,$F43&amp;"R",BF42))))</f>
        <v/>
      </c>
      <c r="BG43" s="11" t="str">
        <f aca="false">IF($P43=0,BG42,IF(BG$3=$E43,IF($AA43=1,$F43&amp;$AB43,$G43),IF(OR(BG$3=$D43,BG$3=$AC43,BG$3=$AE43),"",IF(BG$3=$AD43,$F43&amp;"R",BG42))))</f>
        <v/>
      </c>
      <c r="BH43" s="11" t="str">
        <f aca="false">IF($P43=0,BH42,IF(BH$3=$E43,IF($AA43=1,$F43&amp;$AB43,$G43),IF(OR(BH$3=$D43,BH$3=$AC43,BH$3=$AE43),"",IF(BH$3=$AD43,$F43&amp;"R",BH42))))</f>
        <v/>
      </c>
      <c r="BI43" s="11" t="str">
        <f aca="false">IF($P43=0,BI42,IF(BI$3=$E43,IF($AA43=1,$F43&amp;$AB43,$G43),IF(OR(BI$3=$D43,BI$3=$AC43,BI$3=$AE43),"",IF(BI$3=$AD43,$F43&amp;"R",BI42))))</f>
        <v/>
      </c>
      <c r="BJ43" s="11" t="str">
        <f aca="false">IF($P43=0,BJ42,IF(BJ$3=$E43,IF($AA43=1,$F43&amp;$AB43,$G43),IF(OR(BJ$3=$D43,BJ$3=$AC43,BJ$3=$AE43),"",IF(BJ$3=$AD43,$F43&amp;"R",BJ42))))</f>
        <v/>
      </c>
      <c r="BK43" s="11" t="str">
        <f aca="false">IF($P43=0,BK42,IF(BK$3=$E43,IF($AA43=1,$F43&amp;$AB43,$G43),IF(OR(BK$3=$D43,BK$3=$AC43,BK$3=$AE43),"",IF(BK$3=$AD43,$F43&amp;"R",BK42))))</f>
        <v/>
      </c>
      <c r="BL43" s="11" t="str">
        <f aca="false">IF($P43=0,BL42,IF(BL$3=$E43,IF($AA43=1,$F43&amp;$AB43,$G43),IF(OR(BL$3=$D43,BL$3=$AC43,BL$3=$AE43),"",IF(BL$3=$AD43,$F43&amp;"R",BL42))))</f>
        <v/>
      </c>
      <c r="BM43" s="11" t="str">
        <f aca="false">IF($P43=0,BM42,IF(BM$3=$E43,IF($AA43=1,$F43&amp;$AB43,$G43),IF(OR(BM$3=$D43,BM$3=$AC43,BM$3=$AE43),"",IF(BM$3=$AD43,$F43&amp;"R",BM42))))</f>
        <v/>
      </c>
      <c r="BN43" s="11" t="str">
        <f aca="false">IF($P43=0,BN42,IF(BN$3=$E43,IF($AA43=1,$F43&amp;$AB43,$G43),IF(OR(BN$3=$D43,BN$3=$AC43,BN$3=$AE43),"",IF(BN$3=$AD43,$F43&amp;"R",BN42))))</f>
        <v/>
      </c>
      <c r="BO43" s="11" t="str">
        <f aca="false">IF($P43=0,BO42,IF(BO$3=$E43,IF($AA43=1,$F43&amp;$AB43,$G43),IF(OR(BO$3=$D43,BO$3=$AC43,BO$3=$AE43),"",IF(BO$3=$AD43,$F43&amp;"R",BO42))))</f>
        <v/>
      </c>
      <c r="BP43" s="11" t="str">
        <f aca="false">IF($P43=0,BP42,IF(BP$3=$E43,IF($AA43=1,$F43&amp;$AB43,$G43),IF(OR(BP$3=$D43,BP$3=$AC43,BP$3=$AE43),"",IF(BP$3=$AD43,$F43&amp;"R",BP42))))</f>
        <v/>
      </c>
      <c r="BQ43" s="11" t="str">
        <f aca="false">IF($P43=0,BQ42,IF(BQ$3=$E43,IF($AA43=1,$F43&amp;$AB43,$G43),IF(OR(BQ$3=$D43,BQ$3=$AC43,BQ$3=$AE43),"",IF(BQ$3=$AD43,$F43&amp;"R",BQ42))))</f>
        <v/>
      </c>
      <c r="BR43" s="11" t="str">
        <f aca="false">IF($P43=0,BR42,IF(BR$3=$E43,IF($AA43=1,$F43&amp;$AB43,$G43),IF(OR(BR$3=$D43,BR$3=$AC43,BR$3=$AE43),"",IF(BR$3=$AD43,$F43&amp;"R",BR42))))</f>
        <v/>
      </c>
      <c r="BS43" s="11" t="str">
        <f aca="false">IF($P43=0,BS42,IF(BS$3=$E43,IF($AA43=1,$F43&amp;$AB43,$G43),IF(OR(BS$3=$D43,BS$3=$AC43,BS$3=$AE43),"",IF(BS$3=$AD43,$F43&amp;"R",BS42))))</f>
        <v/>
      </c>
      <c r="BT43" s="11" t="str">
        <f aca="false">IF($P43=0,BT42,IF(BT$3=$E43,IF($AA43=1,$F43&amp;$AB43,$G43),IF(OR(BT$3=$D43,BT$3=$AC43,BT$3=$AE43),"",IF(BT$3=$AD43,$F43&amp;"R",BT42))))</f>
        <v/>
      </c>
      <c r="BU43" s="11" t="str">
        <f aca="false">IF($P43=0,BU42,IF(BU$3=$E43,IF($AA43=1,$F43&amp;$AB43,$G43),IF(OR(BU$3=$D43,BU$3=$AC43,BU$3=$AE43),"",IF(BU$3=$AD43,$F43&amp;"R",BU42))))</f>
        <v/>
      </c>
      <c r="BV43" s="11" t="str">
        <f aca="false">IF($P43=0,BV42,IF(BV$3=$E43,IF($AA43=1,$F43&amp;$AB43,$G43),IF(OR(BV$3=$D43,BV$3=$AC43,BV$3=$AE43),"",IF(BV$3=$AD43,$F43&amp;"R",BV42))))</f>
        <v/>
      </c>
      <c r="BW43" s="11" t="str">
        <f aca="false">IF($P43=0,BW42,IF(BW$3=$E43,IF($AA43=1,$F43&amp;$AB43,$G43),IF(OR(BW$3=$D43,BW$3=$AC43,BW$3=$AE43),"",IF(BW$3=$AD43,$F43&amp;"R",BW42))))</f>
        <v/>
      </c>
      <c r="BX43" s="11" t="str">
        <f aca="false">IF($P43=0,BX42,IF(BX$3=$E43,IF($AA43=1,$F43&amp;$AB43,$G43),IF(OR(BX$3=$D43,BX$3=$AC43,BX$3=$AE43),"",IF(BX$3=$AD43,$F43&amp;"R",BX42))))</f>
        <v/>
      </c>
      <c r="BY43" s="11" t="str">
        <f aca="false">IF($P43=0,BY42,IF(BY$3=$E43,IF($AA43=1,$F43&amp;$AB43,$G43),IF(OR(BY$3=$D43,BY$3=$AC43,BY$3=$AE43),"",IF(BY$3=$AD43,$F43&amp;"R",BY42))))</f>
        <v/>
      </c>
      <c r="BZ43" s="11" t="str">
        <f aca="false">IF($P43=0,BZ42,IF(BZ$3=$E43,IF($AA43=1,$F43&amp;$AB43,$G43),IF(OR(BZ$3=$D43,BZ$3=$AC43,BZ$3=$AE43),"",IF(BZ$3=$AD43,$F43&amp;"R",BZ42))))</f>
        <v/>
      </c>
      <c r="CA43" s="11" t="str">
        <f aca="false">IF($P43=0,CA42,IF(CA$3=$E43,IF($AA43=1,$F43&amp;$AB43,$G43),IF(OR(CA$3=$D43,CA$3=$AC43,CA$3=$AE43),"",IF(CA$3=$AD43,$F43&amp;"R",CA42))))</f>
        <v/>
      </c>
      <c r="CB43" s="11" t="str">
        <f aca="false">IF($P43=0,CB42,IF(CB$3=$E43,IF($AA43=1,$F43&amp;$AB43,$G43),IF(OR(CB$3=$D43,CB$3=$AC43,CB$3=$AE43),"",IF(CB$3=$AD43,$F43&amp;"R",CB42))))</f>
        <v/>
      </c>
      <c r="CC43" s="11" t="str">
        <f aca="false">IF($P43=0,CC42,IF(CC$3=$E43,IF($AA43=1,$F43&amp;$AB43,$G43),IF(OR(CC$3=$D43,CC$3=$AC43,CC$3=$AE43),"",IF(CC$3=$AD43,$F43&amp;"R",CC42))))</f>
        <v/>
      </c>
      <c r="CD43" s="11" t="str">
        <f aca="false">IF($P43=0,CD42,IF(CD$3=$E43,IF($AA43=1,$F43&amp;$AB43,$G43),IF(OR(CD$3=$D43,CD$3=$AC43,CD$3=$AE43),"",IF(CD$3=$AD43,$F43&amp;"R",CD42))))</f>
        <v>bP</v>
      </c>
      <c r="CE43" s="11" t="str">
        <f aca="false">IF($P43=0,CE42,IF(CE$3=$E43,IF($AA43=1,$F43&amp;$AB43,$G43),IF(OR(CE$3=$D43,CE$3=$AC43,CE$3=$AE43),"",IF(CE$3=$AD43,$F43&amp;"R",CE42))))</f>
        <v>bP</v>
      </c>
      <c r="CF43" s="11" t="str">
        <f aca="false">IF($P43=0,CF42,IF(CF$3=$E43,IF($AA43=1,$F43&amp;$AB43,$G43),IF(OR(CF$3=$D43,CF$3=$AC43,CF$3=$AE43),"",IF(CF$3=$AD43,$F43&amp;"R",CF42))))</f>
        <v>bP</v>
      </c>
      <c r="CG43" s="11" t="str">
        <f aca="false">IF($P43=0,CG42,IF(CG$3=$E43,IF($AA43=1,$F43&amp;$AB43,$G43),IF(OR(CG$3=$D43,CG$3=$AC43,CG$3=$AE43),"",IF(CG$3=$AD43,$F43&amp;"R",CG42))))</f>
        <v>bP</v>
      </c>
      <c r="CH43" s="11" t="str">
        <f aca="false">IF($P43=0,CH42,IF(CH$3=$E43,IF($AA43=1,$F43&amp;$AB43,$G43),IF(OR(CH$3=$D43,CH$3=$AC43,CH$3=$AE43),"",IF(CH$3=$AD43,$F43&amp;"R",CH42))))</f>
        <v>bP</v>
      </c>
      <c r="CI43" s="11" t="str">
        <f aca="false">IF($P43=0,CI42,IF(CI$3=$E43,IF($AA43=1,$F43&amp;$AB43,$G43),IF(OR(CI$3=$D43,CI$3=$AC43,CI$3=$AE43),"",IF(CI$3=$AD43,$F43&amp;"R",CI42))))</f>
        <v>bP</v>
      </c>
      <c r="CJ43" s="11" t="str">
        <f aca="false">IF($P43=0,CJ42,IF(CJ$3=$E43,IF($AA43=1,$F43&amp;$AB43,$G43),IF(OR(CJ$3=$D43,CJ$3=$AC43,CJ$3=$AE43),"",IF(CJ$3=$AD43,$F43&amp;"R",CJ42))))</f>
        <v>bP</v>
      </c>
      <c r="CK43" s="11" t="str">
        <f aca="false">IF($P43=0,CK42,IF(CK$3=$E43,IF($AA43=1,$F43&amp;$AB43,$G43),IF(OR(CK$3=$D43,CK$3=$AC43,CK$3=$AE43),"",IF(CK$3=$AD43,$F43&amp;"R",CK42))))</f>
        <v>bP</v>
      </c>
      <c r="CL43" s="11" t="str">
        <f aca="false">IF($P43=0,CL42,IF(CL$3=$E43,IF($AA43=1,$F43&amp;$AB43,$G43),IF(OR(CL$3=$D43,CL$3=$AC43,CL$3=$AE43),"",IF(CL$3=$AD43,$F43&amp;"R",CL42))))</f>
        <v>bR</v>
      </c>
      <c r="CM43" s="11" t="str">
        <f aca="false">IF($P43=0,CM42,IF(CM$3=$E43,IF($AA43=1,$F43&amp;$AB43,$G43),IF(OR(CM$3=$D43,CM$3=$AC43,CM$3=$AE43),"",IF(CM$3=$AD43,$F43&amp;"R",CM42))))</f>
        <v>bN</v>
      </c>
      <c r="CN43" s="11" t="str">
        <f aca="false">IF($P43=0,CN42,IF(CN$3=$E43,IF($AA43=1,$F43&amp;$AB43,$G43),IF(OR(CN$3=$D43,CN$3=$AC43,CN$3=$AE43),"",IF(CN$3=$AD43,$F43&amp;"R",CN42))))</f>
        <v>bB</v>
      </c>
      <c r="CO43" s="11" t="str">
        <f aca="false">IF($P43=0,CO42,IF(CO$3=$E43,IF($AA43=1,$F43&amp;$AB43,$G43),IF(OR(CO$3=$D43,CO$3=$AC43,CO$3=$AE43),"",IF(CO$3=$AD43,$F43&amp;"R",CO42))))</f>
        <v>bQ</v>
      </c>
      <c r="CP43" s="11" t="str">
        <f aca="false">IF($P43=0,CP42,IF(CP$3=$E43,IF($AA43=1,$F43&amp;$AB43,$G43),IF(OR(CP$3=$D43,CP$3=$AC43,CP$3=$AE43),"",IF(CP$3=$AD43,$F43&amp;"R",CP42))))</f>
        <v>bK</v>
      </c>
      <c r="CQ43" s="11" t="str">
        <f aca="false">IF($P43=0,CQ42,IF(CQ$3=$E43,IF($AA43=1,$F43&amp;$AB43,$G43),IF(OR(CQ$3=$D43,CQ$3=$AC43,CQ$3=$AE43),"",IF(CQ$3=$AD43,$F43&amp;"R",CQ42))))</f>
        <v>bB</v>
      </c>
      <c r="CR43" s="11" t="str">
        <f aca="false">IF($P43=0,CR42,IF(CR$3=$E43,IF($AA43=1,$F43&amp;$AB43,$G43),IF(OR(CR$3=$D43,CR$3=$AC43,CR$3=$AE43),"",IF(CR$3=$AD43,$F43&amp;"R",CR42))))</f>
        <v>bN</v>
      </c>
      <c r="CS43" s="11" t="str">
        <f aca="false">IF($P43=0,CS42,IF(CS$3=$E43,IF($AA43=1,$F43&amp;$AB43,$G43),IF(OR(CS$3=$D43,CS$3=$AC43,CS$3=$AE43),"",IF(CS$3=$AD43,$F43&amp;"R",CS42))))</f>
        <v>bR</v>
      </c>
      <c r="CT43" s="11"/>
      <c r="CU43" s="11"/>
      <c r="CV43" s="11"/>
    </row>
    <row r="44" customFormat="false" ht="15" hidden="false" customHeight="false" outlineLevel="0" collapsed="false">
      <c r="A44" s="11" t="n">
        <v>39</v>
      </c>
      <c r="B44" s="11" t="str">
        <f aca="false">IF(Chess!$L$48="","",Chess!$L$48&amp;"")</f>
        <v/>
      </c>
      <c r="C44" s="11" t="str">
        <f aca="false">LOWER(SUBSTITUTE(SUBSTITUTE(SUBSTITUTE(SUBSTITUTE(TRIM($B44),"-",""),"=","")," ",""),"x",""))</f>
        <v/>
      </c>
      <c r="D44" s="11" t="n">
        <f aca="false">IF(LEN($C44)&lt;4,0,IFERROR(IF(AND(CODE(MID($C44,1,1))&gt;=97,CODE(MID($C44,1,1))&lt;=104,VALUE(MID($C44,2,1))&gt;=1,VALUE(MID($C44,2,1))&lt;=8),(VALUE(MID($C44,2,1))-1)*8+CODE(MID($C44,1,1))-96,0),0))</f>
        <v>0</v>
      </c>
      <c r="E44" s="11" t="n">
        <f aca="false">IF(LEN($C44)&lt;4,0,IFERROR(IF(AND(CODE(MID($C44,3,1))&gt;=97,CODE(MID($C44,3,1))&lt;=104,VALUE(MID($C44,4,1))&gt;=1,VALUE(MID($C44,4,1))&lt;=8),(VALUE(MID($C44,4,1))-1)*8+CODE(MID($C44,3,1))-96,0),0))</f>
        <v>0</v>
      </c>
      <c r="F44" s="11" t="str">
        <f aca="false">IF(MOD(SUM($P$5:$P43),2)=0,"w","b")</f>
        <v>w</v>
      </c>
      <c r="G44" s="11" t="str">
        <f aca="false">IF($D44=0,"",INDEX($AH43:$CS43,1,$D44)&amp;"")</f>
        <v/>
      </c>
      <c r="H44" s="11" t="str">
        <f aca="false">IF($E44=0,"",INDEX($AH43:$CS43,1,$E44)&amp;"")</f>
        <v/>
      </c>
      <c r="I44" s="11" t="n">
        <f aca="false">IF(OR($D44=0,$E44=0),0,MOD($E44-1,8)-MOD($D44-1,8))</f>
        <v>0</v>
      </c>
      <c r="J44" s="11" t="n">
        <f aca="false">IF(OR($D44=0,$E44=0),0,INT(($E44-1)/8)-INT(($D44-1)/8))</f>
        <v>0</v>
      </c>
      <c r="K44" s="11" t="str">
        <f aca="false">IF($G44="","",RIGHT($G44,1))</f>
        <v/>
      </c>
      <c r="L44" s="11" t="n">
        <f aca="false">IF(OR($D44=0,$E44=0),0,SUMPRODUCT(($AH$3:$CS$3&gt;MIN($D44,$E44))*($AH$3:$CS$3&lt;MAX($D44,$E44))*(MOD($AH$3:$CS$3-MIN($D44,$E44),MAX(1,ABS(SIGN($J44)*8+SIGN($I44))))=0)*($AH43:$CS43&lt;&gt;"")))</f>
        <v>0</v>
      </c>
      <c r="M44" s="11" t="n">
        <f aca="false">IF($K44&lt;&gt;"K",0,IFERROR(--AND($J44=0,ABS($I44)=2,$D44=IF($F44="w",5,61),IF($F44="w",$S43,$V43)=0,IF($I44=2,AND(IF($F44="w",$U43,$X43)=0,INDEX($AH43:$CS43,1,$D44+1)&amp;""="",INDEX($AH43:$CS43,1,$D44+2)&amp;""=""),AND(IF($F44="w",$T43,$W43)=0,INDEX($AH43:$CS43,1,$D44-1)&amp;""="",INDEX($AH43:$CS43,1,$D44-2)&amp;""="",INDEX($AH43:$CS43,1,$D44-3)&amp;""=""))),0))</f>
        <v>0</v>
      </c>
      <c r="N44" s="11" t="n">
        <f aca="false">IF($K44&lt;&gt;"P",0,IFERROR(--OR(AND($I44=0,$J44=IF($F44="w",1,-1),$H44=""),AND($I44=0,$J44=2*IF($F44="w",1,-1),$H44="",INT(($D44-1)/8)=IF($F44="w",1,6),INDEX($AH43:$CS43,1,MAX(1,MIN(64,$D44+8*IF($F44="w",1,-1))))&amp;""=""),AND(ABS($I44)=1,$J44=IF($F44="w",1,-1),$H44&lt;&gt;""),AND(ABS($I44)=1,$J44=IF($F44="w",1,-1),$H44="",$R43&gt;0,$E44=$R43)),0))</f>
        <v>0</v>
      </c>
      <c r="O44" s="11" t="n">
        <f aca="false">IF(OR($D44=0,$E44=0,$G44=""),0,IF($K44="N",--OR(AND(ABS($I44)=1,ABS($J44)=2),AND(ABS($I44)=2,ABS($J44)=1)),IF($K44="B",--AND(ABS($I44)=ABS($J44),$I44&lt;&gt;0,$L44=0),IF($K44="R",--AND(OR($I44=0,$J44=0),OR($I44&lt;&gt;0,$J44&lt;&gt;0),$L44=0),IF($K44="Q",--AND(OR(AND(ABS($I44)=ABS($J44),$I44&lt;&gt;0),AND(OR($I44=0,$J44=0),OR($I44&lt;&gt;0,$J44&lt;&gt;0))),$L44=0),IF($K44="K",--OR(MAX(ABS($I44),ABS($J44))=1,$M44=1),$N44))))))</f>
        <v>0</v>
      </c>
      <c r="P44" s="11" t="n">
        <f aca="false">IF($Q44="OK",1,0)</f>
        <v>0</v>
      </c>
      <c r="Q44" s="11" t="str">
        <f aca="false">IF($B44="","",IF(OR(COUNTIF($AH43:$CS43,"wK")=0,COUNTIF($AH43:$CS43,"bK")=0),"Game is over",IF(OR($D44=0,$E44=0),"Use the format e2e4",IF($G44="","No piece on that square",IF(LEFT($G44,1)&lt;&gt;$F44,"Not your piece ("&amp;IF($F44="w","White","Black")&amp;" to move)",IF($D44=$E44,"Piece must move",IF(AND($H44&lt;&gt;"",LEFT($H44,1)=$F44),"Cannot capture your own piece",IF($O44=0,"Illegal move for that piece (or path blocked)","OK"))))))))</f>
        <v/>
      </c>
      <c r="R44" s="11" t="n">
        <f aca="false">IF($P44=1,IF(AND($K44="P",ABS($J44)=2),($D44+$E44)/2,0),$R43)</f>
        <v>0</v>
      </c>
      <c r="S44" s="12" t="b">
        <f aca="false">--OR($S43=1,AND($P44=1,OR($D44=5,$E44=5)))</f>
        <v>0</v>
      </c>
      <c r="T44" s="12" t="b">
        <f aca="false">--OR($T43=1,AND($P44=1,OR($D44=1,$E44=1)))</f>
        <v>0</v>
      </c>
      <c r="U44" s="12" t="b">
        <f aca="false">--OR($U43=1,AND($P44=1,OR($D44=8,$E44=8)))</f>
        <v>0</v>
      </c>
      <c r="V44" s="12" t="b">
        <f aca="false">--OR($V43=1,AND($P44=1,OR($D44=61,$E44=61)))</f>
        <v>0</v>
      </c>
      <c r="W44" s="12" t="b">
        <f aca="false">--OR($W43=1,AND($P44=1,OR($D44=57,$E44=57)))</f>
        <v>0</v>
      </c>
      <c r="X44" s="12" t="b">
        <f aca="false">--OR($X43=1,AND($P44=1,OR($D44=64,$E44=64)))</f>
        <v>0</v>
      </c>
      <c r="Y44" s="12" t="b">
        <f aca="false">--AND($P44=1,$K44="K",ABS($I44)=2)</f>
        <v>0</v>
      </c>
      <c r="Z44" s="12" t="b">
        <f aca="false">--AND($P44=1,$K44="P",ABS($I44)=1,$H44="")</f>
        <v>0</v>
      </c>
      <c r="AA44" s="12" t="b">
        <f aca="false">--AND($P44=1,$K44="P",INT(($E44-1)/8)=IF($F44="w",7,0))</f>
        <v>0</v>
      </c>
      <c r="AB44" s="11" t="str">
        <f aca="false">IF(LEN($C44)&gt;=5,IF(ISNUMBER(FIND(MID($C44,5,1),"qrbn")),UPPER(MID($C44,5,1)),"Q"),"Q")</f>
        <v>Q</v>
      </c>
      <c r="AC44" s="11" t="n">
        <f aca="false">IF($Y44=1,IF($I44=2,$D44+3,$D44-4),0)</f>
        <v>0</v>
      </c>
      <c r="AD44" s="11" t="n">
        <f aca="false">IF($Y44=1,IF($I44=2,$D44+1,$D44-1),0)</f>
        <v>0</v>
      </c>
      <c r="AE44" s="11" t="n">
        <f aca="false">IF($Z44=1,$E44-8*IF($F44="w",1,-1),0)</f>
        <v>0</v>
      </c>
      <c r="AF44" s="11" t="str">
        <f aca="false">IF($B44="","",IF($P44=1,LOWER(INDEX($CV$2:$CV$13,MATCH($G44,$CU$2:$CU$13,0)))&amp;" "&amp;MID("abcdefgh",MOD($D44-1,8)+1,1)&amp;(INT(($D44-1)/8)+1)&amp;"→"&amp;MID("abcdefgh",MOD($E44-1,8)+1,1)&amp;(INT(($E44-1)/8)+1)&amp;IF(OR($H44&lt;&gt;"",$Z44=1)," ×","")&amp;IF($Y44=1," castles","")&amp;IF($Z44=1," e.p.","")&amp;IF($AA44=1," =" &amp;LOWER(INDEX($CV$2:$CV$13,MATCH($F44&amp;$AB44,$CU$2:$CU$13,0))),""),"X "&amp;$Q44))</f>
        <v/>
      </c>
      <c r="AG44" s="11"/>
      <c r="AH44" s="11" t="str">
        <f aca="false">IF($P44=0,AH43,IF(AH$3=$E44,IF($AA44=1,$F44&amp;$AB44,$G44),IF(OR(AH$3=$D44,AH$3=$AC44,AH$3=$AE44),"",IF(AH$3=$AD44,$F44&amp;"R",AH43))))</f>
        <v>wR</v>
      </c>
      <c r="AI44" s="11" t="str">
        <f aca="false">IF($P44=0,AI43,IF(AI$3=$E44,IF($AA44=1,$F44&amp;$AB44,$G44),IF(OR(AI$3=$D44,AI$3=$AC44,AI$3=$AE44),"",IF(AI$3=$AD44,$F44&amp;"R",AI43))))</f>
        <v>wN</v>
      </c>
      <c r="AJ44" s="11" t="str">
        <f aca="false">IF($P44=0,AJ43,IF(AJ$3=$E44,IF($AA44=1,$F44&amp;$AB44,$G44),IF(OR(AJ$3=$D44,AJ$3=$AC44,AJ$3=$AE44),"",IF(AJ$3=$AD44,$F44&amp;"R",AJ43))))</f>
        <v>wB</v>
      </c>
      <c r="AK44" s="11" t="str">
        <f aca="false">IF($P44=0,AK43,IF(AK$3=$E44,IF($AA44=1,$F44&amp;$AB44,$G44),IF(OR(AK$3=$D44,AK$3=$AC44,AK$3=$AE44),"",IF(AK$3=$AD44,$F44&amp;"R",AK43))))</f>
        <v>wQ</v>
      </c>
      <c r="AL44" s="11" t="str">
        <f aca="false">IF($P44=0,AL43,IF(AL$3=$E44,IF($AA44=1,$F44&amp;$AB44,$G44),IF(OR(AL$3=$D44,AL$3=$AC44,AL$3=$AE44),"",IF(AL$3=$AD44,$F44&amp;"R",AL43))))</f>
        <v>wK</v>
      </c>
      <c r="AM44" s="11" t="str">
        <f aca="false">IF($P44=0,AM43,IF(AM$3=$E44,IF($AA44=1,$F44&amp;$AB44,$G44),IF(OR(AM$3=$D44,AM$3=$AC44,AM$3=$AE44),"",IF(AM$3=$AD44,$F44&amp;"R",AM43))))</f>
        <v>wB</v>
      </c>
      <c r="AN44" s="11" t="str">
        <f aca="false">IF($P44=0,AN43,IF(AN$3=$E44,IF($AA44=1,$F44&amp;$AB44,$G44),IF(OR(AN$3=$D44,AN$3=$AC44,AN$3=$AE44),"",IF(AN$3=$AD44,$F44&amp;"R",AN43))))</f>
        <v>wN</v>
      </c>
      <c r="AO44" s="11" t="str">
        <f aca="false">IF($P44=0,AO43,IF(AO$3=$E44,IF($AA44=1,$F44&amp;$AB44,$G44),IF(OR(AO$3=$D44,AO$3=$AC44,AO$3=$AE44),"",IF(AO$3=$AD44,$F44&amp;"R",AO43))))</f>
        <v>wR</v>
      </c>
      <c r="AP44" s="11" t="str">
        <f aca="false">IF($P44=0,AP43,IF(AP$3=$E44,IF($AA44=1,$F44&amp;$AB44,$G44),IF(OR(AP$3=$D44,AP$3=$AC44,AP$3=$AE44),"",IF(AP$3=$AD44,$F44&amp;"R",AP43))))</f>
        <v>wP</v>
      </c>
      <c r="AQ44" s="11" t="str">
        <f aca="false">IF($P44=0,AQ43,IF(AQ$3=$E44,IF($AA44=1,$F44&amp;$AB44,$G44),IF(OR(AQ$3=$D44,AQ$3=$AC44,AQ$3=$AE44),"",IF(AQ$3=$AD44,$F44&amp;"R",AQ43))))</f>
        <v>wP</v>
      </c>
      <c r="AR44" s="11" t="str">
        <f aca="false">IF($P44=0,AR43,IF(AR$3=$E44,IF($AA44=1,$F44&amp;$AB44,$G44),IF(OR(AR$3=$D44,AR$3=$AC44,AR$3=$AE44),"",IF(AR$3=$AD44,$F44&amp;"R",AR43))))</f>
        <v>wP</v>
      </c>
      <c r="AS44" s="11" t="str">
        <f aca="false">IF($P44=0,AS43,IF(AS$3=$E44,IF($AA44=1,$F44&amp;$AB44,$G44),IF(OR(AS$3=$D44,AS$3=$AC44,AS$3=$AE44),"",IF(AS$3=$AD44,$F44&amp;"R",AS43))))</f>
        <v>wP</v>
      </c>
      <c r="AT44" s="11" t="str">
        <f aca="false">IF($P44=0,AT43,IF(AT$3=$E44,IF($AA44=1,$F44&amp;$AB44,$G44),IF(OR(AT$3=$D44,AT$3=$AC44,AT$3=$AE44),"",IF(AT$3=$AD44,$F44&amp;"R",AT43))))</f>
        <v>wP</v>
      </c>
      <c r="AU44" s="11" t="str">
        <f aca="false">IF($P44=0,AU43,IF(AU$3=$E44,IF($AA44=1,$F44&amp;$AB44,$G44),IF(OR(AU$3=$D44,AU$3=$AC44,AU$3=$AE44),"",IF(AU$3=$AD44,$F44&amp;"R",AU43))))</f>
        <v>wP</v>
      </c>
      <c r="AV44" s="11" t="str">
        <f aca="false">IF($P44=0,AV43,IF(AV$3=$E44,IF($AA44=1,$F44&amp;$AB44,$G44),IF(OR(AV$3=$D44,AV$3=$AC44,AV$3=$AE44),"",IF(AV$3=$AD44,$F44&amp;"R",AV43))))</f>
        <v>wP</v>
      </c>
      <c r="AW44" s="11" t="str">
        <f aca="false">IF($P44=0,AW43,IF(AW$3=$E44,IF($AA44=1,$F44&amp;$AB44,$G44),IF(OR(AW$3=$D44,AW$3=$AC44,AW$3=$AE44),"",IF(AW$3=$AD44,$F44&amp;"R",AW43))))</f>
        <v>wP</v>
      </c>
      <c r="AX44" s="11" t="str">
        <f aca="false">IF($P44=0,AX43,IF(AX$3=$E44,IF($AA44=1,$F44&amp;$AB44,$G44),IF(OR(AX$3=$D44,AX$3=$AC44,AX$3=$AE44),"",IF(AX$3=$AD44,$F44&amp;"R",AX43))))</f>
        <v/>
      </c>
      <c r="AY44" s="11" t="str">
        <f aca="false">IF($P44=0,AY43,IF(AY$3=$E44,IF($AA44=1,$F44&amp;$AB44,$G44),IF(OR(AY$3=$D44,AY$3=$AC44,AY$3=$AE44),"",IF(AY$3=$AD44,$F44&amp;"R",AY43))))</f>
        <v/>
      </c>
      <c r="AZ44" s="11" t="str">
        <f aca="false">IF($P44=0,AZ43,IF(AZ$3=$E44,IF($AA44=1,$F44&amp;$AB44,$G44),IF(OR(AZ$3=$D44,AZ$3=$AC44,AZ$3=$AE44),"",IF(AZ$3=$AD44,$F44&amp;"R",AZ43))))</f>
        <v/>
      </c>
      <c r="BA44" s="11" t="str">
        <f aca="false">IF($P44=0,BA43,IF(BA$3=$E44,IF($AA44=1,$F44&amp;$AB44,$G44),IF(OR(BA$3=$D44,BA$3=$AC44,BA$3=$AE44),"",IF(BA$3=$AD44,$F44&amp;"R",BA43))))</f>
        <v/>
      </c>
      <c r="BB44" s="11" t="str">
        <f aca="false">IF($P44=0,BB43,IF(BB$3=$E44,IF($AA44=1,$F44&amp;$AB44,$G44),IF(OR(BB$3=$D44,BB$3=$AC44,BB$3=$AE44),"",IF(BB$3=$AD44,$F44&amp;"R",BB43))))</f>
        <v/>
      </c>
      <c r="BC44" s="11" t="str">
        <f aca="false">IF($P44=0,BC43,IF(BC$3=$E44,IF($AA44=1,$F44&amp;$AB44,$G44),IF(OR(BC$3=$D44,BC$3=$AC44,BC$3=$AE44),"",IF(BC$3=$AD44,$F44&amp;"R",BC43))))</f>
        <v/>
      </c>
      <c r="BD44" s="11" t="str">
        <f aca="false">IF($P44=0,BD43,IF(BD$3=$E44,IF($AA44=1,$F44&amp;$AB44,$G44),IF(OR(BD$3=$D44,BD$3=$AC44,BD$3=$AE44),"",IF(BD$3=$AD44,$F44&amp;"R",BD43))))</f>
        <v/>
      </c>
      <c r="BE44" s="11" t="str">
        <f aca="false">IF($P44=0,BE43,IF(BE$3=$E44,IF($AA44=1,$F44&amp;$AB44,$G44),IF(OR(BE$3=$D44,BE$3=$AC44,BE$3=$AE44),"",IF(BE$3=$AD44,$F44&amp;"R",BE43))))</f>
        <v/>
      </c>
      <c r="BF44" s="11" t="str">
        <f aca="false">IF($P44=0,BF43,IF(BF$3=$E44,IF($AA44=1,$F44&amp;$AB44,$G44),IF(OR(BF$3=$D44,BF$3=$AC44,BF$3=$AE44),"",IF(BF$3=$AD44,$F44&amp;"R",BF43))))</f>
        <v/>
      </c>
      <c r="BG44" s="11" t="str">
        <f aca="false">IF($P44=0,BG43,IF(BG$3=$E44,IF($AA44=1,$F44&amp;$AB44,$G44),IF(OR(BG$3=$D44,BG$3=$AC44,BG$3=$AE44),"",IF(BG$3=$AD44,$F44&amp;"R",BG43))))</f>
        <v/>
      </c>
      <c r="BH44" s="11" t="str">
        <f aca="false">IF($P44=0,BH43,IF(BH$3=$E44,IF($AA44=1,$F44&amp;$AB44,$G44),IF(OR(BH$3=$D44,BH$3=$AC44,BH$3=$AE44),"",IF(BH$3=$AD44,$F44&amp;"R",BH43))))</f>
        <v/>
      </c>
      <c r="BI44" s="11" t="str">
        <f aca="false">IF($P44=0,BI43,IF(BI$3=$E44,IF($AA44=1,$F44&amp;$AB44,$G44),IF(OR(BI$3=$D44,BI$3=$AC44,BI$3=$AE44),"",IF(BI$3=$AD44,$F44&amp;"R",BI43))))</f>
        <v/>
      </c>
      <c r="BJ44" s="11" t="str">
        <f aca="false">IF($P44=0,BJ43,IF(BJ$3=$E44,IF($AA44=1,$F44&amp;$AB44,$G44),IF(OR(BJ$3=$D44,BJ$3=$AC44,BJ$3=$AE44),"",IF(BJ$3=$AD44,$F44&amp;"R",BJ43))))</f>
        <v/>
      </c>
      <c r="BK44" s="11" t="str">
        <f aca="false">IF($P44=0,BK43,IF(BK$3=$E44,IF($AA44=1,$F44&amp;$AB44,$G44),IF(OR(BK$3=$D44,BK$3=$AC44,BK$3=$AE44),"",IF(BK$3=$AD44,$F44&amp;"R",BK43))))</f>
        <v/>
      </c>
      <c r="BL44" s="11" t="str">
        <f aca="false">IF($P44=0,BL43,IF(BL$3=$E44,IF($AA44=1,$F44&amp;$AB44,$G44),IF(OR(BL$3=$D44,BL$3=$AC44,BL$3=$AE44),"",IF(BL$3=$AD44,$F44&amp;"R",BL43))))</f>
        <v/>
      </c>
      <c r="BM44" s="11" t="str">
        <f aca="false">IF($P44=0,BM43,IF(BM$3=$E44,IF($AA44=1,$F44&amp;$AB44,$G44),IF(OR(BM$3=$D44,BM$3=$AC44,BM$3=$AE44),"",IF(BM$3=$AD44,$F44&amp;"R",BM43))))</f>
        <v/>
      </c>
      <c r="BN44" s="11" t="str">
        <f aca="false">IF($P44=0,BN43,IF(BN$3=$E44,IF($AA44=1,$F44&amp;$AB44,$G44),IF(OR(BN$3=$D44,BN$3=$AC44,BN$3=$AE44),"",IF(BN$3=$AD44,$F44&amp;"R",BN43))))</f>
        <v/>
      </c>
      <c r="BO44" s="11" t="str">
        <f aca="false">IF($P44=0,BO43,IF(BO$3=$E44,IF($AA44=1,$F44&amp;$AB44,$G44),IF(OR(BO$3=$D44,BO$3=$AC44,BO$3=$AE44),"",IF(BO$3=$AD44,$F44&amp;"R",BO43))))</f>
        <v/>
      </c>
      <c r="BP44" s="11" t="str">
        <f aca="false">IF($P44=0,BP43,IF(BP$3=$E44,IF($AA44=1,$F44&amp;$AB44,$G44),IF(OR(BP$3=$D44,BP$3=$AC44,BP$3=$AE44),"",IF(BP$3=$AD44,$F44&amp;"R",BP43))))</f>
        <v/>
      </c>
      <c r="BQ44" s="11" t="str">
        <f aca="false">IF($P44=0,BQ43,IF(BQ$3=$E44,IF($AA44=1,$F44&amp;$AB44,$G44),IF(OR(BQ$3=$D44,BQ$3=$AC44,BQ$3=$AE44),"",IF(BQ$3=$AD44,$F44&amp;"R",BQ43))))</f>
        <v/>
      </c>
      <c r="BR44" s="11" t="str">
        <f aca="false">IF($P44=0,BR43,IF(BR$3=$E44,IF($AA44=1,$F44&amp;$AB44,$G44),IF(OR(BR$3=$D44,BR$3=$AC44,BR$3=$AE44),"",IF(BR$3=$AD44,$F44&amp;"R",BR43))))</f>
        <v/>
      </c>
      <c r="BS44" s="11" t="str">
        <f aca="false">IF($P44=0,BS43,IF(BS$3=$E44,IF($AA44=1,$F44&amp;$AB44,$G44),IF(OR(BS$3=$D44,BS$3=$AC44,BS$3=$AE44),"",IF(BS$3=$AD44,$F44&amp;"R",BS43))))</f>
        <v/>
      </c>
      <c r="BT44" s="11" t="str">
        <f aca="false">IF($P44=0,BT43,IF(BT$3=$E44,IF($AA44=1,$F44&amp;$AB44,$G44),IF(OR(BT$3=$D44,BT$3=$AC44,BT$3=$AE44),"",IF(BT$3=$AD44,$F44&amp;"R",BT43))))</f>
        <v/>
      </c>
      <c r="BU44" s="11" t="str">
        <f aca="false">IF($P44=0,BU43,IF(BU$3=$E44,IF($AA44=1,$F44&amp;$AB44,$G44),IF(OR(BU$3=$D44,BU$3=$AC44,BU$3=$AE44),"",IF(BU$3=$AD44,$F44&amp;"R",BU43))))</f>
        <v/>
      </c>
      <c r="BV44" s="11" t="str">
        <f aca="false">IF($P44=0,BV43,IF(BV$3=$E44,IF($AA44=1,$F44&amp;$AB44,$G44),IF(OR(BV$3=$D44,BV$3=$AC44,BV$3=$AE44),"",IF(BV$3=$AD44,$F44&amp;"R",BV43))))</f>
        <v/>
      </c>
      <c r="BW44" s="11" t="str">
        <f aca="false">IF($P44=0,BW43,IF(BW$3=$E44,IF($AA44=1,$F44&amp;$AB44,$G44),IF(OR(BW$3=$D44,BW$3=$AC44,BW$3=$AE44),"",IF(BW$3=$AD44,$F44&amp;"R",BW43))))</f>
        <v/>
      </c>
      <c r="BX44" s="11" t="str">
        <f aca="false">IF($P44=0,BX43,IF(BX$3=$E44,IF($AA44=1,$F44&amp;$AB44,$G44),IF(OR(BX$3=$D44,BX$3=$AC44,BX$3=$AE44),"",IF(BX$3=$AD44,$F44&amp;"R",BX43))))</f>
        <v/>
      </c>
      <c r="BY44" s="11" t="str">
        <f aca="false">IF($P44=0,BY43,IF(BY$3=$E44,IF($AA44=1,$F44&amp;$AB44,$G44),IF(OR(BY$3=$D44,BY$3=$AC44,BY$3=$AE44),"",IF(BY$3=$AD44,$F44&amp;"R",BY43))))</f>
        <v/>
      </c>
      <c r="BZ44" s="11" t="str">
        <f aca="false">IF($P44=0,BZ43,IF(BZ$3=$E44,IF($AA44=1,$F44&amp;$AB44,$G44),IF(OR(BZ$3=$D44,BZ$3=$AC44,BZ$3=$AE44),"",IF(BZ$3=$AD44,$F44&amp;"R",BZ43))))</f>
        <v/>
      </c>
      <c r="CA44" s="11" t="str">
        <f aca="false">IF($P44=0,CA43,IF(CA$3=$E44,IF($AA44=1,$F44&amp;$AB44,$G44),IF(OR(CA$3=$D44,CA$3=$AC44,CA$3=$AE44),"",IF(CA$3=$AD44,$F44&amp;"R",CA43))))</f>
        <v/>
      </c>
      <c r="CB44" s="11" t="str">
        <f aca="false">IF($P44=0,CB43,IF(CB$3=$E44,IF($AA44=1,$F44&amp;$AB44,$G44),IF(OR(CB$3=$D44,CB$3=$AC44,CB$3=$AE44),"",IF(CB$3=$AD44,$F44&amp;"R",CB43))))</f>
        <v/>
      </c>
      <c r="CC44" s="11" t="str">
        <f aca="false">IF($P44=0,CC43,IF(CC$3=$E44,IF($AA44=1,$F44&amp;$AB44,$G44),IF(OR(CC$3=$D44,CC$3=$AC44,CC$3=$AE44),"",IF(CC$3=$AD44,$F44&amp;"R",CC43))))</f>
        <v/>
      </c>
      <c r="CD44" s="11" t="str">
        <f aca="false">IF($P44=0,CD43,IF(CD$3=$E44,IF($AA44=1,$F44&amp;$AB44,$G44),IF(OR(CD$3=$D44,CD$3=$AC44,CD$3=$AE44),"",IF(CD$3=$AD44,$F44&amp;"R",CD43))))</f>
        <v>bP</v>
      </c>
      <c r="CE44" s="11" t="str">
        <f aca="false">IF($P44=0,CE43,IF(CE$3=$E44,IF($AA44=1,$F44&amp;$AB44,$G44),IF(OR(CE$3=$D44,CE$3=$AC44,CE$3=$AE44),"",IF(CE$3=$AD44,$F44&amp;"R",CE43))))</f>
        <v>bP</v>
      </c>
      <c r="CF44" s="11" t="str">
        <f aca="false">IF($P44=0,CF43,IF(CF$3=$E44,IF($AA44=1,$F44&amp;$AB44,$G44),IF(OR(CF$3=$D44,CF$3=$AC44,CF$3=$AE44),"",IF(CF$3=$AD44,$F44&amp;"R",CF43))))</f>
        <v>bP</v>
      </c>
      <c r="CG44" s="11" t="str">
        <f aca="false">IF($P44=0,CG43,IF(CG$3=$E44,IF($AA44=1,$F44&amp;$AB44,$G44),IF(OR(CG$3=$D44,CG$3=$AC44,CG$3=$AE44),"",IF(CG$3=$AD44,$F44&amp;"R",CG43))))</f>
        <v>bP</v>
      </c>
      <c r="CH44" s="11" t="str">
        <f aca="false">IF($P44=0,CH43,IF(CH$3=$E44,IF($AA44=1,$F44&amp;$AB44,$G44),IF(OR(CH$3=$D44,CH$3=$AC44,CH$3=$AE44),"",IF(CH$3=$AD44,$F44&amp;"R",CH43))))</f>
        <v>bP</v>
      </c>
      <c r="CI44" s="11" t="str">
        <f aca="false">IF($P44=0,CI43,IF(CI$3=$E44,IF($AA44=1,$F44&amp;$AB44,$G44),IF(OR(CI$3=$D44,CI$3=$AC44,CI$3=$AE44),"",IF(CI$3=$AD44,$F44&amp;"R",CI43))))</f>
        <v>bP</v>
      </c>
      <c r="CJ44" s="11" t="str">
        <f aca="false">IF($P44=0,CJ43,IF(CJ$3=$E44,IF($AA44=1,$F44&amp;$AB44,$G44),IF(OR(CJ$3=$D44,CJ$3=$AC44,CJ$3=$AE44),"",IF(CJ$3=$AD44,$F44&amp;"R",CJ43))))</f>
        <v>bP</v>
      </c>
      <c r="CK44" s="11" t="str">
        <f aca="false">IF($P44=0,CK43,IF(CK$3=$E44,IF($AA44=1,$F44&amp;$AB44,$G44),IF(OR(CK$3=$D44,CK$3=$AC44,CK$3=$AE44),"",IF(CK$3=$AD44,$F44&amp;"R",CK43))))</f>
        <v>bP</v>
      </c>
      <c r="CL44" s="11" t="str">
        <f aca="false">IF($P44=0,CL43,IF(CL$3=$E44,IF($AA44=1,$F44&amp;$AB44,$G44),IF(OR(CL$3=$D44,CL$3=$AC44,CL$3=$AE44),"",IF(CL$3=$AD44,$F44&amp;"R",CL43))))</f>
        <v>bR</v>
      </c>
      <c r="CM44" s="11" t="str">
        <f aca="false">IF($P44=0,CM43,IF(CM$3=$E44,IF($AA44=1,$F44&amp;$AB44,$G44),IF(OR(CM$3=$D44,CM$3=$AC44,CM$3=$AE44),"",IF(CM$3=$AD44,$F44&amp;"R",CM43))))</f>
        <v>bN</v>
      </c>
      <c r="CN44" s="11" t="str">
        <f aca="false">IF($P44=0,CN43,IF(CN$3=$E44,IF($AA44=1,$F44&amp;$AB44,$G44),IF(OR(CN$3=$D44,CN$3=$AC44,CN$3=$AE44),"",IF(CN$3=$AD44,$F44&amp;"R",CN43))))</f>
        <v>bB</v>
      </c>
      <c r="CO44" s="11" t="str">
        <f aca="false">IF($P44=0,CO43,IF(CO$3=$E44,IF($AA44=1,$F44&amp;$AB44,$G44),IF(OR(CO$3=$D44,CO$3=$AC44,CO$3=$AE44),"",IF(CO$3=$AD44,$F44&amp;"R",CO43))))</f>
        <v>bQ</v>
      </c>
      <c r="CP44" s="11" t="str">
        <f aca="false">IF($P44=0,CP43,IF(CP$3=$E44,IF($AA44=1,$F44&amp;$AB44,$G44),IF(OR(CP$3=$D44,CP$3=$AC44,CP$3=$AE44),"",IF(CP$3=$AD44,$F44&amp;"R",CP43))))</f>
        <v>bK</v>
      </c>
      <c r="CQ44" s="11" t="str">
        <f aca="false">IF($P44=0,CQ43,IF(CQ$3=$E44,IF($AA44=1,$F44&amp;$AB44,$G44),IF(OR(CQ$3=$D44,CQ$3=$AC44,CQ$3=$AE44),"",IF(CQ$3=$AD44,$F44&amp;"R",CQ43))))</f>
        <v>bB</v>
      </c>
      <c r="CR44" s="11" t="str">
        <f aca="false">IF($P44=0,CR43,IF(CR$3=$E44,IF($AA44=1,$F44&amp;$AB44,$G44),IF(OR(CR$3=$D44,CR$3=$AC44,CR$3=$AE44),"",IF(CR$3=$AD44,$F44&amp;"R",CR43))))</f>
        <v>bN</v>
      </c>
      <c r="CS44" s="11" t="str">
        <f aca="false">IF($P44=0,CS43,IF(CS$3=$E44,IF($AA44=1,$F44&amp;$AB44,$G44),IF(OR(CS$3=$D44,CS$3=$AC44,CS$3=$AE44),"",IF(CS$3=$AD44,$F44&amp;"R",CS43))))</f>
        <v>bR</v>
      </c>
      <c r="CT44" s="11"/>
      <c r="CU44" s="11"/>
      <c r="CV44" s="11"/>
    </row>
    <row r="45" customFormat="false" ht="15" hidden="false" customHeight="false" outlineLevel="0" collapsed="false">
      <c r="A45" s="11" t="n">
        <v>40</v>
      </c>
      <c r="B45" s="11" t="str">
        <f aca="false">IF(Chess!$L$49="","",Chess!$L$49&amp;"")</f>
        <v/>
      </c>
      <c r="C45" s="11" t="str">
        <f aca="false">LOWER(SUBSTITUTE(SUBSTITUTE(SUBSTITUTE(SUBSTITUTE(TRIM($B45),"-",""),"=","")," ",""),"x",""))</f>
        <v/>
      </c>
      <c r="D45" s="11" t="n">
        <f aca="false">IF(LEN($C45)&lt;4,0,IFERROR(IF(AND(CODE(MID($C45,1,1))&gt;=97,CODE(MID($C45,1,1))&lt;=104,VALUE(MID($C45,2,1))&gt;=1,VALUE(MID($C45,2,1))&lt;=8),(VALUE(MID($C45,2,1))-1)*8+CODE(MID($C45,1,1))-96,0),0))</f>
        <v>0</v>
      </c>
      <c r="E45" s="11" t="n">
        <f aca="false">IF(LEN($C45)&lt;4,0,IFERROR(IF(AND(CODE(MID($C45,3,1))&gt;=97,CODE(MID($C45,3,1))&lt;=104,VALUE(MID($C45,4,1))&gt;=1,VALUE(MID($C45,4,1))&lt;=8),(VALUE(MID($C45,4,1))-1)*8+CODE(MID($C45,3,1))-96,0),0))</f>
        <v>0</v>
      </c>
      <c r="F45" s="11" t="str">
        <f aca="false">IF(MOD(SUM($P$5:$P44),2)=0,"w","b")</f>
        <v>w</v>
      </c>
      <c r="G45" s="11" t="str">
        <f aca="false">IF($D45=0,"",INDEX($AH44:$CS44,1,$D45)&amp;"")</f>
        <v/>
      </c>
      <c r="H45" s="11" t="str">
        <f aca="false">IF($E45=0,"",INDEX($AH44:$CS44,1,$E45)&amp;"")</f>
        <v/>
      </c>
      <c r="I45" s="11" t="n">
        <f aca="false">IF(OR($D45=0,$E45=0),0,MOD($E45-1,8)-MOD($D45-1,8))</f>
        <v>0</v>
      </c>
      <c r="J45" s="11" t="n">
        <f aca="false">IF(OR($D45=0,$E45=0),0,INT(($E45-1)/8)-INT(($D45-1)/8))</f>
        <v>0</v>
      </c>
      <c r="K45" s="11" t="str">
        <f aca="false">IF($G45="","",RIGHT($G45,1))</f>
        <v/>
      </c>
      <c r="L45" s="11" t="n">
        <f aca="false">IF(OR($D45=0,$E45=0),0,SUMPRODUCT(($AH$3:$CS$3&gt;MIN($D45,$E45))*($AH$3:$CS$3&lt;MAX($D45,$E45))*(MOD($AH$3:$CS$3-MIN($D45,$E45),MAX(1,ABS(SIGN($J45)*8+SIGN($I45))))=0)*($AH44:$CS44&lt;&gt;"")))</f>
        <v>0</v>
      </c>
      <c r="M45" s="11" t="n">
        <f aca="false">IF($K45&lt;&gt;"K",0,IFERROR(--AND($J45=0,ABS($I45)=2,$D45=IF($F45="w",5,61),IF($F45="w",$S44,$V44)=0,IF($I45=2,AND(IF($F45="w",$U44,$X44)=0,INDEX($AH44:$CS44,1,$D45+1)&amp;""="",INDEX($AH44:$CS44,1,$D45+2)&amp;""=""),AND(IF($F45="w",$T44,$W44)=0,INDEX($AH44:$CS44,1,$D45-1)&amp;""="",INDEX($AH44:$CS44,1,$D45-2)&amp;""="",INDEX($AH44:$CS44,1,$D45-3)&amp;""=""))),0))</f>
        <v>0</v>
      </c>
      <c r="N45" s="11" t="n">
        <f aca="false">IF($K45&lt;&gt;"P",0,IFERROR(--OR(AND($I45=0,$J45=IF($F45="w",1,-1),$H45=""),AND($I45=0,$J45=2*IF($F45="w",1,-1),$H45="",INT(($D45-1)/8)=IF($F45="w",1,6),INDEX($AH44:$CS44,1,MAX(1,MIN(64,$D45+8*IF($F45="w",1,-1))))&amp;""=""),AND(ABS($I45)=1,$J45=IF($F45="w",1,-1),$H45&lt;&gt;""),AND(ABS($I45)=1,$J45=IF($F45="w",1,-1),$H45="",$R44&gt;0,$E45=$R44)),0))</f>
        <v>0</v>
      </c>
      <c r="O45" s="11" t="n">
        <f aca="false">IF(OR($D45=0,$E45=0,$G45=""),0,IF($K45="N",--OR(AND(ABS($I45)=1,ABS($J45)=2),AND(ABS($I45)=2,ABS($J45)=1)),IF($K45="B",--AND(ABS($I45)=ABS($J45),$I45&lt;&gt;0,$L45=0),IF($K45="R",--AND(OR($I45=0,$J45=0),OR($I45&lt;&gt;0,$J45&lt;&gt;0),$L45=0),IF($K45="Q",--AND(OR(AND(ABS($I45)=ABS($J45),$I45&lt;&gt;0),AND(OR($I45=0,$J45=0),OR($I45&lt;&gt;0,$J45&lt;&gt;0))),$L45=0),IF($K45="K",--OR(MAX(ABS($I45),ABS($J45))=1,$M45=1),$N45))))))</f>
        <v>0</v>
      </c>
      <c r="P45" s="11" t="n">
        <f aca="false">IF($Q45="OK",1,0)</f>
        <v>0</v>
      </c>
      <c r="Q45" s="11" t="str">
        <f aca="false">IF($B45="","",IF(OR(COUNTIF($AH44:$CS44,"wK")=0,COUNTIF($AH44:$CS44,"bK")=0),"Game is over",IF(OR($D45=0,$E45=0),"Use the format e2e4",IF($G45="","No piece on that square",IF(LEFT($G45,1)&lt;&gt;$F45,"Not your piece ("&amp;IF($F45="w","White","Black")&amp;" to move)",IF($D45=$E45,"Piece must move",IF(AND($H45&lt;&gt;"",LEFT($H45,1)=$F45),"Cannot capture your own piece",IF($O45=0,"Illegal move for that piece (or path blocked)","OK"))))))))</f>
        <v/>
      </c>
      <c r="R45" s="11" t="n">
        <f aca="false">IF($P45=1,IF(AND($K45="P",ABS($J45)=2),($D45+$E45)/2,0),$R44)</f>
        <v>0</v>
      </c>
      <c r="S45" s="12" t="b">
        <f aca="false">--OR($S44=1,AND($P45=1,OR($D45=5,$E45=5)))</f>
        <v>0</v>
      </c>
      <c r="T45" s="12" t="b">
        <f aca="false">--OR($T44=1,AND($P45=1,OR($D45=1,$E45=1)))</f>
        <v>0</v>
      </c>
      <c r="U45" s="12" t="b">
        <f aca="false">--OR($U44=1,AND($P45=1,OR($D45=8,$E45=8)))</f>
        <v>0</v>
      </c>
      <c r="V45" s="12" t="b">
        <f aca="false">--OR($V44=1,AND($P45=1,OR($D45=61,$E45=61)))</f>
        <v>0</v>
      </c>
      <c r="W45" s="12" t="b">
        <f aca="false">--OR($W44=1,AND($P45=1,OR($D45=57,$E45=57)))</f>
        <v>0</v>
      </c>
      <c r="X45" s="12" t="b">
        <f aca="false">--OR($X44=1,AND($P45=1,OR($D45=64,$E45=64)))</f>
        <v>0</v>
      </c>
      <c r="Y45" s="12" t="b">
        <f aca="false">--AND($P45=1,$K45="K",ABS($I45)=2)</f>
        <v>0</v>
      </c>
      <c r="Z45" s="12" t="b">
        <f aca="false">--AND($P45=1,$K45="P",ABS($I45)=1,$H45="")</f>
        <v>0</v>
      </c>
      <c r="AA45" s="12" t="b">
        <f aca="false">--AND($P45=1,$K45="P",INT(($E45-1)/8)=IF($F45="w",7,0))</f>
        <v>0</v>
      </c>
      <c r="AB45" s="11" t="str">
        <f aca="false">IF(LEN($C45)&gt;=5,IF(ISNUMBER(FIND(MID($C45,5,1),"qrbn")),UPPER(MID($C45,5,1)),"Q"),"Q")</f>
        <v>Q</v>
      </c>
      <c r="AC45" s="11" t="n">
        <f aca="false">IF($Y45=1,IF($I45=2,$D45+3,$D45-4),0)</f>
        <v>0</v>
      </c>
      <c r="AD45" s="11" t="n">
        <f aca="false">IF($Y45=1,IF($I45=2,$D45+1,$D45-1),0)</f>
        <v>0</v>
      </c>
      <c r="AE45" s="11" t="n">
        <f aca="false">IF($Z45=1,$E45-8*IF($F45="w",1,-1),0)</f>
        <v>0</v>
      </c>
      <c r="AF45" s="11" t="str">
        <f aca="false">IF($B45="","",IF($P45=1,LOWER(INDEX($CV$2:$CV$13,MATCH($G45,$CU$2:$CU$13,0)))&amp;" "&amp;MID("abcdefgh",MOD($D45-1,8)+1,1)&amp;(INT(($D45-1)/8)+1)&amp;"→"&amp;MID("abcdefgh",MOD($E45-1,8)+1,1)&amp;(INT(($E45-1)/8)+1)&amp;IF(OR($H45&lt;&gt;"",$Z45=1)," ×","")&amp;IF($Y45=1," castles","")&amp;IF($Z45=1," e.p.","")&amp;IF($AA45=1," =" &amp;LOWER(INDEX($CV$2:$CV$13,MATCH($F45&amp;$AB45,$CU$2:$CU$13,0))),""),"X "&amp;$Q45))</f>
        <v/>
      </c>
      <c r="AG45" s="11"/>
      <c r="AH45" s="11" t="str">
        <f aca="false">IF($P45=0,AH44,IF(AH$3=$E45,IF($AA45=1,$F45&amp;$AB45,$G45),IF(OR(AH$3=$D45,AH$3=$AC45,AH$3=$AE45),"",IF(AH$3=$AD45,$F45&amp;"R",AH44))))</f>
        <v>wR</v>
      </c>
      <c r="AI45" s="11" t="str">
        <f aca="false">IF($P45=0,AI44,IF(AI$3=$E45,IF($AA45=1,$F45&amp;$AB45,$G45),IF(OR(AI$3=$D45,AI$3=$AC45,AI$3=$AE45),"",IF(AI$3=$AD45,$F45&amp;"R",AI44))))</f>
        <v>wN</v>
      </c>
      <c r="AJ45" s="11" t="str">
        <f aca="false">IF($P45=0,AJ44,IF(AJ$3=$E45,IF($AA45=1,$F45&amp;$AB45,$G45),IF(OR(AJ$3=$D45,AJ$3=$AC45,AJ$3=$AE45),"",IF(AJ$3=$AD45,$F45&amp;"R",AJ44))))</f>
        <v>wB</v>
      </c>
      <c r="AK45" s="11" t="str">
        <f aca="false">IF($P45=0,AK44,IF(AK$3=$E45,IF($AA45=1,$F45&amp;$AB45,$G45),IF(OR(AK$3=$D45,AK$3=$AC45,AK$3=$AE45),"",IF(AK$3=$AD45,$F45&amp;"R",AK44))))</f>
        <v>wQ</v>
      </c>
      <c r="AL45" s="11" t="str">
        <f aca="false">IF($P45=0,AL44,IF(AL$3=$E45,IF($AA45=1,$F45&amp;$AB45,$G45),IF(OR(AL$3=$D45,AL$3=$AC45,AL$3=$AE45),"",IF(AL$3=$AD45,$F45&amp;"R",AL44))))</f>
        <v>wK</v>
      </c>
      <c r="AM45" s="11" t="str">
        <f aca="false">IF($P45=0,AM44,IF(AM$3=$E45,IF($AA45=1,$F45&amp;$AB45,$G45),IF(OR(AM$3=$D45,AM$3=$AC45,AM$3=$AE45),"",IF(AM$3=$AD45,$F45&amp;"R",AM44))))</f>
        <v>wB</v>
      </c>
      <c r="AN45" s="11" t="str">
        <f aca="false">IF($P45=0,AN44,IF(AN$3=$E45,IF($AA45=1,$F45&amp;$AB45,$G45),IF(OR(AN$3=$D45,AN$3=$AC45,AN$3=$AE45),"",IF(AN$3=$AD45,$F45&amp;"R",AN44))))</f>
        <v>wN</v>
      </c>
      <c r="AO45" s="11" t="str">
        <f aca="false">IF($P45=0,AO44,IF(AO$3=$E45,IF($AA45=1,$F45&amp;$AB45,$G45),IF(OR(AO$3=$D45,AO$3=$AC45,AO$3=$AE45),"",IF(AO$3=$AD45,$F45&amp;"R",AO44))))</f>
        <v>wR</v>
      </c>
      <c r="AP45" s="11" t="str">
        <f aca="false">IF($P45=0,AP44,IF(AP$3=$E45,IF($AA45=1,$F45&amp;$AB45,$G45),IF(OR(AP$3=$D45,AP$3=$AC45,AP$3=$AE45),"",IF(AP$3=$AD45,$F45&amp;"R",AP44))))</f>
        <v>wP</v>
      </c>
      <c r="AQ45" s="11" t="str">
        <f aca="false">IF($P45=0,AQ44,IF(AQ$3=$E45,IF($AA45=1,$F45&amp;$AB45,$G45),IF(OR(AQ$3=$D45,AQ$3=$AC45,AQ$3=$AE45),"",IF(AQ$3=$AD45,$F45&amp;"R",AQ44))))</f>
        <v>wP</v>
      </c>
      <c r="AR45" s="11" t="str">
        <f aca="false">IF($P45=0,AR44,IF(AR$3=$E45,IF($AA45=1,$F45&amp;$AB45,$G45),IF(OR(AR$3=$D45,AR$3=$AC45,AR$3=$AE45),"",IF(AR$3=$AD45,$F45&amp;"R",AR44))))</f>
        <v>wP</v>
      </c>
      <c r="AS45" s="11" t="str">
        <f aca="false">IF($P45=0,AS44,IF(AS$3=$E45,IF($AA45=1,$F45&amp;$AB45,$G45),IF(OR(AS$3=$D45,AS$3=$AC45,AS$3=$AE45),"",IF(AS$3=$AD45,$F45&amp;"R",AS44))))</f>
        <v>wP</v>
      </c>
      <c r="AT45" s="11" t="str">
        <f aca="false">IF($P45=0,AT44,IF(AT$3=$E45,IF($AA45=1,$F45&amp;$AB45,$G45),IF(OR(AT$3=$D45,AT$3=$AC45,AT$3=$AE45),"",IF(AT$3=$AD45,$F45&amp;"R",AT44))))</f>
        <v>wP</v>
      </c>
      <c r="AU45" s="11" t="str">
        <f aca="false">IF($P45=0,AU44,IF(AU$3=$E45,IF($AA45=1,$F45&amp;$AB45,$G45),IF(OR(AU$3=$D45,AU$3=$AC45,AU$3=$AE45),"",IF(AU$3=$AD45,$F45&amp;"R",AU44))))</f>
        <v>wP</v>
      </c>
      <c r="AV45" s="11" t="str">
        <f aca="false">IF($P45=0,AV44,IF(AV$3=$E45,IF($AA45=1,$F45&amp;$AB45,$G45),IF(OR(AV$3=$D45,AV$3=$AC45,AV$3=$AE45),"",IF(AV$3=$AD45,$F45&amp;"R",AV44))))</f>
        <v>wP</v>
      </c>
      <c r="AW45" s="11" t="str">
        <f aca="false">IF($P45=0,AW44,IF(AW$3=$E45,IF($AA45=1,$F45&amp;$AB45,$G45),IF(OR(AW$3=$D45,AW$3=$AC45,AW$3=$AE45),"",IF(AW$3=$AD45,$F45&amp;"R",AW44))))</f>
        <v>wP</v>
      </c>
      <c r="AX45" s="11" t="str">
        <f aca="false">IF($P45=0,AX44,IF(AX$3=$E45,IF($AA45=1,$F45&amp;$AB45,$G45),IF(OR(AX$3=$D45,AX$3=$AC45,AX$3=$AE45),"",IF(AX$3=$AD45,$F45&amp;"R",AX44))))</f>
        <v/>
      </c>
      <c r="AY45" s="11" t="str">
        <f aca="false">IF($P45=0,AY44,IF(AY$3=$E45,IF($AA45=1,$F45&amp;$AB45,$G45),IF(OR(AY$3=$D45,AY$3=$AC45,AY$3=$AE45),"",IF(AY$3=$AD45,$F45&amp;"R",AY44))))</f>
        <v/>
      </c>
      <c r="AZ45" s="11" t="str">
        <f aca="false">IF($P45=0,AZ44,IF(AZ$3=$E45,IF($AA45=1,$F45&amp;$AB45,$G45),IF(OR(AZ$3=$D45,AZ$3=$AC45,AZ$3=$AE45),"",IF(AZ$3=$AD45,$F45&amp;"R",AZ44))))</f>
        <v/>
      </c>
      <c r="BA45" s="11" t="str">
        <f aca="false">IF($P45=0,BA44,IF(BA$3=$E45,IF($AA45=1,$F45&amp;$AB45,$G45),IF(OR(BA$3=$D45,BA$3=$AC45,BA$3=$AE45),"",IF(BA$3=$AD45,$F45&amp;"R",BA44))))</f>
        <v/>
      </c>
      <c r="BB45" s="11" t="str">
        <f aca="false">IF($P45=0,BB44,IF(BB$3=$E45,IF($AA45=1,$F45&amp;$AB45,$G45),IF(OR(BB$3=$D45,BB$3=$AC45,BB$3=$AE45),"",IF(BB$3=$AD45,$F45&amp;"R",BB44))))</f>
        <v/>
      </c>
      <c r="BC45" s="11" t="str">
        <f aca="false">IF($P45=0,BC44,IF(BC$3=$E45,IF($AA45=1,$F45&amp;$AB45,$G45),IF(OR(BC$3=$D45,BC$3=$AC45,BC$3=$AE45),"",IF(BC$3=$AD45,$F45&amp;"R",BC44))))</f>
        <v/>
      </c>
      <c r="BD45" s="11" t="str">
        <f aca="false">IF($P45=0,BD44,IF(BD$3=$E45,IF($AA45=1,$F45&amp;$AB45,$G45),IF(OR(BD$3=$D45,BD$3=$AC45,BD$3=$AE45),"",IF(BD$3=$AD45,$F45&amp;"R",BD44))))</f>
        <v/>
      </c>
      <c r="BE45" s="11" t="str">
        <f aca="false">IF($P45=0,BE44,IF(BE$3=$E45,IF($AA45=1,$F45&amp;$AB45,$G45),IF(OR(BE$3=$D45,BE$3=$AC45,BE$3=$AE45),"",IF(BE$3=$AD45,$F45&amp;"R",BE44))))</f>
        <v/>
      </c>
      <c r="BF45" s="11" t="str">
        <f aca="false">IF($P45=0,BF44,IF(BF$3=$E45,IF($AA45=1,$F45&amp;$AB45,$G45),IF(OR(BF$3=$D45,BF$3=$AC45,BF$3=$AE45),"",IF(BF$3=$AD45,$F45&amp;"R",BF44))))</f>
        <v/>
      </c>
      <c r="BG45" s="11" t="str">
        <f aca="false">IF($P45=0,BG44,IF(BG$3=$E45,IF($AA45=1,$F45&amp;$AB45,$G45),IF(OR(BG$3=$D45,BG$3=$AC45,BG$3=$AE45),"",IF(BG$3=$AD45,$F45&amp;"R",BG44))))</f>
        <v/>
      </c>
      <c r="BH45" s="11" t="str">
        <f aca="false">IF($P45=0,BH44,IF(BH$3=$E45,IF($AA45=1,$F45&amp;$AB45,$G45),IF(OR(BH$3=$D45,BH$3=$AC45,BH$3=$AE45),"",IF(BH$3=$AD45,$F45&amp;"R",BH44))))</f>
        <v/>
      </c>
      <c r="BI45" s="11" t="str">
        <f aca="false">IF($P45=0,BI44,IF(BI$3=$E45,IF($AA45=1,$F45&amp;$AB45,$G45),IF(OR(BI$3=$D45,BI$3=$AC45,BI$3=$AE45),"",IF(BI$3=$AD45,$F45&amp;"R",BI44))))</f>
        <v/>
      </c>
      <c r="BJ45" s="11" t="str">
        <f aca="false">IF($P45=0,BJ44,IF(BJ$3=$E45,IF($AA45=1,$F45&amp;$AB45,$G45),IF(OR(BJ$3=$D45,BJ$3=$AC45,BJ$3=$AE45),"",IF(BJ$3=$AD45,$F45&amp;"R",BJ44))))</f>
        <v/>
      </c>
      <c r="BK45" s="11" t="str">
        <f aca="false">IF($P45=0,BK44,IF(BK$3=$E45,IF($AA45=1,$F45&amp;$AB45,$G45),IF(OR(BK$3=$D45,BK$3=$AC45,BK$3=$AE45),"",IF(BK$3=$AD45,$F45&amp;"R",BK44))))</f>
        <v/>
      </c>
      <c r="BL45" s="11" t="str">
        <f aca="false">IF($P45=0,BL44,IF(BL$3=$E45,IF($AA45=1,$F45&amp;$AB45,$G45),IF(OR(BL$3=$D45,BL$3=$AC45,BL$3=$AE45),"",IF(BL$3=$AD45,$F45&amp;"R",BL44))))</f>
        <v/>
      </c>
      <c r="BM45" s="11" t="str">
        <f aca="false">IF($P45=0,BM44,IF(BM$3=$E45,IF($AA45=1,$F45&amp;$AB45,$G45),IF(OR(BM$3=$D45,BM$3=$AC45,BM$3=$AE45),"",IF(BM$3=$AD45,$F45&amp;"R",BM44))))</f>
        <v/>
      </c>
      <c r="BN45" s="11" t="str">
        <f aca="false">IF($P45=0,BN44,IF(BN$3=$E45,IF($AA45=1,$F45&amp;$AB45,$G45),IF(OR(BN$3=$D45,BN$3=$AC45,BN$3=$AE45),"",IF(BN$3=$AD45,$F45&amp;"R",BN44))))</f>
        <v/>
      </c>
      <c r="BO45" s="11" t="str">
        <f aca="false">IF($P45=0,BO44,IF(BO$3=$E45,IF($AA45=1,$F45&amp;$AB45,$G45),IF(OR(BO$3=$D45,BO$3=$AC45,BO$3=$AE45),"",IF(BO$3=$AD45,$F45&amp;"R",BO44))))</f>
        <v/>
      </c>
      <c r="BP45" s="11" t="str">
        <f aca="false">IF($P45=0,BP44,IF(BP$3=$E45,IF($AA45=1,$F45&amp;$AB45,$G45),IF(OR(BP$3=$D45,BP$3=$AC45,BP$3=$AE45),"",IF(BP$3=$AD45,$F45&amp;"R",BP44))))</f>
        <v/>
      </c>
      <c r="BQ45" s="11" t="str">
        <f aca="false">IF($P45=0,BQ44,IF(BQ$3=$E45,IF($AA45=1,$F45&amp;$AB45,$G45),IF(OR(BQ$3=$D45,BQ$3=$AC45,BQ$3=$AE45),"",IF(BQ$3=$AD45,$F45&amp;"R",BQ44))))</f>
        <v/>
      </c>
      <c r="BR45" s="11" t="str">
        <f aca="false">IF($P45=0,BR44,IF(BR$3=$E45,IF($AA45=1,$F45&amp;$AB45,$G45),IF(OR(BR$3=$D45,BR$3=$AC45,BR$3=$AE45),"",IF(BR$3=$AD45,$F45&amp;"R",BR44))))</f>
        <v/>
      </c>
      <c r="BS45" s="11" t="str">
        <f aca="false">IF($P45=0,BS44,IF(BS$3=$E45,IF($AA45=1,$F45&amp;$AB45,$G45),IF(OR(BS$3=$D45,BS$3=$AC45,BS$3=$AE45),"",IF(BS$3=$AD45,$F45&amp;"R",BS44))))</f>
        <v/>
      </c>
      <c r="BT45" s="11" t="str">
        <f aca="false">IF($P45=0,BT44,IF(BT$3=$E45,IF($AA45=1,$F45&amp;$AB45,$G45),IF(OR(BT$3=$D45,BT$3=$AC45,BT$3=$AE45),"",IF(BT$3=$AD45,$F45&amp;"R",BT44))))</f>
        <v/>
      </c>
      <c r="BU45" s="11" t="str">
        <f aca="false">IF($P45=0,BU44,IF(BU$3=$E45,IF($AA45=1,$F45&amp;$AB45,$G45),IF(OR(BU$3=$D45,BU$3=$AC45,BU$3=$AE45),"",IF(BU$3=$AD45,$F45&amp;"R",BU44))))</f>
        <v/>
      </c>
      <c r="BV45" s="11" t="str">
        <f aca="false">IF($P45=0,BV44,IF(BV$3=$E45,IF($AA45=1,$F45&amp;$AB45,$G45),IF(OR(BV$3=$D45,BV$3=$AC45,BV$3=$AE45),"",IF(BV$3=$AD45,$F45&amp;"R",BV44))))</f>
        <v/>
      </c>
      <c r="BW45" s="11" t="str">
        <f aca="false">IF($P45=0,BW44,IF(BW$3=$E45,IF($AA45=1,$F45&amp;$AB45,$G45),IF(OR(BW$3=$D45,BW$3=$AC45,BW$3=$AE45),"",IF(BW$3=$AD45,$F45&amp;"R",BW44))))</f>
        <v/>
      </c>
      <c r="BX45" s="11" t="str">
        <f aca="false">IF($P45=0,BX44,IF(BX$3=$E45,IF($AA45=1,$F45&amp;$AB45,$G45),IF(OR(BX$3=$D45,BX$3=$AC45,BX$3=$AE45),"",IF(BX$3=$AD45,$F45&amp;"R",BX44))))</f>
        <v/>
      </c>
      <c r="BY45" s="11" t="str">
        <f aca="false">IF($P45=0,BY44,IF(BY$3=$E45,IF($AA45=1,$F45&amp;$AB45,$G45),IF(OR(BY$3=$D45,BY$3=$AC45,BY$3=$AE45),"",IF(BY$3=$AD45,$F45&amp;"R",BY44))))</f>
        <v/>
      </c>
      <c r="BZ45" s="11" t="str">
        <f aca="false">IF($P45=0,BZ44,IF(BZ$3=$E45,IF($AA45=1,$F45&amp;$AB45,$G45),IF(OR(BZ$3=$D45,BZ$3=$AC45,BZ$3=$AE45),"",IF(BZ$3=$AD45,$F45&amp;"R",BZ44))))</f>
        <v/>
      </c>
      <c r="CA45" s="11" t="str">
        <f aca="false">IF($P45=0,CA44,IF(CA$3=$E45,IF($AA45=1,$F45&amp;$AB45,$G45),IF(OR(CA$3=$D45,CA$3=$AC45,CA$3=$AE45),"",IF(CA$3=$AD45,$F45&amp;"R",CA44))))</f>
        <v/>
      </c>
      <c r="CB45" s="11" t="str">
        <f aca="false">IF($P45=0,CB44,IF(CB$3=$E45,IF($AA45=1,$F45&amp;$AB45,$G45),IF(OR(CB$3=$D45,CB$3=$AC45,CB$3=$AE45),"",IF(CB$3=$AD45,$F45&amp;"R",CB44))))</f>
        <v/>
      </c>
      <c r="CC45" s="11" t="str">
        <f aca="false">IF($P45=0,CC44,IF(CC$3=$E45,IF($AA45=1,$F45&amp;$AB45,$G45),IF(OR(CC$3=$D45,CC$3=$AC45,CC$3=$AE45),"",IF(CC$3=$AD45,$F45&amp;"R",CC44))))</f>
        <v/>
      </c>
      <c r="CD45" s="11" t="str">
        <f aca="false">IF($P45=0,CD44,IF(CD$3=$E45,IF($AA45=1,$F45&amp;$AB45,$G45),IF(OR(CD$3=$D45,CD$3=$AC45,CD$3=$AE45),"",IF(CD$3=$AD45,$F45&amp;"R",CD44))))</f>
        <v>bP</v>
      </c>
      <c r="CE45" s="11" t="str">
        <f aca="false">IF($P45=0,CE44,IF(CE$3=$E45,IF($AA45=1,$F45&amp;$AB45,$G45),IF(OR(CE$3=$D45,CE$3=$AC45,CE$3=$AE45),"",IF(CE$3=$AD45,$F45&amp;"R",CE44))))</f>
        <v>bP</v>
      </c>
      <c r="CF45" s="11" t="str">
        <f aca="false">IF($P45=0,CF44,IF(CF$3=$E45,IF($AA45=1,$F45&amp;$AB45,$G45),IF(OR(CF$3=$D45,CF$3=$AC45,CF$3=$AE45),"",IF(CF$3=$AD45,$F45&amp;"R",CF44))))</f>
        <v>bP</v>
      </c>
      <c r="CG45" s="11" t="str">
        <f aca="false">IF($P45=0,CG44,IF(CG$3=$E45,IF($AA45=1,$F45&amp;$AB45,$G45),IF(OR(CG$3=$D45,CG$3=$AC45,CG$3=$AE45),"",IF(CG$3=$AD45,$F45&amp;"R",CG44))))</f>
        <v>bP</v>
      </c>
      <c r="CH45" s="11" t="str">
        <f aca="false">IF($P45=0,CH44,IF(CH$3=$E45,IF($AA45=1,$F45&amp;$AB45,$G45),IF(OR(CH$3=$D45,CH$3=$AC45,CH$3=$AE45),"",IF(CH$3=$AD45,$F45&amp;"R",CH44))))</f>
        <v>bP</v>
      </c>
      <c r="CI45" s="11" t="str">
        <f aca="false">IF($P45=0,CI44,IF(CI$3=$E45,IF($AA45=1,$F45&amp;$AB45,$G45),IF(OR(CI$3=$D45,CI$3=$AC45,CI$3=$AE45),"",IF(CI$3=$AD45,$F45&amp;"R",CI44))))</f>
        <v>bP</v>
      </c>
      <c r="CJ45" s="11" t="str">
        <f aca="false">IF($P45=0,CJ44,IF(CJ$3=$E45,IF($AA45=1,$F45&amp;$AB45,$G45),IF(OR(CJ$3=$D45,CJ$3=$AC45,CJ$3=$AE45),"",IF(CJ$3=$AD45,$F45&amp;"R",CJ44))))</f>
        <v>bP</v>
      </c>
      <c r="CK45" s="11" t="str">
        <f aca="false">IF($P45=0,CK44,IF(CK$3=$E45,IF($AA45=1,$F45&amp;$AB45,$G45),IF(OR(CK$3=$D45,CK$3=$AC45,CK$3=$AE45),"",IF(CK$3=$AD45,$F45&amp;"R",CK44))))</f>
        <v>bP</v>
      </c>
      <c r="CL45" s="11" t="str">
        <f aca="false">IF($P45=0,CL44,IF(CL$3=$E45,IF($AA45=1,$F45&amp;$AB45,$G45),IF(OR(CL$3=$D45,CL$3=$AC45,CL$3=$AE45),"",IF(CL$3=$AD45,$F45&amp;"R",CL44))))</f>
        <v>bR</v>
      </c>
      <c r="CM45" s="11" t="str">
        <f aca="false">IF($P45=0,CM44,IF(CM$3=$E45,IF($AA45=1,$F45&amp;$AB45,$G45),IF(OR(CM$3=$D45,CM$3=$AC45,CM$3=$AE45),"",IF(CM$3=$AD45,$F45&amp;"R",CM44))))</f>
        <v>bN</v>
      </c>
      <c r="CN45" s="11" t="str">
        <f aca="false">IF($P45=0,CN44,IF(CN$3=$E45,IF($AA45=1,$F45&amp;$AB45,$G45),IF(OR(CN$3=$D45,CN$3=$AC45,CN$3=$AE45),"",IF(CN$3=$AD45,$F45&amp;"R",CN44))))</f>
        <v>bB</v>
      </c>
      <c r="CO45" s="11" t="str">
        <f aca="false">IF($P45=0,CO44,IF(CO$3=$E45,IF($AA45=1,$F45&amp;$AB45,$G45),IF(OR(CO$3=$D45,CO$3=$AC45,CO$3=$AE45),"",IF(CO$3=$AD45,$F45&amp;"R",CO44))))</f>
        <v>bQ</v>
      </c>
      <c r="CP45" s="11" t="str">
        <f aca="false">IF($P45=0,CP44,IF(CP$3=$E45,IF($AA45=1,$F45&amp;$AB45,$G45),IF(OR(CP$3=$D45,CP$3=$AC45,CP$3=$AE45),"",IF(CP$3=$AD45,$F45&amp;"R",CP44))))</f>
        <v>bK</v>
      </c>
      <c r="CQ45" s="11" t="str">
        <f aca="false">IF($P45=0,CQ44,IF(CQ$3=$E45,IF($AA45=1,$F45&amp;$AB45,$G45),IF(OR(CQ$3=$D45,CQ$3=$AC45,CQ$3=$AE45),"",IF(CQ$3=$AD45,$F45&amp;"R",CQ44))))</f>
        <v>bB</v>
      </c>
      <c r="CR45" s="11" t="str">
        <f aca="false">IF($P45=0,CR44,IF(CR$3=$E45,IF($AA45=1,$F45&amp;$AB45,$G45),IF(OR(CR$3=$D45,CR$3=$AC45,CR$3=$AE45),"",IF(CR$3=$AD45,$F45&amp;"R",CR44))))</f>
        <v>bN</v>
      </c>
      <c r="CS45" s="11" t="str">
        <f aca="false">IF($P45=0,CS44,IF(CS$3=$E45,IF($AA45=1,$F45&amp;$AB45,$G45),IF(OR(CS$3=$D45,CS$3=$AC45,CS$3=$AE45),"",IF(CS$3=$AD45,$F45&amp;"R",CS44))))</f>
        <v>bR</v>
      </c>
      <c r="CT45" s="11"/>
      <c r="CU45" s="11"/>
      <c r="CV45" s="11"/>
    </row>
    <row r="46" customFormat="false" ht="15" hidden="false" customHeight="false" outlineLevel="0" collapsed="false">
      <c r="A46" s="11" t="n">
        <v>41</v>
      </c>
      <c r="B46" s="11" t="str">
        <f aca="false">IF(Chess!$L$50="","",Chess!$L$50&amp;"")</f>
        <v/>
      </c>
      <c r="C46" s="11" t="str">
        <f aca="false">LOWER(SUBSTITUTE(SUBSTITUTE(SUBSTITUTE(SUBSTITUTE(TRIM($B46),"-",""),"=","")," ",""),"x",""))</f>
        <v/>
      </c>
      <c r="D46" s="11" t="n">
        <f aca="false">IF(LEN($C46)&lt;4,0,IFERROR(IF(AND(CODE(MID($C46,1,1))&gt;=97,CODE(MID($C46,1,1))&lt;=104,VALUE(MID($C46,2,1))&gt;=1,VALUE(MID($C46,2,1))&lt;=8),(VALUE(MID($C46,2,1))-1)*8+CODE(MID($C46,1,1))-96,0),0))</f>
        <v>0</v>
      </c>
      <c r="E46" s="11" t="n">
        <f aca="false">IF(LEN($C46)&lt;4,0,IFERROR(IF(AND(CODE(MID($C46,3,1))&gt;=97,CODE(MID($C46,3,1))&lt;=104,VALUE(MID($C46,4,1))&gt;=1,VALUE(MID($C46,4,1))&lt;=8),(VALUE(MID($C46,4,1))-1)*8+CODE(MID($C46,3,1))-96,0),0))</f>
        <v>0</v>
      </c>
      <c r="F46" s="11" t="str">
        <f aca="false">IF(MOD(SUM($P$5:$P45),2)=0,"w","b")</f>
        <v>w</v>
      </c>
      <c r="G46" s="11" t="str">
        <f aca="false">IF($D46=0,"",INDEX($AH45:$CS45,1,$D46)&amp;"")</f>
        <v/>
      </c>
      <c r="H46" s="11" t="str">
        <f aca="false">IF($E46=0,"",INDEX($AH45:$CS45,1,$E46)&amp;"")</f>
        <v/>
      </c>
      <c r="I46" s="11" t="n">
        <f aca="false">IF(OR($D46=0,$E46=0),0,MOD($E46-1,8)-MOD($D46-1,8))</f>
        <v>0</v>
      </c>
      <c r="J46" s="11" t="n">
        <f aca="false">IF(OR($D46=0,$E46=0),0,INT(($E46-1)/8)-INT(($D46-1)/8))</f>
        <v>0</v>
      </c>
      <c r="K46" s="11" t="str">
        <f aca="false">IF($G46="","",RIGHT($G46,1))</f>
        <v/>
      </c>
      <c r="L46" s="11" t="n">
        <f aca="false">IF(OR($D46=0,$E46=0),0,SUMPRODUCT(($AH$3:$CS$3&gt;MIN($D46,$E46))*($AH$3:$CS$3&lt;MAX($D46,$E46))*(MOD($AH$3:$CS$3-MIN($D46,$E46),MAX(1,ABS(SIGN($J46)*8+SIGN($I46))))=0)*($AH45:$CS45&lt;&gt;"")))</f>
        <v>0</v>
      </c>
      <c r="M46" s="11" t="n">
        <f aca="false">IF($K46&lt;&gt;"K",0,IFERROR(--AND($J46=0,ABS($I46)=2,$D46=IF($F46="w",5,61),IF($F46="w",$S45,$V45)=0,IF($I46=2,AND(IF($F46="w",$U45,$X45)=0,INDEX($AH45:$CS45,1,$D46+1)&amp;""="",INDEX($AH45:$CS45,1,$D46+2)&amp;""=""),AND(IF($F46="w",$T45,$W45)=0,INDEX($AH45:$CS45,1,$D46-1)&amp;""="",INDEX($AH45:$CS45,1,$D46-2)&amp;""="",INDEX($AH45:$CS45,1,$D46-3)&amp;""=""))),0))</f>
        <v>0</v>
      </c>
      <c r="N46" s="11" t="n">
        <f aca="false">IF($K46&lt;&gt;"P",0,IFERROR(--OR(AND($I46=0,$J46=IF($F46="w",1,-1),$H46=""),AND($I46=0,$J46=2*IF($F46="w",1,-1),$H46="",INT(($D46-1)/8)=IF($F46="w",1,6),INDEX($AH45:$CS45,1,MAX(1,MIN(64,$D46+8*IF($F46="w",1,-1))))&amp;""=""),AND(ABS($I46)=1,$J46=IF($F46="w",1,-1),$H46&lt;&gt;""),AND(ABS($I46)=1,$J46=IF($F46="w",1,-1),$H46="",$R45&gt;0,$E46=$R45)),0))</f>
        <v>0</v>
      </c>
      <c r="O46" s="11" t="n">
        <f aca="false">IF(OR($D46=0,$E46=0,$G46=""),0,IF($K46="N",--OR(AND(ABS($I46)=1,ABS($J46)=2),AND(ABS($I46)=2,ABS($J46)=1)),IF($K46="B",--AND(ABS($I46)=ABS($J46),$I46&lt;&gt;0,$L46=0),IF($K46="R",--AND(OR($I46=0,$J46=0),OR($I46&lt;&gt;0,$J46&lt;&gt;0),$L46=0),IF($K46="Q",--AND(OR(AND(ABS($I46)=ABS($J46),$I46&lt;&gt;0),AND(OR($I46=0,$J46=0),OR($I46&lt;&gt;0,$J46&lt;&gt;0))),$L46=0),IF($K46="K",--OR(MAX(ABS($I46),ABS($J46))=1,$M46=1),$N46))))))</f>
        <v>0</v>
      </c>
      <c r="P46" s="11" t="n">
        <f aca="false">IF($Q46="OK",1,0)</f>
        <v>0</v>
      </c>
      <c r="Q46" s="11" t="str">
        <f aca="false">IF($B46="","",IF(OR(COUNTIF($AH45:$CS45,"wK")=0,COUNTIF($AH45:$CS45,"bK")=0),"Game is over",IF(OR($D46=0,$E46=0),"Use the format e2e4",IF($G46="","No piece on that square",IF(LEFT($G46,1)&lt;&gt;$F46,"Not your piece ("&amp;IF($F46="w","White","Black")&amp;" to move)",IF($D46=$E46,"Piece must move",IF(AND($H46&lt;&gt;"",LEFT($H46,1)=$F46),"Cannot capture your own piece",IF($O46=0,"Illegal move for that piece (or path blocked)","OK"))))))))</f>
        <v/>
      </c>
      <c r="R46" s="11" t="n">
        <f aca="false">IF($P46=1,IF(AND($K46="P",ABS($J46)=2),($D46+$E46)/2,0),$R45)</f>
        <v>0</v>
      </c>
      <c r="S46" s="12" t="b">
        <f aca="false">--OR($S45=1,AND($P46=1,OR($D46=5,$E46=5)))</f>
        <v>0</v>
      </c>
      <c r="T46" s="12" t="b">
        <f aca="false">--OR($T45=1,AND($P46=1,OR($D46=1,$E46=1)))</f>
        <v>0</v>
      </c>
      <c r="U46" s="12" t="b">
        <f aca="false">--OR($U45=1,AND($P46=1,OR($D46=8,$E46=8)))</f>
        <v>0</v>
      </c>
      <c r="V46" s="12" t="b">
        <f aca="false">--OR($V45=1,AND($P46=1,OR($D46=61,$E46=61)))</f>
        <v>0</v>
      </c>
      <c r="W46" s="12" t="b">
        <f aca="false">--OR($W45=1,AND($P46=1,OR($D46=57,$E46=57)))</f>
        <v>0</v>
      </c>
      <c r="X46" s="12" t="b">
        <f aca="false">--OR($X45=1,AND($P46=1,OR($D46=64,$E46=64)))</f>
        <v>0</v>
      </c>
      <c r="Y46" s="12" t="b">
        <f aca="false">--AND($P46=1,$K46="K",ABS($I46)=2)</f>
        <v>0</v>
      </c>
      <c r="Z46" s="12" t="b">
        <f aca="false">--AND($P46=1,$K46="P",ABS($I46)=1,$H46="")</f>
        <v>0</v>
      </c>
      <c r="AA46" s="12" t="b">
        <f aca="false">--AND($P46=1,$K46="P",INT(($E46-1)/8)=IF($F46="w",7,0))</f>
        <v>0</v>
      </c>
      <c r="AB46" s="11" t="str">
        <f aca="false">IF(LEN($C46)&gt;=5,IF(ISNUMBER(FIND(MID($C46,5,1),"qrbn")),UPPER(MID($C46,5,1)),"Q"),"Q")</f>
        <v>Q</v>
      </c>
      <c r="AC46" s="11" t="n">
        <f aca="false">IF($Y46=1,IF($I46=2,$D46+3,$D46-4),0)</f>
        <v>0</v>
      </c>
      <c r="AD46" s="11" t="n">
        <f aca="false">IF($Y46=1,IF($I46=2,$D46+1,$D46-1),0)</f>
        <v>0</v>
      </c>
      <c r="AE46" s="11" t="n">
        <f aca="false">IF($Z46=1,$E46-8*IF($F46="w",1,-1),0)</f>
        <v>0</v>
      </c>
      <c r="AF46" s="11" t="str">
        <f aca="false">IF($B46="","",IF($P46=1,LOWER(INDEX($CV$2:$CV$13,MATCH($G46,$CU$2:$CU$13,0)))&amp;" "&amp;MID("abcdefgh",MOD($D46-1,8)+1,1)&amp;(INT(($D46-1)/8)+1)&amp;"→"&amp;MID("abcdefgh",MOD($E46-1,8)+1,1)&amp;(INT(($E46-1)/8)+1)&amp;IF(OR($H46&lt;&gt;"",$Z46=1)," ×","")&amp;IF($Y46=1," castles","")&amp;IF($Z46=1," e.p.","")&amp;IF($AA46=1," =" &amp;LOWER(INDEX($CV$2:$CV$13,MATCH($F46&amp;$AB46,$CU$2:$CU$13,0))),""),"X "&amp;$Q46))</f>
        <v/>
      </c>
      <c r="AG46" s="11"/>
      <c r="AH46" s="11" t="str">
        <f aca="false">IF($P46=0,AH45,IF(AH$3=$E46,IF($AA46=1,$F46&amp;$AB46,$G46),IF(OR(AH$3=$D46,AH$3=$AC46,AH$3=$AE46),"",IF(AH$3=$AD46,$F46&amp;"R",AH45))))</f>
        <v>wR</v>
      </c>
      <c r="AI46" s="11" t="str">
        <f aca="false">IF($P46=0,AI45,IF(AI$3=$E46,IF($AA46=1,$F46&amp;$AB46,$G46),IF(OR(AI$3=$D46,AI$3=$AC46,AI$3=$AE46),"",IF(AI$3=$AD46,$F46&amp;"R",AI45))))</f>
        <v>wN</v>
      </c>
      <c r="AJ46" s="11" t="str">
        <f aca="false">IF($P46=0,AJ45,IF(AJ$3=$E46,IF($AA46=1,$F46&amp;$AB46,$G46),IF(OR(AJ$3=$D46,AJ$3=$AC46,AJ$3=$AE46),"",IF(AJ$3=$AD46,$F46&amp;"R",AJ45))))</f>
        <v>wB</v>
      </c>
      <c r="AK46" s="11" t="str">
        <f aca="false">IF($P46=0,AK45,IF(AK$3=$E46,IF($AA46=1,$F46&amp;$AB46,$G46),IF(OR(AK$3=$D46,AK$3=$AC46,AK$3=$AE46),"",IF(AK$3=$AD46,$F46&amp;"R",AK45))))</f>
        <v>wQ</v>
      </c>
      <c r="AL46" s="11" t="str">
        <f aca="false">IF($P46=0,AL45,IF(AL$3=$E46,IF($AA46=1,$F46&amp;$AB46,$G46),IF(OR(AL$3=$D46,AL$3=$AC46,AL$3=$AE46),"",IF(AL$3=$AD46,$F46&amp;"R",AL45))))</f>
        <v>wK</v>
      </c>
      <c r="AM46" s="11" t="str">
        <f aca="false">IF($P46=0,AM45,IF(AM$3=$E46,IF($AA46=1,$F46&amp;$AB46,$G46),IF(OR(AM$3=$D46,AM$3=$AC46,AM$3=$AE46),"",IF(AM$3=$AD46,$F46&amp;"R",AM45))))</f>
        <v>wB</v>
      </c>
      <c r="AN46" s="11" t="str">
        <f aca="false">IF($P46=0,AN45,IF(AN$3=$E46,IF($AA46=1,$F46&amp;$AB46,$G46),IF(OR(AN$3=$D46,AN$3=$AC46,AN$3=$AE46),"",IF(AN$3=$AD46,$F46&amp;"R",AN45))))</f>
        <v>wN</v>
      </c>
      <c r="AO46" s="11" t="str">
        <f aca="false">IF($P46=0,AO45,IF(AO$3=$E46,IF($AA46=1,$F46&amp;$AB46,$G46),IF(OR(AO$3=$D46,AO$3=$AC46,AO$3=$AE46),"",IF(AO$3=$AD46,$F46&amp;"R",AO45))))</f>
        <v>wR</v>
      </c>
      <c r="AP46" s="11" t="str">
        <f aca="false">IF($P46=0,AP45,IF(AP$3=$E46,IF($AA46=1,$F46&amp;$AB46,$G46),IF(OR(AP$3=$D46,AP$3=$AC46,AP$3=$AE46),"",IF(AP$3=$AD46,$F46&amp;"R",AP45))))</f>
        <v>wP</v>
      </c>
      <c r="AQ46" s="11" t="str">
        <f aca="false">IF($P46=0,AQ45,IF(AQ$3=$E46,IF($AA46=1,$F46&amp;$AB46,$G46),IF(OR(AQ$3=$D46,AQ$3=$AC46,AQ$3=$AE46),"",IF(AQ$3=$AD46,$F46&amp;"R",AQ45))))</f>
        <v>wP</v>
      </c>
      <c r="AR46" s="11" t="str">
        <f aca="false">IF($P46=0,AR45,IF(AR$3=$E46,IF($AA46=1,$F46&amp;$AB46,$G46),IF(OR(AR$3=$D46,AR$3=$AC46,AR$3=$AE46),"",IF(AR$3=$AD46,$F46&amp;"R",AR45))))</f>
        <v>wP</v>
      </c>
      <c r="AS46" s="11" t="str">
        <f aca="false">IF($P46=0,AS45,IF(AS$3=$E46,IF($AA46=1,$F46&amp;$AB46,$G46),IF(OR(AS$3=$D46,AS$3=$AC46,AS$3=$AE46),"",IF(AS$3=$AD46,$F46&amp;"R",AS45))))</f>
        <v>wP</v>
      </c>
      <c r="AT46" s="11" t="str">
        <f aca="false">IF($P46=0,AT45,IF(AT$3=$E46,IF($AA46=1,$F46&amp;$AB46,$G46),IF(OR(AT$3=$D46,AT$3=$AC46,AT$3=$AE46),"",IF(AT$3=$AD46,$F46&amp;"R",AT45))))</f>
        <v>wP</v>
      </c>
      <c r="AU46" s="11" t="str">
        <f aca="false">IF($P46=0,AU45,IF(AU$3=$E46,IF($AA46=1,$F46&amp;$AB46,$G46),IF(OR(AU$3=$D46,AU$3=$AC46,AU$3=$AE46),"",IF(AU$3=$AD46,$F46&amp;"R",AU45))))</f>
        <v>wP</v>
      </c>
      <c r="AV46" s="11" t="str">
        <f aca="false">IF($P46=0,AV45,IF(AV$3=$E46,IF($AA46=1,$F46&amp;$AB46,$G46),IF(OR(AV$3=$D46,AV$3=$AC46,AV$3=$AE46),"",IF(AV$3=$AD46,$F46&amp;"R",AV45))))</f>
        <v>wP</v>
      </c>
      <c r="AW46" s="11" t="str">
        <f aca="false">IF($P46=0,AW45,IF(AW$3=$E46,IF($AA46=1,$F46&amp;$AB46,$G46),IF(OR(AW$3=$D46,AW$3=$AC46,AW$3=$AE46),"",IF(AW$3=$AD46,$F46&amp;"R",AW45))))</f>
        <v>wP</v>
      </c>
      <c r="AX46" s="11" t="str">
        <f aca="false">IF($P46=0,AX45,IF(AX$3=$E46,IF($AA46=1,$F46&amp;$AB46,$G46),IF(OR(AX$3=$D46,AX$3=$AC46,AX$3=$AE46),"",IF(AX$3=$AD46,$F46&amp;"R",AX45))))</f>
        <v/>
      </c>
      <c r="AY46" s="11" t="str">
        <f aca="false">IF($P46=0,AY45,IF(AY$3=$E46,IF($AA46=1,$F46&amp;$AB46,$G46),IF(OR(AY$3=$D46,AY$3=$AC46,AY$3=$AE46),"",IF(AY$3=$AD46,$F46&amp;"R",AY45))))</f>
        <v/>
      </c>
      <c r="AZ46" s="11" t="str">
        <f aca="false">IF($P46=0,AZ45,IF(AZ$3=$E46,IF($AA46=1,$F46&amp;$AB46,$G46),IF(OR(AZ$3=$D46,AZ$3=$AC46,AZ$3=$AE46),"",IF(AZ$3=$AD46,$F46&amp;"R",AZ45))))</f>
        <v/>
      </c>
      <c r="BA46" s="11" t="str">
        <f aca="false">IF($P46=0,BA45,IF(BA$3=$E46,IF($AA46=1,$F46&amp;$AB46,$G46),IF(OR(BA$3=$D46,BA$3=$AC46,BA$3=$AE46),"",IF(BA$3=$AD46,$F46&amp;"R",BA45))))</f>
        <v/>
      </c>
      <c r="BB46" s="11" t="str">
        <f aca="false">IF($P46=0,BB45,IF(BB$3=$E46,IF($AA46=1,$F46&amp;$AB46,$G46),IF(OR(BB$3=$D46,BB$3=$AC46,BB$3=$AE46),"",IF(BB$3=$AD46,$F46&amp;"R",BB45))))</f>
        <v/>
      </c>
      <c r="BC46" s="11" t="str">
        <f aca="false">IF($P46=0,BC45,IF(BC$3=$E46,IF($AA46=1,$F46&amp;$AB46,$G46),IF(OR(BC$3=$D46,BC$3=$AC46,BC$3=$AE46),"",IF(BC$3=$AD46,$F46&amp;"R",BC45))))</f>
        <v/>
      </c>
      <c r="BD46" s="11" t="str">
        <f aca="false">IF($P46=0,BD45,IF(BD$3=$E46,IF($AA46=1,$F46&amp;$AB46,$G46),IF(OR(BD$3=$D46,BD$3=$AC46,BD$3=$AE46),"",IF(BD$3=$AD46,$F46&amp;"R",BD45))))</f>
        <v/>
      </c>
      <c r="BE46" s="11" t="str">
        <f aca="false">IF($P46=0,BE45,IF(BE$3=$E46,IF($AA46=1,$F46&amp;$AB46,$G46),IF(OR(BE$3=$D46,BE$3=$AC46,BE$3=$AE46),"",IF(BE$3=$AD46,$F46&amp;"R",BE45))))</f>
        <v/>
      </c>
      <c r="BF46" s="11" t="str">
        <f aca="false">IF($P46=0,BF45,IF(BF$3=$E46,IF($AA46=1,$F46&amp;$AB46,$G46),IF(OR(BF$3=$D46,BF$3=$AC46,BF$3=$AE46),"",IF(BF$3=$AD46,$F46&amp;"R",BF45))))</f>
        <v/>
      </c>
      <c r="BG46" s="11" t="str">
        <f aca="false">IF($P46=0,BG45,IF(BG$3=$E46,IF($AA46=1,$F46&amp;$AB46,$G46),IF(OR(BG$3=$D46,BG$3=$AC46,BG$3=$AE46),"",IF(BG$3=$AD46,$F46&amp;"R",BG45))))</f>
        <v/>
      </c>
      <c r="BH46" s="11" t="str">
        <f aca="false">IF($P46=0,BH45,IF(BH$3=$E46,IF($AA46=1,$F46&amp;$AB46,$G46),IF(OR(BH$3=$D46,BH$3=$AC46,BH$3=$AE46),"",IF(BH$3=$AD46,$F46&amp;"R",BH45))))</f>
        <v/>
      </c>
      <c r="BI46" s="11" t="str">
        <f aca="false">IF($P46=0,BI45,IF(BI$3=$E46,IF($AA46=1,$F46&amp;$AB46,$G46),IF(OR(BI$3=$D46,BI$3=$AC46,BI$3=$AE46),"",IF(BI$3=$AD46,$F46&amp;"R",BI45))))</f>
        <v/>
      </c>
      <c r="BJ46" s="11" t="str">
        <f aca="false">IF($P46=0,BJ45,IF(BJ$3=$E46,IF($AA46=1,$F46&amp;$AB46,$G46),IF(OR(BJ$3=$D46,BJ$3=$AC46,BJ$3=$AE46),"",IF(BJ$3=$AD46,$F46&amp;"R",BJ45))))</f>
        <v/>
      </c>
      <c r="BK46" s="11" t="str">
        <f aca="false">IF($P46=0,BK45,IF(BK$3=$E46,IF($AA46=1,$F46&amp;$AB46,$G46),IF(OR(BK$3=$D46,BK$3=$AC46,BK$3=$AE46),"",IF(BK$3=$AD46,$F46&amp;"R",BK45))))</f>
        <v/>
      </c>
      <c r="BL46" s="11" t="str">
        <f aca="false">IF($P46=0,BL45,IF(BL$3=$E46,IF($AA46=1,$F46&amp;$AB46,$G46),IF(OR(BL$3=$D46,BL$3=$AC46,BL$3=$AE46),"",IF(BL$3=$AD46,$F46&amp;"R",BL45))))</f>
        <v/>
      </c>
      <c r="BM46" s="11" t="str">
        <f aca="false">IF($P46=0,BM45,IF(BM$3=$E46,IF($AA46=1,$F46&amp;$AB46,$G46),IF(OR(BM$3=$D46,BM$3=$AC46,BM$3=$AE46),"",IF(BM$3=$AD46,$F46&amp;"R",BM45))))</f>
        <v/>
      </c>
      <c r="BN46" s="11" t="str">
        <f aca="false">IF($P46=0,BN45,IF(BN$3=$E46,IF($AA46=1,$F46&amp;$AB46,$G46),IF(OR(BN$3=$D46,BN$3=$AC46,BN$3=$AE46),"",IF(BN$3=$AD46,$F46&amp;"R",BN45))))</f>
        <v/>
      </c>
      <c r="BO46" s="11" t="str">
        <f aca="false">IF($P46=0,BO45,IF(BO$3=$E46,IF($AA46=1,$F46&amp;$AB46,$G46),IF(OR(BO$3=$D46,BO$3=$AC46,BO$3=$AE46),"",IF(BO$3=$AD46,$F46&amp;"R",BO45))))</f>
        <v/>
      </c>
      <c r="BP46" s="11" t="str">
        <f aca="false">IF($P46=0,BP45,IF(BP$3=$E46,IF($AA46=1,$F46&amp;$AB46,$G46),IF(OR(BP$3=$D46,BP$3=$AC46,BP$3=$AE46),"",IF(BP$3=$AD46,$F46&amp;"R",BP45))))</f>
        <v/>
      </c>
      <c r="BQ46" s="11" t="str">
        <f aca="false">IF($P46=0,BQ45,IF(BQ$3=$E46,IF($AA46=1,$F46&amp;$AB46,$G46),IF(OR(BQ$3=$D46,BQ$3=$AC46,BQ$3=$AE46),"",IF(BQ$3=$AD46,$F46&amp;"R",BQ45))))</f>
        <v/>
      </c>
      <c r="BR46" s="11" t="str">
        <f aca="false">IF($P46=0,BR45,IF(BR$3=$E46,IF($AA46=1,$F46&amp;$AB46,$G46),IF(OR(BR$3=$D46,BR$3=$AC46,BR$3=$AE46),"",IF(BR$3=$AD46,$F46&amp;"R",BR45))))</f>
        <v/>
      </c>
      <c r="BS46" s="11" t="str">
        <f aca="false">IF($P46=0,BS45,IF(BS$3=$E46,IF($AA46=1,$F46&amp;$AB46,$G46),IF(OR(BS$3=$D46,BS$3=$AC46,BS$3=$AE46),"",IF(BS$3=$AD46,$F46&amp;"R",BS45))))</f>
        <v/>
      </c>
      <c r="BT46" s="11" t="str">
        <f aca="false">IF($P46=0,BT45,IF(BT$3=$E46,IF($AA46=1,$F46&amp;$AB46,$G46),IF(OR(BT$3=$D46,BT$3=$AC46,BT$3=$AE46),"",IF(BT$3=$AD46,$F46&amp;"R",BT45))))</f>
        <v/>
      </c>
      <c r="BU46" s="11" t="str">
        <f aca="false">IF($P46=0,BU45,IF(BU$3=$E46,IF($AA46=1,$F46&amp;$AB46,$G46),IF(OR(BU$3=$D46,BU$3=$AC46,BU$3=$AE46),"",IF(BU$3=$AD46,$F46&amp;"R",BU45))))</f>
        <v/>
      </c>
      <c r="BV46" s="11" t="str">
        <f aca="false">IF($P46=0,BV45,IF(BV$3=$E46,IF($AA46=1,$F46&amp;$AB46,$G46),IF(OR(BV$3=$D46,BV$3=$AC46,BV$3=$AE46),"",IF(BV$3=$AD46,$F46&amp;"R",BV45))))</f>
        <v/>
      </c>
      <c r="BW46" s="11" t="str">
        <f aca="false">IF($P46=0,BW45,IF(BW$3=$E46,IF($AA46=1,$F46&amp;$AB46,$G46),IF(OR(BW$3=$D46,BW$3=$AC46,BW$3=$AE46),"",IF(BW$3=$AD46,$F46&amp;"R",BW45))))</f>
        <v/>
      </c>
      <c r="BX46" s="11" t="str">
        <f aca="false">IF($P46=0,BX45,IF(BX$3=$E46,IF($AA46=1,$F46&amp;$AB46,$G46),IF(OR(BX$3=$D46,BX$3=$AC46,BX$3=$AE46),"",IF(BX$3=$AD46,$F46&amp;"R",BX45))))</f>
        <v/>
      </c>
      <c r="BY46" s="11" t="str">
        <f aca="false">IF($P46=0,BY45,IF(BY$3=$E46,IF($AA46=1,$F46&amp;$AB46,$G46),IF(OR(BY$3=$D46,BY$3=$AC46,BY$3=$AE46),"",IF(BY$3=$AD46,$F46&amp;"R",BY45))))</f>
        <v/>
      </c>
      <c r="BZ46" s="11" t="str">
        <f aca="false">IF($P46=0,BZ45,IF(BZ$3=$E46,IF($AA46=1,$F46&amp;$AB46,$G46),IF(OR(BZ$3=$D46,BZ$3=$AC46,BZ$3=$AE46),"",IF(BZ$3=$AD46,$F46&amp;"R",BZ45))))</f>
        <v/>
      </c>
      <c r="CA46" s="11" t="str">
        <f aca="false">IF($P46=0,CA45,IF(CA$3=$E46,IF($AA46=1,$F46&amp;$AB46,$G46),IF(OR(CA$3=$D46,CA$3=$AC46,CA$3=$AE46),"",IF(CA$3=$AD46,$F46&amp;"R",CA45))))</f>
        <v/>
      </c>
      <c r="CB46" s="11" t="str">
        <f aca="false">IF($P46=0,CB45,IF(CB$3=$E46,IF($AA46=1,$F46&amp;$AB46,$G46),IF(OR(CB$3=$D46,CB$3=$AC46,CB$3=$AE46),"",IF(CB$3=$AD46,$F46&amp;"R",CB45))))</f>
        <v/>
      </c>
      <c r="CC46" s="11" t="str">
        <f aca="false">IF($P46=0,CC45,IF(CC$3=$E46,IF($AA46=1,$F46&amp;$AB46,$G46),IF(OR(CC$3=$D46,CC$3=$AC46,CC$3=$AE46),"",IF(CC$3=$AD46,$F46&amp;"R",CC45))))</f>
        <v/>
      </c>
      <c r="CD46" s="11" t="str">
        <f aca="false">IF($P46=0,CD45,IF(CD$3=$E46,IF($AA46=1,$F46&amp;$AB46,$G46),IF(OR(CD$3=$D46,CD$3=$AC46,CD$3=$AE46),"",IF(CD$3=$AD46,$F46&amp;"R",CD45))))</f>
        <v>bP</v>
      </c>
      <c r="CE46" s="11" t="str">
        <f aca="false">IF($P46=0,CE45,IF(CE$3=$E46,IF($AA46=1,$F46&amp;$AB46,$G46),IF(OR(CE$3=$D46,CE$3=$AC46,CE$3=$AE46),"",IF(CE$3=$AD46,$F46&amp;"R",CE45))))</f>
        <v>bP</v>
      </c>
      <c r="CF46" s="11" t="str">
        <f aca="false">IF($P46=0,CF45,IF(CF$3=$E46,IF($AA46=1,$F46&amp;$AB46,$G46),IF(OR(CF$3=$D46,CF$3=$AC46,CF$3=$AE46),"",IF(CF$3=$AD46,$F46&amp;"R",CF45))))</f>
        <v>bP</v>
      </c>
      <c r="CG46" s="11" t="str">
        <f aca="false">IF($P46=0,CG45,IF(CG$3=$E46,IF($AA46=1,$F46&amp;$AB46,$G46),IF(OR(CG$3=$D46,CG$3=$AC46,CG$3=$AE46),"",IF(CG$3=$AD46,$F46&amp;"R",CG45))))</f>
        <v>bP</v>
      </c>
      <c r="CH46" s="11" t="str">
        <f aca="false">IF($P46=0,CH45,IF(CH$3=$E46,IF($AA46=1,$F46&amp;$AB46,$G46),IF(OR(CH$3=$D46,CH$3=$AC46,CH$3=$AE46),"",IF(CH$3=$AD46,$F46&amp;"R",CH45))))</f>
        <v>bP</v>
      </c>
      <c r="CI46" s="11" t="str">
        <f aca="false">IF($P46=0,CI45,IF(CI$3=$E46,IF($AA46=1,$F46&amp;$AB46,$G46),IF(OR(CI$3=$D46,CI$3=$AC46,CI$3=$AE46),"",IF(CI$3=$AD46,$F46&amp;"R",CI45))))</f>
        <v>bP</v>
      </c>
      <c r="CJ46" s="11" t="str">
        <f aca="false">IF($P46=0,CJ45,IF(CJ$3=$E46,IF($AA46=1,$F46&amp;$AB46,$G46),IF(OR(CJ$3=$D46,CJ$3=$AC46,CJ$3=$AE46),"",IF(CJ$3=$AD46,$F46&amp;"R",CJ45))))</f>
        <v>bP</v>
      </c>
      <c r="CK46" s="11" t="str">
        <f aca="false">IF($P46=0,CK45,IF(CK$3=$E46,IF($AA46=1,$F46&amp;$AB46,$G46),IF(OR(CK$3=$D46,CK$3=$AC46,CK$3=$AE46),"",IF(CK$3=$AD46,$F46&amp;"R",CK45))))</f>
        <v>bP</v>
      </c>
      <c r="CL46" s="11" t="str">
        <f aca="false">IF($P46=0,CL45,IF(CL$3=$E46,IF($AA46=1,$F46&amp;$AB46,$G46),IF(OR(CL$3=$D46,CL$3=$AC46,CL$3=$AE46),"",IF(CL$3=$AD46,$F46&amp;"R",CL45))))</f>
        <v>bR</v>
      </c>
      <c r="CM46" s="11" t="str">
        <f aca="false">IF($P46=0,CM45,IF(CM$3=$E46,IF($AA46=1,$F46&amp;$AB46,$G46),IF(OR(CM$3=$D46,CM$3=$AC46,CM$3=$AE46),"",IF(CM$3=$AD46,$F46&amp;"R",CM45))))</f>
        <v>bN</v>
      </c>
      <c r="CN46" s="11" t="str">
        <f aca="false">IF($P46=0,CN45,IF(CN$3=$E46,IF($AA46=1,$F46&amp;$AB46,$G46),IF(OR(CN$3=$D46,CN$3=$AC46,CN$3=$AE46),"",IF(CN$3=$AD46,$F46&amp;"R",CN45))))</f>
        <v>bB</v>
      </c>
      <c r="CO46" s="11" t="str">
        <f aca="false">IF($P46=0,CO45,IF(CO$3=$E46,IF($AA46=1,$F46&amp;$AB46,$G46),IF(OR(CO$3=$D46,CO$3=$AC46,CO$3=$AE46),"",IF(CO$3=$AD46,$F46&amp;"R",CO45))))</f>
        <v>bQ</v>
      </c>
      <c r="CP46" s="11" t="str">
        <f aca="false">IF($P46=0,CP45,IF(CP$3=$E46,IF($AA46=1,$F46&amp;$AB46,$G46),IF(OR(CP$3=$D46,CP$3=$AC46,CP$3=$AE46),"",IF(CP$3=$AD46,$F46&amp;"R",CP45))))</f>
        <v>bK</v>
      </c>
      <c r="CQ46" s="11" t="str">
        <f aca="false">IF($P46=0,CQ45,IF(CQ$3=$E46,IF($AA46=1,$F46&amp;$AB46,$G46),IF(OR(CQ$3=$D46,CQ$3=$AC46,CQ$3=$AE46),"",IF(CQ$3=$AD46,$F46&amp;"R",CQ45))))</f>
        <v>bB</v>
      </c>
      <c r="CR46" s="11" t="str">
        <f aca="false">IF($P46=0,CR45,IF(CR$3=$E46,IF($AA46=1,$F46&amp;$AB46,$G46),IF(OR(CR$3=$D46,CR$3=$AC46,CR$3=$AE46),"",IF(CR$3=$AD46,$F46&amp;"R",CR45))))</f>
        <v>bN</v>
      </c>
      <c r="CS46" s="11" t="str">
        <f aca="false">IF($P46=0,CS45,IF(CS$3=$E46,IF($AA46=1,$F46&amp;$AB46,$G46),IF(OR(CS$3=$D46,CS$3=$AC46,CS$3=$AE46),"",IF(CS$3=$AD46,$F46&amp;"R",CS45))))</f>
        <v>bR</v>
      </c>
      <c r="CT46" s="11"/>
      <c r="CU46" s="11"/>
      <c r="CV46" s="11"/>
    </row>
    <row r="47" customFormat="false" ht="15" hidden="false" customHeight="false" outlineLevel="0" collapsed="false">
      <c r="A47" s="11" t="n">
        <v>42</v>
      </c>
      <c r="B47" s="11" t="str">
        <f aca="false">IF(Chess!$L$51="","",Chess!$L$51&amp;"")</f>
        <v/>
      </c>
      <c r="C47" s="11" t="str">
        <f aca="false">LOWER(SUBSTITUTE(SUBSTITUTE(SUBSTITUTE(SUBSTITUTE(TRIM($B47),"-",""),"=","")," ",""),"x",""))</f>
        <v/>
      </c>
      <c r="D47" s="11" t="n">
        <f aca="false">IF(LEN($C47)&lt;4,0,IFERROR(IF(AND(CODE(MID($C47,1,1))&gt;=97,CODE(MID($C47,1,1))&lt;=104,VALUE(MID($C47,2,1))&gt;=1,VALUE(MID($C47,2,1))&lt;=8),(VALUE(MID($C47,2,1))-1)*8+CODE(MID($C47,1,1))-96,0),0))</f>
        <v>0</v>
      </c>
      <c r="E47" s="11" t="n">
        <f aca="false">IF(LEN($C47)&lt;4,0,IFERROR(IF(AND(CODE(MID($C47,3,1))&gt;=97,CODE(MID($C47,3,1))&lt;=104,VALUE(MID($C47,4,1))&gt;=1,VALUE(MID($C47,4,1))&lt;=8),(VALUE(MID($C47,4,1))-1)*8+CODE(MID($C47,3,1))-96,0),0))</f>
        <v>0</v>
      </c>
      <c r="F47" s="11" t="str">
        <f aca="false">IF(MOD(SUM($P$5:$P46),2)=0,"w","b")</f>
        <v>w</v>
      </c>
      <c r="G47" s="11" t="str">
        <f aca="false">IF($D47=0,"",INDEX($AH46:$CS46,1,$D47)&amp;"")</f>
        <v/>
      </c>
      <c r="H47" s="11" t="str">
        <f aca="false">IF($E47=0,"",INDEX($AH46:$CS46,1,$E47)&amp;"")</f>
        <v/>
      </c>
      <c r="I47" s="11" t="n">
        <f aca="false">IF(OR($D47=0,$E47=0),0,MOD($E47-1,8)-MOD($D47-1,8))</f>
        <v>0</v>
      </c>
      <c r="J47" s="11" t="n">
        <f aca="false">IF(OR($D47=0,$E47=0),0,INT(($E47-1)/8)-INT(($D47-1)/8))</f>
        <v>0</v>
      </c>
      <c r="K47" s="11" t="str">
        <f aca="false">IF($G47="","",RIGHT($G47,1))</f>
        <v/>
      </c>
      <c r="L47" s="11" t="n">
        <f aca="false">IF(OR($D47=0,$E47=0),0,SUMPRODUCT(($AH$3:$CS$3&gt;MIN($D47,$E47))*($AH$3:$CS$3&lt;MAX($D47,$E47))*(MOD($AH$3:$CS$3-MIN($D47,$E47),MAX(1,ABS(SIGN($J47)*8+SIGN($I47))))=0)*($AH46:$CS46&lt;&gt;"")))</f>
        <v>0</v>
      </c>
      <c r="M47" s="11" t="n">
        <f aca="false">IF($K47&lt;&gt;"K",0,IFERROR(--AND($J47=0,ABS($I47)=2,$D47=IF($F47="w",5,61),IF($F47="w",$S46,$V46)=0,IF($I47=2,AND(IF($F47="w",$U46,$X46)=0,INDEX($AH46:$CS46,1,$D47+1)&amp;""="",INDEX($AH46:$CS46,1,$D47+2)&amp;""=""),AND(IF($F47="w",$T46,$W46)=0,INDEX($AH46:$CS46,1,$D47-1)&amp;""="",INDEX($AH46:$CS46,1,$D47-2)&amp;""="",INDEX($AH46:$CS46,1,$D47-3)&amp;""=""))),0))</f>
        <v>0</v>
      </c>
      <c r="N47" s="11" t="n">
        <f aca="false">IF($K47&lt;&gt;"P",0,IFERROR(--OR(AND($I47=0,$J47=IF($F47="w",1,-1),$H47=""),AND($I47=0,$J47=2*IF($F47="w",1,-1),$H47="",INT(($D47-1)/8)=IF($F47="w",1,6),INDEX($AH46:$CS46,1,MAX(1,MIN(64,$D47+8*IF($F47="w",1,-1))))&amp;""=""),AND(ABS($I47)=1,$J47=IF($F47="w",1,-1),$H47&lt;&gt;""),AND(ABS($I47)=1,$J47=IF($F47="w",1,-1),$H47="",$R46&gt;0,$E47=$R46)),0))</f>
        <v>0</v>
      </c>
      <c r="O47" s="11" t="n">
        <f aca="false">IF(OR($D47=0,$E47=0,$G47=""),0,IF($K47="N",--OR(AND(ABS($I47)=1,ABS($J47)=2),AND(ABS($I47)=2,ABS($J47)=1)),IF($K47="B",--AND(ABS($I47)=ABS($J47),$I47&lt;&gt;0,$L47=0),IF($K47="R",--AND(OR($I47=0,$J47=0),OR($I47&lt;&gt;0,$J47&lt;&gt;0),$L47=0),IF($K47="Q",--AND(OR(AND(ABS($I47)=ABS($J47),$I47&lt;&gt;0),AND(OR($I47=0,$J47=0),OR($I47&lt;&gt;0,$J47&lt;&gt;0))),$L47=0),IF($K47="K",--OR(MAX(ABS($I47),ABS($J47))=1,$M47=1),$N47))))))</f>
        <v>0</v>
      </c>
      <c r="P47" s="11" t="n">
        <f aca="false">IF($Q47="OK",1,0)</f>
        <v>0</v>
      </c>
      <c r="Q47" s="11" t="str">
        <f aca="false">IF($B47="","",IF(OR(COUNTIF($AH46:$CS46,"wK")=0,COUNTIF($AH46:$CS46,"bK")=0),"Game is over",IF(OR($D47=0,$E47=0),"Use the format e2e4",IF($G47="","No piece on that square",IF(LEFT($G47,1)&lt;&gt;$F47,"Not your piece ("&amp;IF($F47="w","White","Black")&amp;" to move)",IF($D47=$E47,"Piece must move",IF(AND($H47&lt;&gt;"",LEFT($H47,1)=$F47),"Cannot capture your own piece",IF($O47=0,"Illegal move for that piece (or path blocked)","OK"))))))))</f>
        <v/>
      </c>
      <c r="R47" s="11" t="n">
        <f aca="false">IF($P47=1,IF(AND($K47="P",ABS($J47)=2),($D47+$E47)/2,0),$R46)</f>
        <v>0</v>
      </c>
      <c r="S47" s="12" t="b">
        <f aca="false">--OR($S46=1,AND($P47=1,OR($D47=5,$E47=5)))</f>
        <v>0</v>
      </c>
      <c r="T47" s="12" t="b">
        <f aca="false">--OR($T46=1,AND($P47=1,OR($D47=1,$E47=1)))</f>
        <v>0</v>
      </c>
      <c r="U47" s="12" t="b">
        <f aca="false">--OR($U46=1,AND($P47=1,OR($D47=8,$E47=8)))</f>
        <v>0</v>
      </c>
      <c r="V47" s="12" t="b">
        <f aca="false">--OR($V46=1,AND($P47=1,OR($D47=61,$E47=61)))</f>
        <v>0</v>
      </c>
      <c r="W47" s="12" t="b">
        <f aca="false">--OR($W46=1,AND($P47=1,OR($D47=57,$E47=57)))</f>
        <v>0</v>
      </c>
      <c r="X47" s="12" t="b">
        <f aca="false">--OR($X46=1,AND($P47=1,OR($D47=64,$E47=64)))</f>
        <v>0</v>
      </c>
      <c r="Y47" s="12" t="b">
        <f aca="false">--AND($P47=1,$K47="K",ABS($I47)=2)</f>
        <v>0</v>
      </c>
      <c r="Z47" s="12" t="b">
        <f aca="false">--AND($P47=1,$K47="P",ABS($I47)=1,$H47="")</f>
        <v>0</v>
      </c>
      <c r="AA47" s="12" t="b">
        <f aca="false">--AND($P47=1,$K47="P",INT(($E47-1)/8)=IF($F47="w",7,0))</f>
        <v>0</v>
      </c>
      <c r="AB47" s="11" t="str">
        <f aca="false">IF(LEN($C47)&gt;=5,IF(ISNUMBER(FIND(MID($C47,5,1),"qrbn")),UPPER(MID($C47,5,1)),"Q"),"Q")</f>
        <v>Q</v>
      </c>
      <c r="AC47" s="11" t="n">
        <f aca="false">IF($Y47=1,IF($I47=2,$D47+3,$D47-4),0)</f>
        <v>0</v>
      </c>
      <c r="AD47" s="11" t="n">
        <f aca="false">IF($Y47=1,IF($I47=2,$D47+1,$D47-1),0)</f>
        <v>0</v>
      </c>
      <c r="AE47" s="11" t="n">
        <f aca="false">IF($Z47=1,$E47-8*IF($F47="w",1,-1),0)</f>
        <v>0</v>
      </c>
      <c r="AF47" s="11" t="str">
        <f aca="false">IF($B47="","",IF($P47=1,LOWER(INDEX($CV$2:$CV$13,MATCH($G47,$CU$2:$CU$13,0)))&amp;" "&amp;MID("abcdefgh",MOD($D47-1,8)+1,1)&amp;(INT(($D47-1)/8)+1)&amp;"→"&amp;MID("abcdefgh",MOD($E47-1,8)+1,1)&amp;(INT(($E47-1)/8)+1)&amp;IF(OR($H47&lt;&gt;"",$Z47=1)," ×","")&amp;IF($Y47=1," castles","")&amp;IF($Z47=1," e.p.","")&amp;IF($AA47=1," =" &amp;LOWER(INDEX($CV$2:$CV$13,MATCH($F47&amp;$AB47,$CU$2:$CU$13,0))),""),"X "&amp;$Q47))</f>
        <v/>
      </c>
      <c r="AG47" s="11"/>
      <c r="AH47" s="11" t="str">
        <f aca="false">IF($P47=0,AH46,IF(AH$3=$E47,IF($AA47=1,$F47&amp;$AB47,$G47),IF(OR(AH$3=$D47,AH$3=$AC47,AH$3=$AE47),"",IF(AH$3=$AD47,$F47&amp;"R",AH46))))</f>
        <v>wR</v>
      </c>
      <c r="AI47" s="11" t="str">
        <f aca="false">IF($P47=0,AI46,IF(AI$3=$E47,IF($AA47=1,$F47&amp;$AB47,$G47),IF(OR(AI$3=$D47,AI$3=$AC47,AI$3=$AE47),"",IF(AI$3=$AD47,$F47&amp;"R",AI46))))</f>
        <v>wN</v>
      </c>
      <c r="AJ47" s="11" t="str">
        <f aca="false">IF($P47=0,AJ46,IF(AJ$3=$E47,IF($AA47=1,$F47&amp;$AB47,$G47),IF(OR(AJ$3=$D47,AJ$3=$AC47,AJ$3=$AE47),"",IF(AJ$3=$AD47,$F47&amp;"R",AJ46))))</f>
        <v>wB</v>
      </c>
      <c r="AK47" s="11" t="str">
        <f aca="false">IF($P47=0,AK46,IF(AK$3=$E47,IF($AA47=1,$F47&amp;$AB47,$G47),IF(OR(AK$3=$D47,AK$3=$AC47,AK$3=$AE47),"",IF(AK$3=$AD47,$F47&amp;"R",AK46))))</f>
        <v>wQ</v>
      </c>
      <c r="AL47" s="11" t="str">
        <f aca="false">IF($P47=0,AL46,IF(AL$3=$E47,IF($AA47=1,$F47&amp;$AB47,$G47),IF(OR(AL$3=$D47,AL$3=$AC47,AL$3=$AE47),"",IF(AL$3=$AD47,$F47&amp;"R",AL46))))</f>
        <v>wK</v>
      </c>
      <c r="AM47" s="11" t="str">
        <f aca="false">IF($P47=0,AM46,IF(AM$3=$E47,IF($AA47=1,$F47&amp;$AB47,$G47),IF(OR(AM$3=$D47,AM$3=$AC47,AM$3=$AE47),"",IF(AM$3=$AD47,$F47&amp;"R",AM46))))</f>
        <v>wB</v>
      </c>
      <c r="AN47" s="11" t="str">
        <f aca="false">IF($P47=0,AN46,IF(AN$3=$E47,IF($AA47=1,$F47&amp;$AB47,$G47),IF(OR(AN$3=$D47,AN$3=$AC47,AN$3=$AE47),"",IF(AN$3=$AD47,$F47&amp;"R",AN46))))</f>
        <v>wN</v>
      </c>
      <c r="AO47" s="11" t="str">
        <f aca="false">IF($P47=0,AO46,IF(AO$3=$E47,IF($AA47=1,$F47&amp;$AB47,$G47),IF(OR(AO$3=$D47,AO$3=$AC47,AO$3=$AE47),"",IF(AO$3=$AD47,$F47&amp;"R",AO46))))</f>
        <v>wR</v>
      </c>
      <c r="AP47" s="11" t="str">
        <f aca="false">IF($P47=0,AP46,IF(AP$3=$E47,IF($AA47=1,$F47&amp;$AB47,$G47),IF(OR(AP$3=$D47,AP$3=$AC47,AP$3=$AE47),"",IF(AP$3=$AD47,$F47&amp;"R",AP46))))</f>
        <v>wP</v>
      </c>
      <c r="AQ47" s="11" t="str">
        <f aca="false">IF($P47=0,AQ46,IF(AQ$3=$E47,IF($AA47=1,$F47&amp;$AB47,$G47),IF(OR(AQ$3=$D47,AQ$3=$AC47,AQ$3=$AE47),"",IF(AQ$3=$AD47,$F47&amp;"R",AQ46))))</f>
        <v>wP</v>
      </c>
      <c r="AR47" s="11" t="str">
        <f aca="false">IF($P47=0,AR46,IF(AR$3=$E47,IF($AA47=1,$F47&amp;$AB47,$G47),IF(OR(AR$3=$D47,AR$3=$AC47,AR$3=$AE47),"",IF(AR$3=$AD47,$F47&amp;"R",AR46))))</f>
        <v>wP</v>
      </c>
      <c r="AS47" s="11" t="str">
        <f aca="false">IF($P47=0,AS46,IF(AS$3=$E47,IF($AA47=1,$F47&amp;$AB47,$G47),IF(OR(AS$3=$D47,AS$3=$AC47,AS$3=$AE47),"",IF(AS$3=$AD47,$F47&amp;"R",AS46))))</f>
        <v>wP</v>
      </c>
      <c r="AT47" s="11" t="str">
        <f aca="false">IF($P47=0,AT46,IF(AT$3=$E47,IF($AA47=1,$F47&amp;$AB47,$G47),IF(OR(AT$3=$D47,AT$3=$AC47,AT$3=$AE47),"",IF(AT$3=$AD47,$F47&amp;"R",AT46))))</f>
        <v>wP</v>
      </c>
      <c r="AU47" s="11" t="str">
        <f aca="false">IF($P47=0,AU46,IF(AU$3=$E47,IF($AA47=1,$F47&amp;$AB47,$G47),IF(OR(AU$3=$D47,AU$3=$AC47,AU$3=$AE47),"",IF(AU$3=$AD47,$F47&amp;"R",AU46))))</f>
        <v>wP</v>
      </c>
      <c r="AV47" s="11" t="str">
        <f aca="false">IF($P47=0,AV46,IF(AV$3=$E47,IF($AA47=1,$F47&amp;$AB47,$G47),IF(OR(AV$3=$D47,AV$3=$AC47,AV$3=$AE47),"",IF(AV$3=$AD47,$F47&amp;"R",AV46))))</f>
        <v>wP</v>
      </c>
      <c r="AW47" s="11" t="str">
        <f aca="false">IF($P47=0,AW46,IF(AW$3=$E47,IF($AA47=1,$F47&amp;$AB47,$G47),IF(OR(AW$3=$D47,AW$3=$AC47,AW$3=$AE47),"",IF(AW$3=$AD47,$F47&amp;"R",AW46))))</f>
        <v>wP</v>
      </c>
      <c r="AX47" s="11" t="str">
        <f aca="false">IF($P47=0,AX46,IF(AX$3=$E47,IF($AA47=1,$F47&amp;$AB47,$G47),IF(OR(AX$3=$D47,AX$3=$AC47,AX$3=$AE47),"",IF(AX$3=$AD47,$F47&amp;"R",AX46))))</f>
        <v/>
      </c>
      <c r="AY47" s="11" t="str">
        <f aca="false">IF($P47=0,AY46,IF(AY$3=$E47,IF($AA47=1,$F47&amp;$AB47,$G47),IF(OR(AY$3=$D47,AY$3=$AC47,AY$3=$AE47),"",IF(AY$3=$AD47,$F47&amp;"R",AY46))))</f>
        <v/>
      </c>
      <c r="AZ47" s="11" t="str">
        <f aca="false">IF($P47=0,AZ46,IF(AZ$3=$E47,IF($AA47=1,$F47&amp;$AB47,$G47),IF(OR(AZ$3=$D47,AZ$3=$AC47,AZ$3=$AE47),"",IF(AZ$3=$AD47,$F47&amp;"R",AZ46))))</f>
        <v/>
      </c>
      <c r="BA47" s="11" t="str">
        <f aca="false">IF($P47=0,BA46,IF(BA$3=$E47,IF($AA47=1,$F47&amp;$AB47,$G47),IF(OR(BA$3=$D47,BA$3=$AC47,BA$3=$AE47),"",IF(BA$3=$AD47,$F47&amp;"R",BA46))))</f>
        <v/>
      </c>
      <c r="BB47" s="11" t="str">
        <f aca="false">IF($P47=0,BB46,IF(BB$3=$E47,IF($AA47=1,$F47&amp;$AB47,$G47),IF(OR(BB$3=$D47,BB$3=$AC47,BB$3=$AE47),"",IF(BB$3=$AD47,$F47&amp;"R",BB46))))</f>
        <v/>
      </c>
      <c r="BC47" s="11" t="str">
        <f aca="false">IF($P47=0,BC46,IF(BC$3=$E47,IF($AA47=1,$F47&amp;$AB47,$G47),IF(OR(BC$3=$D47,BC$3=$AC47,BC$3=$AE47),"",IF(BC$3=$AD47,$F47&amp;"R",BC46))))</f>
        <v/>
      </c>
      <c r="BD47" s="11" t="str">
        <f aca="false">IF($P47=0,BD46,IF(BD$3=$E47,IF($AA47=1,$F47&amp;$AB47,$G47),IF(OR(BD$3=$D47,BD$3=$AC47,BD$3=$AE47),"",IF(BD$3=$AD47,$F47&amp;"R",BD46))))</f>
        <v/>
      </c>
      <c r="BE47" s="11" t="str">
        <f aca="false">IF($P47=0,BE46,IF(BE$3=$E47,IF($AA47=1,$F47&amp;$AB47,$G47),IF(OR(BE$3=$D47,BE$3=$AC47,BE$3=$AE47),"",IF(BE$3=$AD47,$F47&amp;"R",BE46))))</f>
        <v/>
      </c>
      <c r="BF47" s="11" t="str">
        <f aca="false">IF($P47=0,BF46,IF(BF$3=$E47,IF($AA47=1,$F47&amp;$AB47,$G47),IF(OR(BF$3=$D47,BF$3=$AC47,BF$3=$AE47),"",IF(BF$3=$AD47,$F47&amp;"R",BF46))))</f>
        <v/>
      </c>
      <c r="BG47" s="11" t="str">
        <f aca="false">IF($P47=0,BG46,IF(BG$3=$E47,IF($AA47=1,$F47&amp;$AB47,$G47),IF(OR(BG$3=$D47,BG$3=$AC47,BG$3=$AE47),"",IF(BG$3=$AD47,$F47&amp;"R",BG46))))</f>
        <v/>
      </c>
      <c r="BH47" s="11" t="str">
        <f aca="false">IF($P47=0,BH46,IF(BH$3=$E47,IF($AA47=1,$F47&amp;$AB47,$G47),IF(OR(BH$3=$D47,BH$3=$AC47,BH$3=$AE47),"",IF(BH$3=$AD47,$F47&amp;"R",BH46))))</f>
        <v/>
      </c>
      <c r="BI47" s="11" t="str">
        <f aca="false">IF($P47=0,BI46,IF(BI$3=$E47,IF($AA47=1,$F47&amp;$AB47,$G47),IF(OR(BI$3=$D47,BI$3=$AC47,BI$3=$AE47),"",IF(BI$3=$AD47,$F47&amp;"R",BI46))))</f>
        <v/>
      </c>
      <c r="BJ47" s="11" t="str">
        <f aca="false">IF($P47=0,BJ46,IF(BJ$3=$E47,IF($AA47=1,$F47&amp;$AB47,$G47),IF(OR(BJ$3=$D47,BJ$3=$AC47,BJ$3=$AE47),"",IF(BJ$3=$AD47,$F47&amp;"R",BJ46))))</f>
        <v/>
      </c>
      <c r="BK47" s="11" t="str">
        <f aca="false">IF($P47=0,BK46,IF(BK$3=$E47,IF($AA47=1,$F47&amp;$AB47,$G47),IF(OR(BK$3=$D47,BK$3=$AC47,BK$3=$AE47),"",IF(BK$3=$AD47,$F47&amp;"R",BK46))))</f>
        <v/>
      </c>
      <c r="BL47" s="11" t="str">
        <f aca="false">IF($P47=0,BL46,IF(BL$3=$E47,IF($AA47=1,$F47&amp;$AB47,$G47),IF(OR(BL$3=$D47,BL$3=$AC47,BL$3=$AE47),"",IF(BL$3=$AD47,$F47&amp;"R",BL46))))</f>
        <v/>
      </c>
      <c r="BM47" s="11" t="str">
        <f aca="false">IF($P47=0,BM46,IF(BM$3=$E47,IF($AA47=1,$F47&amp;$AB47,$G47),IF(OR(BM$3=$D47,BM$3=$AC47,BM$3=$AE47),"",IF(BM$3=$AD47,$F47&amp;"R",BM46))))</f>
        <v/>
      </c>
      <c r="BN47" s="11" t="str">
        <f aca="false">IF($P47=0,BN46,IF(BN$3=$E47,IF($AA47=1,$F47&amp;$AB47,$G47),IF(OR(BN$3=$D47,BN$3=$AC47,BN$3=$AE47),"",IF(BN$3=$AD47,$F47&amp;"R",BN46))))</f>
        <v/>
      </c>
      <c r="BO47" s="11" t="str">
        <f aca="false">IF($P47=0,BO46,IF(BO$3=$E47,IF($AA47=1,$F47&amp;$AB47,$G47),IF(OR(BO$3=$D47,BO$3=$AC47,BO$3=$AE47),"",IF(BO$3=$AD47,$F47&amp;"R",BO46))))</f>
        <v/>
      </c>
      <c r="BP47" s="11" t="str">
        <f aca="false">IF($P47=0,BP46,IF(BP$3=$E47,IF($AA47=1,$F47&amp;$AB47,$G47),IF(OR(BP$3=$D47,BP$3=$AC47,BP$3=$AE47),"",IF(BP$3=$AD47,$F47&amp;"R",BP46))))</f>
        <v/>
      </c>
      <c r="BQ47" s="11" t="str">
        <f aca="false">IF($P47=0,BQ46,IF(BQ$3=$E47,IF($AA47=1,$F47&amp;$AB47,$G47),IF(OR(BQ$3=$D47,BQ$3=$AC47,BQ$3=$AE47),"",IF(BQ$3=$AD47,$F47&amp;"R",BQ46))))</f>
        <v/>
      </c>
      <c r="BR47" s="11" t="str">
        <f aca="false">IF($P47=0,BR46,IF(BR$3=$E47,IF($AA47=1,$F47&amp;$AB47,$G47),IF(OR(BR$3=$D47,BR$3=$AC47,BR$3=$AE47),"",IF(BR$3=$AD47,$F47&amp;"R",BR46))))</f>
        <v/>
      </c>
      <c r="BS47" s="11" t="str">
        <f aca="false">IF($P47=0,BS46,IF(BS$3=$E47,IF($AA47=1,$F47&amp;$AB47,$G47),IF(OR(BS$3=$D47,BS$3=$AC47,BS$3=$AE47),"",IF(BS$3=$AD47,$F47&amp;"R",BS46))))</f>
        <v/>
      </c>
      <c r="BT47" s="11" t="str">
        <f aca="false">IF($P47=0,BT46,IF(BT$3=$E47,IF($AA47=1,$F47&amp;$AB47,$G47),IF(OR(BT$3=$D47,BT$3=$AC47,BT$3=$AE47),"",IF(BT$3=$AD47,$F47&amp;"R",BT46))))</f>
        <v/>
      </c>
      <c r="BU47" s="11" t="str">
        <f aca="false">IF($P47=0,BU46,IF(BU$3=$E47,IF($AA47=1,$F47&amp;$AB47,$G47),IF(OR(BU$3=$D47,BU$3=$AC47,BU$3=$AE47),"",IF(BU$3=$AD47,$F47&amp;"R",BU46))))</f>
        <v/>
      </c>
      <c r="BV47" s="11" t="str">
        <f aca="false">IF($P47=0,BV46,IF(BV$3=$E47,IF($AA47=1,$F47&amp;$AB47,$G47),IF(OR(BV$3=$D47,BV$3=$AC47,BV$3=$AE47),"",IF(BV$3=$AD47,$F47&amp;"R",BV46))))</f>
        <v/>
      </c>
      <c r="BW47" s="11" t="str">
        <f aca="false">IF($P47=0,BW46,IF(BW$3=$E47,IF($AA47=1,$F47&amp;$AB47,$G47),IF(OR(BW$3=$D47,BW$3=$AC47,BW$3=$AE47),"",IF(BW$3=$AD47,$F47&amp;"R",BW46))))</f>
        <v/>
      </c>
      <c r="BX47" s="11" t="str">
        <f aca="false">IF($P47=0,BX46,IF(BX$3=$E47,IF($AA47=1,$F47&amp;$AB47,$G47),IF(OR(BX$3=$D47,BX$3=$AC47,BX$3=$AE47),"",IF(BX$3=$AD47,$F47&amp;"R",BX46))))</f>
        <v/>
      </c>
      <c r="BY47" s="11" t="str">
        <f aca="false">IF($P47=0,BY46,IF(BY$3=$E47,IF($AA47=1,$F47&amp;$AB47,$G47),IF(OR(BY$3=$D47,BY$3=$AC47,BY$3=$AE47),"",IF(BY$3=$AD47,$F47&amp;"R",BY46))))</f>
        <v/>
      </c>
      <c r="BZ47" s="11" t="str">
        <f aca="false">IF($P47=0,BZ46,IF(BZ$3=$E47,IF($AA47=1,$F47&amp;$AB47,$G47),IF(OR(BZ$3=$D47,BZ$3=$AC47,BZ$3=$AE47),"",IF(BZ$3=$AD47,$F47&amp;"R",BZ46))))</f>
        <v/>
      </c>
      <c r="CA47" s="11" t="str">
        <f aca="false">IF($P47=0,CA46,IF(CA$3=$E47,IF($AA47=1,$F47&amp;$AB47,$G47),IF(OR(CA$3=$D47,CA$3=$AC47,CA$3=$AE47),"",IF(CA$3=$AD47,$F47&amp;"R",CA46))))</f>
        <v/>
      </c>
      <c r="CB47" s="11" t="str">
        <f aca="false">IF($P47=0,CB46,IF(CB$3=$E47,IF($AA47=1,$F47&amp;$AB47,$G47),IF(OR(CB$3=$D47,CB$3=$AC47,CB$3=$AE47),"",IF(CB$3=$AD47,$F47&amp;"R",CB46))))</f>
        <v/>
      </c>
      <c r="CC47" s="11" t="str">
        <f aca="false">IF($P47=0,CC46,IF(CC$3=$E47,IF($AA47=1,$F47&amp;$AB47,$G47),IF(OR(CC$3=$D47,CC$3=$AC47,CC$3=$AE47),"",IF(CC$3=$AD47,$F47&amp;"R",CC46))))</f>
        <v/>
      </c>
      <c r="CD47" s="11" t="str">
        <f aca="false">IF($P47=0,CD46,IF(CD$3=$E47,IF($AA47=1,$F47&amp;$AB47,$G47),IF(OR(CD$3=$D47,CD$3=$AC47,CD$3=$AE47),"",IF(CD$3=$AD47,$F47&amp;"R",CD46))))</f>
        <v>bP</v>
      </c>
      <c r="CE47" s="11" t="str">
        <f aca="false">IF($P47=0,CE46,IF(CE$3=$E47,IF($AA47=1,$F47&amp;$AB47,$G47),IF(OR(CE$3=$D47,CE$3=$AC47,CE$3=$AE47),"",IF(CE$3=$AD47,$F47&amp;"R",CE46))))</f>
        <v>bP</v>
      </c>
      <c r="CF47" s="11" t="str">
        <f aca="false">IF($P47=0,CF46,IF(CF$3=$E47,IF($AA47=1,$F47&amp;$AB47,$G47),IF(OR(CF$3=$D47,CF$3=$AC47,CF$3=$AE47),"",IF(CF$3=$AD47,$F47&amp;"R",CF46))))</f>
        <v>bP</v>
      </c>
      <c r="CG47" s="11" t="str">
        <f aca="false">IF($P47=0,CG46,IF(CG$3=$E47,IF($AA47=1,$F47&amp;$AB47,$G47),IF(OR(CG$3=$D47,CG$3=$AC47,CG$3=$AE47),"",IF(CG$3=$AD47,$F47&amp;"R",CG46))))</f>
        <v>bP</v>
      </c>
      <c r="CH47" s="11" t="str">
        <f aca="false">IF($P47=0,CH46,IF(CH$3=$E47,IF($AA47=1,$F47&amp;$AB47,$G47),IF(OR(CH$3=$D47,CH$3=$AC47,CH$3=$AE47),"",IF(CH$3=$AD47,$F47&amp;"R",CH46))))</f>
        <v>bP</v>
      </c>
      <c r="CI47" s="11" t="str">
        <f aca="false">IF($P47=0,CI46,IF(CI$3=$E47,IF($AA47=1,$F47&amp;$AB47,$G47),IF(OR(CI$3=$D47,CI$3=$AC47,CI$3=$AE47),"",IF(CI$3=$AD47,$F47&amp;"R",CI46))))</f>
        <v>bP</v>
      </c>
      <c r="CJ47" s="11" t="str">
        <f aca="false">IF($P47=0,CJ46,IF(CJ$3=$E47,IF($AA47=1,$F47&amp;$AB47,$G47),IF(OR(CJ$3=$D47,CJ$3=$AC47,CJ$3=$AE47),"",IF(CJ$3=$AD47,$F47&amp;"R",CJ46))))</f>
        <v>bP</v>
      </c>
      <c r="CK47" s="11" t="str">
        <f aca="false">IF($P47=0,CK46,IF(CK$3=$E47,IF($AA47=1,$F47&amp;$AB47,$G47),IF(OR(CK$3=$D47,CK$3=$AC47,CK$3=$AE47),"",IF(CK$3=$AD47,$F47&amp;"R",CK46))))</f>
        <v>bP</v>
      </c>
      <c r="CL47" s="11" t="str">
        <f aca="false">IF($P47=0,CL46,IF(CL$3=$E47,IF($AA47=1,$F47&amp;$AB47,$G47),IF(OR(CL$3=$D47,CL$3=$AC47,CL$3=$AE47),"",IF(CL$3=$AD47,$F47&amp;"R",CL46))))</f>
        <v>bR</v>
      </c>
      <c r="CM47" s="11" t="str">
        <f aca="false">IF($P47=0,CM46,IF(CM$3=$E47,IF($AA47=1,$F47&amp;$AB47,$G47),IF(OR(CM$3=$D47,CM$3=$AC47,CM$3=$AE47),"",IF(CM$3=$AD47,$F47&amp;"R",CM46))))</f>
        <v>bN</v>
      </c>
      <c r="CN47" s="11" t="str">
        <f aca="false">IF($P47=0,CN46,IF(CN$3=$E47,IF($AA47=1,$F47&amp;$AB47,$G47),IF(OR(CN$3=$D47,CN$3=$AC47,CN$3=$AE47),"",IF(CN$3=$AD47,$F47&amp;"R",CN46))))</f>
        <v>bB</v>
      </c>
      <c r="CO47" s="11" t="str">
        <f aca="false">IF($P47=0,CO46,IF(CO$3=$E47,IF($AA47=1,$F47&amp;$AB47,$G47),IF(OR(CO$3=$D47,CO$3=$AC47,CO$3=$AE47),"",IF(CO$3=$AD47,$F47&amp;"R",CO46))))</f>
        <v>bQ</v>
      </c>
      <c r="CP47" s="11" t="str">
        <f aca="false">IF($P47=0,CP46,IF(CP$3=$E47,IF($AA47=1,$F47&amp;$AB47,$G47),IF(OR(CP$3=$D47,CP$3=$AC47,CP$3=$AE47),"",IF(CP$3=$AD47,$F47&amp;"R",CP46))))</f>
        <v>bK</v>
      </c>
      <c r="CQ47" s="11" t="str">
        <f aca="false">IF($P47=0,CQ46,IF(CQ$3=$E47,IF($AA47=1,$F47&amp;$AB47,$G47),IF(OR(CQ$3=$D47,CQ$3=$AC47,CQ$3=$AE47),"",IF(CQ$3=$AD47,$F47&amp;"R",CQ46))))</f>
        <v>bB</v>
      </c>
      <c r="CR47" s="11" t="str">
        <f aca="false">IF($P47=0,CR46,IF(CR$3=$E47,IF($AA47=1,$F47&amp;$AB47,$G47),IF(OR(CR$3=$D47,CR$3=$AC47,CR$3=$AE47),"",IF(CR$3=$AD47,$F47&amp;"R",CR46))))</f>
        <v>bN</v>
      </c>
      <c r="CS47" s="11" t="str">
        <f aca="false">IF($P47=0,CS46,IF(CS$3=$E47,IF($AA47=1,$F47&amp;$AB47,$G47),IF(OR(CS$3=$D47,CS$3=$AC47,CS$3=$AE47),"",IF(CS$3=$AD47,$F47&amp;"R",CS46))))</f>
        <v>bR</v>
      </c>
      <c r="CT47" s="11"/>
      <c r="CU47" s="11"/>
      <c r="CV47" s="11"/>
    </row>
    <row r="48" customFormat="false" ht="15" hidden="false" customHeight="false" outlineLevel="0" collapsed="false">
      <c r="A48" s="11" t="n">
        <v>43</v>
      </c>
      <c r="B48" s="11" t="str">
        <f aca="false">IF(Chess!$L$52="","",Chess!$L$52&amp;"")</f>
        <v/>
      </c>
      <c r="C48" s="11" t="str">
        <f aca="false">LOWER(SUBSTITUTE(SUBSTITUTE(SUBSTITUTE(SUBSTITUTE(TRIM($B48),"-",""),"=","")," ",""),"x",""))</f>
        <v/>
      </c>
      <c r="D48" s="11" t="n">
        <f aca="false">IF(LEN($C48)&lt;4,0,IFERROR(IF(AND(CODE(MID($C48,1,1))&gt;=97,CODE(MID($C48,1,1))&lt;=104,VALUE(MID($C48,2,1))&gt;=1,VALUE(MID($C48,2,1))&lt;=8),(VALUE(MID($C48,2,1))-1)*8+CODE(MID($C48,1,1))-96,0),0))</f>
        <v>0</v>
      </c>
      <c r="E48" s="11" t="n">
        <f aca="false">IF(LEN($C48)&lt;4,0,IFERROR(IF(AND(CODE(MID($C48,3,1))&gt;=97,CODE(MID($C48,3,1))&lt;=104,VALUE(MID($C48,4,1))&gt;=1,VALUE(MID($C48,4,1))&lt;=8),(VALUE(MID($C48,4,1))-1)*8+CODE(MID($C48,3,1))-96,0),0))</f>
        <v>0</v>
      </c>
      <c r="F48" s="11" t="str">
        <f aca="false">IF(MOD(SUM($P$5:$P47),2)=0,"w","b")</f>
        <v>w</v>
      </c>
      <c r="G48" s="11" t="str">
        <f aca="false">IF($D48=0,"",INDEX($AH47:$CS47,1,$D48)&amp;"")</f>
        <v/>
      </c>
      <c r="H48" s="11" t="str">
        <f aca="false">IF($E48=0,"",INDEX($AH47:$CS47,1,$E48)&amp;"")</f>
        <v/>
      </c>
      <c r="I48" s="11" t="n">
        <f aca="false">IF(OR($D48=0,$E48=0),0,MOD($E48-1,8)-MOD($D48-1,8))</f>
        <v>0</v>
      </c>
      <c r="J48" s="11" t="n">
        <f aca="false">IF(OR($D48=0,$E48=0),0,INT(($E48-1)/8)-INT(($D48-1)/8))</f>
        <v>0</v>
      </c>
      <c r="K48" s="11" t="str">
        <f aca="false">IF($G48="","",RIGHT($G48,1))</f>
        <v/>
      </c>
      <c r="L48" s="11" t="n">
        <f aca="false">IF(OR($D48=0,$E48=0),0,SUMPRODUCT(($AH$3:$CS$3&gt;MIN($D48,$E48))*($AH$3:$CS$3&lt;MAX($D48,$E48))*(MOD($AH$3:$CS$3-MIN($D48,$E48),MAX(1,ABS(SIGN($J48)*8+SIGN($I48))))=0)*($AH47:$CS47&lt;&gt;"")))</f>
        <v>0</v>
      </c>
      <c r="M48" s="11" t="n">
        <f aca="false">IF($K48&lt;&gt;"K",0,IFERROR(--AND($J48=0,ABS($I48)=2,$D48=IF($F48="w",5,61),IF($F48="w",$S47,$V47)=0,IF($I48=2,AND(IF($F48="w",$U47,$X47)=0,INDEX($AH47:$CS47,1,$D48+1)&amp;""="",INDEX($AH47:$CS47,1,$D48+2)&amp;""=""),AND(IF($F48="w",$T47,$W47)=0,INDEX($AH47:$CS47,1,$D48-1)&amp;""="",INDEX($AH47:$CS47,1,$D48-2)&amp;""="",INDEX($AH47:$CS47,1,$D48-3)&amp;""=""))),0))</f>
        <v>0</v>
      </c>
      <c r="N48" s="11" t="n">
        <f aca="false">IF($K48&lt;&gt;"P",0,IFERROR(--OR(AND($I48=0,$J48=IF($F48="w",1,-1),$H48=""),AND($I48=0,$J48=2*IF($F48="w",1,-1),$H48="",INT(($D48-1)/8)=IF($F48="w",1,6),INDEX($AH47:$CS47,1,MAX(1,MIN(64,$D48+8*IF($F48="w",1,-1))))&amp;""=""),AND(ABS($I48)=1,$J48=IF($F48="w",1,-1),$H48&lt;&gt;""),AND(ABS($I48)=1,$J48=IF($F48="w",1,-1),$H48="",$R47&gt;0,$E48=$R47)),0))</f>
        <v>0</v>
      </c>
      <c r="O48" s="11" t="n">
        <f aca="false">IF(OR($D48=0,$E48=0,$G48=""),0,IF($K48="N",--OR(AND(ABS($I48)=1,ABS($J48)=2),AND(ABS($I48)=2,ABS($J48)=1)),IF($K48="B",--AND(ABS($I48)=ABS($J48),$I48&lt;&gt;0,$L48=0),IF($K48="R",--AND(OR($I48=0,$J48=0),OR($I48&lt;&gt;0,$J48&lt;&gt;0),$L48=0),IF($K48="Q",--AND(OR(AND(ABS($I48)=ABS($J48),$I48&lt;&gt;0),AND(OR($I48=0,$J48=0),OR($I48&lt;&gt;0,$J48&lt;&gt;0))),$L48=0),IF($K48="K",--OR(MAX(ABS($I48),ABS($J48))=1,$M48=1),$N48))))))</f>
        <v>0</v>
      </c>
      <c r="P48" s="11" t="n">
        <f aca="false">IF($Q48="OK",1,0)</f>
        <v>0</v>
      </c>
      <c r="Q48" s="11" t="str">
        <f aca="false">IF($B48="","",IF(OR(COUNTIF($AH47:$CS47,"wK")=0,COUNTIF($AH47:$CS47,"bK")=0),"Game is over",IF(OR($D48=0,$E48=0),"Use the format e2e4",IF($G48="","No piece on that square",IF(LEFT($G48,1)&lt;&gt;$F48,"Not your piece ("&amp;IF($F48="w","White","Black")&amp;" to move)",IF($D48=$E48,"Piece must move",IF(AND($H48&lt;&gt;"",LEFT($H48,1)=$F48),"Cannot capture your own piece",IF($O48=0,"Illegal move for that piece (or path blocked)","OK"))))))))</f>
        <v/>
      </c>
      <c r="R48" s="11" t="n">
        <f aca="false">IF($P48=1,IF(AND($K48="P",ABS($J48)=2),($D48+$E48)/2,0),$R47)</f>
        <v>0</v>
      </c>
      <c r="S48" s="12" t="b">
        <f aca="false">--OR($S47=1,AND($P48=1,OR($D48=5,$E48=5)))</f>
        <v>0</v>
      </c>
      <c r="T48" s="12" t="b">
        <f aca="false">--OR($T47=1,AND($P48=1,OR($D48=1,$E48=1)))</f>
        <v>0</v>
      </c>
      <c r="U48" s="12" t="b">
        <f aca="false">--OR($U47=1,AND($P48=1,OR($D48=8,$E48=8)))</f>
        <v>0</v>
      </c>
      <c r="V48" s="12" t="b">
        <f aca="false">--OR($V47=1,AND($P48=1,OR($D48=61,$E48=61)))</f>
        <v>0</v>
      </c>
      <c r="W48" s="12" t="b">
        <f aca="false">--OR($W47=1,AND($P48=1,OR($D48=57,$E48=57)))</f>
        <v>0</v>
      </c>
      <c r="X48" s="12" t="b">
        <f aca="false">--OR($X47=1,AND($P48=1,OR($D48=64,$E48=64)))</f>
        <v>0</v>
      </c>
      <c r="Y48" s="12" t="b">
        <f aca="false">--AND($P48=1,$K48="K",ABS($I48)=2)</f>
        <v>0</v>
      </c>
      <c r="Z48" s="12" t="b">
        <f aca="false">--AND($P48=1,$K48="P",ABS($I48)=1,$H48="")</f>
        <v>0</v>
      </c>
      <c r="AA48" s="12" t="b">
        <f aca="false">--AND($P48=1,$K48="P",INT(($E48-1)/8)=IF($F48="w",7,0))</f>
        <v>0</v>
      </c>
      <c r="AB48" s="11" t="str">
        <f aca="false">IF(LEN($C48)&gt;=5,IF(ISNUMBER(FIND(MID($C48,5,1),"qrbn")),UPPER(MID($C48,5,1)),"Q"),"Q")</f>
        <v>Q</v>
      </c>
      <c r="AC48" s="11" t="n">
        <f aca="false">IF($Y48=1,IF($I48=2,$D48+3,$D48-4),0)</f>
        <v>0</v>
      </c>
      <c r="AD48" s="11" t="n">
        <f aca="false">IF($Y48=1,IF($I48=2,$D48+1,$D48-1),0)</f>
        <v>0</v>
      </c>
      <c r="AE48" s="11" t="n">
        <f aca="false">IF($Z48=1,$E48-8*IF($F48="w",1,-1),0)</f>
        <v>0</v>
      </c>
      <c r="AF48" s="11" t="str">
        <f aca="false">IF($B48="","",IF($P48=1,LOWER(INDEX($CV$2:$CV$13,MATCH($G48,$CU$2:$CU$13,0)))&amp;" "&amp;MID("abcdefgh",MOD($D48-1,8)+1,1)&amp;(INT(($D48-1)/8)+1)&amp;"→"&amp;MID("abcdefgh",MOD($E48-1,8)+1,1)&amp;(INT(($E48-1)/8)+1)&amp;IF(OR($H48&lt;&gt;"",$Z48=1)," ×","")&amp;IF($Y48=1," castles","")&amp;IF($Z48=1," e.p.","")&amp;IF($AA48=1," =" &amp;LOWER(INDEX($CV$2:$CV$13,MATCH($F48&amp;$AB48,$CU$2:$CU$13,0))),""),"X "&amp;$Q48))</f>
        <v/>
      </c>
      <c r="AG48" s="11"/>
      <c r="AH48" s="11" t="str">
        <f aca="false">IF($P48=0,AH47,IF(AH$3=$E48,IF($AA48=1,$F48&amp;$AB48,$G48),IF(OR(AH$3=$D48,AH$3=$AC48,AH$3=$AE48),"",IF(AH$3=$AD48,$F48&amp;"R",AH47))))</f>
        <v>wR</v>
      </c>
      <c r="AI48" s="11" t="str">
        <f aca="false">IF($P48=0,AI47,IF(AI$3=$E48,IF($AA48=1,$F48&amp;$AB48,$G48),IF(OR(AI$3=$D48,AI$3=$AC48,AI$3=$AE48),"",IF(AI$3=$AD48,$F48&amp;"R",AI47))))</f>
        <v>wN</v>
      </c>
      <c r="AJ48" s="11" t="str">
        <f aca="false">IF($P48=0,AJ47,IF(AJ$3=$E48,IF($AA48=1,$F48&amp;$AB48,$G48),IF(OR(AJ$3=$D48,AJ$3=$AC48,AJ$3=$AE48),"",IF(AJ$3=$AD48,$F48&amp;"R",AJ47))))</f>
        <v>wB</v>
      </c>
      <c r="AK48" s="11" t="str">
        <f aca="false">IF($P48=0,AK47,IF(AK$3=$E48,IF($AA48=1,$F48&amp;$AB48,$G48),IF(OR(AK$3=$D48,AK$3=$AC48,AK$3=$AE48),"",IF(AK$3=$AD48,$F48&amp;"R",AK47))))</f>
        <v>wQ</v>
      </c>
      <c r="AL48" s="11" t="str">
        <f aca="false">IF($P48=0,AL47,IF(AL$3=$E48,IF($AA48=1,$F48&amp;$AB48,$G48),IF(OR(AL$3=$D48,AL$3=$AC48,AL$3=$AE48),"",IF(AL$3=$AD48,$F48&amp;"R",AL47))))</f>
        <v>wK</v>
      </c>
      <c r="AM48" s="11" t="str">
        <f aca="false">IF($P48=0,AM47,IF(AM$3=$E48,IF($AA48=1,$F48&amp;$AB48,$G48),IF(OR(AM$3=$D48,AM$3=$AC48,AM$3=$AE48),"",IF(AM$3=$AD48,$F48&amp;"R",AM47))))</f>
        <v>wB</v>
      </c>
      <c r="AN48" s="11" t="str">
        <f aca="false">IF($P48=0,AN47,IF(AN$3=$E48,IF($AA48=1,$F48&amp;$AB48,$G48),IF(OR(AN$3=$D48,AN$3=$AC48,AN$3=$AE48),"",IF(AN$3=$AD48,$F48&amp;"R",AN47))))</f>
        <v>wN</v>
      </c>
      <c r="AO48" s="11" t="str">
        <f aca="false">IF($P48=0,AO47,IF(AO$3=$E48,IF($AA48=1,$F48&amp;$AB48,$G48),IF(OR(AO$3=$D48,AO$3=$AC48,AO$3=$AE48),"",IF(AO$3=$AD48,$F48&amp;"R",AO47))))</f>
        <v>wR</v>
      </c>
      <c r="AP48" s="11" t="str">
        <f aca="false">IF($P48=0,AP47,IF(AP$3=$E48,IF($AA48=1,$F48&amp;$AB48,$G48),IF(OR(AP$3=$D48,AP$3=$AC48,AP$3=$AE48),"",IF(AP$3=$AD48,$F48&amp;"R",AP47))))</f>
        <v>wP</v>
      </c>
      <c r="AQ48" s="11" t="str">
        <f aca="false">IF($P48=0,AQ47,IF(AQ$3=$E48,IF($AA48=1,$F48&amp;$AB48,$G48),IF(OR(AQ$3=$D48,AQ$3=$AC48,AQ$3=$AE48),"",IF(AQ$3=$AD48,$F48&amp;"R",AQ47))))</f>
        <v>wP</v>
      </c>
      <c r="AR48" s="11" t="str">
        <f aca="false">IF($P48=0,AR47,IF(AR$3=$E48,IF($AA48=1,$F48&amp;$AB48,$G48),IF(OR(AR$3=$D48,AR$3=$AC48,AR$3=$AE48),"",IF(AR$3=$AD48,$F48&amp;"R",AR47))))</f>
        <v>wP</v>
      </c>
      <c r="AS48" s="11" t="str">
        <f aca="false">IF($P48=0,AS47,IF(AS$3=$E48,IF($AA48=1,$F48&amp;$AB48,$G48),IF(OR(AS$3=$D48,AS$3=$AC48,AS$3=$AE48),"",IF(AS$3=$AD48,$F48&amp;"R",AS47))))</f>
        <v>wP</v>
      </c>
      <c r="AT48" s="11" t="str">
        <f aca="false">IF($P48=0,AT47,IF(AT$3=$E48,IF($AA48=1,$F48&amp;$AB48,$G48),IF(OR(AT$3=$D48,AT$3=$AC48,AT$3=$AE48),"",IF(AT$3=$AD48,$F48&amp;"R",AT47))))</f>
        <v>wP</v>
      </c>
      <c r="AU48" s="11" t="str">
        <f aca="false">IF($P48=0,AU47,IF(AU$3=$E48,IF($AA48=1,$F48&amp;$AB48,$G48),IF(OR(AU$3=$D48,AU$3=$AC48,AU$3=$AE48),"",IF(AU$3=$AD48,$F48&amp;"R",AU47))))</f>
        <v>wP</v>
      </c>
      <c r="AV48" s="11" t="str">
        <f aca="false">IF($P48=0,AV47,IF(AV$3=$E48,IF($AA48=1,$F48&amp;$AB48,$G48),IF(OR(AV$3=$D48,AV$3=$AC48,AV$3=$AE48),"",IF(AV$3=$AD48,$F48&amp;"R",AV47))))</f>
        <v>wP</v>
      </c>
      <c r="AW48" s="11" t="str">
        <f aca="false">IF($P48=0,AW47,IF(AW$3=$E48,IF($AA48=1,$F48&amp;$AB48,$G48),IF(OR(AW$3=$D48,AW$3=$AC48,AW$3=$AE48),"",IF(AW$3=$AD48,$F48&amp;"R",AW47))))</f>
        <v>wP</v>
      </c>
      <c r="AX48" s="11" t="str">
        <f aca="false">IF($P48=0,AX47,IF(AX$3=$E48,IF($AA48=1,$F48&amp;$AB48,$G48),IF(OR(AX$3=$D48,AX$3=$AC48,AX$3=$AE48),"",IF(AX$3=$AD48,$F48&amp;"R",AX47))))</f>
        <v/>
      </c>
      <c r="AY48" s="11" t="str">
        <f aca="false">IF($P48=0,AY47,IF(AY$3=$E48,IF($AA48=1,$F48&amp;$AB48,$G48),IF(OR(AY$3=$D48,AY$3=$AC48,AY$3=$AE48),"",IF(AY$3=$AD48,$F48&amp;"R",AY47))))</f>
        <v/>
      </c>
      <c r="AZ48" s="11" t="str">
        <f aca="false">IF($P48=0,AZ47,IF(AZ$3=$E48,IF($AA48=1,$F48&amp;$AB48,$G48),IF(OR(AZ$3=$D48,AZ$3=$AC48,AZ$3=$AE48),"",IF(AZ$3=$AD48,$F48&amp;"R",AZ47))))</f>
        <v/>
      </c>
      <c r="BA48" s="11" t="str">
        <f aca="false">IF($P48=0,BA47,IF(BA$3=$E48,IF($AA48=1,$F48&amp;$AB48,$G48),IF(OR(BA$3=$D48,BA$3=$AC48,BA$3=$AE48),"",IF(BA$3=$AD48,$F48&amp;"R",BA47))))</f>
        <v/>
      </c>
      <c r="BB48" s="11" t="str">
        <f aca="false">IF($P48=0,BB47,IF(BB$3=$E48,IF($AA48=1,$F48&amp;$AB48,$G48),IF(OR(BB$3=$D48,BB$3=$AC48,BB$3=$AE48),"",IF(BB$3=$AD48,$F48&amp;"R",BB47))))</f>
        <v/>
      </c>
      <c r="BC48" s="11" t="str">
        <f aca="false">IF($P48=0,BC47,IF(BC$3=$E48,IF($AA48=1,$F48&amp;$AB48,$G48),IF(OR(BC$3=$D48,BC$3=$AC48,BC$3=$AE48),"",IF(BC$3=$AD48,$F48&amp;"R",BC47))))</f>
        <v/>
      </c>
      <c r="BD48" s="11" t="str">
        <f aca="false">IF($P48=0,BD47,IF(BD$3=$E48,IF($AA48=1,$F48&amp;$AB48,$G48),IF(OR(BD$3=$D48,BD$3=$AC48,BD$3=$AE48),"",IF(BD$3=$AD48,$F48&amp;"R",BD47))))</f>
        <v/>
      </c>
      <c r="BE48" s="11" t="str">
        <f aca="false">IF($P48=0,BE47,IF(BE$3=$E48,IF($AA48=1,$F48&amp;$AB48,$G48),IF(OR(BE$3=$D48,BE$3=$AC48,BE$3=$AE48),"",IF(BE$3=$AD48,$F48&amp;"R",BE47))))</f>
        <v/>
      </c>
      <c r="BF48" s="11" t="str">
        <f aca="false">IF($P48=0,BF47,IF(BF$3=$E48,IF($AA48=1,$F48&amp;$AB48,$G48),IF(OR(BF$3=$D48,BF$3=$AC48,BF$3=$AE48),"",IF(BF$3=$AD48,$F48&amp;"R",BF47))))</f>
        <v/>
      </c>
      <c r="BG48" s="11" t="str">
        <f aca="false">IF($P48=0,BG47,IF(BG$3=$E48,IF($AA48=1,$F48&amp;$AB48,$G48),IF(OR(BG$3=$D48,BG$3=$AC48,BG$3=$AE48),"",IF(BG$3=$AD48,$F48&amp;"R",BG47))))</f>
        <v/>
      </c>
      <c r="BH48" s="11" t="str">
        <f aca="false">IF($P48=0,BH47,IF(BH$3=$E48,IF($AA48=1,$F48&amp;$AB48,$G48),IF(OR(BH$3=$D48,BH$3=$AC48,BH$3=$AE48),"",IF(BH$3=$AD48,$F48&amp;"R",BH47))))</f>
        <v/>
      </c>
      <c r="BI48" s="11" t="str">
        <f aca="false">IF($P48=0,BI47,IF(BI$3=$E48,IF($AA48=1,$F48&amp;$AB48,$G48),IF(OR(BI$3=$D48,BI$3=$AC48,BI$3=$AE48),"",IF(BI$3=$AD48,$F48&amp;"R",BI47))))</f>
        <v/>
      </c>
      <c r="BJ48" s="11" t="str">
        <f aca="false">IF($P48=0,BJ47,IF(BJ$3=$E48,IF($AA48=1,$F48&amp;$AB48,$G48),IF(OR(BJ$3=$D48,BJ$3=$AC48,BJ$3=$AE48),"",IF(BJ$3=$AD48,$F48&amp;"R",BJ47))))</f>
        <v/>
      </c>
      <c r="BK48" s="11" t="str">
        <f aca="false">IF($P48=0,BK47,IF(BK$3=$E48,IF($AA48=1,$F48&amp;$AB48,$G48),IF(OR(BK$3=$D48,BK$3=$AC48,BK$3=$AE48),"",IF(BK$3=$AD48,$F48&amp;"R",BK47))))</f>
        <v/>
      </c>
      <c r="BL48" s="11" t="str">
        <f aca="false">IF($P48=0,BL47,IF(BL$3=$E48,IF($AA48=1,$F48&amp;$AB48,$G48),IF(OR(BL$3=$D48,BL$3=$AC48,BL$3=$AE48),"",IF(BL$3=$AD48,$F48&amp;"R",BL47))))</f>
        <v/>
      </c>
      <c r="BM48" s="11" t="str">
        <f aca="false">IF($P48=0,BM47,IF(BM$3=$E48,IF($AA48=1,$F48&amp;$AB48,$G48),IF(OR(BM$3=$D48,BM$3=$AC48,BM$3=$AE48),"",IF(BM$3=$AD48,$F48&amp;"R",BM47))))</f>
        <v/>
      </c>
      <c r="BN48" s="11" t="str">
        <f aca="false">IF($P48=0,BN47,IF(BN$3=$E48,IF($AA48=1,$F48&amp;$AB48,$G48),IF(OR(BN$3=$D48,BN$3=$AC48,BN$3=$AE48),"",IF(BN$3=$AD48,$F48&amp;"R",BN47))))</f>
        <v/>
      </c>
      <c r="BO48" s="11" t="str">
        <f aca="false">IF($P48=0,BO47,IF(BO$3=$E48,IF($AA48=1,$F48&amp;$AB48,$G48),IF(OR(BO$3=$D48,BO$3=$AC48,BO$3=$AE48),"",IF(BO$3=$AD48,$F48&amp;"R",BO47))))</f>
        <v/>
      </c>
      <c r="BP48" s="11" t="str">
        <f aca="false">IF($P48=0,BP47,IF(BP$3=$E48,IF($AA48=1,$F48&amp;$AB48,$G48),IF(OR(BP$3=$D48,BP$3=$AC48,BP$3=$AE48),"",IF(BP$3=$AD48,$F48&amp;"R",BP47))))</f>
        <v/>
      </c>
      <c r="BQ48" s="11" t="str">
        <f aca="false">IF($P48=0,BQ47,IF(BQ$3=$E48,IF($AA48=1,$F48&amp;$AB48,$G48),IF(OR(BQ$3=$D48,BQ$3=$AC48,BQ$3=$AE48),"",IF(BQ$3=$AD48,$F48&amp;"R",BQ47))))</f>
        <v/>
      </c>
      <c r="BR48" s="11" t="str">
        <f aca="false">IF($P48=0,BR47,IF(BR$3=$E48,IF($AA48=1,$F48&amp;$AB48,$G48),IF(OR(BR$3=$D48,BR$3=$AC48,BR$3=$AE48),"",IF(BR$3=$AD48,$F48&amp;"R",BR47))))</f>
        <v/>
      </c>
      <c r="BS48" s="11" t="str">
        <f aca="false">IF($P48=0,BS47,IF(BS$3=$E48,IF($AA48=1,$F48&amp;$AB48,$G48),IF(OR(BS$3=$D48,BS$3=$AC48,BS$3=$AE48),"",IF(BS$3=$AD48,$F48&amp;"R",BS47))))</f>
        <v/>
      </c>
      <c r="BT48" s="11" t="str">
        <f aca="false">IF($P48=0,BT47,IF(BT$3=$E48,IF($AA48=1,$F48&amp;$AB48,$G48),IF(OR(BT$3=$D48,BT$3=$AC48,BT$3=$AE48),"",IF(BT$3=$AD48,$F48&amp;"R",BT47))))</f>
        <v/>
      </c>
      <c r="BU48" s="11" t="str">
        <f aca="false">IF($P48=0,BU47,IF(BU$3=$E48,IF($AA48=1,$F48&amp;$AB48,$G48),IF(OR(BU$3=$D48,BU$3=$AC48,BU$3=$AE48),"",IF(BU$3=$AD48,$F48&amp;"R",BU47))))</f>
        <v/>
      </c>
      <c r="BV48" s="11" t="str">
        <f aca="false">IF($P48=0,BV47,IF(BV$3=$E48,IF($AA48=1,$F48&amp;$AB48,$G48),IF(OR(BV$3=$D48,BV$3=$AC48,BV$3=$AE48),"",IF(BV$3=$AD48,$F48&amp;"R",BV47))))</f>
        <v/>
      </c>
      <c r="BW48" s="11" t="str">
        <f aca="false">IF($P48=0,BW47,IF(BW$3=$E48,IF($AA48=1,$F48&amp;$AB48,$G48),IF(OR(BW$3=$D48,BW$3=$AC48,BW$3=$AE48),"",IF(BW$3=$AD48,$F48&amp;"R",BW47))))</f>
        <v/>
      </c>
      <c r="BX48" s="11" t="str">
        <f aca="false">IF($P48=0,BX47,IF(BX$3=$E48,IF($AA48=1,$F48&amp;$AB48,$G48),IF(OR(BX$3=$D48,BX$3=$AC48,BX$3=$AE48),"",IF(BX$3=$AD48,$F48&amp;"R",BX47))))</f>
        <v/>
      </c>
      <c r="BY48" s="11" t="str">
        <f aca="false">IF($P48=0,BY47,IF(BY$3=$E48,IF($AA48=1,$F48&amp;$AB48,$G48),IF(OR(BY$3=$D48,BY$3=$AC48,BY$3=$AE48),"",IF(BY$3=$AD48,$F48&amp;"R",BY47))))</f>
        <v/>
      </c>
      <c r="BZ48" s="11" t="str">
        <f aca="false">IF($P48=0,BZ47,IF(BZ$3=$E48,IF($AA48=1,$F48&amp;$AB48,$G48),IF(OR(BZ$3=$D48,BZ$3=$AC48,BZ$3=$AE48),"",IF(BZ$3=$AD48,$F48&amp;"R",BZ47))))</f>
        <v/>
      </c>
      <c r="CA48" s="11" t="str">
        <f aca="false">IF($P48=0,CA47,IF(CA$3=$E48,IF($AA48=1,$F48&amp;$AB48,$G48),IF(OR(CA$3=$D48,CA$3=$AC48,CA$3=$AE48),"",IF(CA$3=$AD48,$F48&amp;"R",CA47))))</f>
        <v/>
      </c>
      <c r="CB48" s="11" t="str">
        <f aca="false">IF($P48=0,CB47,IF(CB$3=$E48,IF($AA48=1,$F48&amp;$AB48,$G48),IF(OR(CB$3=$D48,CB$3=$AC48,CB$3=$AE48),"",IF(CB$3=$AD48,$F48&amp;"R",CB47))))</f>
        <v/>
      </c>
      <c r="CC48" s="11" t="str">
        <f aca="false">IF($P48=0,CC47,IF(CC$3=$E48,IF($AA48=1,$F48&amp;$AB48,$G48),IF(OR(CC$3=$D48,CC$3=$AC48,CC$3=$AE48),"",IF(CC$3=$AD48,$F48&amp;"R",CC47))))</f>
        <v/>
      </c>
      <c r="CD48" s="11" t="str">
        <f aca="false">IF($P48=0,CD47,IF(CD$3=$E48,IF($AA48=1,$F48&amp;$AB48,$G48),IF(OR(CD$3=$D48,CD$3=$AC48,CD$3=$AE48),"",IF(CD$3=$AD48,$F48&amp;"R",CD47))))</f>
        <v>bP</v>
      </c>
      <c r="CE48" s="11" t="str">
        <f aca="false">IF($P48=0,CE47,IF(CE$3=$E48,IF($AA48=1,$F48&amp;$AB48,$G48),IF(OR(CE$3=$D48,CE$3=$AC48,CE$3=$AE48),"",IF(CE$3=$AD48,$F48&amp;"R",CE47))))</f>
        <v>bP</v>
      </c>
      <c r="CF48" s="11" t="str">
        <f aca="false">IF($P48=0,CF47,IF(CF$3=$E48,IF($AA48=1,$F48&amp;$AB48,$G48),IF(OR(CF$3=$D48,CF$3=$AC48,CF$3=$AE48),"",IF(CF$3=$AD48,$F48&amp;"R",CF47))))</f>
        <v>bP</v>
      </c>
      <c r="CG48" s="11" t="str">
        <f aca="false">IF($P48=0,CG47,IF(CG$3=$E48,IF($AA48=1,$F48&amp;$AB48,$G48),IF(OR(CG$3=$D48,CG$3=$AC48,CG$3=$AE48),"",IF(CG$3=$AD48,$F48&amp;"R",CG47))))</f>
        <v>bP</v>
      </c>
      <c r="CH48" s="11" t="str">
        <f aca="false">IF($P48=0,CH47,IF(CH$3=$E48,IF($AA48=1,$F48&amp;$AB48,$G48),IF(OR(CH$3=$D48,CH$3=$AC48,CH$3=$AE48),"",IF(CH$3=$AD48,$F48&amp;"R",CH47))))</f>
        <v>bP</v>
      </c>
      <c r="CI48" s="11" t="str">
        <f aca="false">IF($P48=0,CI47,IF(CI$3=$E48,IF($AA48=1,$F48&amp;$AB48,$G48),IF(OR(CI$3=$D48,CI$3=$AC48,CI$3=$AE48),"",IF(CI$3=$AD48,$F48&amp;"R",CI47))))</f>
        <v>bP</v>
      </c>
      <c r="CJ48" s="11" t="str">
        <f aca="false">IF($P48=0,CJ47,IF(CJ$3=$E48,IF($AA48=1,$F48&amp;$AB48,$G48),IF(OR(CJ$3=$D48,CJ$3=$AC48,CJ$3=$AE48),"",IF(CJ$3=$AD48,$F48&amp;"R",CJ47))))</f>
        <v>bP</v>
      </c>
      <c r="CK48" s="11" t="str">
        <f aca="false">IF($P48=0,CK47,IF(CK$3=$E48,IF($AA48=1,$F48&amp;$AB48,$G48),IF(OR(CK$3=$D48,CK$3=$AC48,CK$3=$AE48),"",IF(CK$3=$AD48,$F48&amp;"R",CK47))))</f>
        <v>bP</v>
      </c>
      <c r="CL48" s="11" t="str">
        <f aca="false">IF($P48=0,CL47,IF(CL$3=$E48,IF($AA48=1,$F48&amp;$AB48,$G48),IF(OR(CL$3=$D48,CL$3=$AC48,CL$3=$AE48),"",IF(CL$3=$AD48,$F48&amp;"R",CL47))))</f>
        <v>bR</v>
      </c>
      <c r="CM48" s="11" t="str">
        <f aca="false">IF($P48=0,CM47,IF(CM$3=$E48,IF($AA48=1,$F48&amp;$AB48,$G48),IF(OR(CM$3=$D48,CM$3=$AC48,CM$3=$AE48),"",IF(CM$3=$AD48,$F48&amp;"R",CM47))))</f>
        <v>bN</v>
      </c>
      <c r="CN48" s="11" t="str">
        <f aca="false">IF($P48=0,CN47,IF(CN$3=$E48,IF($AA48=1,$F48&amp;$AB48,$G48),IF(OR(CN$3=$D48,CN$3=$AC48,CN$3=$AE48),"",IF(CN$3=$AD48,$F48&amp;"R",CN47))))</f>
        <v>bB</v>
      </c>
      <c r="CO48" s="11" t="str">
        <f aca="false">IF($P48=0,CO47,IF(CO$3=$E48,IF($AA48=1,$F48&amp;$AB48,$G48),IF(OR(CO$3=$D48,CO$3=$AC48,CO$3=$AE48),"",IF(CO$3=$AD48,$F48&amp;"R",CO47))))</f>
        <v>bQ</v>
      </c>
      <c r="CP48" s="11" t="str">
        <f aca="false">IF($P48=0,CP47,IF(CP$3=$E48,IF($AA48=1,$F48&amp;$AB48,$G48),IF(OR(CP$3=$D48,CP$3=$AC48,CP$3=$AE48),"",IF(CP$3=$AD48,$F48&amp;"R",CP47))))</f>
        <v>bK</v>
      </c>
      <c r="CQ48" s="11" t="str">
        <f aca="false">IF($P48=0,CQ47,IF(CQ$3=$E48,IF($AA48=1,$F48&amp;$AB48,$G48),IF(OR(CQ$3=$D48,CQ$3=$AC48,CQ$3=$AE48),"",IF(CQ$3=$AD48,$F48&amp;"R",CQ47))))</f>
        <v>bB</v>
      </c>
      <c r="CR48" s="11" t="str">
        <f aca="false">IF($P48=0,CR47,IF(CR$3=$E48,IF($AA48=1,$F48&amp;$AB48,$G48),IF(OR(CR$3=$D48,CR$3=$AC48,CR$3=$AE48),"",IF(CR$3=$AD48,$F48&amp;"R",CR47))))</f>
        <v>bN</v>
      </c>
      <c r="CS48" s="11" t="str">
        <f aca="false">IF($P48=0,CS47,IF(CS$3=$E48,IF($AA48=1,$F48&amp;$AB48,$G48),IF(OR(CS$3=$D48,CS$3=$AC48,CS$3=$AE48),"",IF(CS$3=$AD48,$F48&amp;"R",CS47))))</f>
        <v>bR</v>
      </c>
      <c r="CT48" s="11"/>
      <c r="CU48" s="11"/>
      <c r="CV48" s="11"/>
    </row>
    <row r="49" customFormat="false" ht="15" hidden="false" customHeight="false" outlineLevel="0" collapsed="false">
      <c r="A49" s="11" t="n">
        <v>44</v>
      </c>
      <c r="B49" s="11" t="str">
        <f aca="false">IF(Chess!$L$53="","",Chess!$L$53&amp;"")</f>
        <v/>
      </c>
      <c r="C49" s="11" t="str">
        <f aca="false">LOWER(SUBSTITUTE(SUBSTITUTE(SUBSTITUTE(SUBSTITUTE(TRIM($B49),"-",""),"=","")," ",""),"x",""))</f>
        <v/>
      </c>
      <c r="D49" s="11" t="n">
        <f aca="false">IF(LEN($C49)&lt;4,0,IFERROR(IF(AND(CODE(MID($C49,1,1))&gt;=97,CODE(MID($C49,1,1))&lt;=104,VALUE(MID($C49,2,1))&gt;=1,VALUE(MID($C49,2,1))&lt;=8),(VALUE(MID($C49,2,1))-1)*8+CODE(MID($C49,1,1))-96,0),0))</f>
        <v>0</v>
      </c>
      <c r="E49" s="11" t="n">
        <f aca="false">IF(LEN($C49)&lt;4,0,IFERROR(IF(AND(CODE(MID($C49,3,1))&gt;=97,CODE(MID($C49,3,1))&lt;=104,VALUE(MID($C49,4,1))&gt;=1,VALUE(MID($C49,4,1))&lt;=8),(VALUE(MID($C49,4,1))-1)*8+CODE(MID($C49,3,1))-96,0),0))</f>
        <v>0</v>
      </c>
      <c r="F49" s="11" t="str">
        <f aca="false">IF(MOD(SUM($P$5:$P48),2)=0,"w","b")</f>
        <v>w</v>
      </c>
      <c r="G49" s="11" t="str">
        <f aca="false">IF($D49=0,"",INDEX($AH48:$CS48,1,$D49)&amp;"")</f>
        <v/>
      </c>
      <c r="H49" s="11" t="str">
        <f aca="false">IF($E49=0,"",INDEX($AH48:$CS48,1,$E49)&amp;"")</f>
        <v/>
      </c>
      <c r="I49" s="11" t="n">
        <f aca="false">IF(OR($D49=0,$E49=0),0,MOD($E49-1,8)-MOD($D49-1,8))</f>
        <v>0</v>
      </c>
      <c r="J49" s="11" t="n">
        <f aca="false">IF(OR($D49=0,$E49=0),0,INT(($E49-1)/8)-INT(($D49-1)/8))</f>
        <v>0</v>
      </c>
      <c r="K49" s="11" t="str">
        <f aca="false">IF($G49="","",RIGHT($G49,1))</f>
        <v/>
      </c>
      <c r="L49" s="11" t="n">
        <f aca="false">IF(OR($D49=0,$E49=0),0,SUMPRODUCT(($AH$3:$CS$3&gt;MIN($D49,$E49))*($AH$3:$CS$3&lt;MAX($D49,$E49))*(MOD($AH$3:$CS$3-MIN($D49,$E49),MAX(1,ABS(SIGN($J49)*8+SIGN($I49))))=0)*($AH48:$CS48&lt;&gt;"")))</f>
        <v>0</v>
      </c>
      <c r="M49" s="11" t="n">
        <f aca="false">IF($K49&lt;&gt;"K",0,IFERROR(--AND($J49=0,ABS($I49)=2,$D49=IF($F49="w",5,61),IF($F49="w",$S48,$V48)=0,IF($I49=2,AND(IF($F49="w",$U48,$X48)=0,INDEX($AH48:$CS48,1,$D49+1)&amp;""="",INDEX($AH48:$CS48,1,$D49+2)&amp;""=""),AND(IF($F49="w",$T48,$W48)=0,INDEX($AH48:$CS48,1,$D49-1)&amp;""="",INDEX($AH48:$CS48,1,$D49-2)&amp;""="",INDEX($AH48:$CS48,1,$D49-3)&amp;""=""))),0))</f>
        <v>0</v>
      </c>
      <c r="N49" s="11" t="n">
        <f aca="false">IF($K49&lt;&gt;"P",0,IFERROR(--OR(AND($I49=0,$J49=IF($F49="w",1,-1),$H49=""),AND($I49=0,$J49=2*IF($F49="w",1,-1),$H49="",INT(($D49-1)/8)=IF($F49="w",1,6),INDEX($AH48:$CS48,1,MAX(1,MIN(64,$D49+8*IF($F49="w",1,-1))))&amp;""=""),AND(ABS($I49)=1,$J49=IF($F49="w",1,-1),$H49&lt;&gt;""),AND(ABS($I49)=1,$J49=IF($F49="w",1,-1),$H49="",$R48&gt;0,$E49=$R48)),0))</f>
        <v>0</v>
      </c>
      <c r="O49" s="11" t="n">
        <f aca="false">IF(OR($D49=0,$E49=0,$G49=""),0,IF($K49="N",--OR(AND(ABS($I49)=1,ABS($J49)=2),AND(ABS($I49)=2,ABS($J49)=1)),IF($K49="B",--AND(ABS($I49)=ABS($J49),$I49&lt;&gt;0,$L49=0),IF($K49="R",--AND(OR($I49=0,$J49=0),OR($I49&lt;&gt;0,$J49&lt;&gt;0),$L49=0),IF($K49="Q",--AND(OR(AND(ABS($I49)=ABS($J49),$I49&lt;&gt;0),AND(OR($I49=0,$J49=0),OR($I49&lt;&gt;0,$J49&lt;&gt;0))),$L49=0),IF($K49="K",--OR(MAX(ABS($I49),ABS($J49))=1,$M49=1),$N49))))))</f>
        <v>0</v>
      </c>
      <c r="P49" s="11" t="n">
        <f aca="false">IF($Q49="OK",1,0)</f>
        <v>0</v>
      </c>
      <c r="Q49" s="11" t="str">
        <f aca="false">IF($B49="","",IF(OR(COUNTIF($AH48:$CS48,"wK")=0,COUNTIF($AH48:$CS48,"bK")=0),"Game is over",IF(OR($D49=0,$E49=0),"Use the format e2e4",IF($G49="","No piece on that square",IF(LEFT($G49,1)&lt;&gt;$F49,"Not your piece ("&amp;IF($F49="w","White","Black")&amp;" to move)",IF($D49=$E49,"Piece must move",IF(AND($H49&lt;&gt;"",LEFT($H49,1)=$F49),"Cannot capture your own piece",IF($O49=0,"Illegal move for that piece (or path blocked)","OK"))))))))</f>
        <v/>
      </c>
      <c r="R49" s="11" t="n">
        <f aca="false">IF($P49=1,IF(AND($K49="P",ABS($J49)=2),($D49+$E49)/2,0),$R48)</f>
        <v>0</v>
      </c>
      <c r="S49" s="12" t="b">
        <f aca="false">--OR($S48=1,AND($P49=1,OR($D49=5,$E49=5)))</f>
        <v>0</v>
      </c>
      <c r="T49" s="12" t="b">
        <f aca="false">--OR($T48=1,AND($P49=1,OR($D49=1,$E49=1)))</f>
        <v>0</v>
      </c>
      <c r="U49" s="12" t="b">
        <f aca="false">--OR($U48=1,AND($P49=1,OR($D49=8,$E49=8)))</f>
        <v>0</v>
      </c>
      <c r="V49" s="12" t="b">
        <f aca="false">--OR($V48=1,AND($P49=1,OR($D49=61,$E49=61)))</f>
        <v>0</v>
      </c>
      <c r="W49" s="12" t="b">
        <f aca="false">--OR($W48=1,AND($P49=1,OR($D49=57,$E49=57)))</f>
        <v>0</v>
      </c>
      <c r="X49" s="12" t="b">
        <f aca="false">--OR($X48=1,AND($P49=1,OR($D49=64,$E49=64)))</f>
        <v>0</v>
      </c>
      <c r="Y49" s="12" t="b">
        <f aca="false">--AND($P49=1,$K49="K",ABS($I49)=2)</f>
        <v>0</v>
      </c>
      <c r="Z49" s="12" t="b">
        <f aca="false">--AND($P49=1,$K49="P",ABS($I49)=1,$H49="")</f>
        <v>0</v>
      </c>
      <c r="AA49" s="12" t="b">
        <f aca="false">--AND($P49=1,$K49="P",INT(($E49-1)/8)=IF($F49="w",7,0))</f>
        <v>0</v>
      </c>
      <c r="AB49" s="11" t="str">
        <f aca="false">IF(LEN($C49)&gt;=5,IF(ISNUMBER(FIND(MID($C49,5,1),"qrbn")),UPPER(MID($C49,5,1)),"Q"),"Q")</f>
        <v>Q</v>
      </c>
      <c r="AC49" s="11" t="n">
        <f aca="false">IF($Y49=1,IF($I49=2,$D49+3,$D49-4),0)</f>
        <v>0</v>
      </c>
      <c r="AD49" s="11" t="n">
        <f aca="false">IF($Y49=1,IF($I49=2,$D49+1,$D49-1),0)</f>
        <v>0</v>
      </c>
      <c r="AE49" s="11" t="n">
        <f aca="false">IF($Z49=1,$E49-8*IF($F49="w",1,-1),0)</f>
        <v>0</v>
      </c>
      <c r="AF49" s="11" t="str">
        <f aca="false">IF($B49="","",IF($P49=1,LOWER(INDEX($CV$2:$CV$13,MATCH($G49,$CU$2:$CU$13,0)))&amp;" "&amp;MID("abcdefgh",MOD($D49-1,8)+1,1)&amp;(INT(($D49-1)/8)+1)&amp;"→"&amp;MID("abcdefgh",MOD($E49-1,8)+1,1)&amp;(INT(($E49-1)/8)+1)&amp;IF(OR($H49&lt;&gt;"",$Z49=1)," ×","")&amp;IF($Y49=1," castles","")&amp;IF($Z49=1," e.p.","")&amp;IF($AA49=1," =" &amp;LOWER(INDEX($CV$2:$CV$13,MATCH($F49&amp;$AB49,$CU$2:$CU$13,0))),""),"X "&amp;$Q49))</f>
        <v/>
      </c>
      <c r="AG49" s="11"/>
      <c r="AH49" s="11" t="str">
        <f aca="false">IF($P49=0,AH48,IF(AH$3=$E49,IF($AA49=1,$F49&amp;$AB49,$G49),IF(OR(AH$3=$D49,AH$3=$AC49,AH$3=$AE49),"",IF(AH$3=$AD49,$F49&amp;"R",AH48))))</f>
        <v>wR</v>
      </c>
      <c r="AI49" s="11" t="str">
        <f aca="false">IF($P49=0,AI48,IF(AI$3=$E49,IF($AA49=1,$F49&amp;$AB49,$G49),IF(OR(AI$3=$D49,AI$3=$AC49,AI$3=$AE49),"",IF(AI$3=$AD49,$F49&amp;"R",AI48))))</f>
        <v>wN</v>
      </c>
      <c r="AJ49" s="11" t="str">
        <f aca="false">IF($P49=0,AJ48,IF(AJ$3=$E49,IF($AA49=1,$F49&amp;$AB49,$G49),IF(OR(AJ$3=$D49,AJ$3=$AC49,AJ$3=$AE49),"",IF(AJ$3=$AD49,$F49&amp;"R",AJ48))))</f>
        <v>wB</v>
      </c>
      <c r="AK49" s="11" t="str">
        <f aca="false">IF($P49=0,AK48,IF(AK$3=$E49,IF($AA49=1,$F49&amp;$AB49,$G49),IF(OR(AK$3=$D49,AK$3=$AC49,AK$3=$AE49),"",IF(AK$3=$AD49,$F49&amp;"R",AK48))))</f>
        <v>wQ</v>
      </c>
      <c r="AL49" s="11" t="str">
        <f aca="false">IF($P49=0,AL48,IF(AL$3=$E49,IF($AA49=1,$F49&amp;$AB49,$G49),IF(OR(AL$3=$D49,AL$3=$AC49,AL$3=$AE49),"",IF(AL$3=$AD49,$F49&amp;"R",AL48))))</f>
        <v>wK</v>
      </c>
      <c r="AM49" s="11" t="str">
        <f aca="false">IF($P49=0,AM48,IF(AM$3=$E49,IF($AA49=1,$F49&amp;$AB49,$G49),IF(OR(AM$3=$D49,AM$3=$AC49,AM$3=$AE49),"",IF(AM$3=$AD49,$F49&amp;"R",AM48))))</f>
        <v>wB</v>
      </c>
      <c r="AN49" s="11" t="str">
        <f aca="false">IF($P49=0,AN48,IF(AN$3=$E49,IF($AA49=1,$F49&amp;$AB49,$G49),IF(OR(AN$3=$D49,AN$3=$AC49,AN$3=$AE49),"",IF(AN$3=$AD49,$F49&amp;"R",AN48))))</f>
        <v>wN</v>
      </c>
      <c r="AO49" s="11" t="str">
        <f aca="false">IF($P49=0,AO48,IF(AO$3=$E49,IF($AA49=1,$F49&amp;$AB49,$G49),IF(OR(AO$3=$D49,AO$3=$AC49,AO$3=$AE49),"",IF(AO$3=$AD49,$F49&amp;"R",AO48))))</f>
        <v>wR</v>
      </c>
      <c r="AP49" s="11" t="str">
        <f aca="false">IF($P49=0,AP48,IF(AP$3=$E49,IF($AA49=1,$F49&amp;$AB49,$G49),IF(OR(AP$3=$D49,AP$3=$AC49,AP$3=$AE49),"",IF(AP$3=$AD49,$F49&amp;"R",AP48))))</f>
        <v>wP</v>
      </c>
      <c r="AQ49" s="11" t="str">
        <f aca="false">IF($P49=0,AQ48,IF(AQ$3=$E49,IF($AA49=1,$F49&amp;$AB49,$G49),IF(OR(AQ$3=$D49,AQ$3=$AC49,AQ$3=$AE49),"",IF(AQ$3=$AD49,$F49&amp;"R",AQ48))))</f>
        <v>wP</v>
      </c>
      <c r="AR49" s="11" t="str">
        <f aca="false">IF($P49=0,AR48,IF(AR$3=$E49,IF($AA49=1,$F49&amp;$AB49,$G49),IF(OR(AR$3=$D49,AR$3=$AC49,AR$3=$AE49),"",IF(AR$3=$AD49,$F49&amp;"R",AR48))))</f>
        <v>wP</v>
      </c>
      <c r="AS49" s="11" t="str">
        <f aca="false">IF($P49=0,AS48,IF(AS$3=$E49,IF($AA49=1,$F49&amp;$AB49,$G49),IF(OR(AS$3=$D49,AS$3=$AC49,AS$3=$AE49),"",IF(AS$3=$AD49,$F49&amp;"R",AS48))))</f>
        <v>wP</v>
      </c>
      <c r="AT49" s="11" t="str">
        <f aca="false">IF($P49=0,AT48,IF(AT$3=$E49,IF($AA49=1,$F49&amp;$AB49,$G49),IF(OR(AT$3=$D49,AT$3=$AC49,AT$3=$AE49),"",IF(AT$3=$AD49,$F49&amp;"R",AT48))))</f>
        <v>wP</v>
      </c>
      <c r="AU49" s="11" t="str">
        <f aca="false">IF($P49=0,AU48,IF(AU$3=$E49,IF($AA49=1,$F49&amp;$AB49,$G49),IF(OR(AU$3=$D49,AU$3=$AC49,AU$3=$AE49),"",IF(AU$3=$AD49,$F49&amp;"R",AU48))))</f>
        <v>wP</v>
      </c>
      <c r="AV49" s="11" t="str">
        <f aca="false">IF($P49=0,AV48,IF(AV$3=$E49,IF($AA49=1,$F49&amp;$AB49,$G49),IF(OR(AV$3=$D49,AV$3=$AC49,AV$3=$AE49),"",IF(AV$3=$AD49,$F49&amp;"R",AV48))))</f>
        <v>wP</v>
      </c>
      <c r="AW49" s="11" t="str">
        <f aca="false">IF($P49=0,AW48,IF(AW$3=$E49,IF($AA49=1,$F49&amp;$AB49,$G49),IF(OR(AW$3=$D49,AW$3=$AC49,AW$3=$AE49),"",IF(AW$3=$AD49,$F49&amp;"R",AW48))))</f>
        <v>wP</v>
      </c>
      <c r="AX49" s="11" t="str">
        <f aca="false">IF($P49=0,AX48,IF(AX$3=$E49,IF($AA49=1,$F49&amp;$AB49,$G49),IF(OR(AX$3=$D49,AX$3=$AC49,AX$3=$AE49),"",IF(AX$3=$AD49,$F49&amp;"R",AX48))))</f>
        <v/>
      </c>
      <c r="AY49" s="11" t="str">
        <f aca="false">IF($P49=0,AY48,IF(AY$3=$E49,IF($AA49=1,$F49&amp;$AB49,$G49),IF(OR(AY$3=$D49,AY$3=$AC49,AY$3=$AE49),"",IF(AY$3=$AD49,$F49&amp;"R",AY48))))</f>
        <v/>
      </c>
      <c r="AZ49" s="11" t="str">
        <f aca="false">IF($P49=0,AZ48,IF(AZ$3=$E49,IF($AA49=1,$F49&amp;$AB49,$G49),IF(OR(AZ$3=$D49,AZ$3=$AC49,AZ$3=$AE49),"",IF(AZ$3=$AD49,$F49&amp;"R",AZ48))))</f>
        <v/>
      </c>
      <c r="BA49" s="11" t="str">
        <f aca="false">IF($P49=0,BA48,IF(BA$3=$E49,IF($AA49=1,$F49&amp;$AB49,$G49),IF(OR(BA$3=$D49,BA$3=$AC49,BA$3=$AE49),"",IF(BA$3=$AD49,$F49&amp;"R",BA48))))</f>
        <v/>
      </c>
      <c r="BB49" s="11" t="str">
        <f aca="false">IF($P49=0,BB48,IF(BB$3=$E49,IF($AA49=1,$F49&amp;$AB49,$G49),IF(OR(BB$3=$D49,BB$3=$AC49,BB$3=$AE49),"",IF(BB$3=$AD49,$F49&amp;"R",BB48))))</f>
        <v/>
      </c>
      <c r="BC49" s="11" t="str">
        <f aca="false">IF($P49=0,BC48,IF(BC$3=$E49,IF($AA49=1,$F49&amp;$AB49,$G49),IF(OR(BC$3=$D49,BC$3=$AC49,BC$3=$AE49),"",IF(BC$3=$AD49,$F49&amp;"R",BC48))))</f>
        <v/>
      </c>
      <c r="BD49" s="11" t="str">
        <f aca="false">IF($P49=0,BD48,IF(BD$3=$E49,IF($AA49=1,$F49&amp;$AB49,$G49),IF(OR(BD$3=$D49,BD$3=$AC49,BD$3=$AE49),"",IF(BD$3=$AD49,$F49&amp;"R",BD48))))</f>
        <v/>
      </c>
      <c r="BE49" s="11" t="str">
        <f aca="false">IF($P49=0,BE48,IF(BE$3=$E49,IF($AA49=1,$F49&amp;$AB49,$G49),IF(OR(BE$3=$D49,BE$3=$AC49,BE$3=$AE49),"",IF(BE$3=$AD49,$F49&amp;"R",BE48))))</f>
        <v/>
      </c>
      <c r="BF49" s="11" t="str">
        <f aca="false">IF($P49=0,BF48,IF(BF$3=$E49,IF($AA49=1,$F49&amp;$AB49,$G49),IF(OR(BF$3=$D49,BF$3=$AC49,BF$3=$AE49),"",IF(BF$3=$AD49,$F49&amp;"R",BF48))))</f>
        <v/>
      </c>
      <c r="BG49" s="11" t="str">
        <f aca="false">IF($P49=0,BG48,IF(BG$3=$E49,IF($AA49=1,$F49&amp;$AB49,$G49),IF(OR(BG$3=$D49,BG$3=$AC49,BG$3=$AE49),"",IF(BG$3=$AD49,$F49&amp;"R",BG48))))</f>
        <v/>
      </c>
      <c r="BH49" s="11" t="str">
        <f aca="false">IF($P49=0,BH48,IF(BH$3=$E49,IF($AA49=1,$F49&amp;$AB49,$G49),IF(OR(BH$3=$D49,BH$3=$AC49,BH$3=$AE49),"",IF(BH$3=$AD49,$F49&amp;"R",BH48))))</f>
        <v/>
      </c>
      <c r="BI49" s="11" t="str">
        <f aca="false">IF($P49=0,BI48,IF(BI$3=$E49,IF($AA49=1,$F49&amp;$AB49,$G49),IF(OR(BI$3=$D49,BI$3=$AC49,BI$3=$AE49),"",IF(BI$3=$AD49,$F49&amp;"R",BI48))))</f>
        <v/>
      </c>
      <c r="BJ49" s="11" t="str">
        <f aca="false">IF($P49=0,BJ48,IF(BJ$3=$E49,IF($AA49=1,$F49&amp;$AB49,$G49),IF(OR(BJ$3=$D49,BJ$3=$AC49,BJ$3=$AE49),"",IF(BJ$3=$AD49,$F49&amp;"R",BJ48))))</f>
        <v/>
      </c>
      <c r="BK49" s="11" t="str">
        <f aca="false">IF($P49=0,BK48,IF(BK$3=$E49,IF($AA49=1,$F49&amp;$AB49,$G49),IF(OR(BK$3=$D49,BK$3=$AC49,BK$3=$AE49),"",IF(BK$3=$AD49,$F49&amp;"R",BK48))))</f>
        <v/>
      </c>
      <c r="BL49" s="11" t="str">
        <f aca="false">IF($P49=0,BL48,IF(BL$3=$E49,IF($AA49=1,$F49&amp;$AB49,$G49),IF(OR(BL$3=$D49,BL$3=$AC49,BL$3=$AE49),"",IF(BL$3=$AD49,$F49&amp;"R",BL48))))</f>
        <v/>
      </c>
      <c r="BM49" s="11" t="str">
        <f aca="false">IF($P49=0,BM48,IF(BM$3=$E49,IF($AA49=1,$F49&amp;$AB49,$G49),IF(OR(BM$3=$D49,BM$3=$AC49,BM$3=$AE49),"",IF(BM$3=$AD49,$F49&amp;"R",BM48))))</f>
        <v/>
      </c>
      <c r="BN49" s="11" t="str">
        <f aca="false">IF($P49=0,BN48,IF(BN$3=$E49,IF($AA49=1,$F49&amp;$AB49,$G49),IF(OR(BN$3=$D49,BN$3=$AC49,BN$3=$AE49),"",IF(BN$3=$AD49,$F49&amp;"R",BN48))))</f>
        <v/>
      </c>
      <c r="BO49" s="11" t="str">
        <f aca="false">IF($P49=0,BO48,IF(BO$3=$E49,IF($AA49=1,$F49&amp;$AB49,$G49),IF(OR(BO$3=$D49,BO$3=$AC49,BO$3=$AE49),"",IF(BO$3=$AD49,$F49&amp;"R",BO48))))</f>
        <v/>
      </c>
      <c r="BP49" s="11" t="str">
        <f aca="false">IF($P49=0,BP48,IF(BP$3=$E49,IF($AA49=1,$F49&amp;$AB49,$G49),IF(OR(BP$3=$D49,BP$3=$AC49,BP$3=$AE49),"",IF(BP$3=$AD49,$F49&amp;"R",BP48))))</f>
        <v/>
      </c>
      <c r="BQ49" s="11" t="str">
        <f aca="false">IF($P49=0,BQ48,IF(BQ$3=$E49,IF($AA49=1,$F49&amp;$AB49,$G49),IF(OR(BQ$3=$D49,BQ$3=$AC49,BQ$3=$AE49),"",IF(BQ$3=$AD49,$F49&amp;"R",BQ48))))</f>
        <v/>
      </c>
      <c r="BR49" s="11" t="str">
        <f aca="false">IF($P49=0,BR48,IF(BR$3=$E49,IF($AA49=1,$F49&amp;$AB49,$G49),IF(OR(BR$3=$D49,BR$3=$AC49,BR$3=$AE49),"",IF(BR$3=$AD49,$F49&amp;"R",BR48))))</f>
        <v/>
      </c>
      <c r="BS49" s="11" t="str">
        <f aca="false">IF($P49=0,BS48,IF(BS$3=$E49,IF($AA49=1,$F49&amp;$AB49,$G49),IF(OR(BS$3=$D49,BS$3=$AC49,BS$3=$AE49),"",IF(BS$3=$AD49,$F49&amp;"R",BS48))))</f>
        <v/>
      </c>
      <c r="BT49" s="11" t="str">
        <f aca="false">IF($P49=0,BT48,IF(BT$3=$E49,IF($AA49=1,$F49&amp;$AB49,$G49),IF(OR(BT$3=$D49,BT$3=$AC49,BT$3=$AE49),"",IF(BT$3=$AD49,$F49&amp;"R",BT48))))</f>
        <v/>
      </c>
      <c r="BU49" s="11" t="str">
        <f aca="false">IF($P49=0,BU48,IF(BU$3=$E49,IF($AA49=1,$F49&amp;$AB49,$G49),IF(OR(BU$3=$D49,BU$3=$AC49,BU$3=$AE49),"",IF(BU$3=$AD49,$F49&amp;"R",BU48))))</f>
        <v/>
      </c>
      <c r="BV49" s="11" t="str">
        <f aca="false">IF($P49=0,BV48,IF(BV$3=$E49,IF($AA49=1,$F49&amp;$AB49,$G49),IF(OR(BV$3=$D49,BV$3=$AC49,BV$3=$AE49),"",IF(BV$3=$AD49,$F49&amp;"R",BV48))))</f>
        <v/>
      </c>
      <c r="BW49" s="11" t="str">
        <f aca="false">IF($P49=0,BW48,IF(BW$3=$E49,IF($AA49=1,$F49&amp;$AB49,$G49),IF(OR(BW$3=$D49,BW$3=$AC49,BW$3=$AE49),"",IF(BW$3=$AD49,$F49&amp;"R",BW48))))</f>
        <v/>
      </c>
      <c r="BX49" s="11" t="str">
        <f aca="false">IF($P49=0,BX48,IF(BX$3=$E49,IF($AA49=1,$F49&amp;$AB49,$G49),IF(OR(BX$3=$D49,BX$3=$AC49,BX$3=$AE49),"",IF(BX$3=$AD49,$F49&amp;"R",BX48))))</f>
        <v/>
      </c>
      <c r="BY49" s="11" t="str">
        <f aca="false">IF($P49=0,BY48,IF(BY$3=$E49,IF($AA49=1,$F49&amp;$AB49,$G49),IF(OR(BY$3=$D49,BY$3=$AC49,BY$3=$AE49),"",IF(BY$3=$AD49,$F49&amp;"R",BY48))))</f>
        <v/>
      </c>
      <c r="BZ49" s="11" t="str">
        <f aca="false">IF($P49=0,BZ48,IF(BZ$3=$E49,IF($AA49=1,$F49&amp;$AB49,$G49),IF(OR(BZ$3=$D49,BZ$3=$AC49,BZ$3=$AE49),"",IF(BZ$3=$AD49,$F49&amp;"R",BZ48))))</f>
        <v/>
      </c>
      <c r="CA49" s="11" t="str">
        <f aca="false">IF($P49=0,CA48,IF(CA$3=$E49,IF($AA49=1,$F49&amp;$AB49,$G49),IF(OR(CA$3=$D49,CA$3=$AC49,CA$3=$AE49),"",IF(CA$3=$AD49,$F49&amp;"R",CA48))))</f>
        <v/>
      </c>
      <c r="CB49" s="11" t="str">
        <f aca="false">IF($P49=0,CB48,IF(CB$3=$E49,IF($AA49=1,$F49&amp;$AB49,$G49),IF(OR(CB$3=$D49,CB$3=$AC49,CB$3=$AE49),"",IF(CB$3=$AD49,$F49&amp;"R",CB48))))</f>
        <v/>
      </c>
      <c r="CC49" s="11" t="str">
        <f aca="false">IF($P49=0,CC48,IF(CC$3=$E49,IF($AA49=1,$F49&amp;$AB49,$G49),IF(OR(CC$3=$D49,CC$3=$AC49,CC$3=$AE49),"",IF(CC$3=$AD49,$F49&amp;"R",CC48))))</f>
        <v/>
      </c>
      <c r="CD49" s="11" t="str">
        <f aca="false">IF($P49=0,CD48,IF(CD$3=$E49,IF($AA49=1,$F49&amp;$AB49,$G49),IF(OR(CD$3=$D49,CD$3=$AC49,CD$3=$AE49),"",IF(CD$3=$AD49,$F49&amp;"R",CD48))))</f>
        <v>bP</v>
      </c>
      <c r="CE49" s="11" t="str">
        <f aca="false">IF($P49=0,CE48,IF(CE$3=$E49,IF($AA49=1,$F49&amp;$AB49,$G49),IF(OR(CE$3=$D49,CE$3=$AC49,CE$3=$AE49),"",IF(CE$3=$AD49,$F49&amp;"R",CE48))))</f>
        <v>bP</v>
      </c>
      <c r="CF49" s="11" t="str">
        <f aca="false">IF($P49=0,CF48,IF(CF$3=$E49,IF($AA49=1,$F49&amp;$AB49,$G49),IF(OR(CF$3=$D49,CF$3=$AC49,CF$3=$AE49),"",IF(CF$3=$AD49,$F49&amp;"R",CF48))))</f>
        <v>bP</v>
      </c>
      <c r="CG49" s="11" t="str">
        <f aca="false">IF($P49=0,CG48,IF(CG$3=$E49,IF($AA49=1,$F49&amp;$AB49,$G49),IF(OR(CG$3=$D49,CG$3=$AC49,CG$3=$AE49),"",IF(CG$3=$AD49,$F49&amp;"R",CG48))))</f>
        <v>bP</v>
      </c>
      <c r="CH49" s="11" t="str">
        <f aca="false">IF($P49=0,CH48,IF(CH$3=$E49,IF($AA49=1,$F49&amp;$AB49,$G49),IF(OR(CH$3=$D49,CH$3=$AC49,CH$3=$AE49),"",IF(CH$3=$AD49,$F49&amp;"R",CH48))))</f>
        <v>bP</v>
      </c>
      <c r="CI49" s="11" t="str">
        <f aca="false">IF($P49=0,CI48,IF(CI$3=$E49,IF($AA49=1,$F49&amp;$AB49,$G49),IF(OR(CI$3=$D49,CI$3=$AC49,CI$3=$AE49),"",IF(CI$3=$AD49,$F49&amp;"R",CI48))))</f>
        <v>bP</v>
      </c>
      <c r="CJ49" s="11" t="str">
        <f aca="false">IF($P49=0,CJ48,IF(CJ$3=$E49,IF($AA49=1,$F49&amp;$AB49,$G49),IF(OR(CJ$3=$D49,CJ$3=$AC49,CJ$3=$AE49),"",IF(CJ$3=$AD49,$F49&amp;"R",CJ48))))</f>
        <v>bP</v>
      </c>
      <c r="CK49" s="11" t="str">
        <f aca="false">IF($P49=0,CK48,IF(CK$3=$E49,IF($AA49=1,$F49&amp;$AB49,$G49),IF(OR(CK$3=$D49,CK$3=$AC49,CK$3=$AE49),"",IF(CK$3=$AD49,$F49&amp;"R",CK48))))</f>
        <v>bP</v>
      </c>
      <c r="CL49" s="11" t="str">
        <f aca="false">IF($P49=0,CL48,IF(CL$3=$E49,IF($AA49=1,$F49&amp;$AB49,$G49),IF(OR(CL$3=$D49,CL$3=$AC49,CL$3=$AE49),"",IF(CL$3=$AD49,$F49&amp;"R",CL48))))</f>
        <v>bR</v>
      </c>
      <c r="CM49" s="11" t="str">
        <f aca="false">IF($P49=0,CM48,IF(CM$3=$E49,IF($AA49=1,$F49&amp;$AB49,$G49),IF(OR(CM$3=$D49,CM$3=$AC49,CM$3=$AE49),"",IF(CM$3=$AD49,$F49&amp;"R",CM48))))</f>
        <v>bN</v>
      </c>
      <c r="CN49" s="11" t="str">
        <f aca="false">IF($P49=0,CN48,IF(CN$3=$E49,IF($AA49=1,$F49&amp;$AB49,$G49),IF(OR(CN$3=$D49,CN$3=$AC49,CN$3=$AE49),"",IF(CN$3=$AD49,$F49&amp;"R",CN48))))</f>
        <v>bB</v>
      </c>
      <c r="CO49" s="11" t="str">
        <f aca="false">IF($P49=0,CO48,IF(CO$3=$E49,IF($AA49=1,$F49&amp;$AB49,$G49),IF(OR(CO$3=$D49,CO$3=$AC49,CO$3=$AE49),"",IF(CO$3=$AD49,$F49&amp;"R",CO48))))</f>
        <v>bQ</v>
      </c>
      <c r="CP49" s="11" t="str">
        <f aca="false">IF($P49=0,CP48,IF(CP$3=$E49,IF($AA49=1,$F49&amp;$AB49,$G49),IF(OR(CP$3=$D49,CP$3=$AC49,CP$3=$AE49),"",IF(CP$3=$AD49,$F49&amp;"R",CP48))))</f>
        <v>bK</v>
      </c>
      <c r="CQ49" s="11" t="str">
        <f aca="false">IF($P49=0,CQ48,IF(CQ$3=$E49,IF($AA49=1,$F49&amp;$AB49,$G49),IF(OR(CQ$3=$D49,CQ$3=$AC49,CQ$3=$AE49),"",IF(CQ$3=$AD49,$F49&amp;"R",CQ48))))</f>
        <v>bB</v>
      </c>
      <c r="CR49" s="11" t="str">
        <f aca="false">IF($P49=0,CR48,IF(CR$3=$E49,IF($AA49=1,$F49&amp;$AB49,$G49),IF(OR(CR$3=$D49,CR$3=$AC49,CR$3=$AE49),"",IF(CR$3=$AD49,$F49&amp;"R",CR48))))</f>
        <v>bN</v>
      </c>
      <c r="CS49" s="11" t="str">
        <f aca="false">IF($P49=0,CS48,IF(CS$3=$E49,IF($AA49=1,$F49&amp;$AB49,$G49),IF(OR(CS$3=$D49,CS$3=$AC49,CS$3=$AE49),"",IF(CS$3=$AD49,$F49&amp;"R",CS48))))</f>
        <v>bR</v>
      </c>
      <c r="CT49" s="11"/>
      <c r="CU49" s="11"/>
      <c r="CV49" s="11"/>
    </row>
    <row r="50" customFormat="false" ht="15" hidden="false" customHeight="false" outlineLevel="0" collapsed="false">
      <c r="A50" s="11" t="n">
        <v>45</v>
      </c>
      <c r="B50" s="11" t="str">
        <f aca="false">IF(Chess!$L$54="","",Chess!$L$54&amp;"")</f>
        <v/>
      </c>
      <c r="C50" s="11" t="str">
        <f aca="false">LOWER(SUBSTITUTE(SUBSTITUTE(SUBSTITUTE(SUBSTITUTE(TRIM($B50),"-",""),"=","")," ",""),"x",""))</f>
        <v/>
      </c>
      <c r="D50" s="11" t="n">
        <f aca="false">IF(LEN($C50)&lt;4,0,IFERROR(IF(AND(CODE(MID($C50,1,1))&gt;=97,CODE(MID($C50,1,1))&lt;=104,VALUE(MID($C50,2,1))&gt;=1,VALUE(MID($C50,2,1))&lt;=8),(VALUE(MID($C50,2,1))-1)*8+CODE(MID($C50,1,1))-96,0),0))</f>
        <v>0</v>
      </c>
      <c r="E50" s="11" t="n">
        <f aca="false">IF(LEN($C50)&lt;4,0,IFERROR(IF(AND(CODE(MID($C50,3,1))&gt;=97,CODE(MID($C50,3,1))&lt;=104,VALUE(MID($C50,4,1))&gt;=1,VALUE(MID($C50,4,1))&lt;=8),(VALUE(MID($C50,4,1))-1)*8+CODE(MID($C50,3,1))-96,0),0))</f>
        <v>0</v>
      </c>
      <c r="F50" s="11" t="str">
        <f aca="false">IF(MOD(SUM($P$5:$P49),2)=0,"w","b")</f>
        <v>w</v>
      </c>
      <c r="G50" s="11" t="str">
        <f aca="false">IF($D50=0,"",INDEX($AH49:$CS49,1,$D50)&amp;"")</f>
        <v/>
      </c>
      <c r="H50" s="11" t="str">
        <f aca="false">IF($E50=0,"",INDEX($AH49:$CS49,1,$E50)&amp;"")</f>
        <v/>
      </c>
      <c r="I50" s="11" t="n">
        <f aca="false">IF(OR($D50=0,$E50=0),0,MOD($E50-1,8)-MOD($D50-1,8))</f>
        <v>0</v>
      </c>
      <c r="J50" s="11" t="n">
        <f aca="false">IF(OR($D50=0,$E50=0),0,INT(($E50-1)/8)-INT(($D50-1)/8))</f>
        <v>0</v>
      </c>
      <c r="K50" s="11" t="str">
        <f aca="false">IF($G50="","",RIGHT($G50,1))</f>
        <v/>
      </c>
      <c r="L50" s="11" t="n">
        <f aca="false">IF(OR($D50=0,$E50=0),0,SUMPRODUCT(($AH$3:$CS$3&gt;MIN($D50,$E50))*($AH$3:$CS$3&lt;MAX($D50,$E50))*(MOD($AH$3:$CS$3-MIN($D50,$E50),MAX(1,ABS(SIGN($J50)*8+SIGN($I50))))=0)*($AH49:$CS49&lt;&gt;"")))</f>
        <v>0</v>
      </c>
      <c r="M50" s="11" t="n">
        <f aca="false">IF($K50&lt;&gt;"K",0,IFERROR(--AND($J50=0,ABS($I50)=2,$D50=IF($F50="w",5,61),IF($F50="w",$S49,$V49)=0,IF($I50=2,AND(IF($F50="w",$U49,$X49)=0,INDEX($AH49:$CS49,1,$D50+1)&amp;""="",INDEX($AH49:$CS49,1,$D50+2)&amp;""=""),AND(IF($F50="w",$T49,$W49)=0,INDEX($AH49:$CS49,1,$D50-1)&amp;""="",INDEX($AH49:$CS49,1,$D50-2)&amp;""="",INDEX($AH49:$CS49,1,$D50-3)&amp;""=""))),0))</f>
        <v>0</v>
      </c>
      <c r="N50" s="11" t="n">
        <f aca="false">IF($K50&lt;&gt;"P",0,IFERROR(--OR(AND($I50=0,$J50=IF($F50="w",1,-1),$H50=""),AND($I50=0,$J50=2*IF($F50="w",1,-1),$H50="",INT(($D50-1)/8)=IF($F50="w",1,6),INDEX($AH49:$CS49,1,MAX(1,MIN(64,$D50+8*IF($F50="w",1,-1))))&amp;""=""),AND(ABS($I50)=1,$J50=IF($F50="w",1,-1),$H50&lt;&gt;""),AND(ABS($I50)=1,$J50=IF($F50="w",1,-1),$H50="",$R49&gt;0,$E50=$R49)),0))</f>
        <v>0</v>
      </c>
      <c r="O50" s="11" t="n">
        <f aca="false">IF(OR($D50=0,$E50=0,$G50=""),0,IF($K50="N",--OR(AND(ABS($I50)=1,ABS($J50)=2),AND(ABS($I50)=2,ABS($J50)=1)),IF($K50="B",--AND(ABS($I50)=ABS($J50),$I50&lt;&gt;0,$L50=0),IF($K50="R",--AND(OR($I50=0,$J50=0),OR($I50&lt;&gt;0,$J50&lt;&gt;0),$L50=0),IF($K50="Q",--AND(OR(AND(ABS($I50)=ABS($J50),$I50&lt;&gt;0),AND(OR($I50=0,$J50=0),OR($I50&lt;&gt;0,$J50&lt;&gt;0))),$L50=0),IF($K50="K",--OR(MAX(ABS($I50),ABS($J50))=1,$M50=1),$N50))))))</f>
        <v>0</v>
      </c>
      <c r="P50" s="11" t="n">
        <f aca="false">IF($Q50="OK",1,0)</f>
        <v>0</v>
      </c>
      <c r="Q50" s="11" t="str">
        <f aca="false">IF($B50="","",IF(OR(COUNTIF($AH49:$CS49,"wK")=0,COUNTIF($AH49:$CS49,"bK")=0),"Game is over",IF(OR($D50=0,$E50=0),"Use the format e2e4",IF($G50="","No piece on that square",IF(LEFT($G50,1)&lt;&gt;$F50,"Not your piece ("&amp;IF($F50="w","White","Black")&amp;" to move)",IF($D50=$E50,"Piece must move",IF(AND($H50&lt;&gt;"",LEFT($H50,1)=$F50),"Cannot capture your own piece",IF($O50=0,"Illegal move for that piece (or path blocked)","OK"))))))))</f>
        <v/>
      </c>
      <c r="R50" s="11" t="n">
        <f aca="false">IF($P50=1,IF(AND($K50="P",ABS($J50)=2),($D50+$E50)/2,0),$R49)</f>
        <v>0</v>
      </c>
      <c r="S50" s="12" t="b">
        <f aca="false">--OR($S49=1,AND($P50=1,OR($D50=5,$E50=5)))</f>
        <v>0</v>
      </c>
      <c r="T50" s="12" t="b">
        <f aca="false">--OR($T49=1,AND($P50=1,OR($D50=1,$E50=1)))</f>
        <v>0</v>
      </c>
      <c r="U50" s="12" t="b">
        <f aca="false">--OR($U49=1,AND($P50=1,OR($D50=8,$E50=8)))</f>
        <v>0</v>
      </c>
      <c r="V50" s="12" t="b">
        <f aca="false">--OR($V49=1,AND($P50=1,OR($D50=61,$E50=61)))</f>
        <v>0</v>
      </c>
      <c r="W50" s="12" t="b">
        <f aca="false">--OR($W49=1,AND($P50=1,OR($D50=57,$E50=57)))</f>
        <v>0</v>
      </c>
      <c r="X50" s="12" t="b">
        <f aca="false">--OR($X49=1,AND($P50=1,OR($D50=64,$E50=64)))</f>
        <v>0</v>
      </c>
      <c r="Y50" s="12" t="b">
        <f aca="false">--AND($P50=1,$K50="K",ABS($I50)=2)</f>
        <v>0</v>
      </c>
      <c r="Z50" s="12" t="b">
        <f aca="false">--AND($P50=1,$K50="P",ABS($I50)=1,$H50="")</f>
        <v>0</v>
      </c>
      <c r="AA50" s="12" t="b">
        <f aca="false">--AND($P50=1,$K50="P",INT(($E50-1)/8)=IF($F50="w",7,0))</f>
        <v>0</v>
      </c>
      <c r="AB50" s="11" t="str">
        <f aca="false">IF(LEN($C50)&gt;=5,IF(ISNUMBER(FIND(MID($C50,5,1),"qrbn")),UPPER(MID($C50,5,1)),"Q"),"Q")</f>
        <v>Q</v>
      </c>
      <c r="AC50" s="11" t="n">
        <f aca="false">IF($Y50=1,IF($I50=2,$D50+3,$D50-4),0)</f>
        <v>0</v>
      </c>
      <c r="AD50" s="11" t="n">
        <f aca="false">IF($Y50=1,IF($I50=2,$D50+1,$D50-1),0)</f>
        <v>0</v>
      </c>
      <c r="AE50" s="11" t="n">
        <f aca="false">IF($Z50=1,$E50-8*IF($F50="w",1,-1),0)</f>
        <v>0</v>
      </c>
      <c r="AF50" s="11" t="str">
        <f aca="false">IF($B50="","",IF($P50=1,LOWER(INDEX($CV$2:$CV$13,MATCH($G50,$CU$2:$CU$13,0)))&amp;" "&amp;MID("abcdefgh",MOD($D50-1,8)+1,1)&amp;(INT(($D50-1)/8)+1)&amp;"→"&amp;MID("abcdefgh",MOD($E50-1,8)+1,1)&amp;(INT(($E50-1)/8)+1)&amp;IF(OR($H50&lt;&gt;"",$Z50=1)," ×","")&amp;IF($Y50=1," castles","")&amp;IF($Z50=1," e.p.","")&amp;IF($AA50=1," =" &amp;LOWER(INDEX($CV$2:$CV$13,MATCH($F50&amp;$AB50,$CU$2:$CU$13,0))),""),"X "&amp;$Q50))</f>
        <v/>
      </c>
      <c r="AG50" s="11"/>
      <c r="AH50" s="11" t="str">
        <f aca="false">IF($P50=0,AH49,IF(AH$3=$E50,IF($AA50=1,$F50&amp;$AB50,$G50),IF(OR(AH$3=$D50,AH$3=$AC50,AH$3=$AE50),"",IF(AH$3=$AD50,$F50&amp;"R",AH49))))</f>
        <v>wR</v>
      </c>
      <c r="AI50" s="11" t="str">
        <f aca="false">IF($P50=0,AI49,IF(AI$3=$E50,IF($AA50=1,$F50&amp;$AB50,$G50),IF(OR(AI$3=$D50,AI$3=$AC50,AI$3=$AE50),"",IF(AI$3=$AD50,$F50&amp;"R",AI49))))</f>
        <v>wN</v>
      </c>
      <c r="AJ50" s="11" t="str">
        <f aca="false">IF($P50=0,AJ49,IF(AJ$3=$E50,IF($AA50=1,$F50&amp;$AB50,$G50),IF(OR(AJ$3=$D50,AJ$3=$AC50,AJ$3=$AE50),"",IF(AJ$3=$AD50,$F50&amp;"R",AJ49))))</f>
        <v>wB</v>
      </c>
      <c r="AK50" s="11" t="str">
        <f aca="false">IF($P50=0,AK49,IF(AK$3=$E50,IF($AA50=1,$F50&amp;$AB50,$G50),IF(OR(AK$3=$D50,AK$3=$AC50,AK$3=$AE50),"",IF(AK$3=$AD50,$F50&amp;"R",AK49))))</f>
        <v>wQ</v>
      </c>
      <c r="AL50" s="11" t="str">
        <f aca="false">IF($P50=0,AL49,IF(AL$3=$E50,IF($AA50=1,$F50&amp;$AB50,$G50),IF(OR(AL$3=$D50,AL$3=$AC50,AL$3=$AE50),"",IF(AL$3=$AD50,$F50&amp;"R",AL49))))</f>
        <v>wK</v>
      </c>
      <c r="AM50" s="11" t="str">
        <f aca="false">IF($P50=0,AM49,IF(AM$3=$E50,IF($AA50=1,$F50&amp;$AB50,$G50),IF(OR(AM$3=$D50,AM$3=$AC50,AM$3=$AE50),"",IF(AM$3=$AD50,$F50&amp;"R",AM49))))</f>
        <v>wB</v>
      </c>
      <c r="AN50" s="11" t="str">
        <f aca="false">IF($P50=0,AN49,IF(AN$3=$E50,IF($AA50=1,$F50&amp;$AB50,$G50),IF(OR(AN$3=$D50,AN$3=$AC50,AN$3=$AE50),"",IF(AN$3=$AD50,$F50&amp;"R",AN49))))</f>
        <v>wN</v>
      </c>
      <c r="AO50" s="11" t="str">
        <f aca="false">IF($P50=0,AO49,IF(AO$3=$E50,IF($AA50=1,$F50&amp;$AB50,$G50),IF(OR(AO$3=$D50,AO$3=$AC50,AO$3=$AE50),"",IF(AO$3=$AD50,$F50&amp;"R",AO49))))</f>
        <v>wR</v>
      </c>
      <c r="AP50" s="11" t="str">
        <f aca="false">IF($P50=0,AP49,IF(AP$3=$E50,IF($AA50=1,$F50&amp;$AB50,$G50),IF(OR(AP$3=$D50,AP$3=$AC50,AP$3=$AE50),"",IF(AP$3=$AD50,$F50&amp;"R",AP49))))</f>
        <v>wP</v>
      </c>
      <c r="AQ50" s="11" t="str">
        <f aca="false">IF($P50=0,AQ49,IF(AQ$3=$E50,IF($AA50=1,$F50&amp;$AB50,$G50),IF(OR(AQ$3=$D50,AQ$3=$AC50,AQ$3=$AE50),"",IF(AQ$3=$AD50,$F50&amp;"R",AQ49))))</f>
        <v>wP</v>
      </c>
      <c r="AR50" s="11" t="str">
        <f aca="false">IF($P50=0,AR49,IF(AR$3=$E50,IF($AA50=1,$F50&amp;$AB50,$G50),IF(OR(AR$3=$D50,AR$3=$AC50,AR$3=$AE50),"",IF(AR$3=$AD50,$F50&amp;"R",AR49))))</f>
        <v>wP</v>
      </c>
      <c r="AS50" s="11" t="str">
        <f aca="false">IF($P50=0,AS49,IF(AS$3=$E50,IF($AA50=1,$F50&amp;$AB50,$G50),IF(OR(AS$3=$D50,AS$3=$AC50,AS$3=$AE50),"",IF(AS$3=$AD50,$F50&amp;"R",AS49))))</f>
        <v>wP</v>
      </c>
      <c r="AT50" s="11" t="str">
        <f aca="false">IF($P50=0,AT49,IF(AT$3=$E50,IF($AA50=1,$F50&amp;$AB50,$G50),IF(OR(AT$3=$D50,AT$3=$AC50,AT$3=$AE50),"",IF(AT$3=$AD50,$F50&amp;"R",AT49))))</f>
        <v>wP</v>
      </c>
      <c r="AU50" s="11" t="str">
        <f aca="false">IF($P50=0,AU49,IF(AU$3=$E50,IF($AA50=1,$F50&amp;$AB50,$G50),IF(OR(AU$3=$D50,AU$3=$AC50,AU$3=$AE50),"",IF(AU$3=$AD50,$F50&amp;"R",AU49))))</f>
        <v>wP</v>
      </c>
      <c r="AV50" s="11" t="str">
        <f aca="false">IF($P50=0,AV49,IF(AV$3=$E50,IF($AA50=1,$F50&amp;$AB50,$G50),IF(OR(AV$3=$D50,AV$3=$AC50,AV$3=$AE50),"",IF(AV$3=$AD50,$F50&amp;"R",AV49))))</f>
        <v>wP</v>
      </c>
      <c r="AW50" s="11" t="str">
        <f aca="false">IF($P50=0,AW49,IF(AW$3=$E50,IF($AA50=1,$F50&amp;$AB50,$G50),IF(OR(AW$3=$D50,AW$3=$AC50,AW$3=$AE50),"",IF(AW$3=$AD50,$F50&amp;"R",AW49))))</f>
        <v>wP</v>
      </c>
      <c r="AX50" s="11" t="str">
        <f aca="false">IF($P50=0,AX49,IF(AX$3=$E50,IF($AA50=1,$F50&amp;$AB50,$G50),IF(OR(AX$3=$D50,AX$3=$AC50,AX$3=$AE50),"",IF(AX$3=$AD50,$F50&amp;"R",AX49))))</f>
        <v/>
      </c>
      <c r="AY50" s="11" t="str">
        <f aca="false">IF($P50=0,AY49,IF(AY$3=$E50,IF($AA50=1,$F50&amp;$AB50,$G50),IF(OR(AY$3=$D50,AY$3=$AC50,AY$3=$AE50),"",IF(AY$3=$AD50,$F50&amp;"R",AY49))))</f>
        <v/>
      </c>
      <c r="AZ50" s="11" t="str">
        <f aca="false">IF($P50=0,AZ49,IF(AZ$3=$E50,IF($AA50=1,$F50&amp;$AB50,$G50),IF(OR(AZ$3=$D50,AZ$3=$AC50,AZ$3=$AE50),"",IF(AZ$3=$AD50,$F50&amp;"R",AZ49))))</f>
        <v/>
      </c>
      <c r="BA50" s="11" t="str">
        <f aca="false">IF($P50=0,BA49,IF(BA$3=$E50,IF($AA50=1,$F50&amp;$AB50,$G50),IF(OR(BA$3=$D50,BA$3=$AC50,BA$3=$AE50),"",IF(BA$3=$AD50,$F50&amp;"R",BA49))))</f>
        <v/>
      </c>
      <c r="BB50" s="11" t="str">
        <f aca="false">IF($P50=0,BB49,IF(BB$3=$E50,IF($AA50=1,$F50&amp;$AB50,$G50),IF(OR(BB$3=$D50,BB$3=$AC50,BB$3=$AE50),"",IF(BB$3=$AD50,$F50&amp;"R",BB49))))</f>
        <v/>
      </c>
      <c r="BC50" s="11" t="str">
        <f aca="false">IF($P50=0,BC49,IF(BC$3=$E50,IF($AA50=1,$F50&amp;$AB50,$G50),IF(OR(BC$3=$D50,BC$3=$AC50,BC$3=$AE50),"",IF(BC$3=$AD50,$F50&amp;"R",BC49))))</f>
        <v/>
      </c>
      <c r="BD50" s="11" t="str">
        <f aca="false">IF($P50=0,BD49,IF(BD$3=$E50,IF($AA50=1,$F50&amp;$AB50,$G50),IF(OR(BD$3=$D50,BD$3=$AC50,BD$3=$AE50),"",IF(BD$3=$AD50,$F50&amp;"R",BD49))))</f>
        <v/>
      </c>
      <c r="BE50" s="11" t="str">
        <f aca="false">IF($P50=0,BE49,IF(BE$3=$E50,IF($AA50=1,$F50&amp;$AB50,$G50),IF(OR(BE$3=$D50,BE$3=$AC50,BE$3=$AE50),"",IF(BE$3=$AD50,$F50&amp;"R",BE49))))</f>
        <v/>
      </c>
      <c r="BF50" s="11" t="str">
        <f aca="false">IF($P50=0,BF49,IF(BF$3=$E50,IF($AA50=1,$F50&amp;$AB50,$G50),IF(OR(BF$3=$D50,BF$3=$AC50,BF$3=$AE50),"",IF(BF$3=$AD50,$F50&amp;"R",BF49))))</f>
        <v/>
      </c>
      <c r="BG50" s="11" t="str">
        <f aca="false">IF($P50=0,BG49,IF(BG$3=$E50,IF($AA50=1,$F50&amp;$AB50,$G50),IF(OR(BG$3=$D50,BG$3=$AC50,BG$3=$AE50),"",IF(BG$3=$AD50,$F50&amp;"R",BG49))))</f>
        <v/>
      </c>
      <c r="BH50" s="11" t="str">
        <f aca="false">IF($P50=0,BH49,IF(BH$3=$E50,IF($AA50=1,$F50&amp;$AB50,$G50),IF(OR(BH$3=$D50,BH$3=$AC50,BH$3=$AE50),"",IF(BH$3=$AD50,$F50&amp;"R",BH49))))</f>
        <v/>
      </c>
      <c r="BI50" s="11" t="str">
        <f aca="false">IF($P50=0,BI49,IF(BI$3=$E50,IF($AA50=1,$F50&amp;$AB50,$G50),IF(OR(BI$3=$D50,BI$3=$AC50,BI$3=$AE50),"",IF(BI$3=$AD50,$F50&amp;"R",BI49))))</f>
        <v/>
      </c>
      <c r="BJ50" s="11" t="str">
        <f aca="false">IF($P50=0,BJ49,IF(BJ$3=$E50,IF($AA50=1,$F50&amp;$AB50,$G50),IF(OR(BJ$3=$D50,BJ$3=$AC50,BJ$3=$AE50),"",IF(BJ$3=$AD50,$F50&amp;"R",BJ49))))</f>
        <v/>
      </c>
      <c r="BK50" s="11" t="str">
        <f aca="false">IF($P50=0,BK49,IF(BK$3=$E50,IF($AA50=1,$F50&amp;$AB50,$G50),IF(OR(BK$3=$D50,BK$3=$AC50,BK$3=$AE50),"",IF(BK$3=$AD50,$F50&amp;"R",BK49))))</f>
        <v/>
      </c>
      <c r="BL50" s="11" t="str">
        <f aca="false">IF($P50=0,BL49,IF(BL$3=$E50,IF($AA50=1,$F50&amp;$AB50,$G50),IF(OR(BL$3=$D50,BL$3=$AC50,BL$3=$AE50),"",IF(BL$3=$AD50,$F50&amp;"R",BL49))))</f>
        <v/>
      </c>
      <c r="BM50" s="11" t="str">
        <f aca="false">IF($P50=0,BM49,IF(BM$3=$E50,IF($AA50=1,$F50&amp;$AB50,$G50),IF(OR(BM$3=$D50,BM$3=$AC50,BM$3=$AE50),"",IF(BM$3=$AD50,$F50&amp;"R",BM49))))</f>
        <v/>
      </c>
      <c r="BN50" s="11" t="str">
        <f aca="false">IF($P50=0,BN49,IF(BN$3=$E50,IF($AA50=1,$F50&amp;$AB50,$G50),IF(OR(BN$3=$D50,BN$3=$AC50,BN$3=$AE50),"",IF(BN$3=$AD50,$F50&amp;"R",BN49))))</f>
        <v/>
      </c>
      <c r="BO50" s="11" t="str">
        <f aca="false">IF($P50=0,BO49,IF(BO$3=$E50,IF($AA50=1,$F50&amp;$AB50,$G50),IF(OR(BO$3=$D50,BO$3=$AC50,BO$3=$AE50),"",IF(BO$3=$AD50,$F50&amp;"R",BO49))))</f>
        <v/>
      </c>
      <c r="BP50" s="11" t="str">
        <f aca="false">IF($P50=0,BP49,IF(BP$3=$E50,IF($AA50=1,$F50&amp;$AB50,$G50),IF(OR(BP$3=$D50,BP$3=$AC50,BP$3=$AE50),"",IF(BP$3=$AD50,$F50&amp;"R",BP49))))</f>
        <v/>
      </c>
      <c r="BQ50" s="11" t="str">
        <f aca="false">IF($P50=0,BQ49,IF(BQ$3=$E50,IF($AA50=1,$F50&amp;$AB50,$G50),IF(OR(BQ$3=$D50,BQ$3=$AC50,BQ$3=$AE50),"",IF(BQ$3=$AD50,$F50&amp;"R",BQ49))))</f>
        <v/>
      </c>
      <c r="BR50" s="11" t="str">
        <f aca="false">IF($P50=0,BR49,IF(BR$3=$E50,IF($AA50=1,$F50&amp;$AB50,$G50),IF(OR(BR$3=$D50,BR$3=$AC50,BR$3=$AE50),"",IF(BR$3=$AD50,$F50&amp;"R",BR49))))</f>
        <v/>
      </c>
      <c r="BS50" s="11" t="str">
        <f aca="false">IF($P50=0,BS49,IF(BS$3=$E50,IF($AA50=1,$F50&amp;$AB50,$G50),IF(OR(BS$3=$D50,BS$3=$AC50,BS$3=$AE50),"",IF(BS$3=$AD50,$F50&amp;"R",BS49))))</f>
        <v/>
      </c>
      <c r="BT50" s="11" t="str">
        <f aca="false">IF($P50=0,BT49,IF(BT$3=$E50,IF($AA50=1,$F50&amp;$AB50,$G50),IF(OR(BT$3=$D50,BT$3=$AC50,BT$3=$AE50),"",IF(BT$3=$AD50,$F50&amp;"R",BT49))))</f>
        <v/>
      </c>
      <c r="BU50" s="11" t="str">
        <f aca="false">IF($P50=0,BU49,IF(BU$3=$E50,IF($AA50=1,$F50&amp;$AB50,$G50),IF(OR(BU$3=$D50,BU$3=$AC50,BU$3=$AE50),"",IF(BU$3=$AD50,$F50&amp;"R",BU49))))</f>
        <v/>
      </c>
      <c r="BV50" s="11" t="str">
        <f aca="false">IF($P50=0,BV49,IF(BV$3=$E50,IF($AA50=1,$F50&amp;$AB50,$G50),IF(OR(BV$3=$D50,BV$3=$AC50,BV$3=$AE50),"",IF(BV$3=$AD50,$F50&amp;"R",BV49))))</f>
        <v/>
      </c>
      <c r="BW50" s="11" t="str">
        <f aca="false">IF($P50=0,BW49,IF(BW$3=$E50,IF($AA50=1,$F50&amp;$AB50,$G50),IF(OR(BW$3=$D50,BW$3=$AC50,BW$3=$AE50),"",IF(BW$3=$AD50,$F50&amp;"R",BW49))))</f>
        <v/>
      </c>
      <c r="BX50" s="11" t="str">
        <f aca="false">IF($P50=0,BX49,IF(BX$3=$E50,IF($AA50=1,$F50&amp;$AB50,$G50),IF(OR(BX$3=$D50,BX$3=$AC50,BX$3=$AE50),"",IF(BX$3=$AD50,$F50&amp;"R",BX49))))</f>
        <v/>
      </c>
      <c r="BY50" s="11" t="str">
        <f aca="false">IF($P50=0,BY49,IF(BY$3=$E50,IF($AA50=1,$F50&amp;$AB50,$G50),IF(OR(BY$3=$D50,BY$3=$AC50,BY$3=$AE50),"",IF(BY$3=$AD50,$F50&amp;"R",BY49))))</f>
        <v/>
      </c>
      <c r="BZ50" s="11" t="str">
        <f aca="false">IF($P50=0,BZ49,IF(BZ$3=$E50,IF($AA50=1,$F50&amp;$AB50,$G50),IF(OR(BZ$3=$D50,BZ$3=$AC50,BZ$3=$AE50),"",IF(BZ$3=$AD50,$F50&amp;"R",BZ49))))</f>
        <v/>
      </c>
      <c r="CA50" s="11" t="str">
        <f aca="false">IF($P50=0,CA49,IF(CA$3=$E50,IF($AA50=1,$F50&amp;$AB50,$G50),IF(OR(CA$3=$D50,CA$3=$AC50,CA$3=$AE50),"",IF(CA$3=$AD50,$F50&amp;"R",CA49))))</f>
        <v/>
      </c>
      <c r="CB50" s="11" t="str">
        <f aca="false">IF($P50=0,CB49,IF(CB$3=$E50,IF($AA50=1,$F50&amp;$AB50,$G50),IF(OR(CB$3=$D50,CB$3=$AC50,CB$3=$AE50),"",IF(CB$3=$AD50,$F50&amp;"R",CB49))))</f>
        <v/>
      </c>
      <c r="CC50" s="11" t="str">
        <f aca="false">IF($P50=0,CC49,IF(CC$3=$E50,IF($AA50=1,$F50&amp;$AB50,$G50),IF(OR(CC$3=$D50,CC$3=$AC50,CC$3=$AE50),"",IF(CC$3=$AD50,$F50&amp;"R",CC49))))</f>
        <v/>
      </c>
      <c r="CD50" s="11" t="str">
        <f aca="false">IF($P50=0,CD49,IF(CD$3=$E50,IF($AA50=1,$F50&amp;$AB50,$G50),IF(OR(CD$3=$D50,CD$3=$AC50,CD$3=$AE50),"",IF(CD$3=$AD50,$F50&amp;"R",CD49))))</f>
        <v>bP</v>
      </c>
      <c r="CE50" s="11" t="str">
        <f aca="false">IF($P50=0,CE49,IF(CE$3=$E50,IF($AA50=1,$F50&amp;$AB50,$G50),IF(OR(CE$3=$D50,CE$3=$AC50,CE$3=$AE50),"",IF(CE$3=$AD50,$F50&amp;"R",CE49))))</f>
        <v>bP</v>
      </c>
      <c r="CF50" s="11" t="str">
        <f aca="false">IF($P50=0,CF49,IF(CF$3=$E50,IF($AA50=1,$F50&amp;$AB50,$G50),IF(OR(CF$3=$D50,CF$3=$AC50,CF$3=$AE50),"",IF(CF$3=$AD50,$F50&amp;"R",CF49))))</f>
        <v>bP</v>
      </c>
      <c r="CG50" s="11" t="str">
        <f aca="false">IF($P50=0,CG49,IF(CG$3=$E50,IF($AA50=1,$F50&amp;$AB50,$G50),IF(OR(CG$3=$D50,CG$3=$AC50,CG$3=$AE50),"",IF(CG$3=$AD50,$F50&amp;"R",CG49))))</f>
        <v>bP</v>
      </c>
      <c r="CH50" s="11" t="str">
        <f aca="false">IF($P50=0,CH49,IF(CH$3=$E50,IF($AA50=1,$F50&amp;$AB50,$G50),IF(OR(CH$3=$D50,CH$3=$AC50,CH$3=$AE50),"",IF(CH$3=$AD50,$F50&amp;"R",CH49))))</f>
        <v>bP</v>
      </c>
      <c r="CI50" s="11" t="str">
        <f aca="false">IF($P50=0,CI49,IF(CI$3=$E50,IF($AA50=1,$F50&amp;$AB50,$G50),IF(OR(CI$3=$D50,CI$3=$AC50,CI$3=$AE50),"",IF(CI$3=$AD50,$F50&amp;"R",CI49))))</f>
        <v>bP</v>
      </c>
      <c r="CJ50" s="11" t="str">
        <f aca="false">IF($P50=0,CJ49,IF(CJ$3=$E50,IF($AA50=1,$F50&amp;$AB50,$G50),IF(OR(CJ$3=$D50,CJ$3=$AC50,CJ$3=$AE50),"",IF(CJ$3=$AD50,$F50&amp;"R",CJ49))))</f>
        <v>bP</v>
      </c>
      <c r="CK50" s="11" t="str">
        <f aca="false">IF($P50=0,CK49,IF(CK$3=$E50,IF($AA50=1,$F50&amp;$AB50,$G50),IF(OR(CK$3=$D50,CK$3=$AC50,CK$3=$AE50),"",IF(CK$3=$AD50,$F50&amp;"R",CK49))))</f>
        <v>bP</v>
      </c>
      <c r="CL50" s="11" t="str">
        <f aca="false">IF($P50=0,CL49,IF(CL$3=$E50,IF($AA50=1,$F50&amp;$AB50,$G50),IF(OR(CL$3=$D50,CL$3=$AC50,CL$3=$AE50),"",IF(CL$3=$AD50,$F50&amp;"R",CL49))))</f>
        <v>bR</v>
      </c>
      <c r="CM50" s="11" t="str">
        <f aca="false">IF($P50=0,CM49,IF(CM$3=$E50,IF($AA50=1,$F50&amp;$AB50,$G50),IF(OR(CM$3=$D50,CM$3=$AC50,CM$3=$AE50),"",IF(CM$3=$AD50,$F50&amp;"R",CM49))))</f>
        <v>bN</v>
      </c>
      <c r="CN50" s="11" t="str">
        <f aca="false">IF($P50=0,CN49,IF(CN$3=$E50,IF($AA50=1,$F50&amp;$AB50,$G50),IF(OR(CN$3=$D50,CN$3=$AC50,CN$3=$AE50),"",IF(CN$3=$AD50,$F50&amp;"R",CN49))))</f>
        <v>bB</v>
      </c>
      <c r="CO50" s="11" t="str">
        <f aca="false">IF($P50=0,CO49,IF(CO$3=$E50,IF($AA50=1,$F50&amp;$AB50,$G50),IF(OR(CO$3=$D50,CO$3=$AC50,CO$3=$AE50),"",IF(CO$3=$AD50,$F50&amp;"R",CO49))))</f>
        <v>bQ</v>
      </c>
      <c r="CP50" s="11" t="str">
        <f aca="false">IF($P50=0,CP49,IF(CP$3=$E50,IF($AA50=1,$F50&amp;$AB50,$G50),IF(OR(CP$3=$D50,CP$3=$AC50,CP$3=$AE50),"",IF(CP$3=$AD50,$F50&amp;"R",CP49))))</f>
        <v>bK</v>
      </c>
      <c r="CQ50" s="11" t="str">
        <f aca="false">IF($P50=0,CQ49,IF(CQ$3=$E50,IF($AA50=1,$F50&amp;$AB50,$G50),IF(OR(CQ$3=$D50,CQ$3=$AC50,CQ$3=$AE50),"",IF(CQ$3=$AD50,$F50&amp;"R",CQ49))))</f>
        <v>bB</v>
      </c>
      <c r="CR50" s="11" t="str">
        <f aca="false">IF($P50=0,CR49,IF(CR$3=$E50,IF($AA50=1,$F50&amp;$AB50,$G50),IF(OR(CR$3=$D50,CR$3=$AC50,CR$3=$AE50),"",IF(CR$3=$AD50,$F50&amp;"R",CR49))))</f>
        <v>bN</v>
      </c>
      <c r="CS50" s="11" t="str">
        <f aca="false">IF($P50=0,CS49,IF(CS$3=$E50,IF($AA50=1,$F50&amp;$AB50,$G50),IF(OR(CS$3=$D50,CS$3=$AC50,CS$3=$AE50),"",IF(CS$3=$AD50,$F50&amp;"R",CS49))))</f>
        <v>bR</v>
      </c>
      <c r="CT50" s="11"/>
      <c r="CU50" s="11"/>
      <c r="CV50" s="11"/>
    </row>
    <row r="51" customFormat="false" ht="15" hidden="false" customHeight="false" outlineLevel="0" collapsed="false">
      <c r="A51" s="11" t="n">
        <v>46</v>
      </c>
      <c r="B51" s="11" t="str">
        <f aca="false">IF(Chess!$L$55="","",Chess!$L$55&amp;"")</f>
        <v/>
      </c>
      <c r="C51" s="11" t="str">
        <f aca="false">LOWER(SUBSTITUTE(SUBSTITUTE(SUBSTITUTE(SUBSTITUTE(TRIM($B51),"-",""),"=","")," ",""),"x",""))</f>
        <v/>
      </c>
      <c r="D51" s="11" t="n">
        <f aca="false">IF(LEN($C51)&lt;4,0,IFERROR(IF(AND(CODE(MID($C51,1,1))&gt;=97,CODE(MID($C51,1,1))&lt;=104,VALUE(MID($C51,2,1))&gt;=1,VALUE(MID($C51,2,1))&lt;=8),(VALUE(MID($C51,2,1))-1)*8+CODE(MID($C51,1,1))-96,0),0))</f>
        <v>0</v>
      </c>
      <c r="E51" s="11" t="n">
        <f aca="false">IF(LEN($C51)&lt;4,0,IFERROR(IF(AND(CODE(MID($C51,3,1))&gt;=97,CODE(MID($C51,3,1))&lt;=104,VALUE(MID($C51,4,1))&gt;=1,VALUE(MID($C51,4,1))&lt;=8),(VALUE(MID($C51,4,1))-1)*8+CODE(MID($C51,3,1))-96,0),0))</f>
        <v>0</v>
      </c>
      <c r="F51" s="11" t="str">
        <f aca="false">IF(MOD(SUM($P$5:$P50),2)=0,"w","b")</f>
        <v>w</v>
      </c>
      <c r="G51" s="11" t="str">
        <f aca="false">IF($D51=0,"",INDEX($AH50:$CS50,1,$D51)&amp;"")</f>
        <v/>
      </c>
      <c r="H51" s="11" t="str">
        <f aca="false">IF($E51=0,"",INDEX($AH50:$CS50,1,$E51)&amp;"")</f>
        <v/>
      </c>
      <c r="I51" s="11" t="n">
        <f aca="false">IF(OR($D51=0,$E51=0),0,MOD($E51-1,8)-MOD($D51-1,8))</f>
        <v>0</v>
      </c>
      <c r="J51" s="11" t="n">
        <f aca="false">IF(OR($D51=0,$E51=0),0,INT(($E51-1)/8)-INT(($D51-1)/8))</f>
        <v>0</v>
      </c>
      <c r="K51" s="11" t="str">
        <f aca="false">IF($G51="","",RIGHT($G51,1))</f>
        <v/>
      </c>
      <c r="L51" s="11" t="n">
        <f aca="false">IF(OR($D51=0,$E51=0),0,SUMPRODUCT(($AH$3:$CS$3&gt;MIN($D51,$E51))*($AH$3:$CS$3&lt;MAX($D51,$E51))*(MOD($AH$3:$CS$3-MIN($D51,$E51),MAX(1,ABS(SIGN($J51)*8+SIGN($I51))))=0)*($AH50:$CS50&lt;&gt;"")))</f>
        <v>0</v>
      </c>
      <c r="M51" s="11" t="n">
        <f aca="false">IF($K51&lt;&gt;"K",0,IFERROR(--AND($J51=0,ABS($I51)=2,$D51=IF($F51="w",5,61),IF($F51="w",$S50,$V50)=0,IF($I51=2,AND(IF($F51="w",$U50,$X50)=0,INDEX($AH50:$CS50,1,$D51+1)&amp;""="",INDEX($AH50:$CS50,1,$D51+2)&amp;""=""),AND(IF($F51="w",$T50,$W50)=0,INDEX($AH50:$CS50,1,$D51-1)&amp;""="",INDEX($AH50:$CS50,1,$D51-2)&amp;""="",INDEX($AH50:$CS50,1,$D51-3)&amp;""=""))),0))</f>
        <v>0</v>
      </c>
      <c r="N51" s="11" t="n">
        <f aca="false">IF($K51&lt;&gt;"P",0,IFERROR(--OR(AND($I51=0,$J51=IF($F51="w",1,-1),$H51=""),AND($I51=0,$J51=2*IF($F51="w",1,-1),$H51="",INT(($D51-1)/8)=IF($F51="w",1,6),INDEX($AH50:$CS50,1,MAX(1,MIN(64,$D51+8*IF($F51="w",1,-1))))&amp;""=""),AND(ABS($I51)=1,$J51=IF($F51="w",1,-1),$H51&lt;&gt;""),AND(ABS($I51)=1,$J51=IF($F51="w",1,-1),$H51="",$R50&gt;0,$E51=$R50)),0))</f>
        <v>0</v>
      </c>
      <c r="O51" s="11" t="n">
        <f aca="false">IF(OR($D51=0,$E51=0,$G51=""),0,IF($K51="N",--OR(AND(ABS($I51)=1,ABS($J51)=2),AND(ABS($I51)=2,ABS($J51)=1)),IF($K51="B",--AND(ABS($I51)=ABS($J51),$I51&lt;&gt;0,$L51=0),IF($K51="R",--AND(OR($I51=0,$J51=0),OR($I51&lt;&gt;0,$J51&lt;&gt;0),$L51=0),IF($K51="Q",--AND(OR(AND(ABS($I51)=ABS($J51),$I51&lt;&gt;0),AND(OR($I51=0,$J51=0),OR($I51&lt;&gt;0,$J51&lt;&gt;0))),$L51=0),IF($K51="K",--OR(MAX(ABS($I51),ABS($J51))=1,$M51=1),$N51))))))</f>
        <v>0</v>
      </c>
      <c r="P51" s="11" t="n">
        <f aca="false">IF($Q51="OK",1,0)</f>
        <v>0</v>
      </c>
      <c r="Q51" s="11" t="str">
        <f aca="false">IF($B51="","",IF(OR(COUNTIF($AH50:$CS50,"wK")=0,COUNTIF($AH50:$CS50,"bK")=0),"Game is over",IF(OR($D51=0,$E51=0),"Use the format e2e4",IF($G51="","No piece on that square",IF(LEFT($G51,1)&lt;&gt;$F51,"Not your piece ("&amp;IF($F51="w","White","Black")&amp;" to move)",IF($D51=$E51,"Piece must move",IF(AND($H51&lt;&gt;"",LEFT($H51,1)=$F51),"Cannot capture your own piece",IF($O51=0,"Illegal move for that piece (or path blocked)","OK"))))))))</f>
        <v/>
      </c>
      <c r="R51" s="11" t="n">
        <f aca="false">IF($P51=1,IF(AND($K51="P",ABS($J51)=2),($D51+$E51)/2,0),$R50)</f>
        <v>0</v>
      </c>
      <c r="S51" s="12" t="b">
        <f aca="false">--OR($S50=1,AND($P51=1,OR($D51=5,$E51=5)))</f>
        <v>0</v>
      </c>
      <c r="T51" s="12" t="b">
        <f aca="false">--OR($T50=1,AND($P51=1,OR($D51=1,$E51=1)))</f>
        <v>0</v>
      </c>
      <c r="U51" s="12" t="b">
        <f aca="false">--OR($U50=1,AND($P51=1,OR($D51=8,$E51=8)))</f>
        <v>0</v>
      </c>
      <c r="V51" s="12" t="b">
        <f aca="false">--OR($V50=1,AND($P51=1,OR($D51=61,$E51=61)))</f>
        <v>0</v>
      </c>
      <c r="W51" s="12" t="b">
        <f aca="false">--OR($W50=1,AND($P51=1,OR($D51=57,$E51=57)))</f>
        <v>0</v>
      </c>
      <c r="X51" s="12" t="b">
        <f aca="false">--OR($X50=1,AND($P51=1,OR($D51=64,$E51=64)))</f>
        <v>0</v>
      </c>
      <c r="Y51" s="12" t="b">
        <f aca="false">--AND($P51=1,$K51="K",ABS($I51)=2)</f>
        <v>0</v>
      </c>
      <c r="Z51" s="12" t="b">
        <f aca="false">--AND($P51=1,$K51="P",ABS($I51)=1,$H51="")</f>
        <v>0</v>
      </c>
      <c r="AA51" s="12" t="b">
        <f aca="false">--AND($P51=1,$K51="P",INT(($E51-1)/8)=IF($F51="w",7,0))</f>
        <v>0</v>
      </c>
      <c r="AB51" s="11" t="str">
        <f aca="false">IF(LEN($C51)&gt;=5,IF(ISNUMBER(FIND(MID($C51,5,1),"qrbn")),UPPER(MID($C51,5,1)),"Q"),"Q")</f>
        <v>Q</v>
      </c>
      <c r="AC51" s="11" t="n">
        <f aca="false">IF($Y51=1,IF($I51=2,$D51+3,$D51-4),0)</f>
        <v>0</v>
      </c>
      <c r="AD51" s="11" t="n">
        <f aca="false">IF($Y51=1,IF($I51=2,$D51+1,$D51-1),0)</f>
        <v>0</v>
      </c>
      <c r="AE51" s="11" t="n">
        <f aca="false">IF($Z51=1,$E51-8*IF($F51="w",1,-1),0)</f>
        <v>0</v>
      </c>
      <c r="AF51" s="11" t="str">
        <f aca="false">IF($B51="","",IF($P51=1,LOWER(INDEX($CV$2:$CV$13,MATCH($G51,$CU$2:$CU$13,0)))&amp;" "&amp;MID("abcdefgh",MOD($D51-1,8)+1,1)&amp;(INT(($D51-1)/8)+1)&amp;"→"&amp;MID("abcdefgh",MOD($E51-1,8)+1,1)&amp;(INT(($E51-1)/8)+1)&amp;IF(OR($H51&lt;&gt;"",$Z51=1)," ×","")&amp;IF($Y51=1," castles","")&amp;IF($Z51=1," e.p.","")&amp;IF($AA51=1," =" &amp;LOWER(INDEX($CV$2:$CV$13,MATCH($F51&amp;$AB51,$CU$2:$CU$13,0))),""),"X "&amp;$Q51))</f>
        <v/>
      </c>
      <c r="AG51" s="11"/>
      <c r="AH51" s="11" t="str">
        <f aca="false">IF($P51=0,AH50,IF(AH$3=$E51,IF($AA51=1,$F51&amp;$AB51,$G51),IF(OR(AH$3=$D51,AH$3=$AC51,AH$3=$AE51),"",IF(AH$3=$AD51,$F51&amp;"R",AH50))))</f>
        <v>wR</v>
      </c>
      <c r="AI51" s="11" t="str">
        <f aca="false">IF($P51=0,AI50,IF(AI$3=$E51,IF($AA51=1,$F51&amp;$AB51,$G51),IF(OR(AI$3=$D51,AI$3=$AC51,AI$3=$AE51),"",IF(AI$3=$AD51,$F51&amp;"R",AI50))))</f>
        <v>wN</v>
      </c>
      <c r="AJ51" s="11" t="str">
        <f aca="false">IF($P51=0,AJ50,IF(AJ$3=$E51,IF($AA51=1,$F51&amp;$AB51,$G51),IF(OR(AJ$3=$D51,AJ$3=$AC51,AJ$3=$AE51),"",IF(AJ$3=$AD51,$F51&amp;"R",AJ50))))</f>
        <v>wB</v>
      </c>
      <c r="AK51" s="11" t="str">
        <f aca="false">IF($P51=0,AK50,IF(AK$3=$E51,IF($AA51=1,$F51&amp;$AB51,$G51),IF(OR(AK$3=$D51,AK$3=$AC51,AK$3=$AE51),"",IF(AK$3=$AD51,$F51&amp;"R",AK50))))</f>
        <v>wQ</v>
      </c>
      <c r="AL51" s="11" t="str">
        <f aca="false">IF($P51=0,AL50,IF(AL$3=$E51,IF($AA51=1,$F51&amp;$AB51,$G51),IF(OR(AL$3=$D51,AL$3=$AC51,AL$3=$AE51),"",IF(AL$3=$AD51,$F51&amp;"R",AL50))))</f>
        <v>wK</v>
      </c>
      <c r="AM51" s="11" t="str">
        <f aca="false">IF($P51=0,AM50,IF(AM$3=$E51,IF($AA51=1,$F51&amp;$AB51,$G51),IF(OR(AM$3=$D51,AM$3=$AC51,AM$3=$AE51),"",IF(AM$3=$AD51,$F51&amp;"R",AM50))))</f>
        <v>wB</v>
      </c>
      <c r="AN51" s="11" t="str">
        <f aca="false">IF($P51=0,AN50,IF(AN$3=$E51,IF($AA51=1,$F51&amp;$AB51,$G51),IF(OR(AN$3=$D51,AN$3=$AC51,AN$3=$AE51),"",IF(AN$3=$AD51,$F51&amp;"R",AN50))))</f>
        <v>wN</v>
      </c>
      <c r="AO51" s="11" t="str">
        <f aca="false">IF($P51=0,AO50,IF(AO$3=$E51,IF($AA51=1,$F51&amp;$AB51,$G51),IF(OR(AO$3=$D51,AO$3=$AC51,AO$3=$AE51),"",IF(AO$3=$AD51,$F51&amp;"R",AO50))))</f>
        <v>wR</v>
      </c>
      <c r="AP51" s="11" t="str">
        <f aca="false">IF($P51=0,AP50,IF(AP$3=$E51,IF($AA51=1,$F51&amp;$AB51,$G51),IF(OR(AP$3=$D51,AP$3=$AC51,AP$3=$AE51),"",IF(AP$3=$AD51,$F51&amp;"R",AP50))))</f>
        <v>wP</v>
      </c>
      <c r="AQ51" s="11" t="str">
        <f aca="false">IF($P51=0,AQ50,IF(AQ$3=$E51,IF($AA51=1,$F51&amp;$AB51,$G51),IF(OR(AQ$3=$D51,AQ$3=$AC51,AQ$3=$AE51),"",IF(AQ$3=$AD51,$F51&amp;"R",AQ50))))</f>
        <v>wP</v>
      </c>
      <c r="AR51" s="11" t="str">
        <f aca="false">IF($P51=0,AR50,IF(AR$3=$E51,IF($AA51=1,$F51&amp;$AB51,$G51),IF(OR(AR$3=$D51,AR$3=$AC51,AR$3=$AE51),"",IF(AR$3=$AD51,$F51&amp;"R",AR50))))</f>
        <v>wP</v>
      </c>
      <c r="AS51" s="11" t="str">
        <f aca="false">IF($P51=0,AS50,IF(AS$3=$E51,IF($AA51=1,$F51&amp;$AB51,$G51),IF(OR(AS$3=$D51,AS$3=$AC51,AS$3=$AE51),"",IF(AS$3=$AD51,$F51&amp;"R",AS50))))</f>
        <v>wP</v>
      </c>
      <c r="AT51" s="11" t="str">
        <f aca="false">IF($P51=0,AT50,IF(AT$3=$E51,IF($AA51=1,$F51&amp;$AB51,$G51),IF(OR(AT$3=$D51,AT$3=$AC51,AT$3=$AE51),"",IF(AT$3=$AD51,$F51&amp;"R",AT50))))</f>
        <v>wP</v>
      </c>
      <c r="AU51" s="11" t="str">
        <f aca="false">IF($P51=0,AU50,IF(AU$3=$E51,IF($AA51=1,$F51&amp;$AB51,$G51),IF(OR(AU$3=$D51,AU$3=$AC51,AU$3=$AE51),"",IF(AU$3=$AD51,$F51&amp;"R",AU50))))</f>
        <v>wP</v>
      </c>
      <c r="AV51" s="11" t="str">
        <f aca="false">IF($P51=0,AV50,IF(AV$3=$E51,IF($AA51=1,$F51&amp;$AB51,$G51),IF(OR(AV$3=$D51,AV$3=$AC51,AV$3=$AE51),"",IF(AV$3=$AD51,$F51&amp;"R",AV50))))</f>
        <v>wP</v>
      </c>
      <c r="AW51" s="11" t="str">
        <f aca="false">IF($P51=0,AW50,IF(AW$3=$E51,IF($AA51=1,$F51&amp;$AB51,$G51),IF(OR(AW$3=$D51,AW$3=$AC51,AW$3=$AE51),"",IF(AW$3=$AD51,$F51&amp;"R",AW50))))</f>
        <v>wP</v>
      </c>
      <c r="AX51" s="11" t="str">
        <f aca="false">IF($P51=0,AX50,IF(AX$3=$E51,IF($AA51=1,$F51&amp;$AB51,$G51),IF(OR(AX$3=$D51,AX$3=$AC51,AX$3=$AE51),"",IF(AX$3=$AD51,$F51&amp;"R",AX50))))</f>
        <v/>
      </c>
      <c r="AY51" s="11" t="str">
        <f aca="false">IF($P51=0,AY50,IF(AY$3=$E51,IF($AA51=1,$F51&amp;$AB51,$G51),IF(OR(AY$3=$D51,AY$3=$AC51,AY$3=$AE51),"",IF(AY$3=$AD51,$F51&amp;"R",AY50))))</f>
        <v/>
      </c>
      <c r="AZ51" s="11" t="str">
        <f aca="false">IF($P51=0,AZ50,IF(AZ$3=$E51,IF($AA51=1,$F51&amp;$AB51,$G51),IF(OR(AZ$3=$D51,AZ$3=$AC51,AZ$3=$AE51),"",IF(AZ$3=$AD51,$F51&amp;"R",AZ50))))</f>
        <v/>
      </c>
      <c r="BA51" s="11" t="str">
        <f aca="false">IF($P51=0,BA50,IF(BA$3=$E51,IF($AA51=1,$F51&amp;$AB51,$G51),IF(OR(BA$3=$D51,BA$3=$AC51,BA$3=$AE51),"",IF(BA$3=$AD51,$F51&amp;"R",BA50))))</f>
        <v/>
      </c>
      <c r="BB51" s="11" t="str">
        <f aca="false">IF($P51=0,BB50,IF(BB$3=$E51,IF($AA51=1,$F51&amp;$AB51,$G51),IF(OR(BB$3=$D51,BB$3=$AC51,BB$3=$AE51),"",IF(BB$3=$AD51,$F51&amp;"R",BB50))))</f>
        <v/>
      </c>
      <c r="BC51" s="11" t="str">
        <f aca="false">IF($P51=0,BC50,IF(BC$3=$E51,IF($AA51=1,$F51&amp;$AB51,$G51),IF(OR(BC$3=$D51,BC$3=$AC51,BC$3=$AE51),"",IF(BC$3=$AD51,$F51&amp;"R",BC50))))</f>
        <v/>
      </c>
      <c r="BD51" s="11" t="str">
        <f aca="false">IF($P51=0,BD50,IF(BD$3=$E51,IF($AA51=1,$F51&amp;$AB51,$G51),IF(OR(BD$3=$D51,BD$3=$AC51,BD$3=$AE51),"",IF(BD$3=$AD51,$F51&amp;"R",BD50))))</f>
        <v/>
      </c>
      <c r="BE51" s="11" t="str">
        <f aca="false">IF($P51=0,BE50,IF(BE$3=$E51,IF($AA51=1,$F51&amp;$AB51,$G51),IF(OR(BE$3=$D51,BE$3=$AC51,BE$3=$AE51),"",IF(BE$3=$AD51,$F51&amp;"R",BE50))))</f>
        <v/>
      </c>
      <c r="BF51" s="11" t="str">
        <f aca="false">IF($P51=0,BF50,IF(BF$3=$E51,IF($AA51=1,$F51&amp;$AB51,$G51),IF(OR(BF$3=$D51,BF$3=$AC51,BF$3=$AE51),"",IF(BF$3=$AD51,$F51&amp;"R",BF50))))</f>
        <v/>
      </c>
      <c r="BG51" s="11" t="str">
        <f aca="false">IF($P51=0,BG50,IF(BG$3=$E51,IF($AA51=1,$F51&amp;$AB51,$G51),IF(OR(BG$3=$D51,BG$3=$AC51,BG$3=$AE51),"",IF(BG$3=$AD51,$F51&amp;"R",BG50))))</f>
        <v/>
      </c>
      <c r="BH51" s="11" t="str">
        <f aca="false">IF($P51=0,BH50,IF(BH$3=$E51,IF($AA51=1,$F51&amp;$AB51,$G51),IF(OR(BH$3=$D51,BH$3=$AC51,BH$3=$AE51),"",IF(BH$3=$AD51,$F51&amp;"R",BH50))))</f>
        <v/>
      </c>
      <c r="BI51" s="11" t="str">
        <f aca="false">IF($P51=0,BI50,IF(BI$3=$E51,IF($AA51=1,$F51&amp;$AB51,$G51),IF(OR(BI$3=$D51,BI$3=$AC51,BI$3=$AE51),"",IF(BI$3=$AD51,$F51&amp;"R",BI50))))</f>
        <v/>
      </c>
      <c r="BJ51" s="11" t="str">
        <f aca="false">IF($P51=0,BJ50,IF(BJ$3=$E51,IF($AA51=1,$F51&amp;$AB51,$G51),IF(OR(BJ$3=$D51,BJ$3=$AC51,BJ$3=$AE51),"",IF(BJ$3=$AD51,$F51&amp;"R",BJ50))))</f>
        <v/>
      </c>
      <c r="BK51" s="11" t="str">
        <f aca="false">IF($P51=0,BK50,IF(BK$3=$E51,IF($AA51=1,$F51&amp;$AB51,$G51),IF(OR(BK$3=$D51,BK$3=$AC51,BK$3=$AE51),"",IF(BK$3=$AD51,$F51&amp;"R",BK50))))</f>
        <v/>
      </c>
      <c r="BL51" s="11" t="str">
        <f aca="false">IF($P51=0,BL50,IF(BL$3=$E51,IF($AA51=1,$F51&amp;$AB51,$G51),IF(OR(BL$3=$D51,BL$3=$AC51,BL$3=$AE51),"",IF(BL$3=$AD51,$F51&amp;"R",BL50))))</f>
        <v/>
      </c>
      <c r="BM51" s="11" t="str">
        <f aca="false">IF($P51=0,BM50,IF(BM$3=$E51,IF($AA51=1,$F51&amp;$AB51,$G51),IF(OR(BM$3=$D51,BM$3=$AC51,BM$3=$AE51),"",IF(BM$3=$AD51,$F51&amp;"R",BM50))))</f>
        <v/>
      </c>
      <c r="BN51" s="11" t="str">
        <f aca="false">IF($P51=0,BN50,IF(BN$3=$E51,IF($AA51=1,$F51&amp;$AB51,$G51),IF(OR(BN$3=$D51,BN$3=$AC51,BN$3=$AE51),"",IF(BN$3=$AD51,$F51&amp;"R",BN50))))</f>
        <v/>
      </c>
      <c r="BO51" s="11" t="str">
        <f aca="false">IF($P51=0,BO50,IF(BO$3=$E51,IF($AA51=1,$F51&amp;$AB51,$G51),IF(OR(BO$3=$D51,BO$3=$AC51,BO$3=$AE51),"",IF(BO$3=$AD51,$F51&amp;"R",BO50))))</f>
        <v/>
      </c>
      <c r="BP51" s="11" t="str">
        <f aca="false">IF($P51=0,BP50,IF(BP$3=$E51,IF($AA51=1,$F51&amp;$AB51,$G51),IF(OR(BP$3=$D51,BP$3=$AC51,BP$3=$AE51),"",IF(BP$3=$AD51,$F51&amp;"R",BP50))))</f>
        <v/>
      </c>
      <c r="BQ51" s="11" t="str">
        <f aca="false">IF($P51=0,BQ50,IF(BQ$3=$E51,IF($AA51=1,$F51&amp;$AB51,$G51),IF(OR(BQ$3=$D51,BQ$3=$AC51,BQ$3=$AE51),"",IF(BQ$3=$AD51,$F51&amp;"R",BQ50))))</f>
        <v/>
      </c>
      <c r="BR51" s="11" t="str">
        <f aca="false">IF($P51=0,BR50,IF(BR$3=$E51,IF($AA51=1,$F51&amp;$AB51,$G51),IF(OR(BR$3=$D51,BR$3=$AC51,BR$3=$AE51),"",IF(BR$3=$AD51,$F51&amp;"R",BR50))))</f>
        <v/>
      </c>
      <c r="BS51" s="11" t="str">
        <f aca="false">IF($P51=0,BS50,IF(BS$3=$E51,IF($AA51=1,$F51&amp;$AB51,$G51),IF(OR(BS$3=$D51,BS$3=$AC51,BS$3=$AE51),"",IF(BS$3=$AD51,$F51&amp;"R",BS50))))</f>
        <v/>
      </c>
      <c r="BT51" s="11" t="str">
        <f aca="false">IF($P51=0,BT50,IF(BT$3=$E51,IF($AA51=1,$F51&amp;$AB51,$G51),IF(OR(BT$3=$D51,BT$3=$AC51,BT$3=$AE51),"",IF(BT$3=$AD51,$F51&amp;"R",BT50))))</f>
        <v/>
      </c>
      <c r="BU51" s="11" t="str">
        <f aca="false">IF($P51=0,BU50,IF(BU$3=$E51,IF($AA51=1,$F51&amp;$AB51,$G51),IF(OR(BU$3=$D51,BU$3=$AC51,BU$3=$AE51),"",IF(BU$3=$AD51,$F51&amp;"R",BU50))))</f>
        <v/>
      </c>
      <c r="BV51" s="11" t="str">
        <f aca="false">IF($P51=0,BV50,IF(BV$3=$E51,IF($AA51=1,$F51&amp;$AB51,$G51),IF(OR(BV$3=$D51,BV$3=$AC51,BV$3=$AE51),"",IF(BV$3=$AD51,$F51&amp;"R",BV50))))</f>
        <v/>
      </c>
      <c r="BW51" s="11" t="str">
        <f aca="false">IF($P51=0,BW50,IF(BW$3=$E51,IF($AA51=1,$F51&amp;$AB51,$G51),IF(OR(BW$3=$D51,BW$3=$AC51,BW$3=$AE51),"",IF(BW$3=$AD51,$F51&amp;"R",BW50))))</f>
        <v/>
      </c>
      <c r="BX51" s="11" t="str">
        <f aca="false">IF($P51=0,BX50,IF(BX$3=$E51,IF($AA51=1,$F51&amp;$AB51,$G51),IF(OR(BX$3=$D51,BX$3=$AC51,BX$3=$AE51),"",IF(BX$3=$AD51,$F51&amp;"R",BX50))))</f>
        <v/>
      </c>
      <c r="BY51" s="11" t="str">
        <f aca="false">IF($P51=0,BY50,IF(BY$3=$E51,IF($AA51=1,$F51&amp;$AB51,$G51),IF(OR(BY$3=$D51,BY$3=$AC51,BY$3=$AE51),"",IF(BY$3=$AD51,$F51&amp;"R",BY50))))</f>
        <v/>
      </c>
      <c r="BZ51" s="11" t="str">
        <f aca="false">IF($P51=0,BZ50,IF(BZ$3=$E51,IF($AA51=1,$F51&amp;$AB51,$G51),IF(OR(BZ$3=$D51,BZ$3=$AC51,BZ$3=$AE51),"",IF(BZ$3=$AD51,$F51&amp;"R",BZ50))))</f>
        <v/>
      </c>
      <c r="CA51" s="11" t="str">
        <f aca="false">IF($P51=0,CA50,IF(CA$3=$E51,IF($AA51=1,$F51&amp;$AB51,$G51),IF(OR(CA$3=$D51,CA$3=$AC51,CA$3=$AE51),"",IF(CA$3=$AD51,$F51&amp;"R",CA50))))</f>
        <v/>
      </c>
      <c r="CB51" s="11" t="str">
        <f aca="false">IF($P51=0,CB50,IF(CB$3=$E51,IF($AA51=1,$F51&amp;$AB51,$G51),IF(OR(CB$3=$D51,CB$3=$AC51,CB$3=$AE51),"",IF(CB$3=$AD51,$F51&amp;"R",CB50))))</f>
        <v/>
      </c>
      <c r="CC51" s="11" t="str">
        <f aca="false">IF($P51=0,CC50,IF(CC$3=$E51,IF($AA51=1,$F51&amp;$AB51,$G51),IF(OR(CC$3=$D51,CC$3=$AC51,CC$3=$AE51),"",IF(CC$3=$AD51,$F51&amp;"R",CC50))))</f>
        <v/>
      </c>
      <c r="CD51" s="11" t="str">
        <f aca="false">IF($P51=0,CD50,IF(CD$3=$E51,IF($AA51=1,$F51&amp;$AB51,$G51),IF(OR(CD$3=$D51,CD$3=$AC51,CD$3=$AE51),"",IF(CD$3=$AD51,$F51&amp;"R",CD50))))</f>
        <v>bP</v>
      </c>
      <c r="CE51" s="11" t="str">
        <f aca="false">IF($P51=0,CE50,IF(CE$3=$E51,IF($AA51=1,$F51&amp;$AB51,$G51),IF(OR(CE$3=$D51,CE$3=$AC51,CE$3=$AE51),"",IF(CE$3=$AD51,$F51&amp;"R",CE50))))</f>
        <v>bP</v>
      </c>
      <c r="CF51" s="11" t="str">
        <f aca="false">IF($P51=0,CF50,IF(CF$3=$E51,IF($AA51=1,$F51&amp;$AB51,$G51),IF(OR(CF$3=$D51,CF$3=$AC51,CF$3=$AE51),"",IF(CF$3=$AD51,$F51&amp;"R",CF50))))</f>
        <v>bP</v>
      </c>
      <c r="CG51" s="11" t="str">
        <f aca="false">IF($P51=0,CG50,IF(CG$3=$E51,IF($AA51=1,$F51&amp;$AB51,$G51),IF(OR(CG$3=$D51,CG$3=$AC51,CG$3=$AE51),"",IF(CG$3=$AD51,$F51&amp;"R",CG50))))</f>
        <v>bP</v>
      </c>
      <c r="CH51" s="11" t="str">
        <f aca="false">IF($P51=0,CH50,IF(CH$3=$E51,IF($AA51=1,$F51&amp;$AB51,$G51),IF(OR(CH$3=$D51,CH$3=$AC51,CH$3=$AE51),"",IF(CH$3=$AD51,$F51&amp;"R",CH50))))</f>
        <v>bP</v>
      </c>
      <c r="CI51" s="11" t="str">
        <f aca="false">IF($P51=0,CI50,IF(CI$3=$E51,IF($AA51=1,$F51&amp;$AB51,$G51),IF(OR(CI$3=$D51,CI$3=$AC51,CI$3=$AE51),"",IF(CI$3=$AD51,$F51&amp;"R",CI50))))</f>
        <v>bP</v>
      </c>
      <c r="CJ51" s="11" t="str">
        <f aca="false">IF($P51=0,CJ50,IF(CJ$3=$E51,IF($AA51=1,$F51&amp;$AB51,$G51),IF(OR(CJ$3=$D51,CJ$3=$AC51,CJ$3=$AE51),"",IF(CJ$3=$AD51,$F51&amp;"R",CJ50))))</f>
        <v>bP</v>
      </c>
      <c r="CK51" s="11" t="str">
        <f aca="false">IF($P51=0,CK50,IF(CK$3=$E51,IF($AA51=1,$F51&amp;$AB51,$G51),IF(OR(CK$3=$D51,CK$3=$AC51,CK$3=$AE51),"",IF(CK$3=$AD51,$F51&amp;"R",CK50))))</f>
        <v>bP</v>
      </c>
      <c r="CL51" s="11" t="str">
        <f aca="false">IF($P51=0,CL50,IF(CL$3=$E51,IF($AA51=1,$F51&amp;$AB51,$G51),IF(OR(CL$3=$D51,CL$3=$AC51,CL$3=$AE51),"",IF(CL$3=$AD51,$F51&amp;"R",CL50))))</f>
        <v>bR</v>
      </c>
      <c r="CM51" s="11" t="str">
        <f aca="false">IF($P51=0,CM50,IF(CM$3=$E51,IF($AA51=1,$F51&amp;$AB51,$G51),IF(OR(CM$3=$D51,CM$3=$AC51,CM$3=$AE51),"",IF(CM$3=$AD51,$F51&amp;"R",CM50))))</f>
        <v>bN</v>
      </c>
      <c r="CN51" s="11" t="str">
        <f aca="false">IF($P51=0,CN50,IF(CN$3=$E51,IF($AA51=1,$F51&amp;$AB51,$G51),IF(OR(CN$3=$D51,CN$3=$AC51,CN$3=$AE51),"",IF(CN$3=$AD51,$F51&amp;"R",CN50))))</f>
        <v>bB</v>
      </c>
      <c r="CO51" s="11" t="str">
        <f aca="false">IF($P51=0,CO50,IF(CO$3=$E51,IF($AA51=1,$F51&amp;$AB51,$G51),IF(OR(CO$3=$D51,CO$3=$AC51,CO$3=$AE51),"",IF(CO$3=$AD51,$F51&amp;"R",CO50))))</f>
        <v>bQ</v>
      </c>
      <c r="CP51" s="11" t="str">
        <f aca="false">IF($P51=0,CP50,IF(CP$3=$E51,IF($AA51=1,$F51&amp;$AB51,$G51),IF(OR(CP$3=$D51,CP$3=$AC51,CP$3=$AE51),"",IF(CP$3=$AD51,$F51&amp;"R",CP50))))</f>
        <v>bK</v>
      </c>
      <c r="CQ51" s="11" t="str">
        <f aca="false">IF($P51=0,CQ50,IF(CQ$3=$E51,IF($AA51=1,$F51&amp;$AB51,$G51),IF(OR(CQ$3=$D51,CQ$3=$AC51,CQ$3=$AE51),"",IF(CQ$3=$AD51,$F51&amp;"R",CQ50))))</f>
        <v>bB</v>
      </c>
      <c r="CR51" s="11" t="str">
        <f aca="false">IF($P51=0,CR50,IF(CR$3=$E51,IF($AA51=1,$F51&amp;$AB51,$G51),IF(OR(CR$3=$D51,CR$3=$AC51,CR$3=$AE51),"",IF(CR$3=$AD51,$F51&amp;"R",CR50))))</f>
        <v>bN</v>
      </c>
      <c r="CS51" s="11" t="str">
        <f aca="false">IF($P51=0,CS50,IF(CS$3=$E51,IF($AA51=1,$F51&amp;$AB51,$G51),IF(OR(CS$3=$D51,CS$3=$AC51,CS$3=$AE51),"",IF(CS$3=$AD51,$F51&amp;"R",CS50))))</f>
        <v>bR</v>
      </c>
      <c r="CT51" s="11"/>
      <c r="CU51" s="11"/>
      <c r="CV51" s="11"/>
    </row>
    <row r="52" customFormat="false" ht="15" hidden="false" customHeight="false" outlineLevel="0" collapsed="false">
      <c r="A52" s="11" t="n">
        <v>47</v>
      </c>
      <c r="B52" s="11" t="str">
        <f aca="false">IF(Chess!$L$56="","",Chess!$L$56&amp;"")</f>
        <v/>
      </c>
      <c r="C52" s="11" t="str">
        <f aca="false">LOWER(SUBSTITUTE(SUBSTITUTE(SUBSTITUTE(SUBSTITUTE(TRIM($B52),"-",""),"=","")," ",""),"x",""))</f>
        <v/>
      </c>
      <c r="D52" s="11" t="n">
        <f aca="false">IF(LEN($C52)&lt;4,0,IFERROR(IF(AND(CODE(MID($C52,1,1))&gt;=97,CODE(MID($C52,1,1))&lt;=104,VALUE(MID($C52,2,1))&gt;=1,VALUE(MID($C52,2,1))&lt;=8),(VALUE(MID($C52,2,1))-1)*8+CODE(MID($C52,1,1))-96,0),0))</f>
        <v>0</v>
      </c>
      <c r="E52" s="11" t="n">
        <f aca="false">IF(LEN($C52)&lt;4,0,IFERROR(IF(AND(CODE(MID($C52,3,1))&gt;=97,CODE(MID($C52,3,1))&lt;=104,VALUE(MID($C52,4,1))&gt;=1,VALUE(MID($C52,4,1))&lt;=8),(VALUE(MID($C52,4,1))-1)*8+CODE(MID($C52,3,1))-96,0),0))</f>
        <v>0</v>
      </c>
      <c r="F52" s="11" t="str">
        <f aca="false">IF(MOD(SUM($P$5:$P51),2)=0,"w","b")</f>
        <v>w</v>
      </c>
      <c r="G52" s="11" t="str">
        <f aca="false">IF($D52=0,"",INDEX($AH51:$CS51,1,$D52)&amp;"")</f>
        <v/>
      </c>
      <c r="H52" s="11" t="str">
        <f aca="false">IF($E52=0,"",INDEX($AH51:$CS51,1,$E52)&amp;"")</f>
        <v/>
      </c>
      <c r="I52" s="11" t="n">
        <f aca="false">IF(OR($D52=0,$E52=0),0,MOD($E52-1,8)-MOD($D52-1,8))</f>
        <v>0</v>
      </c>
      <c r="J52" s="11" t="n">
        <f aca="false">IF(OR($D52=0,$E52=0),0,INT(($E52-1)/8)-INT(($D52-1)/8))</f>
        <v>0</v>
      </c>
      <c r="K52" s="11" t="str">
        <f aca="false">IF($G52="","",RIGHT($G52,1))</f>
        <v/>
      </c>
      <c r="L52" s="11" t="n">
        <f aca="false">IF(OR($D52=0,$E52=0),0,SUMPRODUCT(($AH$3:$CS$3&gt;MIN($D52,$E52))*($AH$3:$CS$3&lt;MAX($D52,$E52))*(MOD($AH$3:$CS$3-MIN($D52,$E52),MAX(1,ABS(SIGN($J52)*8+SIGN($I52))))=0)*($AH51:$CS51&lt;&gt;"")))</f>
        <v>0</v>
      </c>
      <c r="M52" s="11" t="n">
        <f aca="false">IF($K52&lt;&gt;"K",0,IFERROR(--AND($J52=0,ABS($I52)=2,$D52=IF($F52="w",5,61),IF($F52="w",$S51,$V51)=0,IF($I52=2,AND(IF($F52="w",$U51,$X51)=0,INDEX($AH51:$CS51,1,$D52+1)&amp;""="",INDEX($AH51:$CS51,1,$D52+2)&amp;""=""),AND(IF($F52="w",$T51,$W51)=0,INDEX($AH51:$CS51,1,$D52-1)&amp;""="",INDEX($AH51:$CS51,1,$D52-2)&amp;""="",INDEX($AH51:$CS51,1,$D52-3)&amp;""=""))),0))</f>
        <v>0</v>
      </c>
      <c r="N52" s="11" t="n">
        <f aca="false">IF($K52&lt;&gt;"P",0,IFERROR(--OR(AND($I52=0,$J52=IF($F52="w",1,-1),$H52=""),AND($I52=0,$J52=2*IF($F52="w",1,-1),$H52="",INT(($D52-1)/8)=IF($F52="w",1,6),INDEX($AH51:$CS51,1,MAX(1,MIN(64,$D52+8*IF($F52="w",1,-1))))&amp;""=""),AND(ABS($I52)=1,$J52=IF($F52="w",1,-1),$H52&lt;&gt;""),AND(ABS($I52)=1,$J52=IF($F52="w",1,-1),$H52="",$R51&gt;0,$E52=$R51)),0))</f>
        <v>0</v>
      </c>
      <c r="O52" s="11" t="n">
        <f aca="false">IF(OR($D52=0,$E52=0,$G52=""),0,IF($K52="N",--OR(AND(ABS($I52)=1,ABS($J52)=2),AND(ABS($I52)=2,ABS($J52)=1)),IF($K52="B",--AND(ABS($I52)=ABS($J52),$I52&lt;&gt;0,$L52=0),IF($K52="R",--AND(OR($I52=0,$J52=0),OR($I52&lt;&gt;0,$J52&lt;&gt;0),$L52=0),IF($K52="Q",--AND(OR(AND(ABS($I52)=ABS($J52),$I52&lt;&gt;0),AND(OR($I52=0,$J52=0),OR($I52&lt;&gt;0,$J52&lt;&gt;0))),$L52=0),IF($K52="K",--OR(MAX(ABS($I52),ABS($J52))=1,$M52=1),$N52))))))</f>
        <v>0</v>
      </c>
      <c r="P52" s="11" t="n">
        <f aca="false">IF($Q52="OK",1,0)</f>
        <v>0</v>
      </c>
      <c r="Q52" s="11" t="str">
        <f aca="false">IF($B52="","",IF(OR(COUNTIF($AH51:$CS51,"wK")=0,COUNTIF($AH51:$CS51,"bK")=0),"Game is over",IF(OR($D52=0,$E52=0),"Use the format e2e4",IF($G52="","No piece on that square",IF(LEFT($G52,1)&lt;&gt;$F52,"Not your piece ("&amp;IF($F52="w","White","Black")&amp;" to move)",IF($D52=$E52,"Piece must move",IF(AND($H52&lt;&gt;"",LEFT($H52,1)=$F52),"Cannot capture your own piece",IF($O52=0,"Illegal move for that piece (or path blocked)","OK"))))))))</f>
        <v/>
      </c>
      <c r="R52" s="11" t="n">
        <f aca="false">IF($P52=1,IF(AND($K52="P",ABS($J52)=2),($D52+$E52)/2,0),$R51)</f>
        <v>0</v>
      </c>
      <c r="S52" s="12" t="b">
        <f aca="false">--OR($S51=1,AND($P52=1,OR($D52=5,$E52=5)))</f>
        <v>0</v>
      </c>
      <c r="T52" s="12" t="b">
        <f aca="false">--OR($T51=1,AND($P52=1,OR($D52=1,$E52=1)))</f>
        <v>0</v>
      </c>
      <c r="U52" s="12" t="b">
        <f aca="false">--OR($U51=1,AND($P52=1,OR($D52=8,$E52=8)))</f>
        <v>0</v>
      </c>
      <c r="V52" s="12" t="b">
        <f aca="false">--OR($V51=1,AND($P52=1,OR($D52=61,$E52=61)))</f>
        <v>0</v>
      </c>
      <c r="W52" s="12" t="b">
        <f aca="false">--OR($W51=1,AND($P52=1,OR($D52=57,$E52=57)))</f>
        <v>0</v>
      </c>
      <c r="X52" s="12" t="b">
        <f aca="false">--OR($X51=1,AND($P52=1,OR($D52=64,$E52=64)))</f>
        <v>0</v>
      </c>
      <c r="Y52" s="12" t="b">
        <f aca="false">--AND($P52=1,$K52="K",ABS($I52)=2)</f>
        <v>0</v>
      </c>
      <c r="Z52" s="12" t="b">
        <f aca="false">--AND($P52=1,$K52="P",ABS($I52)=1,$H52="")</f>
        <v>0</v>
      </c>
      <c r="AA52" s="12" t="b">
        <f aca="false">--AND($P52=1,$K52="P",INT(($E52-1)/8)=IF($F52="w",7,0))</f>
        <v>0</v>
      </c>
      <c r="AB52" s="11" t="str">
        <f aca="false">IF(LEN($C52)&gt;=5,IF(ISNUMBER(FIND(MID($C52,5,1),"qrbn")),UPPER(MID($C52,5,1)),"Q"),"Q")</f>
        <v>Q</v>
      </c>
      <c r="AC52" s="11" t="n">
        <f aca="false">IF($Y52=1,IF($I52=2,$D52+3,$D52-4),0)</f>
        <v>0</v>
      </c>
      <c r="AD52" s="11" t="n">
        <f aca="false">IF($Y52=1,IF($I52=2,$D52+1,$D52-1),0)</f>
        <v>0</v>
      </c>
      <c r="AE52" s="11" t="n">
        <f aca="false">IF($Z52=1,$E52-8*IF($F52="w",1,-1),0)</f>
        <v>0</v>
      </c>
      <c r="AF52" s="11" t="str">
        <f aca="false">IF($B52="","",IF($P52=1,LOWER(INDEX($CV$2:$CV$13,MATCH($G52,$CU$2:$CU$13,0)))&amp;" "&amp;MID("abcdefgh",MOD($D52-1,8)+1,1)&amp;(INT(($D52-1)/8)+1)&amp;"→"&amp;MID("abcdefgh",MOD($E52-1,8)+1,1)&amp;(INT(($E52-1)/8)+1)&amp;IF(OR($H52&lt;&gt;"",$Z52=1)," ×","")&amp;IF($Y52=1," castles","")&amp;IF($Z52=1," e.p.","")&amp;IF($AA52=1," =" &amp;LOWER(INDEX($CV$2:$CV$13,MATCH($F52&amp;$AB52,$CU$2:$CU$13,0))),""),"X "&amp;$Q52))</f>
        <v/>
      </c>
      <c r="AG52" s="11"/>
      <c r="AH52" s="11" t="str">
        <f aca="false">IF($P52=0,AH51,IF(AH$3=$E52,IF($AA52=1,$F52&amp;$AB52,$G52),IF(OR(AH$3=$D52,AH$3=$AC52,AH$3=$AE52),"",IF(AH$3=$AD52,$F52&amp;"R",AH51))))</f>
        <v>wR</v>
      </c>
      <c r="AI52" s="11" t="str">
        <f aca="false">IF($P52=0,AI51,IF(AI$3=$E52,IF($AA52=1,$F52&amp;$AB52,$G52),IF(OR(AI$3=$D52,AI$3=$AC52,AI$3=$AE52),"",IF(AI$3=$AD52,$F52&amp;"R",AI51))))</f>
        <v>wN</v>
      </c>
      <c r="AJ52" s="11" t="str">
        <f aca="false">IF($P52=0,AJ51,IF(AJ$3=$E52,IF($AA52=1,$F52&amp;$AB52,$G52),IF(OR(AJ$3=$D52,AJ$3=$AC52,AJ$3=$AE52),"",IF(AJ$3=$AD52,$F52&amp;"R",AJ51))))</f>
        <v>wB</v>
      </c>
      <c r="AK52" s="11" t="str">
        <f aca="false">IF($P52=0,AK51,IF(AK$3=$E52,IF($AA52=1,$F52&amp;$AB52,$G52),IF(OR(AK$3=$D52,AK$3=$AC52,AK$3=$AE52),"",IF(AK$3=$AD52,$F52&amp;"R",AK51))))</f>
        <v>wQ</v>
      </c>
      <c r="AL52" s="11" t="str">
        <f aca="false">IF($P52=0,AL51,IF(AL$3=$E52,IF($AA52=1,$F52&amp;$AB52,$G52),IF(OR(AL$3=$D52,AL$3=$AC52,AL$3=$AE52),"",IF(AL$3=$AD52,$F52&amp;"R",AL51))))</f>
        <v>wK</v>
      </c>
      <c r="AM52" s="11" t="str">
        <f aca="false">IF($P52=0,AM51,IF(AM$3=$E52,IF($AA52=1,$F52&amp;$AB52,$G52),IF(OR(AM$3=$D52,AM$3=$AC52,AM$3=$AE52),"",IF(AM$3=$AD52,$F52&amp;"R",AM51))))</f>
        <v>wB</v>
      </c>
      <c r="AN52" s="11" t="str">
        <f aca="false">IF($P52=0,AN51,IF(AN$3=$E52,IF($AA52=1,$F52&amp;$AB52,$G52),IF(OR(AN$3=$D52,AN$3=$AC52,AN$3=$AE52),"",IF(AN$3=$AD52,$F52&amp;"R",AN51))))</f>
        <v>wN</v>
      </c>
      <c r="AO52" s="11" t="str">
        <f aca="false">IF($P52=0,AO51,IF(AO$3=$E52,IF($AA52=1,$F52&amp;$AB52,$G52),IF(OR(AO$3=$D52,AO$3=$AC52,AO$3=$AE52),"",IF(AO$3=$AD52,$F52&amp;"R",AO51))))</f>
        <v>wR</v>
      </c>
      <c r="AP52" s="11" t="str">
        <f aca="false">IF($P52=0,AP51,IF(AP$3=$E52,IF($AA52=1,$F52&amp;$AB52,$G52),IF(OR(AP$3=$D52,AP$3=$AC52,AP$3=$AE52),"",IF(AP$3=$AD52,$F52&amp;"R",AP51))))</f>
        <v>wP</v>
      </c>
      <c r="AQ52" s="11" t="str">
        <f aca="false">IF($P52=0,AQ51,IF(AQ$3=$E52,IF($AA52=1,$F52&amp;$AB52,$G52),IF(OR(AQ$3=$D52,AQ$3=$AC52,AQ$3=$AE52),"",IF(AQ$3=$AD52,$F52&amp;"R",AQ51))))</f>
        <v>wP</v>
      </c>
      <c r="AR52" s="11" t="str">
        <f aca="false">IF($P52=0,AR51,IF(AR$3=$E52,IF($AA52=1,$F52&amp;$AB52,$G52),IF(OR(AR$3=$D52,AR$3=$AC52,AR$3=$AE52),"",IF(AR$3=$AD52,$F52&amp;"R",AR51))))</f>
        <v>wP</v>
      </c>
      <c r="AS52" s="11" t="str">
        <f aca="false">IF($P52=0,AS51,IF(AS$3=$E52,IF($AA52=1,$F52&amp;$AB52,$G52),IF(OR(AS$3=$D52,AS$3=$AC52,AS$3=$AE52),"",IF(AS$3=$AD52,$F52&amp;"R",AS51))))</f>
        <v>wP</v>
      </c>
      <c r="AT52" s="11" t="str">
        <f aca="false">IF($P52=0,AT51,IF(AT$3=$E52,IF($AA52=1,$F52&amp;$AB52,$G52),IF(OR(AT$3=$D52,AT$3=$AC52,AT$3=$AE52),"",IF(AT$3=$AD52,$F52&amp;"R",AT51))))</f>
        <v>wP</v>
      </c>
      <c r="AU52" s="11" t="str">
        <f aca="false">IF($P52=0,AU51,IF(AU$3=$E52,IF($AA52=1,$F52&amp;$AB52,$G52),IF(OR(AU$3=$D52,AU$3=$AC52,AU$3=$AE52),"",IF(AU$3=$AD52,$F52&amp;"R",AU51))))</f>
        <v>wP</v>
      </c>
      <c r="AV52" s="11" t="str">
        <f aca="false">IF($P52=0,AV51,IF(AV$3=$E52,IF($AA52=1,$F52&amp;$AB52,$G52),IF(OR(AV$3=$D52,AV$3=$AC52,AV$3=$AE52),"",IF(AV$3=$AD52,$F52&amp;"R",AV51))))</f>
        <v>wP</v>
      </c>
      <c r="AW52" s="11" t="str">
        <f aca="false">IF($P52=0,AW51,IF(AW$3=$E52,IF($AA52=1,$F52&amp;$AB52,$G52),IF(OR(AW$3=$D52,AW$3=$AC52,AW$3=$AE52),"",IF(AW$3=$AD52,$F52&amp;"R",AW51))))</f>
        <v>wP</v>
      </c>
      <c r="AX52" s="11" t="str">
        <f aca="false">IF($P52=0,AX51,IF(AX$3=$E52,IF($AA52=1,$F52&amp;$AB52,$G52),IF(OR(AX$3=$D52,AX$3=$AC52,AX$3=$AE52),"",IF(AX$3=$AD52,$F52&amp;"R",AX51))))</f>
        <v/>
      </c>
      <c r="AY52" s="11" t="str">
        <f aca="false">IF($P52=0,AY51,IF(AY$3=$E52,IF($AA52=1,$F52&amp;$AB52,$G52),IF(OR(AY$3=$D52,AY$3=$AC52,AY$3=$AE52),"",IF(AY$3=$AD52,$F52&amp;"R",AY51))))</f>
        <v/>
      </c>
      <c r="AZ52" s="11" t="str">
        <f aca="false">IF($P52=0,AZ51,IF(AZ$3=$E52,IF($AA52=1,$F52&amp;$AB52,$G52),IF(OR(AZ$3=$D52,AZ$3=$AC52,AZ$3=$AE52),"",IF(AZ$3=$AD52,$F52&amp;"R",AZ51))))</f>
        <v/>
      </c>
      <c r="BA52" s="11" t="str">
        <f aca="false">IF($P52=0,BA51,IF(BA$3=$E52,IF($AA52=1,$F52&amp;$AB52,$G52),IF(OR(BA$3=$D52,BA$3=$AC52,BA$3=$AE52),"",IF(BA$3=$AD52,$F52&amp;"R",BA51))))</f>
        <v/>
      </c>
      <c r="BB52" s="11" t="str">
        <f aca="false">IF($P52=0,BB51,IF(BB$3=$E52,IF($AA52=1,$F52&amp;$AB52,$G52),IF(OR(BB$3=$D52,BB$3=$AC52,BB$3=$AE52),"",IF(BB$3=$AD52,$F52&amp;"R",BB51))))</f>
        <v/>
      </c>
      <c r="BC52" s="11" t="str">
        <f aca="false">IF($P52=0,BC51,IF(BC$3=$E52,IF($AA52=1,$F52&amp;$AB52,$G52),IF(OR(BC$3=$D52,BC$3=$AC52,BC$3=$AE52),"",IF(BC$3=$AD52,$F52&amp;"R",BC51))))</f>
        <v/>
      </c>
      <c r="BD52" s="11" t="str">
        <f aca="false">IF($P52=0,BD51,IF(BD$3=$E52,IF($AA52=1,$F52&amp;$AB52,$G52),IF(OR(BD$3=$D52,BD$3=$AC52,BD$3=$AE52),"",IF(BD$3=$AD52,$F52&amp;"R",BD51))))</f>
        <v/>
      </c>
      <c r="BE52" s="11" t="str">
        <f aca="false">IF($P52=0,BE51,IF(BE$3=$E52,IF($AA52=1,$F52&amp;$AB52,$G52),IF(OR(BE$3=$D52,BE$3=$AC52,BE$3=$AE52),"",IF(BE$3=$AD52,$F52&amp;"R",BE51))))</f>
        <v/>
      </c>
      <c r="BF52" s="11" t="str">
        <f aca="false">IF($P52=0,BF51,IF(BF$3=$E52,IF($AA52=1,$F52&amp;$AB52,$G52),IF(OR(BF$3=$D52,BF$3=$AC52,BF$3=$AE52),"",IF(BF$3=$AD52,$F52&amp;"R",BF51))))</f>
        <v/>
      </c>
      <c r="BG52" s="11" t="str">
        <f aca="false">IF($P52=0,BG51,IF(BG$3=$E52,IF($AA52=1,$F52&amp;$AB52,$G52),IF(OR(BG$3=$D52,BG$3=$AC52,BG$3=$AE52),"",IF(BG$3=$AD52,$F52&amp;"R",BG51))))</f>
        <v/>
      </c>
      <c r="BH52" s="11" t="str">
        <f aca="false">IF($P52=0,BH51,IF(BH$3=$E52,IF($AA52=1,$F52&amp;$AB52,$G52),IF(OR(BH$3=$D52,BH$3=$AC52,BH$3=$AE52),"",IF(BH$3=$AD52,$F52&amp;"R",BH51))))</f>
        <v/>
      </c>
      <c r="BI52" s="11" t="str">
        <f aca="false">IF($P52=0,BI51,IF(BI$3=$E52,IF($AA52=1,$F52&amp;$AB52,$G52),IF(OR(BI$3=$D52,BI$3=$AC52,BI$3=$AE52),"",IF(BI$3=$AD52,$F52&amp;"R",BI51))))</f>
        <v/>
      </c>
      <c r="BJ52" s="11" t="str">
        <f aca="false">IF($P52=0,BJ51,IF(BJ$3=$E52,IF($AA52=1,$F52&amp;$AB52,$G52),IF(OR(BJ$3=$D52,BJ$3=$AC52,BJ$3=$AE52),"",IF(BJ$3=$AD52,$F52&amp;"R",BJ51))))</f>
        <v/>
      </c>
      <c r="BK52" s="11" t="str">
        <f aca="false">IF($P52=0,BK51,IF(BK$3=$E52,IF($AA52=1,$F52&amp;$AB52,$G52),IF(OR(BK$3=$D52,BK$3=$AC52,BK$3=$AE52),"",IF(BK$3=$AD52,$F52&amp;"R",BK51))))</f>
        <v/>
      </c>
      <c r="BL52" s="11" t="str">
        <f aca="false">IF($P52=0,BL51,IF(BL$3=$E52,IF($AA52=1,$F52&amp;$AB52,$G52),IF(OR(BL$3=$D52,BL$3=$AC52,BL$3=$AE52),"",IF(BL$3=$AD52,$F52&amp;"R",BL51))))</f>
        <v/>
      </c>
      <c r="BM52" s="11" t="str">
        <f aca="false">IF($P52=0,BM51,IF(BM$3=$E52,IF($AA52=1,$F52&amp;$AB52,$G52),IF(OR(BM$3=$D52,BM$3=$AC52,BM$3=$AE52),"",IF(BM$3=$AD52,$F52&amp;"R",BM51))))</f>
        <v/>
      </c>
      <c r="BN52" s="11" t="str">
        <f aca="false">IF($P52=0,BN51,IF(BN$3=$E52,IF($AA52=1,$F52&amp;$AB52,$G52),IF(OR(BN$3=$D52,BN$3=$AC52,BN$3=$AE52),"",IF(BN$3=$AD52,$F52&amp;"R",BN51))))</f>
        <v/>
      </c>
      <c r="BO52" s="11" t="str">
        <f aca="false">IF($P52=0,BO51,IF(BO$3=$E52,IF($AA52=1,$F52&amp;$AB52,$G52),IF(OR(BO$3=$D52,BO$3=$AC52,BO$3=$AE52),"",IF(BO$3=$AD52,$F52&amp;"R",BO51))))</f>
        <v/>
      </c>
      <c r="BP52" s="11" t="str">
        <f aca="false">IF($P52=0,BP51,IF(BP$3=$E52,IF($AA52=1,$F52&amp;$AB52,$G52),IF(OR(BP$3=$D52,BP$3=$AC52,BP$3=$AE52),"",IF(BP$3=$AD52,$F52&amp;"R",BP51))))</f>
        <v/>
      </c>
      <c r="BQ52" s="11" t="str">
        <f aca="false">IF($P52=0,BQ51,IF(BQ$3=$E52,IF($AA52=1,$F52&amp;$AB52,$G52),IF(OR(BQ$3=$D52,BQ$3=$AC52,BQ$3=$AE52),"",IF(BQ$3=$AD52,$F52&amp;"R",BQ51))))</f>
        <v/>
      </c>
      <c r="BR52" s="11" t="str">
        <f aca="false">IF($P52=0,BR51,IF(BR$3=$E52,IF($AA52=1,$F52&amp;$AB52,$G52),IF(OR(BR$3=$D52,BR$3=$AC52,BR$3=$AE52),"",IF(BR$3=$AD52,$F52&amp;"R",BR51))))</f>
        <v/>
      </c>
      <c r="BS52" s="11" t="str">
        <f aca="false">IF($P52=0,BS51,IF(BS$3=$E52,IF($AA52=1,$F52&amp;$AB52,$G52),IF(OR(BS$3=$D52,BS$3=$AC52,BS$3=$AE52),"",IF(BS$3=$AD52,$F52&amp;"R",BS51))))</f>
        <v/>
      </c>
      <c r="BT52" s="11" t="str">
        <f aca="false">IF($P52=0,BT51,IF(BT$3=$E52,IF($AA52=1,$F52&amp;$AB52,$G52),IF(OR(BT$3=$D52,BT$3=$AC52,BT$3=$AE52),"",IF(BT$3=$AD52,$F52&amp;"R",BT51))))</f>
        <v/>
      </c>
      <c r="BU52" s="11" t="str">
        <f aca="false">IF($P52=0,BU51,IF(BU$3=$E52,IF($AA52=1,$F52&amp;$AB52,$G52),IF(OR(BU$3=$D52,BU$3=$AC52,BU$3=$AE52),"",IF(BU$3=$AD52,$F52&amp;"R",BU51))))</f>
        <v/>
      </c>
      <c r="BV52" s="11" t="str">
        <f aca="false">IF($P52=0,BV51,IF(BV$3=$E52,IF($AA52=1,$F52&amp;$AB52,$G52),IF(OR(BV$3=$D52,BV$3=$AC52,BV$3=$AE52),"",IF(BV$3=$AD52,$F52&amp;"R",BV51))))</f>
        <v/>
      </c>
      <c r="BW52" s="11" t="str">
        <f aca="false">IF($P52=0,BW51,IF(BW$3=$E52,IF($AA52=1,$F52&amp;$AB52,$G52),IF(OR(BW$3=$D52,BW$3=$AC52,BW$3=$AE52),"",IF(BW$3=$AD52,$F52&amp;"R",BW51))))</f>
        <v/>
      </c>
      <c r="BX52" s="11" t="str">
        <f aca="false">IF($P52=0,BX51,IF(BX$3=$E52,IF($AA52=1,$F52&amp;$AB52,$G52),IF(OR(BX$3=$D52,BX$3=$AC52,BX$3=$AE52),"",IF(BX$3=$AD52,$F52&amp;"R",BX51))))</f>
        <v/>
      </c>
      <c r="BY52" s="11" t="str">
        <f aca="false">IF($P52=0,BY51,IF(BY$3=$E52,IF($AA52=1,$F52&amp;$AB52,$G52),IF(OR(BY$3=$D52,BY$3=$AC52,BY$3=$AE52),"",IF(BY$3=$AD52,$F52&amp;"R",BY51))))</f>
        <v/>
      </c>
      <c r="BZ52" s="11" t="str">
        <f aca="false">IF($P52=0,BZ51,IF(BZ$3=$E52,IF($AA52=1,$F52&amp;$AB52,$G52),IF(OR(BZ$3=$D52,BZ$3=$AC52,BZ$3=$AE52),"",IF(BZ$3=$AD52,$F52&amp;"R",BZ51))))</f>
        <v/>
      </c>
      <c r="CA52" s="11" t="str">
        <f aca="false">IF($P52=0,CA51,IF(CA$3=$E52,IF($AA52=1,$F52&amp;$AB52,$G52),IF(OR(CA$3=$D52,CA$3=$AC52,CA$3=$AE52),"",IF(CA$3=$AD52,$F52&amp;"R",CA51))))</f>
        <v/>
      </c>
      <c r="CB52" s="11" t="str">
        <f aca="false">IF($P52=0,CB51,IF(CB$3=$E52,IF($AA52=1,$F52&amp;$AB52,$G52),IF(OR(CB$3=$D52,CB$3=$AC52,CB$3=$AE52),"",IF(CB$3=$AD52,$F52&amp;"R",CB51))))</f>
        <v/>
      </c>
      <c r="CC52" s="11" t="str">
        <f aca="false">IF($P52=0,CC51,IF(CC$3=$E52,IF($AA52=1,$F52&amp;$AB52,$G52),IF(OR(CC$3=$D52,CC$3=$AC52,CC$3=$AE52),"",IF(CC$3=$AD52,$F52&amp;"R",CC51))))</f>
        <v/>
      </c>
      <c r="CD52" s="11" t="str">
        <f aca="false">IF($P52=0,CD51,IF(CD$3=$E52,IF($AA52=1,$F52&amp;$AB52,$G52),IF(OR(CD$3=$D52,CD$3=$AC52,CD$3=$AE52),"",IF(CD$3=$AD52,$F52&amp;"R",CD51))))</f>
        <v>bP</v>
      </c>
      <c r="CE52" s="11" t="str">
        <f aca="false">IF($P52=0,CE51,IF(CE$3=$E52,IF($AA52=1,$F52&amp;$AB52,$G52),IF(OR(CE$3=$D52,CE$3=$AC52,CE$3=$AE52),"",IF(CE$3=$AD52,$F52&amp;"R",CE51))))</f>
        <v>bP</v>
      </c>
      <c r="CF52" s="11" t="str">
        <f aca="false">IF($P52=0,CF51,IF(CF$3=$E52,IF($AA52=1,$F52&amp;$AB52,$G52),IF(OR(CF$3=$D52,CF$3=$AC52,CF$3=$AE52),"",IF(CF$3=$AD52,$F52&amp;"R",CF51))))</f>
        <v>bP</v>
      </c>
      <c r="CG52" s="11" t="str">
        <f aca="false">IF($P52=0,CG51,IF(CG$3=$E52,IF($AA52=1,$F52&amp;$AB52,$G52),IF(OR(CG$3=$D52,CG$3=$AC52,CG$3=$AE52),"",IF(CG$3=$AD52,$F52&amp;"R",CG51))))</f>
        <v>bP</v>
      </c>
      <c r="CH52" s="11" t="str">
        <f aca="false">IF($P52=0,CH51,IF(CH$3=$E52,IF($AA52=1,$F52&amp;$AB52,$G52),IF(OR(CH$3=$D52,CH$3=$AC52,CH$3=$AE52),"",IF(CH$3=$AD52,$F52&amp;"R",CH51))))</f>
        <v>bP</v>
      </c>
      <c r="CI52" s="11" t="str">
        <f aca="false">IF($P52=0,CI51,IF(CI$3=$E52,IF($AA52=1,$F52&amp;$AB52,$G52),IF(OR(CI$3=$D52,CI$3=$AC52,CI$3=$AE52),"",IF(CI$3=$AD52,$F52&amp;"R",CI51))))</f>
        <v>bP</v>
      </c>
      <c r="CJ52" s="11" t="str">
        <f aca="false">IF($P52=0,CJ51,IF(CJ$3=$E52,IF($AA52=1,$F52&amp;$AB52,$G52),IF(OR(CJ$3=$D52,CJ$3=$AC52,CJ$3=$AE52),"",IF(CJ$3=$AD52,$F52&amp;"R",CJ51))))</f>
        <v>bP</v>
      </c>
      <c r="CK52" s="11" t="str">
        <f aca="false">IF($P52=0,CK51,IF(CK$3=$E52,IF($AA52=1,$F52&amp;$AB52,$G52),IF(OR(CK$3=$D52,CK$3=$AC52,CK$3=$AE52),"",IF(CK$3=$AD52,$F52&amp;"R",CK51))))</f>
        <v>bP</v>
      </c>
      <c r="CL52" s="11" t="str">
        <f aca="false">IF($P52=0,CL51,IF(CL$3=$E52,IF($AA52=1,$F52&amp;$AB52,$G52),IF(OR(CL$3=$D52,CL$3=$AC52,CL$3=$AE52),"",IF(CL$3=$AD52,$F52&amp;"R",CL51))))</f>
        <v>bR</v>
      </c>
      <c r="CM52" s="11" t="str">
        <f aca="false">IF($P52=0,CM51,IF(CM$3=$E52,IF($AA52=1,$F52&amp;$AB52,$G52),IF(OR(CM$3=$D52,CM$3=$AC52,CM$3=$AE52),"",IF(CM$3=$AD52,$F52&amp;"R",CM51))))</f>
        <v>bN</v>
      </c>
      <c r="CN52" s="11" t="str">
        <f aca="false">IF($P52=0,CN51,IF(CN$3=$E52,IF($AA52=1,$F52&amp;$AB52,$G52),IF(OR(CN$3=$D52,CN$3=$AC52,CN$3=$AE52),"",IF(CN$3=$AD52,$F52&amp;"R",CN51))))</f>
        <v>bB</v>
      </c>
      <c r="CO52" s="11" t="str">
        <f aca="false">IF($P52=0,CO51,IF(CO$3=$E52,IF($AA52=1,$F52&amp;$AB52,$G52),IF(OR(CO$3=$D52,CO$3=$AC52,CO$3=$AE52),"",IF(CO$3=$AD52,$F52&amp;"R",CO51))))</f>
        <v>bQ</v>
      </c>
      <c r="CP52" s="11" t="str">
        <f aca="false">IF($P52=0,CP51,IF(CP$3=$E52,IF($AA52=1,$F52&amp;$AB52,$G52),IF(OR(CP$3=$D52,CP$3=$AC52,CP$3=$AE52),"",IF(CP$3=$AD52,$F52&amp;"R",CP51))))</f>
        <v>bK</v>
      </c>
      <c r="CQ52" s="11" t="str">
        <f aca="false">IF($P52=0,CQ51,IF(CQ$3=$E52,IF($AA52=1,$F52&amp;$AB52,$G52),IF(OR(CQ$3=$D52,CQ$3=$AC52,CQ$3=$AE52),"",IF(CQ$3=$AD52,$F52&amp;"R",CQ51))))</f>
        <v>bB</v>
      </c>
      <c r="CR52" s="11" t="str">
        <f aca="false">IF($P52=0,CR51,IF(CR$3=$E52,IF($AA52=1,$F52&amp;$AB52,$G52),IF(OR(CR$3=$D52,CR$3=$AC52,CR$3=$AE52),"",IF(CR$3=$AD52,$F52&amp;"R",CR51))))</f>
        <v>bN</v>
      </c>
      <c r="CS52" s="11" t="str">
        <f aca="false">IF($P52=0,CS51,IF(CS$3=$E52,IF($AA52=1,$F52&amp;$AB52,$G52),IF(OR(CS$3=$D52,CS$3=$AC52,CS$3=$AE52),"",IF(CS$3=$AD52,$F52&amp;"R",CS51))))</f>
        <v>bR</v>
      </c>
      <c r="CT52" s="11"/>
      <c r="CU52" s="11"/>
      <c r="CV52" s="11"/>
    </row>
    <row r="53" customFormat="false" ht="15" hidden="false" customHeight="false" outlineLevel="0" collapsed="false">
      <c r="A53" s="11" t="n">
        <v>48</v>
      </c>
      <c r="B53" s="11" t="str">
        <f aca="false">IF(Chess!$L$57="","",Chess!$L$57&amp;"")</f>
        <v/>
      </c>
      <c r="C53" s="11" t="str">
        <f aca="false">LOWER(SUBSTITUTE(SUBSTITUTE(SUBSTITUTE(SUBSTITUTE(TRIM($B53),"-",""),"=","")," ",""),"x",""))</f>
        <v/>
      </c>
      <c r="D53" s="11" t="n">
        <f aca="false">IF(LEN($C53)&lt;4,0,IFERROR(IF(AND(CODE(MID($C53,1,1))&gt;=97,CODE(MID($C53,1,1))&lt;=104,VALUE(MID($C53,2,1))&gt;=1,VALUE(MID($C53,2,1))&lt;=8),(VALUE(MID($C53,2,1))-1)*8+CODE(MID($C53,1,1))-96,0),0))</f>
        <v>0</v>
      </c>
      <c r="E53" s="11" t="n">
        <f aca="false">IF(LEN($C53)&lt;4,0,IFERROR(IF(AND(CODE(MID($C53,3,1))&gt;=97,CODE(MID($C53,3,1))&lt;=104,VALUE(MID($C53,4,1))&gt;=1,VALUE(MID($C53,4,1))&lt;=8),(VALUE(MID($C53,4,1))-1)*8+CODE(MID($C53,3,1))-96,0),0))</f>
        <v>0</v>
      </c>
      <c r="F53" s="11" t="str">
        <f aca="false">IF(MOD(SUM($P$5:$P52),2)=0,"w","b")</f>
        <v>w</v>
      </c>
      <c r="G53" s="11" t="str">
        <f aca="false">IF($D53=0,"",INDEX($AH52:$CS52,1,$D53)&amp;"")</f>
        <v/>
      </c>
      <c r="H53" s="11" t="str">
        <f aca="false">IF($E53=0,"",INDEX($AH52:$CS52,1,$E53)&amp;"")</f>
        <v/>
      </c>
      <c r="I53" s="11" t="n">
        <f aca="false">IF(OR($D53=0,$E53=0),0,MOD($E53-1,8)-MOD($D53-1,8))</f>
        <v>0</v>
      </c>
      <c r="J53" s="11" t="n">
        <f aca="false">IF(OR($D53=0,$E53=0),0,INT(($E53-1)/8)-INT(($D53-1)/8))</f>
        <v>0</v>
      </c>
      <c r="K53" s="11" t="str">
        <f aca="false">IF($G53="","",RIGHT($G53,1))</f>
        <v/>
      </c>
      <c r="L53" s="11" t="n">
        <f aca="false">IF(OR($D53=0,$E53=0),0,SUMPRODUCT(($AH$3:$CS$3&gt;MIN($D53,$E53))*($AH$3:$CS$3&lt;MAX($D53,$E53))*(MOD($AH$3:$CS$3-MIN($D53,$E53),MAX(1,ABS(SIGN($J53)*8+SIGN($I53))))=0)*($AH52:$CS52&lt;&gt;"")))</f>
        <v>0</v>
      </c>
      <c r="M53" s="11" t="n">
        <f aca="false">IF($K53&lt;&gt;"K",0,IFERROR(--AND($J53=0,ABS($I53)=2,$D53=IF($F53="w",5,61),IF($F53="w",$S52,$V52)=0,IF($I53=2,AND(IF($F53="w",$U52,$X52)=0,INDEX($AH52:$CS52,1,$D53+1)&amp;""="",INDEX($AH52:$CS52,1,$D53+2)&amp;""=""),AND(IF($F53="w",$T52,$W52)=0,INDEX($AH52:$CS52,1,$D53-1)&amp;""="",INDEX($AH52:$CS52,1,$D53-2)&amp;""="",INDEX($AH52:$CS52,1,$D53-3)&amp;""=""))),0))</f>
        <v>0</v>
      </c>
      <c r="N53" s="11" t="n">
        <f aca="false">IF($K53&lt;&gt;"P",0,IFERROR(--OR(AND($I53=0,$J53=IF($F53="w",1,-1),$H53=""),AND($I53=0,$J53=2*IF($F53="w",1,-1),$H53="",INT(($D53-1)/8)=IF($F53="w",1,6),INDEX($AH52:$CS52,1,MAX(1,MIN(64,$D53+8*IF($F53="w",1,-1))))&amp;""=""),AND(ABS($I53)=1,$J53=IF($F53="w",1,-1),$H53&lt;&gt;""),AND(ABS($I53)=1,$J53=IF($F53="w",1,-1),$H53="",$R52&gt;0,$E53=$R52)),0))</f>
        <v>0</v>
      </c>
      <c r="O53" s="11" t="n">
        <f aca="false">IF(OR($D53=0,$E53=0,$G53=""),0,IF($K53="N",--OR(AND(ABS($I53)=1,ABS($J53)=2),AND(ABS($I53)=2,ABS($J53)=1)),IF($K53="B",--AND(ABS($I53)=ABS($J53),$I53&lt;&gt;0,$L53=0),IF($K53="R",--AND(OR($I53=0,$J53=0),OR($I53&lt;&gt;0,$J53&lt;&gt;0),$L53=0),IF($K53="Q",--AND(OR(AND(ABS($I53)=ABS($J53),$I53&lt;&gt;0),AND(OR($I53=0,$J53=0),OR($I53&lt;&gt;0,$J53&lt;&gt;0))),$L53=0),IF($K53="K",--OR(MAX(ABS($I53),ABS($J53))=1,$M53=1),$N53))))))</f>
        <v>0</v>
      </c>
      <c r="P53" s="11" t="n">
        <f aca="false">IF($Q53="OK",1,0)</f>
        <v>0</v>
      </c>
      <c r="Q53" s="11" t="str">
        <f aca="false">IF($B53="","",IF(OR(COUNTIF($AH52:$CS52,"wK")=0,COUNTIF($AH52:$CS52,"bK")=0),"Game is over",IF(OR($D53=0,$E53=0),"Use the format e2e4",IF($G53="","No piece on that square",IF(LEFT($G53,1)&lt;&gt;$F53,"Not your piece ("&amp;IF($F53="w","White","Black")&amp;" to move)",IF($D53=$E53,"Piece must move",IF(AND($H53&lt;&gt;"",LEFT($H53,1)=$F53),"Cannot capture your own piece",IF($O53=0,"Illegal move for that piece (or path blocked)","OK"))))))))</f>
        <v/>
      </c>
      <c r="R53" s="11" t="n">
        <f aca="false">IF($P53=1,IF(AND($K53="P",ABS($J53)=2),($D53+$E53)/2,0),$R52)</f>
        <v>0</v>
      </c>
      <c r="S53" s="12" t="b">
        <f aca="false">--OR($S52=1,AND($P53=1,OR($D53=5,$E53=5)))</f>
        <v>0</v>
      </c>
      <c r="T53" s="12" t="b">
        <f aca="false">--OR($T52=1,AND($P53=1,OR($D53=1,$E53=1)))</f>
        <v>0</v>
      </c>
      <c r="U53" s="12" t="b">
        <f aca="false">--OR($U52=1,AND($P53=1,OR($D53=8,$E53=8)))</f>
        <v>0</v>
      </c>
      <c r="V53" s="12" t="b">
        <f aca="false">--OR($V52=1,AND($P53=1,OR($D53=61,$E53=61)))</f>
        <v>0</v>
      </c>
      <c r="W53" s="12" t="b">
        <f aca="false">--OR($W52=1,AND($P53=1,OR($D53=57,$E53=57)))</f>
        <v>0</v>
      </c>
      <c r="X53" s="12" t="b">
        <f aca="false">--OR($X52=1,AND($P53=1,OR($D53=64,$E53=64)))</f>
        <v>0</v>
      </c>
      <c r="Y53" s="12" t="b">
        <f aca="false">--AND($P53=1,$K53="K",ABS($I53)=2)</f>
        <v>0</v>
      </c>
      <c r="Z53" s="12" t="b">
        <f aca="false">--AND($P53=1,$K53="P",ABS($I53)=1,$H53="")</f>
        <v>0</v>
      </c>
      <c r="AA53" s="12" t="b">
        <f aca="false">--AND($P53=1,$K53="P",INT(($E53-1)/8)=IF($F53="w",7,0))</f>
        <v>0</v>
      </c>
      <c r="AB53" s="11" t="str">
        <f aca="false">IF(LEN($C53)&gt;=5,IF(ISNUMBER(FIND(MID($C53,5,1),"qrbn")),UPPER(MID($C53,5,1)),"Q"),"Q")</f>
        <v>Q</v>
      </c>
      <c r="AC53" s="11" t="n">
        <f aca="false">IF($Y53=1,IF($I53=2,$D53+3,$D53-4),0)</f>
        <v>0</v>
      </c>
      <c r="AD53" s="11" t="n">
        <f aca="false">IF($Y53=1,IF($I53=2,$D53+1,$D53-1),0)</f>
        <v>0</v>
      </c>
      <c r="AE53" s="11" t="n">
        <f aca="false">IF($Z53=1,$E53-8*IF($F53="w",1,-1),0)</f>
        <v>0</v>
      </c>
      <c r="AF53" s="11" t="str">
        <f aca="false">IF($B53="","",IF($P53=1,LOWER(INDEX($CV$2:$CV$13,MATCH($G53,$CU$2:$CU$13,0)))&amp;" "&amp;MID("abcdefgh",MOD($D53-1,8)+1,1)&amp;(INT(($D53-1)/8)+1)&amp;"→"&amp;MID("abcdefgh",MOD($E53-1,8)+1,1)&amp;(INT(($E53-1)/8)+1)&amp;IF(OR($H53&lt;&gt;"",$Z53=1)," ×","")&amp;IF($Y53=1," castles","")&amp;IF($Z53=1," e.p.","")&amp;IF($AA53=1," =" &amp;LOWER(INDEX($CV$2:$CV$13,MATCH($F53&amp;$AB53,$CU$2:$CU$13,0))),""),"X "&amp;$Q53))</f>
        <v/>
      </c>
      <c r="AG53" s="11"/>
      <c r="AH53" s="11" t="str">
        <f aca="false">IF($P53=0,AH52,IF(AH$3=$E53,IF($AA53=1,$F53&amp;$AB53,$G53),IF(OR(AH$3=$D53,AH$3=$AC53,AH$3=$AE53),"",IF(AH$3=$AD53,$F53&amp;"R",AH52))))</f>
        <v>wR</v>
      </c>
      <c r="AI53" s="11" t="str">
        <f aca="false">IF($P53=0,AI52,IF(AI$3=$E53,IF($AA53=1,$F53&amp;$AB53,$G53),IF(OR(AI$3=$D53,AI$3=$AC53,AI$3=$AE53),"",IF(AI$3=$AD53,$F53&amp;"R",AI52))))</f>
        <v>wN</v>
      </c>
      <c r="AJ53" s="11" t="str">
        <f aca="false">IF($P53=0,AJ52,IF(AJ$3=$E53,IF($AA53=1,$F53&amp;$AB53,$G53),IF(OR(AJ$3=$D53,AJ$3=$AC53,AJ$3=$AE53),"",IF(AJ$3=$AD53,$F53&amp;"R",AJ52))))</f>
        <v>wB</v>
      </c>
      <c r="AK53" s="11" t="str">
        <f aca="false">IF($P53=0,AK52,IF(AK$3=$E53,IF($AA53=1,$F53&amp;$AB53,$G53),IF(OR(AK$3=$D53,AK$3=$AC53,AK$3=$AE53),"",IF(AK$3=$AD53,$F53&amp;"R",AK52))))</f>
        <v>wQ</v>
      </c>
      <c r="AL53" s="11" t="str">
        <f aca="false">IF($P53=0,AL52,IF(AL$3=$E53,IF($AA53=1,$F53&amp;$AB53,$G53),IF(OR(AL$3=$D53,AL$3=$AC53,AL$3=$AE53),"",IF(AL$3=$AD53,$F53&amp;"R",AL52))))</f>
        <v>wK</v>
      </c>
      <c r="AM53" s="11" t="str">
        <f aca="false">IF($P53=0,AM52,IF(AM$3=$E53,IF($AA53=1,$F53&amp;$AB53,$G53),IF(OR(AM$3=$D53,AM$3=$AC53,AM$3=$AE53),"",IF(AM$3=$AD53,$F53&amp;"R",AM52))))</f>
        <v>wB</v>
      </c>
      <c r="AN53" s="11" t="str">
        <f aca="false">IF($P53=0,AN52,IF(AN$3=$E53,IF($AA53=1,$F53&amp;$AB53,$G53),IF(OR(AN$3=$D53,AN$3=$AC53,AN$3=$AE53),"",IF(AN$3=$AD53,$F53&amp;"R",AN52))))</f>
        <v>wN</v>
      </c>
      <c r="AO53" s="11" t="str">
        <f aca="false">IF($P53=0,AO52,IF(AO$3=$E53,IF($AA53=1,$F53&amp;$AB53,$G53),IF(OR(AO$3=$D53,AO$3=$AC53,AO$3=$AE53),"",IF(AO$3=$AD53,$F53&amp;"R",AO52))))</f>
        <v>wR</v>
      </c>
      <c r="AP53" s="11" t="str">
        <f aca="false">IF($P53=0,AP52,IF(AP$3=$E53,IF($AA53=1,$F53&amp;$AB53,$G53),IF(OR(AP$3=$D53,AP$3=$AC53,AP$3=$AE53),"",IF(AP$3=$AD53,$F53&amp;"R",AP52))))</f>
        <v>wP</v>
      </c>
      <c r="AQ53" s="11" t="str">
        <f aca="false">IF($P53=0,AQ52,IF(AQ$3=$E53,IF($AA53=1,$F53&amp;$AB53,$G53),IF(OR(AQ$3=$D53,AQ$3=$AC53,AQ$3=$AE53),"",IF(AQ$3=$AD53,$F53&amp;"R",AQ52))))</f>
        <v>wP</v>
      </c>
      <c r="AR53" s="11" t="str">
        <f aca="false">IF($P53=0,AR52,IF(AR$3=$E53,IF($AA53=1,$F53&amp;$AB53,$G53),IF(OR(AR$3=$D53,AR$3=$AC53,AR$3=$AE53),"",IF(AR$3=$AD53,$F53&amp;"R",AR52))))</f>
        <v>wP</v>
      </c>
      <c r="AS53" s="11" t="str">
        <f aca="false">IF($P53=0,AS52,IF(AS$3=$E53,IF($AA53=1,$F53&amp;$AB53,$G53),IF(OR(AS$3=$D53,AS$3=$AC53,AS$3=$AE53),"",IF(AS$3=$AD53,$F53&amp;"R",AS52))))</f>
        <v>wP</v>
      </c>
      <c r="AT53" s="11" t="str">
        <f aca="false">IF($P53=0,AT52,IF(AT$3=$E53,IF($AA53=1,$F53&amp;$AB53,$G53),IF(OR(AT$3=$D53,AT$3=$AC53,AT$3=$AE53),"",IF(AT$3=$AD53,$F53&amp;"R",AT52))))</f>
        <v>wP</v>
      </c>
      <c r="AU53" s="11" t="str">
        <f aca="false">IF($P53=0,AU52,IF(AU$3=$E53,IF($AA53=1,$F53&amp;$AB53,$G53),IF(OR(AU$3=$D53,AU$3=$AC53,AU$3=$AE53),"",IF(AU$3=$AD53,$F53&amp;"R",AU52))))</f>
        <v>wP</v>
      </c>
      <c r="AV53" s="11" t="str">
        <f aca="false">IF($P53=0,AV52,IF(AV$3=$E53,IF($AA53=1,$F53&amp;$AB53,$G53),IF(OR(AV$3=$D53,AV$3=$AC53,AV$3=$AE53),"",IF(AV$3=$AD53,$F53&amp;"R",AV52))))</f>
        <v>wP</v>
      </c>
      <c r="AW53" s="11" t="str">
        <f aca="false">IF($P53=0,AW52,IF(AW$3=$E53,IF($AA53=1,$F53&amp;$AB53,$G53),IF(OR(AW$3=$D53,AW$3=$AC53,AW$3=$AE53),"",IF(AW$3=$AD53,$F53&amp;"R",AW52))))</f>
        <v>wP</v>
      </c>
      <c r="AX53" s="11" t="str">
        <f aca="false">IF($P53=0,AX52,IF(AX$3=$E53,IF($AA53=1,$F53&amp;$AB53,$G53),IF(OR(AX$3=$D53,AX$3=$AC53,AX$3=$AE53),"",IF(AX$3=$AD53,$F53&amp;"R",AX52))))</f>
        <v/>
      </c>
      <c r="AY53" s="11" t="str">
        <f aca="false">IF($P53=0,AY52,IF(AY$3=$E53,IF($AA53=1,$F53&amp;$AB53,$G53),IF(OR(AY$3=$D53,AY$3=$AC53,AY$3=$AE53),"",IF(AY$3=$AD53,$F53&amp;"R",AY52))))</f>
        <v/>
      </c>
      <c r="AZ53" s="11" t="str">
        <f aca="false">IF($P53=0,AZ52,IF(AZ$3=$E53,IF($AA53=1,$F53&amp;$AB53,$G53),IF(OR(AZ$3=$D53,AZ$3=$AC53,AZ$3=$AE53),"",IF(AZ$3=$AD53,$F53&amp;"R",AZ52))))</f>
        <v/>
      </c>
      <c r="BA53" s="11" t="str">
        <f aca="false">IF($P53=0,BA52,IF(BA$3=$E53,IF($AA53=1,$F53&amp;$AB53,$G53),IF(OR(BA$3=$D53,BA$3=$AC53,BA$3=$AE53),"",IF(BA$3=$AD53,$F53&amp;"R",BA52))))</f>
        <v/>
      </c>
      <c r="BB53" s="11" t="str">
        <f aca="false">IF($P53=0,BB52,IF(BB$3=$E53,IF($AA53=1,$F53&amp;$AB53,$G53),IF(OR(BB$3=$D53,BB$3=$AC53,BB$3=$AE53),"",IF(BB$3=$AD53,$F53&amp;"R",BB52))))</f>
        <v/>
      </c>
      <c r="BC53" s="11" t="str">
        <f aca="false">IF($P53=0,BC52,IF(BC$3=$E53,IF($AA53=1,$F53&amp;$AB53,$G53),IF(OR(BC$3=$D53,BC$3=$AC53,BC$3=$AE53),"",IF(BC$3=$AD53,$F53&amp;"R",BC52))))</f>
        <v/>
      </c>
      <c r="BD53" s="11" t="str">
        <f aca="false">IF($P53=0,BD52,IF(BD$3=$E53,IF($AA53=1,$F53&amp;$AB53,$G53),IF(OR(BD$3=$D53,BD$3=$AC53,BD$3=$AE53),"",IF(BD$3=$AD53,$F53&amp;"R",BD52))))</f>
        <v/>
      </c>
      <c r="BE53" s="11" t="str">
        <f aca="false">IF($P53=0,BE52,IF(BE$3=$E53,IF($AA53=1,$F53&amp;$AB53,$G53),IF(OR(BE$3=$D53,BE$3=$AC53,BE$3=$AE53),"",IF(BE$3=$AD53,$F53&amp;"R",BE52))))</f>
        <v/>
      </c>
      <c r="BF53" s="11" t="str">
        <f aca="false">IF($P53=0,BF52,IF(BF$3=$E53,IF($AA53=1,$F53&amp;$AB53,$G53),IF(OR(BF$3=$D53,BF$3=$AC53,BF$3=$AE53),"",IF(BF$3=$AD53,$F53&amp;"R",BF52))))</f>
        <v/>
      </c>
      <c r="BG53" s="11" t="str">
        <f aca="false">IF($P53=0,BG52,IF(BG$3=$E53,IF($AA53=1,$F53&amp;$AB53,$G53),IF(OR(BG$3=$D53,BG$3=$AC53,BG$3=$AE53),"",IF(BG$3=$AD53,$F53&amp;"R",BG52))))</f>
        <v/>
      </c>
      <c r="BH53" s="11" t="str">
        <f aca="false">IF($P53=0,BH52,IF(BH$3=$E53,IF($AA53=1,$F53&amp;$AB53,$G53),IF(OR(BH$3=$D53,BH$3=$AC53,BH$3=$AE53),"",IF(BH$3=$AD53,$F53&amp;"R",BH52))))</f>
        <v/>
      </c>
      <c r="BI53" s="11" t="str">
        <f aca="false">IF($P53=0,BI52,IF(BI$3=$E53,IF($AA53=1,$F53&amp;$AB53,$G53),IF(OR(BI$3=$D53,BI$3=$AC53,BI$3=$AE53),"",IF(BI$3=$AD53,$F53&amp;"R",BI52))))</f>
        <v/>
      </c>
      <c r="BJ53" s="11" t="str">
        <f aca="false">IF($P53=0,BJ52,IF(BJ$3=$E53,IF($AA53=1,$F53&amp;$AB53,$G53),IF(OR(BJ$3=$D53,BJ$3=$AC53,BJ$3=$AE53),"",IF(BJ$3=$AD53,$F53&amp;"R",BJ52))))</f>
        <v/>
      </c>
      <c r="BK53" s="11" t="str">
        <f aca="false">IF($P53=0,BK52,IF(BK$3=$E53,IF($AA53=1,$F53&amp;$AB53,$G53),IF(OR(BK$3=$D53,BK$3=$AC53,BK$3=$AE53),"",IF(BK$3=$AD53,$F53&amp;"R",BK52))))</f>
        <v/>
      </c>
      <c r="BL53" s="11" t="str">
        <f aca="false">IF($P53=0,BL52,IF(BL$3=$E53,IF($AA53=1,$F53&amp;$AB53,$G53),IF(OR(BL$3=$D53,BL$3=$AC53,BL$3=$AE53),"",IF(BL$3=$AD53,$F53&amp;"R",BL52))))</f>
        <v/>
      </c>
      <c r="BM53" s="11" t="str">
        <f aca="false">IF($P53=0,BM52,IF(BM$3=$E53,IF($AA53=1,$F53&amp;$AB53,$G53),IF(OR(BM$3=$D53,BM$3=$AC53,BM$3=$AE53),"",IF(BM$3=$AD53,$F53&amp;"R",BM52))))</f>
        <v/>
      </c>
      <c r="BN53" s="11" t="str">
        <f aca="false">IF($P53=0,BN52,IF(BN$3=$E53,IF($AA53=1,$F53&amp;$AB53,$G53),IF(OR(BN$3=$D53,BN$3=$AC53,BN$3=$AE53),"",IF(BN$3=$AD53,$F53&amp;"R",BN52))))</f>
        <v/>
      </c>
      <c r="BO53" s="11" t="str">
        <f aca="false">IF($P53=0,BO52,IF(BO$3=$E53,IF($AA53=1,$F53&amp;$AB53,$G53),IF(OR(BO$3=$D53,BO$3=$AC53,BO$3=$AE53),"",IF(BO$3=$AD53,$F53&amp;"R",BO52))))</f>
        <v/>
      </c>
      <c r="BP53" s="11" t="str">
        <f aca="false">IF($P53=0,BP52,IF(BP$3=$E53,IF($AA53=1,$F53&amp;$AB53,$G53),IF(OR(BP$3=$D53,BP$3=$AC53,BP$3=$AE53),"",IF(BP$3=$AD53,$F53&amp;"R",BP52))))</f>
        <v/>
      </c>
      <c r="BQ53" s="11" t="str">
        <f aca="false">IF($P53=0,BQ52,IF(BQ$3=$E53,IF($AA53=1,$F53&amp;$AB53,$G53),IF(OR(BQ$3=$D53,BQ$3=$AC53,BQ$3=$AE53),"",IF(BQ$3=$AD53,$F53&amp;"R",BQ52))))</f>
        <v/>
      </c>
      <c r="BR53" s="11" t="str">
        <f aca="false">IF($P53=0,BR52,IF(BR$3=$E53,IF($AA53=1,$F53&amp;$AB53,$G53),IF(OR(BR$3=$D53,BR$3=$AC53,BR$3=$AE53),"",IF(BR$3=$AD53,$F53&amp;"R",BR52))))</f>
        <v/>
      </c>
      <c r="BS53" s="11" t="str">
        <f aca="false">IF($P53=0,BS52,IF(BS$3=$E53,IF($AA53=1,$F53&amp;$AB53,$G53),IF(OR(BS$3=$D53,BS$3=$AC53,BS$3=$AE53),"",IF(BS$3=$AD53,$F53&amp;"R",BS52))))</f>
        <v/>
      </c>
      <c r="BT53" s="11" t="str">
        <f aca="false">IF($P53=0,BT52,IF(BT$3=$E53,IF($AA53=1,$F53&amp;$AB53,$G53),IF(OR(BT$3=$D53,BT$3=$AC53,BT$3=$AE53),"",IF(BT$3=$AD53,$F53&amp;"R",BT52))))</f>
        <v/>
      </c>
      <c r="BU53" s="11" t="str">
        <f aca="false">IF($P53=0,BU52,IF(BU$3=$E53,IF($AA53=1,$F53&amp;$AB53,$G53),IF(OR(BU$3=$D53,BU$3=$AC53,BU$3=$AE53),"",IF(BU$3=$AD53,$F53&amp;"R",BU52))))</f>
        <v/>
      </c>
      <c r="BV53" s="11" t="str">
        <f aca="false">IF($P53=0,BV52,IF(BV$3=$E53,IF($AA53=1,$F53&amp;$AB53,$G53),IF(OR(BV$3=$D53,BV$3=$AC53,BV$3=$AE53),"",IF(BV$3=$AD53,$F53&amp;"R",BV52))))</f>
        <v/>
      </c>
      <c r="BW53" s="11" t="str">
        <f aca="false">IF($P53=0,BW52,IF(BW$3=$E53,IF($AA53=1,$F53&amp;$AB53,$G53),IF(OR(BW$3=$D53,BW$3=$AC53,BW$3=$AE53),"",IF(BW$3=$AD53,$F53&amp;"R",BW52))))</f>
        <v/>
      </c>
      <c r="BX53" s="11" t="str">
        <f aca="false">IF($P53=0,BX52,IF(BX$3=$E53,IF($AA53=1,$F53&amp;$AB53,$G53),IF(OR(BX$3=$D53,BX$3=$AC53,BX$3=$AE53),"",IF(BX$3=$AD53,$F53&amp;"R",BX52))))</f>
        <v/>
      </c>
      <c r="BY53" s="11" t="str">
        <f aca="false">IF($P53=0,BY52,IF(BY$3=$E53,IF($AA53=1,$F53&amp;$AB53,$G53),IF(OR(BY$3=$D53,BY$3=$AC53,BY$3=$AE53),"",IF(BY$3=$AD53,$F53&amp;"R",BY52))))</f>
        <v/>
      </c>
      <c r="BZ53" s="11" t="str">
        <f aca="false">IF($P53=0,BZ52,IF(BZ$3=$E53,IF($AA53=1,$F53&amp;$AB53,$G53),IF(OR(BZ$3=$D53,BZ$3=$AC53,BZ$3=$AE53),"",IF(BZ$3=$AD53,$F53&amp;"R",BZ52))))</f>
        <v/>
      </c>
      <c r="CA53" s="11" t="str">
        <f aca="false">IF($P53=0,CA52,IF(CA$3=$E53,IF($AA53=1,$F53&amp;$AB53,$G53),IF(OR(CA$3=$D53,CA$3=$AC53,CA$3=$AE53),"",IF(CA$3=$AD53,$F53&amp;"R",CA52))))</f>
        <v/>
      </c>
      <c r="CB53" s="11" t="str">
        <f aca="false">IF($P53=0,CB52,IF(CB$3=$E53,IF($AA53=1,$F53&amp;$AB53,$G53),IF(OR(CB$3=$D53,CB$3=$AC53,CB$3=$AE53),"",IF(CB$3=$AD53,$F53&amp;"R",CB52))))</f>
        <v/>
      </c>
      <c r="CC53" s="11" t="str">
        <f aca="false">IF($P53=0,CC52,IF(CC$3=$E53,IF($AA53=1,$F53&amp;$AB53,$G53),IF(OR(CC$3=$D53,CC$3=$AC53,CC$3=$AE53),"",IF(CC$3=$AD53,$F53&amp;"R",CC52))))</f>
        <v/>
      </c>
      <c r="CD53" s="11" t="str">
        <f aca="false">IF($P53=0,CD52,IF(CD$3=$E53,IF($AA53=1,$F53&amp;$AB53,$G53),IF(OR(CD$3=$D53,CD$3=$AC53,CD$3=$AE53),"",IF(CD$3=$AD53,$F53&amp;"R",CD52))))</f>
        <v>bP</v>
      </c>
      <c r="CE53" s="11" t="str">
        <f aca="false">IF($P53=0,CE52,IF(CE$3=$E53,IF($AA53=1,$F53&amp;$AB53,$G53),IF(OR(CE$3=$D53,CE$3=$AC53,CE$3=$AE53),"",IF(CE$3=$AD53,$F53&amp;"R",CE52))))</f>
        <v>bP</v>
      </c>
      <c r="CF53" s="11" t="str">
        <f aca="false">IF($P53=0,CF52,IF(CF$3=$E53,IF($AA53=1,$F53&amp;$AB53,$G53),IF(OR(CF$3=$D53,CF$3=$AC53,CF$3=$AE53),"",IF(CF$3=$AD53,$F53&amp;"R",CF52))))</f>
        <v>bP</v>
      </c>
      <c r="CG53" s="11" t="str">
        <f aca="false">IF($P53=0,CG52,IF(CG$3=$E53,IF($AA53=1,$F53&amp;$AB53,$G53),IF(OR(CG$3=$D53,CG$3=$AC53,CG$3=$AE53),"",IF(CG$3=$AD53,$F53&amp;"R",CG52))))</f>
        <v>bP</v>
      </c>
      <c r="CH53" s="11" t="str">
        <f aca="false">IF($P53=0,CH52,IF(CH$3=$E53,IF($AA53=1,$F53&amp;$AB53,$G53),IF(OR(CH$3=$D53,CH$3=$AC53,CH$3=$AE53),"",IF(CH$3=$AD53,$F53&amp;"R",CH52))))</f>
        <v>bP</v>
      </c>
      <c r="CI53" s="11" t="str">
        <f aca="false">IF($P53=0,CI52,IF(CI$3=$E53,IF($AA53=1,$F53&amp;$AB53,$G53),IF(OR(CI$3=$D53,CI$3=$AC53,CI$3=$AE53),"",IF(CI$3=$AD53,$F53&amp;"R",CI52))))</f>
        <v>bP</v>
      </c>
      <c r="CJ53" s="11" t="str">
        <f aca="false">IF($P53=0,CJ52,IF(CJ$3=$E53,IF($AA53=1,$F53&amp;$AB53,$G53),IF(OR(CJ$3=$D53,CJ$3=$AC53,CJ$3=$AE53),"",IF(CJ$3=$AD53,$F53&amp;"R",CJ52))))</f>
        <v>bP</v>
      </c>
      <c r="CK53" s="11" t="str">
        <f aca="false">IF($P53=0,CK52,IF(CK$3=$E53,IF($AA53=1,$F53&amp;$AB53,$G53),IF(OR(CK$3=$D53,CK$3=$AC53,CK$3=$AE53),"",IF(CK$3=$AD53,$F53&amp;"R",CK52))))</f>
        <v>bP</v>
      </c>
      <c r="CL53" s="11" t="str">
        <f aca="false">IF($P53=0,CL52,IF(CL$3=$E53,IF($AA53=1,$F53&amp;$AB53,$G53),IF(OR(CL$3=$D53,CL$3=$AC53,CL$3=$AE53),"",IF(CL$3=$AD53,$F53&amp;"R",CL52))))</f>
        <v>bR</v>
      </c>
      <c r="CM53" s="11" t="str">
        <f aca="false">IF($P53=0,CM52,IF(CM$3=$E53,IF($AA53=1,$F53&amp;$AB53,$G53),IF(OR(CM$3=$D53,CM$3=$AC53,CM$3=$AE53),"",IF(CM$3=$AD53,$F53&amp;"R",CM52))))</f>
        <v>bN</v>
      </c>
      <c r="CN53" s="11" t="str">
        <f aca="false">IF($P53=0,CN52,IF(CN$3=$E53,IF($AA53=1,$F53&amp;$AB53,$G53),IF(OR(CN$3=$D53,CN$3=$AC53,CN$3=$AE53),"",IF(CN$3=$AD53,$F53&amp;"R",CN52))))</f>
        <v>bB</v>
      </c>
      <c r="CO53" s="11" t="str">
        <f aca="false">IF($P53=0,CO52,IF(CO$3=$E53,IF($AA53=1,$F53&amp;$AB53,$G53),IF(OR(CO$3=$D53,CO$3=$AC53,CO$3=$AE53),"",IF(CO$3=$AD53,$F53&amp;"R",CO52))))</f>
        <v>bQ</v>
      </c>
      <c r="CP53" s="11" t="str">
        <f aca="false">IF($P53=0,CP52,IF(CP$3=$E53,IF($AA53=1,$F53&amp;$AB53,$G53),IF(OR(CP$3=$D53,CP$3=$AC53,CP$3=$AE53),"",IF(CP$3=$AD53,$F53&amp;"R",CP52))))</f>
        <v>bK</v>
      </c>
      <c r="CQ53" s="11" t="str">
        <f aca="false">IF($P53=0,CQ52,IF(CQ$3=$E53,IF($AA53=1,$F53&amp;$AB53,$G53),IF(OR(CQ$3=$D53,CQ$3=$AC53,CQ$3=$AE53),"",IF(CQ$3=$AD53,$F53&amp;"R",CQ52))))</f>
        <v>bB</v>
      </c>
      <c r="CR53" s="11" t="str">
        <f aca="false">IF($P53=0,CR52,IF(CR$3=$E53,IF($AA53=1,$F53&amp;$AB53,$G53),IF(OR(CR$3=$D53,CR$3=$AC53,CR$3=$AE53),"",IF(CR$3=$AD53,$F53&amp;"R",CR52))))</f>
        <v>bN</v>
      </c>
      <c r="CS53" s="11" t="str">
        <f aca="false">IF($P53=0,CS52,IF(CS$3=$E53,IF($AA53=1,$F53&amp;$AB53,$G53),IF(OR(CS$3=$D53,CS$3=$AC53,CS$3=$AE53),"",IF(CS$3=$AD53,$F53&amp;"R",CS52))))</f>
        <v>bR</v>
      </c>
      <c r="CT53" s="11"/>
      <c r="CU53" s="11"/>
      <c r="CV53" s="11"/>
    </row>
    <row r="54" customFormat="false" ht="15" hidden="false" customHeight="false" outlineLevel="0" collapsed="false">
      <c r="A54" s="11" t="n">
        <v>49</v>
      </c>
      <c r="B54" s="11" t="str">
        <f aca="false">IF(Chess!$L$58="","",Chess!$L$58&amp;"")</f>
        <v/>
      </c>
      <c r="C54" s="11" t="str">
        <f aca="false">LOWER(SUBSTITUTE(SUBSTITUTE(SUBSTITUTE(SUBSTITUTE(TRIM($B54),"-",""),"=","")," ",""),"x",""))</f>
        <v/>
      </c>
      <c r="D54" s="11" t="n">
        <f aca="false">IF(LEN($C54)&lt;4,0,IFERROR(IF(AND(CODE(MID($C54,1,1))&gt;=97,CODE(MID($C54,1,1))&lt;=104,VALUE(MID($C54,2,1))&gt;=1,VALUE(MID($C54,2,1))&lt;=8),(VALUE(MID($C54,2,1))-1)*8+CODE(MID($C54,1,1))-96,0),0))</f>
        <v>0</v>
      </c>
      <c r="E54" s="11" t="n">
        <f aca="false">IF(LEN($C54)&lt;4,0,IFERROR(IF(AND(CODE(MID($C54,3,1))&gt;=97,CODE(MID($C54,3,1))&lt;=104,VALUE(MID($C54,4,1))&gt;=1,VALUE(MID($C54,4,1))&lt;=8),(VALUE(MID($C54,4,1))-1)*8+CODE(MID($C54,3,1))-96,0),0))</f>
        <v>0</v>
      </c>
      <c r="F54" s="11" t="str">
        <f aca="false">IF(MOD(SUM($P$5:$P53),2)=0,"w","b")</f>
        <v>w</v>
      </c>
      <c r="G54" s="11" t="str">
        <f aca="false">IF($D54=0,"",INDEX($AH53:$CS53,1,$D54)&amp;"")</f>
        <v/>
      </c>
      <c r="H54" s="11" t="str">
        <f aca="false">IF($E54=0,"",INDEX($AH53:$CS53,1,$E54)&amp;"")</f>
        <v/>
      </c>
      <c r="I54" s="11" t="n">
        <f aca="false">IF(OR($D54=0,$E54=0),0,MOD($E54-1,8)-MOD($D54-1,8))</f>
        <v>0</v>
      </c>
      <c r="J54" s="11" t="n">
        <f aca="false">IF(OR($D54=0,$E54=0),0,INT(($E54-1)/8)-INT(($D54-1)/8))</f>
        <v>0</v>
      </c>
      <c r="K54" s="11" t="str">
        <f aca="false">IF($G54="","",RIGHT($G54,1))</f>
        <v/>
      </c>
      <c r="L54" s="11" t="n">
        <f aca="false">IF(OR($D54=0,$E54=0),0,SUMPRODUCT(($AH$3:$CS$3&gt;MIN($D54,$E54))*($AH$3:$CS$3&lt;MAX($D54,$E54))*(MOD($AH$3:$CS$3-MIN($D54,$E54),MAX(1,ABS(SIGN($J54)*8+SIGN($I54))))=0)*($AH53:$CS53&lt;&gt;"")))</f>
        <v>0</v>
      </c>
      <c r="M54" s="11" t="n">
        <f aca="false">IF($K54&lt;&gt;"K",0,IFERROR(--AND($J54=0,ABS($I54)=2,$D54=IF($F54="w",5,61),IF($F54="w",$S53,$V53)=0,IF($I54=2,AND(IF($F54="w",$U53,$X53)=0,INDEX($AH53:$CS53,1,$D54+1)&amp;""="",INDEX($AH53:$CS53,1,$D54+2)&amp;""=""),AND(IF($F54="w",$T53,$W53)=0,INDEX($AH53:$CS53,1,$D54-1)&amp;""="",INDEX($AH53:$CS53,1,$D54-2)&amp;""="",INDEX($AH53:$CS53,1,$D54-3)&amp;""=""))),0))</f>
        <v>0</v>
      </c>
      <c r="N54" s="11" t="n">
        <f aca="false">IF($K54&lt;&gt;"P",0,IFERROR(--OR(AND($I54=0,$J54=IF($F54="w",1,-1),$H54=""),AND($I54=0,$J54=2*IF($F54="w",1,-1),$H54="",INT(($D54-1)/8)=IF($F54="w",1,6),INDEX($AH53:$CS53,1,MAX(1,MIN(64,$D54+8*IF($F54="w",1,-1))))&amp;""=""),AND(ABS($I54)=1,$J54=IF($F54="w",1,-1),$H54&lt;&gt;""),AND(ABS($I54)=1,$J54=IF($F54="w",1,-1),$H54="",$R53&gt;0,$E54=$R53)),0))</f>
        <v>0</v>
      </c>
      <c r="O54" s="11" t="n">
        <f aca="false">IF(OR($D54=0,$E54=0,$G54=""),0,IF($K54="N",--OR(AND(ABS($I54)=1,ABS($J54)=2),AND(ABS($I54)=2,ABS($J54)=1)),IF($K54="B",--AND(ABS($I54)=ABS($J54),$I54&lt;&gt;0,$L54=0),IF($K54="R",--AND(OR($I54=0,$J54=0),OR($I54&lt;&gt;0,$J54&lt;&gt;0),$L54=0),IF($K54="Q",--AND(OR(AND(ABS($I54)=ABS($J54),$I54&lt;&gt;0),AND(OR($I54=0,$J54=0),OR($I54&lt;&gt;0,$J54&lt;&gt;0))),$L54=0),IF($K54="K",--OR(MAX(ABS($I54),ABS($J54))=1,$M54=1),$N54))))))</f>
        <v>0</v>
      </c>
      <c r="P54" s="11" t="n">
        <f aca="false">IF($Q54="OK",1,0)</f>
        <v>0</v>
      </c>
      <c r="Q54" s="11" t="str">
        <f aca="false">IF($B54="","",IF(OR(COUNTIF($AH53:$CS53,"wK")=0,COUNTIF($AH53:$CS53,"bK")=0),"Game is over",IF(OR($D54=0,$E54=0),"Use the format e2e4",IF($G54="","No piece on that square",IF(LEFT($G54,1)&lt;&gt;$F54,"Not your piece ("&amp;IF($F54="w","White","Black")&amp;" to move)",IF($D54=$E54,"Piece must move",IF(AND($H54&lt;&gt;"",LEFT($H54,1)=$F54),"Cannot capture your own piece",IF($O54=0,"Illegal move for that piece (or path blocked)","OK"))))))))</f>
        <v/>
      </c>
      <c r="R54" s="11" t="n">
        <f aca="false">IF($P54=1,IF(AND($K54="P",ABS($J54)=2),($D54+$E54)/2,0),$R53)</f>
        <v>0</v>
      </c>
      <c r="S54" s="12" t="b">
        <f aca="false">--OR($S53=1,AND($P54=1,OR($D54=5,$E54=5)))</f>
        <v>0</v>
      </c>
      <c r="T54" s="12" t="b">
        <f aca="false">--OR($T53=1,AND($P54=1,OR($D54=1,$E54=1)))</f>
        <v>0</v>
      </c>
      <c r="U54" s="12" t="b">
        <f aca="false">--OR($U53=1,AND($P54=1,OR($D54=8,$E54=8)))</f>
        <v>0</v>
      </c>
      <c r="V54" s="12" t="b">
        <f aca="false">--OR($V53=1,AND($P54=1,OR($D54=61,$E54=61)))</f>
        <v>0</v>
      </c>
      <c r="W54" s="12" t="b">
        <f aca="false">--OR($W53=1,AND($P54=1,OR($D54=57,$E54=57)))</f>
        <v>0</v>
      </c>
      <c r="X54" s="12" t="b">
        <f aca="false">--OR($X53=1,AND($P54=1,OR($D54=64,$E54=64)))</f>
        <v>0</v>
      </c>
      <c r="Y54" s="12" t="b">
        <f aca="false">--AND($P54=1,$K54="K",ABS($I54)=2)</f>
        <v>0</v>
      </c>
      <c r="Z54" s="12" t="b">
        <f aca="false">--AND($P54=1,$K54="P",ABS($I54)=1,$H54="")</f>
        <v>0</v>
      </c>
      <c r="AA54" s="12" t="b">
        <f aca="false">--AND($P54=1,$K54="P",INT(($E54-1)/8)=IF($F54="w",7,0))</f>
        <v>0</v>
      </c>
      <c r="AB54" s="11" t="str">
        <f aca="false">IF(LEN($C54)&gt;=5,IF(ISNUMBER(FIND(MID($C54,5,1),"qrbn")),UPPER(MID($C54,5,1)),"Q"),"Q")</f>
        <v>Q</v>
      </c>
      <c r="AC54" s="11" t="n">
        <f aca="false">IF($Y54=1,IF($I54=2,$D54+3,$D54-4),0)</f>
        <v>0</v>
      </c>
      <c r="AD54" s="11" t="n">
        <f aca="false">IF($Y54=1,IF($I54=2,$D54+1,$D54-1),0)</f>
        <v>0</v>
      </c>
      <c r="AE54" s="11" t="n">
        <f aca="false">IF($Z54=1,$E54-8*IF($F54="w",1,-1),0)</f>
        <v>0</v>
      </c>
      <c r="AF54" s="11" t="str">
        <f aca="false">IF($B54="","",IF($P54=1,LOWER(INDEX($CV$2:$CV$13,MATCH($G54,$CU$2:$CU$13,0)))&amp;" "&amp;MID("abcdefgh",MOD($D54-1,8)+1,1)&amp;(INT(($D54-1)/8)+1)&amp;"→"&amp;MID("abcdefgh",MOD($E54-1,8)+1,1)&amp;(INT(($E54-1)/8)+1)&amp;IF(OR($H54&lt;&gt;"",$Z54=1)," ×","")&amp;IF($Y54=1," castles","")&amp;IF($Z54=1," e.p.","")&amp;IF($AA54=1," =" &amp;LOWER(INDEX($CV$2:$CV$13,MATCH($F54&amp;$AB54,$CU$2:$CU$13,0))),""),"X "&amp;$Q54))</f>
        <v/>
      </c>
      <c r="AG54" s="11"/>
      <c r="AH54" s="11" t="str">
        <f aca="false">IF($P54=0,AH53,IF(AH$3=$E54,IF($AA54=1,$F54&amp;$AB54,$G54),IF(OR(AH$3=$D54,AH$3=$AC54,AH$3=$AE54),"",IF(AH$3=$AD54,$F54&amp;"R",AH53))))</f>
        <v>wR</v>
      </c>
      <c r="AI54" s="11" t="str">
        <f aca="false">IF($P54=0,AI53,IF(AI$3=$E54,IF($AA54=1,$F54&amp;$AB54,$G54),IF(OR(AI$3=$D54,AI$3=$AC54,AI$3=$AE54),"",IF(AI$3=$AD54,$F54&amp;"R",AI53))))</f>
        <v>wN</v>
      </c>
      <c r="AJ54" s="11" t="str">
        <f aca="false">IF($P54=0,AJ53,IF(AJ$3=$E54,IF($AA54=1,$F54&amp;$AB54,$G54),IF(OR(AJ$3=$D54,AJ$3=$AC54,AJ$3=$AE54),"",IF(AJ$3=$AD54,$F54&amp;"R",AJ53))))</f>
        <v>wB</v>
      </c>
      <c r="AK54" s="11" t="str">
        <f aca="false">IF($P54=0,AK53,IF(AK$3=$E54,IF($AA54=1,$F54&amp;$AB54,$G54),IF(OR(AK$3=$D54,AK$3=$AC54,AK$3=$AE54),"",IF(AK$3=$AD54,$F54&amp;"R",AK53))))</f>
        <v>wQ</v>
      </c>
      <c r="AL54" s="11" t="str">
        <f aca="false">IF($P54=0,AL53,IF(AL$3=$E54,IF($AA54=1,$F54&amp;$AB54,$G54),IF(OR(AL$3=$D54,AL$3=$AC54,AL$3=$AE54),"",IF(AL$3=$AD54,$F54&amp;"R",AL53))))</f>
        <v>wK</v>
      </c>
      <c r="AM54" s="11" t="str">
        <f aca="false">IF($P54=0,AM53,IF(AM$3=$E54,IF($AA54=1,$F54&amp;$AB54,$G54),IF(OR(AM$3=$D54,AM$3=$AC54,AM$3=$AE54),"",IF(AM$3=$AD54,$F54&amp;"R",AM53))))</f>
        <v>wB</v>
      </c>
      <c r="AN54" s="11" t="str">
        <f aca="false">IF($P54=0,AN53,IF(AN$3=$E54,IF($AA54=1,$F54&amp;$AB54,$G54),IF(OR(AN$3=$D54,AN$3=$AC54,AN$3=$AE54),"",IF(AN$3=$AD54,$F54&amp;"R",AN53))))</f>
        <v>wN</v>
      </c>
      <c r="AO54" s="11" t="str">
        <f aca="false">IF($P54=0,AO53,IF(AO$3=$E54,IF($AA54=1,$F54&amp;$AB54,$G54),IF(OR(AO$3=$D54,AO$3=$AC54,AO$3=$AE54),"",IF(AO$3=$AD54,$F54&amp;"R",AO53))))</f>
        <v>wR</v>
      </c>
      <c r="AP54" s="11" t="str">
        <f aca="false">IF($P54=0,AP53,IF(AP$3=$E54,IF($AA54=1,$F54&amp;$AB54,$G54),IF(OR(AP$3=$D54,AP$3=$AC54,AP$3=$AE54),"",IF(AP$3=$AD54,$F54&amp;"R",AP53))))</f>
        <v>wP</v>
      </c>
      <c r="AQ54" s="11" t="str">
        <f aca="false">IF($P54=0,AQ53,IF(AQ$3=$E54,IF($AA54=1,$F54&amp;$AB54,$G54),IF(OR(AQ$3=$D54,AQ$3=$AC54,AQ$3=$AE54),"",IF(AQ$3=$AD54,$F54&amp;"R",AQ53))))</f>
        <v>wP</v>
      </c>
      <c r="AR54" s="11" t="str">
        <f aca="false">IF($P54=0,AR53,IF(AR$3=$E54,IF($AA54=1,$F54&amp;$AB54,$G54),IF(OR(AR$3=$D54,AR$3=$AC54,AR$3=$AE54),"",IF(AR$3=$AD54,$F54&amp;"R",AR53))))</f>
        <v>wP</v>
      </c>
      <c r="AS54" s="11" t="str">
        <f aca="false">IF($P54=0,AS53,IF(AS$3=$E54,IF($AA54=1,$F54&amp;$AB54,$G54),IF(OR(AS$3=$D54,AS$3=$AC54,AS$3=$AE54),"",IF(AS$3=$AD54,$F54&amp;"R",AS53))))</f>
        <v>wP</v>
      </c>
      <c r="AT54" s="11" t="str">
        <f aca="false">IF($P54=0,AT53,IF(AT$3=$E54,IF($AA54=1,$F54&amp;$AB54,$G54),IF(OR(AT$3=$D54,AT$3=$AC54,AT$3=$AE54),"",IF(AT$3=$AD54,$F54&amp;"R",AT53))))</f>
        <v>wP</v>
      </c>
      <c r="AU54" s="11" t="str">
        <f aca="false">IF($P54=0,AU53,IF(AU$3=$E54,IF($AA54=1,$F54&amp;$AB54,$G54),IF(OR(AU$3=$D54,AU$3=$AC54,AU$3=$AE54),"",IF(AU$3=$AD54,$F54&amp;"R",AU53))))</f>
        <v>wP</v>
      </c>
      <c r="AV54" s="11" t="str">
        <f aca="false">IF($P54=0,AV53,IF(AV$3=$E54,IF($AA54=1,$F54&amp;$AB54,$G54),IF(OR(AV$3=$D54,AV$3=$AC54,AV$3=$AE54),"",IF(AV$3=$AD54,$F54&amp;"R",AV53))))</f>
        <v>wP</v>
      </c>
      <c r="AW54" s="11" t="str">
        <f aca="false">IF($P54=0,AW53,IF(AW$3=$E54,IF($AA54=1,$F54&amp;$AB54,$G54),IF(OR(AW$3=$D54,AW$3=$AC54,AW$3=$AE54),"",IF(AW$3=$AD54,$F54&amp;"R",AW53))))</f>
        <v>wP</v>
      </c>
      <c r="AX54" s="11" t="str">
        <f aca="false">IF($P54=0,AX53,IF(AX$3=$E54,IF($AA54=1,$F54&amp;$AB54,$G54),IF(OR(AX$3=$D54,AX$3=$AC54,AX$3=$AE54),"",IF(AX$3=$AD54,$F54&amp;"R",AX53))))</f>
        <v/>
      </c>
      <c r="AY54" s="11" t="str">
        <f aca="false">IF($P54=0,AY53,IF(AY$3=$E54,IF($AA54=1,$F54&amp;$AB54,$G54),IF(OR(AY$3=$D54,AY$3=$AC54,AY$3=$AE54),"",IF(AY$3=$AD54,$F54&amp;"R",AY53))))</f>
        <v/>
      </c>
      <c r="AZ54" s="11" t="str">
        <f aca="false">IF($P54=0,AZ53,IF(AZ$3=$E54,IF($AA54=1,$F54&amp;$AB54,$G54),IF(OR(AZ$3=$D54,AZ$3=$AC54,AZ$3=$AE54),"",IF(AZ$3=$AD54,$F54&amp;"R",AZ53))))</f>
        <v/>
      </c>
      <c r="BA54" s="11" t="str">
        <f aca="false">IF($P54=0,BA53,IF(BA$3=$E54,IF($AA54=1,$F54&amp;$AB54,$G54),IF(OR(BA$3=$D54,BA$3=$AC54,BA$3=$AE54),"",IF(BA$3=$AD54,$F54&amp;"R",BA53))))</f>
        <v/>
      </c>
      <c r="BB54" s="11" t="str">
        <f aca="false">IF($P54=0,BB53,IF(BB$3=$E54,IF($AA54=1,$F54&amp;$AB54,$G54),IF(OR(BB$3=$D54,BB$3=$AC54,BB$3=$AE54),"",IF(BB$3=$AD54,$F54&amp;"R",BB53))))</f>
        <v/>
      </c>
      <c r="BC54" s="11" t="str">
        <f aca="false">IF($P54=0,BC53,IF(BC$3=$E54,IF($AA54=1,$F54&amp;$AB54,$G54),IF(OR(BC$3=$D54,BC$3=$AC54,BC$3=$AE54),"",IF(BC$3=$AD54,$F54&amp;"R",BC53))))</f>
        <v/>
      </c>
      <c r="BD54" s="11" t="str">
        <f aca="false">IF($P54=0,BD53,IF(BD$3=$E54,IF($AA54=1,$F54&amp;$AB54,$G54),IF(OR(BD$3=$D54,BD$3=$AC54,BD$3=$AE54),"",IF(BD$3=$AD54,$F54&amp;"R",BD53))))</f>
        <v/>
      </c>
      <c r="BE54" s="11" t="str">
        <f aca="false">IF($P54=0,BE53,IF(BE$3=$E54,IF($AA54=1,$F54&amp;$AB54,$G54),IF(OR(BE$3=$D54,BE$3=$AC54,BE$3=$AE54),"",IF(BE$3=$AD54,$F54&amp;"R",BE53))))</f>
        <v/>
      </c>
      <c r="BF54" s="11" t="str">
        <f aca="false">IF($P54=0,BF53,IF(BF$3=$E54,IF($AA54=1,$F54&amp;$AB54,$G54),IF(OR(BF$3=$D54,BF$3=$AC54,BF$3=$AE54),"",IF(BF$3=$AD54,$F54&amp;"R",BF53))))</f>
        <v/>
      </c>
      <c r="BG54" s="11" t="str">
        <f aca="false">IF($P54=0,BG53,IF(BG$3=$E54,IF($AA54=1,$F54&amp;$AB54,$G54),IF(OR(BG$3=$D54,BG$3=$AC54,BG$3=$AE54),"",IF(BG$3=$AD54,$F54&amp;"R",BG53))))</f>
        <v/>
      </c>
      <c r="BH54" s="11" t="str">
        <f aca="false">IF($P54=0,BH53,IF(BH$3=$E54,IF($AA54=1,$F54&amp;$AB54,$G54),IF(OR(BH$3=$D54,BH$3=$AC54,BH$3=$AE54),"",IF(BH$3=$AD54,$F54&amp;"R",BH53))))</f>
        <v/>
      </c>
      <c r="BI54" s="11" t="str">
        <f aca="false">IF($P54=0,BI53,IF(BI$3=$E54,IF($AA54=1,$F54&amp;$AB54,$G54),IF(OR(BI$3=$D54,BI$3=$AC54,BI$3=$AE54),"",IF(BI$3=$AD54,$F54&amp;"R",BI53))))</f>
        <v/>
      </c>
      <c r="BJ54" s="11" t="str">
        <f aca="false">IF($P54=0,BJ53,IF(BJ$3=$E54,IF($AA54=1,$F54&amp;$AB54,$G54),IF(OR(BJ$3=$D54,BJ$3=$AC54,BJ$3=$AE54),"",IF(BJ$3=$AD54,$F54&amp;"R",BJ53))))</f>
        <v/>
      </c>
      <c r="BK54" s="11" t="str">
        <f aca="false">IF($P54=0,BK53,IF(BK$3=$E54,IF($AA54=1,$F54&amp;$AB54,$G54),IF(OR(BK$3=$D54,BK$3=$AC54,BK$3=$AE54),"",IF(BK$3=$AD54,$F54&amp;"R",BK53))))</f>
        <v/>
      </c>
      <c r="BL54" s="11" t="str">
        <f aca="false">IF($P54=0,BL53,IF(BL$3=$E54,IF($AA54=1,$F54&amp;$AB54,$G54),IF(OR(BL$3=$D54,BL$3=$AC54,BL$3=$AE54),"",IF(BL$3=$AD54,$F54&amp;"R",BL53))))</f>
        <v/>
      </c>
      <c r="BM54" s="11" t="str">
        <f aca="false">IF($P54=0,BM53,IF(BM$3=$E54,IF($AA54=1,$F54&amp;$AB54,$G54),IF(OR(BM$3=$D54,BM$3=$AC54,BM$3=$AE54),"",IF(BM$3=$AD54,$F54&amp;"R",BM53))))</f>
        <v/>
      </c>
      <c r="BN54" s="11" t="str">
        <f aca="false">IF($P54=0,BN53,IF(BN$3=$E54,IF($AA54=1,$F54&amp;$AB54,$G54),IF(OR(BN$3=$D54,BN$3=$AC54,BN$3=$AE54),"",IF(BN$3=$AD54,$F54&amp;"R",BN53))))</f>
        <v/>
      </c>
      <c r="BO54" s="11" t="str">
        <f aca="false">IF($P54=0,BO53,IF(BO$3=$E54,IF($AA54=1,$F54&amp;$AB54,$G54),IF(OR(BO$3=$D54,BO$3=$AC54,BO$3=$AE54),"",IF(BO$3=$AD54,$F54&amp;"R",BO53))))</f>
        <v/>
      </c>
      <c r="BP54" s="11" t="str">
        <f aca="false">IF($P54=0,BP53,IF(BP$3=$E54,IF($AA54=1,$F54&amp;$AB54,$G54),IF(OR(BP$3=$D54,BP$3=$AC54,BP$3=$AE54),"",IF(BP$3=$AD54,$F54&amp;"R",BP53))))</f>
        <v/>
      </c>
      <c r="BQ54" s="11" t="str">
        <f aca="false">IF($P54=0,BQ53,IF(BQ$3=$E54,IF($AA54=1,$F54&amp;$AB54,$G54),IF(OR(BQ$3=$D54,BQ$3=$AC54,BQ$3=$AE54),"",IF(BQ$3=$AD54,$F54&amp;"R",BQ53))))</f>
        <v/>
      </c>
      <c r="BR54" s="11" t="str">
        <f aca="false">IF($P54=0,BR53,IF(BR$3=$E54,IF($AA54=1,$F54&amp;$AB54,$G54),IF(OR(BR$3=$D54,BR$3=$AC54,BR$3=$AE54),"",IF(BR$3=$AD54,$F54&amp;"R",BR53))))</f>
        <v/>
      </c>
      <c r="BS54" s="11" t="str">
        <f aca="false">IF($P54=0,BS53,IF(BS$3=$E54,IF($AA54=1,$F54&amp;$AB54,$G54),IF(OR(BS$3=$D54,BS$3=$AC54,BS$3=$AE54),"",IF(BS$3=$AD54,$F54&amp;"R",BS53))))</f>
        <v/>
      </c>
      <c r="BT54" s="11" t="str">
        <f aca="false">IF($P54=0,BT53,IF(BT$3=$E54,IF($AA54=1,$F54&amp;$AB54,$G54),IF(OR(BT$3=$D54,BT$3=$AC54,BT$3=$AE54),"",IF(BT$3=$AD54,$F54&amp;"R",BT53))))</f>
        <v/>
      </c>
      <c r="BU54" s="11" t="str">
        <f aca="false">IF($P54=0,BU53,IF(BU$3=$E54,IF($AA54=1,$F54&amp;$AB54,$G54),IF(OR(BU$3=$D54,BU$3=$AC54,BU$3=$AE54),"",IF(BU$3=$AD54,$F54&amp;"R",BU53))))</f>
        <v/>
      </c>
      <c r="BV54" s="11" t="str">
        <f aca="false">IF($P54=0,BV53,IF(BV$3=$E54,IF($AA54=1,$F54&amp;$AB54,$G54),IF(OR(BV$3=$D54,BV$3=$AC54,BV$3=$AE54),"",IF(BV$3=$AD54,$F54&amp;"R",BV53))))</f>
        <v/>
      </c>
      <c r="BW54" s="11" t="str">
        <f aca="false">IF($P54=0,BW53,IF(BW$3=$E54,IF($AA54=1,$F54&amp;$AB54,$G54),IF(OR(BW$3=$D54,BW$3=$AC54,BW$3=$AE54),"",IF(BW$3=$AD54,$F54&amp;"R",BW53))))</f>
        <v/>
      </c>
      <c r="BX54" s="11" t="str">
        <f aca="false">IF($P54=0,BX53,IF(BX$3=$E54,IF($AA54=1,$F54&amp;$AB54,$G54),IF(OR(BX$3=$D54,BX$3=$AC54,BX$3=$AE54),"",IF(BX$3=$AD54,$F54&amp;"R",BX53))))</f>
        <v/>
      </c>
      <c r="BY54" s="11" t="str">
        <f aca="false">IF($P54=0,BY53,IF(BY$3=$E54,IF($AA54=1,$F54&amp;$AB54,$G54),IF(OR(BY$3=$D54,BY$3=$AC54,BY$3=$AE54),"",IF(BY$3=$AD54,$F54&amp;"R",BY53))))</f>
        <v/>
      </c>
      <c r="BZ54" s="11" t="str">
        <f aca="false">IF($P54=0,BZ53,IF(BZ$3=$E54,IF($AA54=1,$F54&amp;$AB54,$G54),IF(OR(BZ$3=$D54,BZ$3=$AC54,BZ$3=$AE54),"",IF(BZ$3=$AD54,$F54&amp;"R",BZ53))))</f>
        <v/>
      </c>
      <c r="CA54" s="11" t="str">
        <f aca="false">IF($P54=0,CA53,IF(CA$3=$E54,IF($AA54=1,$F54&amp;$AB54,$G54),IF(OR(CA$3=$D54,CA$3=$AC54,CA$3=$AE54),"",IF(CA$3=$AD54,$F54&amp;"R",CA53))))</f>
        <v/>
      </c>
      <c r="CB54" s="11" t="str">
        <f aca="false">IF($P54=0,CB53,IF(CB$3=$E54,IF($AA54=1,$F54&amp;$AB54,$G54),IF(OR(CB$3=$D54,CB$3=$AC54,CB$3=$AE54),"",IF(CB$3=$AD54,$F54&amp;"R",CB53))))</f>
        <v/>
      </c>
      <c r="CC54" s="11" t="str">
        <f aca="false">IF($P54=0,CC53,IF(CC$3=$E54,IF($AA54=1,$F54&amp;$AB54,$G54),IF(OR(CC$3=$D54,CC$3=$AC54,CC$3=$AE54),"",IF(CC$3=$AD54,$F54&amp;"R",CC53))))</f>
        <v/>
      </c>
      <c r="CD54" s="11" t="str">
        <f aca="false">IF($P54=0,CD53,IF(CD$3=$E54,IF($AA54=1,$F54&amp;$AB54,$G54),IF(OR(CD$3=$D54,CD$3=$AC54,CD$3=$AE54),"",IF(CD$3=$AD54,$F54&amp;"R",CD53))))</f>
        <v>bP</v>
      </c>
      <c r="CE54" s="11" t="str">
        <f aca="false">IF($P54=0,CE53,IF(CE$3=$E54,IF($AA54=1,$F54&amp;$AB54,$G54),IF(OR(CE$3=$D54,CE$3=$AC54,CE$3=$AE54),"",IF(CE$3=$AD54,$F54&amp;"R",CE53))))</f>
        <v>bP</v>
      </c>
      <c r="CF54" s="11" t="str">
        <f aca="false">IF($P54=0,CF53,IF(CF$3=$E54,IF($AA54=1,$F54&amp;$AB54,$G54),IF(OR(CF$3=$D54,CF$3=$AC54,CF$3=$AE54),"",IF(CF$3=$AD54,$F54&amp;"R",CF53))))</f>
        <v>bP</v>
      </c>
      <c r="CG54" s="11" t="str">
        <f aca="false">IF($P54=0,CG53,IF(CG$3=$E54,IF($AA54=1,$F54&amp;$AB54,$G54),IF(OR(CG$3=$D54,CG$3=$AC54,CG$3=$AE54),"",IF(CG$3=$AD54,$F54&amp;"R",CG53))))</f>
        <v>bP</v>
      </c>
      <c r="CH54" s="11" t="str">
        <f aca="false">IF($P54=0,CH53,IF(CH$3=$E54,IF($AA54=1,$F54&amp;$AB54,$G54),IF(OR(CH$3=$D54,CH$3=$AC54,CH$3=$AE54),"",IF(CH$3=$AD54,$F54&amp;"R",CH53))))</f>
        <v>bP</v>
      </c>
      <c r="CI54" s="11" t="str">
        <f aca="false">IF($P54=0,CI53,IF(CI$3=$E54,IF($AA54=1,$F54&amp;$AB54,$G54),IF(OR(CI$3=$D54,CI$3=$AC54,CI$3=$AE54),"",IF(CI$3=$AD54,$F54&amp;"R",CI53))))</f>
        <v>bP</v>
      </c>
      <c r="CJ54" s="11" t="str">
        <f aca="false">IF($P54=0,CJ53,IF(CJ$3=$E54,IF($AA54=1,$F54&amp;$AB54,$G54),IF(OR(CJ$3=$D54,CJ$3=$AC54,CJ$3=$AE54),"",IF(CJ$3=$AD54,$F54&amp;"R",CJ53))))</f>
        <v>bP</v>
      </c>
      <c r="CK54" s="11" t="str">
        <f aca="false">IF($P54=0,CK53,IF(CK$3=$E54,IF($AA54=1,$F54&amp;$AB54,$G54),IF(OR(CK$3=$D54,CK$3=$AC54,CK$3=$AE54),"",IF(CK$3=$AD54,$F54&amp;"R",CK53))))</f>
        <v>bP</v>
      </c>
      <c r="CL54" s="11" t="str">
        <f aca="false">IF($P54=0,CL53,IF(CL$3=$E54,IF($AA54=1,$F54&amp;$AB54,$G54),IF(OR(CL$3=$D54,CL$3=$AC54,CL$3=$AE54),"",IF(CL$3=$AD54,$F54&amp;"R",CL53))))</f>
        <v>bR</v>
      </c>
      <c r="CM54" s="11" t="str">
        <f aca="false">IF($P54=0,CM53,IF(CM$3=$E54,IF($AA54=1,$F54&amp;$AB54,$G54),IF(OR(CM$3=$D54,CM$3=$AC54,CM$3=$AE54),"",IF(CM$3=$AD54,$F54&amp;"R",CM53))))</f>
        <v>bN</v>
      </c>
      <c r="CN54" s="11" t="str">
        <f aca="false">IF($P54=0,CN53,IF(CN$3=$E54,IF($AA54=1,$F54&amp;$AB54,$G54),IF(OR(CN$3=$D54,CN$3=$AC54,CN$3=$AE54),"",IF(CN$3=$AD54,$F54&amp;"R",CN53))))</f>
        <v>bB</v>
      </c>
      <c r="CO54" s="11" t="str">
        <f aca="false">IF($P54=0,CO53,IF(CO$3=$E54,IF($AA54=1,$F54&amp;$AB54,$G54),IF(OR(CO$3=$D54,CO$3=$AC54,CO$3=$AE54),"",IF(CO$3=$AD54,$F54&amp;"R",CO53))))</f>
        <v>bQ</v>
      </c>
      <c r="CP54" s="11" t="str">
        <f aca="false">IF($P54=0,CP53,IF(CP$3=$E54,IF($AA54=1,$F54&amp;$AB54,$G54),IF(OR(CP$3=$D54,CP$3=$AC54,CP$3=$AE54),"",IF(CP$3=$AD54,$F54&amp;"R",CP53))))</f>
        <v>bK</v>
      </c>
      <c r="CQ54" s="11" t="str">
        <f aca="false">IF($P54=0,CQ53,IF(CQ$3=$E54,IF($AA54=1,$F54&amp;$AB54,$G54),IF(OR(CQ$3=$D54,CQ$3=$AC54,CQ$3=$AE54),"",IF(CQ$3=$AD54,$F54&amp;"R",CQ53))))</f>
        <v>bB</v>
      </c>
      <c r="CR54" s="11" t="str">
        <f aca="false">IF($P54=0,CR53,IF(CR$3=$E54,IF($AA54=1,$F54&amp;$AB54,$G54),IF(OR(CR$3=$D54,CR$3=$AC54,CR$3=$AE54),"",IF(CR$3=$AD54,$F54&amp;"R",CR53))))</f>
        <v>bN</v>
      </c>
      <c r="CS54" s="11" t="str">
        <f aca="false">IF($P54=0,CS53,IF(CS$3=$E54,IF($AA54=1,$F54&amp;$AB54,$G54),IF(OR(CS$3=$D54,CS$3=$AC54,CS$3=$AE54),"",IF(CS$3=$AD54,$F54&amp;"R",CS53))))</f>
        <v>bR</v>
      </c>
      <c r="CT54" s="11"/>
      <c r="CU54" s="11"/>
      <c r="CV54" s="11"/>
    </row>
    <row r="55" customFormat="false" ht="15" hidden="false" customHeight="false" outlineLevel="0" collapsed="false">
      <c r="A55" s="11" t="n">
        <v>50</v>
      </c>
      <c r="B55" s="11" t="str">
        <f aca="false">IF(Chess!$L$59="","",Chess!$L$59&amp;"")</f>
        <v/>
      </c>
      <c r="C55" s="11" t="str">
        <f aca="false">LOWER(SUBSTITUTE(SUBSTITUTE(SUBSTITUTE(SUBSTITUTE(TRIM($B55),"-",""),"=","")," ",""),"x",""))</f>
        <v/>
      </c>
      <c r="D55" s="11" t="n">
        <f aca="false">IF(LEN($C55)&lt;4,0,IFERROR(IF(AND(CODE(MID($C55,1,1))&gt;=97,CODE(MID($C55,1,1))&lt;=104,VALUE(MID($C55,2,1))&gt;=1,VALUE(MID($C55,2,1))&lt;=8),(VALUE(MID($C55,2,1))-1)*8+CODE(MID($C55,1,1))-96,0),0))</f>
        <v>0</v>
      </c>
      <c r="E55" s="11" t="n">
        <f aca="false">IF(LEN($C55)&lt;4,0,IFERROR(IF(AND(CODE(MID($C55,3,1))&gt;=97,CODE(MID($C55,3,1))&lt;=104,VALUE(MID($C55,4,1))&gt;=1,VALUE(MID($C55,4,1))&lt;=8),(VALUE(MID($C55,4,1))-1)*8+CODE(MID($C55,3,1))-96,0),0))</f>
        <v>0</v>
      </c>
      <c r="F55" s="11" t="str">
        <f aca="false">IF(MOD(SUM($P$5:$P54),2)=0,"w","b")</f>
        <v>w</v>
      </c>
      <c r="G55" s="11" t="str">
        <f aca="false">IF($D55=0,"",INDEX($AH54:$CS54,1,$D55)&amp;"")</f>
        <v/>
      </c>
      <c r="H55" s="11" t="str">
        <f aca="false">IF($E55=0,"",INDEX($AH54:$CS54,1,$E55)&amp;"")</f>
        <v/>
      </c>
      <c r="I55" s="11" t="n">
        <f aca="false">IF(OR($D55=0,$E55=0),0,MOD($E55-1,8)-MOD($D55-1,8))</f>
        <v>0</v>
      </c>
      <c r="J55" s="11" t="n">
        <f aca="false">IF(OR($D55=0,$E55=0),0,INT(($E55-1)/8)-INT(($D55-1)/8))</f>
        <v>0</v>
      </c>
      <c r="K55" s="11" t="str">
        <f aca="false">IF($G55="","",RIGHT($G55,1))</f>
        <v/>
      </c>
      <c r="L55" s="11" t="n">
        <f aca="false">IF(OR($D55=0,$E55=0),0,SUMPRODUCT(($AH$3:$CS$3&gt;MIN($D55,$E55))*($AH$3:$CS$3&lt;MAX($D55,$E55))*(MOD($AH$3:$CS$3-MIN($D55,$E55),MAX(1,ABS(SIGN($J55)*8+SIGN($I55))))=0)*($AH54:$CS54&lt;&gt;"")))</f>
        <v>0</v>
      </c>
      <c r="M55" s="11" t="n">
        <f aca="false">IF($K55&lt;&gt;"K",0,IFERROR(--AND($J55=0,ABS($I55)=2,$D55=IF($F55="w",5,61),IF($F55="w",$S54,$V54)=0,IF($I55=2,AND(IF($F55="w",$U54,$X54)=0,INDEX($AH54:$CS54,1,$D55+1)&amp;""="",INDEX($AH54:$CS54,1,$D55+2)&amp;""=""),AND(IF($F55="w",$T54,$W54)=0,INDEX($AH54:$CS54,1,$D55-1)&amp;""="",INDEX($AH54:$CS54,1,$D55-2)&amp;""="",INDEX($AH54:$CS54,1,$D55-3)&amp;""=""))),0))</f>
        <v>0</v>
      </c>
      <c r="N55" s="11" t="n">
        <f aca="false">IF($K55&lt;&gt;"P",0,IFERROR(--OR(AND($I55=0,$J55=IF($F55="w",1,-1),$H55=""),AND($I55=0,$J55=2*IF($F55="w",1,-1),$H55="",INT(($D55-1)/8)=IF($F55="w",1,6),INDEX($AH54:$CS54,1,MAX(1,MIN(64,$D55+8*IF($F55="w",1,-1))))&amp;""=""),AND(ABS($I55)=1,$J55=IF($F55="w",1,-1),$H55&lt;&gt;""),AND(ABS($I55)=1,$J55=IF($F55="w",1,-1),$H55="",$R54&gt;0,$E55=$R54)),0))</f>
        <v>0</v>
      </c>
      <c r="O55" s="11" t="n">
        <f aca="false">IF(OR($D55=0,$E55=0,$G55=""),0,IF($K55="N",--OR(AND(ABS($I55)=1,ABS($J55)=2),AND(ABS($I55)=2,ABS($J55)=1)),IF($K55="B",--AND(ABS($I55)=ABS($J55),$I55&lt;&gt;0,$L55=0),IF($K55="R",--AND(OR($I55=0,$J55=0),OR($I55&lt;&gt;0,$J55&lt;&gt;0),$L55=0),IF($K55="Q",--AND(OR(AND(ABS($I55)=ABS($J55),$I55&lt;&gt;0),AND(OR($I55=0,$J55=0),OR($I55&lt;&gt;0,$J55&lt;&gt;0))),$L55=0),IF($K55="K",--OR(MAX(ABS($I55),ABS($J55))=1,$M55=1),$N55))))))</f>
        <v>0</v>
      </c>
      <c r="P55" s="11" t="n">
        <f aca="false">IF($Q55="OK",1,0)</f>
        <v>0</v>
      </c>
      <c r="Q55" s="11" t="str">
        <f aca="false">IF($B55="","",IF(OR(COUNTIF($AH54:$CS54,"wK")=0,COUNTIF($AH54:$CS54,"bK")=0),"Game is over",IF(OR($D55=0,$E55=0),"Use the format e2e4",IF($G55="","No piece on that square",IF(LEFT($G55,1)&lt;&gt;$F55,"Not your piece ("&amp;IF($F55="w","White","Black")&amp;" to move)",IF($D55=$E55,"Piece must move",IF(AND($H55&lt;&gt;"",LEFT($H55,1)=$F55),"Cannot capture your own piece",IF($O55=0,"Illegal move for that piece (or path blocked)","OK"))))))))</f>
        <v/>
      </c>
      <c r="R55" s="11" t="n">
        <f aca="false">IF($P55=1,IF(AND($K55="P",ABS($J55)=2),($D55+$E55)/2,0),$R54)</f>
        <v>0</v>
      </c>
      <c r="S55" s="12" t="b">
        <f aca="false">--OR($S54=1,AND($P55=1,OR($D55=5,$E55=5)))</f>
        <v>0</v>
      </c>
      <c r="T55" s="12" t="b">
        <f aca="false">--OR($T54=1,AND($P55=1,OR($D55=1,$E55=1)))</f>
        <v>0</v>
      </c>
      <c r="U55" s="12" t="b">
        <f aca="false">--OR($U54=1,AND($P55=1,OR($D55=8,$E55=8)))</f>
        <v>0</v>
      </c>
      <c r="V55" s="12" t="b">
        <f aca="false">--OR($V54=1,AND($P55=1,OR($D55=61,$E55=61)))</f>
        <v>0</v>
      </c>
      <c r="W55" s="12" t="b">
        <f aca="false">--OR($W54=1,AND($P55=1,OR($D55=57,$E55=57)))</f>
        <v>0</v>
      </c>
      <c r="X55" s="12" t="b">
        <f aca="false">--OR($X54=1,AND($P55=1,OR($D55=64,$E55=64)))</f>
        <v>0</v>
      </c>
      <c r="Y55" s="12" t="b">
        <f aca="false">--AND($P55=1,$K55="K",ABS($I55)=2)</f>
        <v>0</v>
      </c>
      <c r="Z55" s="12" t="b">
        <f aca="false">--AND($P55=1,$K55="P",ABS($I55)=1,$H55="")</f>
        <v>0</v>
      </c>
      <c r="AA55" s="12" t="b">
        <f aca="false">--AND($P55=1,$K55="P",INT(($E55-1)/8)=IF($F55="w",7,0))</f>
        <v>0</v>
      </c>
      <c r="AB55" s="11" t="str">
        <f aca="false">IF(LEN($C55)&gt;=5,IF(ISNUMBER(FIND(MID($C55,5,1),"qrbn")),UPPER(MID($C55,5,1)),"Q"),"Q")</f>
        <v>Q</v>
      </c>
      <c r="AC55" s="11" t="n">
        <f aca="false">IF($Y55=1,IF($I55=2,$D55+3,$D55-4),0)</f>
        <v>0</v>
      </c>
      <c r="AD55" s="11" t="n">
        <f aca="false">IF($Y55=1,IF($I55=2,$D55+1,$D55-1),0)</f>
        <v>0</v>
      </c>
      <c r="AE55" s="11" t="n">
        <f aca="false">IF($Z55=1,$E55-8*IF($F55="w",1,-1),0)</f>
        <v>0</v>
      </c>
      <c r="AF55" s="11" t="str">
        <f aca="false">IF($B55="","",IF($P55=1,LOWER(INDEX($CV$2:$CV$13,MATCH($G55,$CU$2:$CU$13,0)))&amp;" "&amp;MID("abcdefgh",MOD($D55-1,8)+1,1)&amp;(INT(($D55-1)/8)+1)&amp;"→"&amp;MID("abcdefgh",MOD($E55-1,8)+1,1)&amp;(INT(($E55-1)/8)+1)&amp;IF(OR($H55&lt;&gt;"",$Z55=1)," ×","")&amp;IF($Y55=1," castles","")&amp;IF($Z55=1," e.p.","")&amp;IF($AA55=1," =" &amp;LOWER(INDEX($CV$2:$CV$13,MATCH($F55&amp;$AB55,$CU$2:$CU$13,0))),""),"X "&amp;$Q55))</f>
        <v/>
      </c>
      <c r="AG55" s="11"/>
      <c r="AH55" s="11" t="str">
        <f aca="false">IF($P55=0,AH54,IF(AH$3=$E55,IF($AA55=1,$F55&amp;$AB55,$G55),IF(OR(AH$3=$D55,AH$3=$AC55,AH$3=$AE55),"",IF(AH$3=$AD55,$F55&amp;"R",AH54))))</f>
        <v>wR</v>
      </c>
      <c r="AI55" s="11" t="str">
        <f aca="false">IF($P55=0,AI54,IF(AI$3=$E55,IF($AA55=1,$F55&amp;$AB55,$G55),IF(OR(AI$3=$D55,AI$3=$AC55,AI$3=$AE55),"",IF(AI$3=$AD55,$F55&amp;"R",AI54))))</f>
        <v>wN</v>
      </c>
      <c r="AJ55" s="11" t="str">
        <f aca="false">IF($P55=0,AJ54,IF(AJ$3=$E55,IF($AA55=1,$F55&amp;$AB55,$G55),IF(OR(AJ$3=$D55,AJ$3=$AC55,AJ$3=$AE55),"",IF(AJ$3=$AD55,$F55&amp;"R",AJ54))))</f>
        <v>wB</v>
      </c>
      <c r="AK55" s="11" t="str">
        <f aca="false">IF($P55=0,AK54,IF(AK$3=$E55,IF($AA55=1,$F55&amp;$AB55,$G55),IF(OR(AK$3=$D55,AK$3=$AC55,AK$3=$AE55),"",IF(AK$3=$AD55,$F55&amp;"R",AK54))))</f>
        <v>wQ</v>
      </c>
      <c r="AL55" s="11" t="str">
        <f aca="false">IF($P55=0,AL54,IF(AL$3=$E55,IF($AA55=1,$F55&amp;$AB55,$G55),IF(OR(AL$3=$D55,AL$3=$AC55,AL$3=$AE55),"",IF(AL$3=$AD55,$F55&amp;"R",AL54))))</f>
        <v>wK</v>
      </c>
      <c r="AM55" s="11" t="str">
        <f aca="false">IF($P55=0,AM54,IF(AM$3=$E55,IF($AA55=1,$F55&amp;$AB55,$G55),IF(OR(AM$3=$D55,AM$3=$AC55,AM$3=$AE55),"",IF(AM$3=$AD55,$F55&amp;"R",AM54))))</f>
        <v>wB</v>
      </c>
      <c r="AN55" s="11" t="str">
        <f aca="false">IF($P55=0,AN54,IF(AN$3=$E55,IF($AA55=1,$F55&amp;$AB55,$G55),IF(OR(AN$3=$D55,AN$3=$AC55,AN$3=$AE55),"",IF(AN$3=$AD55,$F55&amp;"R",AN54))))</f>
        <v>wN</v>
      </c>
      <c r="AO55" s="11" t="str">
        <f aca="false">IF($P55=0,AO54,IF(AO$3=$E55,IF($AA55=1,$F55&amp;$AB55,$G55),IF(OR(AO$3=$D55,AO$3=$AC55,AO$3=$AE55),"",IF(AO$3=$AD55,$F55&amp;"R",AO54))))</f>
        <v>wR</v>
      </c>
      <c r="AP55" s="11" t="str">
        <f aca="false">IF($P55=0,AP54,IF(AP$3=$E55,IF($AA55=1,$F55&amp;$AB55,$G55),IF(OR(AP$3=$D55,AP$3=$AC55,AP$3=$AE55),"",IF(AP$3=$AD55,$F55&amp;"R",AP54))))</f>
        <v>wP</v>
      </c>
      <c r="AQ55" s="11" t="str">
        <f aca="false">IF($P55=0,AQ54,IF(AQ$3=$E55,IF($AA55=1,$F55&amp;$AB55,$G55),IF(OR(AQ$3=$D55,AQ$3=$AC55,AQ$3=$AE55),"",IF(AQ$3=$AD55,$F55&amp;"R",AQ54))))</f>
        <v>wP</v>
      </c>
      <c r="AR55" s="11" t="str">
        <f aca="false">IF($P55=0,AR54,IF(AR$3=$E55,IF($AA55=1,$F55&amp;$AB55,$G55),IF(OR(AR$3=$D55,AR$3=$AC55,AR$3=$AE55),"",IF(AR$3=$AD55,$F55&amp;"R",AR54))))</f>
        <v>wP</v>
      </c>
      <c r="AS55" s="11" t="str">
        <f aca="false">IF($P55=0,AS54,IF(AS$3=$E55,IF($AA55=1,$F55&amp;$AB55,$G55),IF(OR(AS$3=$D55,AS$3=$AC55,AS$3=$AE55),"",IF(AS$3=$AD55,$F55&amp;"R",AS54))))</f>
        <v>wP</v>
      </c>
      <c r="AT55" s="11" t="str">
        <f aca="false">IF($P55=0,AT54,IF(AT$3=$E55,IF($AA55=1,$F55&amp;$AB55,$G55),IF(OR(AT$3=$D55,AT$3=$AC55,AT$3=$AE55),"",IF(AT$3=$AD55,$F55&amp;"R",AT54))))</f>
        <v>wP</v>
      </c>
      <c r="AU55" s="11" t="str">
        <f aca="false">IF($P55=0,AU54,IF(AU$3=$E55,IF($AA55=1,$F55&amp;$AB55,$G55),IF(OR(AU$3=$D55,AU$3=$AC55,AU$3=$AE55),"",IF(AU$3=$AD55,$F55&amp;"R",AU54))))</f>
        <v>wP</v>
      </c>
      <c r="AV55" s="11" t="str">
        <f aca="false">IF($P55=0,AV54,IF(AV$3=$E55,IF($AA55=1,$F55&amp;$AB55,$G55),IF(OR(AV$3=$D55,AV$3=$AC55,AV$3=$AE55),"",IF(AV$3=$AD55,$F55&amp;"R",AV54))))</f>
        <v>wP</v>
      </c>
      <c r="AW55" s="11" t="str">
        <f aca="false">IF($P55=0,AW54,IF(AW$3=$E55,IF($AA55=1,$F55&amp;$AB55,$G55),IF(OR(AW$3=$D55,AW$3=$AC55,AW$3=$AE55),"",IF(AW$3=$AD55,$F55&amp;"R",AW54))))</f>
        <v>wP</v>
      </c>
      <c r="AX55" s="11" t="str">
        <f aca="false">IF($P55=0,AX54,IF(AX$3=$E55,IF($AA55=1,$F55&amp;$AB55,$G55),IF(OR(AX$3=$D55,AX$3=$AC55,AX$3=$AE55),"",IF(AX$3=$AD55,$F55&amp;"R",AX54))))</f>
        <v/>
      </c>
      <c r="AY55" s="11" t="str">
        <f aca="false">IF($P55=0,AY54,IF(AY$3=$E55,IF($AA55=1,$F55&amp;$AB55,$G55),IF(OR(AY$3=$D55,AY$3=$AC55,AY$3=$AE55),"",IF(AY$3=$AD55,$F55&amp;"R",AY54))))</f>
        <v/>
      </c>
      <c r="AZ55" s="11" t="str">
        <f aca="false">IF($P55=0,AZ54,IF(AZ$3=$E55,IF($AA55=1,$F55&amp;$AB55,$G55),IF(OR(AZ$3=$D55,AZ$3=$AC55,AZ$3=$AE55),"",IF(AZ$3=$AD55,$F55&amp;"R",AZ54))))</f>
        <v/>
      </c>
      <c r="BA55" s="11" t="str">
        <f aca="false">IF($P55=0,BA54,IF(BA$3=$E55,IF($AA55=1,$F55&amp;$AB55,$G55),IF(OR(BA$3=$D55,BA$3=$AC55,BA$3=$AE55),"",IF(BA$3=$AD55,$F55&amp;"R",BA54))))</f>
        <v/>
      </c>
      <c r="BB55" s="11" t="str">
        <f aca="false">IF($P55=0,BB54,IF(BB$3=$E55,IF($AA55=1,$F55&amp;$AB55,$G55),IF(OR(BB$3=$D55,BB$3=$AC55,BB$3=$AE55),"",IF(BB$3=$AD55,$F55&amp;"R",BB54))))</f>
        <v/>
      </c>
      <c r="BC55" s="11" t="str">
        <f aca="false">IF($P55=0,BC54,IF(BC$3=$E55,IF($AA55=1,$F55&amp;$AB55,$G55),IF(OR(BC$3=$D55,BC$3=$AC55,BC$3=$AE55),"",IF(BC$3=$AD55,$F55&amp;"R",BC54))))</f>
        <v/>
      </c>
      <c r="BD55" s="11" t="str">
        <f aca="false">IF($P55=0,BD54,IF(BD$3=$E55,IF($AA55=1,$F55&amp;$AB55,$G55),IF(OR(BD$3=$D55,BD$3=$AC55,BD$3=$AE55),"",IF(BD$3=$AD55,$F55&amp;"R",BD54))))</f>
        <v/>
      </c>
      <c r="BE55" s="11" t="str">
        <f aca="false">IF($P55=0,BE54,IF(BE$3=$E55,IF($AA55=1,$F55&amp;$AB55,$G55),IF(OR(BE$3=$D55,BE$3=$AC55,BE$3=$AE55),"",IF(BE$3=$AD55,$F55&amp;"R",BE54))))</f>
        <v/>
      </c>
      <c r="BF55" s="11" t="str">
        <f aca="false">IF($P55=0,BF54,IF(BF$3=$E55,IF($AA55=1,$F55&amp;$AB55,$G55),IF(OR(BF$3=$D55,BF$3=$AC55,BF$3=$AE55),"",IF(BF$3=$AD55,$F55&amp;"R",BF54))))</f>
        <v/>
      </c>
      <c r="BG55" s="11" t="str">
        <f aca="false">IF($P55=0,BG54,IF(BG$3=$E55,IF($AA55=1,$F55&amp;$AB55,$G55),IF(OR(BG$3=$D55,BG$3=$AC55,BG$3=$AE55),"",IF(BG$3=$AD55,$F55&amp;"R",BG54))))</f>
        <v/>
      </c>
      <c r="BH55" s="11" t="str">
        <f aca="false">IF($P55=0,BH54,IF(BH$3=$E55,IF($AA55=1,$F55&amp;$AB55,$G55),IF(OR(BH$3=$D55,BH$3=$AC55,BH$3=$AE55),"",IF(BH$3=$AD55,$F55&amp;"R",BH54))))</f>
        <v/>
      </c>
      <c r="BI55" s="11" t="str">
        <f aca="false">IF($P55=0,BI54,IF(BI$3=$E55,IF($AA55=1,$F55&amp;$AB55,$G55),IF(OR(BI$3=$D55,BI$3=$AC55,BI$3=$AE55),"",IF(BI$3=$AD55,$F55&amp;"R",BI54))))</f>
        <v/>
      </c>
      <c r="BJ55" s="11" t="str">
        <f aca="false">IF($P55=0,BJ54,IF(BJ$3=$E55,IF($AA55=1,$F55&amp;$AB55,$G55),IF(OR(BJ$3=$D55,BJ$3=$AC55,BJ$3=$AE55),"",IF(BJ$3=$AD55,$F55&amp;"R",BJ54))))</f>
        <v/>
      </c>
      <c r="BK55" s="11" t="str">
        <f aca="false">IF($P55=0,BK54,IF(BK$3=$E55,IF($AA55=1,$F55&amp;$AB55,$G55),IF(OR(BK$3=$D55,BK$3=$AC55,BK$3=$AE55),"",IF(BK$3=$AD55,$F55&amp;"R",BK54))))</f>
        <v/>
      </c>
      <c r="BL55" s="11" t="str">
        <f aca="false">IF($P55=0,BL54,IF(BL$3=$E55,IF($AA55=1,$F55&amp;$AB55,$G55),IF(OR(BL$3=$D55,BL$3=$AC55,BL$3=$AE55),"",IF(BL$3=$AD55,$F55&amp;"R",BL54))))</f>
        <v/>
      </c>
      <c r="BM55" s="11" t="str">
        <f aca="false">IF($P55=0,BM54,IF(BM$3=$E55,IF($AA55=1,$F55&amp;$AB55,$G55),IF(OR(BM$3=$D55,BM$3=$AC55,BM$3=$AE55),"",IF(BM$3=$AD55,$F55&amp;"R",BM54))))</f>
        <v/>
      </c>
      <c r="BN55" s="11" t="str">
        <f aca="false">IF($P55=0,BN54,IF(BN$3=$E55,IF($AA55=1,$F55&amp;$AB55,$G55),IF(OR(BN$3=$D55,BN$3=$AC55,BN$3=$AE55),"",IF(BN$3=$AD55,$F55&amp;"R",BN54))))</f>
        <v/>
      </c>
      <c r="BO55" s="11" t="str">
        <f aca="false">IF($P55=0,BO54,IF(BO$3=$E55,IF($AA55=1,$F55&amp;$AB55,$G55),IF(OR(BO$3=$D55,BO$3=$AC55,BO$3=$AE55),"",IF(BO$3=$AD55,$F55&amp;"R",BO54))))</f>
        <v/>
      </c>
      <c r="BP55" s="11" t="str">
        <f aca="false">IF($P55=0,BP54,IF(BP$3=$E55,IF($AA55=1,$F55&amp;$AB55,$G55),IF(OR(BP$3=$D55,BP$3=$AC55,BP$3=$AE55),"",IF(BP$3=$AD55,$F55&amp;"R",BP54))))</f>
        <v/>
      </c>
      <c r="BQ55" s="11" t="str">
        <f aca="false">IF($P55=0,BQ54,IF(BQ$3=$E55,IF($AA55=1,$F55&amp;$AB55,$G55),IF(OR(BQ$3=$D55,BQ$3=$AC55,BQ$3=$AE55),"",IF(BQ$3=$AD55,$F55&amp;"R",BQ54))))</f>
        <v/>
      </c>
      <c r="BR55" s="11" t="str">
        <f aca="false">IF($P55=0,BR54,IF(BR$3=$E55,IF($AA55=1,$F55&amp;$AB55,$G55),IF(OR(BR$3=$D55,BR$3=$AC55,BR$3=$AE55),"",IF(BR$3=$AD55,$F55&amp;"R",BR54))))</f>
        <v/>
      </c>
      <c r="BS55" s="11" t="str">
        <f aca="false">IF($P55=0,BS54,IF(BS$3=$E55,IF($AA55=1,$F55&amp;$AB55,$G55),IF(OR(BS$3=$D55,BS$3=$AC55,BS$3=$AE55),"",IF(BS$3=$AD55,$F55&amp;"R",BS54))))</f>
        <v/>
      </c>
      <c r="BT55" s="11" t="str">
        <f aca="false">IF($P55=0,BT54,IF(BT$3=$E55,IF($AA55=1,$F55&amp;$AB55,$G55),IF(OR(BT$3=$D55,BT$3=$AC55,BT$3=$AE55),"",IF(BT$3=$AD55,$F55&amp;"R",BT54))))</f>
        <v/>
      </c>
      <c r="BU55" s="11" t="str">
        <f aca="false">IF($P55=0,BU54,IF(BU$3=$E55,IF($AA55=1,$F55&amp;$AB55,$G55),IF(OR(BU$3=$D55,BU$3=$AC55,BU$3=$AE55),"",IF(BU$3=$AD55,$F55&amp;"R",BU54))))</f>
        <v/>
      </c>
      <c r="BV55" s="11" t="str">
        <f aca="false">IF($P55=0,BV54,IF(BV$3=$E55,IF($AA55=1,$F55&amp;$AB55,$G55),IF(OR(BV$3=$D55,BV$3=$AC55,BV$3=$AE55),"",IF(BV$3=$AD55,$F55&amp;"R",BV54))))</f>
        <v/>
      </c>
      <c r="BW55" s="11" t="str">
        <f aca="false">IF($P55=0,BW54,IF(BW$3=$E55,IF($AA55=1,$F55&amp;$AB55,$G55),IF(OR(BW$3=$D55,BW$3=$AC55,BW$3=$AE55),"",IF(BW$3=$AD55,$F55&amp;"R",BW54))))</f>
        <v/>
      </c>
      <c r="BX55" s="11" t="str">
        <f aca="false">IF($P55=0,BX54,IF(BX$3=$E55,IF($AA55=1,$F55&amp;$AB55,$G55),IF(OR(BX$3=$D55,BX$3=$AC55,BX$3=$AE55),"",IF(BX$3=$AD55,$F55&amp;"R",BX54))))</f>
        <v/>
      </c>
      <c r="BY55" s="11" t="str">
        <f aca="false">IF($P55=0,BY54,IF(BY$3=$E55,IF($AA55=1,$F55&amp;$AB55,$G55),IF(OR(BY$3=$D55,BY$3=$AC55,BY$3=$AE55),"",IF(BY$3=$AD55,$F55&amp;"R",BY54))))</f>
        <v/>
      </c>
      <c r="BZ55" s="11" t="str">
        <f aca="false">IF($P55=0,BZ54,IF(BZ$3=$E55,IF($AA55=1,$F55&amp;$AB55,$G55),IF(OR(BZ$3=$D55,BZ$3=$AC55,BZ$3=$AE55),"",IF(BZ$3=$AD55,$F55&amp;"R",BZ54))))</f>
        <v/>
      </c>
      <c r="CA55" s="11" t="str">
        <f aca="false">IF($P55=0,CA54,IF(CA$3=$E55,IF($AA55=1,$F55&amp;$AB55,$G55),IF(OR(CA$3=$D55,CA$3=$AC55,CA$3=$AE55),"",IF(CA$3=$AD55,$F55&amp;"R",CA54))))</f>
        <v/>
      </c>
      <c r="CB55" s="11" t="str">
        <f aca="false">IF($P55=0,CB54,IF(CB$3=$E55,IF($AA55=1,$F55&amp;$AB55,$G55),IF(OR(CB$3=$D55,CB$3=$AC55,CB$3=$AE55),"",IF(CB$3=$AD55,$F55&amp;"R",CB54))))</f>
        <v/>
      </c>
      <c r="CC55" s="11" t="str">
        <f aca="false">IF($P55=0,CC54,IF(CC$3=$E55,IF($AA55=1,$F55&amp;$AB55,$G55),IF(OR(CC$3=$D55,CC$3=$AC55,CC$3=$AE55),"",IF(CC$3=$AD55,$F55&amp;"R",CC54))))</f>
        <v/>
      </c>
      <c r="CD55" s="11" t="str">
        <f aca="false">IF($P55=0,CD54,IF(CD$3=$E55,IF($AA55=1,$F55&amp;$AB55,$G55),IF(OR(CD$3=$D55,CD$3=$AC55,CD$3=$AE55),"",IF(CD$3=$AD55,$F55&amp;"R",CD54))))</f>
        <v>bP</v>
      </c>
      <c r="CE55" s="11" t="str">
        <f aca="false">IF($P55=0,CE54,IF(CE$3=$E55,IF($AA55=1,$F55&amp;$AB55,$G55),IF(OR(CE$3=$D55,CE$3=$AC55,CE$3=$AE55),"",IF(CE$3=$AD55,$F55&amp;"R",CE54))))</f>
        <v>bP</v>
      </c>
      <c r="CF55" s="11" t="str">
        <f aca="false">IF($P55=0,CF54,IF(CF$3=$E55,IF($AA55=1,$F55&amp;$AB55,$G55),IF(OR(CF$3=$D55,CF$3=$AC55,CF$3=$AE55),"",IF(CF$3=$AD55,$F55&amp;"R",CF54))))</f>
        <v>bP</v>
      </c>
      <c r="CG55" s="11" t="str">
        <f aca="false">IF($P55=0,CG54,IF(CG$3=$E55,IF($AA55=1,$F55&amp;$AB55,$G55),IF(OR(CG$3=$D55,CG$3=$AC55,CG$3=$AE55),"",IF(CG$3=$AD55,$F55&amp;"R",CG54))))</f>
        <v>bP</v>
      </c>
      <c r="CH55" s="11" t="str">
        <f aca="false">IF($P55=0,CH54,IF(CH$3=$E55,IF($AA55=1,$F55&amp;$AB55,$G55),IF(OR(CH$3=$D55,CH$3=$AC55,CH$3=$AE55),"",IF(CH$3=$AD55,$F55&amp;"R",CH54))))</f>
        <v>bP</v>
      </c>
      <c r="CI55" s="11" t="str">
        <f aca="false">IF($P55=0,CI54,IF(CI$3=$E55,IF($AA55=1,$F55&amp;$AB55,$G55),IF(OR(CI$3=$D55,CI$3=$AC55,CI$3=$AE55),"",IF(CI$3=$AD55,$F55&amp;"R",CI54))))</f>
        <v>bP</v>
      </c>
      <c r="CJ55" s="11" t="str">
        <f aca="false">IF($P55=0,CJ54,IF(CJ$3=$E55,IF($AA55=1,$F55&amp;$AB55,$G55),IF(OR(CJ$3=$D55,CJ$3=$AC55,CJ$3=$AE55),"",IF(CJ$3=$AD55,$F55&amp;"R",CJ54))))</f>
        <v>bP</v>
      </c>
      <c r="CK55" s="11" t="str">
        <f aca="false">IF($P55=0,CK54,IF(CK$3=$E55,IF($AA55=1,$F55&amp;$AB55,$G55),IF(OR(CK$3=$D55,CK$3=$AC55,CK$3=$AE55),"",IF(CK$3=$AD55,$F55&amp;"R",CK54))))</f>
        <v>bP</v>
      </c>
      <c r="CL55" s="11" t="str">
        <f aca="false">IF($P55=0,CL54,IF(CL$3=$E55,IF($AA55=1,$F55&amp;$AB55,$G55),IF(OR(CL$3=$D55,CL$3=$AC55,CL$3=$AE55),"",IF(CL$3=$AD55,$F55&amp;"R",CL54))))</f>
        <v>bR</v>
      </c>
      <c r="CM55" s="11" t="str">
        <f aca="false">IF($P55=0,CM54,IF(CM$3=$E55,IF($AA55=1,$F55&amp;$AB55,$G55),IF(OR(CM$3=$D55,CM$3=$AC55,CM$3=$AE55),"",IF(CM$3=$AD55,$F55&amp;"R",CM54))))</f>
        <v>bN</v>
      </c>
      <c r="CN55" s="11" t="str">
        <f aca="false">IF($P55=0,CN54,IF(CN$3=$E55,IF($AA55=1,$F55&amp;$AB55,$G55),IF(OR(CN$3=$D55,CN$3=$AC55,CN$3=$AE55),"",IF(CN$3=$AD55,$F55&amp;"R",CN54))))</f>
        <v>bB</v>
      </c>
      <c r="CO55" s="11" t="str">
        <f aca="false">IF($P55=0,CO54,IF(CO$3=$E55,IF($AA55=1,$F55&amp;$AB55,$G55),IF(OR(CO$3=$D55,CO$3=$AC55,CO$3=$AE55),"",IF(CO$3=$AD55,$F55&amp;"R",CO54))))</f>
        <v>bQ</v>
      </c>
      <c r="CP55" s="11" t="str">
        <f aca="false">IF($P55=0,CP54,IF(CP$3=$E55,IF($AA55=1,$F55&amp;$AB55,$G55),IF(OR(CP$3=$D55,CP$3=$AC55,CP$3=$AE55),"",IF(CP$3=$AD55,$F55&amp;"R",CP54))))</f>
        <v>bK</v>
      </c>
      <c r="CQ55" s="11" t="str">
        <f aca="false">IF($P55=0,CQ54,IF(CQ$3=$E55,IF($AA55=1,$F55&amp;$AB55,$G55),IF(OR(CQ$3=$D55,CQ$3=$AC55,CQ$3=$AE55),"",IF(CQ$3=$AD55,$F55&amp;"R",CQ54))))</f>
        <v>bB</v>
      </c>
      <c r="CR55" s="11" t="str">
        <f aca="false">IF($P55=0,CR54,IF(CR$3=$E55,IF($AA55=1,$F55&amp;$AB55,$G55),IF(OR(CR$3=$D55,CR$3=$AC55,CR$3=$AE55),"",IF(CR$3=$AD55,$F55&amp;"R",CR54))))</f>
        <v>bN</v>
      </c>
      <c r="CS55" s="11" t="str">
        <f aca="false">IF($P55=0,CS54,IF(CS$3=$E55,IF($AA55=1,$F55&amp;$AB55,$G55),IF(OR(CS$3=$D55,CS$3=$AC55,CS$3=$AE55),"",IF(CS$3=$AD55,$F55&amp;"R",CS54))))</f>
        <v>bR</v>
      </c>
      <c r="CT55" s="11"/>
      <c r="CU55" s="11"/>
      <c r="CV55" s="11"/>
    </row>
    <row r="56" customFormat="false" ht="15" hidden="false" customHeight="false" outlineLevel="0" collapsed="false">
      <c r="A56" s="11" t="n">
        <v>51</v>
      </c>
      <c r="B56" s="11" t="str">
        <f aca="false">IF(Chess!$L$60="","",Chess!$L$60&amp;"")</f>
        <v/>
      </c>
      <c r="C56" s="11" t="str">
        <f aca="false">LOWER(SUBSTITUTE(SUBSTITUTE(SUBSTITUTE(SUBSTITUTE(TRIM($B56),"-",""),"=","")," ",""),"x",""))</f>
        <v/>
      </c>
      <c r="D56" s="11" t="n">
        <f aca="false">IF(LEN($C56)&lt;4,0,IFERROR(IF(AND(CODE(MID($C56,1,1))&gt;=97,CODE(MID($C56,1,1))&lt;=104,VALUE(MID($C56,2,1))&gt;=1,VALUE(MID($C56,2,1))&lt;=8),(VALUE(MID($C56,2,1))-1)*8+CODE(MID($C56,1,1))-96,0),0))</f>
        <v>0</v>
      </c>
      <c r="E56" s="11" t="n">
        <f aca="false">IF(LEN($C56)&lt;4,0,IFERROR(IF(AND(CODE(MID($C56,3,1))&gt;=97,CODE(MID($C56,3,1))&lt;=104,VALUE(MID($C56,4,1))&gt;=1,VALUE(MID($C56,4,1))&lt;=8),(VALUE(MID($C56,4,1))-1)*8+CODE(MID($C56,3,1))-96,0),0))</f>
        <v>0</v>
      </c>
      <c r="F56" s="11" t="str">
        <f aca="false">IF(MOD(SUM($P$5:$P55),2)=0,"w","b")</f>
        <v>w</v>
      </c>
      <c r="G56" s="11" t="str">
        <f aca="false">IF($D56=0,"",INDEX($AH55:$CS55,1,$D56)&amp;"")</f>
        <v/>
      </c>
      <c r="H56" s="11" t="str">
        <f aca="false">IF($E56=0,"",INDEX($AH55:$CS55,1,$E56)&amp;"")</f>
        <v/>
      </c>
      <c r="I56" s="11" t="n">
        <f aca="false">IF(OR($D56=0,$E56=0),0,MOD($E56-1,8)-MOD($D56-1,8))</f>
        <v>0</v>
      </c>
      <c r="J56" s="11" t="n">
        <f aca="false">IF(OR($D56=0,$E56=0),0,INT(($E56-1)/8)-INT(($D56-1)/8))</f>
        <v>0</v>
      </c>
      <c r="K56" s="11" t="str">
        <f aca="false">IF($G56="","",RIGHT($G56,1))</f>
        <v/>
      </c>
      <c r="L56" s="11" t="n">
        <f aca="false">IF(OR($D56=0,$E56=0),0,SUMPRODUCT(($AH$3:$CS$3&gt;MIN($D56,$E56))*($AH$3:$CS$3&lt;MAX($D56,$E56))*(MOD($AH$3:$CS$3-MIN($D56,$E56),MAX(1,ABS(SIGN($J56)*8+SIGN($I56))))=0)*($AH55:$CS55&lt;&gt;"")))</f>
        <v>0</v>
      </c>
      <c r="M56" s="11" t="n">
        <f aca="false">IF($K56&lt;&gt;"K",0,IFERROR(--AND($J56=0,ABS($I56)=2,$D56=IF($F56="w",5,61),IF($F56="w",$S55,$V55)=0,IF($I56=2,AND(IF($F56="w",$U55,$X55)=0,INDEX($AH55:$CS55,1,$D56+1)&amp;""="",INDEX($AH55:$CS55,1,$D56+2)&amp;""=""),AND(IF($F56="w",$T55,$W55)=0,INDEX($AH55:$CS55,1,$D56-1)&amp;""="",INDEX($AH55:$CS55,1,$D56-2)&amp;""="",INDEX($AH55:$CS55,1,$D56-3)&amp;""=""))),0))</f>
        <v>0</v>
      </c>
      <c r="N56" s="11" t="n">
        <f aca="false">IF($K56&lt;&gt;"P",0,IFERROR(--OR(AND($I56=0,$J56=IF($F56="w",1,-1),$H56=""),AND($I56=0,$J56=2*IF($F56="w",1,-1),$H56="",INT(($D56-1)/8)=IF($F56="w",1,6),INDEX($AH55:$CS55,1,MAX(1,MIN(64,$D56+8*IF($F56="w",1,-1))))&amp;""=""),AND(ABS($I56)=1,$J56=IF($F56="w",1,-1),$H56&lt;&gt;""),AND(ABS($I56)=1,$J56=IF($F56="w",1,-1),$H56="",$R55&gt;0,$E56=$R55)),0))</f>
        <v>0</v>
      </c>
      <c r="O56" s="11" t="n">
        <f aca="false">IF(OR($D56=0,$E56=0,$G56=""),0,IF($K56="N",--OR(AND(ABS($I56)=1,ABS($J56)=2),AND(ABS($I56)=2,ABS($J56)=1)),IF($K56="B",--AND(ABS($I56)=ABS($J56),$I56&lt;&gt;0,$L56=0),IF($K56="R",--AND(OR($I56=0,$J56=0),OR($I56&lt;&gt;0,$J56&lt;&gt;0),$L56=0),IF($K56="Q",--AND(OR(AND(ABS($I56)=ABS($J56),$I56&lt;&gt;0),AND(OR($I56=0,$J56=0),OR($I56&lt;&gt;0,$J56&lt;&gt;0))),$L56=0),IF($K56="K",--OR(MAX(ABS($I56),ABS($J56))=1,$M56=1),$N56))))))</f>
        <v>0</v>
      </c>
      <c r="P56" s="11" t="n">
        <f aca="false">IF($Q56="OK",1,0)</f>
        <v>0</v>
      </c>
      <c r="Q56" s="11" t="str">
        <f aca="false">IF($B56="","",IF(OR(COUNTIF($AH55:$CS55,"wK")=0,COUNTIF($AH55:$CS55,"bK")=0),"Game is over",IF(OR($D56=0,$E56=0),"Use the format e2e4",IF($G56="","No piece on that square",IF(LEFT($G56,1)&lt;&gt;$F56,"Not your piece ("&amp;IF($F56="w","White","Black")&amp;" to move)",IF($D56=$E56,"Piece must move",IF(AND($H56&lt;&gt;"",LEFT($H56,1)=$F56),"Cannot capture your own piece",IF($O56=0,"Illegal move for that piece (or path blocked)","OK"))))))))</f>
        <v/>
      </c>
      <c r="R56" s="11" t="n">
        <f aca="false">IF($P56=1,IF(AND($K56="P",ABS($J56)=2),($D56+$E56)/2,0),$R55)</f>
        <v>0</v>
      </c>
      <c r="S56" s="12" t="b">
        <f aca="false">--OR($S55=1,AND($P56=1,OR($D56=5,$E56=5)))</f>
        <v>0</v>
      </c>
      <c r="T56" s="12" t="b">
        <f aca="false">--OR($T55=1,AND($P56=1,OR($D56=1,$E56=1)))</f>
        <v>0</v>
      </c>
      <c r="U56" s="12" t="b">
        <f aca="false">--OR($U55=1,AND($P56=1,OR($D56=8,$E56=8)))</f>
        <v>0</v>
      </c>
      <c r="V56" s="12" t="b">
        <f aca="false">--OR($V55=1,AND($P56=1,OR($D56=61,$E56=61)))</f>
        <v>0</v>
      </c>
      <c r="W56" s="12" t="b">
        <f aca="false">--OR($W55=1,AND($P56=1,OR($D56=57,$E56=57)))</f>
        <v>0</v>
      </c>
      <c r="X56" s="12" t="b">
        <f aca="false">--OR($X55=1,AND($P56=1,OR($D56=64,$E56=64)))</f>
        <v>0</v>
      </c>
      <c r="Y56" s="12" t="b">
        <f aca="false">--AND($P56=1,$K56="K",ABS($I56)=2)</f>
        <v>0</v>
      </c>
      <c r="Z56" s="12" t="b">
        <f aca="false">--AND($P56=1,$K56="P",ABS($I56)=1,$H56="")</f>
        <v>0</v>
      </c>
      <c r="AA56" s="12" t="b">
        <f aca="false">--AND($P56=1,$K56="P",INT(($E56-1)/8)=IF($F56="w",7,0))</f>
        <v>0</v>
      </c>
      <c r="AB56" s="11" t="str">
        <f aca="false">IF(LEN($C56)&gt;=5,IF(ISNUMBER(FIND(MID($C56,5,1),"qrbn")),UPPER(MID($C56,5,1)),"Q"),"Q")</f>
        <v>Q</v>
      </c>
      <c r="AC56" s="11" t="n">
        <f aca="false">IF($Y56=1,IF($I56=2,$D56+3,$D56-4),0)</f>
        <v>0</v>
      </c>
      <c r="AD56" s="11" t="n">
        <f aca="false">IF($Y56=1,IF($I56=2,$D56+1,$D56-1),0)</f>
        <v>0</v>
      </c>
      <c r="AE56" s="11" t="n">
        <f aca="false">IF($Z56=1,$E56-8*IF($F56="w",1,-1),0)</f>
        <v>0</v>
      </c>
      <c r="AF56" s="11" t="str">
        <f aca="false">IF($B56="","",IF($P56=1,LOWER(INDEX($CV$2:$CV$13,MATCH($G56,$CU$2:$CU$13,0)))&amp;" "&amp;MID("abcdefgh",MOD($D56-1,8)+1,1)&amp;(INT(($D56-1)/8)+1)&amp;"→"&amp;MID("abcdefgh",MOD($E56-1,8)+1,1)&amp;(INT(($E56-1)/8)+1)&amp;IF(OR($H56&lt;&gt;"",$Z56=1)," ×","")&amp;IF($Y56=1," castles","")&amp;IF($Z56=1," e.p.","")&amp;IF($AA56=1," =" &amp;LOWER(INDEX($CV$2:$CV$13,MATCH($F56&amp;$AB56,$CU$2:$CU$13,0))),""),"X "&amp;$Q56))</f>
        <v/>
      </c>
      <c r="AG56" s="11"/>
      <c r="AH56" s="11" t="str">
        <f aca="false">IF($P56=0,AH55,IF(AH$3=$E56,IF($AA56=1,$F56&amp;$AB56,$G56),IF(OR(AH$3=$D56,AH$3=$AC56,AH$3=$AE56),"",IF(AH$3=$AD56,$F56&amp;"R",AH55))))</f>
        <v>wR</v>
      </c>
      <c r="AI56" s="11" t="str">
        <f aca="false">IF($P56=0,AI55,IF(AI$3=$E56,IF($AA56=1,$F56&amp;$AB56,$G56),IF(OR(AI$3=$D56,AI$3=$AC56,AI$3=$AE56),"",IF(AI$3=$AD56,$F56&amp;"R",AI55))))</f>
        <v>wN</v>
      </c>
      <c r="AJ56" s="11" t="str">
        <f aca="false">IF($P56=0,AJ55,IF(AJ$3=$E56,IF($AA56=1,$F56&amp;$AB56,$G56),IF(OR(AJ$3=$D56,AJ$3=$AC56,AJ$3=$AE56),"",IF(AJ$3=$AD56,$F56&amp;"R",AJ55))))</f>
        <v>wB</v>
      </c>
      <c r="AK56" s="11" t="str">
        <f aca="false">IF($P56=0,AK55,IF(AK$3=$E56,IF($AA56=1,$F56&amp;$AB56,$G56),IF(OR(AK$3=$D56,AK$3=$AC56,AK$3=$AE56),"",IF(AK$3=$AD56,$F56&amp;"R",AK55))))</f>
        <v>wQ</v>
      </c>
      <c r="AL56" s="11" t="str">
        <f aca="false">IF($P56=0,AL55,IF(AL$3=$E56,IF($AA56=1,$F56&amp;$AB56,$G56),IF(OR(AL$3=$D56,AL$3=$AC56,AL$3=$AE56),"",IF(AL$3=$AD56,$F56&amp;"R",AL55))))</f>
        <v>wK</v>
      </c>
      <c r="AM56" s="11" t="str">
        <f aca="false">IF($P56=0,AM55,IF(AM$3=$E56,IF($AA56=1,$F56&amp;$AB56,$G56),IF(OR(AM$3=$D56,AM$3=$AC56,AM$3=$AE56),"",IF(AM$3=$AD56,$F56&amp;"R",AM55))))</f>
        <v>wB</v>
      </c>
      <c r="AN56" s="11" t="str">
        <f aca="false">IF($P56=0,AN55,IF(AN$3=$E56,IF($AA56=1,$F56&amp;$AB56,$G56),IF(OR(AN$3=$D56,AN$3=$AC56,AN$3=$AE56),"",IF(AN$3=$AD56,$F56&amp;"R",AN55))))</f>
        <v>wN</v>
      </c>
      <c r="AO56" s="11" t="str">
        <f aca="false">IF($P56=0,AO55,IF(AO$3=$E56,IF($AA56=1,$F56&amp;$AB56,$G56),IF(OR(AO$3=$D56,AO$3=$AC56,AO$3=$AE56),"",IF(AO$3=$AD56,$F56&amp;"R",AO55))))</f>
        <v>wR</v>
      </c>
      <c r="AP56" s="11" t="str">
        <f aca="false">IF($P56=0,AP55,IF(AP$3=$E56,IF($AA56=1,$F56&amp;$AB56,$G56),IF(OR(AP$3=$D56,AP$3=$AC56,AP$3=$AE56),"",IF(AP$3=$AD56,$F56&amp;"R",AP55))))</f>
        <v>wP</v>
      </c>
      <c r="AQ56" s="11" t="str">
        <f aca="false">IF($P56=0,AQ55,IF(AQ$3=$E56,IF($AA56=1,$F56&amp;$AB56,$G56),IF(OR(AQ$3=$D56,AQ$3=$AC56,AQ$3=$AE56),"",IF(AQ$3=$AD56,$F56&amp;"R",AQ55))))</f>
        <v>wP</v>
      </c>
      <c r="AR56" s="11" t="str">
        <f aca="false">IF($P56=0,AR55,IF(AR$3=$E56,IF($AA56=1,$F56&amp;$AB56,$G56),IF(OR(AR$3=$D56,AR$3=$AC56,AR$3=$AE56),"",IF(AR$3=$AD56,$F56&amp;"R",AR55))))</f>
        <v>wP</v>
      </c>
      <c r="AS56" s="11" t="str">
        <f aca="false">IF($P56=0,AS55,IF(AS$3=$E56,IF($AA56=1,$F56&amp;$AB56,$G56),IF(OR(AS$3=$D56,AS$3=$AC56,AS$3=$AE56),"",IF(AS$3=$AD56,$F56&amp;"R",AS55))))</f>
        <v>wP</v>
      </c>
      <c r="AT56" s="11" t="str">
        <f aca="false">IF($P56=0,AT55,IF(AT$3=$E56,IF($AA56=1,$F56&amp;$AB56,$G56),IF(OR(AT$3=$D56,AT$3=$AC56,AT$3=$AE56),"",IF(AT$3=$AD56,$F56&amp;"R",AT55))))</f>
        <v>wP</v>
      </c>
      <c r="AU56" s="11" t="str">
        <f aca="false">IF($P56=0,AU55,IF(AU$3=$E56,IF($AA56=1,$F56&amp;$AB56,$G56),IF(OR(AU$3=$D56,AU$3=$AC56,AU$3=$AE56),"",IF(AU$3=$AD56,$F56&amp;"R",AU55))))</f>
        <v>wP</v>
      </c>
      <c r="AV56" s="11" t="str">
        <f aca="false">IF($P56=0,AV55,IF(AV$3=$E56,IF($AA56=1,$F56&amp;$AB56,$G56),IF(OR(AV$3=$D56,AV$3=$AC56,AV$3=$AE56),"",IF(AV$3=$AD56,$F56&amp;"R",AV55))))</f>
        <v>wP</v>
      </c>
      <c r="AW56" s="11" t="str">
        <f aca="false">IF($P56=0,AW55,IF(AW$3=$E56,IF($AA56=1,$F56&amp;$AB56,$G56),IF(OR(AW$3=$D56,AW$3=$AC56,AW$3=$AE56),"",IF(AW$3=$AD56,$F56&amp;"R",AW55))))</f>
        <v>wP</v>
      </c>
      <c r="AX56" s="11" t="str">
        <f aca="false">IF($P56=0,AX55,IF(AX$3=$E56,IF($AA56=1,$F56&amp;$AB56,$G56),IF(OR(AX$3=$D56,AX$3=$AC56,AX$3=$AE56),"",IF(AX$3=$AD56,$F56&amp;"R",AX55))))</f>
        <v/>
      </c>
      <c r="AY56" s="11" t="str">
        <f aca="false">IF($P56=0,AY55,IF(AY$3=$E56,IF($AA56=1,$F56&amp;$AB56,$G56),IF(OR(AY$3=$D56,AY$3=$AC56,AY$3=$AE56),"",IF(AY$3=$AD56,$F56&amp;"R",AY55))))</f>
        <v/>
      </c>
      <c r="AZ56" s="11" t="str">
        <f aca="false">IF($P56=0,AZ55,IF(AZ$3=$E56,IF($AA56=1,$F56&amp;$AB56,$G56),IF(OR(AZ$3=$D56,AZ$3=$AC56,AZ$3=$AE56),"",IF(AZ$3=$AD56,$F56&amp;"R",AZ55))))</f>
        <v/>
      </c>
      <c r="BA56" s="11" t="str">
        <f aca="false">IF($P56=0,BA55,IF(BA$3=$E56,IF($AA56=1,$F56&amp;$AB56,$G56),IF(OR(BA$3=$D56,BA$3=$AC56,BA$3=$AE56),"",IF(BA$3=$AD56,$F56&amp;"R",BA55))))</f>
        <v/>
      </c>
      <c r="BB56" s="11" t="str">
        <f aca="false">IF($P56=0,BB55,IF(BB$3=$E56,IF($AA56=1,$F56&amp;$AB56,$G56),IF(OR(BB$3=$D56,BB$3=$AC56,BB$3=$AE56),"",IF(BB$3=$AD56,$F56&amp;"R",BB55))))</f>
        <v/>
      </c>
      <c r="BC56" s="11" t="str">
        <f aca="false">IF($P56=0,BC55,IF(BC$3=$E56,IF($AA56=1,$F56&amp;$AB56,$G56),IF(OR(BC$3=$D56,BC$3=$AC56,BC$3=$AE56),"",IF(BC$3=$AD56,$F56&amp;"R",BC55))))</f>
        <v/>
      </c>
      <c r="BD56" s="11" t="str">
        <f aca="false">IF($P56=0,BD55,IF(BD$3=$E56,IF($AA56=1,$F56&amp;$AB56,$G56),IF(OR(BD$3=$D56,BD$3=$AC56,BD$3=$AE56),"",IF(BD$3=$AD56,$F56&amp;"R",BD55))))</f>
        <v/>
      </c>
      <c r="BE56" s="11" t="str">
        <f aca="false">IF($P56=0,BE55,IF(BE$3=$E56,IF($AA56=1,$F56&amp;$AB56,$G56),IF(OR(BE$3=$D56,BE$3=$AC56,BE$3=$AE56),"",IF(BE$3=$AD56,$F56&amp;"R",BE55))))</f>
        <v/>
      </c>
      <c r="BF56" s="11" t="str">
        <f aca="false">IF($P56=0,BF55,IF(BF$3=$E56,IF($AA56=1,$F56&amp;$AB56,$G56),IF(OR(BF$3=$D56,BF$3=$AC56,BF$3=$AE56),"",IF(BF$3=$AD56,$F56&amp;"R",BF55))))</f>
        <v/>
      </c>
      <c r="BG56" s="11" t="str">
        <f aca="false">IF($P56=0,BG55,IF(BG$3=$E56,IF($AA56=1,$F56&amp;$AB56,$G56),IF(OR(BG$3=$D56,BG$3=$AC56,BG$3=$AE56),"",IF(BG$3=$AD56,$F56&amp;"R",BG55))))</f>
        <v/>
      </c>
      <c r="BH56" s="11" t="str">
        <f aca="false">IF($P56=0,BH55,IF(BH$3=$E56,IF($AA56=1,$F56&amp;$AB56,$G56),IF(OR(BH$3=$D56,BH$3=$AC56,BH$3=$AE56),"",IF(BH$3=$AD56,$F56&amp;"R",BH55))))</f>
        <v/>
      </c>
      <c r="BI56" s="11" t="str">
        <f aca="false">IF($P56=0,BI55,IF(BI$3=$E56,IF($AA56=1,$F56&amp;$AB56,$G56),IF(OR(BI$3=$D56,BI$3=$AC56,BI$3=$AE56),"",IF(BI$3=$AD56,$F56&amp;"R",BI55))))</f>
        <v/>
      </c>
      <c r="BJ56" s="11" t="str">
        <f aca="false">IF($P56=0,BJ55,IF(BJ$3=$E56,IF($AA56=1,$F56&amp;$AB56,$G56),IF(OR(BJ$3=$D56,BJ$3=$AC56,BJ$3=$AE56),"",IF(BJ$3=$AD56,$F56&amp;"R",BJ55))))</f>
        <v/>
      </c>
      <c r="BK56" s="11" t="str">
        <f aca="false">IF($P56=0,BK55,IF(BK$3=$E56,IF($AA56=1,$F56&amp;$AB56,$G56),IF(OR(BK$3=$D56,BK$3=$AC56,BK$3=$AE56),"",IF(BK$3=$AD56,$F56&amp;"R",BK55))))</f>
        <v/>
      </c>
      <c r="BL56" s="11" t="str">
        <f aca="false">IF($P56=0,BL55,IF(BL$3=$E56,IF($AA56=1,$F56&amp;$AB56,$G56),IF(OR(BL$3=$D56,BL$3=$AC56,BL$3=$AE56),"",IF(BL$3=$AD56,$F56&amp;"R",BL55))))</f>
        <v/>
      </c>
      <c r="BM56" s="11" t="str">
        <f aca="false">IF($P56=0,BM55,IF(BM$3=$E56,IF($AA56=1,$F56&amp;$AB56,$G56),IF(OR(BM$3=$D56,BM$3=$AC56,BM$3=$AE56),"",IF(BM$3=$AD56,$F56&amp;"R",BM55))))</f>
        <v/>
      </c>
      <c r="BN56" s="11" t="str">
        <f aca="false">IF($P56=0,BN55,IF(BN$3=$E56,IF($AA56=1,$F56&amp;$AB56,$G56),IF(OR(BN$3=$D56,BN$3=$AC56,BN$3=$AE56),"",IF(BN$3=$AD56,$F56&amp;"R",BN55))))</f>
        <v/>
      </c>
      <c r="BO56" s="11" t="str">
        <f aca="false">IF($P56=0,BO55,IF(BO$3=$E56,IF($AA56=1,$F56&amp;$AB56,$G56),IF(OR(BO$3=$D56,BO$3=$AC56,BO$3=$AE56),"",IF(BO$3=$AD56,$F56&amp;"R",BO55))))</f>
        <v/>
      </c>
      <c r="BP56" s="11" t="str">
        <f aca="false">IF($P56=0,BP55,IF(BP$3=$E56,IF($AA56=1,$F56&amp;$AB56,$G56),IF(OR(BP$3=$D56,BP$3=$AC56,BP$3=$AE56),"",IF(BP$3=$AD56,$F56&amp;"R",BP55))))</f>
        <v/>
      </c>
      <c r="BQ56" s="11" t="str">
        <f aca="false">IF($P56=0,BQ55,IF(BQ$3=$E56,IF($AA56=1,$F56&amp;$AB56,$G56),IF(OR(BQ$3=$D56,BQ$3=$AC56,BQ$3=$AE56),"",IF(BQ$3=$AD56,$F56&amp;"R",BQ55))))</f>
        <v/>
      </c>
      <c r="BR56" s="11" t="str">
        <f aca="false">IF($P56=0,BR55,IF(BR$3=$E56,IF($AA56=1,$F56&amp;$AB56,$G56),IF(OR(BR$3=$D56,BR$3=$AC56,BR$3=$AE56),"",IF(BR$3=$AD56,$F56&amp;"R",BR55))))</f>
        <v/>
      </c>
      <c r="BS56" s="11" t="str">
        <f aca="false">IF($P56=0,BS55,IF(BS$3=$E56,IF($AA56=1,$F56&amp;$AB56,$G56),IF(OR(BS$3=$D56,BS$3=$AC56,BS$3=$AE56),"",IF(BS$3=$AD56,$F56&amp;"R",BS55))))</f>
        <v/>
      </c>
      <c r="BT56" s="11" t="str">
        <f aca="false">IF($P56=0,BT55,IF(BT$3=$E56,IF($AA56=1,$F56&amp;$AB56,$G56),IF(OR(BT$3=$D56,BT$3=$AC56,BT$3=$AE56),"",IF(BT$3=$AD56,$F56&amp;"R",BT55))))</f>
        <v/>
      </c>
      <c r="BU56" s="11" t="str">
        <f aca="false">IF($P56=0,BU55,IF(BU$3=$E56,IF($AA56=1,$F56&amp;$AB56,$G56),IF(OR(BU$3=$D56,BU$3=$AC56,BU$3=$AE56),"",IF(BU$3=$AD56,$F56&amp;"R",BU55))))</f>
        <v/>
      </c>
      <c r="BV56" s="11" t="str">
        <f aca="false">IF($P56=0,BV55,IF(BV$3=$E56,IF($AA56=1,$F56&amp;$AB56,$G56),IF(OR(BV$3=$D56,BV$3=$AC56,BV$3=$AE56),"",IF(BV$3=$AD56,$F56&amp;"R",BV55))))</f>
        <v/>
      </c>
      <c r="BW56" s="11" t="str">
        <f aca="false">IF($P56=0,BW55,IF(BW$3=$E56,IF($AA56=1,$F56&amp;$AB56,$G56),IF(OR(BW$3=$D56,BW$3=$AC56,BW$3=$AE56),"",IF(BW$3=$AD56,$F56&amp;"R",BW55))))</f>
        <v/>
      </c>
      <c r="BX56" s="11" t="str">
        <f aca="false">IF($P56=0,BX55,IF(BX$3=$E56,IF($AA56=1,$F56&amp;$AB56,$G56),IF(OR(BX$3=$D56,BX$3=$AC56,BX$3=$AE56),"",IF(BX$3=$AD56,$F56&amp;"R",BX55))))</f>
        <v/>
      </c>
      <c r="BY56" s="11" t="str">
        <f aca="false">IF($P56=0,BY55,IF(BY$3=$E56,IF($AA56=1,$F56&amp;$AB56,$G56),IF(OR(BY$3=$D56,BY$3=$AC56,BY$3=$AE56),"",IF(BY$3=$AD56,$F56&amp;"R",BY55))))</f>
        <v/>
      </c>
      <c r="BZ56" s="11" t="str">
        <f aca="false">IF($P56=0,BZ55,IF(BZ$3=$E56,IF($AA56=1,$F56&amp;$AB56,$G56),IF(OR(BZ$3=$D56,BZ$3=$AC56,BZ$3=$AE56),"",IF(BZ$3=$AD56,$F56&amp;"R",BZ55))))</f>
        <v/>
      </c>
      <c r="CA56" s="11" t="str">
        <f aca="false">IF($P56=0,CA55,IF(CA$3=$E56,IF($AA56=1,$F56&amp;$AB56,$G56),IF(OR(CA$3=$D56,CA$3=$AC56,CA$3=$AE56),"",IF(CA$3=$AD56,$F56&amp;"R",CA55))))</f>
        <v/>
      </c>
      <c r="CB56" s="11" t="str">
        <f aca="false">IF($P56=0,CB55,IF(CB$3=$E56,IF($AA56=1,$F56&amp;$AB56,$G56),IF(OR(CB$3=$D56,CB$3=$AC56,CB$3=$AE56),"",IF(CB$3=$AD56,$F56&amp;"R",CB55))))</f>
        <v/>
      </c>
      <c r="CC56" s="11" t="str">
        <f aca="false">IF($P56=0,CC55,IF(CC$3=$E56,IF($AA56=1,$F56&amp;$AB56,$G56),IF(OR(CC$3=$D56,CC$3=$AC56,CC$3=$AE56),"",IF(CC$3=$AD56,$F56&amp;"R",CC55))))</f>
        <v/>
      </c>
      <c r="CD56" s="11" t="str">
        <f aca="false">IF($P56=0,CD55,IF(CD$3=$E56,IF($AA56=1,$F56&amp;$AB56,$G56),IF(OR(CD$3=$D56,CD$3=$AC56,CD$3=$AE56),"",IF(CD$3=$AD56,$F56&amp;"R",CD55))))</f>
        <v>bP</v>
      </c>
      <c r="CE56" s="11" t="str">
        <f aca="false">IF($P56=0,CE55,IF(CE$3=$E56,IF($AA56=1,$F56&amp;$AB56,$G56),IF(OR(CE$3=$D56,CE$3=$AC56,CE$3=$AE56),"",IF(CE$3=$AD56,$F56&amp;"R",CE55))))</f>
        <v>bP</v>
      </c>
      <c r="CF56" s="11" t="str">
        <f aca="false">IF($P56=0,CF55,IF(CF$3=$E56,IF($AA56=1,$F56&amp;$AB56,$G56),IF(OR(CF$3=$D56,CF$3=$AC56,CF$3=$AE56),"",IF(CF$3=$AD56,$F56&amp;"R",CF55))))</f>
        <v>bP</v>
      </c>
      <c r="CG56" s="11" t="str">
        <f aca="false">IF($P56=0,CG55,IF(CG$3=$E56,IF($AA56=1,$F56&amp;$AB56,$G56),IF(OR(CG$3=$D56,CG$3=$AC56,CG$3=$AE56),"",IF(CG$3=$AD56,$F56&amp;"R",CG55))))</f>
        <v>bP</v>
      </c>
      <c r="CH56" s="11" t="str">
        <f aca="false">IF($P56=0,CH55,IF(CH$3=$E56,IF($AA56=1,$F56&amp;$AB56,$G56),IF(OR(CH$3=$D56,CH$3=$AC56,CH$3=$AE56),"",IF(CH$3=$AD56,$F56&amp;"R",CH55))))</f>
        <v>bP</v>
      </c>
      <c r="CI56" s="11" t="str">
        <f aca="false">IF($P56=0,CI55,IF(CI$3=$E56,IF($AA56=1,$F56&amp;$AB56,$G56),IF(OR(CI$3=$D56,CI$3=$AC56,CI$3=$AE56),"",IF(CI$3=$AD56,$F56&amp;"R",CI55))))</f>
        <v>bP</v>
      </c>
      <c r="CJ56" s="11" t="str">
        <f aca="false">IF($P56=0,CJ55,IF(CJ$3=$E56,IF($AA56=1,$F56&amp;$AB56,$G56),IF(OR(CJ$3=$D56,CJ$3=$AC56,CJ$3=$AE56),"",IF(CJ$3=$AD56,$F56&amp;"R",CJ55))))</f>
        <v>bP</v>
      </c>
      <c r="CK56" s="11" t="str">
        <f aca="false">IF($P56=0,CK55,IF(CK$3=$E56,IF($AA56=1,$F56&amp;$AB56,$G56),IF(OR(CK$3=$D56,CK$3=$AC56,CK$3=$AE56),"",IF(CK$3=$AD56,$F56&amp;"R",CK55))))</f>
        <v>bP</v>
      </c>
      <c r="CL56" s="11" t="str">
        <f aca="false">IF($P56=0,CL55,IF(CL$3=$E56,IF($AA56=1,$F56&amp;$AB56,$G56),IF(OR(CL$3=$D56,CL$3=$AC56,CL$3=$AE56),"",IF(CL$3=$AD56,$F56&amp;"R",CL55))))</f>
        <v>bR</v>
      </c>
      <c r="CM56" s="11" t="str">
        <f aca="false">IF($P56=0,CM55,IF(CM$3=$E56,IF($AA56=1,$F56&amp;$AB56,$G56),IF(OR(CM$3=$D56,CM$3=$AC56,CM$3=$AE56),"",IF(CM$3=$AD56,$F56&amp;"R",CM55))))</f>
        <v>bN</v>
      </c>
      <c r="CN56" s="11" t="str">
        <f aca="false">IF($P56=0,CN55,IF(CN$3=$E56,IF($AA56=1,$F56&amp;$AB56,$G56),IF(OR(CN$3=$D56,CN$3=$AC56,CN$3=$AE56),"",IF(CN$3=$AD56,$F56&amp;"R",CN55))))</f>
        <v>bB</v>
      </c>
      <c r="CO56" s="11" t="str">
        <f aca="false">IF($P56=0,CO55,IF(CO$3=$E56,IF($AA56=1,$F56&amp;$AB56,$G56),IF(OR(CO$3=$D56,CO$3=$AC56,CO$3=$AE56),"",IF(CO$3=$AD56,$F56&amp;"R",CO55))))</f>
        <v>bQ</v>
      </c>
      <c r="CP56" s="11" t="str">
        <f aca="false">IF($P56=0,CP55,IF(CP$3=$E56,IF($AA56=1,$F56&amp;$AB56,$G56),IF(OR(CP$3=$D56,CP$3=$AC56,CP$3=$AE56),"",IF(CP$3=$AD56,$F56&amp;"R",CP55))))</f>
        <v>bK</v>
      </c>
      <c r="CQ56" s="11" t="str">
        <f aca="false">IF($P56=0,CQ55,IF(CQ$3=$E56,IF($AA56=1,$F56&amp;$AB56,$G56),IF(OR(CQ$3=$D56,CQ$3=$AC56,CQ$3=$AE56),"",IF(CQ$3=$AD56,$F56&amp;"R",CQ55))))</f>
        <v>bB</v>
      </c>
      <c r="CR56" s="11" t="str">
        <f aca="false">IF($P56=0,CR55,IF(CR$3=$E56,IF($AA56=1,$F56&amp;$AB56,$G56),IF(OR(CR$3=$D56,CR$3=$AC56,CR$3=$AE56),"",IF(CR$3=$AD56,$F56&amp;"R",CR55))))</f>
        <v>bN</v>
      </c>
      <c r="CS56" s="11" t="str">
        <f aca="false">IF($P56=0,CS55,IF(CS$3=$E56,IF($AA56=1,$F56&amp;$AB56,$G56),IF(OR(CS$3=$D56,CS$3=$AC56,CS$3=$AE56),"",IF(CS$3=$AD56,$F56&amp;"R",CS55))))</f>
        <v>bR</v>
      </c>
      <c r="CT56" s="11"/>
      <c r="CU56" s="11"/>
      <c r="CV56" s="11"/>
    </row>
    <row r="57" customFormat="false" ht="15" hidden="false" customHeight="false" outlineLevel="0" collapsed="false">
      <c r="A57" s="11" t="n">
        <v>52</v>
      </c>
      <c r="B57" s="11" t="str">
        <f aca="false">IF(Chess!$L$61="","",Chess!$L$61&amp;"")</f>
        <v/>
      </c>
      <c r="C57" s="11" t="str">
        <f aca="false">LOWER(SUBSTITUTE(SUBSTITUTE(SUBSTITUTE(SUBSTITUTE(TRIM($B57),"-",""),"=","")," ",""),"x",""))</f>
        <v/>
      </c>
      <c r="D57" s="11" t="n">
        <f aca="false">IF(LEN($C57)&lt;4,0,IFERROR(IF(AND(CODE(MID($C57,1,1))&gt;=97,CODE(MID($C57,1,1))&lt;=104,VALUE(MID($C57,2,1))&gt;=1,VALUE(MID($C57,2,1))&lt;=8),(VALUE(MID($C57,2,1))-1)*8+CODE(MID($C57,1,1))-96,0),0))</f>
        <v>0</v>
      </c>
      <c r="E57" s="11" t="n">
        <f aca="false">IF(LEN($C57)&lt;4,0,IFERROR(IF(AND(CODE(MID($C57,3,1))&gt;=97,CODE(MID($C57,3,1))&lt;=104,VALUE(MID($C57,4,1))&gt;=1,VALUE(MID($C57,4,1))&lt;=8),(VALUE(MID($C57,4,1))-1)*8+CODE(MID($C57,3,1))-96,0),0))</f>
        <v>0</v>
      </c>
      <c r="F57" s="11" t="str">
        <f aca="false">IF(MOD(SUM($P$5:$P56),2)=0,"w","b")</f>
        <v>w</v>
      </c>
      <c r="G57" s="11" t="str">
        <f aca="false">IF($D57=0,"",INDEX($AH56:$CS56,1,$D57)&amp;"")</f>
        <v/>
      </c>
      <c r="H57" s="11" t="str">
        <f aca="false">IF($E57=0,"",INDEX($AH56:$CS56,1,$E57)&amp;"")</f>
        <v/>
      </c>
      <c r="I57" s="11" t="n">
        <f aca="false">IF(OR($D57=0,$E57=0),0,MOD($E57-1,8)-MOD($D57-1,8))</f>
        <v>0</v>
      </c>
      <c r="J57" s="11" t="n">
        <f aca="false">IF(OR($D57=0,$E57=0),0,INT(($E57-1)/8)-INT(($D57-1)/8))</f>
        <v>0</v>
      </c>
      <c r="K57" s="11" t="str">
        <f aca="false">IF($G57="","",RIGHT($G57,1))</f>
        <v/>
      </c>
      <c r="L57" s="11" t="n">
        <f aca="false">IF(OR($D57=0,$E57=0),0,SUMPRODUCT(($AH$3:$CS$3&gt;MIN($D57,$E57))*($AH$3:$CS$3&lt;MAX($D57,$E57))*(MOD($AH$3:$CS$3-MIN($D57,$E57),MAX(1,ABS(SIGN($J57)*8+SIGN($I57))))=0)*($AH56:$CS56&lt;&gt;"")))</f>
        <v>0</v>
      </c>
      <c r="M57" s="11" t="n">
        <f aca="false">IF($K57&lt;&gt;"K",0,IFERROR(--AND($J57=0,ABS($I57)=2,$D57=IF($F57="w",5,61),IF($F57="w",$S56,$V56)=0,IF($I57=2,AND(IF($F57="w",$U56,$X56)=0,INDEX($AH56:$CS56,1,$D57+1)&amp;""="",INDEX($AH56:$CS56,1,$D57+2)&amp;""=""),AND(IF($F57="w",$T56,$W56)=0,INDEX($AH56:$CS56,1,$D57-1)&amp;""="",INDEX($AH56:$CS56,1,$D57-2)&amp;""="",INDEX($AH56:$CS56,1,$D57-3)&amp;""=""))),0))</f>
        <v>0</v>
      </c>
      <c r="N57" s="11" t="n">
        <f aca="false">IF($K57&lt;&gt;"P",0,IFERROR(--OR(AND($I57=0,$J57=IF($F57="w",1,-1),$H57=""),AND($I57=0,$J57=2*IF($F57="w",1,-1),$H57="",INT(($D57-1)/8)=IF($F57="w",1,6),INDEX($AH56:$CS56,1,MAX(1,MIN(64,$D57+8*IF($F57="w",1,-1))))&amp;""=""),AND(ABS($I57)=1,$J57=IF($F57="w",1,-1),$H57&lt;&gt;""),AND(ABS($I57)=1,$J57=IF($F57="w",1,-1),$H57="",$R56&gt;0,$E57=$R56)),0))</f>
        <v>0</v>
      </c>
      <c r="O57" s="11" t="n">
        <f aca="false">IF(OR($D57=0,$E57=0,$G57=""),0,IF($K57="N",--OR(AND(ABS($I57)=1,ABS($J57)=2),AND(ABS($I57)=2,ABS($J57)=1)),IF($K57="B",--AND(ABS($I57)=ABS($J57),$I57&lt;&gt;0,$L57=0),IF($K57="R",--AND(OR($I57=0,$J57=0),OR($I57&lt;&gt;0,$J57&lt;&gt;0),$L57=0),IF($K57="Q",--AND(OR(AND(ABS($I57)=ABS($J57),$I57&lt;&gt;0),AND(OR($I57=0,$J57=0),OR($I57&lt;&gt;0,$J57&lt;&gt;0))),$L57=0),IF($K57="K",--OR(MAX(ABS($I57),ABS($J57))=1,$M57=1),$N57))))))</f>
        <v>0</v>
      </c>
      <c r="P57" s="11" t="n">
        <f aca="false">IF($Q57="OK",1,0)</f>
        <v>0</v>
      </c>
      <c r="Q57" s="11" t="str">
        <f aca="false">IF($B57="","",IF(OR(COUNTIF($AH56:$CS56,"wK")=0,COUNTIF($AH56:$CS56,"bK")=0),"Game is over",IF(OR($D57=0,$E57=0),"Use the format e2e4",IF($G57="","No piece on that square",IF(LEFT($G57,1)&lt;&gt;$F57,"Not your piece ("&amp;IF($F57="w","White","Black")&amp;" to move)",IF($D57=$E57,"Piece must move",IF(AND($H57&lt;&gt;"",LEFT($H57,1)=$F57),"Cannot capture your own piece",IF($O57=0,"Illegal move for that piece (or path blocked)","OK"))))))))</f>
        <v/>
      </c>
      <c r="R57" s="11" t="n">
        <f aca="false">IF($P57=1,IF(AND($K57="P",ABS($J57)=2),($D57+$E57)/2,0),$R56)</f>
        <v>0</v>
      </c>
      <c r="S57" s="12" t="b">
        <f aca="false">--OR($S56=1,AND($P57=1,OR($D57=5,$E57=5)))</f>
        <v>0</v>
      </c>
      <c r="T57" s="12" t="b">
        <f aca="false">--OR($T56=1,AND($P57=1,OR($D57=1,$E57=1)))</f>
        <v>0</v>
      </c>
      <c r="U57" s="12" t="b">
        <f aca="false">--OR($U56=1,AND($P57=1,OR($D57=8,$E57=8)))</f>
        <v>0</v>
      </c>
      <c r="V57" s="12" t="b">
        <f aca="false">--OR($V56=1,AND($P57=1,OR($D57=61,$E57=61)))</f>
        <v>0</v>
      </c>
      <c r="W57" s="12" t="b">
        <f aca="false">--OR($W56=1,AND($P57=1,OR($D57=57,$E57=57)))</f>
        <v>0</v>
      </c>
      <c r="X57" s="12" t="b">
        <f aca="false">--OR($X56=1,AND($P57=1,OR($D57=64,$E57=64)))</f>
        <v>0</v>
      </c>
      <c r="Y57" s="12" t="b">
        <f aca="false">--AND($P57=1,$K57="K",ABS($I57)=2)</f>
        <v>0</v>
      </c>
      <c r="Z57" s="12" t="b">
        <f aca="false">--AND($P57=1,$K57="P",ABS($I57)=1,$H57="")</f>
        <v>0</v>
      </c>
      <c r="AA57" s="12" t="b">
        <f aca="false">--AND($P57=1,$K57="P",INT(($E57-1)/8)=IF($F57="w",7,0))</f>
        <v>0</v>
      </c>
      <c r="AB57" s="11" t="str">
        <f aca="false">IF(LEN($C57)&gt;=5,IF(ISNUMBER(FIND(MID($C57,5,1),"qrbn")),UPPER(MID($C57,5,1)),"Q"),"Q")</f>
        <v>Q</v>
      </c>
      <c r="AC57" s="11" t="n">
        <f aca="false">IF($Y57=1,IF($I57=2,$D57+3,$D57-4),0)</f>
        <v>0</v>
      </c>
      <c r="AD57" s="11" t="n">
        <f aca="false">IF($Y57=1,IF($I57=2,$D57+1,$D57-1),0)</f>
        <v>0</v>
      </c>
      <c r="AE57" s="11" t="n">
        <f aca="false">IF($Z57=1,$E57-8*IF($F57="w",1,-1),0)</f>
        <v>0</v>
      </c>
      <c r="AF57" s="11" t="str">
        <f aca="false">IF($B57="","",IF($P57=1,LOWER(INDEX($CV$2:$CV$13,MATCH($G57,$CU$2:$CU$13,0)))&amp;" "&amp;MID("abcdefgh",MOD($D57-1,8)+1,1)&amp;(INT(($D57-1)/8)+1)&amp;"→"&amp;MID("abcdefgh",MOD($E57-1,8)+1,1)&amp;(INT(($E57-1)/8)+1)&amp;IF(OR($H57&lt;&gt;"",$Z57=1)," ×","")&amp;IF($Y57=1," castles","")&amp;IF($Z57=1," e.p.","")&amp;IF($AA57=1," =" &amp;LOWER(INDEX($CV$2:$CV$13,MATCH($F57&amp;$AB57,$CU$2:$CU$13,0))),""),"X "&amp;$Q57))</f>
        <v/>
      </c>
      <c r="AG57" s="11"/>
      <c r="AH57" s="11" t="str">
        <f aca="false">IF($P57=0,AH56,IF(AH$3=$E57,IF($AA57=1,$F57&amp;$AB57,$G57),IF(OR(AH$3=$D57,AH$3=$AC57,AH$3=$AE57),"",IF(AH$3=$AD57,$F57&amp;"R",AH56))))</f>
        <v>wR</v>
      </c>
      <c r="AI57" s="11" t="str">
        <f aca="false">IF($P57=0,AI56,IF(AI$3=$E57,IF($AA57=1,$F57&amp;$AB57,$G57),IF(OR(AI$3=$D57,AI$3=$AC57,AI$3=$AE57),"",IF(AI$3=$AD57,$F57&amp;"R",AI56))))</f>
        <v>wN</v>
      </c>
      <c r="AJ57" s="11" t="str">
        <f aca="false">IF($P57=0,AJ56,IF(AJ$3=$E57,IF($AA57=1,$F57&amp;$AB57,$G57),IF(OR(AJ$3=$D57,AJ$3=$AC57,AJ$3=$AE57),"",IF(AJ$3=$AD57,$F57&amp;"R",AJ56))))</f>
        <v>wB</v>
      </c>
      <c r="AK57" s="11" t="str">
        <f aca="false">IF($P57=0,AK56,IF(AK$3=$E57,IF($AA57=1,$F57&amp;$AB57,$G57),IF(OR(AK$3=$D57,AK$3=$AC57,AK$3=$AE57),"",IF(AK$3=$AD57,$F57&amp;"R",AK56))))</f>
        <v>wQ</v>
      </c>
      <c r="AL57" s="11" t="str">
        <f aca="false">IF($P57=0,AL56,IF(AL$3=$E57,IF($AA57=1,$F57&amp;$AB57,$G57),IF(OR(AL$3=$D57,AL$3=$AC57,AL$3=$AE57),"",IF(AL$3=$AD57,$F57&amp;"R",AL56))))</f>
        <v>wK</v>
      </c>
      <c r="AM57" s="11" t="str">
        <f aca="false">IF($P57=0,AM56,IF(AM$3=$E57,IF($AA57=1,$F57&amp;$AB57,$G57),IF(OR(AM$3=$D57,AM$3=$AC57,AM$3=$AE57),"",IF(AM$3=$AD57,$F57&amp;"R",AM56))))</f>
        <v>wB</v>
      </c>
      <c r="AN57" s="11" t="str">
        <f aca="false">IF($P57=0,AN56,IF(AN$3=$E57,IF($AA57=1,$F57&amp;$AB57,$G57),IF(OR(AN$3=$D57,AN$3=$AC57,AN$3=$AE57),"",IF(AN$3=$AD57,$F57&amp;"R",AN56))))</f>
        <v>wN</v>
      </c>
      <c r="AO57" s="11" t="str">
        <f aca="false">IF($P57=0,AO56,IF(AO$3=$E57,IF($AA57=1,$F57&amp;$AB57,$G57),IF(OR(AO$3=$D57,AO$3=$AC57,AO$3=$AE57),"",IF(AO$3=$AD57,$F57&amp;"R",AO56))))</f>
        <v>wR</v>
      </c>
      <c r="AP57" s="11" t="str">
        <f aca="false">IF($P57=0,AP56,IF(AP$3=$E57,IF($AA57=1,$F57&amp;$AB57,$G57),IF(OR(AP$3=$D57,AP$3=$AC57,AP$3=$AE57),"",IF(AP$3=$AD57,$F57&amp;"R",AP56))))</f>
        <v>wP</v>
      </c>
      <c r="AQ57" s="11" t="str">
        <f aca="false">IF($P57=0,AQ56,IF(AQ$3=$E57,IF($AA57=1,$F57&amp;$AB57,$G57),IF(OR(AQ$3=$D57,AQ$3=$AC57,AQ$3=$AE57),"",IF(AQ$3=$AD57,$F57&amp;"R",AQ56))))</f>
        <v>wP</v>
      </c>
      <c r="AR57" s="11" t="str">
        <f aca="false">IF($P57=0,AR56,IF(AR$3=$E57,IF($AA57=1,$F57&amp;$AB57,$G57),IF(OR(AR$3=$D57,AR$3=$AC57,AR$3=$AE57),"",IF(AR$3=$AD57,$F57&amp;"R",AR56))))</f>
        <v>wP</v>
      </c>
      <c r="AS57" s="11" t="str">
        <f aca="false">IF($P57=0,AS56,IF(AS$3=$E57,IF($AA57=1,$F57&amp;$AB57,$G57),IF(OR(AS$3=$D57,AS$3=$AC57,AS$3=$AE57),"",IF(AS$3=$AD57,$F57&amp;"R",AS56))))</f>
        <v>wP</v>
      </c>
      <c r="AT57" s="11" t="str">
        <f aca="false">IF($P57=0,AT56,IF(AT$3=$E57,IF($AA57=1,$F57&amp;$AB57,$G57),IF(OR(AT$3=$D57,AT$3=$AC57,AT$3=$AE57),"",IF(AT$3=$AD57,$F57&amp;"R",AT56))))</f>
        <v>wP</v>
      </c>
      <c r="AU57" s="11" t="str">
        <f aca="false">IF($P57=0,AU56,IF(AU$3=$E57,IF($AA57=1,$F57&amp;$AB57,$G57),IF(OR(AU$3=$D57,AU$3=$AC57,AU$3=$AE57),"",IF(AU$3=$AD57,$F57&amp;"R",AU56))))</f>
        <v>wP</v>
      </c>
      <c r="AV57" s="11" t="str">
        <f aca="false">IF($P57=0,AV56,IF(AV$3=$E57,IF($AA57=1,$F57&amp;$AB57,$G57),IF(OR(AV$3=$D57,AV$3=$AC57,AV$3=$AE57),"",IF(AV$3=$AD57,$F57&amp;"R",AV56))))</f>
        <v>wP</v>
      </c>
      <c r="AW57" s="11" t="str">
        <f aca="false">IF($P57=0,AW56,IF(AW$3=$E57,IF($AA57=1,$F57&amp;$AB57,$G57),IF(OR(AW$3=$D57,AW$3=$AC57,AW$3=$AE57),"",IF(AW$3=$AD57,$F57&amp;"R",AW56))))</f>
        <v>wP</v>
      </c>
      <c r="AX57" s="11" t="str">
        <f aca="false">IF($P57=0,AX56,IF(AX$3=$E57,IF($AA57=1,$F57&amp;$AB57,$G57),IF(OR(AX$3=$D57,AX$3=$AC57,AX$3=$AE57),"",IF(AX$3=$AD57,$F57&amp;"R",AX56))))</f>
        <v/>
      </c>
      <c r="AY57" s="11" t="str">
        <f aca="false">IF($P57=0,AY56,IF(AY$3=$E57,IF($AA57=1,$F57&amp;$AB57,$G57),IF(OR(AY$3=$D57,AY$3=$AC57,AY$3=$AE57),"",IF(AY$3=$AD57,$F57&amp;"R",AY56))))</f>
        <v/>
      </c>
      <c r="AZ57" s="11" t="str">
        <f aca="false">IF($P57=0,AZ56,IF(AZ$3=$E57,IF($AA57=1,$F57&amp;$AB57,$G57),IF(OR(AZ$3=$D57,AZ$3=$AC57,AZ$3=$AE57),"",IF(AZ$3=$AD57,$F57&amp;"R",AZ56))))</f>
        <v/>
      </c>
      <c r="BA57" s="11" t="str">
        <f aca="false">IF($P57=0,BA56,IF(BA$3=$E57,IF($AA57=1,$F57&amp;$AB57,$G57),IF(OR(BA$3=$D57,BA$3=$AC57,BA$3=$AE57),"",IF(BA$3=$AD57,$F57&amp;"R",BA56))))</f>
        <v/>
      </c>
      <c r="BB57" s="11" t="str">
        <f aca="false">IF($P57=0,BB56,IF(BB$3=$E57,IF($AA57=1,$F57&amp;$AB57,$G57),IF(OR(BB$3=$D57,BB$3=$AC57,BB$3=$AE57),"",IF(BB$3=$AD57,$F57&amp;"R",BB56))))</f>
        <v/>
      </c>
      <c r="BC57" s="11" t="str">
        <f aca="false">IF($P57=0,BC56,IF(BC$3=$E57,IF($AA57=1,$F57&amp;$AB57,$G57),IF(OR(BC$3=$D57,BC$3=$AC57,BC$3=$AE57),"",IF(BC$3=$AD57,$F57&amp;"R",BC56))))</f>
        <v/>
      </c>
      <c r="BD57" s="11" t="str">
        <f aca="false">IF($P57=0,BD56,IF(BD$3=$E57,IF($AA57=1,$F57&amp;$AB57,$G57),IF(OR(BD$3=$D57,BD$3=$AC57,BD$3=$AE57),"",IF(BD$3=$AD57,$F57&amp;"R",BD56))))</f>
        <v/>
      </c>
      <c r="BE57" s="11" t="str">
        <f aca="false">IF($P57=0,BE56,IF(BE$3=$E57,IF($AA57=1,$F57&amp;$AB57,$G57),IF(OR(BE$3=$D57,BE$3=$AC57,BE$3=$AE57),"",IF(BE$3=$AD57,$F57&amp;"R",BE56))))</f>
        <v/>
      </c>
      <c r="BF57" s="11" t="str">
        <f aca="false">IF($P57=0,BF56,IF(BF$3=$E57,IF($AA57=1,$F57&amp;$AB57,$G57),IF(OR(BF$3=$D57,BF$3=$AC57,BF$3=$AE57),"",IF(BF$3=$AD57,$F57&amp;"R",BF56))))</f>
        <v/>
      </c>
      <c r="BG57" s="11" t="str">
        <f aca="false">IF($P57=0,BG56,IF(BG$3=$E57,IF($AA57=1,$F57&amp;$AB57,$G57),IF(OR(BG$3=$D57,BG$3=$AC57,BG$3=$AE57),"",IF(BG$3=$AD57,$F57&amp;"R",BG56))))</f>
        <v/>
      </c>
      <c r="BH57" s="11" t="str">
        <f aca="false">IF($P57=0,BH56,IF(BH$3=$E57,IF($AA57=1,$F57&amp;$AB57,$G57),IF(OR(BH$3=$D57,BH$3=$AC57,BH$3=$AE57),"",IF(BH$3=$AD57,$F57&amp;"R",BH56))))</f>
        <v/>
      </c>
      <c r="BI57" s="11" t="str">
        <f aca="false">IF($P57=0,BI56,IF(BI$3=$E57,IF($AA57=1,$F57&amp;$AB57,$G57),IF(OR(BI$3=$D57,BI$3=$AC57,BI$3=$AE57),"",IF(BI$3=$AD57,$F57&amp;"R",BI56))))</f>
        <v/>
      </c>
      <c r="BJ57" s="11" t="str">
        <f aca="false">IF($P57=0,BJ56,IF(BJ$3=$E57,IF($AA57=1,$F57&amp;$AB57,$G57),IF(OR(BJ$3=$D57,BJ$3=$AC57,BJ$3=$AE57),"",IF(BJ$3=$AD57,$F57&amp;"R",BJ56))))</f>
        <v/>
      </c>
      <c r="BK57" s="11" t="str">
        <f aca="false">IF($P57=0,BK56,IF(BK$3=$E57,IF($AA57=1,$F57&amp;$AB57,$G57),IF(OR(BK$3=$D57,BK$3=$AC57,BK$3=$AE57),"",IF(BK$3=$AD57,$F57&amp;"R",BK56))))</f>
        <v/>
      </c>
      <c r="BL57" s="11" t="str">
        <f aca="false">IF($P57=0,BL56,IF(BL$3=$E57,IF($AA57=1,$F57&amp;$AB57,$G57),IF(OR(BL$3=$D57,BL$3=$AC57,BL$3=$AE57),"",IF(BL$3=$AD57,$F57&amp;"R",BL56))))</f>
        <v/>
      </c>
      <c r="BM57" s="11" t="str">
        <f aca="false">IF($P57=0,BM56,IF(BM$3=$E57,IF($AA57=1,$F57&amp;$AB57,$G57),IF(OR(BM$3=$D57,BM$3=$AC57,BM$3=$AE57),"",IF(BM$3=$AD57,$F57&amp;"R",BM56))))</f>
        <v/>
      </c>
      <c r="BN57" s="11" t="str">
        <f aca="false">IF($P57=0,BN56,IF(BN$3=$E57,IF($AA57=1,$F57&amp;$AB57,$G57),IF(OR(BN$3=$D57,BN$3=$AC57,BN$3=$AE57),"",IF(BN$3=$AD57,$F57&amp;"R",BN56))))</f>
        <v/>
      </c>
      <c r="BO57" s="11" t="str">
        <f aca="false">IF($P57=0,BO56,IF(BO$3=$E57,IF($AA57=1,$F57&amp;$AB57,$G57),IF(OR(BO$3=$D57,BO$3=$AC57,BO$3=$AE57),"",IF(BO$3=$AD57,$F57&amp;"R",BO56))))</f>
        <v/>
      </c>
      <c r="BP57" s="11" t="str">
        <f aca="false">IF($P57=0,BP56,IF(BP$3=$E57,IF($AA57=1,$F57&amp;$AB57,$G57),IF(OR(BP$3=$D57,BP$3=$AC57,BP$3=$AE57),"",IF(BP$3=$AD57,$F57&amp;"R",BP56))))</f>
        <v/>
      </c>
      <c r="BQ57" s="11" t="str">
        <f aca="false">IF($P57=0,BQ56,IF(BQ$3=$E57,IF($AA57=1,$F57&amp;$AB57,$G57),IF(OR(BQ$3=$D57,BQ$3=$AC57,BQ$3=$AE57),"",IF(BQ$3=$AD57,$F57&amp;"R",BQ56))))</f>
        <v/>
      </c>
      <c r="BR57" s="11" t="str">
        <f aca="false">IF($P57=0,BR56,IF(BR$3=$E57,IF($AA57=1,$F57&amp;$AB57,$G57),IF(OR(BR$3=$D57,BR$3=$AC57,BR$3=$AE57),"",IF(BR$3=$AD57,$F57&amp;"R",BR56))))</f>
        <v/>
      </c>
      <c r="BS57" s="11" t="str">
        <f aca="false">IF($P57=0,BS56,IF(BS$3=$E57,IF($AA57=1,$F57&amp;$AB57,$G57),IF(OR(BS$3=$D57,BS$3=$AC57,BS$3=$AE57),"",IF(BS$3=$AD57,$F57&amp;"R",BS56))))</f>
        <v/>
      </c>
      <c r="BT57" s="11" t="str">
        <f aca="false">IF($P57=0,BT56,IF(BT$3=$E57,IF($AA57=1,$F57&amp;$AB57,$G57),IF(OR(BT$3=$D57,BT$3=$AC57,BT$3=$AE57),"",IF(BT$3=$AD57,$F57&amp;"R",BT56))))</f>
        <v/>
      </c>
      <c r="BU57" s="11" t="str">
        <f aca="false">IF($P57=0,BU56,IF(BU$3=$E57,IF($AA57=1,$F57&amp;$AB57,$G57),IF(OR(BU$3=$D57,BU$3=$AC57,BU$3=$AE57),"",IF(BU$3=$AD57,$F57&amp;"R",BU56))))</f>
        <v/>
      </c>
      <c r="BV57" s="11" t="str">
        <f aca="false">IF($P57=0,BV56,IF(BV$3=$E57,IF($AA57=1,$F57&amp;$AB57,$G57),IF(OR(BV$3=$D57,BV$3=$AC57,BV$3=$AE57),"",IF(BV$3=$AD57,$F57&amp;"R",BV56))))</f>
        <v/>
      </c>
      <c r="BW57" s="11" t="str">
        <f aca="false">IF($P57=0,BW56,IF(BW$3=$E57,IF($AA57=1,$F57&amp;$AB57,$G57),IF(OR(BW$3=$D57,BW$3=$AC57,BW$3=$AE57),"",IF(BW$3=$AD57,$F57&amp;"R",BW56))))</f>
        <v/>
      </c>
      <c r="BX57" s="11" t="str">
        <f aca="false">IF($P57=0,BX56,IF(BX$3=$E57,IF($AA57=1,$F57&amp;$AB57,$G57),IF(OR(BX$3=$D57,BX$3=$AC57,BX$3=$AE57),"",IF(BX$3=$AD57,$F57&amp;"R",BX56))))</f>
        <v/>
      </c>
      <c r="BY57" s="11" t="str">
        <f aca="false">IF($P57=0,BY56,IF(BY$3=$E57,IF($AA57=1,$F57&amp;$AB57,$G57),IF(OR(BY$3=$D57,BY$3=$AC57,BY$3=$AE57),"",IF(BY$3=$AD57,$F57&amp;"R",BY56))))</f>
        <v/>
      </c>
      <c r="BZ57" s="11" t="str">
        <f aca="false">IF($P57=0,BZ56,IF(BZ$3=$E57,IF($AA57=1,$F57&amp;$AB57,$G57),IF(OR(BZ$3=$D57,BZ$3=$AC57,BZ$3=$AE57),"",IF(BZ$3=$AD57,$F57&amp;"R",BZ56))))</f>
        <v/>
      </c>
      <c r="CA57" s="11" t="str">
        <f aca="false">IF($P57=0,CA56,IF(CA$3=$E57,IF($AA57=1,$F57&amp;$AB57,$G57),IF(OR(CA$3=$D57,CA$3=$AC57,CA$3=$AE57),"",IF(CA$3=$AD57,$F57&amp;"R",CA56))))</f>
        <v/>
      </c>
      <c r="CB57" s="11" t="str">
        <f aca="false">IF($P57=0,CB56,IF(CB$3=$E57,IF($AA57=1,$F57&amp;$AB57,$G57),IF(OR(CB$3=$D57,CB$3=$AC57,CB$3=$AE57),"",IF(CB$3=$AD57,$F57&amp;"R",CB56))))</f>
        <v/>
      </c>
      <c r="CC57" s="11" t="str">
        <f aca="false">IF($P57=0,CC56,IF(CC$3=$E57,IF($AA57=1,$F57&amp;$AB57,$G57),IF(OR(CC$3=$D57,CC$3=$AC57,CC$3=$AE57),"",IF(CC$3=$AD57,$F57&amp;"R",CC56))))</f>
        <v/>
      </c>
      <c r="CD57" s="11" t="str">
        <f aca="false">IF($P57=0,CD56,IF(CD$3=$E57,IF($AA57=1,$F57&amp;$AB57,$G57),IF(OR(CD$3=$D57,CD$3=$AC57,CD$3=$AE57),"",IF(CD$3=$AD57,$F57&amp;"R",CD56))))</f>
        <v>bP</v>
      </c>
      <c r="CE57" s="11" t="str">
        <f aca="false">IF($P57=0,CE56,IF(CE$3=$E57,IF($AA57=1,$F57&amp;$AB57,$G57),IF(OR(CE$3=$D57,CE$3=$AC57,CE$3=$AE57),"",IF(CE$3=$AD57,$F57&amp;"R",CE56))))</f>
        <v>bP</v>
      </c>
      <c r="CF57" s="11" t="str">
        <f aca="false">IF($P57=0,CF56,IF(CF$3=$E57,IF($AA57=1,$F57&amp;$AB57,$G57),IF(OR(CF$3=$D57,CF$3=$AC57,CF$3=$AE57),"",IF(CF$3=$AD57,$F57&amp;"R",CF56))))</f>
        <v>bP</v>
      </c>
      <c r="CG57" s="11" t="str">
        <f aca="false">IF($P57=0,CG56,IF(CG$3=$E57,IF($AA57=1,$F57&amp;$AB57,$G57),IF(OR(CG$3=$D57,CG$3=$AC57,CG$3=$AE57),"",IF(CG$3=$AD57,$F57&amp;"R",CG56))))</f>
        <v>bP</v>
      </c>
      <c r="CH57" s="11" t="str">
        <f aca="false">IF($P57=0,CH56,IF(CH$3=$E57,IF($AA57=1,$F57&amp;$AB57,$G57),IF(OR(CH$3=$D57,CH$3=$AC57,CH$3=$AE57),"",IF(CH$3=$AD57,$F57&amp;"R",CH56))))</f>
        <v>bP</v>
      </c>
      <c r="CI57" s="11" t="str">
        <f aca="false">IF($P57=0,CI56,IF(CI$3=$E57,IF($AA57=1,$F57&amp;$AB57,$G57),IF(OR(CI$3=$D57,CI$3=$AC57,CI$3=$AE57),"",IF(CI$3=$AD57,$F57&amp;"R",CI56))))</f>
        <v>bP</v>
      </c>
      <c r="CJ57" s="11" t="str">
        <f aca="false">IF($P57=0,CJ56,IF(CJ$3=$E57,IF($AA57=1,$F57&amp;$AB57,$G57),IF(OR(CJ$3=$D57,CJ$3=$AC57,CJ$3=$AE57),"",IF(CJ$3=$AD57,$F57&amp;"R",CJ56))))</f>
        <v>bP</v>
      </c>
      <c r="CK57" s="11" t="str">
        <f aca="false">IF($P57=0,CK56,IF(CK$3=$E57,IF($AA57=1,$F57&amp;$AB57,$G57),IF(OR(CK$3=$D57,CK$3=$AC57,CK$3=$AE57),"",IF(CK$3=$AD57,$F57&amp;"R",CK56))))</f>
        <v>bP</v>
      </c>
      <c r="CL57" s="11" t="str">
        <f aca="false">IF($P57=0,CL56,IF(CL$3=$E57,IF($AA57=1,$F57&amp;$AB57,$G57),IF(OR(CL$3=$D57,CL$3=$AC57,CL$3=$AE57),"",IF(CL$3=$AD57,$F57&amp;"R",CL56))))</f>
        <v>bR</v>
      </c>
      <c r="CM57" s="11" t="str">
        <f aca="false">IF($P57=0,CM56,IF(CM$3=$E57,IF($AA57=1,$F57&amp;$AB57,$G57),IF(OR(CM$3=$D57,CM$3=$AC57,CM$3=$AE57),"",IF(CM$3=$AD57,$F57&amp;"R",CM56))))</f>
        <v>bN</v>
      </c>
      <c r="CN57" s="11" t="str">
        <f aca="false">IF($P57=0,CN56,IF(CN$3=$E57,IF($AA57=1,$F57&amp;$AB57,$G57),IF(OR(CN$3=$D57,CN$3=$AC57,CN$3=$AE57),"",IF(CN$3=$AD57,$F57&amp;"R",CN56))))</f>
        <v>bB</v>
      </c>
      <c r="CO57" s="11" t="str">
        <f aca="false">IF($P57=0,CO56,IF(CO$3=$E57,IF($AA57=1,$F57&amp;$AB57,$G57),IF(OR(CO$3=$D57,CO$3=$AC57,CO$3=$AE57),"",IF(CO$3=$AD57,$F57&amp;"R",CO56))))</f>
        <v>bQ</v>
      </c>
      <c r="CP57" s="11" t="str">
        <f aca="false">IF($P57=0,CP56,IF(CP$3=$E57,IF($AA57=1,$F57&amp;$AB57,$G57),IF(OR(CP$3=$D57,CP$3=$AC57,CP$3=$AE57),"",IF(CP$3=$AD57,$F57&amp;"R",CP56))))</f>
        <v>bK</v>
      </c>
      <c r="CQ57" s="11" t="str">
        <f aca="false">IF($P57=0,CQ56,IF(CQ$3=$E57,IF($AA57=1,$F57&amp;$AB57,$G57),IF(OR(CQ$3=$D57,CQ$3=$AC57,CQ$3=$AE57),"",IF(CQ$3=$AD57,$F57&amp;"R",CQ56))))</f>
        <v>bB</v>
      </c>
      <c r="CR57" s="11" t="str">
        <f aca="false">IF($P57=0,CR56,IF(CR$3=$E57,IF($AA57=1,$F57&amp;$AB57,$G57),IF(OR(CR$3=$D57,CR$3=$AC57,CR$3=$AE57),"",IF(CR$3=$AD57,$F57&amp;"R",CR56))))</f>
        <v>bN</v>
      </c>
      <c r="CS57" s="11" t="str">
        <f aca="false">IF($P57=0,CS56,IF(CS$3=$E57,IF($AA57=1,$F57&amp;$AB57,$G57),IF(OR(CS$3=$D57,CS$3=$AC57,CS$3=$AE57),"",IF(CS$3=$AD57,$F57&amp;"R",CS56))))</f>
        <v>bR</v>
      </c>
      <c r="CT57" s="11"/>
      <c r="CU57" s="11"/>
      <c r="CV57" s="11"/>
    </row>
    <row r="58" customFormat="false" ht="15" hidden="false" customHeight="false" outlineLevel="0" collapsed="false">
      <c r="A58" s="11" t="n">
        <v>53</v>
      </c>
      <c r="B58" s="11" t="str">
        <f aca="false">IF(Chess!$L$62="","",Chess!$L$62&amp;"")</f>
        <v/>
      </c>
      <c r="C58" s="11" t="str">
        <f aca="false">LOWER(SUBSTITUTE(SUBSTITUTE(SUBSTITUTE(SUBSTITUTE(TRIM($B58),"-",""),"=","")," ",""),"x",""))</f>
        <v/>
      </c>
      <c r="D58" s="11" t="n">
        <f aca="false">IF(LEN($C58)&lt;4,0,IFERROR(IF(AND(CODE(MID($C58,1,1))&gt;=97,CODE(MID($C58,1,1))&lt;=104,VALUE(MID($C58,2,1))&gt;=1,VALUE(MID($C58,2,1))&lt;=8),(VALUE(MID($C58,2,1))-1)*8+CODE(MID($C58,1,1))-96,0),0))</f>
        <v>0</v>
      </c>
      <c r="E58" s="11" t="n">
        <f aca="false">IF(LEN($C58)&lt;4,0,IFERROR(IF(AND(CODE(MID($C58,3,1))&gt;=97,CODE(MID($C58,3,1))&lt;=104,VALUE(MID($C58,4,1))&gt;=1,VALUE(MID($C58,4,1))&lt;=8),(VALUE(MID($C58,4,1))-1)*8+CODE(MID($C58,3,1))-96,0),0))</f>
        <v>0</v>
      </c>
      <c r="F58" s="11" t="str">
        <f aca="false">IF(MOD(SUM($P$5:$P57),2)=0,"w","b")</f>
        <v>w</v>
      </c>
      <c r="G58" s="11" t="str">
        <f aca="false">IF($D58=0,"",INDEX($AH57:$CS57,1,$D58)&amp;"")</f>
        <v/>
      </c>
      <c r="H58" s="11" t="str">
        <f aca="false">IF($E58=0,"",INDEX($AH57:$CS57,1,$E58)&amp;"")</f>
        <v/>
      </c>
      <c r="I58" s="11" t="n">
        <f aca="false">IF(OR($D58=0,$E58=0),0,MOD($E58-1,8)-MOD($D58-1,8))</f>
        <v>0</v>
      </c>
      <c r="J58" s="11" t="n">
        <f aca="false">IF(OR($D58=0,$E58=0),0,INT(($E58-1)/8)-INT(($D58-1)/8))</f>
        <v>0</v>
      </c>
      <c r="K58" s="11" t="str">
        <f aca="false">IF($G58="","",RIGHT($G58,1))</f>
        <v/>
      </c>
      <c r="L58" s="11" t="n">
        <f aca="false">IF(OR($D58=0,$E58=0),0,SUMPRODUCT(($AH$3:$CS$3&gt;MIN($D58,$E58))*($AH$3:$CS$3&lt;MAX($D58,$E58))*(MOD($AH$3:$CS$3-MIN($D58,$E58),MAX(1,ABS(SIGN($J58)*8+SIGN($I58))))=0)*($AH57:$CS57&lt;&gt;"")))</f>
        <v>0</v>
      </c>
      <c r="M58" s="11" t="n">
        <f aca="false">IF($K58&lt;&gt;"K",0,IFERROR(--AND($J58=0,ABS($I58)=2,$D58=IF($F58="w",5,61),IF($F58="w",$S57,$V57)=0,IF($I58=2,AND(IF($F58="w",$U57,$X57)=0,INDEX($AH57:$CS57,1,$D58+1)&amp;""="",INDEX($AH57:$CS57,1,$D58+2)&amp;""=""),AND(IF($F58="w",$T57,$W57)=0,INDEX($AH57:$CS57,1,$D58-1)&amp;""="",INDEX($AH57:$CS57,1,$D58-2)&amp;""="",INDEX($AH57:$CS57,1,$D58-3)&amp;""=""))),0))</f>
        <v>0</v>
      </c>
      <c r="N58" s="11" t="n">
        <f aca="false">IF($K58&lt;&gt;"P",0,IFERROR(--OR(AND($I58=0,$J58=IF($F58="w",1,-1),$H58=""),AND($I58=0,$J58=2*IF($F58="w",1,-1),$H58="",INT(($D58-1)/8)=IF($F58="w",1,6),INDEX($AH57:$CS57,1,MAX(1,MIN(64,$D58+8*IF($F58="w",1,-1))))&amp;""=""),AND(ABS($I58)=1,$J58=IF($F58="w",1,-1),$H58&lt;&gt;""),AND(ABS($I58)=1,$J58=IF($F58="w",1,-1),$H58="",$R57&gt;0,$E58=$R57)),0))</f>
        <v>0</v>
      </c>
      <c r="O58" s="11" t="n">
        <f aca="false">IF(OR($D58=0,$E58=0,$G58=""),0,IF($K58="N",--OR(AND(ABS($I58)=1,ABS($J58)=2),AND(ABS($I58)=2,ABS($J58)=1)),IF($K58="B",--AND(ABS($I58)=ABS($J58),$I58&lt;&gt;0,$L58=0),IF($K58="R",--AND(OR($I58=0,$J58=0),OR($I58&lt;&gt;0,$J58&lt;&gt;0),$L58=0),IF($K58="Q",--AND(OR(AND(ABS($I58)=ABS($J58),$I58&lt;&gt;0),AND(OR($I58=0,$J58=0),OR($I58&lt;&gt;0,$J58&lt;&gt;0))),$L58=0),IF($K58="K",--OR(MAX(ABS($I58),ABS($J58))=1,$M58=1),$N58))))))</f>
        <v>0</v>
      </c>
      <c r="P58" s="11" t="n">
        <f aca="false">IF($Q58="OK",1,0)</f>
        <v>0</v>
      </c>
      <c r="Q58" s="11" t="str">
        <f aca="false">IF($B58="","",IF(OR(COUNTIF($AH57:$CS57,"wK")=0,COUNTIF($AH57:$CS57,"bK")=0),"Game is over",IF(OR($D58=0,$E58=0),"Use the format e2e4",IF($G58="","No piece on that square",IF(LEFT($G58,1)&lt;&gt;$F58,"Not your piece ("&amp;IF($F58="w","White","Black")&amp;" to move)",IF($D58=$E58,"Piece must move",IF(AND($H58&lt;&gt;"",LEFT($H58,1)=$F58),"Cannot capture your own piece",IF($O58=0,"Illegal move for that piece (or path blocked)","OK"))))))))</f>
        <v/>
      </c>
      <c r="R58" s="11" t="n">
        <f aca="false">IF($P58=1,IF(AND($K58="P",ABS($J58)=2),($D58+$E58)/2,0),$R57)</f>
        <v>0</v>
      </c>
      <c r="S58" s="12" t="b">
        <f aca="false">--OR($S57=1,AND($P58=1,OR($D58=5,$E58=5)))</f>
        <v>0</v>
      </c>
      <c r="T58" s="12" t="b">
        <f aca="false">--OR($T57=1,AND($P58=1,OR($D58=1,$E58=1)))</f>
        <v>0</v>
      </c>
      <c r="U58" s="12" t="b">
        <f aca="false">--OR($U57=1,AND($P58=1,OR($D58=8,$E58=8)))</f>
        <v>0</v>
      </c>
      <c r="V58" s="12" t="b">
        <f aca="false">--OR($V57=1,AND($P58=1,OR($D58=61,$E58=61)))</f>
        <v>0</v>
      </c>
      <c r="W58" s="12" t="b">
        <f aca="false">--OR($W57=1,AND($P58=1,OR($D58=57,$E58=57)))</f>
        <v>0</v>
      </c>
      <c r="X58" s="12" t="b">
        <f aca="false">--OR($X57=1,AND($P58=1,OR($D58=64,$E58=64)))</f>
        <v>0</v>
      </c>
      <c r="Y58" s="12" t="b">
        <f aca="false">--AND($P58=1,$K58="K",ABS($I58)=2)</f>
        <v>0</v>
      </c>
      <c r="Z58" s="12" t="b">
        <f aca="false">--AND($P58=1,$K58="P",ABS($I58)=1,$H58="")</f>
        <v>0</v>
      </c>
      <c r="AA58" s="12" t="b">
        <f aca="false">--AND($P58=1,$K58="P",INT(($E58-1)/8)=IF($F58="w",7,0))</f>
        <v>0</v>
      </c>
      <c r="AB58" s="11" t="str">
        <f aca="false">IF(LEN($C58)&gt;=5,IF(ISNUMBER(FIND(MID($C58,5,1),"qrbn")),UPPER(MID($C58,5,1)),"Q"),"Q")</f>
        <v>Q</v>
      </c>
      <c r="AC58" s="11" t="n">
        <f aca="false">IF($Y58=1,IF($I58=2,$D58+3,$D58-4),0)</f>
        <v>0</v>
      </c>
      <c r="AD58" s="11" t="n">
        <f aca="false">IF($Y58=1,IF($I58=2,$D58+1,$D58-1),0)</f>
        <v>0</v>
      </c>
      <c r="AE58" s="11" t="n">
        <f aca="false">IF($Z58=1,$E58-8*IF($F58="w",1,-1),0)</f>
        <v>0</v>
      </c>
      <c r="AF58" s="11" t="str">
        <f aca="false">IF($B58="","",IF($P58=1,LOWER(INDEX($CV$2:$CV$13,MATCH($G58,$CU$2:$CU$13,0)))&amp;" "&amp;MID("abcdefgh",MOD($D58-1,8)+1,1)&amp;(INT(($D58-1)/8)+1)&amp;"→"&amp;MID("abcdefgh",MOD($E58-1,8)+1,1)&amp;(INT(($E58-1)/8)+1)&amp;IF(OR($H58&lt;&gt;"",$Z58=1)," ×","")&amp;IF($Y58=1," castles","")&amp;IF($Z58=1," e.p.","")&amp;IF($AA58=1," =" &amp;LOWER(INDEX($CV$2:$CV$13,MATCH($F58&amp;$AB58,$CU$2:$CU$13,0))),""),"X "&amp;$Q58))</f>
        <v/>
      </c>
      <c r="AG58" s="11"/>
      <c r="AH58" s="11" t="str">
        <f aca="false">IF($P58=0,AH57,IF(AH$3=$E58,IF($AA58=1,$F58&amp;$AB58,$G58),IF(OR(AH$3=$D58,AH$3=$AC58,AH$3=$AE58),"",IF(AH$3=$AD58,$F58&amp;"R",AH57))))</f>
        <v>wR</v>
      </c>
      <c r="AI58" s="11" t="str">
        <f aca="false">IF($P58=0,AI57,IF(AI$3=$E58,IF($AA58=1,$F58&amp;$AB58,$G58),IF(OR(AI$3=$D58,AI$3=$AC58,AI$3=$AE58),"",IF(AI$3=$AD58,$F58&amp;"R",AI57))))</f>
        <v>wN</v>
      </c>
      <c r="AJ58" s="11" t="str">
        <f aca="false">IF($P58=0,AJ57,IF(AJ$3=$E58,IF($AA58=1,$F58&amp;$AB58,$G58),IF(OR(AJ$3=$D58,AJ$3=$AC58,AJ$3=$AE58),"",IF(AJ$3=$AD58,$F58&amp;"R",AJ57))))</f>
        <v>wB</v>
      </c>
      <c r="AK58" s="11" t="str">
        <f aca="false">IF($P58=0,AK57,IF(AK$3=$E58,IF($AA58=1,$F58&amp;$AB58,$G58),IF(OR(AK$3=$D58,AK$3=$AC58,AK$3=$AE58),"",IF(AK$3=$AD58,$F58&amp;"R",AK57))))</f>
        <v>wQ</v>
      </c>
      <c r="AL58" s="11" t="str">
        <f aca="false">IF($P58=0,AL57,IF(AL$3=$E58,IF($AA58=1,$F58&amp;$AB58,$G58),IF(OR(AL$3=$D58,AL$3=$AC58,AL$3=$AE58),"",IF(AL$3=$AD58,$F58&amp;"R",AL57))))</f>
        <v>wK</v>
      </c>
      <c r="AM58" s="11" t="str">
        <f aca="false">IF($P58=0,AM57,IF(AM$3=$E58,IF($AA58=1,$F58&amp;$AB58,$G58),IF(OR(AM$3=$D58,AM$3=$AC58,AM$3=$AE58),"",IF(AM$3=$AD58,$F58&amp;"R",AM57))))</f>
        <v>wB</v>
      </c>
      <c r="AN58" s="11" t="str">
        <f aca="false">IF($P58=0,AN57,IF(AN$3=$E58,IF($AA58=1,$F58&amp;$AB58,$G58),IF(OR(AN$3=$D58,AN$3=$AC58,AN$3=$AE58),"",IF(AN$3=$AD58,$F58&amp;"R",AN57))))</f>
        <v>wN</v>
      </c>
      <c r="AO58" s="11" t="str">
        <f aca="false">IF($P58=0,AO57,IF(AO$3=$E58,IF($AA58=1,$F58&amp;$AB58,$G58),IF(OR(AO$3=$D58,AO$3=$AC58,AO$3=$AE58),"",IF(AO$3=$AD58,$F58&amp;"R",AO57))))</f>
        <v>wR</v>
      </c>
      <c r="AP58" s="11" t="str">
        <f aca="false">IF($P58=0,AP57,IF(AP$3=$E58,IF($AA58=1,$F58&amp;$AB58,$G58),IF(OR(AP$3=$D58,AP$3=$AC58,AP$3=$AE58),"",IF(AP$3=$AD58,$F58&amp;"R",AP57))))</f>
        <v>wP</v>
      </c>
      <c r="AQ58" s="11" t="str">
        <f aca="false">IF($P58=0,AQ57,IF(AQ$3=$E58,IF($AA58=1,$F58&amp;$AB58,$G58),IF(OR(AQ$3=$D58,AQ$3=$AC58,AQ$3=$AE58),"",IF(AQ$3=$AD58,$F58&amp;"R",AQ57))))</f>
        <v>wP</v>
      </c>
      <c r="AR58" s="11" t="str">
        <f aca="false">IF($P58=0,AR57,IF(AR$3=$E58,IF($AA58=1,$F58&amp;$AB58,$G58),IF(OR(AR$3=$D58,AR$3=$AC58,AR$3=$AE58),"",IF(AR$3=$AD58,$F58&amp;"R",AR57))))</f>
        <v>wP</v>
      </c>
      <c r="AS58" s="11" t="str">
        <f aca="false">IF($P58=0,AS57,IF(AS$3=$E58,IF($AA58=1,$F58&amp;$AB58,$G58),IF(OR(AS$3=$D58,AS$3=$AC58,AS$3=$AE58),"",IF(AS$3=$AD58,$F58&amp;"R",AS57))))</f>
        <v>wP</v>
      </c>
      <c r="AT58" s="11" t="str">
        <f aca="false">IF($P58=0,AT57,IF(AT$3=$E58,IF($AA58=1,$F58&amp;$AB58,$G58),IF(OR(AT$3=$D58,AT$3=$AC58,AT$3=$AE58),"",IF(AT$3=$AD58,$F58&amp;"R",AT57))))</f>
        <v>wP</v>
      </c>
      <c r="AU58" s="11" t="str">
        <f aca="false">IF($P58=0,AU57,IF(AU$3=$E58,IF($AA58=1,$F58&amp;$AB58,$G58),IF(OR(AU$3=$D58,AU$3=$AC58,AU$3=$AE58),"",IF(AU$3=$AD58,$F58&amp;"R",AU57))))</f>
        <v>wP</v>
      </c>
      <c r="AV58" s="11" t="str">
        <f aca="false">IF($P58=0,AV57,IF(AV$3=$E58,IF($AA58=1,$F58&amp;$AB58,$G58),IF(OR(AV$3=$D58,AV$3=$AC58,AV$3=$AE58),"",IF(AV$3=$AD58,$F58&amp;"R",AV57))))</f>
        <v>wP</v>
      </c>
      <c r="AW58" s="11" t="str">
        <f aca="false">IF($P58=0,AW57,IF(AW$3=$E58,IF($AA58=1,$F58&amp;$AB58,$G58),IF(OR(AW$3=$D58,AW$3=$AC58,AW$3=$AE58),"",IF(AW$3=$AD58,$F58&amp;"R",AW57))))</f>
        <v>wP</v>
      </c>
      <c r="AX58" s="11" t="str">
        <f aca="false">IF($P58=0,AX57,IF(AX$3=$E58,IF($AA58=1,$F58&amp;$AB58,$G58),IF(OR(AX$3=$D58,AX$3=$AC58,AX$3=$AE58),"",IF(AX$3=$AD58,$F58&amp;"R",AX57))))</f>
        <v/>
      </c>
      <c r="AY58" s="11" t="str">
        <f aca="false">IF($P58=0,AY57,IF(AY$3=$E58,IF($AA58=1,$F58&amp;$AB58,$G58),IF(OR(AY$3=$D58,AY$3=$AC58,AY$3=$AE58),"",IF(AY$3=$AD58,$F58&amp;"R",AY57))))</f>
        <v/>
      </c>
      <c r="AZ58" s="11" t="str">
        <f aca="false">IF($P58=0,AZ57,IF(AZ$3=$E58,IF($AA58=1,$F58&amp;$AB58,$G58),IF(OR(AZ$3=$D58,AZ$3=$AC58,AZ$3=$AE58),"",IF(AZ$3=$AD58,$F58&amp;"R",AZ57))))</f>
        <v/>
      </c>
      <c r="BA58" s="11" t="str">
        <f aca="false">IF($P58=0,BA57,IF(BA$3=$E58,IF($AA58=1,$F58&amp;$AB58,$G58),IF(OR(BA$3=$D58,BA$3=$AC58,BA$3=$AE58),"",IF(BA$3=$AD58,$F58&amp;"R",BA57))))</f>
        <v/>
      </c>
      <c r="BB58" s="11" t="str">
        <f aca="false">IF($P58=0,BB57,IF(BB$3=$E58,IF($AA58=1,$F58&amp;$AB58,$G58),IF(OR(BB$3=$D58,BB$3=$AC58,BB$3=$AE58),"",IF(BB$3=$AD58,$F58&amp;"R",BB57))))</f>
        <v/>
      </c>
      <c r="BC58" s="11" t="str">
        <f aca="false">IF($P58=0,BC57,IF(BC$3=$E58,IF($AA58=1,$F58&amp;$AB58,$G58),IF(OR(BC$3=$D58,BC$3=$AC58,BC$3=$AE58),"",IF(BC$3=$AD58,$F58&amp;"R",BC57))))</f>
        <v/>
      </c>
      <c r="BD58" s="11" t="str">
        <f aca="false">IF($P58=0,BD57,IF(BD$3=$E58,IF($AA58=1,$F58&amp;$AB58,$G58),IF(OR(BD$3=$D58,BD$3=$AC58,BD$3=$AE58),"",IF(BD$3=$AD58,$F58&amp;"R",BD57))))</f>
        <v/>
      </c>
      <c r="BE58" s="11" t="str">
        <f aca="false">IF($P58=0,BE57,IF(BE$3=$E58,IF($AA58=1,$F58&amp;$AB58,$G58),IF(OR(BE$3=$D58,BE$3=$AC58,BE$3=$AE58),"",IF(BE$3=$AD58,$F58&amp;"R",BE57))))</f>
        <v/>
      </c>
      <c r="BF58" s="11" t="str">
        <f aca="false">IF($P58=0,BF57,IF(BF$3=$E58,IF($AA58=1,$F58&amp;$AB58,$G58),IF(OR(BF$3=$D58,BF$3=$AC58,BF$3=$AE58),"",IF(BF$3=$AD58,$F58&amp;"R",BF57))))</f>
        <v/>
      </c>
      <c r="BG58" s="11" t="str">
        <f aca="false">IF($P58=0,BG57,IF(BG$3=$E58,IF($AA58=1,$F58&amp;$AB58,$G58),IF(OR(BG$3=$D58,BG$3=$AC58,BG$3=$AE58),"",IF(BG$3=$AD58,$F58&amp;"R",BG57))))</f>
        <v/>
      </c>
      <c r="BH58" s="11" t="str">
        <f aca="false">IF($P58=0,BH57,IF(BH$3=$E58,IF($AA58=1,$F58&amp;$AB58,$G58),IF(OR(BH$3=$D58,BH$3=$AC58,BH$3=$AE58),"",IF(BH$3=$AD58,$F58&amp;"R",BH57))))</f>
        <v/>
      </c>
      <c r="BI58" s="11" t="str">
        <f aca="false">IF($P58=0,BI57,IF(BI$3=$E58,IF($AA58=1,$F58&amp;$AB58,$G58),IF(OR(BI$3=$D58,BI$3=$AC58,BI$3=$AE58),"",IF(BI$3=$AD58,$F58&amp;"R",BI57))))</f>
        <v/>
      </c>
      <c r="BJ58" s="11" t="str">
        <f aca="false">IF($P58=0,BJ57,IF(BJ$3=$E58,IF($AA58=1,$F58&amp;$AB58,$G58),IF(OR(BJ$3=$D58,BJ$3=$AC58,BJ$3=$AE58),"",IF(BJ$3=$AD58,$F58&amp;"R",BJ57))))</f>
        <v/>
      </c>
      <c r="BK58" s="11" t="str">
        <f aca="false">IF($P58=0,BK57,IF(BK$3=$E58,IF($AA58=1,$F58&amp;$AB58,$G58),IF(OR(BK$3=$D58,BK$3=$AC58,BK$3=$AE58),"",IF(BK$3=$AD58,$F58&amp;"R",BK57))))</f>
        <v/>
      </c>
      <c r="BL58" s="11" t="str">
        <f aca="false">IF($P58=0,BL57,IF(BL$3=$E58,IF($AA58=1,$F58&amp;$AB58,$G58),IF(OR(BL$3=$D58,BL$3=$AC58,BL$3=$AE58),"",IF(BL$3=$AD58,$F58&amp;"R",BL57))))</f>
        <v/>
      </c>
      <c r="BM58" s="11" t="str">
        <f aca="false">IF($P58=0,BM57,IF(BM$3=$E58,IF($AA58=1,$F58&amp;$AB58,$G58),IF(OR(BM$3=$D58,BM$3=$AC58,BM$3=$AE58),"",IF(BM$3=$AD58,$F58&amp;"R",BM57))))</f>
        <v/>
      </c>
      <c r="BN58" s="11" t="str">
        <f aca="false">IF($P58=0,BN57,IF(BN$3=$E58,IF($AA58=1,$F58&amp;$AB58,$G58),IF(OR(BN$3=$D58,BN$3=$AC58,BN$3=$AE58),"",IF(BN$3=$AD58,$F58&amp;"R",BN57))))</f>
        <v/>
      </c>
      <c r="BO58" s="11" t="str">
        <f aca="false">IF($P58=0,BO57,IF(BO$3=$E58,IF($AA58=1,$F58&amp;$AB58,$G58),IF(OR(BO$3=$D58,BO$3=$AC58,BO$3=$AE58),"",IF(BO$3=$AD58,$F58&amp;"R",BO57))))</f>
        <v/>
      </c>
      <c r="BP58" s="11" t="str">
        <f aca="false">IF($P58=0,BP57,IF(BP$3=$E58,IF($AA58=1,$F58&amp;$AB58,$G58),IF(OR(BP$3=$D58,BP$3=$AC58,BP$3=$AE58),"",IF(BP$3=$AD58,$F58&amp;"R",BP57))))</f>
        <v/>
      </c>
      <c r="BQ58" s="11" t="str">
        <f aca="false">IF($P58=0,BQ57,IF(BQ$3=$E58,IF($AA58=1,$F58&amp;$AB58,$G58),IF(OR(BQ$3=$D58,BQ$3=$AC58,BQ$3=$AE58),"",IF(BQ$3=$AD58,$F58&amp;"R",BQ57))))</f>
        <v/>
      </c>
      <c r="BR58" s="11" t="str">
        <f aca="false">IF($P58=0,BR57,IF(BR$3=$E58,IF($AA58=1,$F58&amp;$AB58,$G58),IF(OR(BR$3=$D58,BR$3=$AC58,BR$3=$AE58),"",IF(BR$3=$AD58,$F58&amp;"R",BR57))))</f>
        <v/>
      </c>
      <c r="BS58" s="11" t="str">
        <f aca="false">IF($P58=0,BS57,IF(BS$3=$E58,IF($AA58=1,$F58&amp;$AB58,$G58),IF(OR(BS$3=$D58,BS$3=$AC58,BS$3=$AE58),"",IF(BS$3=$AD58,$F58&amp;"R",BS57))))</f>
        <v/>
      </c>
      <c r="BT58" s="11" t="str">
        <f aca="false">IF($P58=0,BT57,IF(BT$3=$E58,IF($AA58=1,$F58&amp;$AB58,$G58),IF(OR(BT$3=$D58,BT$3=$AC58,BT$3=$AE58),"",IF(BT$3=$AD58,$F58&amp;"R",BT57))))</f>
        <v/>
      </c>
      <c r="BU58" s="11" t="str">
        <f aca="false">IF($P58=0,BU57,IF(BU$3=$E58,IF($AA58=1,$F58&amp;$AB58,$G58),IF(OR(BU$3=$D58,BU$3=$AC58,BU$3=$AE58),"",IF(BU$3=$AD58,$F58&amp;"R",BU57))))</f>
        <v/>
      </c>
      <c r="BV58" s="11" t="str">
        <f aca="false">IF($P58=0,BV57,IF(BV$3=$E58,IF($AA58=1,$F58&amp;$AB58,$G58),IF(OR(BV$3=$D58,BV$3=$AC58,BV$3=$AE58),"",IF(BV$3=$AD58,$F58&amp;"R",BV57))))</f>
        <v/>
      </c>
      <c r="BW58" s="11" t="str">
        <f aca="false">IF($P58=0,BW57,IF(BW$3=$E58,IF($AA58=1,$F58&amp;$AB58,$G58),IF(OR(BW$3=$D58,BW$3=$AC58,BW$3=$AE58),"",IF(BW$3=$AD58,$F58&amp;"R",BW57))))</f>
        <v/>
      </c>
      <c r="BX58" s="11" t="str">
        <f aca="false">IF($P58=0,BX57,IF(BX$3=$E58,IF($AA58=1,$F58&amp;$AB58,$G58),IF(OR(BX$3=$D58,BX$3=$AC58,BX$3=$AE58),"",IF(BX$3=$AD58,$F58&amp;"R",BX57))))</f>
        <v/>
      </c>
      <c r="BY58" s="11" t="str">
        <f aca="false">IF($P58=0,BY57,IF(BY$3=$E58,IF($AA58=1,$F58&amp;$AB58,$G58),IF(OR(BY$3=$D58,BY$3=$AC58,BY$3=$AE58),"",IF(BY$3=$AD58,$F58&amp;"R",BY57))))</f>
        <v/>
      </c>
      <c r="BZ58" s="11" t="str">
        <f aca="false">IF($P58=0,BZ57,IF(BZ$3=$E58,IF($AA58=1,$F58&amp;$AB58,$G58),IF(OR(BZ$3=$D58,BZ$3=$AC58,BZ$3=$AE58),"",IF(BZ$3=$AD58,$F58&amp;"R",BZ57))))</f>
        <v/>
      </c>
      <c r="CA58" s="11" t="str">
        <f aca="false">IF($P58=0,CA57,IF(CA$3=$E58,IF($AA58=1,$F58&amp;$AB58,$G58),IF(OR(CA$3=$D58,CA$3=$AC58,CA$3=$AE58),"",IF(CA$3=$AD58,$F58&amp;"R",CA57))))</f>
        <v/>
      </c>
      <c r="CB58" s="11" t="str">
        <f aca="false">IF($P58=0,CB57,IF(CB$3=$E58,IF($AA58=1,$F58&amp;$AB58,$G58),IF(OR(CB$3=$D58,CB$3=$AC58,CB$3=$AE58),"",IF(CB$3=$AD58,$F58&amp;"R",CB57))))</f>
        <v/>
      </c>
      <c r="CC58" s="11" t="str">
        <f aca="false">IF($P58=0,CC57,IF(CC$3=$E58,IF($AA58=1,$F58&amp;$AB58,$G58),IF(OR(CC$3=$D58,CC$3=$AC58,CC$3=$AE58),"",IF(CC$3=$AD58,$F58&amp;"R",CC57))))</f>
        <v/>
      </c>
      <c r="CD58" s="11" t="str">
        <f aca="false">IF($P58=0,CD57,IF(CD$3=$E58,IF($AA58=1,$F58&amp;$AB58,$G58),IF(OR(CD$3=$D58,CD$3=$AC58,CD$3=$AE58),"",IF(CD$3=$AD58,$F58&amp;"R",CD57))))</f>
        <v>bP</v>
      </c>
      <c r="CE58" s="11" t="str">
        <f aca="false">IF($P58=0,CE57,IF(CE$3=$E58,IF($AA58=1,$F58&amp;$AB58,$G58),IF(OR(CE$3=$D58,CE$3=$AC58,CE$3=$AE58),"",IF(CE$3=$AD58,$F58&amp;"R",CE57))))</f>
        <v>bP</v>
      </c>
      <c r="CF58" s="11" t="str">
        <f aca="false">IF($P58=0,CF57,IF(CF$3=$E58,IF($AA58=1,$F58&amp;$AB58,$G58),IF(OR(CF$3=$D58,CF$3=$AC58,CF$3=$AE58),"",IF(CF$3=$AD58,$F58&amp;"R",CF57))))</f>
        <v>bP</v>
      </c>
      <c r="CG58" s="11" t="str">
        <f aca="false">IF($P58=0,CG57,IF(CG$3=$E58,IF($AA58=1,$F58&amp;$AB58,$G58),IF(OR(CG$3=$D58,CG$3=$AC58,CG$3=$AE58),"",IF(CG$3=$AD58,$F58&amp;"R",CG57))))</f>
        <v>bP</v>
      </c>
      <c r="CH58" s="11" t="str">
        <f aca="false">IF($P58=0,CH57,IF(CH$3=$E58,IF($AA58=1,$F58&amp;$AB58,$G58),IF(OR(CH$3=$D58,CH$3=$AC58,CH$3=$AE58),"",IF(CH$3=$AD58,$F58&amp;"R",CH57))))</f>
        <v>bP</v>
      </c>
      <c r="CI58" s="11" t="str">
        <f aca="false">IF($P58=0,CI57,IF(CI$3=$E58,IF($AA58=1,$F58&amp;$AB58,$G58),IF(OR(CI$3=$D58,CI$3=$AC58,CI$3=$AE58),"",IF(CI$3=$AD58,$F58&amp;"R",CI57))))</f>
        <v>bP</v>
      </c>
      <c r="CJ58" s="11" t="str">
        <f aca="false">IF($P58=0,CJ57,IF(CJ$3=$E58,IF($AA58=1,$F58&amp;$AB58,$G58),IF(OR(CJ$3=$D58,CJ$3=$AC58,CJ$3=$AE58),"",IF(CJ$3=$AD58,$F58&amp;"R",CJ57))))</f>
        <v>bP</v>
      </c>
      <c r="CK58" s="11" t="str">
        <f aca="false">IF($P58=0,CK57,IF(CK$3=$E58,IF($AA58=1,$F58&amp;$AB58,$G58),IF(OR(CK$3=$D58,CK$3=$AC58,CK$3=$AE58),"",IF(CK$3=$AD58,$F58&amp;"R",CK57))))</f>
        <v>bP</v>
      </c>
      <c r="CL58" s="11" t="str">
        <f aca="false">IF($P58=0,CL57,IF(CL$3=$E58,IF($AA58=1,$F58&amp;$AB58,$G58),IF(OR(CL$3=$D58,CL$3=$AC58,CL$3=$AE58),"",IF(CL$3=$AD58,$F58&amp;"R",CL57))))</f>
        <v>bR</v>
      </c>
      <c r="CM58" s="11" t="str">
        <f aca="false">IF($P58=0,CM57,IF(CM$3=$E58,IF($AA58=1,$F58&amp;$AB58,$G58),IF(OR(CM$3=$D58,CM$3=$AC58,CM$3=$AE58),"",IF(CM$3=$AD58,$F58&amp;"R",CM57))))</f>
        <v>bN</v>
      </c>
      <c r="CN58" s="11" t="str">
        <f aca="false">IF($P58=0,CN57,IF(CN$3=$E58,IF($AA58=1,$F58&amp;$AB58,$G58),IF(OR(CN$3=$D58,CN$3=$AC58,CN$3=$AE58),"",IF(CN$3=$AD58,$F58&amp;"R",CN57))))</f>
        <v>bB</v>
      </c>
      <c r="CO58" s="11" t="str">
        <f aca="false">IF($P58=0,CO57,IF(CO$3=$E58,IF($AA58=1,$F58&amp;$AB58,$G58),IF(OR(CO$3=$D58,CO$3=$AC58,CO$3=$AE58),"",IF(CO$3=$AD58,$F58&amp;"R",CO57))))</f>
        <v>bQ</v>
      </c>
      <c r="CP58" s="11" t="str">
        <f aca="false">IF($P58=0,CP57,IF(CP$3=$E58,IF($AA58=1,$F58&amp;$AB58,$G58),IF(OR(CP$3=$D58,CP$3=$AC58,CP$3=$AE58),"",IF(CP$3=$AD58,$F58&amp;"R",CP57))))</f>
        <v>bK</v>
      </c>
      <c r="CQ58" s="11" t="str">
        <f aca="false">IF($P58=0,CQ57,IF(CQ$3=$E58,IF($AA58=1,$F58&amp;$AB58,$G58),IF(OR(CQ$3=$D58,CQ$3=$AC58,CQ$3=$AE58),"",IF(CQ$3=$AD58,$F58&amp;"R",CQ57))))</f>
        <v>bB</v>
      </c>
      <c r="CR58" s="11" t="str">
        <f aca="false">IF($P58=0,CR57,IF(CR$3=$E58,IF($AA58=1,$F58&amp;$AB58,$G58),IF(OR(CR$3=$D58,CR$3=$AC58,CR$3=$AE58),"",IF(CR$3=$AD58,$F58&amp;"R",CR57))))</f>
        <v>bN</v>
      </c>
      <c r="CS58" s="11" t="str">
        <f aca="false">IF($P58=0,CS57,IF(CS$3=$E58,IF($AA58=1,$F58&amp;$AB58,$G58),IF(OR(CS$3=$D58,CS$3=$AC58,CS$3=$AE58),"",IF(CS$3=$AD58,$F58&amp;"R",CS57))))</f>
        <v>bR</v>
      </c>
      <c r="CT58" s="11"/>
      <c r="CU58" s="11"/>
      <c r="CV58" s="11"/>
    </row>
    <row r="59" customFormat="false" ht="15" hidden="false" customHeight="false" outlineLevel="0" collapsed="false">
      <c r="A59" s="11" t="n">
        <v>54</v>
      </c>
      <c r="B59" s="11" t="str">
        <f aca="false">IF(Chess!$L$63="","",Chess!$L$63&amp;"")</f>
        <v/>
      </c>
      <c r="C59" s="11" t="str">
        <f aca="false">LOWER(SUBSTITUTE(SUBSTITUTE(SUBSTITUTE(SUBSTITUTE(TRIM($B59),"-",""),"=","")," ",""),"x",""))</f>
        <v/>
      </c>
      <c r="D59" s="11" t="n">
        <f aca="false">IF(LEN($C59)&lt;4,0,IFERROR(IF(AND(CODE(MID($C59,1,1))&gt;=97,CODE(MID($C59,1,1))&lt;=104,VALUE(MID($C59,2,1))&gt;=1,VALUE(MID($C59,2,1))&lt;=8),(VALUE(MID($C59,2,1))-1)*8+CODE(MID($C59,1,1))-96,0),0))</f>
        <v>0</v>
      </c>
      <c r="E59" s="11" t="n">
        <f aca="false">IF(LEN($C59)&lt;4,0,IFERROR(IF(AND(CODE(MID($C59,3,1))&gt;=97,CODE(MID($C59,3,1))&lt;=104,VALUE(MID($C59,4,1))&gt;=1,VALUE(MID($C59,4,1))&lt;=8),(VALUE(MID($C59,4,1))-1)*8+CODE(MID($C59,3,1))-96,0),0))</f>
        <v>0</v>
      </c>
      <c r="F59" s="11" t="str">
        <f aca="false">IF(MOD(SUM($P$5:$P58),2)=0,"w","b")</f>
        <v>w</v>
      </c>
      <c r="G59" s="11" t="str">
        <f aca="false">IF($D59=0,"",INDEX($AH58:$CS58,1,$D59)&amp;"")</f>
        <v/>
      </c>
      <c r="H59" s="11" t="str">
        <f aca="false">IF($E59=0,"",INDEX($AH58:$CS58,1,$E59)&amp;"")</f>
        <v/>
      </c>
      <c r="I59" s="11" t="n">
        <f aca="false">IF(OR($D59=0,$E59=0),0,MOD($E59-1,8)-MOD($D59-1,8))</f>
        <v>0</v>
      </c>
      <c r="J59" s="11" t="n">
        <f aca="false">IF(OR($D59=0,$E59=0),0,INT(($E59-1)/8)-INT(($D59-1)/8))</f>
        <v>0</v>
      </c>
      <c r="K59" s="11" t="str">
        <f aca="false">IF($G59="","",RIGHT($G59,1))</f>
        <v/>
      </c>
      <c r="L59" s="11" t="n">
        <f aca="false">IF(OR($D59=0,$E59=0),0,SUMPRODUCT(($AH$3:$CS$3&gt;MIN($D59,$E59))*($AH$3:$CS$3&lt;MAX($D59,$E59))*(MOD($AH$3:$CS$3-MIN($D59,$E59),MAX(1,ABS(SIGN($J59)*8+SIGN($I59))))=0)*($AH58:$CS58&lt;&gt;"")))</f>
        <v>0</v>
      </c>
      <c r="M59" s="11" t="n">
        <f aca="false">IF($K59&lt;&gt;"K",0,IFERROR(--AND($J59=0,ABS($I59)=2,$D59=IF($F59="w",5,61),IF($F59="w",$S58,$V58)=0,IF($I59=2,AND(IF($F59="w",$U58,$X58)=0,INDEX($AH58:$CS58,1,$D59+1)&amp;""="",INDEX($AH58:$CS58,1,$D59+2)&amp;""=""),AND(IF($F59="w",$T58,$W58)=0,INDEX($AH58:$CS58,1,$D59-1)&amp;""="",INDEX($AH58:$CS58,1,$D59-2)&amp;""="",INDEX($AH58:$CS58,1,$D59-3)&amp;""=""))),0))</f>
        <v>0</v>
      </c>
      <c r="N59" s="11" t="n">
        <f aca="false">IF($K59&lt;&gt;"P",0,IFERROR(--OR(AND($I59=0,$J59=IF($F59="w",1,-1),$H59=""),AND($I59=0,$J59=2*IF($F59="w",1,-1),$H59="",INT(($D59-1)/8)=IF($F59="w",1,6),INDEX($AH58:$CS58,1,MAX(1,MIN(64,$D59+8*IF($F59="w",1,-1))))&amp;""=""),AND(ABS($I59)=1,$J59=IF($F59="w",1,-1),$H59&lt;&gt;""),AND(ABS($I59)=1,$J59=IF($F59="w",1,-1),$H59="",$R58&gt;0,$E59=$R58)),0))</f>
        <v>0</v>
      </c>
      <c r="O59" s="11" t="n">
        <f aca="false">IF(OR($D59=0,$E59=0,$G59=""),0,IF($K59="N",--OR(AND(ABS($I59)=1,ABS($J59)=2),AND(ABS($I59)=2,ABS($J59)=1)),IF($K59="B",--AND(ABS($I59)=ABS($J59),$I59&lt;&gt;0,$L59=0),IF($K59="R",--AND(OR($I59=0,$J59=0),OR($I59&lt;&gt;0,$J59&lt;&gt;0),$L59=0),IF($K59="Q",--AND(OR(AND(ABS($I59)=ABS($J59),$I59&lt;&gt;0),AND(OR($I59=0,$J59=0),OR($I59&lt;&gt;0,$J59&lt;&gt;0))),$L59=0),IF($K59="K",--OR(MAX(ABS($I59),ABS($J59))=1,$M59=1),$N59))))))</f>
        <v>0</v>
      </c>
      <c r="P59" s="11" t="n">
        <f aca="false">IF($Q59="OK",1,0)</f>
        <v>0</v>
      </c>
      <c r="Q59" s="11" t="str">
        <f aca="false">IF($B59="","",IF(OR(COUNTIF($AH58:$CS58,"wK")=0,COUNTIF($AH58:$CS58,"bK")=0),"Game is over",IF(OR($D59=0,$E59=0),"Use the format e2e4",IF($G59="","No piece on that square",IF(LEFT($G59,1)&lt;&gt;$F59,"Not your piece ("&amp;IF($F59="w","White","Black")&amp;" to move)",IF($D59=$E59,"Piece must move",IF(AND($H59&lt;&gt;"",LEFT($H59,1)=$F59),"Cannot capture your own piece",IF($O59=0,"Illegal move for that piece (or path blocked)","OK"))))))))</f>
        <v/>
      </c>
      <c r="R59" s="11" t="n">
        <f aca="false">IF($P59=1,IF(AND($K59="P",ABS($J59)=2),($D59+$E59)/2,0),$R58)</f>
        <v>0</v>
      </c>
      <c r="S59" s="12" t="b">
        <f aca="false">--OR($S58=1,AND($P59=1,OR($D59=5,$E59=5)))</f>
        <v>0</v>
      </c>
      <c r="T59" s="12" t="b">
        <f aca="false">--OR($T58=1,AND($P59=1,OR($D59=1,$E59=1)))</f>
        <v>0</v>
      </c>
      <c r="U59" s="12" t="b">
        <f aca="false">--OR($U58=1,AND($P59=1,OR($D59=8,$E59=8)))</f>
        <v>0</v>
      </c>
      <c r="V59" s="12" t="b">
        <f aca="false">--OR($V58=1,AND($P59=1,OR($D59=61,$E59=61)))</f>
        <v>0</v>
      </c>
      <c r="W59" s="12" t="b">
        <f aca="false">--OR($W58=1,AND($P59=1,OR($D59=57,$E59=57)))</f>
        <v>0</v>
      </c>
      <c r="X59" s="12" t="b">
        <f aca="false">--OR($X58=1,AND($P59=1,OR($D59=64,$E59=64)))</f>
        <v>0</v>
      </c>
      <c r="Y59" s="12" t="b">
        <f aca="false">--AND($P59=1,$K59="K",ABS($I59)=2)</f>
        <v>0</v>
      </c>
      <c r="Z59" s="12" t="b">
        <f aca="false">--AND($P59=1,$K59="P",ABS($I59)=1,$H59="")</f>
        <v>0</v>
      </c>
      <c r="AA59" s="12" t="b">
        <f aca="false">--AND($P59=1,$K59="P",INT(($E59-1)/8)=IF($F59="w",7,0))</f>
        <v>0</v>
      </c>
      <c r="AB59" s="11" t="str">
        <f aca="false">IF(LEN($C59)&gt;=5,IF(ISNUMBER(FIND(MID($C59,5,1),"qrbn")),UPPER(MID($C59,5,1)),"Q"),"Q")</f>
        <v>Q</v>
      </c>
      <c r="AC59" s="11" t="n">
        <f aca="false">IF($Y59=1,IF($I59=2,$D59+3,$D59-4),0)</f>
        <v>0</v>
      </c>
      <c r="AD59" s="11" t="n">
        <f aca="false">IF($Y59=1,IF($I59=2,$D59+1,$D59-1),0)</f>
        <v>0</v>
      </c>
      <c r="AE59" s="11" t="n">
        <f aca="false">IF($Z59=1,$E59-8*IF($F59="w",1,-1),0)</f>
        <v>0</v>
      </c>
      <c r="AF59" s="11" t="str">
        <f aca="false">IF($B59="","",IF($P59=1,LOWER(INDEX($CV$2:$CV$13,MATCH($G59,$CU$2:$CU$13,0)))&amp;" "&amp;MID("abcdefgh",MOD($D59-1,8)+1,1)&amp;(INT(($D59-1)/8)+1)&amp;"→"&amp;MID("abcdefgh",MOD($E59-1,8)+1,1)&amp;(INT(($E59-1)/8)+1)&amp;IF(OR($H59&lt;&gt;"",$Z59=1)," ×","")&amp;IF($Y59=1," castles","")&amp;IF($Z59=1," e.p.","")&amp;IF($AA59=1," =" &amp;LOWER(INDEX($CV$2:$CV$13,MATCH($F59&amp;$AB59,$CU$2:$CU$13,0))),""),"X "&amp;$Q59))</f>
        <v/>
      </c>
      <c r="AG59" s="11"/>
      <c r="AH59" s="11" t="str">
        <f aca="false">IF($P59=0,AH58,IF(AH$3=$E59,IF($AA59=1,$F59&amp;$AB59,$G59),IF(OR(AH$3=$D59,AH$3=$AC59,AH$3=$AE59),"",IF(AH$3=$AD59,$F59&amp;"R",AH58))))</f>
        <v>wR</v>
      </c>
      <c r="AI59" s="11" t="str">
        <f aca="false">IF($P59=0,AI58,IF(AI$3=$E59,IF($AA59=1,$F59&amp;$AB59,$G59),IF(OR(AI$3=$D59,AI$3=$AC59,AI$3=$AE59),"",IF(AI$3=$AD59,$F59&amp;"R",AI58))))</f>
        <v>wN</v>
      </c>
      <c r="AJ59" s="11" t="str">
        <f aca="false">IF($P59=0,AJ58,IF(AJ$3=$E59,IF($AA59=1,$F59&amp;$AB59,$G59),IF(OR(AJ$3=$D59,AJ$3=$AC59,AJ$3=$AE59),"",IF(AJ$3=$AD59,$F59&amp;"R",AJ58))))</f>
        <v>wB</v>
      </c>
      <c r="AK59" s="11" t="str">
        <f aca="false">IF($P59=0,AK58,IF(AK$3=$E59,IF($AA59=1,$F59&amp;$AB59,$G59),IF(OR(AK$3=$D59,AK$3=$AC59,AK$3=$AE59),"",IF(AK$3=$AD59,$F59&amp;"R",AK58))))</f>
        <v>wQ</v>
      </c>
      <c r="AL59" s="11" t="str">
        <f aca="false">IF($P59=0,AL58,IF(AL$3=$E59,IF($AA59=1,$F59&amp;$AB59,$G59),IF(OR(AL$3=$D59,AL$3=$AC59,AL$3=$AE59),"",IF(AL$3=$AD59,$F59&amp;"R",AL58))))</f>
        <v>wK</v>
      </c>
      <c r="AM59" s="11" t="str">
        <f aca="false">IF($P59=0,AM58,IF(AM$3=$E59,IF($AA59=1,$F59&amp;$AB59,$G59),IF(OR(AM$3=$D59,AM$3=$AC59,AM$3=$AE59),"",IF(AM$3=$AD59,$F59&amp;"R",AM58))))</f>
        <v>wB</v>
      </c>
      <c r="AN59" s="11" t="str">
        <f aca="false">IF($P59=0,AN58,IF(AN$3=$E59,IF($AA59=1,$F59&amp;$AB59,$G59),IF(OR(AN$3=$D59,AN$3=$AC59,AN$3=$AE59),"",IF(AN$3=$AD59,$F59&amp;"R",AN58))))</f>
        <v>wN</v>
      </c>
      <c r="AO59" s="11" t="str">
        <f aca="false">IF($P59=0,AO58,IF(AO$3=$E59,IF($AA59=1,$F59&amp;$AB59,$G59),IF(OR(AO$3=$D59,AO$3=$AC59,AO$3=$AE59),"",IF(AO$3=$AD59,$F59&amp;"R",AO58))))</f>
        <v>wR</v>
      </c>
      <c r="AP59" s="11" t="str">
        <f aca="false">IF($P59=0,AP58,IF(AP$3=$E59,IF($AA59=1,$F59&amp;$AB59,$G59),IF(OR(AP$3=$D59,AP$3=$AC59,AP$3=$AE59),"",IF(AP$3=$AD59,$F59&amp;"R",AP58))))</f>
        <v>wP</v>
      </c>
      <c r="AQ59" s="11" t="str">
        <f aca="false">IF($P59=0,AQ58,IF(AQ$3=$E59,IF($AA59=1,$F59&amp;$AB59,$G59),IF(OR(AQ$3=$D59,AQ$3=$AC59,AQ$3=$AE59),"",IF(AQ$3=$AD59,$F59&amp;"R",AQ58))))</f>
        <v>wP</v>
      </c>
      <c r="AR59" s="11" t="str">
        <f aca="false">IF($P59=0,AR58,IF(AR$3=$E59,IF($AA59=1,$F59&amp;$AB59,$G59),IF(OR(AR$3=$D59,AR$3=$AC59,AR$3=$AE59),"",IF(AR$3=$AD59,$F59&amp;"R",AR58))))</f>
        <v>wP</v>
      </c>
      <c r="AS59" s="11" t="str">
        <f aca="false">IF($P59=0,AS58,IF(AS$3=$E59,IF($AA59=1,$F59&amp;$AB59,$G59),IF(OR(AS$3=$D59,AS$3=$AC59,AS$3=$AE59),"",IF(AS$3=$AD59,$F59&amp;"R",AS58))))</f>
        <v>wP</v>
      </c>
      <c r="AT59" s="11" t="str">
        <f aca="false">IF($P59=0,AT58,IF(AT$3=$E59,IF($AA59=1,$F59&amp;$AB59,$G59),IF(OR(AT$3=$D59,AT$3=$AC59,AT$3=$AE59),"",IF(AT$3=$AD59,$F59&amp;"R",AT58))))</f>
        <v>wP</v>
      </c>
      <c r="AU59" s="11" t="str">
        <f aca="false">IF($P59=0,AU58,IF(AU$3=$E59,IF($AA59=1,$F59&amp;$AB59,$G59),IF(OR(AU$3=$D59,AU$3=$AC59,AU$3=$AE59),"",IF(AU$3=$AD59,$F59&amp;"R",AU58))))</f>
        <v>wP</v>
      </c>
      <c r="AV59" s="11" t="str">
        <f aca="false">IF($P59=0,AV58,IF(AV$3=$E59,IF($AA59=1,$F59&amp;$AB59,$G59),IF(OR(AV$3=$D59,AV$3=$AC59,AV$3=$AE59),"",IF(AV$3=$AD59,$F59&amp;"R",AV58))))</f>
        <v>wP</v>
      </c>
      <c r="AW59" s="11" t="str">
        <f aca="false">IF($P59=0,AW58,IF(AW$3=$E59,IF($AA59=1,$F59&amp;$AB59,$G59),IF(OR(AW$3=$D59,AW$3=$AC59,AW$3=$AE59),"",IF(AW$3=$AD59,$F59&amp;"R",AW58))))</f>
        <v>wP</v>
      </c>
      <c r="AX59" s="11" t="str">
        <f aca="false">IF($P59=0,AX58,IF(AX$3=$E59,IF($AA59=1,$F59&amp;$AB59,$G59),IF(OR(AX$3=$D59,AX$3=$AC59,AX$3=$AE59),"",IF(AX$3=$AD59,$F59&amp;"R",AX58))))</f>
        <v/>
      </c>
      <c r="AY59" s="11" t="str">
        <f aca="false">IF($P59=0,AY58,IF(AY$3=$E59,IF($AA59=1,$F59&amp;$AB59,$G59),IF(OR(AY$3=$D59,AY$3=$AC59,AY$3=$AE59),"",IF(AY$3=$AD59,$F59&amp;"R",AY58))))</f>
        <v/>
      </c>
      <c r="AZ59" s="11" t="str">
        <f aca="false">IF($P59=0,AZ58,IF(AZ$3=$E59,IF($AA59=1,$F59&amp;$AB59,$G59),IF(OR(AZ$3=$D59,AZ$3=$AC59,AZ$3=$AE59),"",IF(AZ$3=$AD59,$F59&amp;"R",AZ58))))</f>
        <v/>
      </c>
      <c r="BA59" s="11" t="str">
        <f aca="false">IF($P59=0,BA58,IF(BA$3=$E59,IF($AA59=1,$F59&amp;$AB59,$G59),IF(OR(BA$3=$D59,BA$3=$AC59,BA$3=$AE59),"",IF(BA$3=$AD59,$F59&amp;"R",BA58))))</f>
        <v/>
      </c>
      <c r="BB59" s="11" t="str">
        <f aca="false">IF($P59=0,BB58,IF(BB$3=$E59,IF($AA59=1,$F59&amp;$AB59,$G59),IF(OR(BB$3=$D59,BB$3=$AC59,BB$3=$AE59),"",IF(BB$3=$AD59,$F59&amp;"R",BB58))))</f>
        <v/>
      </c>
      <c r="BC59" s="11" t="str">
        <f aca="false">IF($P59=0,BC58,IF(BC$3=$E59,IF($AA59=1,$F59&amp;$AB59,$G59),IF(OR(BC$3=$D59,BC$3=$AC59,BC$3=$AE59),"",IF(BC$3=$AD59,$F59&amp;"R",BC58))))</f>
        <v/>
      </c>
      <c r="BD59" s="11" t="str">
        <f aca="false">IF($P59=0,BD58,IF(BD$3=$E59,IF($AA59=1,$F59&amp;$AB59,$G59),IF(OR(BD$3=$D59,BD$3=$AC59,BD$3=$AE59),"",IF(BD$3=$AD59,$F59&amp;"R",BD58))))</f>
        <v/>
      </c>
      <c r="BE59" s="11" t="str">
        <f aca="false">IF($P59=0,BE58,IF(BE$3=$E59,IF($AA59=1,$F59&amp;$AB59,$G59),IF(OR(BE$3=$D59,BE$3=$AC59,BE$3=$AE59),"",IF(BE$3=$AD59,$F59&amp;"R",BE58))))</f>
        <v/>
      </c>
      <c r="BF59" s="11" t="str">
        <f aca="false">IF($P59=0,BF58,IF(BF$3=$E59,IF($AA59=1,$F59&amp;$AB59,$G59),IF(OR(BF$3=$D59,BF$3=$AC59,BF$3=$AE59),"",IF(BF$3=$AD59,$F59&amp;"R",BF58))))</f>
        <v/>
      </c>
      <c r="BG59" s="11" t="str">
        <f aca="false">IF($P59=0,BG58,IF(BG$3=$E59,IF($AA59=1,$F59&amp;$AB59,$G59),IF(OR(BG$3=$D59,BG$3=$AC59,BG$3=$AE59),"",IF(BG$3=$AD59,$F59&amp;"R",BG58))))</f>
        <v/>
      </c>
      <c r="BH59" s="11" t="str">
        <f aca="false">IF($P59=0,BH58,IF(BH$3=$E59,IF($AA59=1,$F59&amp;$AB59,$G59),IF(OR(BH$3=$D59,BH$3=$AC59,BH$3=$AE59),"",IF(BH$3=$AD59,$F59&amp;"R",BH58))))</f>
        <v/>
      </c>
      <c r="BI59" s="11" t="str">
        <f aca="false">IF($P59=0,BI58,IF(BI$3=$E59,IF($AA59=1,$F59&amp;$AB59,$G59),IF(OR(BI$3=$D59,BI$3=$AC59,BI$3=$AE59),"",IF(BI$3=$AD59,$F59&amp;"R",BI58))))</f>
        <v/>
      </c>
      <c r="BJ59" s="11" t="str">
        <f aca="false">IF($P59=0,BJ58,IF(BJ$3=$E59,IF($AA59=1,$F59&amp;$AB59,$G59),IF(OR(BJ$3=$D59,BJ$3=$AC59,BJ$3=$AE59),"",IF(BJ$3=$AD59,$F59&amp;"R",BJ58))))</f>
        <v/>
      </c>
      <c r="BK59" s="11" t="str">
        <f aca="false">IF($P59=0,BK58,IF(BK$3=$E59,IF($AA59=1,$F59&amp;$AB59,$G59),IF(OR(BK$3=$D59,BK$3=$AC59,BK$3=$AE59),"",IF(BK$3=$AD59,$F59&amp;"R",BK58))))</f>
        <v/>
      </c>
      <c r="BL59" s="11" t="str">
        <f aca="false">IF($P59=0,BL58,IF(BL$3=$E59,IF($AA59=1,$F59&amp;$AB59,$G59),IF(OR(BL$3=$D59,BL$3=$AC59,BL$3=$AE59),"",IF(BL$3=$AD59,$F59&amp;"R",BL58))))</f>
        <v/>
      </c>
      <c r="BM59" s="11" t="str">
        <f aca="false">IF($P59=0,BM58,IF(BM$3=$E59,IF($AA59=1,$F59&amp;$AB59,$G59),IF(OR(BM$3=$D59,BM$3=$AC59,BM$3=$AE59),"",IF(BM$3=$AD59,$F59&amp;"R",BM58))))</f>
        <v/>
      </c>
      <c r="BN59" s="11" t="str">
        <f aca="false">IF($P59=0,BN58,IF(BN$3=$E59,IF($AA59=1,$F59&amp;$AB59,$G59),IF(OR(BN$3=$D59,BN$3=$AC59,BN$3=$AE59),"",IF(BN$3=$AD59,$F59&amp;"R",BN58))))</f>
        <v/>
      </c>
      <c r="BO59" s="11" t="str">
        <f aca="false">IF($P59=0,BO58,IF(BO$3=$E59,IF($AA59=1,$F59&amp;$AB59,$G59),IF(OR(BO$3=$D59,BO$3=$AC59,BO$3=$AE59),"",IF(BO$3=$AD59,$F59&amp;"R",BO58))))</f>
        <v/>
      </c>
      <c r="BP59" s="11" t="str">
        <f aca="false">IF($P59=0,BP58,IF(BP$3=$E59,IF($AA59=1,$F59&amp;$AB59,$G59),IF(OR(BP$3=$D59,BP$3=$AC59,BP$3=$AE59),"",IF(BP$3=$AD59,$F59&amp;"R",BP58))))</f>
        <v/>
      </c>
      <c r="BQ59" s="11" t="str">
        <f aca="false">IF($P59=0,BQ58,IF(BQ$3=$E59,IF($AA59=1,$F59&amp;$AB59,$G59),IF(OR(BQ$3=$D59,BQ$3=$AC59,BQ$3=$AE59),"",IF(BQ$3=$AD59,$F59&amp;"R",BQ58))))</f>
        <v/>
      </c>
      <c r="BR59" s="11" t="str">
        <f aca="false">IF($P59=0,BR58,IF(BR$3=$E59,IF($AA59=1,$F59&amp;$AB59,$G59),IF(OR(BR$3=$D59,BR$3=$AC59,BR$3=$AE59),"",IF(BR$3=$AD59,$F59&amp;"R",BR58))))</f>
        <v/>
      </c>
      <c r="BS59" s="11" t="str">
        <f aca="false">IF($P59=0,BS58,IF(BS$3=$E59,IF($AA59=1,$F59&amp;$AB59,$G59),IF(OR(BS$3=$D59,BS$3=$AC59,BS$3=$AE59),"",IF(BS$3=$AD59,$F59&amp;"R",BS58))))</f>
        <v/>
      </c>
      <c r="BT59" s="11" t="str">
        <f aca="false">IF($P59=0,BT58,IF(BT$3=$E59,IF($AA59=1,$F59&amp;$AB59,$G59),IF(OR(BT$3=$D59,BT$3=$AC59,BT$3=$AE59),"",IF(BT$3=$AD59,$F59&amp;"R",BT58))))</f>
        <v/>
      </c>
      <c r="BU59" s="11" t="str">
        <f aca="false">IF($P59=0,BU58,IF(BU$3=$E59,IF($AA59=1,$F59&amp;$AB59,$G59),IF(OR(BU$3=$D59,BU$3=$AC59,BU$3=$AE59),"",IF(BU$3=$AD59,$F59&amp;"R",BU58))))</f>
        <v/>
      </c>
      <c r="BV59" s="11" t="str">
        <f aca="false">IF($P59=0,BV58,IF(BV$3=$E59,IF($AA59=1,$F59&amp;$AB59,$G59),IF(OR(BV$3=$D59,BV$3=$AC59,BV$3=$AE59),"",IF(BV$3=$AD59,$F59&amp;"R",BV58))))</f>
        <v/>
      </c>
      <c r="BW59" s="11" t="str">
        <f aca="false">IF($P59=0,BW58,IF(BW$3=$E59,IF($AA59=1,$F59&amp;$AB59,$G59),IF(OR(BW$3=$D59,BW$3=$AC59,BW$3=$AE59),"",IF(BW$3=$AD59,$F59&amp;"R",BW58))))</f>
        <v/>
      </c>
      <c r="BX59" s="11" t="str">
        <f aca="false">IF($P59=0,BX58,IF(BX$3=$E59,IF($AA59=1,$F59&amp;$AB59,$G59),IF(OR(BX$3=$D59,BX$3=$AC59,BX$3=$AE59),"",IF(BX$3=$AD59,$F59&amp;"R",BX58))))</f>
        <v/>
      </c>
      <c r="BY59" s="11" t="str">
        <f aca="false">IF($P59=0,BY58,IF(BY$3=$E59,IF($AA59=1,$F59&amp;$AB59,$G59),IF(OR(BY$3=$D59,BY$3=$AC59,BY$3=$AE59),"",IF(BY$3=$AD59,$F59&amp;"R",BY58))))</f>
        <v/>
      </c>
      <c r="BZ59" s="11" t="str">
        <f aca="false">IF($P59=0,BZ58,IF(BZ$3=$E59,IF($AA59=1,$F59&amp;$AB59,$G59),IF(OR(BZ$3=$D59,BZ$3=$AC59,BZ$3=$AE59),"",IF(BZ$3=$AD59,$F59&amp;"R",BZ58))))</f>
        <v/>
      </c>
      <c r="CA59" s="11" t="str">
        <f aca="false">IF($P59=0,CA58,IF(CA$3=$E59,IF($AA59=1,$F59&amp;$AB59,$G59),IF(OR(CA$3=$D59,CA$3=$AC59,CA$3=$AE59),"",IF(CA$3=$AD59,$F59&amp;"R",CA58))))</f>
        <v/>
      </c>
      <c r="CB59" s="11" t="str">
        <f aca="false">IF($P59=0,CB58,IF(CB$3=$E59,IF($AA59=1,$F59&amp;$AB59,$G59),IF(OR(CB$3=$D59,CB$3=$AC59,CB$3=$AE59),"",IF(CB$3=$AD59,$F59&amp;"R",CB58))))</f>
        <v/>
      </c>
      <c r="CC59" s="11" t="str">
        <f aca="false">IF($P59=0,CC58,IF(CC$3=$E59,IF($AA59=1,$F59&amp;$AB59,$G59),IF(OR(CC$3=$D59,CC$3=$AC59,CC$3=$AE59),"",IF(CC$3=$AD59,$F59&amp;"R",CC58))))</f>
        <v/>
      </c>
      <c r="CD59" s="11" t="str">
        <f aca="false">IF($P59=0,CD58,IF(CD$3=$E59,IF($AA59=1,$F59&amp;$AB59,$G59),IF(OR(CD$3=$D59,CD$3=$AC59,CD$3=$AE59),"",IF(CD$3=$AD59,$F59&amp;"R",CD58))))</f>
        <v>bP</v>
      </c>
      <c r="CE59" s="11" t="str">
        <f aca="false">IF($P59=0,CE58,IF(CE$3=$E59,IF($AA59=1,$F59&amp;$AB59,$G59),IF(OR(CE$3=$D59,CE$3=$AC59,CE$3=$AE59),"",IF(CE$3=$AD59,$F59&amp;"R",CE58))))</f>
        <v>bP</v>
      </c>
      <c r="CF59" s="11" t="str">
        <f aca="false">IF($P59=0,CF58,IF(CF$3=$E59,IF($AA59=1,$F59&amp;$AB59,$G59),IF(OR(CF$3=$D59,CF$3=$AC59,CF$3=$AE59),"",IF(CF$3=$AD59,$F59&amp;"R",CF58))))</f>
        <v>bP</v>
      </c>
      <c r="CG59" s="11" t="str">
        <f aca="false">IF($P59=0,CG58,IF(CG$3=$E59,IF($AA59=1,$F59&amp;$AB59,$G59),IF(OR(CG$3=$D59,CG$3=$AC59,CG$3=$AE59),"",IF(CG$3=$AD59,$F59&amp;"R",CG58))))</f>
        <v>bP</v>
      </c>
      <c r="CH59" s="11" t="str">
        <f aca="false">IF($P59=0,CH58,IF(CH$3=$E59,IF($AA59=1,$F59&amp;$AB59,$G59),IF(OR(CH$3=$D59,CH$3=$AC59,CH$3=$AE59),"",IF(CH$3=$AD59,$F59&amp;"R",CH58))))</f>
        <v>bP</v>
      </c>
      <c r="CI59" s="11" t="str">
        <f aca="false">IF($P59=0,CI58,IF(CI$3=$E59,IF($AA59=1,$F59&amp;$AB59,$G59),IF(OR(CI$3=$D59,CI$3=$AC59,CI$3=$AE59),"",IF(CI$3=$AD59,$F59&amp;"R",CI58))))</f>
        <v>bP</v>
      </c>
      <c r="CJ59" s="11" t="str">
        <f aca="false">IF($P59=0,CJ58,IF(CJ$3=$E59,IF($AA59=1,$F59&amp;$AB59,$G59),IF(OR(CJ$3=$D59,CJ$3=$AC59,CJ$3=$AE59),"",IF(CJ$3=$AD59,$F59&amp;"R",CJ58))))</f>
        <v>bP</v>
      </c>
      <c r="CK59" s="11" t="str">
        <f aca="false">IF($P59=0,CK58,IF(CK$3=$E59,IF($AA59=1,$F59&amp;$AB59,$G59),IF(OR(CK$3=$D59,CK$3=$AC59,CK$3=$AE59),"",IF(CK$3=$AD59,$F59&amp;"R",CK58))))</f>
        <v>bP</v>
      </c>
      <c r="CL59" s="11" t="str">
        <f aca="false">IF($P59=0,CL58,IF(CL$3=$E59,IF($AA59=1,$F59&amp;$AB59,$G59),IF(OR(CL$3=$D59,CL$3=$AC59,CL$3=$AE59),"",IF(CL$3=$AD59,$F59&amp;"R",CL58))))</f>
        <v>bR</v>
      </c>
      <c r="CM59" s="11" t="str">
        <f aca="false">IF($P59=0,CM58,IF(CM$3=$E59,IF($AA59=1,$F59&amp;$AB59,$G59),IF(OR(CM$3=$D59,CM$3=$AC59,CM$3=$AE59),"",IF(CM$3=$AD59,$F59&amp;"R",CM58))))</f>
        <v>bN</v>
      </c>
      <c r="CN59" s="11" t="str">
        <f aca="false">IF($P59=0,CN58,IF(CN$3=$E59,IF($AA59=1,$F59&amp;$AB59,$G59),IF(OR(CN$3=$D59,CN$3=$AC59,CN$3=$AE59),"",IF(CN$3=$AD59,$F59&amp;"R",CN58))))</f>
        <v>bB</v>
      </c>
      <c r="CO59" s="11" t="str">
        <f aca="false">IF($P59=0,CO58,IF(CO$3=$E59,IF($AA59=1,$F59&amp;$AB59,$G59),IF(OR(CO$3=$D59,CO$3=$AC59,CO$3=$AE59),"",IF(CO$3=$AD59,$F59&amp;"R",CO58))))</f>
        <v>bQ</v>
      </c>
      <c r="CP59" s="11" t="str">
        <f aca="false">IF($P59=0,CP58,IF(CP$3=$E59,IF($AA59=1,$F59&amp;$AB59,$G59),IF(OR(CP$3=$D59,CP$3=$AC59,CP$3=$AE59),"",IF(CP$3=$AD59,$F59&amp;"R",CP58))))</f>
        <v>bK</v>
      </c>
      <c r="CQ59" s="11" t="str">
        <f aca="false">IF($P59=0,CQ58,IF(CQ$3=$E59,IF($AA59=1,$F59&amp;$AB59,$G59),IF(OR(CQ$3=$D59,CQ$3=$AC59,CQ$3=$AE59),"",IF(CQ$3=$AD59,$F59&amp;"R",CQ58))))</f>
        <v>bB</v>
      </c>
      <c r="CR59" s="11" t="str">
        <f aca="false">IF($P59=0,CR58,IF(CR$3=$E59,IF($AA59=1,$F59&amp;$AB59,$G59),IF(OR(CR$3=$D59,CR$3=$AC59,CR$3=$AE59),"",IF(CR$3=$AD59,$F59&amp;"R",CR58))))</f>
        <v>bN</v>
      </c>
      <c r="CS59" s="11" t="str">
        <f aca="false">IF($P59=0,CS58,IF(CS$3=$E59,IF($AA59=1,$F59&amp;$AB59,$G59),IF(OR(CS$3=$D59,CS$3=$AC59,CS$3=$AE59),"",IF(CS$3=$AD59,$F59&amp;"R",CS58))))</f>
        <v>bR</v>
      </c>
      <c r="CT59" s="11"/>
      <c r="CU59" s="11"/>
      <c r="CV59" s="11"/>
    </row>
    <row r="60" customFormat="false" ht="15" hidden="false" customHeight="false" outlineLevel="0" collapsed="false">
      <c r="A60" s="11" t="n">
        <v>55</v>
      </c>
      <c r="B60" s="11" t="str">
        <f aca="false">IF(Chess!$L$64="","",Chess!$L$64&amp;"")</f>
        <v/>
      </c>
      <c r="C60" s="11" t="str">
        <f aca="false">LOWER(SUBSTITUTE(SUBSTITUTE(SUBSTITUTE(SUBSTITUTE(TRIM($B60),"-",""),"=","")," ",""),"x",""))</f>
        <v/>
      </c>
      <c r="D60" s="11" t="n">
        <f aca="false">IF(LEN($C60)&lt;4,0,IFERROR(IF(AND(CODE(MID($C60,1,1))&gt;=97,CODE(MID($C60,1,1))&lt;=104,VALUE(MID($C60,2,1))&gt;=1,VALUE(MID($C60,2,1))&lt;=8),(VALUE(MID($C60,2,1))-1)*8+CODE(MID($C60,1,1))-96,0),0))</f>
        <v>0</v>
      </c>
      <c r="E60" s="11" t="n">
        <f aca="false">IF(LEN($C60)&lt;4,0,IFERROR(IF(AND(CODE(MID($C60,3,1))&gt;=97,CODE(MID($C60,3,1))&lt;=104,VALUE(MID($C60,4,1))&gt;=1,VALUE(MID($C60,4,1))&lt;=8),(VALUE(MID($C60,4,1))-1)*8+CODE(MID($C60,3,1))-96,0),0))</f>
        <v>0</v>
      </c>
      <c r="F60" s="11" t="str">
        <f aca="false">IF(MOD(SUM($P$5:$P59),2)=0,"w","b")</f>
        <v>w</v>
      </c>
      <c r="G60" s="11" t="str">
        <f aca="false">IF($D60=0,"",INDEX($AH59:$CS59,1,$D60)&amp;"")</f>
        <v/>
      </c>
      <c r="H60" s="11" t="str">
        <f aca="false">IF($E60=0,"",INDEX($AH59:$CS59,1,$E60)&amp;"")</f>
        <v/>
      </c>
      <c r="I60" s="11" t="n">
        <f aca="false">IF(OR($D60=0,$E60=0),0,MOD($E60-1,8)-MOD($D60-1,8))</f>
        <v>0</v>
      </c>
      <c r="J60" s="11" t="n">
        <f aca="false">IF(OR($D60=0,$E60=0),0,INT(($E60-1)/8)-INT(($D60-1)/8))</f>
        <v>0</v>
      </c>
      <c r="K60" s="11" t="str">
        <f aca="false">IF($G60="","",RIGHT($G60,1))</f>
        <v/>
      </c>
      <c r="L60" s="11" t="n">
        <f aca="false">IF(OR($D60=0,$E60=0),0,SUMPRODUCT(($AH$3:$CS$3&gt;MIN($D60,$E60))*($AH$3:$CS$3&lt;MAX($D60,$E60))*(MOD($AH$3:$CS$3-MIN($D60,$E60),MAX(1,ABS(SIGN($J60)*8+SIGN($I60))))=0)*($AH59:$CS59&lt;&gt;"")))</f>
        <v>0</v>
      </c>
      <c r="M60" s="11" t="n">
        <f aca="false">IF($K60&lt;&gt;"K",0,IFERROR(--AND($J60=0,ABS($I60)=2,$D60=IF($F60="w",5,61),IF($F60="w",$S59,$V59)=0,IF($I60=2,AND(IF($F60="w",$U59,$X59)=0,INDEX($AH59:$CS59,1,$D60+1)&amp;""="",INDEX($AH59:$CS59,1,$D60+2)&amp;""=""),AND(IF($F60="w",$T59,$W59)=0,INDEX($AH59:$CS59,1,$D60-1)&amp;""="",INDEX($AH59:$CS59,1,$D60-2)&amp;""="",INDEX($AH59:$CS59,1,$D60-3)&amp;""=""))),0))</f>
        <v>0</v>
      </c>
      <c r="N60" s="11" t="n">
        <f aca="false">IF($K60&lt;&gt;"P",0,IFERROR(--OR(AND($I60=0,$J60=IF($F60="w",1,-1),$H60=""),AND($I60=0,$J60=2*IF($F60="w",1,-1),$H60="",INT(($D60-1)/8)=IF($F60="w",1,6),INDEX($AH59:$CS59,1,MAX(1,MIN(64,$D60+8*IF($F60="w",1,-1))))&amp;""=""),AND(ABS($I60)=1,$J60=IF($F60="w",1,-1),$H60&lt;&gt;""),AND(ABS($I60)=1,$J60=IF($F60="w",1,-1),$H60="",$R59&gt;0,$E60=$R59)),0))</f>
        <v>0</v>
      </c>
      <c r="O60" s="11" t="n">
        <f aca="false">IF(OR($D60=0,$E60=0,$G60=""),0,IF($K60="N",--OR(AND(ABS($I60)=1,ABS($J60)=2),AND(ABS($I60)=2,ABS($J60)=1)),IF($K60="B",--AND(ABS($I60)=ABS($J60),$I60&lt;&gt;0,$L60=0),IF($K60="R",--AND(OR($I60=0,$J60=0),OR($I60&lt;&gt;0,$J60&lt;&gt;0),$L60=0),IF($K60="Q",--AND(OR(AND(ABS($I60)=ABS($J60),$I60&lt;&gt;0),AND(OR($I60=0,$J60=0),OR($I60&lt;&gt;0,$J60&lt;&gt;0))),$L60=0),IF($K60="K",--OR(MAX(ABS($I60),ABS($J60))=1,$M60=1),$N60))))))</f>
        <v>0</v>
      </c>
      <c r="P60" s="11" t="n">
        <f aca="false">IF($Q60="OK",1,0)</f>
        <v>0</v>
      </c>
      <c r="Q60" s="11" t="str">
        <f aca="false">IF($B60="","",IF(OR(COUNTIF($AH59:$CS59,"wK")=0,COUNTIF($AH59:$CS59,"bK")=0),"Game is over",IF(OR($D60=0,$E60=0),"Use the format e2e4",IF($G60="","No piece on that square",IF(LEFT($G60,1)&lt;&gt;$F60,"Not your piece ("&amp;IF($F60="w","White","Black")&amp;" to move)",IF($D60=$E60,"Piece must move",IF(AND($H60&lt;&gt;"",LEFT($H60,1)=$F60),"Cannot capture your own piece",IF($O60=0,"Illegal move for that piece (or path blocked)","OK"))))))))</f>
        <v/>
      </c>
      <c r="R60" s="11" t="n">
        <f aca="false">IF($P60=1,IF(AND($K60="P",ABS($J60)=2),($D60+$E60)/2,0),$R59)</f>
        <v>0</v>
      </c>
      <c r="S60" s="12" t="b">
        <f aca="false">--OR($S59=1,AND($P60=1,OR($D60=5,$E60=5)))</f>
        <v>0</v>
      </c>
      <c r="T60" s="12" t="b">
        <f aca="false">--OR($T59=1,AND($P60=1,OR($D60=1,$E60=1)))</f>
        <v>0</v>
      </c>
      <c r="U60" s="12" t="b">
        <f aca="false">--OR($U59=1,AND($P60=1,OR($D60=8,$E60=8)))</f>
        <v>0</v>
      </c>
      <c r="V60" s="12" t="b">
        <f aca="false">--OR($V59=1,AND($P60=1,OR($D60=61,$E60=61)))</f>
        <v>0</v>
      </c>
      <c r="W60" s="12" t="b">
        <f aca="false">--OR($W59=1,AND($P60=1,OR($D60=57,$E60=57)))</f>
        <v>0</v>
      </c>
      <c r="X60" s="12" t="b">
        <f aca="false">--OR($X59=1,AND($P60=1,OR($D60=64,$E60=64)))</f>
        <v>0</v>
      </c>
      <c r="Y60" s="12" t="b">
        <f aca="false">--AND($P60=1,$K60="K",ABS($I60)=2)</f>
        <v>0</v>
      </c>
      <c r="Z60" s="12" t="b">
        <f aca="false">--AND($P60=1,$K60="P",ABS($I60)=1,$H60="")</f>
        <v>0</v>
      </c>
      <c r="AA60" s="12" t="b">
        <f aca="false">--AND($P60=1,$K60="P",INT(($E60-1)/8)=IF($F60="w",7,0))</f>
        <v>0</v>
      </c>
      <c r="AB60" s="11" t="str">
        <f aca="false">IF(LEN($C60)&gt;=5,IF(ISNUMBER(FIND(MID($C60,5,1),"qrbn")),UPPER(MID($C60,5,1)),"Q"),"Q")</f>
        <v>Q</v>
      </c>
      <c r="AC60" s="11" t="n">
        <f aca="false">IF($Y60=1,IF($I60=2,$D60+3,$D60-4),0)</f>
        <v>0</v>
      </c>
      <c r="AD60" s="11" t="n">
        <f aca="false">IF($Y60=1,IF($I60=2,$D60+1,$D60-1),0)</f>
        <v>0</v>
      </c>
      <c r="AE60" s="11" t="n">
        <f aca="false">IF($Z60=1,$E60-8*IF($F60="w",1,-1),0)</f>
        <v>0</v>
      </c>
      <c r="AF60" s="11" t="str">
        <f aca="false">IF($B60="","",IF($P60=1,LOWER(INDEX($CV$2:$CV$13,MATCH($G60,$CU$2:$CU$13,0)))&amp;" "&amp;MID("abcdefgh",MOD($D60-1,8)+1,1)&amp;(INT(($D60-1)/8)+1)&amp;"→"&amp;MID("abcdefgh",MOD($E60-1,8)+1,1)&amp;(INT(($E60-1)/8)+1)&amp;IF(OR($H60&lt;&gt;"",$Z60=1)," ×","")&amp;IF($Y60=1," castles","")&amp;IF($Z60=1," e.p.","")&amp;IF($AA60=1," =" &amp;LOWER(INDEX($CV$2:$CV$13,MATCH($F60&amp;$AB60,$CU$2:$CU$13,0))),""),"X "&amp;$Q60))</f>
        <v/>
      </c>
      <c r="AG60" s="11"/>
      <c r="AH60" s="11" t="str">
        <f aca="false">IF($P60=0,AH59,IF(AH$3=$E60,IF($AA60=1,$F60&amp;$AB60,$G60),IF(OR(AH$3=$D60,AH$3=$AC60,AH$3=$AE60),"",IF(AH$3=$AD60,$F60&amp;"R",AH59))))</f>
        <v>wR</v>
      </c>
      <c r="AI60" s="11" t="str">
        <f aca="false">IF($P60=0,AI59,IF(AI$3=$E60,IF($AA60=1,$F60&amp;$AB60,$G60),IF(OR(AI$3=$D60,AI$3=$AC60,AI$3=$AE60),"",IF(AI$3=$AD60,$F60&amp;"R",AI59))))</f>
        <v>wN</v>
      </c>
      <c r="AJ60" s="11" t="str">
        <f aca="false">IF($P60=0,AJ59,IF(AJ$3=$E60,IF($AA60=1,$F60&amp;$AB60,$G60),IF(OR(AJ$3=$D60,AJ$3=$AC60,AJ$3=$AE60),"",IF(AJ$3=$AD60,$F60&amp;"R",AJ59))))</f>
        <v>wB</v>
      </c>
      <c r="AK60" s="11" t="str">
        <f aca="false">IF($P60=0,AK59,IF(AK$3=$E60,IF($AA60=1,$F60&amp;$AB60,$G60),IF(OR(AK$3=$D60,AK$3=$AC60,AK$3=$AE60),"",IF(AK$3=$AD60,$F60&amp;"R",AK59))))</f>
        <v>wQ</v>
      </c>
      <c r="AL60" s="11" t="str">
        <f aca="false">IF($P60=0,AL59,IF(AL$3=$E60,IF($AA60=1,$F60&amp;$AB60,$G60),IF(OR(AL$3=$D60,AL$3=$AC60,AL$3=$AE60),"",IF(AL$3=$AD60,$F60&amp;"R",AL59))))</f>
        <v>wK</v>
      </c>
      <c r="AM60" s="11" t="str">
        <f aca="false">IF($P60=0,AM59,IF(AM$3=$E60,IF($AA60=1,$F60&amp;$AB60,$G60),IF(OR(AM$3=$D60,AM$3=$AC60,AM$3=$AE60),"",IF(AM$3=$AD60,$F60&amp;"R",AM59))))</f>
        <v>wB</v>
      </c>
      <c r="AN60" s="11" t="str">
        <f aca="false">IF($P60=0,AN59,IF(AN$3=$E60,IF($AA60=1,$F60&amp;$AB60,$G60),IF(OR(AN$3=$D60,AN$3=$AC60,AN$3=$AE60),"",IF(AN$3=$AD60,$F60&amp;"R",AN59))))</f>
        <v>wN</v>
      </c>
      <c r="AO60" s="11" t="str">
        <f aca="false">IF($P60=0,AO59,IF(AO$3=$E60,IF($AA60=1,$F60&amp;$AB60,$G60),IF(OR(AO$3=$D60,AO$3=$AC60,AO$3=$AE60),"",IF(AO$3=$AD60,$F60&amp;"R",AO59))))</f>
        <v>wR</v>
      </c>
      <c r="AP60" s="11" t="str">
        <f aca="false">IF($P60=0,AP59,IF(AP$3=$E60,IF($AA60=1,$F60&amp;$AB60,$G60),IF(OR(AP$3=$D60,AP$3=$AC60,AP$3=$AE60),"",IF(AP$3=$AD60,$F60&amp;"R",AP59))))</f>
        <v>wP</v>
      </c>
      <c r="AQ60" s="11" t="str">
        <f aca="false">IF($P60=0,AQ59,IF(AQ$3=$E60,IF($AA60=1,$F60&amp;$AB60,$G60),IF(OR(AQ$3=$D60,AQ$3=$AC60,AQ$3=$AE60),"",IF(AQ$3=$AD60,$F60&amp;"R",AQ59))))</f>
        <v>wP</v>
      </c>
      <c r="AR60" s="11" t="str">
        <f aca="false">IF($P60=0,AR59,IF(AR$3=$E60,IF($AA60=1,$F60&amp;$AB60,$G60),IF(OR(AR$3=$D60,AR$3=$AC60,AR$3=$AE60),"",IF(AR$3=$AD60,$F60&amp;"R",AR59))))</f>
        <v>wP</v>
      </c>
      <c r="AS60" s="11" t="str">
        <f aca="false">IF($P60=0,AS59,IF(AS$3=$E60,IF($AA60=1,$F60&amp;$AB60,$G60),IF(OR(AS$3=$D60,AS$3=$AC60,AS$3=$AE60),"",IF(AS$3=$AD60,$F60&amp;"R",AS59))))</f>
        <v>wP</v>
      </c>
      <c r="AT60" s="11" t="str">
        <f aca="false">IF($P60=0,AT59,IF(AT$3=$E60,IF($AA60=1,$F60&amp;$AB60,$G60),IF(OR(AT$3=$D60,AT$3=$AC60,AT$3=$AE60),"",IF(AT$3=$AD60,$F60&amp;"R",AT59))))</f>
        <v>wP</v>
      </c>
      <c r="AU60" s="11" t="str">
        <f aca="false">IF($P60=0,AU59,IF(AU$3=$E60,IF($AA60=1,$F60&amp;$AB60,$G60),IF(OR(AU$3=$D60,AU$3=$AC60,AU$3=$AE60),"",IF(AU$3=$AD60,$F60&amp;"R",AU59))))</f>
        <v>wP</v>
      </c>
      <c r="AV60" s="11" t="str">
        <f aca="false">IF($P60=0,AV59,IF(AV$3=$E60,IF($AA60=1,$F60&amp;$AB60,$G60),IF(OR(AV$3=$D60,AV$3=$AC60,AV$3=$AE60),"",IF(AV$3=$AD60,$F60&amp;"R",AV59))))</f>
        <v>wP</v>
      </c>
      <c r="AW60" s="11" t="str">
        <f aca="false">IF($P60=0,AW59,IF(AW$3=$E60,IF($AA60=1,$F60&amp;$AB60,$G60),IF(OR(AW$3=$D60,AW$3=$AC60,AW$3=$AE60),"",IF(AW$3=$AD60,$F60&amp;"R",AW59))))</f>
        <v>wP</v>
      </c>
      <c r="AX60" s="11" t="str">
        <f aca="false">IF($P60=0,AX59,IF(AX$3=$E60,IF($AA60=1,$F60&amp;$AB60,$G60),IF(OR(AX$3=$D60,AX$3=$AC60,AX$3=$AE60),"",IF(AX$3=$AD60,$F60&amp;"R",AX59))))</f>
        <v/>
      </c>
      <c r="AY60" s="11" t="str">
        <f aca="false">IF($P60=0,AY59,IF(AY$3=$E60,IF($AA60=1,$F60&amp;$AB60,$G60),IF(OR(AY$3=$D60,AY$3=$AC60,AY$3=$AE60),"",IF(AY$3=$AD60,$F60&amp;"R",AY59))))</f>
        <v/>
      </c>
      <c r="AZ60" s="11" t="str">
        <f aca="false">IF($P60=0,AZ59,IF(AZ$3=$E60,IF($AA60=1,$F60&amp;$AB60,$G60),IF(OR(AZ$3=$D60,AZ$3=$AC60,AZ$3=$AE60),"",IF(AZ$3=$AD60,$F60&amp;"R",AZ59))))</f>
        <v/>
      </c>
      <c r="BA60" s="11" t="str">
        <f aca="false">IF($P60=0,BA59,IF(BA$3=$E60,IF($AA60=1,$F60&amp;$AB60,$G60),IF(OR(BA$3=$D60,BA$3=$AC60,BA$3=$AE60),"",IF(BA$3=$AD60,$F60&amp;"R",BA59))))</f>
        <v/>
      </c>
      <c r="BB60" s="11" t="str">
        <f aca="false">IF($P60=0,BB59,IF(BB$3=$E60,IF($AA60=1,$F60&amp;$AB60,$G60),IF(OR(BB$3=$D60,BB$3=$AC60,BB$3=$AE60),"",IF(BB$3=$AD60,$F60&amp;"R",BB59))))</f>
        <v/>
      </c>
      <c r="BC60" s="11" t="str">
        <f aca="false">IF($P60=0,BC59,IF(BC$3=$E60,IF($AA60=1,$F60&amp;$AB60,$G60),IF(OR(BC$3=$D60,BC$3=$AC60,BC$3=$AE60),"",IF(BC$3=$AD60,$F60&amp;"R",BC59))))</f>
        <v/>
      </c>
      <c r="BD60" s="11" t="str">
        <f aca="false">IF($P60=0,BD59,IF(BD$3=$E60,IF($AA60=1,$F60&amp;$AB60,$G60),IF(OR(BD$3=$D60,BD$3=$AC60,BD$3=$AE60),"",IF(BD$3=$AD60,$F60&amp;"R",BD59))))</f>
        <v/>
      </c>
      <c r="BE60" s="11" t="str">
        <f aca="false">IF($P60=0,BE59,IF(BE$3=$E60,IF($AA60=1,$F60&amp;$AB60,$G60),IF(OR(BE$3=$D60,BE$3=$AC60,BE$3=$AE60),"",IF(BE$3=$AD60,$F60&amp;"R",BE59))))</f>
        <v/>
      </c>
      <c r="BF60" s="11" t="str">
        <f aca="false">IF($P60=0,BF59,IF(BF$3=$E60,IF($AA60=1,$F60&amp;$AB60,$G60),IF(OR(BF$3=$D60,BF$3=$AC60,BF$3=$AE60),"",IF(BF$3=$AD60,$F60&amp;"R",BF59))))</f>
        <v/>
      </c>
      <c r="BG60" s="11" t="str">
        <f aca="false">IF($P60=0,BG59,IF(BG$3=$E60,IF($AA60=1,$F60&amp;$AB60,$G60),IF(OR(BG$3=$D60,BG$3=$AC60,BG$3=$AE60),"",IF(BG$3=$AD60,$F60&amp;"R",BG59))))</f>
        <v/>
      </c>
      <c r="BH60" s="11" t="str">
        <f aca="false">IF($P60=0,BH59,IF(BH$3=$E60,IF($AA60=1,$F60&amp;$AB60,$G60),IF(OR(BH$3=$D60,BH$3=$AC60,BH$3=$AE60),"",IF(BH$3=$AD60,$F60&amp;"R",BH59))))</f>
        <v/>
      </c>
      <c r="BI60" s="11" t="str">
        <f aca="false">IF($P60=0,BI59,IF(BI$3=$E60,IF($AA60=1,$F60&amp;$AB60,$G60),IF(OR(BI$3=$D60,BI$3=$AC60,BI$3=$AE60),"",IF(BI$3=$AD60,$F60&amp;"R",BI59))))</f>
        <v/>
      </c>
      <c r="BJ60" s="11" t="str">
        <f aca="false">IF($P60=0,BJ59,IF(BJ$3=$E60,IF($AA60=1,$F60&amp;$AB60,$G60),IF(OR(BJ$3=$D60,BJ$3=$AC60,BJ$3=$AE60),"",IF(BJ$3=$AD60,$F60&amp;"R",BJ59))))</f>
        <v/>
      </c>
      <c r="BK60" s="11" t="str">
        <f aca="false">IF($P60=0,BK59,IF(BK$3=$E60,IF($AA60=1,$F60&amp;$AB60,$G60),IF(OR(BK$3=$D60,BK$3=$AC60,BK$3=$AE60),"",IF(BK$3=$AD60,$F60&amp;"R",BK59))))</f>
        <v/>
      </c>
      <c r="BL60" s="11" t="str">
        <f aca="false">IF($P60=0,BL59,IF(BL$3=$E60,IF($AA60=1,$F60&amp;$AB60,$G60),IF(OR(BL$3=$D60,BL$3=$AC60,BL$3=$AE60),"",IF(BL$3=$AD60,$F60&amp;"R",BL59))))</f>
        <v/>
      </c>
      <c r="BM60" s="11" t="str">
        <f aca="false">IF($P60=0,BM59,IF(BM$3=$E60,IF($AA60=1,$F60&amp;$AB60,$G60),IF(OR(BM$3=$D60,BM$3=$AC60,BM$3=$AE60),"",IF(BM$3=$AD60,$F60&amp;"R",BM59))))</f>
        <v/>
      </c>
      <c r="BN60" s="11" t="str">
        <f aca="false">IF($P60=0,BN59,IF(BN$3=$E60,IF($AA60=1,$F60&amp;$AB60,$G60),IF(OR(BN$3=$D60,BN$3=$AC60,BN$3=$AE60),"",IF(BN$3=$AD60,$F60&amp;"R",BN59))))</f>
        <v/>
      </c>
      <c r="BO60" s="11" t="str">
        <f aca="false">IF($P60=0,BO59,IF(BO$3=$E60,IF($AA60=1,$F60&amp;$AB60,$G60),IF(OR(BO$3=$D60,BO$3=$AC60,BO$3=$AE60),"",IF(BO$3=$AD60,$F60&amp;"R",BO59))))</f>
        <v/>
      </c>
      <c r="BP60" s="11" t="str">
        <f aca="false">IF($P60=0,BP59,IF(BP$3=$E60,IF($AA60=1,$F60&amp;$AB60,$G60),IF(OR(BP$3=$D60,BP$3=$AC60,BP$3=$AE60),"",IF(BP$3=$AD60,$F60&amp;"R",BP59))))</f>
        <v/>
      </c>
      <c r="BQ60" s="11" t="str">
        <f aca="false">IF($P60=0,BQ59,IF(BQ$3=$E60,IF($AA60=1,$F60&amp;$AB60,$G60),IF(OR(BQ$3=$D60,BQ$3=$AC60,BQ$3=$AE60),"",IF(BQ$3=$AD60,$F60&amp;"R",BQ59))))</f>
        <v/>
      </c>
      <c r="BR60" s="11" t="str">
        <f aca="false">IF($P60=0,BR59,IF(BR$3=$E60,IF($AA60=1,$F60&amp;$AB60,$G60),IF(OR(BR$3=$D60,BR$3=$AC60,BR$3=$AE60),"",IF(BR$3=$AD60,$F60&amp;"R",BR59))))</f>
        <v/>
      </c>
      <c r="BS60" s="11" t="str">
        <f aca="false">IF($P60=0,BS59,IF(BS$3=$E60,IF($AA60=1,$F60&amp;$AB60,$G60),IF(OR(BS$3=$D60,BS$3=$AC60,BS$3=$AE60),"",IF(BS$3=$AD60,$F60&amp;"R",BS59))))</f>
        <v/>
      </c>
      <c r="BT60" s="11" t="str">
        <f aca="false">IF($P60=0,BT59,IF(BT$3=$E60,IF($AA60=1,$F60&amp;$AB60,$G60),IF(OR(BT$3=$D60,BT$3=$AC60,BT$3=$AE60),"",IF(BT$3=$AD60,$F60&amp;"R",BT59))))</f>
        <v/>
      </c>
      <c r="BU60" s="11" t="str">
        <f aca="false">IF($P60=0,BU59,IF(BU$3=$E60,IF($AA60=1,$F60&amp;$AB60,$G60),IF(OR(BU$3=$D60,BU$3=$AC60,BU$3=$AE60),"",IF(BU$3=$AD60,$F60&amp;"R",BU59))))</f>
        <v/>
      </c>
      <c r="BV60" s="11" t="str">
        <f aca="false">IF($P60=0,BV59,IF(BV$3=$E60,IF($AA60=1,$F60&amp;$AB60,$G60),IF(OR(BV$3=$D60,BV$3=$AC60,BV$3=$AE60),"",IF(BV$3=$AD60,$F60&amp;"R",BV59))))</f>
        <v/>
      </c>
      <c r="BW60" s="11" t="str">
        <f aca="false">IF($P60=0,BW59,IF(BW$3=$E60,IF($AA60=1,$F60&amp;$AB60,$G60),IF(OR(BW$3=$D60,BW$3=$AC60,BW$3=$AE60),"",IF(BW$3=$AD60,$F60&amp;"R",BW59))))</f>
        <v/>
      </c>
      <c r="BX60" s="11" t="str">
        <f aca="false">IF($P60=0,BX59,IF(BX$3=$E60,IF($AA60=1,$F60&amp;$AB60,$G60),IF(OR(BX$3=$D60,BX$3=$AC60,BX$3=$AE60),"",IF(BX$3=$AD60,$F60&amp;"R",BX59))))</f>
        <v/>
      </c>
      <c r="BY60" s="11" t="str">
        <f aca="false">IF($P60=0,BY59,IF(BY$3=$E60,IF($AA60=1,$F60&amp;$AB60,$G60),IF(OR(BY$3=$D60,BY$3=$AC60,BY$3=$AE60),"",IF(BY$3=$AD60,$F60&amp;"R",BY59))))</f>
        <v/>
      </c>
      <c r="BZ60" s="11" t="str">
        <f aca="false">IF($P60=0,BZ59,IF(BZ$3=$E60,IF($AA60=1,$F60&amp;$AB60,$G60),IF(OR(BZ$3=$D60,BZ$3=$AC60,BZ$3=$AE60),"",IF(BZ$3=$AD60,$F60&amp;"R",BZ59))))</f>
        <v/>
      </c>
      <c r="CA60" s="11" t="str">
        <f aca="false">IF($P60=0,CA59,IF(CA$3=$E60,IF($AA60=1,$F60&amp;$AB60,$G60),IF(OR(CA$3=$D60,CA$3=$AC60,CA$3=$AE60),"",IF(CA$3=$AD60,$F60&amp;"R",CA59))))</f>
        <v/>
      </c>
      <c r="CB60" s="11" t="str">
        <f aca="false">IF($P60=0,CB59,IF(CB$3=$E60,IF($AA60=1,$F60&amp;$AB60,$G60),IF(OR(CB$3=$D60,CB$3=$AC60,CB$3=$AE60),"",IF(CB$3=$AD60,$F60&amp;"R",CB59))))</f>
        <v/>
      </c>
      <c r="CC60" s="11" t="str">
        <f aca="false">IF($P60=0,CC59,IF(CC$3=$E60,IF($AA60=1,$F60&amp;$AB60,$G60),IF(OR(CC$3=$D60,CC$3=$AC60,CC$3=$AE60),"",IF(CC$3=$AD60,$F60&amp;"R",CC59))))</f>
        <v/>
      </c>
      <c r="CD60" s="11" t="str">
        <f aca="false">IF($P60=0,CD59,IF(CD$3=$E60,IF($AA60=1,$F60&amp;$AB60,$G60),IF(OR(CD$3=$D60,CD$3=$AC60,CD$3=$AE60),"",IF(CD$3=$AD60,$F60&amp;"R",CD59))))</f>
        <v>bP</v>
      </c>
      <c r="CE60" s="11" t="str">
        <f aca="false">IF($P60=0,CE59,IF(CE$3=$E60,IF($AA60=1,$F60&amp;$AB60,$G60),IF(OR(CE$3=$D60,CE$3=$AC60,CE$3=$AE60),"",IF(CE$3=$AD60,$F60&amp;"R",CE59))))</f>
        <v>bP</v>
      </c>
      <c r="CF60" s="11" t="str">
        <f aca="false">IF($P60=0,CF59,IF(CF$3=$E60,IF($AA60=1,$F60&amp;$AB60,$G60),IF(OR(CF$3=$D60,CF$3=$AC60,CF$3=$AE60),"",IF(CF$3=$AD60,$F60&amp;"R",CF59))))</f>
        <v>bP</v>
      </c>
      <c r="CG60" s="11" t="str">
        <f aca="false">IF($P60=0,CG59,IF(CG$3=$E60,IF($AA60=1,$F60&amp;$AB60,$G60),IF(OR(CG$3=$D60,CG$3=$AC60,CG$3=$AE60),"",IF(CG$3=$AD60,$F60&amp;"R",CG59))))</f>
        <v>bP</v>
      </c>
      <c r="CH60" s="11" t="str">
        <f aca="false">IF($P60=0,CH59,IF(CH$3=$E60,IF($AA60=1,$F60&amp;$AB60,$G60),IF(OR(CH$3=$D60,CH$3=$AC60,CH$3=$AE60),"",IF(CH$3=$AD60,$F60&amp;"R",CH59))))</f>
        <v>bP</v>
      </c>
      <c r="CI60" s="11" t="str">
        <f aca="false">IF($P60=0,CI59,IF(CI$3=$E60,IF($AA60=1,$F60&amp;$AB60,$G60),IF(OR(CI$3=$D60,CI$3=$AC60,CI$3=$AE60),"",IF(CI$3=$AD60,$F60&amp;"R",CI59))))</f>
        <v>bP</v>
      </c>
      <c r="CJ60" s="11" t="str">
        <f aca="false">IF($P60=0,CJ59,IF(CJ$3=$E60,IF($AA60=1,$F60&amp;$AB60,$G60),IF(OR(CJ$3=$D60,CJ$3=$AC60,CJ$3=$AE60),"",IF(CJ$3=$AD60,$F60&amp;"R",CJ59))))</f>
        <v>bP</v>
      </c>
      <c r="CK60" s="11" t="str">
        <f aca="false">IF($P60=0,CK59,IF(CK$3=$E60,IF($AA60=1,$F60&amp;$AB60,$G60),IF(OR(CK$3=$D60,CK$3=$AC60,CK$3=$AE60),"",IF(CK$3=$AD60,$F60&amp;"R",CK59))))</f>
        <v>bP</v>
      </c>
      <c r="CL60" s="11" t="str">
        <f aca="false">IF($P60=0,CL59,IF(CL$3=$E60,IF($AA60=1,$F60&amp;$AB60,$G60),IF(OR(CL$3=$D60,CL$3=$AC60,CL$3=$AE60),"",IF(CL$3=$AD60,$F60&amp;"R",CL59))))</f>
        <v>bR</v>
      </c>
      <c r="CM60" s="11" t="str">
        <f aca="false">IF($P60=0,CM59,IF(CM$3=$E60,IF($AA60=1,$F60&amp;$AB60,$G60),IF(OR(CM$3=$D60,CM$3=$AC60,CM$3=$AE60),"",IF(CM$3=$AD60,$F60&amp;"R",CM59))))</f>
        <v>bN</v>
      </c>
      <c r="CN60" s="11" t="str">
        <f aca="false">IF($P60=0,CN59,IF(CN$3=$E60,IF($AA60=1,$F60&amp;$AB60,$G60),IF(OR(CN$3=$D60,CN$3=$AC60,CN$3=$AE60),"",IF(CN$3=$AD60,$F60&amp;"R",CN59))))</f>
        <v>bB</v>
      </c>
      <c r="CO60" s="11" t="str">
        <f aca="false">IF($P60=0,CO59,IF(CO$3=$E60,IF($AA60=1,$F60&amp;$AB60,$G60),IF(OR(CO$3=$D60,CO$3=$AC60,CO$3=$AE60),"",IF(CO$3=$AD60,$F60&amp;"R",CO59))))</f>
        <v>bQ</v>
      </c>
      <c r="CP60" s="11" t="str">
        <f aca="false">IF($P60=0,CP59,IF(CP$3=$E60,IF($AA60=1,$F60&amp;$AB60,$G60),IF(OR(CP$3=$D60,CP$3=$AC60,CP$3=$AE60),"",IF(CP$3=$AD60,$F60&amp;"R",CP59))))</f>
        <v>bK</v>
      </c>
      <c r="CQ60" s="11" t="str">
        <f aca="false">IF($P60=0,CQ59,IF(CQ$3=$E60,IF($AA60=1,$F60&amp;$AB60,$G60),IF(OR(CQ$3=$D60,CQ$3=$AC60,CQ$3=$AE60),"",IF(CQ$3=$AD60,$F60&amp;"R",CQ59))))</f>
        <v>bB</v>
      </c>
      <c r="CR60" s="11" t="str">
        <f aca="false">IF($P60=0,CR59,IF(CR$3=$E60,IF($AA60=1,$F60&amp;$AB60,$G60),IF(OR(CR$3=$D60,CR$3=$AC60,CR$3=$AE60),"",IF(CR$3=$AD60,$F60&amp;"R",CR59))))</f>
        <v>bN</v>
      </c>
      <c r="CS60" s="11" t="str">
        <f aca="false">IF($P60=0,CS59,IF(CS$3=$E60,IF($AA60=1,$F60&amp;$AB60,$G60),IF(OR(CS$3=$D60,CS$3=$AC60,CS$3=$AE60),"",IF(CS$3=$AD60,$F60&amp;"R",CS59))))</f>
        <v>bR</v>
      </c>
      <c r="CT60" s="11"/>
      <c r="CU60" s="11"/>
      <c r="CV60" s="11"/>
    </row>
    <row r="61" customFormat="false" ht="15" hidden="false" customHeight="false" outlineLevel="0" collapsed="false">
      <c r="A61" s="11" t="n">
        <v>56</v>
      </c>
      <c r="B61" s="11" t="str">
        <f aca="false">IF(Chess!$L$65="","",Chess!$L$65&amp;"")</f>
        <v/>
      </c>
      <c r="C61" s="11" t="str">
        <f aca="false">LOWER(SUBSTITUTE(SUBSTITUTE(SUBSTITUTE(SUBSTITUTE(TRIM($B61),"-",""),"=","")," ",""),"x",""))</f>
        <v/>
      </c>
      <c r="D61" s="11" t="n">
        <f aca="false">IF(LEN($C61)&lt;4,0,IFERROR(IF(AND(CODE(MID($C61,1,1))&gt;=97,CODE(MID($C61,1,1))&lt;=104,VALUE(MID($C61,2,1))&gt;=1,VALUE(MID($C61,2,1))&lt;=8),(VALUE(MID($C61,2,1))-1)*8+CODE(MID($C61,1,1))-96,0),0))</f>
        <v>0</v>
      </c>
      <c r="E61" s="11" t="n">
        <f aca="false">IF(LEN($C61)&lt;4,0,IFERROR(IF(AND(CODE(MID($C61,3,1))&gt;=97,CODE(MID($C61,3,1))&lt;=104,VALUE(MID($C61,4,1))&gt;=1,VALUE(MID($C61,4,1))&lt;=8),(VALUE(MID($C61,4,1))-1)*8+CODE(MID($C61,3,1))-96,0),0))</f>
        <v>0</v>
      </c>
      <c r="F61" s="11" t="str">
        <f aca="false">IF(MOD(SUM($P$5:$P60),2)=0,"w","b")</f>
        <v>w</v>
      </c>
      <c r="G61" s="11" t="str">
        <f aca="false">IF($D61=0,"",INDEX($AH60:$CS60,1,$D61)&amp;"")</f>
        <v/>
      </c>
      <c r="H61" s="11" t="str">
        <f aca="false">IF($E61=0,"",INDEX($AH60:$CS60,1,$E61)&amp;"")</f>
        <v/>
      </c>
      <c r="I61" s="11" t="n">
        <f aca="false">IF(OR($D61=0,$E61=0),0,MOD($E61-1,8)-MOD($D61-1,8))</f>
        <v>0</v>
      </c>
      <c r="J61" s="11" t="n">
        <f aca="false">IF(OR($D61=0,$E61=0),0,INT(($E61-1)/8)-INT(($D61-1)/8))</f>
        <v>0</v>
      </c>
      <c r="K61" s="11" t="str">
        <f aca="false">IF($G61="","",RIGHT($G61,1))</f>
        <v/>
      </c>
      <c r="L61" s="11" t="n">
        <f aca="false">IF(OR($D61=0,$E61=0),0,SUMPRODUCT(($AH$3:$CS$3&gt;MIN($D61,$E61))*($AH$3:$CS$3&lt;MAX($D61,$E61))*(MOD($AH$3:$CS$3-MIN($D61,$E61),MAX(1,ABS(SIGN($J61)*8+SIGN($I61))))=0)*($AH60:$CS60&lt;&gt;"")))</f>
        <v>0</v>
      </c>
      <c r="M61" s="11" t="n">
        <f aca="false">IF($K61&lt;&gt;"K",0,IFERROR(--AND($J61=0,ABS($I61)=2,$D61=IF($F61="w",5,61),IF($F61="w",$S60,$V60)=0,IF($I61=2,AND(IF($F61="w",$U60,$X60)=0,INDEX($AH60:$CS60,1,$D61+1)&amp;""="",INDEX($AH60:$CS60,1,$D61+2)&amp;""=""),AND(IF($F61="w",$T60,$W60)=0,INDEX($AH60:$CS60,1,$D61-1)&amp;""="",INDEX($AH60:$CS60,1,$D61-2)&amp;""="",INDEX($AH60:$CS60,1,$D61-3)&amp;""=""))),0))</f>
        <v>0</v>
      </c>
      <c r="N61" s="11" t="n">
        <f aca="false">IF($K61&lt;&gt;"P",0,IFERROR(--OR(AND($I61=0,$J61=IF($F61="w",1,-1),$H61=""),AND($I61=0,$J61=2*IF($F61="w",1,-1),$H61="",INT(($D61-1)/8)=IF($F61="w",1,6),INDEX($AH60:$CS60,1,MAX(1,MIN(64,$D61+8*IF($F61="w",1,-1))))&amp;""=""),AND(ABS($I61)=1,$J61=IF($F61="w",1,-1),$H61&lt;&gt;""),AND(ABS($I61)=1,$J61=IF($F61="w",1,-1),$H61="",$R60&gt;0,$E61=$R60)),0))</f>
        <v>0</v>
      </c>
      <c r="O61" s="11" t="n">
        <f aca="false">IF(OR($D61=0,$E61=0,$G61=""),0,IF($K61="N",--OR(AND(ABS($I61)=1,ABS($J61)=2),AND(ABS($I61)=2,ABS($J61)=1)),IF($K61="B",--AND(ABS($I61)=ABS($J61),$I61&lt;&gt;0,$L61=0),IF($K61="R",--AND(OR($I61=0,$J61=0),OR($I61&lt;&gt;0,$J61&lt;&gt;0),$L61=0),IF($K61="Q",--AND(OR(AND(ABS($I61)=ABS($J61),$I61&lt;&gt;0),AND(OR($I61=0,$J61=0),OR($I61&lt;&gt;0,$J61&lt;&gt;0))),$L61=0),IF($K61="K",--OR(MAX(ABS($I61),ABS($J61))=1,$M61=1),$N61))))))</f>
        <v>0</v>
      </c>
      <c r="P61" s="11" t="n">
        <f aca="false">IF($Q61="OK",1,0)</f>
        <v>0</v>
      </c>
      <c r="Q61" s="11" t="str">
        <f aca="false">IF($B61="","",IF(OR(COUNTIF($AH60:$CS60,"wK")=0,COUNTIF($AH60:$CS60,"bK")=0),"Game is over",IF(OR($D61=0,$E61=0),"Use the format e2e4",IF($G61="","No piece on that square",IF(LEFT($G61,1)&lt;&gt;$F61,"Not your piece ("&amp;IF($F61="w","White","Black")&amp;" to move)",IF($D61=$E61,"Piece must move",IF(AND($H61&lt;&gt;"",LEFT($H61,1)=$F61),"Cannot capture your own piece",IF($O61=0,"Illegal move for that piece (or path blocked)","OK"))))))))</f>
        <v/>
      </c>
      <c r="R61" s="11" t="n">
        <f aca="false">IF($P61=1,IF(AND($K61="P",ABS($J61)=2),($D61+$E61)/2,0),$R60)</f>
        <v>0</v>
      </c>
      <c r="S61" s="12" t="b">
        <f aca="false">--OR($S60=1,AND($P61=1,OR($D61=5,$E61=5)))</f>
        <v>0</v>
      </c>
      <c r="T61" s="12" t="b">
        <f aca="false">--OR($T60=1,AND($P61=1,OR($D61=1,$E61=1)))</f>
        <v>0</v>
      </c>
      <c r="U61" s="12" t="b">
        <f aca="false">--OR($U60=1,AND($P61=1,OR($D61=8,$E61=8)))</f>
        <v>0</v>
      </c>
      <c r="V61" s="12" t="b">
        <f aca="false">--OR($V60=1,AND($P61=1,OR($D61=61,$E61=61)))</f>
        <v>0</v>
      </c>
      <c r="W61" s="12" t="b">
        <f aca="false">--OR($W60=1,AND($P61=1,OR($D61=57,$E61=57)))</f>
        <v>0</v>
      </c>
      <c r="X61" s="12" t="b">
        <f aca="false">--OR($X60=1,AND($P61=1,OR($D61=64,$E61=64)))</f>
        <v>0</v>
      </c>
      <c r="Y61" s="12" t="b">
        <f aca="false">--AND($P61=1,$K61="K",ABS($I61)=2)</f>
        <v>0</v>
      </c>
      <c r="Z61" s="12" t="b">
        <f aca="false">--AND($P61=1,$K61="P",ABS($I61)=1,$H61="")</f>
        <v>0</v>
      </c>
      <c r="AA61" s="12" t="b">
        <f aca="false">--AND($P61=1,$K61="P",INT(($E61-1)/8)=IF($F61="w",7,0))</f>
        <v>0</v>
      </c>
      <c r="AB61" s="11" t="str">
        <f aca="false">IF(LEN($C61)&gt;=5,IF(ISNUMBER(FIND(MID($C61,5,1),"qrbn")),UPPER(MID($C61,5,1)),"Q"),"Q")</f>
        <v>Q</v>
      </c>
      <c r="AC61" s="11" t="n">
        <f aca="false">IF($Y61=1,IF($I61=2,$D61+3,$D61-4),0)</f>
        <v>0</v>
      </c>
      <c r="AD61" s="11" t="n">
        <f aca="false">IF($Y61=1,IF($I61=2,$D61+1,$D61-1),0)</f>
        <v>0</v>
      </c>
      <c r="AE61" s="11" t="n">
        <f aca="false">IF($Z61=1,$E61-8*IF($F61="w",1,-1),0)</f>
        <v>0</v>
      </c>
      <c r="AF61" s="11" t="str">
        <f aca="false">IF($B61="","",IF($P61=1,LOWER(INDEX($CV$2:$CV$13,MATCH($G61,$CU$2:$CU$13,0)))&amp;" "&amp;MID("abcdefgh",MOD($D61-1,8)+1,1)&amp;(INT(($D61-1)/8)+1)&amp;"→"&amp;MID("abcdefgh",MOD($E61-1,8)+1,1)&amp;(INT(($E61-1)/8)+1)&amp;IF(OR($H61&lt;&gt;"",$Z61=1)," ×","")&amp;IF($Y61=1," castles","")&amp;IF($Z61=1," e.p.","")&amp;IF($AA61=1," =" &amp;LOWER(INDEX($CV$2:$CV$13,MATCH($F61&amp;$AB61,$CU$2:$CU$13,0))),""),"X "&amp;$Q61))</f>
        <v/>
      </c>
      <c r="AG61" s="11"/>
      <c r="AH61" s="11" t="str">
        <f aca="false">IF($P61=0,AH60,IF(AH$3=$E61,IF($AA61=1,$F61&amp;$AB61,$G61),IF(OR(AH$3=$D61,AH$3=$AC61,AH$3=$AE61),"",IF(AH$3=$AD61,$F61&amp;"R",AH60))))</f>
        <v>wR</v>
      </c>
      <c r="AI61" s="11" t="str">
        <f aca="false">IF($P61=0,AI60,IF(AI$3=$E61,IF($AA61=1,$F61&amp;$AB61,$G61),IF(OR(AI$3=$D61,AI$3=$AC61,AI$3=$AE61),"",IF(AI$3=$AD61,$F61&amp;"R",AI60))))</f>
        <v>wN</v>
      </c>
      <c r="AJ61" s="11" t="str">
        <f aca="false">IF($P61=0,AJ60,IF(AJ$3=$E61,IF($AA61=1,$F61&amp;$AB61,$G61),IF(OR(AJ$3=$D61,AJ$3=$AC61,AJ$3=$AE61),"",IF(AJ$3=$AD61,$F61&amp;"R",AJ60))))</f>
        <v>wB</v>
      </c>
      <c r="AK61" s="11" t="str">
        <f aca="false">IF($P61=0,AK60,IF(AK$3=$E61,IF($AA61=1,$F61&amp;$AB61,$G61),IF(OR(AK$3=$D61,AK$3=$AC61,AK$3=$AE61),"",IF(AK$3=$AD61,$F61&amp;"R",AK60))))</f>
        <v>wQ</v>
      </c>
      <c r="AL61" s="11" t="str">
        <f aca="false">IF($P61=0,AL60,IF(AL$3=$E61,IF($AA61=1,$F61&amp;$AB61,$G61),IF(OR(AL$3=$D61,AL$3=$AC61,AL$3=$AE61),"",IF(AL$3=$AD61,$F61&amp;"R",AL60))))</f>
        <v>wK</v>
      </c>
      <c r="AM61" s="11" t="str">
        <f aca="false">IF($P61=0,AM60,IF(AM$3=$E61,IF($AA61=1,$F61&amp;$AB61,$G61),IF(OR(AM$3=$D61,AM$3=$AC61,AM$3=$AE61),"",IF(AM$3=$AD61,$F61&amp;"R",AM60))))</f>
        <v>wB</v>
      </c>
      <c r="AN61" s="11" t="str">
        <f aca="false">IF($P61=0,AN60,IF(AN$3=$E61,IF($AA61=1,$F61&amp;$AB61,$G61),IF(OR(AN$3=$D61,AN$3=$AC61,AN$3=$AE61),"",IF(AN$3=$AD61,$F61&amp;"R",AN60))))</f>
        <v>wN</v>
      </c>
      <c r="AO61" s="11" t="str">
        <f aca="false">IF($P61=0,AO60,IF(AO$3=$E61,IF($AA61=1,$F61&amp;$AB61,$G61),IF(OR(AO$3=$D61,AO$3=$AC61,AO$3=$AE61),"",IF(AO$3=$AD61,$F61&amp;"R",AO60))))</f>
        <v>wR</v>
      </c>
      <c r="AP61" s="11" t="str">
        <f aca="false">IF($P61=0,AP60,IF(AP$3=$E61,IF($AA61=1,$F61&amp;$AB61,$G61),IF(OR(AP$3=$D61,AP$3=$AC61,AP$3=$AE61),"",IF(AP$3=$AD61,$F61&amp;"R",AP60))))</f>
        <v>wP</v>
      </c>
      <c r="AQ61" s="11" t="str">
        <f aca="false">IF($P61=0,AQ60,IF(AQ$3=$E61,IF($AA61=1,$F61&amp;$AB61,$G61),IF(OR(AQ$3=$D61,AQ$3=$AC61,AQ$3=$AE61),"",IF(AQ$3=$AD61,$F61&amp;"R",AQ60))))</f>
        <v>wP</v>
      </c>
      <c r="AR61" s="11" t="str">
        <f aca="false">IF($P61=0,AR60,IF(AR$3=$E61,IF($AA61=1,$F61&amp;$AB61,$G61),IF(OR(AR$3=$D61,AR$3=$AC61,AR$3=$AE61),"",IF(AR$3=$AD61,$F61&amp;"R",AR60))))</f>
        <v>wP</v>
      </c>
      <c r="AS61" s="11" t="str">
        <f aca="false">IF($P61=0,AS60,IF(AS$3=$E61,IF($AA61=1,$F61&amp;$AB61,$G61),IF(OR(AS$3=$D61,AS$3=$AC61,AS$3=$AE61),"",IF(AS$3=$AD61,$F61&amp;"R",AS60))))</f>
        <v>wP</v>
      </c>
      <c r="AT61" s="11" t="str">
        <f aca="false">IF($P61=0,AT60,IF(AT$3=$E61,IF($AA61=1,$F61&amp;$AB61,$G61),IF(OR(AT$3=$D61,AT$3=$AC61,AT$3=$AE61),"",IF(AT$3=$AD61,$F61&amp;"R",AT60))))</f>
        <v>wP</v>
      </c>
      <c r="AU61" s="11" t="str">
        <f aca="false">IF($P61=0,AU60,IF(AU$3=$E61,IF($AA61=1,$F61&amp;$AB61,$G61),IF(OR(AU$3=$D61,AU$3=$AC61,AU$3=$AE61),"",IF(AU$3=$AD61,$F61&amp;"R",AU60))))</f>
        <v>wP</v>
      </c>
      <c r="AV61" s="11" t="str">
        <f aca="false">IF($P61=0,AV60,IF(AV$3=$E61,IF($AA61=1,$F61&amp;$AB61,$G61),IF(OR(AV$3=$D61,AV$3=$AC61,AV$3=$AE61),"",IF(AV$3=$AD61,$F61&amp;"R",AV60))))</f>
        <v>wP</v>
      </c>
      <c r="AW61" s="11" t="str">
        <f aca="false">IF($P61=0,AW60,IF(AW$3=$E61,IF($AA61=1,$F61&amp;$AB61,$G61),IF(OR(AW$3=$D61,AW$3=$AC61,AW$3=$AE61),"",IF(AW$3=$AD61,$F61&amp;"R",AW60))))</f>
        <v>wP</v>
      </c>
      <c r="AX61" s="11" t="str">
        <f aca="false">IF($P61=0,AX60,IF(AX$3=$E61,IF($AA61=1,$F61&amp;$AB61,$G61),IF(OR(AX$3=$D61,AX$3=$AC61,AX$3=$AE61),"",IF(AX$3=$AD61,$F61&amp;"R",AX60))))</f>
        <v/>
      </c>
      <c r="AY61" s="11" t="str">
        <f aca="false">IF($P61=0,AY60,IF(AY$3=$E61,IF($AA61=1,$F61&amp;$AB61,$G61),IF(OR(AY$3=$D61,AY$3=$AC61,AY$3=$AE61),"",IF(AY$3=$AD61,$F61&amp;"R",AY60))))</f>
        <v/>
      </c>
      <c r="AZ61" s="11" t="str">
        <f aca="false">IF($P61=0,AZ60,IF(AZ$3=$E61,IF($AA61=1,$F61&amp;$AB61,$G61),IF(OR(AZ$3=$D61,AZ$3=$AC61,AZ$3=$AE61),"",IF(AZ$3=$AD61,$F61&amp;"R",AZ60))))</f>
        <v/>
      </c>
      <c r="BA61" s="11" t="str">
        <f aca="false">IF($P61=0,BA60,IF(BA$3=$E61,IF($AA61=1,$F61&amp;$AB61,$G61),IF(OR(BA$3=$D61,BA$3=$AC61,BA$3=$AE61),"",IF(BA$3=$AD61,$F61&amp;"R",BA60))))</f>
        <v/>
      </c>
      <c r="BB61" s="11" t="str">
        <f aca="false">IF($P61=0,BB60,IF(BB$3=$E61,IF($AA61=1,$F61&amp;$AB61,$G61),IF(OR(BB$3=$D61,BB$3=$AC61,BB$3=$AE61),"",IF(BB$3=$AD61,$F61&amp;"R",BB60))))</f>
        <v/>
      </c>
      <c r="BC61" s="11" t="str">
        <f aca="false">IF($P61=0,BC60,IF(BC$3=$E61,IF($AA61=1,$F61&amp;$AB61,$G61),IF(OR(BC$3=$D61,BC$3=$AC61,BC$3=$AE61),"",IF(BC$3=$AD61,$F61&amp;"R",BC60))))</f>
        <v/>
      </c>
      <c r="BD61" s="11" t="str">
        <f aca="false">IF($P61=0,BD60,IF(BD$3=$E61,IF($AA61=1,$F61&amp;$AB61,$G61),IF(OR(BD$3=$D61,BD$3=$AC61,BD$3=$AE61),"",IF(BD$3=$AD61,$F61&amp;"R",BD60))))</f>
        <v/>
      </c>
      <c r="BE61" s="11" t="str">
        <f aca="false">IF($P61=0,BE60,IF(BE$3=$E61,IF($AA61=1,$F61&amp;$AB61,$G61),IF(OR(BE$3=$D61,BE$3=$AC61,BE$3=$AE61),"",IF(BE$3=$AD61,$F61&amp;"R",BE60))))</f>
        <v/>
      </c>
      <c r="BF61" s="11" t="str">
        <f aca="false">IF($P61=0,BF60,IF(BF$3=$E61,IF($AA61=1,$F61&amp;$AB61,$G61),IF(OR(BF$3=$D61,BF$3=$AC61,BF$3=$AE61),"",IF(BF$3=$AD61,$F61&amp;"R",BF60))))</f>
        <v/>
      </c>
      <c r="BG61" s="11" t="str">
        <f aca="false">IF($P61=0,BG60,IF(BG$3=$E61,IF($AA61=1,$F61&amp;$AB61,$G61),IF(OR(BG$3=$D61,BG$3=$AC61,BG$3=$AE61),"",IF(BG$3=$AD61,$F61&amp;"R",BG60))))</f>
        <v/>
      </c>
      <c r="BH61" s="11" t="str">
        <f aca="false">IF($P61=0,BH60,IF(BH$3=$E61,IF($AA61=1,$F61&amp;$AB61,$G61),IF(OR(BH$3=$D61,BH$3=$AC61,BH$3=$AE61),"",IF(BH$3=$AD61,$F61&amp;"R",BH60))))</f>
        <v/>
      </c>
      <c r="BI61" s="11" t="str">
        <f aca="false">IF($P61=0,BI60,IF(BI$3=$E61,IF($AA61=1,$F61&amp;$AB61,$G61),IF(OR(BI$3=$D61,BI$3=$AC61,BI$3=$AE61),"",IF(BI$3=$AD61,$F61&amp;"R",BI60))))</f>
        <v/>
      </c>
      <c r="BJ61" s="11" t="str">
        <f aca="false">IF($P61=0,BJ60,IF(BJ$3=$E61,IF($AA61=1,$F61&amp;$AB61,$G61),IF(OR(BJ$3=$D61,BJ$3=$AC61,BJ$3=$AE61),"",IF(BJ$3=$AD61,$F61&amp;"R",BJ60))))</f>
        <v/>
      </c>
      <c r="BK61" s="11" t="str">
        <f aca="false">IF($P61=0,BK60,IF(BK$3=$E61,IF($AA61=1,$F61&amp;$AB61,$G61),IF(OR(BK$3=$D61,BK$3=$AC61,BK$3=$AE61),"",IF(BK$3=$AD61,$F61&amp;"R",BK60))))</f>
        <v/>
      </c>
      <c r="BL61" s="11" t="str">
        <f aca="false">IF($P61=0,BL60,IF(BL$3=$E61,IF($AA61=1,$F61&amp;$AB61,$G61),IF(OR(BL$3=$D61,BL$3=$AC61,BL$3=$AE61),"",IF(BL$3=$AD61,$F61&amp;"R",BL60))))</f>
        <v/>
      </c>
      <c r="BM61" s="11" t="str">
        <f aca="false">IF($P61=0,BM60,IF(BM$3=$E61,IF($AA61=1,$F61&amp;$AB61,$G61),IF(OR(BM$3=$D61,BM$3=$AC61,BM$3=$AE61),"",IF(BM$3=$AD61,$F61&amp;"R",BM60))))</f>
        <v/>
      </c>
      <c r="BN61" s="11" t="str">
        <f aca="false">IF($P61=0,BN60,IF(BN$3=$E61,IF($AA61=1,$F61&amp;$AB61,$G61),IF(OR(BN$3=$D61,BN$3=$AC61,BN$3=$AE61),"",IF(BN$3=$AD61,$F61&amp;"R",BN60))))</f>
        <v/>
      </c>
      <c r="BO61" s="11" t="str">
        <f aca="false">IF($P61=0,BO60,IF(BO$3=$E61,IF($AA61=1,$F61&amp;$AB61,$G61),IF(OR(BO$3=$D61,BO$3=$AC61,BO$3=$AE61),"",IF(BO$3=$AD61,$F61&amp;"R",BO60))))</f>
        <v/>
      </c>
      <c r="BP61" s="11" t="str">
        <f aca="false">IF($P61=0,BP60,IF(BP$3=$E61,IF($AA61=1,$F61&amp;$AB61,$G61),IF(OR(BP$3=$D61,BP$3=$AC61,BP$3=$AE61),"",IF(BP$3=$AD61,$F61&amp;"R",BP60))))</f>
        <v/>
      </c>
      <c r="BQ61" s="11" t="str">
        <f aca="false">IF($P61=0,BQ60,IF(BQ$3=$E61,IF($AA61=1,$F61&amp;$AB61,$G61),IF(OR(BQ$3=$D61,BQ$3=$AC61,BQ$3=$AE61),"",IF(BQ$3=$AD61,$F61&amp;"R",BQ60))))</f>
        <v/>
      </c>
      <c r="BR61" s="11" t="str">
        <f aca="false">IF($P61=0,BR60,IF(BR$3=$E61,IF($AA61=1,$F61&amp;$AB61,$G61),IF(OR(BR$3=$D61,BR$3=$AC61,BR$3=$AE61),"",IF(BR$3=$AD61,$F61&amp;"R",BR60))))</f>
        <v/>
      </c>
      <c r="BS61" s="11" t="str">
        <f aca="false">IF($P61=0,BS60,IF(BS$3=$E61,IF($AA61=1,$F61&amp;$AB61,$G61),IF(OR(BS$3=$D61,BS$3=$AC61,BS$3=$AE61),"",IF(BS$3=$AD61,$F61&amp;"R",BS60))))</f>
        <v/>
      </c>
      <c r="BT61" s="11" t="str">
        <f aca="false">IF($P61=0,BT60,IF(BT$3=$E61,IF($AA61=1,$F61&amp;$AB61,$G61),IF(OR(BT$3=$D61,BT$3=$AC61,BT$3=$AE61),"",IF(BT$3=$AD61,$F61&amp;"R",BT60))))</f>
        <v/>
      </c>
      <c r="BU61" s="11" t="str">
        <f aca="false">IF($P61=0,BU60,IF(BU$3=$E61,IF($AA61=1,$F61&amp;$AB61,$G61),IF(OR(BU$3=$D61,BU$3=$AC61,BU$3=$AE61),"",IF(BU$3=$AD61,$F61&amp;"R",BU60))))</f>
        <v/>
      </c>
      <c r="BV61" s="11" t="str">
        <f aca="false">IF($P61=0,BV60,IF(BV$3=$E61,IF($AA61=1,$F61&amp;$AB61,$G61),IF(OR(BV$3=$D61,BV$3=$AC61,BV$3=$AE61),"",IF(BV$3=$AD61,$F61&amp;"R",BV60))))</f>
        <v/>
      </c>
      <c r="BW61" s="11" t="str">
        <f aca="false">IF($P61=0,BW60,IF(BW$3=$E61,IF($AA61=1,$F61&amp;$AB61,$G61),IF(OR(BW$3=$D61,BW$3=$AC61,BW$3=$AE61),"",IF(BW$3=$AD61,$F61&amp;"R",BW60))))</f>
        <v/>
      </c>
      <c r="BX61" s="11" t="str">
        <f aca="false">IF($P61=0,BX60,IF(BX$3=$E61,IF($AA61=1,$F61&amp;$AB61,$G61),IF(OR(BX$3=$D61,BX$3=$AC61,BX$3=$AE61),"",IF(BX$3=$AD61,$F61&amp;"R",BX60))))</f>
        <v/>
      </c>
      <c r="BY61" s="11" t="str">
        <f aca="false">IF($P61=0,BY60,IF(BY$3=$E61,IF($AA61=1,$F61&amp;$AB61,$G61),IF(OR(BY$3=$D61,BY$3=$AC61,BY$3=$AE61),"",IF(BY$3=$AD61,$F61&amp;"R",BY60))))</f>
        <v/>
      </c>
      <c r="BZ61" s="11" t="str">
        <f aca="false">IF($P61=0,BZ60,IF(BZ$3=$E61,IF($AA61=1,$F61&amp;$AB61,$G61),IF(OR(BZ$3=$D61,BZ$3=$AC61,BZ$3=$AE61),"",IF(BZ$3=$AD61,$F61&amp;"R",BZ60))))</f>
        <v/>
      </c>
      <c r="CA61" s="11" t="str">
        <f aca="false">IF($P61=0,CA60,IF(CA$3=$E61,IF($AA61=1,$F61&amp;$AB61,$G61),IF(OR(CA$3=$D61,CA$3=$AC61,CA$3=$AE61),"",IF(CA$3=$AD61,$F61&amp;"R",CA60))))</f>
        <v/>
      </c>
      <c r="CB61" s="11" t="str">
        <f aca="false">IF($P61=0,CB60,IF(CB$3=$E61,IF($AA61=1,$F61&amp;$AB61,$G61),IF(OR(CB$3=$D61,CB$3=$AC61,CB$3=$AE61),"",IF(CB$3=$AD61,$F61&amp;"R",CB60))))</f>
        <v/>
      </c>
      <c r="CC61" s="11" t="str">
        <f aca="false">IF($P61=0,CC60,IF(CC$3=$E61,IF($AA61=1,$F61&amp;$AB61,$G61),IF(OR(CC$3=$D61,CC$3=$AC61,CC$3=$AE61),"",IF(CC$3=$AD61,$F61&amp;"R",CC60))))</f>
        <v/>
      </c>
      <c r="CD61" s="11" t="str">
        <f aca="false">IF($P61=0,CD60,IF(CD$3=$E61,IF($AA61=1,$F61&amp;$AB61,$G61),IF(OR(CD$3=$D61,CD$3=$AC61,CD$3=$AE61),"",IF(CD$3=$AD61,$F61&amp;"R",CD60))))</f>
        <v>bP</v>
      </c>
      <c r="CE61" s="11" t="str">
        <f aca="false">IF($P61=0,CE60,IF(CE$3=$E61,IF($AA61=1,$F61&amp;$AB61,$G61),IF(OR(CE$3=$D61,CE$3=$AC61,CE$3=$AE61),"",IF(CE$3=$AD61,$F61&amp;"R",CE60))))</f>
        <v>bP</v>
      </c>
      <c r="CF61" s="11" t="str">
        <f aca="false">IF($P61=0,CF60,IF(CF$3=$E61,IF($AA61=1,$F61&amp;$AB61,$G61),IF(OR(CF$3=$D61,CF$3=$AC61,CF$3=$AE61),"",IF(CF$3=$AD61,$F61&amp;"R",CF60))))</f>
        <v>bP</v>
      </c>
      <c r="CG61" s="11" t="str">
        <f aca="false">IF($P61=0,CG60,IF(CG$3=$E61,IF($AA61=1,$F61&amp;$AB61,$G61),IF(OR(CG$3=$D61,CG$3=$AC61,CG$3=$AE61),"",IF(CG$3=$AD61,$F61&amp;"R",CG60))))</f>
        <v>bP</v>
      </c>
      <c r="CH61" s="11" t="str">
        <f aca="false">IF($P61=0,CH60,IF(CH$3=$E61,IF($AA61=1,$F61&amp;$AB61,$G61),IF(OR(CH$3=$D61,CH$3=$AC61,CH$3=$AE61),"",IF(CH$3=$AD61,$F61&amp;"R",CH60))))</f>
        <v>bP</v>
      </c>
      <c r="CI61" s="11" t="str">
        <f aca="false">IF($P61=0,CI60,IF(CI$3=$E61,IF($AA61=1,$F61&amp;$AB61,$G61),IF(OR(CI$3=$D61,CI$3=$AC61,CI$3=$AE61),"",IF(CI$3=$AD61,$F61&amp;"R",CI60))))</f>
        <v>bP</v>
      </c>
      <c r="CJ61" s="11" t="str">
        <f aca="false">IF($P61=0,CJ60,IF(CJ$3=$E61,IF($AA61=1,$F61&amp;$AB61,$G61),IF(OR(CJ$3=$D61,CJ$3=$AC61,CJ$3=$AE61),"",IF(CJ$3=$AD61,$F61&amp;"R",CJ60))))</f>
        <v>bP</v>
      </c>
      <c r="CK61" s="11" t="str">
        <f aca="false">IF($P61=0,CK60,IF(CK$3=$E61,IF($AA61=1,$F61&amp;$AB61,$G61),IF(OR(CK$3=$D61,CK$3=$AC61,CK$3=$AE61),"",IF(CK$3=$AD61,$F61&amp;"R",CK60))))</f>
        <v>bP</v>
      </c>
      <c r="CL61" s="11" t="str">
        <f aca="false">IF($P61=0,CL60,IF(CL$3=$E61,IF($AA61=1,$F61&amp;$AB61,$G61),IF(OR(CL$3=$D61,CL$3=$AC61,CL$3=$AE61),"",IF(CL$3=$AD61,$F61&amp;"R",CL60))))</f>
        <v>bR</v>
      </c>
      <c r="CM61" s="11" t="str">
        <f aca="false">IF($P61=0,CM60,IF(CM$3=$E61,IF($AA61=1,$F61&amp;$AB61,$G61),IF(OR(CM$3=$D61,CM$3=$AC61,CM$3=$AE61),"",IF(CM$3=$AD61,$F61&amp;"R",CM60))))</f>
        <v>bN</v>
      </c>
      <c r="CN61" s="11" t="str">
        <f aca="false">IF($P61=0,CN60,IF(CN$3=$E61,IF($AA61=1,$F61&amp;$AB61,$G61),IF(OR(CN$3=$D61,CN$3=$AC61,CN$3=$AE61),"",IF(CN$3=$AD61,$F61&amp;"R",CN60))))</f>
        <v>bB</v>
      </c>
      <c r="CO61" s="11" t="str">
        <f aca="false">IF($P61=0,CO60,IF(CO$3=$E61,IF($AA61=1,$F61&amp;$AB61,$G61),IF(OR(CO$3=$D61,CO$3=$AC61,CO$3=$AE61),"",IF(CO$3=$AD61,$F61&amp;"R",CO60))))</f>
        <v>bQ</v>
      </c>
      <c r="CP61" s="11" t="str">
        <f aca="false">IF($P61=0,CP60,IF(CP$3=$E61,IF($AA61=1,$F61&amp;$AB61,$G61),IF(OR(CP$3=$D61,CP$3=$AC61,CP$3=$AE61),"",IF(CP$3=$AD61,$F61&amp;"R",CP60))))</f>
        <v>bK</v>
      </c>
      <c r="CQ61" s="11" t="str">
        <f aca="false">IF($P61=0,CQ60,IF(CQ$3=$E61,IF($AA61=1,$F61&amp;$AB61,$G61),IF(OR(CQ$3=$D61,CQ$3=$AC61,CQ$3=$AE61),"",IF(CQ$3=$AD61,$F61&amp;"R",CQ60))))</f>
        <v>bB</v>
      </c>
      <c r="CR61" s="11" t="str">
        <f aca="false">IF($P61=0,CR60,IF(CR$3=$E61,IF($AA61=1,$F61&amp;$AB61,$G61),IF(OR(CR$3=$D61,CR$3=$AC61,CR$3=$AE61),"",IF(CR$3=$AD61,$F61&amp;"R",CR60))))</f>
        <v>bN</v>
      </c>
      <c r="CS61" s="11" t="str">
        <f aca="false">IF($P61=0,CS60,IF(CS$3=$E61,IF($AA61=1,$F61&amp;$AB61,$G61),IF(OR(CS$3=$D61,CS$3=$AC61,CS$3=$AE61),"",IF(CS$3=$AD61,$F61&amp;"R",CS60))))</f>
        <v>bR</v>
      </c>
      <c r="CT61" s="11"/>
      <c r="CU61" s="11"/>
      <c r="CV61" s="11"/>
    </row>
    <row r="62" customFormat="false" ht="15" hidden="false" customHeight="false" outlineLevel="0" collapsed="false">
      <c r="A62" s="11" t="n">
        <v>57</v>
      </c>
      <c r="B62" s="11" t="str">
        <f aca="false">IF(Chess!$L$66="","",Chess!$L$66&amp;"")</f>
        <v/>
      </c>
      <c r="C62" s="11" t="str">
        <f aca="false">LOWER(SUBSTITUTE(SUBSTITUTE(SUBSTITUTE(SUBSTITUTE(TRIM($B62),"-",""),"=","")," ",""),"x",""))</f>
        <v/>
      </c>
      <c r="D62" s="11" t="n">
        <f aca="false">IF(LEN($C62)&lt;4,0,IFERROR(IF(AND(CODE(MID($C62,1,1))&gt;=97,CODE(MID($C62,1,1))&lt;=104,VALUE(MID($C62,2,1))&gt;=1,VALUE(MID($C62,2,1))&lt;=8),(VALUE(MID($C62,2,1))-1)*8+CODE(MID($C62,1,1))-96,0),0))</f>
        <v>0</v>
      </c>
      <c r="E62" s="11" t="n">
        <f aca="false">IF(LEN($C62)&lt;4,0,IFERROR(IF(AND(CODE(MID($C62,3,1))&gt;=97,CODE(MID($C62,3,1))&lt;=104,VALUE(MID($C62,4,1))&gt;=1,VALUE(MID($C62,4,1))&lt;=8),(VALUE(MID($C62,4,1))-1)*8+CODE(MID($C62,3,1))-96,0),0))</f>
        <v>0</v>
      </c>
      <c r="F62" s="11" t="str">
        <f aca="false">IF(MOD(SUM($P$5:$P61),2)=0,"w","b")</f>
        <v>w</v>
      </c>
      <c r="G62" s="11" t="str">
        <f aca="false">IF($D62=0,"",INDEX($AH61:$CS61,1,$D62)&amp;"")</f>
        <v/>
      </c>
      <c r="H62" s="11" t="str">
        <f aca="false">IF($E62=0,"",INDEX($AH61:$CS61,1,$E62)&amp;"")</f>
        <v/>
      </c>
      <c r="I62" s="11" t="n">
        <f aca="false">IF(OR($D62=0,$E62=0),0,MOD($E62-1,8)-MOD($D62-1,8))</f>
        <v>0</v>
      </c>
      <c r="J62" s="11" t="n">
        <f aca="false">IF(OR($D62=0,$E62=0),0,INT(($E62-1)/8)-INT(($D62-1)/8))</f>
        <v>0</v>
      </c>
      <c r="K62" s="11" t="str">
        <f aca="false">IF($G62="","",RIGHT($G62,1))</f>
        <v/>
      </c>
      <c r="L62" s="11" t="n">
        <f aca="false">IF(OR($D62=0,$E62=0),0,SUMPRODUCT(($AH$3:$CS$3&gt;MIN($D62,$E62))*($AH$3:$CS$3&lt;MAX($D62,$E62))*(MOD($AH$3:$CS$3-MIN($D62,$E62),MAX(1,ABS(SIGN($J62)*8+SIGN($I62))))=0)*($AH61:$CS61&lt;&gt;"")))</f>
        <v>0</v>
      </c>
      <c r="M62" s="11" t="n">
        <f aca="false">IF($K62&lt;&gt;"K",0,IFERROR(--AND($J62=0,ABS($I62)=2,$D62=IF($F62="w",5,61),IF($F62="w",$S61,$V61)=0,IF($I62=2,AND(IF($F62="w",$U61,$X61)=0,INDEX($AH61:$CS61,1,$D62+1)&amp;""="",INDEX($AH61:$CS61,1,$D62+2)&amp;""=""),AND(IF($F62="w",$T61,$W61)=0,INDEX($AH61:$CS61,1,$D62-1)&amp;""="",INDEX($AH61:$CS61,1,$D62-2)&amp;""="",INDEX($AH61:$CS61,1,$D62-3)&amp;""=""))),0))</f>
        <v>0</v>
      </c>
      <c r="N62" s="11" t="n">
        <f aca="false">IF($K62&lt;&gt;"P",0,IFERROR(--OR(AND($I62=0,$J62=IF($F62="w",1,-1),$H62=""),AND($I62=0,$J62=2*IF($F62="w",1,-1),$H62="",INT(($D62-1)/8)=IF($F62="w",1,6),INDEX($AH61:$CS61,1,MAX(1,MIN(64,$D62+8*IF($F62="w",1,-1))))&amp;""=""),AND(ABS($I62)=1,$J62=IF($F62="w",1,-1),$H62&lt;&gt;""),AND(ABS($I62)=1,$J62=IF($F62="w",1,-1),$H62="",$R61&gt;0,$E62=$R61)),0))</f>
        <v>0</v>
      </c>
      <c r="O62" s="11" t="n">
        <f aca="false">IF(OR($D62=0,$E62=0,$G62=""),0,IF($K62="N",--OR(AND(ABS($I62)=1,ABS($J62)=2),AND(ABS($I62)=2,ABS($J62)=1)),IF($K62="B",--AND(ABS($I62)=ABS($J62),$I62&lt;&gt;0,$L62=0),IF($K62="R",--AND(OR($I62=0,$J62=0),OR($I62&lt;&gt;0,$J62&lt;&gt;0),$L62=0),IF($K62="Q",--AND(OR(AND(ABS($I62)=ABS($J62),$I62&lt;&gt;0),AND(OR($I62=0,$J62=0),OR($I62&lt;&gt;0,$J62&lt;&gt;0))),$L62=0),IF($K62="K",--OR(MAX(ABS($I62),ABS($J62))=1,$M62=1),$N62))))))</f>
        <v>0</v>
      </c>
      <c r="P62" s="11" t="n">
        <f aca="false">IF($Q62="OK",1,0)</f>
        <v>0</v>
      </c>
      <c r="Q62" s="11" t="str">
        <f aca="false">IF($B62="","",IF(OR(COUNTIF($AH61:$CS61,"wK")=0,COUNTIF($AH61:$CS61,"bK")=0),"Game is over",IF(OR($D62=0,$E62=0),"Use the format e2e4",IF($G62="","No piece on that square",IF(LEFT($G62,1)&lt;&gt;$F62,"Not your piece ("&amp;IF($F62="w","White","Black")&amp;" to move)",IF($D62=$E62,"Piece must move",IF(AND($H62&lt;&gt;"",LEFT($H62,1)=$F62),"Cannot capture your own piece",IF($O62=0,"Illegal move for that piece (or path blocked)","OK"))))))))</f>
        <v/>
      </c>
      <c r="R62" s="11" t="n">
        <f aca="false">IF($P62=1,IF(AND($K62="P",ABS($J62)=2),($D62+$E62)/2,0),$R61)</f>
        <v>0</v>
      </c>
      <c r="S62" s="12" t="b">
        <f aca="false">--OR($S61=1,AND($P62=1,OR($D62=5,$E62=5)))</f>
        <v>0</v>
      </c>
      <c r="T62" s="12" t="b">
        <f aca="false">--OR($T61=1,AND($P62=1,OR($D62=1,$E62=1)))</f>
        <v>0</v>
      </c>
      <c r="U62" s="12" t="b">
        <f aca="false">--OR($U61=1,AND($P62=1,OR($D62=8,$E62=8)))</f>
        <v>0</v>
      </c>
      <c r="V62" s="12" t="b">
        <f aca="false">--OR($V61=1,AND($P62=1,OR($D62=61,$E62=61)))</f>
        <v>0</v>
      </c>
      <c r="W62" s="12" t="b">
        <f aca="false">--OR($W61=1,AND($P62=1,OR($D62=57,$E62=57)))</f>
        <v>0</v>
      </c>
      <c r="X62" s="12" t="b">
        <f aca="false">--OR($X61=1,AND($P62=1,OR($D62=64,$E62=64)))</f>
        <v>0</v>
      </c>
      <c r="Y62" s="12" t="b">
        <f aca="false">--AND($P62=1,$K62="K",ABS($I62)=2)</f>
        <v>0</v>
      </c>
      <c r="Z62" s="12" t="b">
        <f aca="false">--AND($P62=1,$K62="P",ABS($I62)=1,$H62="")</f>
        <v>0</v>
      </c>
      <c r="AA62" s="12" t="b">
        <f aca="false">--AND($P62=1,$K62="P",INT(($E62-1)/8)=IF($F62="w",7,0))</f>
        <v>0</v>
      </c>
      <c r="AB62" s="11" t="str">
        <f aca="false">IF(LEN($C62)&gt;=5,IF(ISNUMBER(FIND(MID($C62,5,1),"qrbn")),UPPER(MID($C62,5,1)),"Q"),"Q")</f>
        <v>Q</v>
      </c>
      <c r="AC62" s="11" t="n">
        <f aca="false">IF($Y62=1,IF($I62=2,$D62+3,$D62-4),0)</f>
        <v>0</v>
      </c>
      <c r="AD62" s="11" t="n">
        <f aca="false">IF($Y62=1,IF($I62=2,$D62+1,$D62-1),0)</f>
        <v>0</v>
      </c>
      <c r="AE62" s="11" t="n">
        <f aca="false">IF($Z62=1,$E62-8*IF($F62="w",1,-1),0)</f>
        <v>0</v>
      </c>
      <c r="AF62" s="11" t="str">
        <f aca="false">IF($B62="","",IF($P62=1,LOWER(INDEX($CV$2:$CV$13,MATCH($G62,$CU$2:$CU$13,0)))&amp;" "&amp;MID("abcdefgh",MOD($D62-1,8)+1,1)&amp;(INT(($D62-1)/8)+1)&amp;"→"&amp;MID("abcdefgh",MOD($E62-1,8)+1,1)&amp;(INT(($E62-1)/8)+1)&amp;IF(OR($H62&lt;&gt;"",$Z62=1)," ×","")&amp;IF($Y62=1," castles","")&amp;IF($Z62=1," e.p.","")&amp;IF($AA62=1," =" &amp;LOWER(INDEX($CV$2:$CV$13,MATCH($F62&amp;$AB62,$CU$2:$CU$13,0))),""),"X "&amp;$Q62))</f>
        <v/>
      </c>
      <c r="AG62" s="11"/>
      <c r="AH62" s="11" t="str">
        <f aca="false">IF($P62=0,AH61,IF(AH$3=$E62,IF($AA62=1,$F62&amp;$AB62,$G62),IF(OR(AH$3=$D62,AH$3=$AC62,AH$3=$AE62),"",IF(AH$3=$AD62,$F62&amp;"R",AH61))))</f>
        <v>wR</v>
      </c>
      <c r="AI62" s="11" t="str">
        <f aca="false">IF($P62=0,AI61,IF(AI$3=$E62,IF($AA62=1,$F62&amp;$AB62,$G62),IF(OR(AI$3=$D62,AI$3=$AC62,AI$3=$AE62),"",IF(AI$3=$AD62,$F62&amp;"R",AI61))))</f>
        <v>wN</v>
      </c>
      <c r="AJ62" s="11" t="str">
        <f aca="false">IF($P62=0,AJ61,IF(AJ$3=$E62,IF($AA62=1,$F62&amp;$AB62,$G62),IF(OR(AJ$3=$D62,AJ$3=$AC62,AJ$3=$AE62),"",IF(AJ$3=$AD62,$F62&amp;"R",AJ61))))</f>
        <v>wB</v>
      </c>
      <c r="AK62" s="11" t="str">
        <f aca="false">IF($P62=0,AK61,IF(AK$3=$E62,IF($AA62=1,$F62&amp;$AB62,$G62),IF(OR(AK$3=$D62,AK$3=$AC62,AK$3=$AE62),"",IF(AK$3=$AD62,$F62&amp;"R",AK61))))</f>
        <v>wQ</v>
      </c>
      <c r="AL62" s="11" t="str">
        <f aca="false">IF($P62=0,AL61,IF(AL$3=$E62,IF($AA62=1,$F62&amp;$AB62,$G62),IF(OR(AL$3=$D62,AL$3=$AC62,AL$3=$AE62),"",IF(AL$3=$AD62,$F62&amp;"R",AL61))))</f>
        <v>wK</v>
      </c>
      <c r="AM62" s="11" t="str">
        <f aca="false">IF($P62=0,AM61,IF(AM$3=$E62,IF($AA62=1,$F62&amp;$AB62,$G62),IF(OR(AM$3=$D62,AM$3=$AC62,AM$3=$AE62),"",IF(AM$3=$AD62,$F62&amp;"R",AM61))))</f>
        <v>wB</v>
      </c>
      <c r="AN62" s="11" t="str">
        <f aca="false">IF($P62=0,AN61,IF(AN$3=$E62,IF($AA62=1,$F62&amp;$AB62,$G62),IF(OR(AN$3=$D62,AN$3=$AC62,AN$3=$AE62),"",IF(AN$3=$AD62,$F62&amp;"R",AN61))))</f>
        <v>wN</v>
      </c>
      <c r="AO62" s="11" t="str">
        <f aca="false">IF($P62=0,AO61,IF(AO$3=$E62,IF($AA62=1,$F62&amp;$AB62,$G62),IF(OR(AO$3=$D62,AO$3=$AC62,AO$3=$AE62),"",IF(AO$3=$AD62,$F62&amp;"R",AO61))))</f>
        <v>wR</v>
      </c>
      <c r="AP62" s="11" t="str">
        <f aca="false">IF($P62=0,AP61,IF(AP$3=$E62,IF($AA62=1,$F62&amp;$AB62,$G62),IF(OR(AP$3=$D62,AP$3=$AC62,AP$3=$AE62),"",IF(AP$3=$AD62,$F62&amp;"R",AP61))))</f>
        <v>wP</v>
      </c>
      <c r="AQ62" s="11" t="str">
        <f aca="false">IF($P62=0,AQ61,IF(AQ$3=$E62,IF($AA62=1,$F62&amp;$AB62,$G62),IF(OR(AQ$3=$D62,AQ$3=$AC62,AQ$3=$AE62),"",IF(AQ$3=$AD62,$F62&amp;"R",AQ61))))</f>
        <v>wP</v>
      </c>
      <c r="AR62" s="11" t="str">
        <f aca="false">IF($P62=0,AR61,IF(AR$3=$E62,IF($AA62=1,$F62&amp;$AB62,$G62),IF(OR(AR$3=$D62,AR$3=$AC62,AR$3=$AE62),"",IF(AR$3=$AD62,$F62&amp;"R",AR61))))</f>
        <v>wP</v>
      </c>
      <c r="AS62" s="11" t="str">
        <f aca="false">IF($P62=0,AS61,IF(AS$3=$E62,IF($AA62=1,$F62&amp;$AB62,$G62),IF(OR(AS$3=$D62,AS$3=$AC62,AS$3=$AE62),"",IF(AS$3=$AD62,$F62&amp;"R",AS61))))</f>
        <v>wP</v>
      </c>
      <c r="AT62" s="11" t="str">
        <f aca="false">IF($P62=0,AT61,IF(AT$3=$E62,IF($AA62=1,$F62&amp;$AB62,$G62),IF(OR(AT$3=$D62,AT$3=$AC62,AT$3=$AE62),"",IF(AT$3=$AD62,$F62&amp;"R",AT61))))</f>
        <v>wP</v>
      </c>
      <c r="AU62" s="11" t="str">
        <f aca="false">IF($P62=0,AU61,IF(AU$3=$E62,IF($AA62=1,$F62&amp;$AB62,$G62),IF(OR(AU$3=$D62,AU$3=$AC62,AU$3=$AE62),"",IF(AU$3=$AD62,$F62&amp;"R",AU61))))</f>
        <v>wP</v>
      </c>
      <c r="AV62" s="11" t="str">
        <f aca="false">IF($P62=0,AV61,IF(AV$3=$E62,IF($AA62=1,$F62&amp;$AB62,$G62),IF(OR(AV$3=$D62,AV$3=$AC62,AV$3=$AE62),"",IF(AV$3=$AD62,$F62&amp;"R",AV61))))</f>
        <v>wP</v>
      </c>
      <c r="AW62" s="11" t="str">
        <f aca="false">IF($P62=0,AW61,IF(AW$3=$E62,IF($AA62=1,$F62&amp;$AB62,$G62),IF(OR(AW$3=$D62,AW$3=$AC62,AW$3=$AE62),"",IF(AW$3=$AD62,$F62&amp;"R",AW61))))</f>
        <v>wP</v>
      </c>
      <c r="AX62" s="11" t="str">
        <f aca="false">IF($P62=0,AX61,IF(AX$3=$E62,IF($AA62=1,$F62&amp;$AB62,$G62),IF(OR(AX$3=$D62,AX$3=$AC62,AX$3=$AE62),"",IF(AX$3=$AD62,$F62&amp;"R",AX61))))</f>
        <v/>
      </c>
      <c r="AY62" s="11" t="str">
        <f aca="false">IF($P62=0,AY61,IF(AY$3=$E62,IF($AA62=1,$F62&amp;$AB62,$G62),IF(OR(AY$3=$D62,AY$3=$AC62,AY$3=$AE62),"",IF(AY$3=$AD62,$F62&amp;"R",AY61))))</f>
        <v/>
      </c>
      <c r="AZ62" s="11" t="str">
        <f aca="false">IF($P62=0,AZ61,IF(AZ$3=$E62,IF($AA62=1,$F62&amp;$AB62,$G62),IF(OR(AZ$3=$D62,AZ$3=$AC62,AZ$3=$AE62),"",IF(AZ$3=$AD62,$F62&amp;"R",AZ61))))</f>
        <v/>
      </c>
      <c r="BA62" s="11" t="str">
        <f aca="false">IF($P62=0,BA61,IF(BA$3=$E62,IF($AA62=1,$F62&amp;$AB62,$G62),IF(OR(BA$3=$D62,BA$3=$AC62,BA$3=$AE62),"",IF(BA$3=$AD62,$F62&amp;"R",BA61))))</f>
        <v/>
      </c>
      <c r="BB62" s="11" t="str">
        <f aca="false">IF($P62=0,BB61,IF(BB$3=$E62,IF($AA62=1,$F62&amp;$AB62,$G62),IF(OR(BB$3=$D62,BB$3=$AC62,BB$3=$AE62),"",IF(BB$3=$AD62,$F62&amp;"R",BB61))))</f>
        <v/>
      </c>
      <c r="BC62" s="11" t="str">
        <f aca="false">IF($P62=0,BC61,IF(BC$3=$E62,IF($AA62=1,$F62&amp;$AB62,$G62),IF(OR(BC$3=$D62,BC$3=$AC62,BC$3=$AE62),"",IF(BC$3=$AD62,$F62&amp;"R",BC61))))</f>
        <v/>
      </c>
      <c r="BD62" s="11" t="str">
        <f aca="false">IF($P62=0,BD61,IF(BD$3=$E62,IF($AA62=1,$F62&amp;$AB62,$G62),IF(OR(BD$3=$D62,BD$3=$AC62,BD$3=$AE62),"",IF(BD$3=$AD62,$F62&amp;"R",BD61))))</f>
        <v/>
      </c>
      <c r="BE62" s="11" t="str">
        <f aca="false">IF($P62=0,BE61,IF(BE$3=$E62,IF($AA62=1,$F62&amp;$AB62,$G62),IF(OR(BE$3=$D62,BE$3=$AC62,BE$3=$AE62),"",IF(BE$3=$AD62,$F62&amp;"R",BE61))))</f>
        <v/>
      </c>
      <c r="BF62" s="11" t="str">
        <f aca="false">IF($P62=0,BF61,IF(BF$3=$E62,IF($AA62=1,$F62&amp;$AB62,$G62),IF(OR(BF$3=$D62,BF$3=$AC62,BF$3=$AE62),"",IF(BF$3=$AD62,$F62&amp;"R",BF61))))</f>
        <v/>
      </c>
      <c r="BG62" s="11" t="str">
        <f aca="false">IF($P62=0,BG61,IF(BG$3=$E62,IF($AA62=1,$F62&amp;$AB62,$G62),IF(OR(BG$3=$D62,BG$3=$AC62,BG$3=$AE62),"",IF(BG$3=$AD62,$F62&amp;"R",BG61))))</f>
        <v/>
      </c>
      <c r="BH62" s="11" t="str">
        <f aca="false">IF($P62=0,BH61,IF(BH$3=$E62,IF($AA62=1,$F62&amp;$AB62,$G62),IF(OR(BH$3=$D62,BH$3=$AC62,BH$3=$AE62),"",IF(BH$3=$AD62,$F62&amp;"R",BH61))))</f>
        <v/>
      </c>
      <c r="BI62" s="11" t="str">
        <f aca="false">IF($P62=0,BI61,IF(BI$3=$E62,IF($AA62=1,$F62&amp;$AB62,$G62),IF(OR(BI$3=$D62,BI$3=$AC62,BI$3=$AE62),"",IF(BI$3=$AD62,$F62&amp;"R",BI61))))</f>
        <v/>
      </c>
      <c r="BJ62" s="11" t="str">
        <f aca="false">IF($P62=0,BJ61,IF(BJ$3=$E62,IF($AA62=1,$F62&amp;$AB62,$G62),IF(OR(BJ$3=$D62,BJ$3=$AC62,BJ$3=$AE62),"",IF(BJ$3=$AD62,$F62&amp;"R",BJ61))))</f>
        <v/>
      </c>
      <c r="BK62" s="11" t="str">
        <f aca="false">IF($P62=0,BK61,IF(BK$3=$E62,IF($AA62=1,$F62&amp;$AB62,$G62),IF(OR(BK$3=$D62,BK$3=$AC62,BK$3=$AE62),"",IF(BK$3=$AD62,$F62&amp;"R",BK61))))</f>
        <v/>
      </c>
      <c r="BL62" s="11" t="str">
        <f aca="false">IF($P62=0,BL61,IF(BL$3=$E62,IF($AA62=1,$F62&amp;$AB62,$G62),IF(OR(BL$3=$D62,BL$3=$AC62,BL$3=$AE62),"",IF(BL$3=$AD62,$F62&amp;"R",BL61))))</f>
        <v/>
      </c>
      <c r="BM62" s="11" t="str">
        <f aca="false">IF($P62=0,BM61,IF(BM$3=$E62,IF($AA62=1,$F62&amp;$AB62,$G62),IF(OR(BM$3=$D62,BM$3=$AC62,BM$3=$AE62),"",IF(BM$3=$AD62,$F62&amp;"R",BM61))))</f>
        <v/>
      </c>
      <c r="BN62" s="11" t="str">
        <f aca="false">IF($P62=0,BN61,IF(BN$3=$E62,IF($AA62=1,$F62&amp;$AB62,$G62),IF(OR(BN$3=$D62,BN$3=$AC62,BN$3=$AE62),"",IF(BN$3=$AD62,$F62&amp;"R",BN61))))</f>
        <v/>
      </c>
      <c r="BO62" s="11" t="str">
        <f aca="false">IF($P62=0,BO61,IF(BO$3=$E62,IF($AA62=1,$F62&amp;$AB62,$G62),IF(OR(BO$3=$D62,BO$3=$AC62,BO$3=$AE62),"",IF(BO$3=$AD62,$F62&amp;"R",BO61))))</f>
        <v/>
      </c>
      <c r="BP62" s="11" t="str">
        <f aca="false">IF($P62=0,BP61,IF(BP$3=$E62,IF($AA62=1,$F62&amp;$AB62,$G62),IF(OR(BP$3=$D62,BP$3=$AC62,BP$3=$AE62),"",IF(BP$3=$AD62,$F62&amp;"R",BP61))))</f>
        <v/>
      </c>
      <c r="BQ62" s="11" t="str">
        <f aca="false">IF($P62=0,BQ61,IF(BQ$3=$E62,IF($AA62=1,$F62&amp;$AB62,$G62),IF(OR(BQ$3=$D62,BQ$3=$AC62,BQ$3=$AE62),"",IF(BQ$3=$AD62,$F62&amp;"R",BQ61))))</f>
        <v/>
      </c>
      <c r="BR62" s="11" t="str">
        <f aca="false">IF($P62=0,BR61,IF(BR$3=$E62,IF($AA62=1,$F62&amp;$AB62,$G62),IF(OR(BR$3=$D62,BR$3=$AC62,BR$3=$AE62),"",IF(BR$3=$AD62,$F62&amp;"R",BR61))))</f>
        <v/>
      </c>
      <c r="BS62" s="11" t="str">
        <f aca="false">IF($P62=0,BS61,IF(BS$3=$E62,IF($AA62=1,$F62&amp;$AB62,$G62),IF(OR(BS$3=$D62,BS$3=$AC62,BS$3=$AE62),"",IF(BS$3=$AD62,$F62&amp;"R",BS61))))</f>
        <v/>
      </c>
      <c r="BT62" s="11" t="str">
        <f aca="false">IF($P62=0,BT61,IF(BT$3=$E62,IF($AA62=1,$F62&amp;$AB62,$G62),IF(OR(BT$3=$D62,BT$3=$AC62,BT$3=$AE62),"",IF(BT$3=$AD62,$F62&amp;"R",BT61))))</f>
        <v/>
      </c>
      <c r="BU62" s="11" t="str">
        <f aca="false">IF($P62=0,BU61,IF(BU$3=$E62,IF($AA62=1,$F62&amp;$AB62,$G62),IF(OR(BU$3=$D62,BU$3=$AC62,BU$3=$AE62),"",IF(BU$3=$AD62,$F62&amp;"R",BU61))))</f>
        <v/>
      </c>
      <c r="BV62" s="11" t="str">
        <f aca="false">IF($P62=0,BV61,IF(BV$3=$E62,IF($AA62=1,$F62&amp;$AB62,$G62),IF(OR(BV$3=$D62,BV$3=$AC62,BV$3=$AE62),"",IF(BV$3=$AD62,$F62&amp;"R",BV61))))</f>
        <v/>
      </c>
      <c r="BW62" s="11" t="str">
        <f aca="false">IF($P62=0,BW61,IF(BW$3=$E62,IF($AA62=1,$F62&amp;$AB62,$G62),IF(OR(BW$3=$D62,BW$3=$AC62,BW$3=$AE62),"",IF(BW$3=$AD62,$F62&amp;"R",BW61))))</f>
        <v/>
      </c>
      <c r="BX62" s="11" t="str">
        <f aca="false">IF($P62=0,BX61,IF(BX$3=$E62,IF($AA62=1,$F62&amp;$AB62,$G62),IF(OR(BX$3=$D62,BX$3=$AC62,BX$3=$AE62),"",IF(BX$3=$AD62,$F62&amp;"R",BX61))))</f>
        <v/>
      </c>
      <c r="BY62" s="11" t="str">
        <f aca="false">IF($P62=0,BY61,IF(BY$3=$E62,IF($AA62=1,$F62&amp;$AB62,$G62),IF(OR(BY$3=$D62,BY$3=$AC62,BY$3=$AE62),"",IF(BY$3=$AD62,$F62&amp;"R",BY61))))</f>
        <v/>
      </c>
      <c r="BZ62" s="11" t="str">
        <f aca="false">IF($P62=0,BZ61,IF(BZ$3=$E62,IF($AA62=1,$F62&amp;$AB62,$G62),IF(OR(BZ$3=$D62,BZ$3=$AC62,BZ$3=$AE62),"",IF(BZ$3=$AD62,$F62&amp;"R",BZ61))))</f>
        <v/>
      </c>
      <c r="CA62" s="11" t="str">
        <f aca="false">IF($P62=0,CA61,IF(CA$3=$E62,IF($AA62=1,$F62&amp;$AB62,$G62),IF(OR(CA$3=$D62,CA$3=$AC62,CA$3=$AE62),"",IF(CA$3=$AD62,$F62&amp;"R",CA61))))</f>
        <v/>
      </c>
      <c r="CB62" s="11" t="str">
        <f aca="false">IF($P62=0,CB61,IF(CB$3=$E62,IF($AA62=1,$F62&amp;$AB62,$G62),IF(OR(CB$3=$D62,CB$3=$AC62,CB$3=$AE62),"",IF(CB$3=$AD62,$F62&amp;"R",CB61))))</f>
        <v/>
      </c>
      <c r="CC62" s="11" t="str">
        <f aca="false">IF($P62=0,CC61,IF(CC$3=$E62,IF($AA62=1,$F62&amp;$AB62,$G62),IF(OR(CC$3=$D62,CC$3=$AC62,CC$3=$AE62),"",IF(CC$3=$AD62,$F62&amp;"R",CC61))))</f>
        <v/>
      </c>
      <c r="CD62" s="11" t="str">
        <f aca="false">IF($P62=0,CD61,IF(CD$3=$E62,IF($AA62=1,$F62&amp;$AB62,$G62),IF(OR(CD$3=$D62,CD$3=$AC62,CD$3=$AE62),"",IF(CD$3=$AD62,$F62&amp;"R",CD61))))</f>
        <v>bP</v>
      </c>
      <c r="CE62" s="11" t="str">
        <f aca="false">IF($P62=0,CE61,IF(CE$3=$E62,IF($AA62=1,$F62&amp;$AB62,$G62),IF(OR(CE$3=$D62,CE$3=$AC62,CE$3=$AE62),"",IF(CE$3=$AD62,$F62&amp;"R",CE61))))</f>
        <v>bP</v>
      </c>
      <c r="CF62" s="11" t="str">
        <f aca="false">IF($P62=0,CF61,IF(CF$3=$E62,IF($AA62=1,$F62&amp;$AB62,$G62),IF(OR(CF$3=$D62,CF$3=$AC62,CF$3=$AE62),"",IF(CF$3=$AD62,$F62&amp;"R",CF61))))</f>
        <v>bP</v>
      </c>
      <c r="CG62" s="11" t="str">
        <f aca="false">IF($P62=0,CG61,IF(CG$3=$E62,IF($AA62=1,$F62&amp;$AB62,$G62),IF(OR(CG$3=$D62,CG$3=$AC62,CG$3=$AE62),"",IF(CG$3=$AD62,$F62&amp;"R",CG61))))</f>
        <v>bP</v>
      </c>
      <c r="CH62" s="11" t="str">
        <f aca="false">IF($P62=0,CH61,IF(CH$3=$E62,IF($AA62=1,$F62&amp;$AB62,$G62),IF(OR(CH$3=$D62,CH$3=$AC62,CH$3=$AE62),"",IF(CH$3=$AD62,$F62&amp;"R",CH61))))</f>
        <v>bP</v>
      </c>
      <c r="CI62" s="11" t="str">
        <f aca="false">IF($P62=0,CI61,IF(CI$3=$E62,IF($AA62=1,$F62&amp;$AB62,$G62),IF(OR(CI$3=$D62,CI$3=$AC62,CI$3=$AE62),"",IF(CI$3=$AD62,$F62&amp;"R",CI61))))</f>
        <v>bP</v>
      </c>
      <c r="CJ62" s="11" t="str">
        <f aca="false">IF($P62=0,CJ61,IF(CJ$3=$E62,IF($AA62=1,$F62&amp;$AB62,$G62),IF(OR(CJ$3=$D62,CJ$3=$AC62,CJ$3=$AE62),"",IF(CJ$3=$AD62,$F62&amp;"R",CJ61))))</f>
        <v>bP</v>
      </c>
      <c r="CK62" s="11" t="str">
        <f aca="false">IF($P62=0,CK61,IF(CK$3=$E62,IF($AA62=1,$F62&amp;$AB62,$G62),IF(OR(CK$3=$D62,CK$3=$AC62,CK$3=$AE62),"",IF(CK$3=$AD62,$F62&amp;"R",CK61))))</f>
        <v>bP</v>
      </c>
      <c r="CL62" s="11" t="str">
        <f aca="false">IF($P62=0,CL61,IF(CL$3=$E62,IF($AA62=1,$F62&amp;$AB62,$G62),IF(OR(CL$3=$D62,CL$3=$AC62,CL$3=$AE62),"",IF(CL$3=$AD62,$F62&amp;"R",CL61))))</f>
        <v>bR</v>
      </c>
      <c r="CM62" s="11" t="str">
        <f aca="false">IF($P62=0,CM61,IF(CM$3=$E62,IF($AA62=1,$F62&amp;$AB62,$G62),IF(OR(CM$3=$D62,CM$3=$AC62,CM$3=$AE62),"",IF(CM$3=$AD62,$F62&amp;"R",CM61))))</f>
        <v>bN</v>
      </c>
      <c r="CN62" s="11" t="str">
        <f aca="false">IF($P62=0,CN61,IF(CN$3=$E62,IF($AA62=1,$F62&amp;$AB62,$G62),IF(OR(CN$3=$D62,CN$3=$AC62,CN$3=$AE62),"",IF(CN$3=$AD62,$F62&amp;"R",CN61))))</f>
        <v>bB</v>
      </c>
      <c r="CO62" s="11" t="str">
        <f aca="false">IF($P62=0,CO61,IF(CO$3=$E62,IF($AA62=1,$F62&amp;$AB62,$G62),IF(OR(CO$3=$D62,CO$3=$AC62,CO$3=$AE62),"",IF(CO$3=$AD62,$F62&amp;"R",CO61))))</f>
        <v>bQ</v>
      </c>
      <c r="CP62" s="11" t="str">
        <f aca="false">IF($P62=0,CP61,IF(CP$3=$E62,IF($AA62=1,$F62&amp;$AB62,$G62),IF(OR(CP$3=$D62,CP$3=$AC62,CP$3=$AE62),"",IF(CP$3=$AD62,$F62&amp;"R",CP61))))</f>
        <v>bK</v>
      </c>
      <c r="CQ62" s="11" t="str">
        <f aca="false">IF($P62=0,CQ61,IF(CQ$3=$E62,IF($AA62=1,$F62&amp;$AB62,$G62),IF(OR(CQ$3=$D62,CQ$3=$AC62,CQ$3=$AE62),"",IF(CQ$3=$AD62,$F62&amp;"R",CQ61))))</f>
        <v>bB</v>
      </c>
      <c r="CR62" s="11" t="str">
        <f aca="false">IF($P62=0,CR61,IF(CR$3=$E62,IF($AA62=1,$F62&amp;$AB62,$G62),IF(OR(CR$3=$D62,CR$3=$AC62,CR$3=$AE62),"",IF(CR$3=$AD62,$F62&amp;"R",CR61))))</f>
        <v>bN</v>
      </c>
      <c r="CS62" s="11" t="str">
        <f aca="false">IF($P62=0,CS61,IF(CS$3=$E62,IF($AA62=1,$F62&amp;$AB62,$G62),IF(OR(CS$3=$D62,CS$3=$AC62,CS$3=$AE62),"",IF(CS$3=$AD62,$F62&amp;"R",CS61))))</f>
        <v>bR</v>
      </c>
      <c r="CT62" s="11"/>
      <c r="CU62" s="11"/>
      <c r="CV62" s="11"/>
    </row>
    <row r="63" customFormat="false" ht="15" hidden="false" customHeight="false" outlineLevel="0" collapsed="false">
      <c r="A63" s="11" t="n">
        <v>58</v>
      </c>
      <c r="B63" s="11" t="str">
        <f aca="false">IF(Chess!$L$67="","",Chess!$L$67&amp;"")</f>
        <v/>
      </c>
      <c r="C63" s="11" t="str">
        <f aca="false">LOWER(SUBSTITUTE(SUBSTITUTE(SUBSTITUTE(SUBSTITUTE(TRIM($B63),"-",""),"=","")," ",""),"x",""))</f>
        <v/>
      </c>
      <c r="D63" s="11" t="n">
        <f aca="false">IF(LEN($C63)&lt;4,0,IFERROR(IF(AND(CODE(MID($C63,1,1))&gt;=97,CODE(MID($C63,1,1))&lt;=104,VALUE(MID($C63,2,1))&gt;=1,VALUE(MID($C63,2,1))&lt;=8),(VALUE(MID($C63,2,1))-1)*8+CODE(MID($C63,1,1))-96,0),0))</f>
        <v>0</v>
      </c>
      <c r="E63" s="11" t="n">
        <f aca="false">IF(LEN($C63)&lt;4,0,IFERROR(IF(AND(CODE(MID($C63,3,1))&gt;=97,CODE(MID($C63,3,1))&lt;=104,VALUE(MID($C63,4,1))&gt;=1,VALUE(MID($C63,4,1))&lt;=8),(VALUE(MID($C63,4,1))-1)*8+CODE(MID($C63,3,1))-96,0),0))</f>
        <v>0</v>
      </c>
      <c r="F63" s="11" t="str">
        <f aca="false">IF(MOD(SUM($P$5:$P62),2)=0,"w","b")</f>
        <v>w</v>
      </c>
      <c r="G63" s="11" t="str">
        <f aca="false">IF($D63=0,"",INDEX($AH62:$CS62,1,$D63)&amp;"")</f>
        <v/>
      </c>
      <c r="H63" s="11" t="str">
        <f aca="false">IF($E63=0,"",INDEX($AH62:$CS62,1,$E63)&amp;"")</f>
        <v/>
      </c>
      <c r="I63" s="11" t="n">
        <f aca="false">IF(OR($D63=0,$E63=0),0,MOD($E63-1,8)-MOD($D63-1,8))</f>
        <v>0</v>
      </c>
      <c r="J63" s="11" t="n">
        <f aca="false">IF(OR($D63=0,$E63=0),0,INT(($E63-1)/8)-INT(($D63-1)/8))</f>
        <v>0</v>
      </c>
      <c r="K63" s="11" t="str">
        <f aca="false">IF($G63="","",RIGHT($G63,1))</f>
        <v/>
      </c>
      <c r="L63" s="11" t="n">
        <f aca="false">IF(OR($D63=0,$E63=0),0,SUMPRODUCT(($AH$3:$CS$3&gt;MIN($D63,$E63))*($AH$3:$CS$3&lt;MAX($D63,$E63))*(MOD($AH$3:$CS$3-MIN($D63,$E63),MAX(1,ABS(SIGN($J63)*8+SIGN($I63))))=0)*($AH62:$CS62&lt;&gt;"")))</f>
        <v>0</v>
      </c>
      <c r="M63" s="11" t="n">
        <f aca="false">IF($K63&lt;&gt;"K",0,IFERROR(--AND($J63=0,ABS($I63)=2,$D63=IF($F63="w",5,61),IF($F63="w",$S62,$V62)=0,IF($I63=2,AND(IF($F63="w",$U62,$X62)=0,INDEX($AH62:$CS62,1,$D63+1)&amp;""="",INDEX($AH62:$CS62,1,$D63+2)&amp;""=""),AND(IF($F63="w",$T62,$W62)=0,INDEX($AH62:$CS62,1,$D63-1)&amp;""="",INDEX($AH62:$CS62,1,$D63-2)&amp;""="",INDEX($AH62:$CS62,1,$D63-3)&amp;""=""))),0))</f>
        <v>0</v>
      </c>
      <c r="N63" s="11" t="n">
        <f aca="false">IF($K63&lt;&gt;"P",0,IFERROR(--OR(AND($I63=0,$J63=IF($F63="w",1,-1),$H63=""),AND($I63=0,$J63=2*IF($F63="w",1,-1),$H63="",INT(($D63-1)/8)=IF($F63="w",1,6),INDEX($AH62:$CS62,1,MAX(1,MIN(64,$D63+8*IF($F63="w",1,-1))))&amp;""=""),AND(ABS($I63)=1,$J63=IF($F63="w",1,-1),$H63&lt;&gt;""),AND(ABS($I63)=1,$J63=IF($F63="w",1,-1),$H63="",$R62&gt;0,$E63=$R62)),0))</f>
        <v>0</v>
      </c>
      <c r="O63" s="11" t="n">
        <f aca="false">IF(OR($D63=0,$E63=0,$G63=""),0,IF($K63="N",--OR(AND(ABS($I63)=1,ABS($J63)=2),AND(ABS($I63)=2,ABS($J63)=1)),IF($K63="B",--AND(ABS($I63)=ABS($J63),$I63&lt;&gt;0,$L63=0),IF($K63="R",--AND(OR($I63=0,$J63=0),OR($I63&lt;&gt;0,$J63&lt;&gt;0),$L63=0),IF($K63="Q",--AND(OR(AND(ABS($I63)=ABS($J63),$I63&lt;&gt;0),AND(OR($I63=0,$J63=0),OR($I63&lt;&gt;0,$J63&lt;&gt;0))),$L63=0),IF($K63="K",--OR(MAX(ABS($I63),ABS($J63))=1,$M63=1),$N63))))))</f>
        <v>0</v>
      </c>
      <c r="P63" s="11" t="n">
        <f aca="false">IF($Q63="OK",1,0)</f>
        <v>0</v>
      </c>
      <c r="Q63" s="11" t="str">
        <f aca="false">IF($B63="","",IF(OR(COUNTIF($AH62:$CS62,"wK")=0,COUNTIF($AH62:$CS62,"bK")=0),"Game is over",IF(OR($D63=0,$E63=0),"Use the format e2e4",IF($G63="","No piece on that square",IF(LEFT($G63,1)&lt;&gt;$F63,"Not your piece ("&amp;IF($F63="w","White","Black")&amp;" to move)",IF($D63=$E63,"Piece must move",IF(AND($H63&lt;&gt;"",LEFT($H63,1)=$F63),"Cannot capture your own piece",IF($O63=0,"Illegal move for that piece (or path blocked)","OK"))))))))</f>
        <v/>
      </c>
      <c r="R63" s="11" t="n">
        <f aca="false">IF($P63=1,IF(AND($K63="P",ABS($J63)=2),($D63+$E63)/2,0),$R62)</f>
        <v>0</v>
      </c>
      <c r="S63" s="12" t="b">
        <f aca="false">--OR($S62=1,AND($P63=1,OR($D63=5,$E63=5)))</f>
        <v>0</v>
      </c>
      <c r="T63" s="12" t="b">
        <f aca="false">--OR($T62=1,AND($P63=1,OR($D63=1,$E63=1)))</f>
        <v>0</v>
      </c>
      <c r="U63" s="12" t="b">
        <f aca="false">--OR($U62=1,AND($P63=1,OR($D63=8,$E63=8)))</f>
        <v>0</v>
      </c>
      <c r="V63" s="12" t="b">
        <f aca="false">--OR($V62=1,AND($P63=1,OR($D63=61,$E63=61)))</f>
        <v>0</v>
      </c>
      <c r="W63" s="12" t="b">
        <f aca="false">--OR($W62=1,AND($P63=1,OR($D63=57,$E63=57)))</f>
        <v>0</v>
      </c>
      <c r="X63" s="12" t="b">
        <f aca="false">--OR($X62=1,AND($P63=1,OR($D63=64,$E63=64)))</f>
        <v>0</v>
      </c>
      <c r="Y63" s="12" t="b">
        <f aca="false">--AND($P63=1,$K63="K",ABS($I63)=2)</f>
        <v>0</v>
      </c>
      <c r="Z63" s="12" t="b">
        <f aca="false">--AND($P63=1,$K63="P",ABS($I63)=1,$H63="")</f>
        <v>0</v>
      </c>
      <c r="AA63" s="12" t="b">
        <f aca="false">--AND($P63=1,$K63="P",INT(($E63-1)/8)=IF($F63="w",7,0))</f>
        <v>0</v>
      </c>
      <c r="AB63" s="11" t="str">
        <f aca="false">IF(LEN($C63)&gt;=5,IF(ISNUMBER(FIND(MID($C63,5,1),"qrbn")),UPPER(MID($C63,5,1)),"Q"),"Q")</f>
        <v>Q</v>
      </c>
      <c r="AC63" s="11" t="n">
        <f aca="false">IF($Y63=1,IF($I63=2,$D63+3,$D63-4),0)</f>
        <v>0</v>
      </c>
      <c r="AD63" s="11" t="n">
        <f aca="false">IF($Y63=1,IF($I63=2,$D63+1,$D63-1),0)</f>
        <v>0</v>
      </c>
      <c r="AE63" s="11" t="n">
        <f aca="false">IF($Z63=1,$E63-8*IF($F63="w",1,-1),0)</f>
        <v>0</v>
      </c>
      <c r="AF63" s="11" t="str">
        <f aca="false">IF($B63="","",IF($P63=1,LOWER(INDEX($CV$2:$CV$13,MATCH($G63,$CU$2:$CU$13,0)))&amp;" "&amp;MID("abcdefgh",MOD($D63-1,8)+1,1)&amp;(INT(($D63-1)/8)+1)&amp;"→"&amp;MID("abcdefgh",MOD($E63-1,8)+1,1)&amp;(INT(($E63-1)/8)+1)&amp;IF(OR($H63&lt;&gt;"",$Z63=1)," ×","")&amp;IF($Y63=1," castles","")&amp;IF($Z63=1," e.p.","")&amp;IF($AA63=1," =" &amp;LOWER(INDEX($CV$2:$CV$13,MATCH($F63&amp;$AB63,$CU$2:$CU$13,0))),""),"X "&amp;$Q63))</f>
        <v/>
      </c>
      <c r="AG63" s="11"/>
      <c r="AH63" s="11" t="str">
        <f aca="false">IF($P63=0,AH62,IF(AH$3=$E63,IF($AA63=1,$F63&amp;$AB63,$G63),IF(OR(AH$3=$D63,AH$3=$AC63,AH$3=$AE63),"",IF(AH$3=$AD63,$F63&amp;"R",AH62))))</f>
        <v>wR</v>
      </c>
      <c r="AI63" s="11" t="str">
        <f aca="false">IF($P63=0,AI62,IF(AI$3=$E63,IF($AA63=1,$F63&amp;$AB63,$G63),IF(OR(AI$3=$D63,AI$3=$AC63,AI$3=$AE63),"",IF(AI$3=$AD63,$F63&amp;"R",AI62))))</f>
        <v>wN</v>
      </c>
      <c r="AJ63" s="11" t="str">
        <f aca="false">IF($P63=0,AJ62,IF(AJ$3=$E63,IF($AA63=1,$F63&amp;$AB63,$G63),IF(OR(AJ$3=$D63,AJ$3=$AC63,AJ$3=$AE63),"",IF(AJ$3=$AD63,$F63&amp;"R",AJ62))))</f>
        <v>wB</v>
      </c>
      <c r="AK63" s="11" t="str">
        <f aca="false">IF($P63=0,AK62,IF(AK$3=$E63,IF($AA63=1,$F63&amp;$AB63,$G63),IF(OR(AK$3=$D63,AK$3=$AC63,AK$3=$AE63),"",IF(AK$3=$AD63,$F63&amp;"R",AK62))))</f>
        <v>wQ</v>
      </c>
      <c r="AL63" s="11" t="str">
        <f aca="false">IF($P63=0,AL62,IF(AL$3=$E63,IF($AA63=1,$F63&amp;$AB63,$G63),IF(OR(AL$3=$D63,AL$3=$AC63,AL$3=$AE63),"",IF(AL$3=$AD63,$F63&amp;"R",AL62))))</f>
        <v>wK</v>
      </c>
      <c r="AM63" s="11" t="str">
        <f aca="false">IF($P63=0,AM62,IF(AM$3=$E63,IF($AA63=1,$F63&amp;$AB63,$G63),IF(OR(AM$3=$D63,AM$3=$AC63,AM$3=$AE63),"",IF(AM$3=$AD63,$F63&amp;"R",AM62))))</f>
        <v>wB</v>
      </c>
      <c r="AN63" s="11" t="str">
        <f aca="false">IF($P63=0,AN62,IF(AN$3=$E63,IF($AA63=1,$F63&amp;$AB63,$G63),IF(OR(AN$3=$D63,AN$3=$AC63,AN$3=$AE63),"",IF(AN$3=$AD63,$F63&amp;"R",AN62))))</f>
        <v>wN</v>
      </c>
      <c r="AO63" s="11" t="str">
        <f aca="false">IF($P63=0,AO62,IF(AO$3=$E63,IF($AA63=1,$F63&amp;$AB63,$G63),IF(OR(AO$3=$D63,AO$3=$AC63,AO$3=$AE63),"",IF(AO$3=$AD63,$F63&amp;"R",AO62))))</f>
        <v>wR</v>
      </c>
      <c r="AP63" s="11" t="str">
        <f aca="false">IF($P63=0,AP62,IF(AP$3=$E63,IF($AA63=1,$F63&amp;$AB63,$G63),IF(OR(AP$3=$D63,AP$3=$AC63,AP$3=$AE63),"",IF(AP$3=$AD63,$F63&amp;"R",AP62))))</f>
        <v>wP</v>
      </c>
      <c r="AQ63" s="11" t="str">
        <f aca="false">IF($P63=0,AQ62,IF(AQ$3=$E63,IF($AA63=1,$F63&amp;$AB63,$G63),IF(OR(AQ$3=$D63,AQ$3=$AC63,AQ$3=$AE63),"",IF(AQ$3=$AD63,$F63&amp;"R",AQ62))))</f>
        <v>wP</v>
      </c>
      <c r="AR63" s="11" t="str">
        <f aca="false">IF($P63=0,AR62,IF(AR$3=$E63,IF($AA63=1,$F63&amp;$AB63,$G63),IF(OR(AR$3=$D63,AR$3=$AC63,AR$3=$AE63),"",IF(AR$3=$AD63,$F63&amp;"R",AR62))))</f>
        <v>wP</v>
      </c>
      <c r="AS63" s="11" t="str">
        <f aca="false">IF($P63=0,AS62,IF(AS$3=$E63,IF($AA63=1,$F63&amp;$AB63,$G63),IF(OR(AS$3=$D63,AS$3=$AC63,AS$3=$AE63),"",IF(AS$3=$AD63,$F63&amp;"R",AS62))))</f>
        <v>wP</v>
      </c>
      <c r="AT63" s="11" t="str">
        <f aca="false">IF($P63=0,AT62,IF(AT$3=$E63,IF($AA63=1,$F63&amp;$AB63,$G63),IF(OR(AT$3=$D63,AT$3=$AC63,AT$3=$AE63),"",IF(AT$3=$AD63,$F63&amp;"R",AT62))))</f>
        <v>wP</v>
      </c>
      <c r="AU63" s="11" t="str">
        <f aca="false">IF($P63=0,AU62,IF(AU$3=$E63,IF($AA63=1,$F63&amp;$AB63,$G63),IF(OR(AU$3=$D63,AU$3=$AC63,AU$3=$AE63),"",IF(AU$3=$AD63,$F63&amp;"R",AU62))))</f>
        <v>wP</v>
      </c>
      <c r="AV63" s="11" t="str">
        <f aca="false">IF($P63=0,AV62,IF(AV$3=$E63,IF($AA63=1,$F63&amp;$AB63,$G63),IF(OR(AV$3=$D63,AV$3=$AC63,AV$3=$AE63),"",IF(AV$3=$AD63,$F63&amp;"R",AV62))))</f>
        <v>wP</v>
      </c>
      <c r="AW63" s="11" t="str">
        <f aca="false">IF($P63=0,AW62,IF(AW$3=$E63,IF($AA63=1,$F63&amp;$AB63,$G63),IF(OR(AW$3=$D63,AW$3=$AC63,AW$3=$AE63),"",IF(AW$3=$AD63,$F63&amp;"R",AW62))))</f>
        <v>wP</v>
      </c>
      <c r="AX63" s="11" t="str">
        <f aca="false">IF($P63=0,AX62,IF(AX$3=$E63,IF($AA63=1,$F63&amp;$AB63,$G63),IF(OR(AX$3=$D63,AX$3=$AC63,AX$3=$AE63),"",IF(AX$3=$AD63,$F63&amp;"R",AX62))))</f>
        <v/>
      </c>
      <c r="AY63" s="11" t="str">
        <f aca="false">IF($P63=0,AY62,IF(AY$3=$E63,IF($AA63=1,$F63&amp;$AB63,$G63),IF(OR(AY$3=$D63,AY$3=$AC63,AY$3=$AE63),"",IF(AY$3=$AD63,$F63&amp;"R",AY62))))</f>
        <v/>
      </c>
      <c r="AZ63" s="11" t="str">
        <f aca="false">IF($P63=0,AZ62,IF(AZ$3=$E63,IF($AA63=1,$F63&amp;$AB63,$G63),IF(OR(AZ$3=$D63,AZ$3=$AC63,AZ$3=$AE63),"",IF(AZ$3=$AD63,$F63&amp;"R",AZ62))))</f>
        <v/>
      </c>
      <c r="BA63" s="11" t="str">
        <f aca="false">IF($P63=0,BA62,IF(BA$3=$E63,IF($AA63=1,$F63&amp;$AB63,$G63),IF(OR(BA$3=$D63,BA$3=$AC63,BA$3=$AE63),"",IF(BA$3=$AD63,$F63&amp;"R",BA62))))</f>
        <v/>
      </c>
      <c r="BB63" s="11" t="str">
        <f aca="false">IF($P63=0,BB62,IF(BB$3=$E63,IF($AA63=1,$F63&amp;$AB63,$G63),IF(OR(BB$3=$D63,BB$3=$AC63,BB$3=$AE63),"",IF(BB$3=$AD63,$F63&amp;"R",BB62))))</f>
        <v/>
      </c>
      <c r="BC63" s="11" t="str">
        <f aca="false">IF($P63=0,BC62,IF(BC$3=$E63,IF($AA63=1,$F63&amp;$AB63,$G63),IF(OR(BC$3=$D63,BC$3=$AC63,BC$3=$AE63),"",IF(BC$3=$AD63,$F63&amp;"R",BC62))))</f>
        <v/>
      </c>
      <c r="BD63" s="11" t="str">
        <f aca="false">IF($P63=0,BD62,IF(BD$3=$E63,IF($AA63=1,$F63&amp;$AB63,$G63),IF(OR(BD$3=$D63,BD$3=$AC63,BD$3=$AE63),"",IF(BD$3=$AD63,$F63&amp;"R",BD62))))</f>
        <v/>
      </c>
      <c r="BE63" s="11" t="str">
        <f aca="false">IF($P63=0,BE62,IF(BE$3=$E63,IF($AA63=1,$F63&amp;$AB63,$G63),IF(OR(BE$3=$D63,BE$3=$AC63,BE$3=$AE63),"",IF(BE$3=$AD63,$F63&amp;"R",BE62))))</f>
        <v/>
      </c>
      <c r="BF63" s="11" t="str">
        <f aca="false">IF($P63=0,BF62,IF(BF$3=$E63,IF($AA63=1,$F63&amp;$AB63,$G63),IF(OR(BF$3=$D63,BF$3=$AC63,BF$3=$AE63),"",IF(BF$3=$AD63,$F63&amp;"R",BF62))))</f>
        <v/>
      </c>
      <c r="BG63" s="11" t="str">
        <f aca="false">IF($P63=0,BG62,IF(BG$3=$E63,IF($AA63=1,$F63&amp;$AB63,$G63),IF(OR(BG$3=$D63,BG$3=$AC63,BG$3=$AE63),"",IF(BG$3=$AD63,$F63&amp;"R",BG62))))</f>
        <v/>
      </c>
      <c r="BH63" s="11" t="str">
        <f aca="false">IF($P63=0,BH62,IF(BH$3=$E63,IF($AA63=1,$F63&amp;$AB63,$G63),IF(OR(BH$3=$D63,BH$3=$AC63,BH$3=$AE63),"",IF(BH$3=$AD63,$F63&amp;"R",BH62))))</f>
        <v/>
      </c>
      <c r="BI63" s="11" t="str">
        <f aca="false">IF($P63=0,BI62,IF(BI$3=$E63,IF($AA63=1,$F63&amp;$AB63,$G63),IF(OR(BI$3=$D63,BI$3=$AC63,BI$3=$AE63),"",IF(BI$3=$AD63,$F63&amp;"R",BI62))))</f>
        <v/>
      </c>
      <c r="BJ63" s="11" t="str">
        <f aca="false">IF($P63=0,BJ62,IF(BJ$3=$E63,IF($AA63=1,$F63&amp;$AB63,$G63),IF(OR(BJ$3=$D63,BJ$3=$AC63,BJ$3=$AE63),"",IF(BJ$3=$AD63,$F63&amp;"R",BJ62))))</f>
        <v/>
      </c>
      <c r="BK63" s="11" t="str">
        <f aca="false">IF($P63=0,BK62,IF(BK$3=$E63,IF($AA63=1,$F63&amp;$AB63,$G63),IF(OR(BK$3=$D63,BK$3=$AC63,BK$3=$AE63),"",IF(BK$3=$AD63,$F63&amp;"R",BK62))))</f>
        <v/>
      </c>
      <c r="BL63" s="11" t="str">
        <f aca="false">IF($P63=0,BL62,IF(BL$3=$E63,IF($AA63=1,$F63&amp;$AB63,$G63),IF(OR(BL$3=$D63,BL$3=$AC63,BL$3=$AE63),"",IF(BL$3=$AD63,$F63&amp;"R",BL62))))</f>
        <v/>
      </c>
      <c r="BM63" s="11" t="str">
        <f aca="false">IF($P63=0,BM62,IF(BM$3=$E63,IF($AA63=1,$F63&amp;$AB63,$G63),IF(OR(BM$3=$D63,BM$3=$AC63,BM$3=$AE63),"",IF(BM$3=$AD63,$F63&amp;"R",BM62))))</f>
        <v/>
      </c>
      <c r="BN63" s="11" t="str">
        <f aca="false">IF($P63=0,BN62,IF(BN$3=$E63,IF($AA63=1,$F63&amp;$AB63,$G63),IF(OR(BN$3=$D63,BN$3=$AC63,BN$3=$AE63),"",IF(BN$3=$AD63,$F63&amp;"R",BN62))))</f>
        <v/>
      </c>
      <c r="BO63" s="11" t="str">
        <f aca="false">IF($P63=0,BO62,IF(BO$3=$E63,IF($AA63=1,$F63&amp;$AB63,$G63),IF(OR(BO$3=$D63,BO$3=$AC63,BO$3=$AE63),"",IF(BO$3=$AD63,$F63&amp;"R",BO62))))</f>
        <v/>
      </c>
      <c r="BP63" s="11" t="str">
        <f aca="false">IF($P63=0,BP62,IF(BP$3=$E63,IF($AA63=1,$F63&amp;$AB63,$G63),IF(OR(BP$3=$D63,BP$3=$AC63,BP$3=$AE63),"",IF(BP$3=$AD63,$F63&amp;"R",BP62))))</f>
        <v/>
      </c>
      <c r="BQ63" s="11" t="str">
        <f aca="false">IF($P63=0,BQ62,IF(BQ$3=$E63,IF($AA63=1,$F63&amp;$AB63,$G63),IF(OR(BQ$3=$D63,BQ$3=$AC63,BQ$3=$AE63),"",IF(BQ$3=$AD63,$F63&amp;"R",BQ62))))</f>
        <v/>
      </c>
      <c r="BR63" s="11" t="str">
        <f aca="false">IF($P63=0,BR62,IF(BR$3=$E63,IF($AA63=1,$F63&amp;$AB63,$G63),IF(OR(BR$3=$D63,BR$3=$AC63,BR$3=$AE63),"",IF(BR$3=$AD63,$F63&amp;"R",BR62))))</f>
        <v/>
      </c>
      <c r="BS63" s="11" t="str">
        <f aca="false">IF($P63=0,BS62,IF(BS$3=$E63,IF($AA63=1,$F63&amp;$AB63,$G63),IF(OR(BS$3=$D63,BS$3=$AC63,BS$3=$AE63),"",IF(BS$3=$AD63,$F63&amp;"R",BS62))))</f>
        <v/>
      </c>
      <c r="BT63" s="11" t="str">
        <f aca="false">IF($P63=0,BT62,IF(BT$3=$E63,IF($AA63=1,$F63&amp;$AB63,$G63),IF(OR(BT$3=$D63,BT$3=$AC63,BT$3=$AE63),"",IF(BT$3=$AD63,$F63&amp;"R",BT62))))</f>
        <v/>
      </c>
      <c r="BU63" s="11" t="str">
        <f aca="false">IF($P63=0,BU62,IF(BU$3=$E63,IF($AA63=1,$F63&amp;$AB63,$G63),IF(OR(BU$3=$D63,BU$3=$AC63,BU$3=$AE63),"",IF(BU$3=$AD63,$F63&amp;"R",BU62))))</f>
        <v/>
      </c>
      <c r="BV63" s="11" t="str">
        <f aca="false">IF($P63=0,BV62,IF(BV$3=$E63,IF($AA63=1,$F63&amp;$AB63,$G63),IF(OR(BV$3=$D63,BV$3=$AC63,BV$3=$AE63),"",IF(BV$3=$AD63,$F63&amp;"R",BV62))))</f>
        <v/>
      </c>
      <c r="BW63" s="11" t="str">
        <f aca="false">IF($P63=0,BW62,IF(BW$3=$E63,IF($AA63=1,$F63&amp;$AB63,$G63),IF(OR(BW$3=$D63,BW$3=$AC63,BW$3=$AE63),"",IF(BW$3=$AD63,$F63&amp;"R",BW62))))</f>
        <v/>
      </c>
      <c r="BX63" s="11" t="str">
        <f aca="false">IF($P63=0,BX62,IF(BX$3=$E63,IF($AA63=1,$F63&amp;$AB63,$G63),IF(OR(BX$3=$D63,BX$3=$AC63,BX$3=$AE63),"",IF(BX$3=$AD63,$F63&amp;"R",BX62))))</f>
        <v/>
      </c>
      <c r="BY63" s="11" t="str">
        <f aca="false">IF($P63=0,BY62,IF(BY$3=$E63,IF($AA63=1,$F63&amp;$AB63,$G63),IF(OR(BY$3=$D63,BY$3=$AC63,BY$3=$AE63),"",IF(BY$3=$AD63,$F63&amp;"R",BY62))))</f>
        <v/>
      </c>
      <c r="BZ63" s="11" t="str">
        <f aca="false">IF($P63=0,BZ62,IF(BZ$3=$E63,IF($AA63=1,$F63&amp;$AB63,$G63),IF(OR(BZ$3=$D63,BZ$3=$AC63,BZ$3=$AE63),"",IF(BZ$3=$AD63,$F63&amp;"R",BZ62))))</f>
        <v/>
      </c>
      <c r="CA63" s="11" t="str">
        <f aca="false">IF($P63=0,CA62,IF(CA$3=$E63,IF($AA63=1,$F63&amp;$AB63,$G63),IF(OR(CA$3=$D63,CA$3=$AC63,CA$3=$AE63),"",IF(CA$3=$AD63,$F63&amp;"R",CA62))))</f>
        <v/>
      </c>
      <c r="CB63" s="11" t="str">
        <f aca="false">IF($P63=0,CB62,IF(CB$3=$E63,IF($AA63=1,$F63&amp;$AB63,$G63),IF(OR(CB$3=$D63,CB$3=$AC63,CB$3=$AE63),"",IF(CB$3=$AD63,$F63&amp;"R",CB62))))</f>
        <v/>
      </c>
      <c r="CC63" s="11" t="str">
        <f aca="false">IF($P63=0,CC62,IF(CC$3=$E63,IF($AA63=1,$F63&amp;$AB63,$G63),IF(OR(CC$3=$D63,CC$3=$AC63,CC$3=$AE63),"",IF(CC$3=$AD63,$F63&amp;"R",CC62))))</f>
        <v/>
      </c>
      <c r="CD63" s="11" t="str">
        <f aca="false">IF($P63=0,CD62,IF(CD$3=$E63,IF($AA63=1,$F63&amp;$AB63,$G63),IF(OR(CD$3=$D63,CD$3=$AC63,CD$3=$AE63),"",IF(CD$3=$AD63,$F63&amp;"R",CD62))))</f>
        <v>bP</v>
      </c>
      <c r="CE63" s="11" t="str">
        <f aca="false">IF($P63=0,CE62,IF(CE$3=$E63,IF($AA63=1,$F63&amp;$AB63,$G63),IF(OR(CE$3=$D63,CE$3=$AC63,CE$3=$AE63),"",IF(CE$3=$AD63,$F63&amp;"R",CE62))))</f>
        <v>bP</v>
      </c>
      <c r="CF63" s="11" t="str">
        <f aca="false">IF($P63=0,CF62,IF(CF$3=$E63,IF($AA63=1,$F63&amp;$AB63,$G63),IF(OR(CF$3=$D63,CF$3=$AC63,CF$3=$AE63),"",IF(CF$3=$AD63,$F63&amp;"R",CF62))))</f>
        <v>bP</v>
      </c>
      <c r="CG63" s="11" t="str">
        <f aca="false">IF($P63=0,CG62,IF(CG$3=$E63,IF($AA63=1,$F63&amp;$AB63,$G63),IF(OR(CG$3=$D63,CG$3=$AC63,CG$3=$AE63),"",IF(CG$3=$AD63,$F63&amp;"R",CG62))))</f>
        <v>bP</v>
      </c>
      <c r="CH63" s="11" t="str">
        <f aca="false">IF($P63=0,CH62,IF(CH$3=$E63,IF($AA63=1,$F63&amp;$AB63,$G63),IF(OR(CH$3=$D63,CH$3=$AC63,CH$3=$AE63),"",IF(CH$3=$AD63,$F63&amp;"R",CH62))))</f>
        <v>bP</v>
      </c>
      <c r="CI63" s="11" t="str">
        <f aca="false">IF($P63=0,CI62,IF(CI$3=$E63,IF($AA63=1,$F63&amp;$AB63,$G63),IF(OR(CI$3=$D63,CI$3=$AC63,CI$3=$AE63),"",IF(CI$3=$AD63,$F63&amp;"R",CI62))))</f>
        <v>bP</v>
      </c>
      <c r="CJ63" s="11" t="str">
        <f aca="false">IF($P63=0,CJ62,IF(CJ$3=$E63,IF($AA63=1,$F63&amp;$AB63,$G63),IF(OR(CJ$3=$D63,CJ$3=$AC63,CJ$3=$AE63),"",IF(CJ$3=$AD63,$F63&amp;"R",CJ62))))</f>
        <v>bP</v>
      </c>
      <c r="CK63" s="11" t="str">
        <f aca="false">IF($P63=0,CK62,IF(CK$3=$E63,IF($AA63=1,$F63&amp;$AB63,$G63),IF(OR(CK$3=$D63,CK$3=$AC63,CK$3=$AE63),"",IF(CK$3=$AD63,$F63&amp;"R",CK62))))</f>
        <v>bP</v>
      </c>
      <c r="CL63" s="11" t="str">
        <f aca="false">IF($P63=0,CL62,IF(CL$3=$E63,IF($AA63=1,$F63&amp;$AB63,$G63),IF(OR(CL$3=$D63,CL$3=$AC63,CL$3=$AE63),"",IF(CL$3=$AD63,$F63&amp;"R",CL62))))</f>
        <v>bR</v>
      </c>
      <c r="CM63" s="11" t="str">
        <f aca="false">IF($P63=0,CM62,IF(CM$3=$E63,IF($AA63=1,$F63&amp;$AB63,$G63),IF(OR(CM$3=$D63,CM$3=$AC63,CM$3=$AE63),"",IF(CM$3=$AD63,$F63&amp;"R",CM62))))</f>
        <v>bN</v>
      </c>
      <c r="CN63" s="11" t="str">
        <f aca="false">IF($P63=0,CN62,IF(CN$3=$E63,IF($AA63=1,$F63&amp;$AB63,$G63),IF(OR(CN$3=$D63,CN$3=$AC63,CN$3=$AE63),"",IF(CN$3=$AD63,$F63&amp;"R",CN62))))</f>
        <v>bB</v>
      </c>
      <c r="CO63" s="11" t="str">
        <f aca="false">IF($P63=0,CO62,IF(CO$3=$E63,IF($AA63=1,$F63&amp;$AB63,$G63),IF(OR(CO$3=$D63,CO$3=$AC63,CO$3=$AE63),"",IF(CO$3=$AD63,$F63&amp;"R",CO62))))</f>
        <v>bQ</v>
      </c>
      <c r="CP63" s="11" t="str">
        <f aca="false">IF($P63=0,CP62,IF(CP$3=$E63,IF($AA63=1,$F63&amp;$AB63,$G63),IF(OR(CP$3=$D63,CP$3=$AC63,CP$3=$AE63),"",IF(CP$3=$AD63,$F63&amp;"R",CP62))))</f>
        <v>bK</v>
      </c>
      <c r="CQ63" s="11" t="str">
        <f aca="false">IF($P63=0,CQ62,IF(CQ$3=$E63,IF($AA63=1,$F63&amp;$AB63,$G63),IF(OR(CQ$3=$D63,CQ$3=$AC63,CQ$3=$AE63),"",IF(CQ$3=$AD63,$F63&amp;"R",CQ62))))</f>
        <v>bB</v>
      </c>
      <c r="CR63" s="11" t="str">
        <f aca="false">IF($P63=0,CR62,IF(CR$3=$E63,IF($AA63=1,$F63&amp;$AB63,$G63),IF(OR(CR$3=$D63,CR$3=$AC63,CR$3=$AE63),"",IF(CR$3=$AD63,$F63&amp;"R",CR62))))</f>
        <v>bN</v>
      </c>
      <c r="CS63" s="11" t="str">
        <f aca="false">IF($P63=0,CS62,IF(CS$3=$E63,IF($AA63=1,$F63&amp;$AB63,$G63),IF(OR(CS$3=$D63,CS$3=$AC63,CS$3=$AE63),"",IF(CS$3=$AD63,$F63&amp;"R",CS62))))</f>
        <v>bR</v>
      </c>
      <c r="CT63" s="11"/>
      <c r="CU63" s="11"/>
      <c r="CV63" s="11"/>
    </row>
    <row r="64" customFormat="false" ht="15" hidden="false" customHeight="false" outlineLevel="0" collapsed="false">
      <c r="A64" s="11" t="n">
        <v>59</v>
      </c>
      <c r="B64" s="11" t="str">
        <f aca="false">IF(Chess!$L$68="","",Chess!$L$68&amp;"")</f>
        <v/>
      </c>
      <c r="C64" s="11" t="str">
        <f aca="false">LOWER(SUBSTITUTE(SUBSTITUTE(SUBSTITUTE(SUBSTITUTE(TRIM($B64),"-",""),"=","")," ",""),"x",""))</f>
        <v/>
      </c>
      <c r="D64" s="11" t="n">
        <f aca="false">IF(LEN($C64)&lt;4,0,IFERROR(IF(AND(CODE(MID($C64,1,1))&gt;=97,CODE(MID($C64,1,1))&lt;=104,VALUE(MID($C64,2,1))&gt;=1,VALUE(MID($C64,2,1))&lt;=8),(VALUE(MID($C64,2,1))-1)*8+CODE(MID($C64,1,1))-96,0),0))</f>
        <v>0</v>
      </c>
      <c r="E64" s="11" t="n">
        <f aca="false">IF(LEN($C64)&lt;4,0,IFERROR(IF(AND(CODE(MID($C64,3,1))&gt;=97,CODE(MID($C64,3,1))&lt;=104,VALUE(MID($C64,4,1))&gt;=1,VALUE(MID($C64,4,1))&lt;=8),(VALUE(MID($C64,4,1))-1)*8+CODE(MID($C64,3,1))-96,0),0))</f>
        <v>0</v>
      </c>
      <c r="F64" s="11" t="str">
        <f aca="false">IF(MOD(SUM($P$5:$P63),2)=0,"w","b")</f>
        <v>w</v>
      </c>
      <c r="G64" s="11" t="str">
        <f aca="false">IF($D64=0,"",INDEX($AH63:$CS63,1,$D64)&amp;"")</f>
        <v/>
      </c>
      <c r="H64" s="11" t="str">
        <f aca="false">IF($E64=0,"",INDEX($AH63:$CS63,1,$E64)&amp;"")</f>
        <v/>
      </c>
      <c r="I64" s="11" t="n">
        <f aca="false">IF(OR($D64=0,$E64=0),0,MOD($E64-1,8)-MOD($D64-1,8))</f>
        <v>0</v>
      </c>
      <c r="J64" s="11" t="n">
        <f aca="false">IF(OR($D64=0,$E64=0),0,INT(($E64-1)/8)-INT(($D64-1)/8))</f>
        <v>0</v>
      </c>
      <c r="K64" s="11" t="str">
        <f aca="false">IF($G64="","",RIGHT($G64,1))</f>
        <v/>
      </c>
      <c r="L64" s="11" t="n">
        <f aca="false">IF(OR($D64=0,$E64=0),0,SUMPRODUCT(($AH$3:$CS$3&gt;MIN($D64,$E64))*($AH$3:$CS$3&lt;MAX($D64,$E64))*(MOD($AH$3:$CS$3-MIN($D64,$E64),MAX(1,ABS(SIGN($J64)*8+SIGN($I64))))=0)*($AH63:$CS63&lt;&gt;"")))</f>
        <v>0</v>
      </c>
      <c r="M64" s="11" t="n">
        <f aca="false">IF($K64&lt;&gt;"K",0,IFERROR(--AND($J64=0,ABS($I64)=2,$D64=IF($F64="w",5,61),IF($F64="w",$S63,$V63)=0,IF($I64=2,AND(IF($F64="w",$U63,$X63)=0,INDEX($AH63:$CS63,1,$D64+1)&amp;""="",INDEX($AH63:$CS63,1,$D64+2)&amp;""=""),AND(IF($F64="w",$T63,$W63)=0,INDEX($AH63:$CS63,1,$D64-1)&amp;""="",INDEX($AH63:$CS63,1,$D64-2)&amp;""="",INDEX($AH63:$CS63,1,$D64-3)&amp;""=""))),0))</f>
        <v>0</v>
      </c>
      <c r="N64" s="11" t="n">
        <f aca="false">IF($K64&lt;&gt;"P",0,IFERROR(--OR(AND($I64=0,$J64=IF($F64="w",1,-1),$H64=""),AND($I64=0,$J64=2*IF($F64="w",1,-1),$H64="",INT(($D64-1)/8)=IF($F64="w",1,6),INDEX($AH63:$CS63,1,MAX(1,MIN(64,$D64+8*IF($F64="w",1,-1))))&amp;""=""),AND(ABS($I64)=1,$J64=IF($F64="w",1,-1),$H64&lt;&gt;""),AND(ABS($I64)=1,$J64=IF($F64="w",1,-1),$H64="",$R63&gt;0,$E64=$R63)),0))</f>
        <v>0</v>
      </c>
      <c r="O64" s="11" t="n">
        <f aca="false">IF(OR($D64=0,$E64=0,$G64=""),0,IF($K64="N",--OR(AND(ABS($I64)=1,ABS($J64)=2),AND(ABS($I64)=2,ABS($J64)=1)),IF($K64="B",--AND(ABS($I64)=ABS($J64),$I64&lt;&gt;0,$L64=0),IF($K64="R",--AND(OR($I64=0,$J64=0),OR($I64&lt;&gt;0,$J64&lt;&gt;0),$L64=0),IF($K64="Q",--AND(OR(AND(ABS($I64)=ABS($J64),$I64&lt;&gt;0),AND(OR($I64=0,$J64=0),OR($I64&lt;&gt;0,$J64&lt;&gt;0))),$L64=0),IF($K64="K",--OR(MAX(ABS($I64),ABS($J64))=1,$M64=1),$N64))))))</f>
        <v>0</v>
      </c>
      <c r="P64" s="11" t="n">
        <f aca="false">IF($Q64="OK",1,0)</f>
        <v>0</v>
      </c>
      <c r="Q64" s="11" t="str">
        <f aca="false">IF($B64="","",IF(OR(COUNTIF($AH63:$CS63,"wK")=0,COUNTIF($AH63:$CS63,"bK")=0),"Game is over",IF(OR($D64=0,$E64=0),"Use the format e2e4",IF($G64="","No piece on that square",IF(LEFT($G64,1)&lt;&gt;$F64,"Not your piece ("&amp;IF($F64="w","White","Black")&amp;" to move)",IF($D64=$E64,"Piece must move",IF(AND($H64&lt;&gt;"",LEFT($H64,1)=$F64),"Cannot capture your own piece",IF($O64=0,"Illegal move for that piece (or path blocked)","OK"))))))))</f>
        <v/>
      </c>
      <c r="R64" s="11" t="n">
        <f aca="false">IF($P64=1,IF(AND($K64="P",ABS($J64)=2),($D64+$E64)/2,0),$R63)</f>
        <v>0</v>
      </c>
      <c r="S64" s="12" t="b">
        <f aca="false">--OR($S63=1,AND($P64=1,OR($D64=5,$E64=5)))</f>
        <v>0</v>
      </c>
      <c r="T64" s="12" t="b">
        <f aca="false">--OR($T63=1,AND($P64=1,OR($D64=1,$E64=1)))</f>
        <v>0</v>
      </c>
      <c r="U64" s="12" t="b">
        <f aca="false">--OR($U63=1,AND($P64=1,OR($D64=8,$E64=8)))</f>
        <v>0</v>
      </c>
      <c r="V64" s="12" t="b">
        <f aca="false">--OR($V63=1,AND($P64=1,OR($D64=61,$E64=61)))</f>
        <v>0</v>
      </c>
      <c r="W64" s="12" t="b">
        <f aca="false">--OR($W63=1,AND($P64=1,OR($D64=57,$E64=57)))</f>
        <v>0</v>
      </c>
      <c r="X64" s="12" t="b">
        <f aca="false">--OR($X63=1,AND($P64=1,OR($D64=64,$E64=64)))</f>
        <v>0</v>
      </c>
      <c r="Y64" s="12" t="b">
        <f aca="false">--AND($P64=1,$K64="K",ABS($I64)=2)</f>
        <v>0</v>
      </c>
      <c r="Z64" s="12" t="b">
        <f aca="false">--AND($P64=1,$K64="P",ABS($I64)=1,$H64="")</f>
        <v>0</v>
      </c>
      <c r="AA64" s="12" t="b">
        <f aca="false">--AND($P64=1,$K64="P",INT(($E64-1)/8)=IF($F64="w",7,0))</f>
        <v>0</v>
      </c>
      <c r="AB64" s="11" t="str">
        <f aca="false">IF(LEN($C64)&gt;=5,IF(ISNUMBER(FIND(MID($C64,5,1),"qrbn")),UPPER(MID($C64,5,1)),"Q"),"Q")</f>
        <v>Q</v>
      </c>
      <c r="AC64" s="11" t="n">
        <f aca="false">IF($Y64=1,IF($I64=2,$D64+3,$D64-4),0)</f>
        <v>0</v>
      </c>
      <c r="AD64" s="11" t="n">
        <f aca="false">IF($Y64=1,IF($I64=2,$D64+1,$D64-1),0)</f>
        <v>0</v>
      </c>
      <c r="AE64" s="11" t="n">
        <f aca="false">IF($Z64=1,$E64-8*IF($F64="w",1,-1),0)</f>
        <v>0</v>
      </c>
      <c r="AF64" s="11" t="str">
        <f aca="false">IF($B64="","",IF($P64=1,LOWER(INDEX($CV$2:$CV$13,MATCH($G64,$CU$2:$CU$13,0)))&amp;" "&amp;MID("abcdefgh",MOD($D64-1,8)+1,1)&amp;(INT(($D64-1)/8)+1)&amp;"→"&amp;MID("abcdefgh",MOD($E64-1,8)+1,1)&amp;(INT(($E64-1)/8)+1)&amp;IF(OR($H64&lt;&gt;"",$Z64=1)," ×","")&amp;IF($Y64=1," castles","")&amp;IF($Z64=1," e.p.","")&amp;IF($AA64=1," =" &amp;LOWER(INDEX($CV$2:$CV$13,MATCH($F64&amp;$AB64,$CU$2:$CU$13,0))),""),"X "&amp;$Q64))</f>
        <v/>
      </c>
      <c r="AG64" s="11"/>
      <c r="AH64" s="11" t="str">
        <f aca="false">IF($P64=0,AH63,IF(AH$3=$E64,IF($AA64=1,$F64&amp;$AB64,$G64),IF(OR(AH$3=$D64,AH$3=$AC64,AH$3=$AE64),"",IF(AH$3=$AD64,$F64&amp;"R",AH63))))</f>
        <v>wR</v>
      </c>
      <c r="AI64" s="11" t="str">
        <f aca="false">IF($P64=0,AI63,IF(AI$3=$E64,IF($AA64=1,$F64&amp;$AB64,$G64),IF(OR(AI$3=$D64,AI$3=$AC64,AI$3=$AE64),"",IF(AI$3=$AD64,$F64&amp;"R",AI63))))</f>
        <v>wN</v>
      </c>
      <c r="AJ64" s="11" t="str">
        <f aca="false">IF($P64=0,AJ63,IF(AJ$3=$E64,IF($AA64=1,$F64&amp;$AB64,$G64),IF(OR(AJ$3=$D64,AJ$3=$AC64,AJ$3=$AE64),"",IF(AJ$3=$AD64,$F64&amp;"R",AJ63))))</f>
        <v>wB</v>
      </c>
      <c r="AK64" s="11" t="str">
        <f aca="false">IF($P64=0,AK63,IF(AK$3=$E64,IF($AA64=1,$F64&amp;$AB64,$G64),IF(OR(AK$3=$D64,AK$3=$AC64,AK$3=$AE64),"",IF(AK$3=$AD64,$F64&amp;"R",AK63))))</f>
        <v>wQ</v>
      </c>
      <c r="AL64" s="11" t="str">
        <f aca="false">IF($P64=0,AL63,IF(AL$3=$E64,IF($AA64=1,$F64&amp;$AB64,$G64),IF(OR(AL$3=$D64,AL$3=$AC64,AL$3=$AE64),"",IF(AL$3=$AD64,$F64&amp;"R",AL63))))</f>
        <v>wK</v>
      </c>
      <c r="AM64" s="11" t="str">
        <f aca="false">IF($P64=0,AM63,IF(AM$3=$E64,IF($AA64=1,$F64&amp;$AB64,$G64),IF(OR(AM$3=$D64,AM$3=$AC64,AM$3=$AE64),"",IF(AM$3=$AD64,$F64&amp;"R",AM63))))</f>
        <v>wB</v>
      </c>
      <c r="AN64" s="11" t="str">
        <f aca="false">IF($P64=0,AN63,IF(AN$3=$E64,IF($AA64=1,$F64&amp;$AB64,$G64),IF(OR(AN$3=$D64,AN$3=$AC64,AN$3=$AE64),"",IF(AN$3=$AD64,$F64&amp;"R",AN63))))</f>
        <v>wN</v>
      </c>
      <c r="AO64" s="11" t="str">
        <f aca="false">IF($P64=0,AO63,IF(AO$3=$E64,IF($AA64=1,$F64&amp;$AB64,$G64),IF(OR(AO$3=$D64,AO$3=$AC64,AO$3=$AE64),"",IF(AO$3=$AD64,$F64&amp;"R",AO63))))</f>
        <v>wR</v>
      </c>
      <c r="AP64" s="11" t="str">
        <f aca="false">IF($P64=0,AP63,IF(AP$3=$E64,IF($AA64=1,$F64&amp;$AB64,$G64),IF(OR(AP$3=$D64,AP$3=$AC64,AP$3=$AE64),"",IF(AP$3=$AD64,$F64&amp;"R",AP63))))</f>
        <v>wP</v>
      </c>
      <c r="AQ64" s="11" t="str">
        <f aca="false">IF($P64=0,AQ63,IF(AQ$3=$E64,IF($AA64=1,$F64&amp;$AB64,$G64),IF(OR(AQ$3=$D64,AQ$3=$AC64,AQ$3=$AE64),"",IF(AQ$3=$AD64,$F64&amp;"R",AQ63))))</f>
        <v>wP</v>
      </c>
      <c r="AR64" s="11" t="str">
        <f aca="false">IF($P64=0,AR63,IF(AR$3=$E64,IF($AA64=1,$F64&amp;$AB64,$G64),IF(OR(AR$3=$D64,AR$3=$AC64,AR$3=$AE64),"",IF(AR$3=$AD64,$F64&amp;"R",AR63))))</f>
        <v>wP</v>
      </c>
      <c r="AS64" s="11" t="str">
        <f aca="false">IF($P64=0,AS63,IF(AS$3=$E64,IF($AA64=1,$F64&amp;$AB64,$G64),IF(OR(AS$3=$D64,AS$3=$AC64,AS$3=$AE64),"",IF(AS$3=$AD64,$F64&amp;"R",AS63))))</f>
        <v>wP</v>
      </c>
      <c r="AT64" s="11" t="str">
        <f aca="false">IF($P64=0,AT63,IF(AT$3=$E64,IF($AA64=1,$F64&amp;$AB64,$G64),IF(OR(AT$3=$D64,AT$3=$AC64,AT$3=$AE64),"",IF(AT$3=$AD64,$F64&amp;"R",AT63))))</f>
        <v>wP</v>
      </c>
      <c r="AU64" s="11" t="str">
        <f aca="false">IF($P64=0,AU63,IF(AU$3=$E64,IF($AA64=1,$F64&amp;$AB64,$G64),IF(OR(AU$3=$D64,AU$3=$AC64,AU$3=$AE64),"",IF(AU$3=$AD64,$F64&amp;"R",AU63))))</f>
        <v>wP</v>
      </c>
      <c r="AV64" s="11" t="str">
        <f aca="false">IF($P64=0,AV63,IF(AV$3=$E64,IF($AA64=1,$F64&amp;$AB64,$G64),IF(OR(AV$3=$D64,AV$3=$AC64,AV$3=$AE64),"",IF(AV$3=$AD64,$F64&amp;"R",AV63))))</f>
        <v>wP</v>
      </c>
      <c r="AW64" s="11" t="str">
        <f aca="false">IF($P64=0,AW63,IF(AW$3=$E64,IF($AA64=1,$F64&amp;$AB64,$G64),IF(OR(AW$3=$D64,AW$3=$AC64,AW$3=$AE64),"",IF(AW$3=$AD64,$F64&amp;"R",AW63))))</f>
        <v>wP</v>
      </c>
      <c r="AX64" s="11" t="str">
        <f aca="false">IF($P64=0,AX63,IF(AX$3=$E64,IF($AA64=1,$F64&amp;$AB64,$G64),IF(OR(AX$3=$D64,AX$3=$AC64,AX$3=$AE64),"",IF(AX$3=$AD64,$F64&amp;"R",AX63))))</f>
        <v/>
      </c>
      <c r="AY64" s="11" t="str">
        <f aca="false">IF($P64=0,AY63,IF(AY$3=$E64,IF($AA64=1,$F64&amp;$AB64,$G64),IF(OR(AY$3=$D64,AY$3=$AC64,AY$3=$AE64),"",IF(AY$3=$AD64,$F64&amp;"R",AY63))))</f>
        <v/>
      </c>
      <c r="AZ64" s="11" t="str">
        <f aca="false">IF($P64=0,AZ63,IF(AZ$3=$E64,IF($AA64=1,$F64&amp;$AB64,$G64),IF(OR(AZ$3=$D64,AZ$3=$AC64,AZ$3=$AE64),"",IF(AZ$3=$AD64,$F64&amp;"R",AZ63))))</f>
        <v/>
      </c>
      <c r="BA64" s="11" t="str">
        <f aca="false">IF($P64=0,BA63,IF(BA$3=$E64,IF($AA64=1,$F64&amp;$AB64,$G64),IF(OR(BA$3=$D64,BA$3=$AC64,BA$3=$AE64),"",IF(BA$3=$AD64,$F64&amp;"R",BA63))))</f>
        <v/>
      </c>
      <c r="BB64" s="11" t="str">
        <f aca="false">IF($P64=0,BB63,IF(BB$3=$E64,IF($AA64=1,$F64&amp;$AB64,$G64),IF(OR(BB$3=$D64,BB$3=$AC64,BB$3=$AE64),"",IF(BB$3=$AD64,$F64&amp;"R",BB63))))</f>
        <v/>
      </c>
      <c r="BC64" s="11" t="str">
        <f aca="false">IF($P64=0,BC63,IF(BC$3=$E64,IF($AA64=1,$F64&amp;$AB64,$G64),IF(OR(BC$3=$D64,BC$3=$AC64,BC$3=$AE64),"",IF(BC$3=$AD64,$F64&amp;"R",BC63))))</f>
        <v/>
      </c>
      <c r="BD64" s="11" t="str">
        <f aca="false">IF($P64=0,BD63,IF(BD$3=$E64,IF($AA64=1,$F64&amp;$AB64,$G64),IF(OR(BD$3=$D64,BD$3=$AC64,BD$3=$AE64),"",IF(BD$3=$AD64,$F64&amp;"R",BD63))))</f>
        <v/>
      </c>
      <c r="BE64" s="11" t="str">
        <f aca="false">IF($P64=0,BE63,IF(BE$3=$E64,IF($AA64=1,$F64&amp;$AB64,$G64),IF(OR(BE$3=$D64,BE$3=$AC64,BE$3=$AE64),"",IF(BE$3=$AD64,$F64&amp;"R",BE63))))</f>
        <v/>
      </c>
      <c r="BF64" s="11" t="str">
        <f aca="false">IF($P64=0,BF63,IF(BF$3=$E64,IF($AA64=1,$F64&amp;$AB64,$G64),IF(OR(BF$3=$D64,BF$3=$AC64,BF$3=$AE64),"",IF(BF$3=$AD64,$F64&amp;"R",BF63))))</f>
        <v/>
      </c>
      <c r="BG64" s="11" t="str">
        <f aca="false">IF($P64=0,BG63,IF(BG$3=$E64,IF($AA64=1,$F64&amp;$AB64,$G64),IF(OR(BG$3=$D64,BG$3=$AC64,BG$3=$AE64),"",IF(BG$3=$AD64,$F64&amp;"R",BG63))))</f>
        <v/>
      </c>
      <c r="BH64" s="11" t="str">
        <f aca="false">IF($P64=0,BH63,IF(BH$3=$E64,IF($AA64=1,$F64&amp;$AB64,$G64),IF(OR(BH$3=$D64,BH$3=$AC64,BH$3=$AE64),"",IF(BH$3=$AD64,$F64&amp;"R",BH63))))</f>
        <v/>
      </c>
      <c r="BI64" s="11" t="str">
        <f aca="false">IF($P64=0,BI63,IF(BI$3=$E64,IF($AA64=1,$F64&amp;$AB64,$G64),IF(OR(BI$3=$D64,BI$3=$AC64,BI$3=$AE64),"",IF(BI$3=$AD64,$F64&amp;"R",BI63))))</f>
        <v/>
      </c>
      <c r="BJ64" s="11" t="str">
        <f aca="false">IF($P64=0,BJ63,IF(BJ$3=$E64,IF($AA64=1,$F64&amp;$AB64,$G64),IF(OR(BJ$3=$D64,BJ$3=$AC64,BJ$3=$AE64),"",IF(BJ$3=$AD64,$F64&amp;"R",BJ63))))</f>
        <v/>
      </c>
      <c r="BK64" s="11" t="str">
        <f aca="false">IF($P64=0,BK63,IF(BK$3=$E64,IF($AA64=1,$F64&amp;$AB64,$G64),IF(OR(BK$3=$D64,BK$3=$AC64,BK$3=$AE64),"",IF(BK$3=$AD64,$F64&amp;"R",BK63))))</f>
        <v/>
      </c>
      <c r="BL64" s="11" t="str">
        <f aca="false">IF($P64=0,BL63,IF(BL$3=$E64,IF($AA64=1,$F64&amp;$AB64,$G64),IF(OR(BL$3=$D64,BL$3=$AC64,BL$3=$AE64),"",IF(BL$3=$AD64,$F64&amp;"R",BL63))))</f>
        <v/>
      </c>
      <c r="BM64" s="11" t="str">
        <f aca="false">IF($P64=0,BM63,IF(BM$3=$E64,IF($AA64=1,$F64&amp;$AB64,$G64),IF(OR(BM$3=$D64,BM$3=$AC64,BM$3=$AE64),"",IF(BM$3=$AD64,$F64&amp;"R",BM63))))</f>
        <v/>
      </c>
      <c r="BN64" s="11" t="str">
        <f aca="false">IF($P64=0,BN63,IF(BN$3=$E64,IF($AA64=1,$F64&amp;$AB64,$G64),IF(OR(BN$3=$D64,BN$3=$AC64,BN$3=$AE64),"",IF(BN$3=$AD64,$F64&amp;"R",BN63))))</f>
        <v/>
      </c>
      <c r="BO64" s="11" t="str">
        <f aca="false">IF($P64=0,BO63,IF(BO$3=$E64,IF($AA64=1,$F64&amp;$AB64,$G64),IF(OR(BO$3=$D64,BO$3=$AC64,BO$3=$AE64),"",IF(BO$3=$AD64,$F64&amp;"R",BO63))))</f>
        <v/>
      </c>
      <c r="BP64" s="11" t="str">
        <f aca="false">IF($P64=0,BP63,IF(BP$3=$E64,IF($AA64=1,$F64&amp;$AB64,$G64),IF(OR(BP$3=$D64,BP$3=$AC64,BP$3=$AE64),"",IF(BP$3=$AD64,$F64&amp;"R",BP63))))</f>
        <v/>
      </c>
      <c r="BQ64" s="11" t="str">
        <f aca="false">IF($P64=0,BQ63,IF(BQ$3=$E64,IF($AA64=1,$F64&amp;$AB64,$G64),IF(OR(BQ$3=$D64,BQ$3=$AC64,BQ$3=$AE64),"",IF(BQ$3=$AD64,$F64&amp;"R",BQ63))))</f>
        <v/>
      </c>
      <c r="BR64" s="11" t="str">
        <f aca="false">IF($P64=0,BR63,IF(BR$3=$E64,IF($AA64=1,$F64&amp;$AB64,$G64),IF(OR(BR$3=$D64,BR$3=$AC64,BR$3=$AE64),"",IF(BR$3=$AD64,$F64&amp;"R",BR63))))</f>
        <v/>
      </c>
      <c r="BS64" s="11" t="str">
        <f aca="false">IF($P64=0,BS63,IF(BS$3=$E64,IF($AA64=1,$F64&amp;$AB64,$G64),IF(OR(BS$3=$D64,BS$3=$AC64,BS$3=$AE64),"",IF(BS$3=$AD64,$F64&amp;"R",BS63))))</f>
        <v/>
      </c>
      <c r="BT64" s="11" t="str">
        <f aca="false">IF($P64=0,BT63,IF(BT$3=$E64,IF($AA64=1,$F64&amp;$AB64,$G64),IF(OR(BT$3=$D64,BT$3=$AC64,BT$3=$AE64),"",IF(BT$3=$AD64,$F64&amp;"R",BT63))))</f>
        <v/>
      </c>
      <c r="BU64" s="11" t="str">
        <f aca="false">IF($P64=0,BU63,IF(BU$3=$E64,IF($AA64=1,$F64&amp;$AB64,$G64),IF(OR(BU$3=$D64,BU$3=$AC64,BU$3=$AE64),"",IF(BU$3=$AD64,$F64&amp;"R",BU63))))</f>
        <v/>
      </c>
      <c r="BV64" s="11" t="str">
        <f aca="false">IF($P64=0,BV63,IF(BV$3=$E64,IF($AA64=1,$F64&amp;$AB64,$G64),IF(OR(BV$3=$D64,BV$3=$AC64,BV$3=$AE64),"",IF(BV$3=$AD64,$F64&amp;"R",BV63))))</f>
        <v/>
      </c>
      <c r="BW64" s="11" t="str">
        <f aca="false">IF($P64=0,BW63,IF(BW$3=$E64,IF($AA64=1,$F64&amp;$AB64,$G64),IF(OR(BW$3=$D64,BW$3=$AC64,BW$3=$AE64),"",IF(BW$3=$AD64,$F64&amp;"R",BW63))))</f>
        <v/>
      </c>
      <c r="BX64" s="11" t="str">
        <f aca="false">IF($P64=0,BX63,IF(BX$3=$E64,IF($AA64=1,$F64&amp;$AB64,$G64),IF(OR(BX$3=$D64,BX$3=$AC64,BX$3=$AE64),"",IF(BX$3=$AD64,$F64&amp;"R",BX63))))</f>
        <v/>
      </c>
      <c r="BY64" s="11" t="str">
        <f aca="false">IF($P64=0,BY63,IF(BY$3=$E64,IF($AA64=1,$F64&amp;$AB64,$G64),IF(OR(BY$3=$D64,BY$3=$AC64,BY$3=$AE64),"",IF(BY$3=$AD64,$F64&amp;"R",BY63))))</f>
        <v/>
      </c>
      <c r="BZ64" s="11" t="str">
        <f aca="false">IF($P64=0,BZ63,IF(BZ$3=$E64,IF($AA64=1,$F64&amp;$AB64,$G64),IF(OR(BZ$3=$D64,BZ$3=$AC64,BZ$3=$AE64),"",IF(BZ$3=$AD64,$F64&amp;"R",BZ63))))</f>
        <v/>
      </c>
      <c r="CA64" s="11" t="str">
        <f aca="false">IF($P64=0,CA63,IF(CA$3=$E64,IF($AA64=1,$F64&amp;$AB64,$G64),IF(OR(CA$3=$D64,CA$3=$AC64,CA$3=$AE64),"",IF(CA$3=$AD64,$F64&amp;"R",CA63))))</f>
        <v/>
      </c>
      <c r="CB64" s="11" t="str">
        <f aca="false">IF($P64=0,CB63,IF(CB$3=$E64,IF($AA64=1,$F64&amp;$AB64,$G64),IF(OR(CB$3=$D64,CB$3=$AC64,CB$3=$AE64),"",IF(CB$3=$AD64,$F64&amp;"R",CB63))))</f>
        <v/>
      </c>
      <c r="CC64" s="11" t="str">
        <f aca="false">IF($P64=0,CC63,IF(CC$3=$E64,IF($AA64=1,$F64&amp;$AB64,$G64),IF(OR(CC$3=$D64,CC$3=$AC64,CC$3=$AE64),"",IF(CC$3=$AD64,$F64&amp;"R",CC63))))</f>
        <v/>
      </c>
      <c r="CD64" s="11" t="str">
        <f aca="false">IF($P64=0,CD63,IF(CD$3=$E64,IF($AA64=1,$F64&amp;$AB64,$G64),IF(OR(CD$3=$D64,CD$3=$AC64,CD$3=$AE64),"",IF(CD$3=$AD64,$F64&amp;"R",CD63))))</f>
        <v>bP</v>
      </c>
      <c r="CE64" s="11" t="str">
        <f aca="false">IF($P64=0,CE63,IF(CE$3=$E64,IF($AA64=1,$F64&amp;$AB64,$G64),IF(OR(CE$3=$D64,CE$3=$AC64,CE$3=$AE64),"",IF(CE$3=$AD64,$F64&amp;"R",CE63))))</f>
        <v>bP</v>
      </c>
      <c r="CF64" s="11" t="str">
        <f aca="false">IF($P64=0,CF63,IF(CF$3=$E64,IF($AA64=1,$F64&amp;$AB64,$G64),IF(OR(CF$3=$D64,CF$3=$AC64,CF$3=$AE64),"",IF(CF$3=$AD64,$F64&amp;"R",CF63))))</f>
        <v>bP</v>
      </c>
      <c r="CG64" s="11" t="str">
        <f aca="false">IF($P64=0,CG63,IF(CG$3=$E64,IF($AA64=1,$F64&amp;$AB64,$G64),IF(OR(CG$3=$D64,CG$3=$AC64,CG$3=$AE64),"",IF(CG$3=$AD64,$F64&amp;"R",CG63))))</f>
        <v>bP</v>
      </c>
      <c r="CH64" s="11" t="str">
        <f aca="false">IF($P64=0,CH63,IF(CH$3=$E64,IF($AA64=1,$F64&amp;$AB64,$G64),IF(OR(CH$3=$D64,CH$3=$AC64,CH$3=$AE64),"",IF(CH$3=$AD64,$F64&amp;"R",CH63))))</f>
        <v>bP</v>
      </c>
      <c r="CI64" s="11" t="str">
        <f aca="false">IF($P64=0,CI63,IF(CI$3=$E64,IF($AA64=1,$F64&amp;$AB64,$G64),IF(OR(CI$3=$D64,CI$3=$AC64,CI$3=$AE64),"",IF(CI$3=$AD64,$F64&amp;"R",CI63))))</f>
        <v>bP</v>
      </c>
      <c r="CJ64" s="11" t="str">
        <f aca="false">IF($P64=0,CJ63,IF(CJ$3=$E64,IF($AA64=1,$F64&amp;$AB64,$G64),IF(OR(CJ$3=$D64,CJ$3=$AC64,CJ$3=$AE64),"",IF(CJ$3=$AD64,$F64&amp;"R",CJ63))))</f>
        <v>bP</v>
      </c>
      <c r="CK64" s="11" t="str">
        <f aca="false">IF($P64=0,CK63,IF(CK$3=$E64,IF($AA64=1,$F64&amp;$AB64,$G64),IF(OR(CK$3=$D64,CK$3=$AC64,CK$3=$AE64),"",IF(CK$3=$AD64,$F64&amp;"R",CK63))))</f>
        <v>bP</v>
      </c>
      <c r="CL64" s="11" t="str">
        <f aca="false">IF($P64=0,CL63,IF(CL$3=$E64,IF($AA64=1,$F64&amp;$AB64,$G64),IF(OR(CL$3=$D64,CL$3=$AC64,CL$3=$AE64),"",IF(CL$3=$AD64,$F64&amp;"R",CL63))))</f>
        <v>bR</v>
      </c>
      <c r="CM64" s="11" t="str">
        <f aca="false">IF($P64=0,CM63,IF(CM$3=$E64,IF($AA64=1,$F64&amp;$AB64,$G64),IF(OR(CM$3=$D64,CM$3=$AC64,CM$3=$AE64),"",IF(CM$3=$AD64,$F64&amp;"R",CM63))))</f>
        <v>bN</v>
      </c>
      <c r="CN64" s="11" t="str">
        <f aca="false">IF($P64=0,CN63,IF(CN$3=$E64,IF($AA64=1,$F64&amp;$AB64,$G64),IF(OR(CN$3=$D64,CN$3=$AC64,CN$3=$AE64),"",IF(CN$3=$AD64,$F64&amp;"R",CN63))))</f>
        <v>bB</v>
      </c>
      <c r="CO64" s="11" t="str">
        <f aca="false">IF($P64=0,CO63,IF(CO$3=$E64,IF($AA64=1,$F64&amp;$AB64,$G64),IF(OR(CO$3=$D64,CO$3=$AC64,CO$3=$AE64),"",IF(CO$3=$AD64,$F64&amp;"R",CO63))))</f>
        <v>bQ</v>
      </c>
      <c r="CP64" s="11" t="str">
        <f aca="false">IF($P64=0,CP63,IF(CP$3=$E64,IF($AA64=1,$F64&amp;$AB64,$G64),IF(OR(CP$3=$D64,CP$3=$AC64,CP$3=$AE64),"",IF(CP$3=$AD64,$F64&amp;"R",CP63))))</f>
        <v>bK</v>
      </c>
      <c r="CQ64" s="11" t="str">
        <f aca="false">IF($P64=0,CQ63,IF(CQ$3=$E64,IF($AA64=1,$F64&amp;$AB64,$G64),IF(OR(CQ$3=$D64,CQ$3=$AC64,CQ$3=$AE64),"",IF(CQ$3=$AD64,$F64&amp;"R",CQ63))))</f>
        <v>bB</v>
      </c>
      <c r="CR64" s="11" t="str">
        <f aca="false">IF($P64=0,CR63,IF(CR$3=$E64,IF($AA64=1,$F64&amp;$AB64,$G64),IF(OR(CR$3=$D64,CR$3=$AC64,CR$3=$AE64),"",IF(CR$3=$AD64,$F64&amp;"R",CR63))))</f>
        <v>bN</v>
      </c>
      <c r="CS64" s="11" t="str">
        <f aca="false">IF($P64=0,CS63,IF(CS$3=$E64,IF($AA64=1,$F64&amp;$AB64,$G64),IF(OR(CS$3=$D64,CS$3=$AC64,CS$3=$AE64),"",IF(CS$3=$AD64,$F64&amp;"R",CS63))))</f>
        <v>bR</v>
      </c>
      <c r="CT64" s="11"/>
      <c r="CU64" s="11"/>
      <c r="CV64" s="11"/>
    </row>
    <row r="65" customFormat="false" ht="15" hidden="false" customHeight="false" outlineLevel="0" collapsed="false">
      <c r="A65" s="11" t="n">
        <v>60</v>
      </c>
      <c r="B65" s="11" t="str">
        <f aca="false">IF(Chess!$L$69="","",Chess!$L$69&amp;"")</f>
        <v/>
      </c>
      <c r="C65" s="11" t="str">
        <f aca="false">LOWER(SUBSTITUTE(SUBSTITUTE(SUBSTITUTE(SUBSTITUTE(TRIM($B65),"-",""),"=","")," ",""),"x",""))</f>
        <v/>
      </c>
      <c r="D65" s="11" t="n">
        <f aca="false">IF(LEN($C65)&lt;4,0,IFERROR(IF(AND(CODE(MID($C65,1,1))&gt;=97,CODE(MID($C65,1,1))&lt;=104,VALUE(MID($C65,2,1))&gt;=1,VALUE(MID($C65,2,1))&lt;=8),(VALUE(MID($C65,2,1))-1)*8+CODE(MID($C65,1,1))-96,0),0))</f>
        <v>0</v>
      </c>
      <c r="E65" s="11" t="n">
        <f aca="false">IF(LEN($C65)&lt;4,0,IFERROR(IF(AND(CODE(MID($C65,3,1))&gt;=97,CODE(MID($C65,3,1))&lt;=104,VALUE(MID($C65,4,1))&gt;=1,VALUE(MID($C65,4,1))&lt;=8),(VALUE(MID($C65,4,1))-1)*8+CODE(MID($C65,3,1))-96,0),0))</f>
        <v>0</v>
      </c>
      <c r="F65" s="11" t="str">
        <f aca="false">IF(MOD(SUM($P$5:$P64),2)=0,"w","b")</f>
        <v>w</v>
      </c>
      <c r="G65" s="11" t="str">
        <f aca="false">IF($D65=0,"",INDEX($AH64:$CS64,1,$D65)&amp;"")</f>
        <v/>
      </c>
      <c r="H65" s="11" t="str">
        <f aca="false">IF($E65=0,"",INDEX($AH64:$CS64,1,$E65)&amp;"")</f>
        <v/>
      </c>
      <c r="I65" s="11" t="n">
        <f aca="false">IF(OR($D65=0,$E65=0),0,MOD($E65-1,8)-MOD($D65-1,8))</f>
        <v>0</v>
      </c>
      <c r="J65" s="11" t="n">
        <f aca="false">IF(OR($D65=0,$E65=0),0,INT(($E65-1)/8)-INT(($D65-1)/8))</f>
        <v>0</v>
      </c>
      <c r="K65" s="11" t="str">
        <f aca="false">IF($G65="","",RIGHT($G65,1))</f>
        <v/>
      </c>
      <c r="L65" s="11" t="n">
        <f aca="false">IF(OR($D65=0,$E65=0),0,SUMPRODUCT(($AH$3:$CS$3&gt;MIN($D65,$E65))*($AH$3:$CS$3&lt;MAX($D65,$E65))*(MOD($AH$3:$CS$3-MIN($D65,$E65),MAX(1,ABS(SIGN($J65)*8+SIGN($I65))))=0)*($AH64:$CS64&lt;&gt;"")))</f>
        <v>0</v>
      </c>
      <c r="M65" s="11" t="n">
        <f aca="false">IF($K65&lt;&gt;"K",0,IFERROR(--AND($J65=0,ABS($I65)=2,$D65=IF($F65="w",5,61),IF($F65="w",$S64,$V64)=0,IF($I65=2,AND(IF($F65="w",$U64,$X64)=0,INDEX($AH64:$CS64,1,$D65+1)&amp;""="",INDEX($AH64:$CS64,1,$D65+2)&amp;""=""),AND(IF($F65="w",$T64,$W64)=0,INDEX($AH64:$CS64,1,$D65-1)&amp;""="",INDEX($AH64:$CS64,1,$D65-2)&amp;""="",INDEX($AH64:$CS64,1,$D65-3)&amp;""=""))),0))</f>
        <v>0</v>
      </c>
      <c r="N65" s="11" t="n">
        <f aca="false">IF($K65&lt;&gt;"P",0,IFERROR(--OR(AND($I65=0,$J65=IF($F65="w",1,-1),$H65=""),AND($I65=0,$J65=2*IF($F65="w",1,-1),$H65="",INT(($D65-1)/8)=IF($F65="w",1,6),INDEX($AH64:$CS64,1,MAX(1,MIN(64,$D65+8*IF($F65="w",1,-1))))&amp;""=""),AND(ABS($I65)=1,$J65=IF($F65="w",1,-1),$H65&lt;&gt;""),AND(ABS($I65)=1,$J65=IF($F65="w",1,-1),$H65="",$R64&gt;0,$E65=$R64)),0))</f>
        <v>0</v>
      </c>
      <c r="O65" s="11" t="n">
        <f aca="false">IF(OR($D65=0,$E65=0,$G65=""),0,IF($K65="N",--OR(AND(ABS($I65)=1,ABS($J65)=2),AND(ABS($I65)=2,ABS($J65)=1)),IF($K65="B",--AND(ABS($I65)=ABS($J65),$I65&lt;&gt;0,$L65=0),IF($K65="R",--AND(OR($I65=0,$J65=0),OR($I65&lt;&gt;0,$J65&lt;&gt;0),$L65=0),IF($K65="Q",--AND(OR(AND(ABS($I65)=ABS($J65),$I65&lt;&gt;0),AND(OR($I65=0,$J65=0),OR($I65&lt;&gt;0,$J65&lt;&gt;0))),$L65=0),IF($K65="K",--OR(MAX(ABS($I65),ABS($J65))=1,$M65=1),$N65))))))</f>
        <v>0</v>
      </c>
      <c r="P65" s="11" t="n">
        <f aca="false">IF($Q65="OK",1,0)</f>
        <v>0</v>
      </c>
      <c r="Q65" s="11" t="str">
        <f aca="false">IF($B65="","",IF(OR(COUNTIF($AH64:$CS64,"wK")=0,COUNTIF($AH64:$CS64,"bK")=0),"Game is over",IF(OR($D65=0,$E65=0),"Use the format e2e4",IF($G65="","No piece on that square",IF(LEFT($G65,1)&lt;&gt;$F65,"Not your piece ("&amp;IF($F65="w","White","Black")&amp;" to move)",IF($D65=$E65,"Piece must move",IF(AND($H65&lt;&gt;"",LEFT($H65,1)=$F65),"Cannot capture your own piece",IF($O65=0,"Illegal move for that piece (or path blocked)","OK"))))))))</f>
        <v/>
      </c>
      <c r="R65" s="11" t="n">
        <f aca="false">IF($P65=1,IF(AND($K65="P",ABS($J65)=2),($D65+$E65)/2,0),$R64)</f>
        <v>0</v>
      </c>
      <c r="S65" s="12" t="b">
        <f aca="false">--OR($S64=1,AND($P65=1,OR($D65=5,$E65=5)))</f>
        <v>0</v>
      </c>
      <c r="T65" s="12" t="b">
        <f aca="false">--OR($T64=1,AND($P65=1,OR($D65=1,$E65=1)))</f>
        <v>0</v>
      </c>
      <c r="U65" s="12" t="b">
        <f aca="false">--OR($U64=1,AND($P65=1,OR($D65=8,$E65=8)))</f>
        <v>0</v>
      </c>
      <c r="V65" s="12" t="b">
        <f aca="false">--OR($V64=1,AND($P65=1,OR($D65=61,$E65=61)))</f>
        <v>0</v>
      </c>
      <c r="W65" s="12" t="b">
        <f aca="false">--OR($W64=1,AND($P65=1,OR($D65=57,$E65=57)))</f>
        <v>0</v>
      </c>
      <c r="X65" s="12" t="b">
        <f aca="false">--OR($X64=1,AND($P65=1,OR($D65=64,$E65=64)))</f>
        <v>0</v>
      </c>
      <c r="Y65" s="12" t="b">
        <f aca="false">--AND($P65=1,$K65="K",ABS($I65)=2)</f>
        <v>0</v>
      </c>
      <c r="Z65" s="12" t="b">
        <f aca="false">--AND($P65=1,$K65="P",ABS($I65)=1,$H65="")</f>
        <v>0</v>
      </c>
      <c r="AA65" s="12" t="b">
        <f aca="false">--AND($P65=1,$K65="P",INT(($E65-1)/8)=IF($F65="w",7,0))</f>
        <v>0</v>
      </c>
      <c r="AB65" s="11" t="str">
        <f aca="false">IF(LEN($C65)&gt;=5,IF(ISNUMBER(FIND(MID($C65,5,1),"qrbn")),UPPER(MID($C65,5,1)),"Q"),"Q")</f>
        <v>Q</v>
      </c>
      <c r="AC65" s="11" t="n">
        <f aca="false">IF($Y65=1,IF($I65=2,$D65+3,$D65-4),0)</f>
        <v>0</v>
      </c>
      <c r="AD65" s="11" t="n">
        <f aca="false">IF($Y65=1,IF($I65=2,$D65+1,$D65-1),0)</f>
        <v>0</v>
      </c>
      <c r="AE65" s="11" t="n">
        <f aca="false">IF($Z65=1,$E65-8*IF($F65="w",1,-1),0)</f>
        <v>0</v>
      </c>
      <c r="AF65" s="11" t="str">
        <f aca="false">IF($B65="","",IF($P65=1,LOWER(INDEX($CV$2:$CV$13,MATCH($G65,$CU$2:$CU$13,0)))&amp;" "&amp;MID("abcdefgh",MOD($D65-1,8)+1,1)&amp;(INT(($D65-1)/8)+1)&amp;"→"&amp;MID("abcdefgh",MOD($E65-1,8)+1,1)&amp;(INT(($E65-1)/8)+1)&amp;IF(OR($H65&lt;&gt;"",$Z65=1)," ×","")&amp;IF($Y65=1," castles","")&amp;IF($Z65=1," e.p.","")&amp;IF($AA65=1," =" &amp;LOWER(INDEX($CV$2:$CV$13,MATCH($F65&amp;$AB65,$CU$2:$CU$13,0))),""),"X "&amp;$Q65))</f>
        <v/>
      </c>
      <c r="AG65" s="11"/>
      <c r="AH65" s="11" t="str">
        <f aca="false">IF($P65=0,AH64,IF(AH$3=$E65,IF($AA65=1,$F65&amp;$AB65,$G65),IF(OR(AH$3=$D65,AH$3=$AC65,AH$3=$AE65),"",IF(AH$3=$AD65,$F65&amp;"R",AH64))))</f>
        <v>wR</v>
      </c>
      <c r="AI65" s="11" t="str">
        <f aca="false">IF($P65=0,AI64,IF(AI$3=$E65,IF($AA65=1,$F65&amp;$AB65,$G65),IF(OR(AI$3=$D65,AI$3=$AC65,AI$3=$AE65),"",IF(AI$3=$AD65,$F65&amp;"R",AI64))))</f>
        <v>wN</v>
      </c>
      <c r="AJ65" s="11" t="str">
        <f aca="false">IF($P65=0,AJ64,IF(AJ$3=$E65,IF($AA65=1,$F65&amp;$AB65,$G65),IF(OR(AJ$3=$D65,AJ$3=$AC65,AJ$3=$AE65),"",IF(AJ$3=$AD65,$F65&amp;"R",AJ64))))</f>
        <v>wB</v>
      </c>
      <c r="AK65" s="11" t="str">
        <f aca="false">IF($P65=0,AK64,IF(AK$3=$E65,IF($AA65=1,$F65&amp;$AB65,$G65),IF(OR(AK$3=$D65,AK$3=$AC65,AK$3=$AE65),"",IF(AK$3=$AD65,$F65&amp;"R",AK64))))</f>
        <v>wQ</v>
      </c>
      <c r="AL65" s="11" t="str">
        <f aca="false">IF($P65=0,AL64,IF(AL$3=$E65,IF($AA65=1,$F65&amp;$AB65,$G65),IF(OR(AL$3=$D65,AL$3=$AC65,AL$3=$AE65),"",IF(AL$3=$AD65,$F65&amp;"R",AL64))))</f>
        <v>wK</v>
      </c>
      <c r="AM65" s="11" t="str">
        <f aca="false">IF($P65=0,AM64,IF(AM$3=$E65,IF($AA65=1,$F65&amp;$AB65,$G65),IF(OR(AM$3=$D65,AM$3=$AC65,AM$3=$AE65),"",IF(AM$3=$AD65,$F65&amp;"R",AM64))))</f>
        <v>wB</v>
      </c>
      <c r="AN65" s="11" t="str">
        <f aca="false">IF($P65=0,AN64,IF(AN$3=$E65,IF($AA65=1,$F65&amp;$AB65,$G65),IF(OR(AN$3=$D65,AN$3=$AC65,AN$3=$AE65),"",IF(AN$3=$AD65,$F65&amp;"R",AN64))))</f>
        <v>wN</v>
      </c>
      <c r="AO65" s="11" t="str">
        <f aca="false">IF($P65=0,AO64,IF(AO$3=$E65,IF($AA65=1,$F65&amp;$AB65,$G65),IF(OR(AO$3=$D65,AO$3=$AC65,AO$3=$AE65),"",IF(AO$3=$AD65,$F65&amp;"R",AO64))))</f>
        <v>wR</v>
      </c>
      <c r="AP65" s="11" t="str">
        <f aca="false">IF($P65=0,AP64,IF(AP$3=$E65,IF($AA65=1,$F65&amp;$AB65,$G65),IF(OR(AP$3=$D65,AP$3=$AC65,AP$3=$AE65),"",IF(AP$3=$AD65,$F65&amp;"R",AP64))))</f>
        <v>wP</v>
      </c>
      <c r="AQ65" s="11" t="str">
        <f aca="false">IF($P65=0,AQ64,IF(AQ$3=$E65,IF($AA65=1,$F65&amp;$AB65,$G65),IF(OR(AQ$3=$D65,AQ$3=$AC65,AQ$3=$AE65),"",IF(AQ$3=$AD65,$F65&amp;"R",AQ64))))</f>
        <v>wP</v>
      </c>
      <c r="AR65" s="11" t="str">
        <f aca="false">IF($P65=0,AR64,IF(AR$3=$E65,IF($AA65=1,$F65&amp;$AB65,$G65),IF(OR(AR$3=$D65,AR$3=$AC65,AR$3=$AE65),"",IF(AR$3=$AD65,$F65&amp;"R",AR64))))</f>
        <v>wP</v>
      </c>
      <c r="AS65" s="11" t="str">
        <f aca="false">IF($P65=0,AS64,IF(AS$3=$E65,IF($AA65=1,$F65&amp;$AB65,$G65),IF(OR(AS$3=$D65,AS$3=$AC65,AS$3=$AE65),"",IF(AS$3=$AD65,$F65&amp;"R",AS64))))</f>
        <v>wP</v>
      </c>
      <c r="AT65" s="11" t="str">
        <f aca="false">IF($P65=0,AT64,IF(AT$3=$E65,IF($AA65=1,$F65&amp;$AB65,$G65),IF(OR(AT$3=$D65,AT$3=$AC65,AT$3=$AE65),"",IF(AT$3=$AD65,$F65&amp;"R",AT64))))</f>
        <v>wP</v>
      </c>
      <c r="AU65" s="11" t="str">
        <f aca="false">IF($P65=0,AU64,IF(AU$3=$E65,IF($AA65=1,$F65&amp;$AB65,$G65),IF(OR(AU$3=$D65,AU$3=$AC65,AU$3=$AE65),"",IF(AU$3=$AD65,$F65&amp;"R",AU64))))</f>
        <v>wP</v>
      </c>
      <c r="AV65" s="11" t="str">
        <f aca="false">IF($P65=0,AV64,IF(AV$3=$E65,IF($AA65=1,$F65&amp;$AB65,$G65),IF(OR(AV$3=$D65,AV$3=$AC65,AV$3=$AE65),"",IF(AV$3=$AD65,$F65&amp;"R",AV64))))</f>
        <v>wP</v>
      </c>
      <c r="AW65" s="11" t="str">
        <f aca="false">IF($P65=0,AW64,IF(AW$3=$E65,IF($AA65=1,$F65&amp;$AB65,$G65),IF(OR(AW$3=$D65,AW$3=$AC65,AW$3=$AE65),"",IF(AW$3=$AD65,$F65&amp;"R",AW64))))</f>
        <v>wP</v>
      </c>
      <c r="AX65" s="11" t="str">
        <f aca="false">IF($P65=0,AX64,IF(AX$3=$E65,IF($AA65=1,$F65&amp;$AB65,$G65),IF(OR(AX$3=$D65,AX$3=$AC65,AX$3=$AE65),"",IF(AX$3=$AD65,$F65&amp;"R",AX64))))</f>
        <v/>
      </c>
      <c r="AY65" s="11" t="str">
        <f aca="false">IF($P65=0,AY64,IF(AY$3=$E65,IF($AA65=1,$F65&amp;$AB65,$G65),IF(OR(AY$3=$D65,AY$3=$AC65,AY$3=$AE65),"",IF(AY$3=$AD65,$F65&amp;"R",AY64))))</f>
        <v/>
      </c>
      <c r="AZ65" s="11" t="str">
        <f aca="false">IF($P65=0,AZ64,IF(AZ$3=$E65,IF($AA65=1,$F65&amp;$AB65,$G65),IF(OR(AZ$3=$D65,AZ$3=$AC65,AZ$3=$AE65),"",IF(AZ$3=$AD65,$F65&amp;"R",AZ64))))</f>
        <v/>
      </c>
      <c r="BA65" s="11" t="str">
        <f aca="false">IF($P65=0,BA64,IF(BA$3=$E65,IF($AA65=1,$F65&amp;$AB65,$G65),IF(OR(BA$3=$D65,BA$3=$AC65,BA$3=$AE65),"",IF(BA$3=$AD65,$F65&amp;"R",BA64))))</f>
        <v/>
      </c>
      <c r="BB65" s="11" t="str">
        <f aca="false">IF($P65=0,BB64,IF(BB$3=$E65,IF($AA65=1,$F65&amp;$AB65,$G65),IF(OR(BB$3=$D65,BB$3=$AC65,BB$3=$AE65),"",IF(BB$3=$AD65,$F65&amp;"R",BB64))))</f>
        <v/>
      </c>
      <c r="BC65" s="11" t="str">
        <f aca="false">IF($P65=0,BC64,IF(BC$3=$E65,IF($AA65=1,$F65&amp;$AB65,$G65),IF(OR(BC$3=$D65,BC$3=$AC65,BC$3=$AE65),"",IF(BC$3=$AD65,$F65&amp;"R",BC64))))</f>
        <v/>
      </c>
      <c r="BD65" s="11" t="str">
        <f aca="false">IF($P65=0,BD64,IF(BD$3=$E65,IF($AA65=1,$F65&amp;$AB65,$G65),IF(OR(BD$3=$D65,BD$3=$AC65,BD$3=$AE65),"",IF(BD$3=$AD65,$F65&amp;"R",BD64))))</f>
        <v/>
      </c>
      <c r="BE65" s="11" t="str">
        <f aca="false">IF($P65=0,BE64,IF(BE$3=$E65,IF($AA65=1,$F65&amp;$AB65,$G65),IF(OR(BE$3=$D65,BE$3=$AC65,BE$3=$AE65),"",IF(BE$3=$AD65,$F65&amp;"R",BE64))))</f>
        <v/>
      </c>
      <c r="BF65" s="11" t="str">
        <f aca="false">IF($P65=0,BF64,IF(BF$3=$E65,IF($AA65=1,$F65&amp;$AB65,$G65),IF(OR(BF$3=$D65,BF$3=$AC65,BF$3=$AE65),"",IF(BF$3=$AD65,$F65&amp;"R",BF64))))</f>
        <v/>
      </c>
      <c r="BG65" s="11" t="str">
        <f aca="false">IF($P65=0,BG64,IF(BG$3=$E65,IF($AA65=1,$F65&amp;$AB65,$G65),IF(OR(BG$3=$D65,BG$3=$AC65,BG$3=$AE65),"",IF(BG$3=$AD65,$F65&amp;"R",BG64))))</f>
        <v/>
      </c>
      <c r="BH65" s="11" t="str">
        <f aca="false">IF($P65=0,BH64,IF(BH$3=$E65,IF($AA65=1,$F65&amp;$AB65,$G65),IF(OR(BH$3=$D65,BH$3=$AC65,BH$3=$AE65),"",IF(BH$3=$AD65,$F65&amp;"R",BH64))))</f>
        <v/>
      </c>
      <c r="BI65" s="11" t="str">
        <f aca="false">IF($P65=0,BI64,IF(BI$3=$E65,IF($AA65=1,$F65&amp;$AB65,$G65),IF(OR(BI$3=$D65,BI$3=$AC65,BI$3=$AE65),"",IF(BI$3=$AD65,$F65&amp;"R",BI64))))</f>
        <v/>
      </c>
      <c r="BJ65" s="11" t="str">
        <f aca="false">IF($P65=0,BJ64,IF(BJ$3=$E65,IF($AA65=1,$F65&amp;$AB65,$G65),IF(OR(BJ$3=$D65,BJ$3=$AC65,BJ$3=$AE65),"",IF(BJ$3=$AD65,$F65&amp;"R",BJ64))))</f>
        <v/>
      </c>
      <c r="BK65" s="11" t="str">
        <f aca="false">IF($P65=0,BK64,IF(BK$3=$E65,IF($AA65=1,$F65&amp;$AB65,$G65),IF(OR(BK$3=$D65,BK$3=$AC65,BK$3=$AE65),"",IF(BK$3=$AD65,$F65&amp;"R",BK64))))</f>
        <v/>
      </c>
      <c r="BL65" s="11" t="str">
        <f aca="false">IF($P65=0,BL64,IF(BL$3=$E65,IF($AA65=1,$F65&amp;$AB65,$G65),IF(OR(BL$3=$D65,BL$3=$AC65,BL$3=$AE65),"",IF(BL$3=$AD65,$F65&amp;"R",BL64))))</f>
        <v/>
      </c>
      <c r="BM65" s="11" t="str">
        <f aca="false">IF($P65=0,BM64,IF(BM$3=$E65,IF($AA65=1,$F65&amp;$AB65,$G65),IF(OR(BM$3=$D65,BM$3=$AC65,BM$3=$AE65),"",IF(BM$3=$AD65,$F65&amp;"R",BM64))))</f>
        <v/>
      </c>
      <c r="BN65" s="11" t="str">
        <f aca="false">IF($P65=0,BN64,IF(BN$3=$E65,IF($AA65=1,$F65&amp;$AB65,$G65),IF(OR(BN$3=$D65,BN$3=$AC65,BN$3=$AE65),"",IF(BN$3=$AD65,$F65&amp;"R",BN64))))</f>
        <v/>
      </c>
      <c r="BO65" s="11" t="str">
        <f aca="false">IF($P65=0,BO64,IF(BO$3=$E65,IF($AA65=1,$F65&amp;$AB65,$G65),IF(OR(BO$3=$D65,BO$3=$AC65,BO$3=$AE65),"",IF(BO$3=$AD65,$F65&amp;"R",BO64))))</f>
        <v/>
      </c>
      <c r="BP65" s="11" t="str">
        <f aca="false">IF($P65=0,BP64,IF(BP$3=$E65,IF($AA65=1,$F65&amp;$AB65,$G65),IF(OR(BP$3=$D65,BP$3=$AC65,BP$3=$AE65),"",IF(BP$3=$AD65,$F65&amp;"R",BP64))))</f>
        <v/>
      </c>
      <c r="BQ65" s="11" t="str">
        <f aca="false">IF($P65=0,BQ64,IF(BQ$3=$E65,IF($AA65=1,$F65&amp;$AB65,$G65),IF(OR(BQ$3=$D65,BQ$3=$AC65,BQ$3=$AE65),"",IF(BQ$3=$AD65,$F65&amp;"R",BQ64))))</f>
        <v/>
      </c>
      <c r="BR65" s="11" t="str">
        <f aca="false">IF($P65=0,BR64,IF(BR$3=$E65,IF($AA65=1,$F65&amp;$AB65,$G65),IF(OR(BR$3=$D65,BR$3=$AC65,BR$3=$AE65),"",IF(BR$3=$AD65,$F65&amp;"R",BR64))))</f>
        <v/>
      </c>
      <c r="BS65" s="11" t="str">
        <f aca="false">IF($P65=0,BS64,IF(BS$3=$E65,IF($AA65=1,$F65&amp;$AB65,$G65),IF(OR(BS$3=$D65,BS$3=$AC65,BS$3=$AE65),"",IF(BS$3=$AD65,$F65&amp;"R",BS64))))</f>
        <v/>
      </c>
      <c r="BT65" s="11" t="str">
        <f aca="false">IF($P65=0,BT64,IF(BT$3=$E65,IF($AA65=1,$F65&amp;$AB65,$G65),IF(OR(BT$3=$D65,BT$3=$AC65,BT$3=$AE65),"",IF(BT$3=$AD65,$F65&amp;"R",BT64))))</f>
        <v/>
      </c>
      <c r="BU65" s="11" t="str">
        <f aca="false">IF($P65=0,BU64,IF(BU$3=$E65,IF($AA65=1,$F65&amp;$AB65,$G65),IF(OR(BU$3=$D65,BU$3=$AC65,BU$3=$AE65),"",IF(BU$3=$AD65,$F65&amp;"R",BU64))))</f>
        <v/>
      </c>
      <c r="BV65" s="11" t="str">
        <f aca="false">IF($P65=0,BV64,IF(BV$3=$E65,IF($AA65=1,$F65&amp;$AB65,$G65),IF(OR(BV$3=$D65,BV$3=$AC65,BV$3=$AE65),"",IF(BV$3=$AD65,$F65&amp;"R",BV64))))</f>
        <v/>
      </c>
      <c r="BW65" s="11" t="str">
        <f aca="false">IF($P65=0,BW64,IF(BW$3=$E65,IF($AA65=1,$F65&amp;$AB65,$G65),IF(OR(BW$3=$D65,BW$3=$AC65,BW$3=$AE65),"",IF(BW$3=$AD65,$F65&amp;"R",BW64))))</f>
        <v/>
      </c>
      <c r="BX65" s="11" t="str">
        <f aca="false">IF($P65=0,BX64,IF(BX$3=$E65,IF($AA65=1,$F65&amp;$AB65,$G65),IF(OR(BX$3=$D65,BX$3=$AC65,BX$3=$AE65),"",IF(BX$3=$AD65,$F65&amp;"R",BX64))))</f>
        <v/>
      </c>
      <c r="BY65" s="11" t="str">
        <f aca="false">IF($P65=0,BY64,IF(BY$3=$E65,IF($AA65=1,$F65&amp;$AB65,$G65),IF(OR(BY$3=$D65,BY$3=$AC65,BY$3=$AE65),"",IF(BY$3=$AD65,$F65&amp;"R",BY64))))</f>
        <v/>
      </c>
      <c r="BZ65" s="11" t="str">
        <f aca="false">IF($P65=0,BZ64,IF(BZ$3=$E65,IF($AA65=1,$F65&amp;$AB65,$G65),IF(OR(BZ$3=$D65,BZ$3=$AC65,BZ$3=$AE65),"",IF(BZ$3=$AD65,$F65&amp;"R",BZ64))))</f>
        <v/>
      </c>
      <c r="CA65" s="11" t="str">
        <f aca="false">IF($P65=0,CA64,IF(CA$3=$E65,IF($AA65=1,$F65&amp;$AB65,$G65),IF(OR(CA$3=$D65,CA$3=$AC65,CA$3=$AE65),"",IF(CA$3=$AD65,$F65&amp;"R",CA64))))</f>
        <v/>
      </c>
      <c r="CB65" s="11" t="str">
        <f aca="false">IF($P65=0,CB64,IF(CB$3=$E65,IF($AA65=1,$F65&amp;$AB65,$G65),IF(OR(CB$3=$D65,CB$3=$AC65,CB$3=$AE65),"",IF(CB$3=$AD65,$F65&amp;"R",CB64))))</f>
        <v/>
      </c>
      <c r="CC65" s="11" t="str">
        <f aca="false">IF($P65=0,CC64,IF(CC$3=$E65,IF($AA65=1,$F65&amp;$AB65,$G65),IF(OR(CC$3=$D65,CC$3=$AC65,CC$3=$AE65),"",IF(CC$3=$AD65,$F65&amp;"R",CC64))))</f>
        <v/>
      </c>
      <c r="CD65" s="11" t="str">
        <f aca="false">IF($P65=0,CD64,IF(CD$3=$E65,IF($AA65=1,$F65&amp;$AB65,$G65),IF(OR(CD$3=$D65,CD$3=$AC65,CD$3=$AE65),"",IF(CD$3=$AD65,$F65&amp;"R",CD64))))</f>
        <v>bP</v>
      </c>
      <c r="CE65" s="11" t="str">
        <f aca="false">IF($P65=0,CE64,IF(CE$3=$E65,IF($AA65=1,$F65&amp;$AB65,$G65),IF(OR(CE$3=$D65,CE$3=$AC65,CE$3=$AE65),"",IF(CE$3=$AD65,$F65&amp;"R",CE64))))</f>
        <v>bP</v>
      </c>
      <c r="CF65" s="11" t="str">
        <f aca="false">IF($P65=0,CF64,IF(CF$3=$E65,IF($AA65=1,$F65&amp;$AB65,$G65),IF(OR(CF$3=$D65,CF$3=$AC65,CF$3=$AE65),"",IF(CF$3=$AD65,$F65&amp;"R",CF64))))</f>
        <v>bP</v>
      </c>
      <c r="CG65" s="11" t="str">
        <f aca="false">IF($P65=0,CG64,IF(CG$3=$E65,IF($AA65=1,$F65&amp;$AB65,$G65),IF(OR(CG$3=$D65,CG$3=$AC65,CG$3=$AE65),"",IF(CG$3=$AD65,$F65&amp;"R",CG64))))</f>
        <v>bP</v>
      </c>
      <c r="CH65" s="11" t="str">
        <f aca="false">IF($P65=0,CH64,IF(CH$3=$E65,IF($AA65=1,$F65&amp;$AB65,$G65),IF(OR(CH$3=$D65,CH$3=$AC65,CH$3=$AE65),"",IF(CH$3=$AD65,$F65&amp;"R",CH64))))</f>
        <v>bP</v>
      </c>
      <c r="CI65" s="11" t="str">
        <f aca="false">IF($P65=0,CI64,IF(CI$3=$E65,IF($AA65=1,$F65&amp;$AB65,$G65),IF(OR(CI$3=$D65,CI$3=$AC65,CI$3=$AE65),"",IF(CI$3=$AD65,$F65&amp;"R",CI64))))</f>
        <v>bP</v>
      </c>
      <c r="CJ65" s="11" t="str">
        <f aca="false">IF($P65=0,CJ64,IF(CJ$3=$E65,IF($AA65=1,$F65&amp;$AB65,$G65),IF(OR(CJ$3=$D65,CJ$3=$AC65,CJ$3=$AE65),"",IF(CJ$3=$AD65,$F65&amp;"R",CJ64))))</f>
        <v>bP</v>
      </c>
      <c r="CK65" s="11" t="str">
        <f aca="false">IF($P65=0,CK64,IF(CK$3=$E65,IF($AA65=1,$F65&amp;$AB65,$G65),IF(OR(CK$3=$D65,CK$3=$AC65,CK$3=$AE65),"",IF(CK$3=$AD65,$F65&amp;"R",CK64))))</f>
        <v>bP</v>
      </c>
      <c r="CL65" s="11" t="str">
        <f aca="false">IF($P65=0,CL64,IF(CL$3=$E65,IF($AA65=1,$F65&amp;$AB65,$G65),IF(OR(CL$3=$D65,CL$3=$AC65,CL$3=$AE65),"",IF(CL$3=$AD65,$F65&amp;"R",CL64))))</f>
        <v>bR</v>
      </c>
      <c r="CM65" s="11" t="str">
        <f aca="false">IF($P65=0,CM64,IF(CM$3=$E65,IF($AA65=1,$F65&amp;$AB65,$G65),IF(OR(CM$3=$D65,CM$3=$AC65,CM$3=$AE65),"",IF(CM$3=$AD65,$F65&amp;"R",CM64))))</f>
        <v>bN</v>
      </c>
      <c r="CN65" s="11" t="str">
        <f aca="false">IF($P65=0,CN64,IF(CN$3=$E65,IF($AA65=1,$F65&amp;$AB65,$G65),IF(OR(CN$3=$D65,CN$3=$AC65,CN$3=$AE65),"",IF(CN$3=$AD65,$F65&amp;"R",CN64))))</f>
        <v>bB</v>
      </c>
      <c r="CO65" s="11" t="str">
        <f aca="false">IF($P65=0,CO64,IF(CO$3=$E65,IF($AA65=1,$F65&amp;$AB65,$G65),IF(OR(CO$3=$D65,CO$3=$AC65,CO$3=$AE65),"",IF(CO$3=$AD65,$F65&amp;"R",CO64))))</f>
        <v>bQ</v>
      </c>
      <c r="CP65" s="11" t="str">
        <f aca="false">IF($P65=0,CP64,IF(CP$3=$E65,IF($AA65=1,$F65&amp;$AB65,$G65),IF(OR(CP$3=$D65,CP$3=$AC65,CP$3=$AE65),"",IF(CP$3=$AD65,$F65&amp;"R",CP64))))</f>
        <v>bK</v>
      </c>
      <c r="CQ65" s="11" t="str">
        <f aca="false">IF($P65=0,CQ64,IF(CQ$3=$E65,IF($AA65=1,$F65&amp;$AB65,$G65),IF(OR(CQ$3=$D65,CQ$3=$AC65,CQ$3=$AE65),"",IF(CQ$3=$AD65,$F65&amp;"R",CQ64))))</f>
        <v>bB</v>
      </c>
      <c r="CR65" s="11" t="str">
        <f aca="false">IF($P65=0,CR64,IF(CR$3=$E65,IF($AA65=1,$F65&amp;$AB65,$G65),IF(OR(CR$3=$D65,CR$3=$AC65,CR$3=$AE65),"",IF(CR$3=$AD65,$F65&amp;"R",CR64))))</f>
        <v>bN</v>
      </c>
      <c r="CS65" s="11" t="str">
        <f aca="false">IF($P65=0,CS64,IF(CS$3=$E65,IF($AA65=1,$F65&amp;$AB65,$G65),IF(OR(CS$3=$D65,CS$3=$AC65,CS$3=$AE65),"",IF(CS$3=$AD65,$F65&amp;"R",CS64))))</f>
        <v>bR</v>
      </c>
      <c r="CT65" s="11"/>
      <c r="CU65" s="11"/>
      <c r="CV65" s="11"/>
    </row>
    <row r="66" customFormat="false" ht="15" hidden="false" customHeight="false" outlineLevel="0" collapsed="false">
      <c r="A66" s="11" t="n">
        <v>61</v>
      </c>
      <c r="B66" s="11" t="str">
        <f aca="false">IF(Chess!$L$70="","",Chess!$L$70&amp;"")</f>
        <v/>
      </c>
      <c r="C66" s="11" t="str">
        <f aca="false">LOWER(SUBSTITUTE(SUBSTITUTE(SUBSTITUTE(SUBSTITUTE(TRIM($B66),"-",""),"=","")," ",""),"x",""))</f>
        <v/>
      </c>
      <c r="D66" s="11" t="n">
        <f aca="false">IF(LEN($C66)&lt;4,0,IFERROR(IF(AND(CODE(MID($C66,1,1))&gt;=97,CODE(MID($C66,1,1))&lt;=104,VALUE(MID($C66,2,1))&gt;=1,VALUE(MID($C66,2,1))&lt;=8),(VALUE(MID($C66,2,1))-1)*8+CODE(MID($C66,1,1))-96,0),0))</f>
        <v>0</v>
      </c>
      <c r="E66" s="11" t="n">
        <f aca="false">IF(LEN($C66)&lt;4,0,IFERROR(IF(AND(CODE(MID($C66,3,1))&gt;=97,CODE(MID($C66,3,1))&lt;=104,VALUE(MID($C66,4,1))&gt;=1,VALUE(MID($C66,4,1))&lt;=8),(VALUE(MID($C66,4,1))-1)*8+CODE(MID($C66,3,1))-96,0),0))</f>
        <v>0</v>
      </c>
      <c r="F66" s="11" t="str">
        <f aca="false">IF(MOD(SUM($P$5:$P65),2)=0,"w","b")</f>
        <v>w</v>
      </c>
      <c r="G66" s="11" t="str">
        <f aca="false">IF($D66=0,"",INDEX($AH65:$CS65,1,$D66)&amp;"")</f>
        <v/>
      </c>
      <c r="H66" s="11" t="str">
        <f aca="false">IF($E66=0,"",INDEX($AH65:$CS65,1,$E66)&amp;"")</f>
        <v/>
      </c>
      <c r="I66" s="11" t="n">
        <f aca="false">IF(OR($D66=0,$E66=0),0,MOD($E66-1,8)-MOD($D66-1,8))</f>
        <v>0</v>
      </c>
      <c r="J66" s="11" t="n">
        <f aca="false">IF(OR($D66=0,$E66=0),0,INT(($E66-1)/8)-INT(($D66-1)/8))</f>
        <v>0</v>
      </c>
      <c r="K66" s="11" t="str">
        <f aca="false">IF($G66="","",RIGHT($G66,1))</f>
        <v/>
      </c>
      <c r="L66" s="11" t="n">
        <f aca="false">IF(OR($D66=0,$E66=0),0,SUMPRODUCT(($AH$3:$CS$3&gt;MIN($D66,$E66))*($AH$3:$CS$3&lt;MAX($D66,$E66))*(MOD($AH$3:$CS$3-MIN($D66,$E66),MAX(1,ABS(SIGN($J66)*8+SIGN($I66))))=0)*($AH65:$CS65&lt;&gt;"")))</f>
        <v>0</v>
      </c>
      <c r="M66" s="11" t="n">
        <f aca="false">IF($K66&lt;&gt;"K",0,IFERROR(--AND($J66=0,ABS($I66)=2,$D66=IF($F66="w",5,61),IF($F66="w",$S65,$V65)=0,IF($I66=2,AND(IF($F66="w",$U65,$X65)=0,INDEX($AH65:$CS65,1,$D66+1)&amp;""="",INDEX($AH65:$CS65,1,$D66+2)&amp;""=""),AND(IF($F66="w",$T65,$W65)=0,INDEX($AH65:$CS65,1,$D66-1)&amp;""="",INDEX($AH65:$CS65,1,$D66-2)&amp;""="",INDEX($AH65:$CS65,1,$D66-3)&amp;""=""))),0))</f>
        <v>0</v>
      </c>
      <c r="N66" s="11" t="n">
        <f aca="false">IF($K66&lt;&gt;"P",0,IFERROR(--OR(AND($I66=0,$J66=IF($F66="w",1,-1),$H66=""),AND($I66=0,$J66=2*IF($F66="w",1,-1),$H66="",INT(($D66-1)/8)=IF($F66="w",1,6),INDEX($AH65:$CS65,1,MAX(1,MIN(64,$D66+8*IF($F66="w",1,-1))))&amp;""=""),AND(ABS($I66)=1,$J66=IF($F66="w",1,-1),$H66&lt;&gt;""),AND(ABS($I66)=1,$J66=IF($F66="w",1,-1),$H66="",$R65&gt;0,$E66=$R65)),0))</f>
        <v>0</v>
      </c>
      <c r="O66" s="11" t="n">
        <f aca="false">IF(OR($D66=0,$E66=0,$G66=""),0,IF($K66="N",--OR(AND(ABS($I66)=1,ABS($J66)=2),AND(ABS($I66)=2,ABS($J66)=1)),IF($K66="B",--AND(ABS($I66)=ABS($J66),$I66&lt;&gt;0,$L66=0),IF($K66="R",--AND(OR($I66=0,$J66=0),OR($I66&lt;&gt;0,$J66&lt;&gt;0),$L66=0),IF($K66="Q",--AND(OR(AND(ABS($I66)=ABS($J66),$I66&lt;&gt;0),AND(OR($I66=0,$J66=0),OR($I66&lt;&gt;0,$J66&lt;&gt;0))),$L66=0),IF($K66="K",--OR(MAX(ABS($I66),ABS($J66))=1,$M66=1),$N66))))))</f>
        <v>0</v>
      </c>
      <c r="P66" s="11" t="n">
        <f aca="false">IF($Q66="OK",1,0)</f>
        <v>0</v>
      </c>
      <c r="Q66" s="11" t="str">
        <f aca="false">IF($B66="","",IF(OR(COUNTIF($AH65:$CS65,"wK")=0,COUNTIF($AH65:$CS65,"bK")=0),"Game is over",IF(OR($D66=0,$E66=0),"Use the format e2e4",IF($G66="","No piece on that square",IF(LEFT($G66,1)&lt;&gt;$F66,"Not your piece ("&amp;IF($F66="w","White","Black")&amp;" to move)",IF($D66=$E66,"Piece must move",IF(AND($H66&lt;&gt;"",LEFT($H66,1)=$F66),"Cannot capture your own piece",IF($O66=0,"Illegal move for that piece (or path blocked)","OK"))))))))</f>
        <v/>
      </c>
      <c r="R66" s="11" t="n">
        <f aca="false">IF($P66=1,IF(AND($K66="P",ABS($J66)=2),($D66+$E66)/2,0),$R65)</f>
        <v>0</v>
      </c>
      <c r="S66" s="12" t="b">
        <f aca="false">--OR($S65=1,AND($P66=1,OR($D66=5,$E66=5)))</f>
        <v>0</v>
      </c>
      <c r="T66" s="12" t="b">
        <f aca="false">--OR($T65=1,AND($P66=1,OR($D66=1,$E66=1)))</f>
        <v>0</v>
      </c>
      <c r="U66" s="12" t="b">
        <f aca="false">--OR($U65=1,AND($P66=1,OR($D66=8,$E66=8)))</f>
        <v>0</v>
      </c>
      <c r="V66" s="12" t="b">
        <f aca="false">--OR($V65=1,AND($P66=1,OR($D66=61,$E66=61)))</f>
        <v>0</v>
      </c>
      <c r="W66" s="12" t="b">
        <f aca="false">--OR($W65=1,AND($P66=1,OR($D66=57,$E66=57)))</f>
        <v>0</v>
      </c>
      <c r="X66" s="12" t="b">
        <f aca="false">--OR($X65=1,AND($P66=1,OR($D66=64,$E66=64)))</f>
        <v>0</v>
      </c>
      <c r="Y66" s="12" t="b">
        <f aca="false">--AND($P66=1,$K66="K",ABS($I66)=2)</f>
        <v>0</v>
      </c>
      <c r="Z66" s="12" t="b">
        <f aca="false">--AND($P66=1,$K66="P",ABS($I66)=1,$H66="")</f>
        <v>0</v>
      </c>
      <c r="AA66" s="12" t="b">
        <f aca="false">--AND($P66=1,$K66="P",INT(($E66-1)/8)=IF($F66="w",7,0))</f>
        <v>0</v>
      </c>
      <c r="AB66" s="11" t="str">
        <f aca="false">IF(LEN($C66)&gt;=5,IF(ISNUMBER(FIND(MID($C66,5,1),"qrbn")),UPPER(MID($C66,5,1)),"Q"),"Q")</f>
        <v>Q</v>
      </c>
      <c r="AC66" s="11" t="n">
        <f aca="false">IF($Y66=1,IF($I66=2,$D66+3,$D66-4),0)</f>
        <v>0</v>
      </c>
      <c r="AD66" s="11" t="n">
        <f aca="false">IF($Y66=1,IF($I66=2,$D66+1,$D66-1),0)</f>
        <v>0</v>
      </c>
      <c r="AE66" s="11" t="n">
        <f aca="false">IF($Z66=1,$E66-8*IF($F66="w",1,-1),0)</f>
        <v>0</v>
      </c>
      <c r="AF66" s="11" t="str">
        <f aca="false">IF($B66="","",IF($P66=1,LOWER(INDEX($CV$2:$CV$13,MATCH($G66,$CU$2:$CU$13,0)))&amp;" "&amp;MID("abcdefgh",MOD($D66-1,8)+1,1)&amp;(INT(($D66-1)/8)+1)&amp;"→"&amp;MID("abcdefgh",MOD($E66-1,8)+1,1)&amp;(INT(($E66-1)/8)+1)&amp;IF(OR($H66&lt;&gt;"",$Z66=1)," ×","")&amp;IF($Y66=1," castles","")&amp;IF($Z66=1," e.p.","")&amp;IF($AA66=1," =" &amp;LOWER(INDEX($CV$2:$CV$13,MATCH($F66&amp;$AB66,$CU$2:$CU$13,0))),""),"X "&amp;$Q66))</f>
        <v/>
      </c>
      <c r="AG66" s="11"/>
      <c r="AH66" s="11" t="str">
        <f aca="false">IF($P66=0,AH65,IF(AH$3=$E66,IF($AA66=1,$F66&amp;$AB66,$G66),IF(OR(AH$3=$D66,AH$3=$AC66,AH$3=$AE66),"",IF(AH$3=$AD66,$F66&amp;"R",AH65))))</f>
        <v>wR</v>
      </c>
      <c r="AI66" s="11" t="str">
        <f aca="false">IF($P66=0,AI65,IF(AI$3=$E66,IF($AA66=1,$F66&amp;$AB66,$G66),IF(OR(AI$3=$D66,AI$3=$AC66,AI$3=$AE66),"",IF(AI$3=$AD66,$F66&amp;"R",AI65))))</f>
        <v>wN</v>
      </c>
      <c r="AJ66" s="11" t="str">
        <f aca="false">IF($P66=0,AJ65,IF(AJ$3=$E66,IF($AA66=1,$F66&amp;$AB66,$G66),IF(OR(AJ$3=$D66,AJ$3=$AC66,AJ$3=$AE66),"",IF(AJ$3=$AD66,$F66&amp;"R",AJ65))))</f>
        <v>wB</v>
      </c>
      <c r="AK66" s="11" t="str">
        <f aca="false">IF($P66=0,AK65,IF(AK$3=$E66,IF($AA66=1,$F66&amp;$AB66,$G66),IF(OR(AK$3=$D66,AK$3=$AC66,AK$3=$AE66),"",IF(AK$3=$AD66,$F66&amp;"R",AK65))))</f>
        <v>wQ</v>
      </c>
      <c r="AL66" s="11" t="str">
        <f aca="false">IF($P66=0,AL65,IF(AL$3=$E66,IF($AA66=1,$F66&amp;$AB66,$G66),IF(OR(AL$3=$D66,AL$3=$AC66,AL$3=$AE66),"",IF(AL$3=$AD66,$F66&amp;"R",AL65))))</f>
        <v>wK</v>
      </c>
      <c r="AM66" s="11" t="str">
        <f aca="false">IF($P66=0,AM65,IF(AM$3=$E66,IF($AA66=1,$F66&amp;$AB66,$G66),IF(OR(AM$3=$D66,AM$3=$AC66,AM$3=$AE66),"",IF(AM$3=$AD66,$F66&amp;"R",AM65))))</f>
        <v>wB</v>
      </c>
      <c r="AN66" s="11" t="str">
        <f aca="false">IF($P66=0,AN65,IF(AN$3=$E66,IF($AA66=1,$F66&amp;$AB66,$G66),IF(OR(AN$3=$D66,AN$3=$AC66,AN$3=$AE66),"",IF(AN$3=$AD66,$F66&amp;"R",AN65))))</f>
        <v>wN</v>
      </c>
      <c r="AO66" s="11" t="str">
        <f aca="false">IF($P66=0,AO65,IF(AO$3=$E66,IF($AA66=1,$F66&amp;$AB66,$G66),IF(OR(AO$3=$D66,AO$3=$AC66,AO$3=$AE66),"",IF(AO$3=$AD66,$F66&amp;"R",AO65))))</f>
        <v>wR</v>
      </c>
      <c r="AP66" s="11" t="str">
        <f aca="false">IF($P66=0,AP65,IF(AP$3=$E66,IF($AA66=1,$F66&amp;$AB66,$G66),IF(OR(AP$3=$D66,AP$3=$AC66,AP$3=$AE66),"",IF(AP$3=$AD66,$F66&amp;"R",AP65))))</f>
        <v>wP</v>
      </c>
      <c r="AQ66" s="11" t="str">
        <f aca="false">IF($P66=0,AQ65,IF(AQ$3=$E66,IF($AA66=1,$F66&amp;$AB66,$G66),IF(OR(AQ$3=$D66,AQ$3=$AC66,AQ$3=$AE66),"",IF(AQ$3=$AD66,$F66&amp;"R",AQ65))))</f>
        <v>wP</v>
      </c>
      <c r="AR66" s="11" t="str">
        <f aca="false">IF($P66=0,AR65,IF(AR$3=$E66,IF($AA66=1,$F66&amp;$AB66,$G66),IF(OR(AR$3=$D66,AR$3=$AC66,AR$3=$AE66),"",IF(AR$3=$AD66,$F66&amp;"R",AR65))))</f>
        <v>wP</v>
      </c>
      <c r="AS66" s="11" t="str">
        <f aca="false">IF($P66=0,AS65,IF(AS$3=$E66,IF($AA66=1,$F66&amp;$AB66,$G66),IF(OR(AS$3=$D66,AS$3=$AC66,AS$3=$AE66),"",IF(AS$3=$AD66,$F66&amp;"R",AS65))))</f>
        <v>wP</v>
      </c>
      <c r="AT66" s="11" t="str">
        <f aca="false">IF($P66=0,AT65,IF(AT$3=$E66,IF($AA66=1,$F66&amp;$AB66,$G66),IF(OR(AT$3=$D66,AT$3=$AC66,AT$3=$AE66),"",IF(AT$3=$AD66,$F66&amp;"R",AT65))))</f>
        <v>wP</v>
      </c>
      <c r="AU66" s="11" t="str">
        <f aca="false">IF($P66=0,AU65,IF(AU$3=$E66,IF($AA66=1,$F66&amp;$AB66,$G66),IF(OR(AU$3=$D66,AU$3=$AC66,AU$3=$AE66),"",IF(AU$3=$AD66,$F66&amp;"R",AU65))))</f>
        <v>wP</v>
      </c>
      <c r="AV66" s="11" t="str">
        <f aca="false">IF($P66=0,AV65,IF(AV$3=$E66,IF($AA66=1,$F66&amp;$AB66,$G66),IF(OR(AV$3=$D66,AV$3=$AC66,AV$3=$AE66),"",IF(AV$3=$AD66,$F66&amp;"R",AV65))))</f>
        <v>wP</v>
      </c>
      <c r="AW66" s="11" t="str">
        <f aca="false">IF($P66=0,AW65,IF(AW$3=$E66,IF($AA66=1,$F66&amp;$AB66,$G66),IF(OR(AW$3=$D66,AW$3=$AC66,AW$3=$AE66),"",IF(AW$3=$AD66,$F66&amp;"R",AW65))))</f>
        <v>wP</v>
      </c>
      <c r="AX66" s="11" t="str">
        <f aca="false">IF($P66=0,AX65,IF(AX$3=$E66,IF($AA66=1,$F66&amp;$AB66,$G66),IF(OR(AX$3=$D66,AX$3=$AC66,AX$3=$AE66),"",IF(AX$3=$AD66,$F66&amp;"R",AX65))))</f>
        <v/>
      </c>
      <c r="AY66" s="11" t="str">
        <f aca="false">IF($P66=0,AY65,IF(AY$3=$E66,IF($AA66=1,$F66&amp;$AB66,$G66),IF(OR(AY$3=$D66,AY$3=$AC66,AY$3=$AE66),"",IF(AY$3=$AD66,$F66&amp;"R",AY65))))</f>
        <v/>
      </c>
      <c r="AZ66" s="11" t="str">
        <f aca="false">IF($P66=0,AZ65,IF(AZ$3=$E66,IF($AA66=1,$F66&amp;$AB66,$G66),IF(OR(AZ$3=$D66,AZ$3=$AC66,AZ$3=$AE66),"",IF(AZ$3=$AD66,$F66&amp;"R",AZ65))))</f>
        <v/>
      </c>
      <c r="BA66" s="11" t="str">
        <f aca="false">IF($P66=0,BA65,IF(BA$3=$E66,IF($AA66=1,$F66&amp;$AB66,$G66),IF(OR(BA$3=$D66,BA$3=$AC66,BA$3=$AE66),"",IF(BA$3=$AD66,$F66&amp;"R",BA65))))</f>
        <v/>
      </c>
      <c r="BB66" s="11" t="str">
        <f aca="false">IF($P66=0,BB65,IF(BB$3=$E66,IF($AA66=1,$F66&amp;$AB66,$G66),IF(OR(BB$3=$D66,BB$3=$AC66,BB$3=$AE66),"",IF(BB$3=$AD66,$F66&amp;"R",BB65))))</f>
        <v/>
      </c>
      <c r="BC66" s="11" t="str">
        <f aca="false">IF($P66=0,BC65,IF(BC$3=$E66,IF($AA66=1,$F66&amp;$AB66,$G66),IF(OR(BC$3=$D66,BC$3=$AC66,BC$3=$AE66),"",IF(BC$3=$AD66,$F66&amp;"R",BC65))))</f>
        <v/>
      </c>
      <c r="BD66" s="11" t="str">
        <f aca="false">IF($P66=0,BD65,IF(BD$3=$E66,IF($AA66=1,$F66&amp;$AB66,$G66),IF(OR(BD$3=$D66,BD$3=$AC66,BD$3=$AE66),"",IF(BD$3=$AD66,$F66&amp;"R",BD65))))</f>
        <v/>
      </c>
      <c r="BE66" s="11" t="str">
        <f aca="false">IF($P66=0,BE65,IF(BE$3=$E66,IF($AA66=1,$F66&amp;$AB66,$G66),IF(OR(BE$3=$D66,BE$3=$AC66,BE$3=$AE66),"",IF(BE$3=$AD66,$F66&amp;"R",BE65))))</f>
        <v/>
      </c>
      <c r="BF66" s="11" t="str">
        <f aca="false">IF($P66=0,BF65,IF(BF$3=$E66,IF($AA66=1,$F66&amp;$AB66,$G66),IF(OR(BF$3=$D66,BF$3=$AC66,BF$3=$AE66),"",IF(BF$3=$AD66,$F66&amp;"R",BF65))))</f>
        <v/>
      </c>
      <c r="BG66" s="11" t="str">
        <f aca="false">IF($P66=0,BG65,IF(BG$3=$E66,IF($AA66=1,$F66&amp;$AB66,$G66),IF(OR(BG$3=$D66,BG$3=$AC66,BG$3=$AE66),"",IF(BG$3=$AD66,$F66&amp;"R",BG65))))</f>
        <v/>
      </c>
      <c r="BH66" s="11" t="str">
        <f aca="false">IF($P66=0,BH65,IF(BH$3=$E66,IF($AA66=1,$F66&amp;$AB66,$G66),IF(OR(BH$3=$D66,BH$3=$AC66,BH$3=$AE66),"",IF(BH$3=$AD66,$F66&amp;"R",BH65))))</f>
        <v/>
      </c>
      <c r="BI66" s="11" t="str">
        <f aca="false">IF($P66=0,BI65,IF(BI$3=$E66,IF($AA66=1,$F66&amp;$AB66,$G66),IF(OR(BI$3=$D66,BI$3=$AC66,BI$3=$AE66),"",IF(BI$3=$AD66,$F66&amp;"R",BI65))))</f>
        <v/>
      </c>
      <c r="BJ66" s="11" t="str">
        <f aca="false">IF($P66=0,BJ65,IF(BJ$3=$E66,IF($AA66=1,$F66&amp;$AB66,$G66),IF(OR(BJ$3=$D66,BJ$3=$AC66,BJ$3=$AE66),"",IF(BJ$3=$AD66,$F66&amp;"R",BJ65))))</f>
        <v/>
      </c>
      <c r="BK66" s="11" t="str">
        <f aca="false">IF($P66=0,BK65,IF(BK$3=$E66,IF($AA66=1,$F66&amp;$AB66,$G66),IF(OR(BK$3=$D66,BK$3=$AC66,BK$3=$AE66),"",IF(BK$3=$AD66,$F66&amp;"R",BK65))))</f>
        <v/>
      </c>
      <c r="BL66" s="11" t="str">
        <f aca="false">IF($P66=0,BL65,IF(BL$3=$E66,IF($AA66=1,$F66&amp;$AB66,$G66),IF(OR(BL$3=$D66,BL$3=$AC66,BL$3=$AE66),"",IF(BL$3=$AD66,$F66&amp;"R",BL65))))</f>
        <v/>
      </c>
      <c r="BM66" s="11" t="str">
        <f aca="false">IF($P66=0,BM65,IF(BM$3=$E66,IF($AA66=1,$F66&amp;$AB66,$G66),IF(OR(BM$3=$D66,BM$3=$AC66,BM$3=$AE66),"",IF(BM$3=$AD66,$F66&amp;"R",BM65))))</f>
        <v/>
      </c>
      <c r="BN66" s="11" t="str">
        <f aca="false">IF($P66=0,BN65,IF(BN$3=$E66,IF($AA66=1,$F66&amp;$AB66,$G66),IF(OR(BN$3=$D66,BN$3=$AC66,BN$3=$AE66),"",IF(BN$3=$AD66,$F66&amp;"R",BN65))))</f>
        <v/>
      </c>
      <c r="BO66" s="11" t="str">
        <f aca="false">IF($P66=0,BO65,IF(BO$3=$E66,IF($AA66=1,$F66&amp;$AB66,$G66),IF(OR(BO$3=$D66,BO$3=$AC66,BO$3=$AE66),"",IF(BO$3=$AD66,$F66&amp;"R",BO65))))</f>
        <v/>
      </c>
      <c r="BP66" s="11" t="str">
        <f aca="false">IF($P66=0,BP65,IF(BP$3=$E66,IF($AA66=1,$F66&amp;$AB66,$G66),IF(OR(BP$3=$D66,BP$3=$AC66,BP$3=$AE66),"",IF(BP$3=$AD66,$F66&amp;"R",BP65))))</f>
        <v/>
      </c>
      <c r="BQ66" s="11" t="str">
        <f aca="false">IF($P66=0,BQ65,IF(BQ$3=$E66,IF($AA66=1,$F66&amp;$AB66,$G66),IF(OR(BQ$3=$D66,BQ$3=$AC66,BQ$3=$AE66),"",IF(BQ$3=$AD66,$F66&amp;"R",BQ65))))</f>
        <v/>
      </c>
      <c r="BR66" s="11" t="str">
        <f aca="false">IF($P66=0,BR65,IF(BR$3=$E66,IF($AA66=1,$F66&amp;$AB66,$G66),IF(OR(BR$3=$D66,BR$3=$AC66,BR$3=$AE66),"",IF(BR$3=$AD66,$F66&amp;"R",BR65))))</f>
        <v/>
      </c>
      <c r="BS66" s="11" t="str">
        <f aca="false">IF($P66=0,BS65,IF(BS$3=$E66,IF($AA66=1,$F66&amp;$AB66,$G66),IF(OR(BS$3=$D66,BS$3=$AC66,BS$3=$AE66),"",IF(BS$3=$AD66,$F66&amp;"R",BS65))))</f>
        <v/>
      </c>
      <c r="BT66" s="11" t="str">
        <f aca="false">IF($P66=0,BT65,IF(BT$3=$E66,IF($AA66=1,$F66&amp;$AB66,$G66),IF(OR(BT$3=$D66,BT$3=$AC66,BT$3=$AE66),"",IF(BT$3=$AD66,$F66&amp;"R",BT65))))</f>
        <v/>
      </c>
      <c r="BU66" s="11" t="str">
        <f aca="false">IF($P66=0,BU65,IF(BU$3=$E66,IF($AA66=1,$F66&amp;$AB66,$G66),IF(OR(BU$3=$D66,BU$3=$AC66,BU$3=$AE66),"",IF(BU$3=$AD66,$F66&amp;"R",BU65))))</f>
        <v/>
      </c>
      <c r="BV66" s="11" t="str">
        <f aca="false">IF($P66=0,BV65,IF(BV$3=$E66,IF($AA66=1,$F66&amp;$AB66,$G66),IF(OR(BV$3=$D66,BV$3=$AC66,BV$3=$AE66),"",IF(BV$3=$AD66,$F66&amp;"R",BV65))))</f>
        <v/>
      </c>
      <c r="BW66" s="11" t="str">
        <f aca="false">IF($P66=0,BW65,IF(BW$3=$E66,IF($AA66=1,$F66&amp;$AB66,$G66),IF(OR(BW$3=$D66,BW$3=$AC66,BW$3=$AE66),"",IF(BW$3=$AD66,$F66&amp;"R",BW65))))</f>
        <v/>
      </c>
      <c r="BX66" s="11" t="str">
        <f aca="false">IF($P66=0,BX65,IF(BX$3=$E66,IF($AA66=1,$F66&amp;$AB66,$G66),IF(OR(BX$3=$D66,BX$3=$AC66,BX$3=$AE66),"",IF(BX$3=$AD66,$F66&amp;"R",BX65))))</f>
        <v/>
      </c>
      <c r="BY66" s="11" t="str">
        <f aca="false">IF($P66=0,BY65,IF(BY$3=$E66,IF($AA66=1,$F66&amp;$AB66,$G66),IF(OR(BY$3=$D66,BY$3=$AC66,BY$3=$AE66),"",IF(BY$3=$AD66,$F66&amp;"R",BY65))))</f>
        <v/>
      </c>
      <c r="BZ66" s="11" t="str">
        <f aca="false">IF($P66=0,BZ65,IF(BZ$3=$E66,IF($AA66=1,$F66&amp;$AB66,$G66),IF(OR(BZ$3=$D66,BZ$3=$AC66,BZ$3=$AE66),"",IF(BZ$3=$AD66,$F66&amp;"R",BZ65))))</f>
        <v/>
      </c>
      <c r="CA66" s="11" t="str">
        <f aca="false">IF($P66=0,CA65,IF(CA$3=$E66,IF($AA66=1,$F66&amp;$AB66,$G66),IF(OR(CA$3=$D66,CA$3=$AC66,CA$3=$AE66),"",IF(CA$3=$AD66,$F66&amp;"R",CA65))))</f>
        <v/>
      </c>
      <c r="CB66" s="11" t="str">
        <f aca="false">IF($P66=0,CB65,IF(CB$3=$E66,IF($AA66=1,$F66&amp;$AB66,$G66),IF(OR(CB$3=$D66,CB$3=$AC66,CB$3=$AE66),"",IF(CB$3=$AD66,$F66&amp;"R",CB65))))</f>
        <v/>
      </c>
      <c r="CC66" s="11" t="str">
        <f aca="false">IF($P66=0,CC65,IF(CC$3=$E66,IF($AA66=1,$F66&amp;$AB66,$G66),IF(OR(CC$3=$D66,CC$3=$AC66,CC$3=$AE66),"",IF(CC$3=$AD66,$F66&amp;"R",CC65))))</f>
        <v/>
      </c>
      <c r="CD66" s="11" t="str">
        <f aca="false">IF($P66=0,CD65,IF(CD$3=$E66,IF($AA66=1,$F66&amp;$AB66,$G66),IF(OR(CD$3=$D66,CD$3=$AC66,CD$3=$AE66),"",IF(CD$3=$AD66,$F66&amp;"R",CD65))))</f>
        <v>bP</v>
      </c>
      <c r="CE66" s="11" t="str">
        <f aca="false">IF($P66=0,CE65,IF(CE$3=$E66,IF($AA66=1,$F66&amp;$AB66,$G66),IF(OR(CE$3=$D66,CE$3=$AC66,CE$3=$AE66),"",IF(CE$3=$AD66,$F66&amp;"R",CE65))))</f>
        <v>bP</v>
      </c>
      <c r="CF66" s="11" t="str">
        <f aca="false">IF($P66=0,CF65,IF(CF$3=$E66,IF($AA66=1,$F66&amp;$AB66,$G66),IF(OR(CF$3=$D66,CF$3=$AC66,CF$3=$AE66),"",IF(CF$3=$AD66,$F66&amp;"R",CF65))))</f>
        <v>bP</v>
      </c>
      <c r="CG66" s="11" t="str">
        <f aca="false">IF($P66=0,CG65,IF(CG$3=$E66,IF($AA66=1,$F66&amp;$AB66,$G66),IF(OR(CG$3=$D66,CG$3=$AC66,CG$3=$AE66),"",IF(CG$3=$AD66,$F66&amp;"R",CG65))))</f>
        <v>bP</v>
      </c>
      <c r="CH66" s="11" t="str">
        <f aca="false">IF($P66=0,CH65,IF(CH$3=$E66,IF($AA66=1,$F66&amp;$AB66,$G66),IF(OR(CH$3=$D66,CH$3=$AC66,CH$3=$AE66),"",IF(CH$3=$AD66,$F66&amp;"R",CH65))))</f>
        <v>bP</v>
      </c>
      <c r="CI66" s="11" t="str">
        <f aca="false">IF($P66=0,CI65,IF(CI$3=$E66,IF($AA66=1,$F66&amp;$AB66,$G66),IF(OR(CI$3=$D66,CI$3=$AC66,CI$3=$AE66),"",IF(CI$3=$AD66,$F66&amp;"R",CI65))))</f>
        <v>bP</v>
      </c>
      <c r="CJ66" s="11" t="str">
        <f aca="false">IF($P66=0,CJ65,IF(CJ$3=$E66,IF($AA66=1,$F66&amp;$AB66,$G66),IF(OR(CJ$3=$D66,CJ$3=$AC66,CJ$3=$AE66),"",IF(CJ$3=$AD66,$F66&amp;"R",CJ65))))</f>
        <v>bP</v>
      </c>
      <c r="CK66" s="11" t="str">
        <f aca="false">IF($P66=0,CK65,IF(CK$3=$E66,IF($AA66=1,$F66&amp;$AB66,$G66),IF(OR(CK$3=$D66,CK$3=$AC66,CK$3=$AE66),"",IF(CK$3=$AD66,$F66&amp;"R",CK65))))</f>
        <v>bP</v>
      </c>
      <c r="CL66" s="11" t="str">
        <f aca="false">IF($P66=0,CL65,IF(CL$3=$E66,IF($AA66=1,$F66&amp;$AB66,$G66),IF(OR(CL$3=$D66,CL$3=$AC66,CL$3=$AE66),"",IF(CL$3=$AD66,$F66&amp;"R",CL65))))</f>
        <v>bR</v>
      </c>
      <c r="CM66" s="11" t="str">
        <f aca="false">IF($P66=0,CM65,IF(CM$3=$E66,IF($AA66=1,$F66&amp;$AB66,$G66),IF(OR(CM$3=$D66,CM$3=$AC66,CM$3=$AE66),"",IF(CM$3=$AD66,$F66&amp;"R",CM65))))</f>
        <v>bN</v>
      </c>
      <c r="CN66" s="11" t="str">
        <f aca="false">IF($P66=0,CN65,IF(CN$3=$E66,IF($AA66=1,$F66&amp;$AB66,$G66),IF(OR(CN$3=$D66,CN$3=$AC66,CN$3=$AE66),"",IF(CN$3=$AD66,$F66&amp;"R",CN65))))</f>
        <v>bB</v>
      </c>
      <c r="CO66" s="11" t="str">
        <f aca="false">IF($P66=0,CO65,IF(CO$3=$E66,IF($AA66=1,$F66&amp;$AB66,$G66),IF(OR(CO$3=$D66,CO$3=$AC66,CO$3=$AE66),"",IF(CO$3=$AD66,$F66&amp;"R",CO65))))</f>
        <v>bQ</v>
      </c>
      <c r="CP66" s="11" t="str">
        <f aca="false">IF($P66=0,CP65,IF(CP$3=$E66,IF($AA66=1,$F66&amp;$AB66,$G66),IF(OR(CP$3=$D66,CP$3=$AC66,CP$3=$AE66),"",IF(CP$3=$AD66,$F66&amp;"R",CP65))))</f>
        <v>bK</v>
      </c>
      <c r="CQ66" s="11" t="str">
        <f aca="false">IF($P66=0,CQ65,IF(CQ$3=$E66,IF($AA66=1,$F66&amp;$AB66,$G66),IF(OR(CQ$3=$D66,CQ$3=$AC66,CQ$3=$AE66),"",IF(CQ$3=$AD66,$F66&amp;"R",CQ65))))</f>
        <v>bB</v>
      </c>
      <c r="CR66" s="11" t="str">
        <f aca="false">IF($P66=0,CR65,IF(CR$3=$E66,IF($AA66=1,$F66&amp;$AB66,$G66),IF(OR(CR$3=$D66,CR$3=$AC66,CR$3=$AE66),"",IF(CR$3=$AD66,$F66&amp;"R",CR65))))</f>
        <v>bN</v>
      </c>
      <c r="CS66" s="11" t="str">
        <f aca="false">IF($P66=0,CS65,IF(CS$3=$E66,IF($AA66=1,$F66&amp;$AB66,$G66),IF(OR(CS$3=$D66,CS$3=$AC66,CS$3=$AE66),"",IF(CS$3=$AD66,$F66&amp;"R",CS65))))</f>
        <v>bR</v>
      </c>
      <c r="CT66" s="11"/>
      <c r="CU66" s="11"/>
      <c r="CV66" s="11"/>
    </row>
    <row r="67" customFormat="false" ht="15" hidden="false" customHeight="false" outlineLevel="0" collapsed="false">
      <c r="A67" s="11" t="n">
        <v>62</v>
      </c>
      <c r="B67" s="11" t="str">
        <f aca="false">IF(Chess!$L$71="","",Chess!$L$71&amp;"")</f>
        <v/>
      </c>
      <c r="C67" s="11" t="str">
        <f aca="false">LOWER(SUBSTITUTE(SUBSTITUTE(SUBSTITUTE(SUBSTITUTE(TRIM($B67),"-",""),"=","")," ",""),"x",""))</f>
        <v/>
      </c>
      <c r="D67" s="11" t="n">
        <f aca="false">IF(LEN($C67)&lt;4,0,IFERROR(IF(AND(CODE(MID($C67,1,1))&gt;=97,CODE(MID($C67,1,1))&lt;=104,VALUE(MID($C67,2,1))&gt;=1,VALUE(MID($C67,2,1))&lt;=8),(VALUE(MID($C67,2,1))-1)*8+CODE(MID($C67,1,1))-96,0),0))</f>
        <v>0</v>
      </c>
      <c r="E67" s="11" t="n">
        <f aca="false">IF(LEN($C67)&lt;4,0,IFERROR(IF(AND(CODE(MID($C67,3,1))&gt;=97,CODE(MID($C67,3,1))&lt;=104,VALUE(MID($C67,4,1))&gt;=1,VALUE(MID($C67,4,1))&lt;=8),(VALUE(MID($C67,4,1))-1)*8+CODE(MID($C67,3,1))-96,0),0))</f>
        <v>0</v>
      </c>
      <c r="F67" s="11" t="str">
        <f aca="false">IF(MOD(SUM($P$5:$P66),2)=0,"w","b")</f>
        <v>w</v>
      </c>
      <c r="G67" s="11" t="str">
        <f aca="false">IF($D67=0,"",INDEX($AH66:$CS66,1,$D67)&amp;"")</f>
        <v/>
      </c>
      <c r="H67" s="11" t="str">
        <f aca="false">IF($E67=0,"",INDEX($AH66:$CS66,1,$E67)&amp;"")</f>
        <v/>
      </c>
      <c r="I67" s="11" t="n">
        <f aca="false">IF(OR($D67=0,$E67=0),0,MOD($E67-1,8)-MOD($D67-1,8))</f>
        <v>0</v>
      </c>
      <c r="J67" s="11" t="n">
        <f aca="false">IF(OR($D67=0,$E67=0),0,INT(($E67-1)/8)-INT(($D67-1)/8))</f>
        <v>0</v>
      </c>
      <c r="K67" s="11" t="str">
        <f aca="false">IF($G67="","",RIGHT($G67,1))</f>
        <v/>
      </c>
      <c r="L67" s="11" t="n">
        <f aca="false">IF(OR($D67=0,$E67=0),0,SUMPRODUCT(($AH$3:$CS$3&gt;MIN($D67,$E67))*($AH$3:$CS$3&lt;MAX($D67,$E67))*(MOD($AH$3:$CS$3-MIN($D67,$E67),MAX(1,ABS(SIGN($J67)*8+SIGN($I67))))=0)*($AH66:$CS66&lt;&gt;"")))</f>
        <v>0</v>
      </c>
      <c r="M67" s="11" t="n">
        <f aca="false">IF($K67&lt;&gt;"K",0,IFERROR(--AND($J67=0,ABS($I67)=2,$D67=IF($F67="w",5,61),IF($F67="w",$S66,$V66)=0,IF($I67=2,AND(IF($F67="w",$U66,$X66)=0,INDEX($AH66:$CS66,1,$D67+1)&amp;""="",INDEX($AH66:$CS66,1,$D67+2)&amp;""=""),AND(IF($F67="w",$T66,$W66)=0,INDEX($AH66:$CS66,1,$D67-1)&amp;""="",INDEX($AH66:$CS66,1,$D67-2)&amp;""="",INDEX($AH66:$CS66,1,$D67-3)&amp;""=""))),0))</f>
        <v>0</v>
      </c>
      <c r="N67" s="11" t="n">
        <f aca="false">IF($K67&lt;&gt;"P",0,IFERROR(--OR(AND($I67=0,$J67=IF($F67="w",1,-1),$H67=""),AND($I67=0,$J67=2*IF($F67="w",1,-1),$H67="",INT(($D67-1)/8)=IF($F67="w",1,6),INDEX($AH66:$CS66,1,MAX(1,MIN(64,$D67+8*IF($F67="w",1,-1))))&amp;""=""),AND(ABS($I67)=1,$J67=IF($F67="w",1,-1),$H67&lt;&gt;""),AND(ABS($I67)=1,$J67=IF($F67="w",1,-1),$H67="",$R66&gt;0,$E67=$R66)),0))</f>
        <v>0</v>
      </c>
      <c r="O67" s="11" t="n">
        <f aca="false">IF(OR($D67=0,$E67=0,$G67=""),0,IF($K67="N",--OR(AND(ABS($I67)=1,ABS($J67)=2),AND(ABS($I67)=2,ABS($J67)=1)),IF($K67="B",--AND(ABS($I67)=ABS($J67),$I67&lt;&gt;0,$L67=0),IF($K67="R",--AND(OR($I67=0,$J67=0),OR($I67&lt;&gt;0,$J67&lt;&gt;0),$L67=0),IF($K67="Q",--AND(OR(AND(ABS($I67)=ABS($J67),$I67&lt;&gt;0),AND(OR($I67=0,$J67=0),OR($I67&lt;&gt;0,$J67&lt;&gt;0))),$L67=0),IF($K67="K",--OR(MAX(ABS($I67),ABS($J67))=1,$M67=1),$N67))))))</f>
        <v>0</v>
      </c>
      <c r="P67" s="11" t="n">
        <f aca="false">IF($Q67="OK",1,0)</f>
        <v>0</v>
      </c>
      <c r="Q67" s="11" t="str">
        <f aca="false">IF($B67="","",IF(OR(COUNTIF($AH66:$CS66,"wK")=0,COUNTIF($AH66:$CS66,"bK")=0),"Game is over",IF(OR($D67=0,$E67=0),"Use the format e2e4",IF($G67="","No piece on that square",IF(LEFT($G67,1)&lt;&gt;$F67,"Not your piece ("&amp;IF($F67="w","White","Black")&amp;" to move)",IF($D67=$E67,"Piece must move",IF(AND($H67&lt;&gt;"",LEFT($H67,1)=$F67),"Cannot capture your own piece",IF($O67=0,"Illegal move for that piece (or path blocked)","OK"))))))))</f>
        <v/>
      </c>
      <c r="R67" s="11" t="n">
        <f aca="false">IF($P67=1,IF(AND($K67="P",ABS($J67)=2),($D67+$E67)/2,0),$R66)</f>
        <v>0</v>
      </c>
      <c r="S67" s="12" t="b">
        <f aca="false">--OR($S66=1,AND($P67=1,OR($D67=5,$E67=5)))</f>
        <v>0</v>
      </c>
      <c r="T67" s="12" t="b">
        <f aca="false">--OR($T66=1,AND($P67=1,OR($D67=1,$E67=1)))</f>
        <v>0</v>
      </c>
      <c r="U67" s="12" t="b">
        <f aca="false">--OR($U66=1,AND($P67=1,OR($D67=8,$E67=8)))</f>
        <v>0</v>
      </c>
      <c r="V67" s="12" t="b">
        <f aca="false">--OR($V66=1,AND($P67=1,OR($D67=61,$E67=61)))</f>
        <v>0</v>
      </c>
      <c r="W67" s="12" t="b">
        <f aca="false">--OR($W66=1,AND($P67=1,OR($D67=57,$E67=57)))</f>
        <v>0</v>
      </c>
      <c r="X67" s="12" t="b">
        <f aca="false">--OR($X66=1,AND($P67=1,OR($D67=64,$E67=64)))</f>
        <v>0</v>
      </c>
      <c r="Y67" s="12" t="b">
        <f aca="false">--AND($P67=1,$K67="K",ABS($I67)=2)</f>
        <v>0</v>
      </c>
      <c r="Z67" s="12" t="b">
        <f aca="false">--AND($P67=1,$K67="P",ABS($I67)=1,$H67="")</f>
        <v>0</v>
      </c>
      <c r="AA67" s="12" t="b">
        <f aca="false">--AND($P67=1,$K67="P",INT(($E67-1)/8)=IF($F67="w",7,0))</f>
        <v>0</v>
      </c>
      <c r="AB67" s="11" t="str">
        <f aca="false">IF(LEN($C67)&gt;=5,IF(ISNUMBER(FIND(MID($C67,5,1),"qrbn")),UPPER(MID($C67,5,1)),"Q"),"Q")</f>
        <v>Q</v>
      </c>
      <c r="AC67" s="11" t="n">
        <f aca="false">IF($Y67=1,IF($I67=2,$D67+3,$D67-4),0)</f>
        <v>0</v>
      </c>
      <c r="AD67" s="11" t="n">
        <f aca="false">IF($Y67=1,IF($I67=2,$D67+1,$D67-1),0)</f>
        <v>0</v>
      </c>
      <c r="AE67" s="11" t="n">
        <f aca="false">IF($Z67=1,$E67-8*IF($F67="w",1,-1),0)</f>
        <v>0</v>
      </c>
      <c r="AF67" s="11" t="str">
        <f aca="false">IF($B67="","",IF($P67=1,LOWER(INDEX($CV$2:$CV$13,MATCH($G67,$CU$2:$CU$13,0)))&amp;" "&amp;MID("abcdefgh",MOD($D67-1,8)+1,1)&amp;(INT(($D67-1)/8)+1)&amp;"→"&amp;MID("abcdefgh",MOD($E67-1,8)+1,1)&amp;(INT(($E67-1)/8)+1)&amp;IF(OR($H67&lt;&gt;"",$Z67=1)," ×","")&amp;IF($Y67=1," castles","")&amp;IF($Z67=1," e.p.","")&amp;IF($AA67=1," =" &amp;LOWER(INDEX($CV$2:$CV$13,MATCH($F67&amp;$AB67,$CU$2:$CU$13,0))),""),"X "&amp;$Q67))</f>
        <v/>
      </c>
      <c r="AG67" s="11"/>
      <c r="AH67" s="11" t="str">
        <f aca="false">IF($P67=0,AH66,IF(AH$3=$E67,IF($AA67=1,$F67&amp;$AB67,$G67),IF(OR(AH$3=$D67,AH$3=$AC67,AH$3=$AE67),"",IF(AH$3=$AD67,$F67&amp;"R",AH66))))</f>
        <v>wR</v>
      </c>
      <c r="AI67" s="11" t="str">
        <f aca="false">IF($P67=0,AI66,IF(AI$3=$E67,IF($AA67=1,$F67&amp;$AB67,$G67),IF(OR(AI$3=$D67,AI$3=$AC67,AI$3=$AE67),"",IF(AI$3=$AD67,$F67&amp;"R",AI66))))</f>
        <v>wN</v>
      </c>
      <c r="AJ67" s="11" t="str">
        <f aca="false">IF($P67=0,AJ66,IF(AJ$3=$E67,IF($AA67=1,$F67&amp;$AB67,$G67),IF(OR(AJ$3=$D67,AJ$3=$AC67,AJ$3=$AE67),"",IF(AJ$3=$AD67,$F67&amp;"R",AJ66))))</f>
        <v>wB</v>
      </c>
      <c r="AK67" s="11" t="str">
        <f aca="false">IF($P67=0,AK66,IF(AK$3=$E67,IF($AA67=1,$F67&amp;$AB67,$G67),IF(OR(AK$3=$D67,AK$3=$AC67,AK$3=$AE67),"",IF(AK$3=$AD67,$F67&amp;"R",AK66))))</f>
        <v>wQ</v>
      </c>
      <c r="AL67" s="11" t="str">
        <f aca="false">IF($P67=0,AL66,IF(AL$3=$E67,IF($AA67=1,$F67&amp;$AB67,$G67),IF(OR(AL$3=$D67,AL$3=$AC67,AL$3=$AE67),"",IF(AL$3=$AD67,$F67&amp;"R",AL66))))</f>
        <v>wK</v>
      </c>
      <c r="AM67" s="11" t="str">
        <f aca="false">IF($P67=0,AM66,IF(AM$3=$E67,IF($AA67=1,$F67&amp;$AB67,$G67),IF(OR(AM$3=$D67,AM$3=$AC67,AM$3=$AE67),"",IF(AM$3=$AD67,$F67&amp;"R",AM66))))</f>
        <v>wB</v>
      </c>
      <c r="AN67" s="11" t="str">
        <f aca="false">IF($P67=0,AN66,IF(AN$3=$E67,IF($AA67=1,$F67&amp;$AB67,$G67),IF(OR(AN$3=$D67,AN$3=$AC67,AN$3=$AE67),"",IF(AN$3=$AD67,$F67&amp;"R",AN66))))</f>
        <v>wN</v>
      </c>
      <c r="AO67" s="11" t="str">
        <f aca="false">IF($P67=0,AO66,IF(AO$3=$E67,IF($AA67=1,$F67&amp;$AB67,$G67),IF(OR(AO$3=$D67,AO$3=$AC67,AO$3=$AE67),"",IF(AO$3=$AD67,$F67&amp;"R",AO66))))</f>
        <v>wR</v>
      </c>
      <c r="AP67" s="11" t="str">
        <f aca="false">IF($P67=0,AP66,IF(AP$3=$E67,IF($AA67=1,$F67&amp;$AB67,$G67),IF(OR(AP$3=$D67,AP$3=$AC67,AP$3=$AE67),"",IF(AP$3=$AD67,$F67&amp;"R",AP66))))</f>
        <v>wP</v>
      </c>
      <c r="AQ67" s="11" t="str">
        <f aca="false">IF($P67=0,AQ66,IF(AQ$3=$E67,IF($AA67=1,$F67&amp;$AB67,$G67),IF(OR(AQ$3=$D67,AQ$3=$AC67,AQ$3=$AE67),"",IF(AQ$3=$AD67,$F67&amp;"R",AQ66))))</f>
        <v>wP</v>
      </c>
      <c r="AR67" s="11" t="str">
        <f aca="false">IF($P67=0,AR66,IF(AR$3=$E67,IF($AA67=1,$F67&amp;$AB67,$G67),IF(OR(AR$3=$D67,AR$3=$AC67,AR$3=$AE67),"",IF(AR$3=$AD67,$F67&amp;"R",AR66))))</f>
        <v>wP</v>
      </c>
      <c r="AS67" s="11" t="str">
        <f aca="false">IF($P67=0,AS66,IF(AS$3=$E67,IF($AA67=1,$F67&amp;$AB67,$G67),IF(OR(AS$3=$D67,AS$3=$AC67,AS$3=$AE67),"",IF(AS$3=$AD67,$F67&amp;"R",AS66))))</f>
        <v>wP</v>
      </c>
      <c r="AT67" s="11" t="str">
        <f aca="false">IF($P67=0,AT66,IF(AT$3=$E67,IF($AA67=1,$F67&amp;$AB67,$G67),IF(OR(AT$3=$D67,AT$3=$AC67,AT$3=$AE67),"",IF(AT$3=$AD67,$F67&amp;"R",AT66))))</f>
        <v>wP</v>
      </c>
      <c r="AU67" s="11" t="str">
        <f aca="false">IF($P67=0,AU66,IF(AU$3=$E67,IF($AA67=1,$F67&amp;$AB67,$G67),IF(OR(AU$3=$D67,AU$3=$AC67,AU$3=$AE67),"",IF(AU$3=$AD67,$F67&amp;"R",AU66))))</f>
        <v>wP</v>
      </c>
      <c r="AV67" s="11" t="str">
        <f aca="false">IF($P67=0,AV66,IF(AV$3=$E67,IF($AA67=1,$F67&amp;$AB67,$G67),IF(OR(AV$3=$D67,AV$3=$AC67,AV$3=$AE67),"",IF(AV$3=$AD67,$F67&amp;"R",AV66))))</f>
        <v>wP</v>
      </c>
      <c r="AW67" s="11" t="str">
        <f aca="false">IF($P67=0,AW66,IF(AW$3=$E67,IF($AA67=1,$F67&amp;$AB67,$G67),IF(OR(AW$3=$D67,AW$3=$AC67,AW$3=$AE67),"",IF(AW$3=$AD67,$F67&amp;"R",AW66))))</f>
        <v>wP</v>
      </c>
      <c r="AX67" s="11" t="str">
        <f aca="false">IF($P67=0,AX66,IF(AX$3=$E67,IF($AA67=1,$F67&amp;$AB67,$G67),IF(OR(AX$3=$D67,AX$3=$AC67,AX$3=$AE67),"",IF(AX$3=$AD67,$F67&amp;"R",AX66))))</f>
        <v/>
      </c>
      <c r="AY67" s="11" t="str">
        <f aca="false">IF($P67=0,AY66,IF(AY$3=$E67,IF($AA67=1,$F67&amp;$AB67,$G67),IF(OR(AY$3=$D67,AY$3=$AC67,AY$3=$AE67),"",IF(AY$3=$AD67,$F67&amp;"R",AY66))))</f>
        <v/>
      </c>
      <c r="AZ67" s="11" t="str">
        <f aca="false">IF($P67=0,AZ66,IF(AZ$3=$E67,IF($AA67=1,$F67&amp;$AB67,$G67),IF(OR(AZ$3=$D67,AZ$3=$AC67,AZ$3=$AE67),"",IF(AZ$3=$AD67,$F67&amp;"R",AZ66))))</f>
        <v/>
      </c>
      <c r="BA67" s="11" t="str">
        <f aca="false">IF($P67=0,BA66,IF(BA$3=$E67,IF($AA67=1,$F67&amp;$AB67,$G67),IF(OR(BA$3=$D67,BA$3=$AC67,BA$3=$AE67),"",IF(BA$3=$AD67,$F67&amp;"R",BA66))))</f>
        <v/>
      </c>
      <c r="BB67" s="11" t="str">
        <f aca="false">IF($P67=0,BB66,IF(BB$3=$E67,IF($AA67=1,$F67&amp;$AB67,$G67),IF(OR(BB$3=$D67,BB$3=$AC67,BB$3=$AE67),"",IF(BB$3=$AD67,$F67&amp;"R",BB66))))</f>
        <v/>
      </c>
      <c r="BC67" s="11" t="str">
        <f aca="false">IF($P67=0,BC66,IF(BC$3=$E67,IF($AA67=1,$F67&amp;$AB67,$G67),IF(OR(BC$3=$D67,BC$3=$AC67,BC$3=$AE67),"",IF(BC$3=$AD67,$F67&amp;"R",BC66))))</f>
        <v/>
      </c>
      <c r="BD67" s="11" t="str">
        <f aca="false">IF($P67=0,BD66,IF(BD$3=$E67,IF($AA67=1,$F67&amp;$AB67,$G67),IF(OR(BD$3=$D67,BD$3=$AC67,BD$3=$AE67),"",IF(BD$3=$AD67,$F67&amp;"R",BD66))))</f>
        <v/>
      </c>
      <c r="BE67" s="11" t="str">
        <f aca="false">IF($P67=0,BE66,IF(BE$3=$E67,IF($AA67=1,$F67&amp;$AB67,$G67),IF(OR(BE$3=$D67,BE$3=$AC67,BE$3=$AE67),"",IF(BE$3=$AD67,$F67&amp;"R",BE66))))</f>
        <v/>
      </c>
      <c r="BF67" s="11" t="str">
        <f aca="false">IF($P67=0,BF66,IF(BF$3=$E67,IF($AA67=1,$F67&amp;$AB67,$G67),IF(OR(BF$3=$D67,BF$3=$AC67,BF$3=$AE67),"",IF(BF$3=$AD67,$F67&amp;"R",BF66))))</f>
        <v/>
      </c>
      <c r="BG67" s="11" t="str">
        <f aca="false">IF($P67=0,BG66,IF(BG$3=$E67,IF($AA67=1,$F67&amp;$AB67,$G67),IF(OR(BG$3=$D67,BG$3=$AC67,BG$3=$AE67),"",IF(BG$3=$AD67,$F67&amp;"R",BG66))))</f>
        <v/>
      </c>
      <c r="BH67" s="11" t="str">
        <f aca="false">IF($P67=0,BH66,IF(BH$3=$E67,IF($AA67=1,$F67&amp;$AB67,$G67),IF(OR(BH$3=$D67,BH$3=$AC67,BH$3=$AE67),"",IF(BH$3=$AD67,$F67&amp;"R",BH66))))</f>
        <v/>
      </c>
      <c r="BI67" s="11" t="str">
        <f aca="false">IF($P67=0,BI66,IF(BI$3=$E67,IF($AA67=1,$F67&amp;$AB67,$G67),IF(OR(BI$3=$D67,BI$3=$AC67,BI$3=$AE67),"",IF(BI$3=$AD67,$F67&amp;"R",BI66))))</f>
        <v/>
      </c>
      <c r="BJ67" s="11" t="str">
        <f aca="false">IF($P67=0,BJ66,IF(BJ$3=$E67,IF($AA67=1,$F67&amp;$AB67,$G67),IF(OR(BJ$3=$D67,BJ$3=$AC67,BJ$3=$AE67),"",IF(BJ$3=$AD67,$F67&amp;"R",BJ66))))</f>
        <v/>
      </c>
      <c r="BK67" s="11" t="str">
        <f aca="false">IF($P67=0,BK66,IF(BK$3=$E67,IF($AA67=1,$F67&amp;$AB67,$G67),IF(OR(BK$3=$D67,BK$3=$AC67,BK$3=$AE67),"",IF(BK$3=$AD67,$F67&amp;"R",BK66))))</f>
        <v/>
      </c>
      <c r="BL67" s="11" t="str">
        <f aca="false">IF($P67=0,BL66,IF(BL$3=$E67,IF($AA67=1,$F67&amp;$AB67,$G67),IF(OR(BL$3=$D67,BL$3=$AC67,BL$3=$AE67),"",IF(BL$3=$AD67,$F67&amp;"R",BL66))))</f>
        <v/>
      </c>
      <c r="BM67" s="11" t="str">
        <f aca="false">IF($P67=0,BM66,IF(BM$3=$E67,IF($AA67=1,$F67&amp;$AB67,$G67),IF(OR(BM$3=$D67,BM$3=$AC67,BM$3=$AE67),"",IF(BM$3=$AD67,$F67&amp;"R",BM66))))</f>
        <v/>
      </c>
      <c r="BN67" s="11" t="str">
        <f aca="false">IF($P67=0,BN66,IF(BN$3=$E67,IF($AA67=1,$F67&amp;$AB67,$G67),IF(OR(BN$3=$D67,BN$3=$AC67,BN$3=$AE67),"",IF(BN$3=$AD67,$F67&amp;"R",BN66))))</f>
        <v/>
      </c>
      <c r="BO67" s="11" t="str">
        <f aca="false">IF($P67=0,BO66,IF(BO$3=$E67,IF($AA67=1,$F67&amp;$AB67,$G67),IF(OR(BO$3=$D67,BO$3=$AC67,BO$3=$AE67),"",IF(BO$3=$AD67,$F67&amp;"R",BO66))))</f>
        <v/>
      </c>
      <c r="BP67" s="11" t="str">
        <f aca="false">IF($P67=0,BP66,IF(BP$3=$E67,IF($AA67=1,$F67&amp;$AB67,$G67),IF(OR(BP$3=$D67,BP$3=$AC67,BP$3=$AE67),"",IF(BP$3=$AD67,$F67&amp;"R",BP66))))</f>
        <v/>
      </c>
      <c r="BQ67" s="11" t="str">
        <f aca="false">IF($P67=0,BQ66,IF(BQ$3=$E67,IF($AA67=1,$F67&amp;$AB67,$G67),IF(OR(BQ$3=$D67,BQ$3=$AC67,BQ$3=$AE67),"",IF(BQ$3=$AD67,$F67&amp;"R",BQ66))))</f>
        <v/>
      </c>
      <c r="BR67" s="11" t="str">
        <f aca="false">IF($P67=0,BR66,IF(BR$3=$E67,IF($AA67=1,$F67&amp;$AB67,$G67),IF(OR(BR$3=$D67,BR$3=$AC67,BR$3=$AE67),"",IF(BR$3=$AD67,$F67&amp;"R",BR66))))</f>
        <v/>
      </c>
      <c r="BS67" s="11" t="str">
        <f aca="false">IF($P67=0,BS66,IF(BS$3=$E67,IF($AA67=1,$F67&amp;$AB67,$G67),IF(OR(BS$3=$D67,BS$3=$AC67,BS$3=$AE67),"",IF(BS$3=$AD67,$F67&amp;"R",BS66))))</f>
        <v/>
      </c>
      <c r="BT67" s="11" t="str">
        <f aca="false">IF($P67=0,BT66,IF(BT$3=$E67,IF($AA67=1,$F67&amp;$AB67,$G67),IF(OR(BT$3=$D67,BT$3=$AC67,BT$3=$AE67),"",IF(BT$3=$AD67,$F67&amp;"R",BT66))))</f>
        <v/>
      </c>
      <c r="BU67" s="11" t="str">
        <f aca="false">IF($P67=0,BU66,IF(BU$3=$E67,IF($AA67=1,$F67&amp;$AB67,$G67),IF(OR(BU$3=$D67,BU$3=$AC67,BU$3=$AE67),"",IF(BU$3=$AD67,$F67&amp;"R",BU66))))</f>
        <v/>
      </c>
      <c r="BV67" s="11" t="str">
        <f aca="false">IF($P67=0,BV66,IF(BV$3=$E67,IF($AA67=1,$F67&amp;$AB67,$G67),IF(OR(BV$3=$D67,BV$3=$AC67,BV$3=$AE67),"",IF(BV$3=$AD67,$F67&amp;"R",BV66))))</f>
        <v/>
      </c>
      <c r="BW67" s="11" t="str">
        <f aca="false">IF($P67=0,BW66,IF(BW$3=$E67,IF($AA67=1,$F67&amp;$AB67,$G67),IF(OR(BW$3=$D67,BW$3=$AC67,BW$3=$AE67),"",IF(BW$3=$AD67,$F67&amp;"R",BW66))))</f>
        <v/>
      </c>
      <c r="BX67" s="11" t="str">
        <f aca="false">IF($P67=0,BX66,IF(BX$3=$E67,IF($AA67=1,$F67&amp;$AB67,$G67),IF(OR(BX$3=$D67,BX$3=$AC67,BX$3=$AE67),"",IF(BX$3=$AD67,$F67&amp;"R",BX66))))</f>
        <v/>
      </c>
      <c r="BY67" s="11" t="str">
        <f aca="false">IF($P67=0,BY66,IF(BY$3=$E67,IF($AA67=1,$F67&amp;$AB67,$G67),IF(OR(BY$3=$D67,BY$3=$AC67,BY$3=$AE67),"",IF(BY$3=$AD67,$F67&amp;"R",BY66))))</f>
        <v/>
      </c>
      <c r="BZ67" s="11" t="str">
        <f aca="false">IF($P67=0,BZ66,IF(BZ$3=$E67,IF($AA67=1,$F67&amp;$AB67,$G67),IF(OR(BZ$3=$D67,BZ$3=$AC67,BZ$3=$AE67),"",IF(BZ$3=$AD67,$F67&amp;"R",BZ66))))</f>
        <v/>
      </c>
      <c r="CA67" s="11" t="str">
        <f aca="false">IF($P67=0,CA66,IF(CA$3=$E67,IF($AA67=1,$F67&amp;$AB67,$G67),IF(OR(CA$3=$D67,CA$3=$AC67,CA$3=$AE67),"",IF(CA$3=$AD67,$F67&amp;"R",CA66))))</f>
        <v/>
      </c>
      <c r="CB67" s="11" t="str">
        <f aca="false">IF($P67=0,CB66,IF(CB$3=$E67,IF($AA67=1,$F67&amp;$AB67,$G67),IF(OR(CB$3=$D67,CB$3=$AC67,CB$3=$AE67),"",IF(CB$3=$AD67,$F67&amp;"R",CB66))))</f>
        <v/>
      </c>
      <c r="CC67" s="11" t="str">
        <f aca="false">IF($P67=0,CC66,IF(CC$3=$E67,IF($AA67=1,$F67&amp;$AB67,$G67),IF(OR(CC$3=$D67,CC$3=$AC67,CC$3=$AE67),"",IF(CC$3=$AD67,$F67&amp;"R",CC66))))</f>
        <v/>
      </c>
      <c r="CD67" s="11" t="str">
        <f aca="false">IF($P67=0,CD66,IF(CD$3=$E67,IF($AA67=1,$F67&amp;$AB67,$G67),IF(OR(CD$3=$D67,CD$3=$AC67,CD$3=$AE67),"",IF(CD$3=$AD67,$F67&amp;"R",CD66))))</f>
        <v>bP</v>
      </c>
      <c r="CE67" s="11" t="str">
        <f aca="false">IF($P67=0,CE66,IF(CE$3=$E67,IF($AA67=1,$F67&amp;$AB67,$G67),IF(OR(CE$3=$D67,CE$3=$AC67,CE$3=$AE67),"",IF(CE$3=$AD67,$F67&amp;"R",CE66))))</f>
        <v>bP</v>
      </c>
      <c r="CF67" s="11" t="str">
        <f aca="false">IF($P67=0,CF66,IF(CF$3=$E67,IF($AA67=1,$F67&amp;$AB67,$G67),IF(OR(CF$3=$D67,CF$3=$AC67,CF$3=$AE67),"",IF(CF$3=$AD67,$F67&amp;"R",CF66))))</f>
        <v>bP</v>
      </c>
      <c r="CG67" s="11" t="str">
        <f aca="false">IF($P67=0,CG66,IF(CG$3=$E67,IF($AA67=1,$F67&amp;$AB67,$G67),IF(OR(CG$3=$D67,CG$3=$AC67,CG$3=$AE67),"",IF(CG$3=$AD67,$F67&amp;"R",CG66))))</f>
        <v>bP</v>
      </c>
      <c r="CH67" s="11" t="str">
        <f aca="false">IF($P67=0,CH66,IF(CH$3=$E67,IF($AA67=1,$F67&amp;$AB67,$G67),IF(OR(CH$3=$D67,CH$3=$AC67,CH$3=$AE67),"",IF(CH$3=$AD67,$F67&amp;"R",CH66))))</f>
        <v>bP</v>
      </c>
      <c r="CI67" s="11" t="str">
        <f aca="false">IF($P67=0,CI66,IF(CI$3=$E67,IF($AA67=1,$F67&amp;$AB67,$G67),IF(OR(CI$3=$D67,CI$3=$AC67,CI$3=$AE67),"",IF(CI$3=$AD67,$F67&amp;"R",CI66))))</f>
        <v>bP</v>
      </c>
      <c r="CJ67" s="11" t="str">
        <f aca="false">IF($P67=0,CJ66,IF(CJ$3=$E67,IF($AA67=1,$F67&amp;$AB67,$G67),IF(OR(CJ$3=$D67,CJ$3=$AC67,CJ$3=$AE67),"",IF(CJ$3=$AD67,$F67&amp;"R",CJ66))))</f>
        <v>bP</v>
      </c>
      <c r="CK67" s="11" t="str">
        <f aca="false">IF($P67=0,CK66,IF(CK$3=$E67,IF($AA67=1,$F67&amp;$AB67,$G67),IF(OR(CK$3=$D67,CK$3=$AC67,CK$3=$AE67),"",IF(CK$3=$AD67,$F67&amp;"R",CK66))))</f>
        <v>bP</v>
      </c>
      <c r="CL67" s="11" t="str">
        <f aca="false">IF($P67=0,CL66,IF(CL$3=$E67,IF($AA67=1,$F67&amp;$AB67,$G67),IF(OR(CL$3=$D67,CL$3=$AC67,CL$3=$AE67),"",IF(CL$3=$AD67,$F67&amp;"R",CL66))))</f>
        <v>bR</v>
      </c>
      <c r="CM67" s="11" t="str">
        <f aca="false">IF($P67=0,CM66,IF(CM$3=$E67,IF($AA67=1,$F67&amp;$AB67,$G67),IF(OR(CM$3=$D67,CM$3=$AC67,CM$3=$AE67),"",IF(CM$3=$AD67,$F67&amp;"R",CM66))))</f>
        <v>bN</v>
      </c>
      <c r="CN67" s="11" t="str">
        <f aca="false">IF($P67=0,CN66,IF(CN$3=$E67,IF($AA67=1,$F67&amp;$AB67,$G67),IF(OR(CN$3=$D67,CN$3=$AC67,CN$3=$AE67),"",IF(CN$3=$AD67,$F67&amp;"R",CN66))))</f>
        <v>bB</v>
      </c>
      <c r="CO67" s="11" t="str">
        <f aca="false">IF($P67=0,CO66,IF(CO$3=$E67,IF($AA67=1,$F67&amp;$AB67,$G67),IF(OR(CO$3=$D67,CO$3=$AC67,CO$3=$AE67),"",IF(CO$3=$AD67,$F67&amp;"R",CO66))))</f>
        <v>bQ</v>
      </c>
      <c r="CP67" s="11" t="str">
        <f aca="false">IF($P67=0,CP66,IF(CP$3=$E67,IF($AA67=1,$F67&amp;$AB67,$G67),IF(OR(CP$3=$D67,CP$3=$AC67,CP$3=$AE67),"",IF(CP$3=$AD67,$F67&amp;"R",CP66))))</f>
        <v>bK</v>
      </c>
      <c r="CQ67" s="11" t="str">
        <f aca="false">IF($P67=0,CQ66,IF(CQ$3=$E67,IF($AA67=1,$F67&amp;$AB67,$G67),IF(OR(CQ$3=$D67,CQ$3=$AC67,CQ$3=$AE67),"",IF(CQ$3=$AD67,$F67&amp;"R",CQ66))))</f>
        <v>bB</v>
      </c>
      <c r="CR67" s="11" t="str">
        <f aca="false">IF($P67=0,CR66,IF(CR$3=$E67,IF($AA67=1,$F67&amp;$AB67,$G67),IF(OR(CR$3=$D67,CR$3=$AC67,CR$3=$AE67),"",IF(CR$3=$AD67,$F67&amp;"R",CR66))))</f>
        <v>bN</v>
      </c>
      <c r="CS67" s="11" t="str">
        <f aca="false">IF($P67=0,CS66,IF(CS$3=$E67,IF($AA67=1,$F67&amp;$AB67,$G67),IF(OR(CS$3=$D67,CS$3=$AC67,CS$3=$AE67),"",IF(CS$3=$AD67,$F67&amp;"R",CS66))))</f>
        <v>bR</v>
      </c>
      <c r="CT67" s="11"/>
      <c r="CU67" s="11"/>
      <c r="CV67" s="11"/>
    </row>
    <row r="68" customFormat="false" ht="15" hidden="false" customHeight="false" outlineLevel="0" collapsed="false">
      <c r="A68" s="11" t="n">
        <v>63</v>
      </c>
      <c r="B68" s="11" t="str">
        <f aca="false">IF(Chess!$L$72="","",Chess!$L$72&amp;"")</f>
        <v/>
      </c>
      <c r="C68" s="11" t="str">
        <f aca="false">LOWER(SUBSTITUTE(SUBSTITUTE(SUBSTITUTE(SUBSTITUTE(TRIM($B68),"-",""),"=","")," ",""),"x",""))</f>
        <v/>
      </c>
      <c r="D68" s="11" t="n">
        <f aca="false">IF(LEN($C68)&lt;4,0,IFERROR(IF(AND(CODE(MID($C68,1,1))&gt;=97,CODE(MID($C68,1,1))&lt;=104,VALUE(MID($C68,2,1))&gt;=1,VALUE(MID($C68,2,1))&lt;=8),(VALUE(MID($C68,2,1))-1)*8+CODE(MID($C68,1,1))-96,0),0))</f>
        <v>0</v>
      </c>
      <c r="E68" s="11" t="n">
        <f aca="false">IF(LEN($C68)&lt;4,0,IFERROR(IF(AND(CODE(MID($C68,3,1))&gt;=97,CODE(MID($C68,3,1))&lt;=104,VALUE(MID($C68,4,1))&gt;=1,VALUE(MID($C68,4,1))&lt;=8),(VALUE(MID($C68,4,1))-1)*8+CODE(MID($C68,3,1))-96,0),0))</f>
        <v>0</v>
      </c>
      <c r="F68" s="11" t="str">
        <f aca="false">IF(MOD(SUM($P$5:$P67),2)=0,"w","b")</f>
        <v>w</v>
      </c>
      <c r="G68" s="11" t="str">
        <f aca="false">IF($D68=0,"",INDEX($AH67:$CS67,1,$D68)&amp;"")</f>
        <v/>
      </c>
      <c r="H68" s="11" t="str">
        <f aca="false">IF($E68=0,"",INDEX($AH67:$CS67,1,$E68)&amp;"")</f>
        <v/>
      </c>
      <c r="I68" s="11" t="n">
        <f aca="false">IF(OR($D68=0,$E68=0),0,MOD($E68-1,8)-MOD($D68-1,8))</f>
        <v>0</v>
      </c>
      <c r="J68" s="11" t="n">
        <f aca="false">IF(OR($D68=0,$E68=0),0,INT(($E68-1)/8)-INT(($D68-1)/8))</f>
        <v>0</v>
      </c>
      <c r="K68" s="11" t="str">
        <f aca="false">IF($G68="","",RIGHT($G68,1))</f>
        <v/>
      </c>
      <c r="L68" s="11" t="n">
        <f aca="false">IF(OR($D68=0,$E68=0),0,SUMPRODUCT(($AH$3:$CS$3&gt;MIN($D68,$E68))*($AH$3:$CS$3&lt;MAX($D68,$E68))*(MOD($AH$3:$CS$3-MIN($D68,$E68),MAX(1,ABS(SIGN($J68)*8+SIGN($I68))))=0)*($AH67:$CS67&lt;&gt;"")))</f>
        <v>0</v>
      </c>
      <c r="M68" s="11" t="n">
        <f aca="false">IF($K68&lt;&gt;"K",0,IFERROR(--AND($J68=0,ABS($I68)=2,$D68=IF($F68="w",5,61),IF($F68="w",$S67,$V67)=0,IF($I68=2,AND(IF($F68="w",$U67,$X67)=0,INDEX($AH67:$CS67,1,$D68+1)&amp;""="",INDEX($AH67:$CS67,1,$D68+2)&amp;""=""),AND(IF($F68="w",$T67,$W67)=0,INDEX($AH67:$CS67,1,$D68-1)&amp;""="",INDEX($AH67:$CS67,1,$D68-2)&amp;""="",INDEX($AH67:$CS67,1,$D68-3)&amp;""=""))),0))</f>
        <v>0</v>
      </c>
      <c r="N68" s="11" t="n">
        <f aca="false">IF($K68&lt;&gt;"P",0,IFERROR(--OR(AND($I68=0,$J68=IF($F68="w",1,-1),$H68=""),AND($I68=0,$J68=2*IF($F68="w",1,-1),$H68="",INT(($D68-1)/8)=IF($F68="w",1,6),INDEX($AH67:$CS67,1,MAX(1,MIN(64,$D68+8*IF($F68="w",1,-1))))&amp;""=""),AND(ABS($I68)=1,$J68=IF($F68="w",1,-1),$H68&lt;&gt;""),AND(ABS($I68)=1,$J68=IF($F68="w",1,-1),$H68="",$R67&gt;0,$E68=$R67)),0))</f>
        <v>0</v>
      </c>
      <c r="O68" s="11" t="n">
        <f aca="false">IF(OR($D68=0,$E68=0,$G68=""),0,IF($K68="N",--OR(AND(ABS($I68)=1,ABS($J68)=2),AND(ABS($I68)=2,ABS($J68)=1)),IF($K68="B",--AND(ABS($I68)=ABS($J68),$I68&lt;&gt;0,$L68=0),IF($K68="R",--AND(OR($I68=0,$J68=0),OR($I68&lt;&gt;0,$J68&lt;&gt;0),$L68=0),IF($K68="Q",--AND(OR(AND(ABS($I68)=ABS($J68),$I68&lt;&gt;0),AND(OR($I68=0,$J68=0),OR($I68&lt;&gt;0,$J68&lt;&gt;0))),$L68=0),IF($K68="K",--OR(MAX(ABS($I68),ABS($J68))=1,$M68=1),$N68))))))</f>
        <v>0</v>
      </c>
      <c r="P68" s="11" t="n">
        <f aca="false">IF($Q68="OK",1,0)</f>
        <v>0</v>
      </c>
      <c r="Q68" s="11" t="str">
        <f aca="false">IF($B68="","",IF(OR(COUNTIF($AH67:$CS67,"wK")=0,COUNTIF($AH67:$CS67,"bK")=0),"Game is over",IF(OR($D68=0,$E68=0),"Use the format e2e4",IF($G68="","No piece on that square",IF(LEFT($G68,1)&lt;&gt;$F68,"Not your piece ("&amp;IF($F68="w","White","Black")&amp;" to move)",IF($D68=$E68,"Piece must move",IF(AND($H68&lt;&gt;"",LEFT($H68,1)=$F68),"Cannot capture your own piece",IF($O68=0,"Illegal move for that piece (or path blocked)","OK"))))))))</f>
        <v/>
      </c>
      <c r="R68" s="11" t="n">
        <f aca="false">IF($P68=1,IF(AND($K68="P",ABS($J68)=2),($D68+$E68)/2,0),$R67)</f>
        <v>0</v>
      </c>
      <c r="S68" s="12" t="b">
        <f aca="false">--OR($S67=1,AND($P68=1,OR($D68=5,$E68=5)))</f>
        <v>0</v>
      </c>
      <c r="T68" s="12" t="b">
        <f aca="false">--OR($T67=1,AND($P68=1,OR($D68=1,$E68=1)))</f>
        <v>0</v>
      </c>
      <c r="U68" s="12" t="b">
        <f aca="false">--OR($U67=1,AND($P68=1,OR($D68=8,$E68=8)))</f>
        <v>0</v>
      </c>
      <c r="V68" s="12" t="b">
        <f aca="false">--OR($V67=1,AND($P68=1,OR($D68=61,$E68=61)))</f>
        <v>0</v>
      </c>
      <c r="W68" s="12" t="b">
        <f aca="false">--OR($W67=1,AND($P68=1,OR($D68=57,$E68=57)))</f>
        <v>0</v>
      </c>
      <c r="X68" s="12" t="b">
        <f aca="false">--OR($X67=1,AND($P68=1,OR($D68=64,$E68=64)))</f>
        <v>0</v>
      </c>
      <c r="Y68" s="12" t="b">
        <f aca="false">--AND($P68=1,$K68="K",ABS($I68)=2)</f>
        <v>0</v>
      </c>
      <c r="Z68" s="12" t="b">
        <f aca="false">--AND($P68=1,$K68="P",ABS($I68)=1,$H68="")</f>
        <v>0</v>
      </c>
      <c r="AA68" s="12" t="b">
        <f aca="false">--AND($P68=1,$K68="P",INT(($E68-1)/8)=IF($F68="w",7,0))</f>
        <v>0</v>
      </c>
      <c r="AB68" s="11" t="str">
        <f aca="false">IF(LEN($C68)&gt;=5,IF(ISNUMBER(FIND(MID($C68,5,1),"qrbn")),UPPER(MID($C68,5,1)),"Q"),"Q")</f>
        <v>Q</v>
      </c>
      <c r="AC68" s="11" t="n">
        <f aca="false">IF($Y68=1,IF($I68=2,$D68+3,$D68-4),0)</f>
        <v>0</v>
      </c>
      <c r="AD68" s="11" t="n">
        <f aca="false">IF($Y68=1,IF($I68=2,$D68+1,$D68-1),0)</f>
        <v>0</v>
      </c>
      <c r="AE68" s="11" t="n">
        <f aca="false">IF($Z68=1,$E68-8*IF($F68="w",1,-1),0)</f>
        <v>0</v>
      </c>
      <c r="AF68" s="11" t="str">
        <f aca="false">IF($B68="","",IF($P68=1,LOWER(INDEX($CV$2:$CV$13,MATCH($G68,$CU$2:$CU$13,0)))&amp;" "&amp;MID("abcdefgh",MOD($D68-1,8)+1,1)&amp;(INT(($D68-1)/8)+1)&amp;"→"&amp;MID("abcdefgh",MOD($E68-1,8)+1,1)&amp;(INT(($E68-1)/8)+1)&amp;IF(OR($H68&lt;&gt;"",$Z68=1)," ×","")&amp;IF($Y68=1," castles","")&amp;IF($Z68=1," e.p.","")&amp;IF($AA68=1," =" &amp;LOWER(INDEX($CV$2:$CV$13,MATCH($F68&amp;$AB68,$CU$2:$CU$13,0))),""),"X "&amp;$Q68))</f>
        <v/>
      </c>
      <c r="AG68" s="11"/>
      <c r="AH68" s="11" t="str">
        <f aca="false">IF($P68=0,AH67,IF(AH$3=$E68,IF($AA68=1,$F68&amp;$AB68,$G68),IF(OR(AH$3=$D68,AH$3=$AC68,AH$3=$AE68),"",IF(AH$3=$AD68,$F68&amp;"R",AH67))))</f>
        <v>wR</v>
      </c>
      <c r="AI68" s="11" t="str">
        <f aca="false">IF($P68=0,AI67,IF(AI$3=$E68,IF($AA68=1,$F68&amp;$AB68,$G68),IF(OR(AI$3=$D68,AI$3=$AC68,AI$3=$AE68),"",IF(AI$3=$AD68,$F68&amp;"R",AI67))))</f>
        <v>wN</v>
      </c>
      <c r="AJ68" s="11" t="str">
        <f aca="false">IF($P68=0,AJ67,IF(AJ$3=$E68,IF($AA68=1,$F68&amp;$AB68,$G68),IF(OR(AJ$3=$D68,AJ$3=$AC68,AJ$3=$AE68),"",IF(AJ$3=$AD68,$F68&amp;"R",AJ67))))</f>
        <v>wB</v>
      </c>
      <c r="AK68" s="11" t="str">
        <f aca="false">IF($P68=0,AK67,IF(AK$3=$E68,IF($AA68=1,$F68&amp;$AB68,$G68),IF(OR(AK$3=$D68,AK$3=$AC68,AK$3=$AE68),"",IF(AK$3=$AD68,$F68&amp;"R",AK67))))</f>
        <v>wQ</v>
      </c>
      <c r="AL68" s="11" t="str">
        <f aca="false">IF($P68=0,AL67,IF(AL$3=$E68,IF($AA68=1,$F68&amp;$AB68,$G68),IF(OR(AL$3=$D68,AL$3=$AC68,AL$3=$AE68),"",IF(AL$3=$AD68,$F68&amp;"R",AL67))))</f>
        <v>wK</v>
      </c>
      <c r="AM68" s="11" t="str">
        <f aca="false">IF($P68=0,AM67,IF(AM$3=$E68,IF($AA68=1,$F68&amp;$AB68,$G68),IF(OR(AM$3=$D68,AM$3=$AC68,AM$3=$AE68),"",IF(AM$3=$AD68,$F68&amp;"R",AM67))))</f>
        <v>wB</v>
      </c>
      <c r="AN68" s="11" t="str">
        <f aca="false">IF($P68=0,AN67,IF(AN$3=$E68,IF($AA68=1,$F68&amp;$AB68,$G68),IF(OR(AN$3=$D68,AN$3=$AC68,AN$3=$AE68),"",IF(AN$3=$AD68,$F68&amp;"R",AN67))))</f>
        <v>wN</v>
      </c>
      <c r="AO68" s="11" t="str">
        <f aca="false">IF($P68=0,AO67,IF(AO$3=$E68,IF($AA68=1,$F68&amp;$AB68,$G68),IF(OR(AO$3=$D68,AO$3=$AC68,AO$3=$AE68),"",IF(AO$3=$AD68,$F68&amp;"R",AO67))))</f>
        <v>wR</v>
      </c>
      <c r="AP68" s="11" t="str">
        <f aca="false">IF($P68=0,AP67,IF(AP$3=$E68,IF($AA68=1,$F68&amp;$AB68,$G68),IF(OR(AP$3=$D68,AP$3=$AC68,AP$3=$AE68),"",IF(AP$3=$AD68,$F68&amp;"R",AP67))))</f>
        <v>wP</v>
      </c>
      <c r="AQ68" s="11" t="str">
        <f aca="false">IF($P68=0,AQ67,IF(AQ$3=$E68,IF($AA68=1,$F68&amp;$AB68,$G68),IF(OR(AQ$3=$D68,AQ$3=$AC68,AQ$3=$AE68),"",IF(AQ$3=$AD68,$F68&amp;"R",AQ67))))</f>
        <v>wP</v>
      </c>
      <c r="AR68" s="11" t="str">
        <f aca="false">IF($P68=0,AR67,IF(AR$3=$E68,IF($AA68=1,$F68&amp;$AB68,$G68),IF(OR(AR$3=$D68,AR$3=$AC68,AR$3=$AE68),"",IF(AR$3=$AD68,$F68&amp;"R",AR67))))</f>
        <v>wP</v>
      </c>
      <c r="AS68" s="11" t="str">
        <f aca="false">IF($P68=0,AS67,IF(AS$3=$E68,IF($AA68=1,$F68&amp;$AB68,$G68),IF(OR(AS$3=$D68,AS$3=$AC68,AS$3=$AE68),"",IF(AS$3=$AD68,$F68&amp;"R",AS67))))</f>
        <v>wP</v>
      </c>
      <c r="AT68" s="11" t="str">
        <f aca="false">IF($P68=0,AT67,IF(AT$3=$E68,IF($AA68=1,$F68&amp;$AB68,$G68),IF(OR(AT$3=$D68,AT$3=$AC68,AT$3=$AE68),"",IF(AT$3=$AD68,$F68&amp;"R",AT67))))</f>
        <v>wP</v>
      </c>
      <c r="AU68" s="11" t="str">
        <f aca="false">IF($P68=0,AU67,IF(AU$3=$E68,IF($AA68=1,$F68&amp;$AB68,$G68),IF(OR(AU$3=$D68,AU$3=$AC68,AU$3=$AE68),"",IF(AU$3=$AD68,$F68&amp;"R",AU67))))</f>
        <v>wP</v>
      </c>
      <c r="AV68" s="11" t="str">
        <f aca="false">IF($P68=0,AV67,IF(AV$3=$E68,IF($AA68=1,$F68&amp;$AB68,$G68),IF(OR(AV$3=$D68,AV$3=$AC68,AV$3=$AE68),"",IF(AV$3=$AD68,$F68&amp;"R",AV67))))</f>
        <v>wP</v>
      </c>
      <c r="AW68" s="11" t="str">
        <f aca="false">IF($P68=0,AW67,IF(AW$3=$E68,IF($AA68=1,$F68&amp;$AB68,$G68),IF(OR(AW$3=$D68,AW$3=$AC68,AW$3=$AE68),"",IF(AW$3=$AD68,$F68&amp;"R",AW67))))</f>
        <v>wP</v>
      </c>
      <c r="AX68" s="11" t="str">
        <f aca="false">IF($P68=0,AX67,IF(AX$3=$E68,IF($AA68=1,$F68&amp;$AB68,$G68),IF(OR(AX$3=$D68,AX$3=$AC68,AX$3=$AE68),"",IF(AX$3=$AD68,$F68&amp;"R",AX67))))</f>
        <v/>
      </c>
      <c r="AY68" s="11" t="str">
        <f aca="false">IF($P68=0,AY67,IF(AY$3=$E68,IF($AA68=1,$F68&amp;$AB68,$G68),IF(OR(AY$3=$D68,AY$3=$AC68,AY$3=$AE68),"",IF(AY$3=$AD68,$F68&amp;"R",AY67))))</f>
        <v/>
      </c>
      <c r="AZ68" s="11" t="str">
        <f aca="false">IF($P68=0,AZ67,IF(AZ$3=$E68,IF($AA68=1,$F68&amp;$AB68,$G68),IF(OR(AZ$3=$D68,AZ$3=$AC68,AZ$3=$AE68),"",IF(AZ$3=$AD68,$F68&amp;"R",AZ67))))</f>
        <v/>
      </c>
      <c r="BA68" s="11" t="str">
        <f aca="false">IF($P68=0,BA67,IF(BA$3=$E68,IF($AA68=1,$F68&amp;$AB68,$G68),IF(OR(BA$3=$D68,BA$3=$AC68,BA$3=$AE68),"",IF(BA$3=$AD68,$F68&amp;"R",BA67))))</f>
        <v/>
      </c>
      <c r="BB68" s="11" t="str">
        <f aca="false">IF($P68=0,BB67,IF(BB$3=$E68,IF($AA68=1,$F68&amp;$AB68,$G68),IF(OR(BB$3=$D68,BB$3=$AC68,BB$3=$AE68),"",IF(BB$3=$AD68,$F68&amp;"R",BB67))))</f>
        <v/>
      </c>
      <c r="BC68" s="11" t="str">
        <f aca="false">IF($P68=0,BC67,IF(BC$3=$E68,IF($AA68=1,$F68&amp;$AB68,$G68),IF(OR(BC$3=$D68,BC$3=$AC68,BC$3=$AE68),"",IF(BC$3=$AD68,$F68&amp;"R",BC67))))</f>
        <v/>
      </c>
      <c r="BD68" s="11" t="str">
        <f aca="false">IF($P68=0,BD67,IF(BD$3=$E68,IF($AA68=1,$F68&amp;$AB68,$G68),IF(OR(BD$3=$D68,BD$3=$AC68,BD$3=$AE68),"",IF(BD$3=$AD68,$F68&amp;"R",BD67))))</f>
        <v/>
      </c>
      <c r="BE68" s="11" t="str">
        <f aca="false">IF($P68=0,BE67,IF(BE$3=$E68,IF($AA68=1,$F68&amp;$AB68,$G68),IF(OR(BE$3=$D68,BE$3=$AC68,BE$3=$AE68),"",IF(BE$3=$AD68,$F68&amp;"R",BE67))))</f>
        <v/>
      </c>
      <c r="BF68" s="11" t="str">
        <f aca="false">IF($P68=0,BF67,IF(BF$3=$E68,IF($AA68=1,$F68&amp;$AB68,$G68),IF(OR(BF$3=$D68,BF$3=$AC68,BF$3=$AE68),"",IF(BF$3=$AD68,$F68&amp;"R",BF67))))</f>
        <v/>
      </c>
      <c r="BG68" s="11" t="str">
        <f aca="false">IF($P68=0,BG67,IF(BG$3=$E68,IF($AA68=1,$F68&amp;$AB68,$G68),IF(OR(BG$3=$D68,BG$3=$AC68,BG$3=$AE68),"",IF(BG$3=$AD68,$F68&amp;"R",BG67))))</f>
        <v/>
      </c>
      <c r="BH68" s="11" t="str">
        <f aca="false">IF($P68=0,BH67,IF(BH$3=$E68,IF($AA68=1,$F68&amp;$AB68,$G68),IF(OR(BH$3=$D68,BH$3=$AC68,BH$3=$AE68),"",IF(BH$3=$AD68,$F68&amp;"R",BH67))))</f>
        <v/>
      </c>
      <c r="BI68" s="11" t="str">
        <f aca="false">IF($P68=0,BI67,IF(BI$3=$E68,IF($AA68=1,$F68&amp;$AB68,$G68),IF(OR(BI$3=$D68,BI$3=$AC68,BI$3=$AE68),"",IF(BI$3=$AD68,$F68&amp;"R",BI67))))</f>
        <v/>
      </c>
      <c r="BJ68" s="11" t="str">
        <f aca="false">IF($P68=0,BJ67,IF(BJ$3=$E68,IF($AA68=1,$F68&amp;$AB68,$G68),IF(OR(BJ$3=$D68,BJ$3=$AC68,BJ$3=$AE68),"",IF(BJ$3=$AD68,$F68&amp;"R",BJ67))))</f>
        <v/>
      </c>
      <c r="BK68" s="11" t="str">
        <f aca="false">IF($P68=0,BK67,IF(BK$3=$E68,IF($AA68=1,$F68&amp;$AB68,$G68),IF(OR(BK$3=$D68,BK$3=$AC68,BK$3=$AE68),"",IF(BK$3=$AD68,$F68&amp;"R",BK67))))</f>
        <v/>
      </c>
      <c r="BL68" s="11" t="str">
        <f aca="false">IF($P68=0,BL67,IF(BL$3=$E68,IF($AA68=1,$F68&amp;$AB68,$G68),IF(OR(BL$3=$D68,BL$3=$AC68,BL$3=$AE68),"",IF(BL$3=$AD68,$F68&amp;"R",BL67))))</f>
        <v/>
      </c>
      <c r="BM68" s="11" t="str">
        <f aca="false">IF($P68=0,BM67,IF(BM$3=$E68,IF($AA68=1,$F68&amp;$AB68,$G68),IF(OR(BM$3=$D68,BM$3=$AC68,BM$3=$AE68),"",IF(BM$3=$AD68,$F68&amp;"R",BM67))))</f>
        <v/>
      </c>
      <c r="BN68" s="11" t="str">
        <f aca="false">IF($P68=0,BN67,IF(BN$3=$E68,IF($AA68=1,$F68&amp;$AB68,$G68),IF(OR(BN$3=$D68,BN$3=$AC68,BN$3=$AE68),"",IF(BN$3=$AD68,$F68&amp;"R",BN67))))</f>
        <v/>
      </c>
      <c r="BO68" s="11" t="str">
        <f aca="false">IF($P68=0,BO67,IF(BO$3=$E68,IF($AA68=1,$F68&amp;$AB68,$G68),IF(OR(BO$3=$D68,BO$3=$AC68,BO$3=$AE68),"",IF(BO$3=$AD68,$F68&amp;"R",BO67))))</f>
        <v/>
      </c>
      <c r="BP68" s="11" t="str">
        <f aca="false">IF($P68=0,BP67,IF(BP$3=$E68,IF($AA68=1,$F68&amp;$AB68,$G68),IF(OR(BP$3=$D68,BP$3=$AC68,BP$3=$AE68),"",IF(BP$3=$AD68,$F68&amp;"R",BP67))))</f>
        <v/>
      </c>
      <c r="BQ68" s="11" t="str">
        <f aca="false">IF($P68=0,BQ67,IF(BQ$3=$E68,IF($AA68=1,$F68&amp;$AB68,$G68),IF(OR(BQ$3=$D68,BQ$3=$AC68,BQ$3=$AE68),"",IF(BQ$3=$AD68,$F68&amp;"R",BQ67))))</f>
        <v/>
      </c>
      <c r="BR68" s="11" t="str">
        <f aca="false">IF($P68=0,BR67,IF(BR$3=$E68,IF($AA68=1,$F68&amp;$AB68,$G68),IF(OR(BR$3=$D68,BR$3=$AC68,BR$3=$AE68),"",IF(BR$3=$AD68,$F68&amp;"R",BR67))))</f>
        <v/>
      </c>
      <c r="BS68" s="11" t="str">
        <f aca="false">IF($P68=0,BS67,IF(BS$3=$E68,IF($AA68=1,$F68&amp;$AB68,$G68),IF(OR(BS$3=$D68,BS$3=$AC68,BS$3=$AE68),"",IF(BS$3=$AD68,$F68&amp;"R",BS67))))</f>
        <v/>
      </c>
      <c r="BT68" s="11" t="str">
        <f aca="false">IF($P68=0,BT67,IF(BT$3=$E68,IF($AA68=1,$F68&amp;$AB68,$G68),IF(OR(BT$3=$D68,BT$3=$AC68,BT$3=$AE68),"",IF(BT$3=$AD68,$F68&amp;"R",BT67))))</f>
        <v/>
      </c>
      <c r="BU68" s="11" t="str">
        <f aca="false">IF($P68=0,BU67,IF(BU$3=$E68,IF($AA68=1,$F68&amp;$AB68,$G68),IF(OR(BU$3=$D68,BU$3=$AC68,BU$3=$AE68),"",IF(BU$3=$AD68,$F68&amp;"R",BU67))))</f>
        <v/>
      </c>
      <c r="BV68" s="11" t="str">
        <f aca="false">IF($P68=0,BV67,IF(BV$3=$E68,IF($AA68=1,$F68&amp;$AB68,$G68),IF(OR(BV$3=$D68,BV$3=$AC68,BV$3=$AE68),"",IF(BV$3=$AD68,$F68&amp;"R",BV67))))</f>
        <v/>
      </c>
      <c r="BW68" s="11" t="str">
        <f aca="false">IF($P68=0,BW67,IF(BW$3=$E68,IF($AA68=1,$F68&amp;$AB68,$G68),IF(OR(BW$3=$D68,BW$3=$AC68,BW$3=$AE68),"",IF(BW$3=$AD68,$F68&amp;"R",BW67))))</f>
        <v/>
      </c>
      <c r="BX68" s="11" t="str">
        <f aca="false">IF($P68=0,BX67,IF(BX$3=$E68,IF($AA68=1,$F68&amp;$AB68,$G68),IF(OR(BX$3=$D68,BX$3=$AC68,BX$3=$AE68),"",IF(BX$3=$AD68,$F68&amp;"R",BX67))))</f>
        <v/>
      </c>
      <c r="BY68" s="11" t="str">
        <f aca="false">IF($P68=0,BY67,IF(BY$3=$E68,IF($AA68=1,$F68&amp;$AB68,$G68),IF(OR(BY$3=$D68,BY$3=$AC68,BY$3=$AE68),"",IF(BY$3=$AD68,$F68&amp;"R",BY67))))</f>
        <v/>
      </c>
      <c r="BZ68" s="11" t="str">
        <f aca="false">IF($P68=0,BZ67,IF(BZ$3=$E68,IF($AA68=1,$F68&amp;$AB68,$G68),IF(OR(BZ$3=$D68,BZ$3=$AC68,BZ$3=$AE68),"",IF(BZ$3=$AD68,$F68&amp;"R",BZ67))))</f>
        <v/>
      </c>
      <c r="CA68" s="11" t="str">
        <f aca="false">IF($P68=0,CA67,IF(CA$3=$E68,IF($AA68=1,$F68&amp;$AB68,$G68),IF(OR(CA$3=$D68,CA$3=$AC68,CA$3=$AE68),"",IF(CA$3=$AD68,$F68&amp;"R",CA67))))</f>
        <v/>
      </c>
      <c r="CB68" s="11" t="str">
        <f aca="false">IF($P68=0,CB67,IF(CB$3=$E68,IF($AA68=1,$F68&amp;$AB68,$G68),IF(OR(CB$3=$D68,CB$3=$AC68,CB$3=$AE68),"",IF(CB$3=$AD68,$F68&amp;"R",CB67))))</f>
        <v/>
      </c>
      <c r="CC68" s="11" t="str">
        <f aca="false">IF($P68=0,CC67,IF(CC$3=$E68,IF($AA68=1,$F68&amp;$AB68,$G68),IF(OR(CC$3=$D68,CC$3=$AC68,CC$3=$AE68),"",IF(CC$3=$AD68,$F68&amp;"R",CC67))))</f>
        <v/>
      </c>
      <c r="CD68" s="11" t="str">
        <f aca="false">IF($P68=0,CD67,IF(CD$3=$E68,IF($AA68=1,$F68&amp;$AB68,$G68),IF(OR(CD$3=$D68,CD$3=$AC68,CD$3=$AE68),"",IF(CD$3=$AD68,$F68&amp;"R",CD67))))</f>
        <v>bP</v>
      </c>
      <c r="CE68" s="11" t="str">
        <f aca="false">IF($P68=0,CE67,IF(CE$3=$E68,IF($AA68=1,$F68&amp;$AB68,$G68),IF(OR(CE$3=$D68,CE$3=$AC68,CE$3=$AE68),"",IF(CE$3=$AD68,$F68&amp;"R",CE67))))</f>
        <v>bP</v>
      </c>
      <c r="CF68" s="11" t="str">
        <f aca="false">IF($P68=0,CF67,IF(CF$3=$E68,IF($AA68=1,$F68&amp;$AB68,$G68),IF(OR(CF$3=$D68,CF$3=$AC68,CF$3=$AE68),"",IF(CF$3=$AD68,$F68&amp;"R",CF67))))</f>
        <v>bP</v>
      </c>
      <c r="CG68" s="11" t="str">
        <f aca="false">IF($P68=0,CG67,IF(CG$3=$E68,IF($AA68=1,$F68&amp;$AB68,$G68),IF(OR(CG$3=$D68,CG$3=$AC68,CG$3=$AE68),"",IF(CG$3=$AD68,$F68&amp;"R",CG67))))</f>
        <v>bP</v>
      </c>
      <c r="CH68" s="11" t="str">
        <f aca="false">IF($P68=0,CH67,IF(CH$3=$E68,IF($AA68=1,$F68&amp;$AB68,$G68),IF(OR(CH$3=$D68,CH$3=$AC68,CH$3=$AE68),"",IF(CH$3=$AD68,$F68&amp;"R",CH67))))</f>
        <v>bP</v>
      </c>
      <c r="CI68" s="11" t="str">
        <f aca="false">IF($P68=0,CI67,IF(CI$3=$E68,IF($AA68=1,$F68&amp;$AB68,$G68),IF(OR(CI$3=$D68,CI$3=$AC68,CI$3=$AE68),"",IF(CI$3=$AD68,$F68&amp;"R",CI67))))</f>
        <v>bP</v>
      </c>
      <c r="CJ68" s="11" t="str">
        <f aca="false">IF($P68=0,CJ67,IF(CJ$3=$E68,IF($AA68=1,$F68&amp;$AB68,$G68),IF(OR(CJ$3=$D68,CJ$3=$AC68,CJ$3=$AE68),"",IF(CJ$3=$AD68,$F68&amp;"R",CJ67))))</f>
        <v>bP</v>
      </c>
      <c r="CK68" s="11" t="str">
        <f aca="false">IF($P68=0,CK67,IF(CK$3=$E68,IF($AA68=1,$F68&amp;$AB68,$G68),IF(OR(CK$3=$D68,CK$3=$AC68,CK$3=$AE68),"",IF(CK$3=$AD68,$F68&amp;"R",CK67))))</f>
        <v>bP</v>
      </c>
      <c r="CL68" s="11" t="str">
        <f aca="false">IF($P68=0,CL67,IF(CL$3=$E68,IF($AA68=1,$F68&amp;$AB68,$G68),IF(OR(CL$3=$D68,CL$3=$AC68,CL$3=$AE68),"",IF(CL$3=$AD68,$F68&amp;"R",CL67))))</f>
        <v>bR</v>
      </c>
      <c r="CM68" s="11" t="str">
        <f aca="false">IF($P68=0,CM67,IF(CM$3=$E68,IF($AA68=1,$F68&amp;$AB68,$G68),IF(OR(CM$3=$D68,CM$3=$AC68,CM$3=$AE68),"",IF(CM$3=$AD68,$F68&amp;"R",CM67))))</f>
        <v>bN</v>
      </c>
      <c r="CN68" s="11" t="str">
        <f aca="false">IF($P68=0,CN67,IF(CN$3=$E68,IF($AA68=1,$F68&amp;$AB68,$G68),IF(OR(CN$3=$D68,CN$3=$AC68,CN$3=$AE68),"",IF(CN$3=$AD68,$F68&amp;"R",CN67))))</f>
        <v>bB</v>
      </c>
      <c r="CO68" s="11" t="str">
        <f aca="false">IF($P68=0,CO67,IF(CO$3=$E68,IF($AA68=1,$F68&amp;$AB68,$G68),IF(OR(CO$3=$D68,CO$3=$AC68,CO$3=$AE68),"",IF(CO$3=$AD68,$F68&amp;"R",CO67))))</f>
        <v>bQ</v>
      </c>
      <c r="CP68" s="11" t="str">
        <f aca="false">IF($P68=0,CP67,IF(CP$3=$E68,IF($AA68=1,$F68&amp;$AB68,$G68),IF(OR(CP$3=$D68,CP$3=$AC68,CP$3=$AE68),"",IF(CP$3=$AD68,$F68&amp;"R",CP67))))</f>
        <v>bK</v>
      </c>
      <c r="CQ68" s="11" t="str">
        <f aca="false">IF($P68=0,CQ67,IF(CQ$3=$E68,IF($AA68=1,$F68&amp;$AB68,$G68),IF(OR(CQ$3=$D68,CQ$3=$AC68,CQ$3=$AE68),"",IF(CQ$3=$AD68,$F68&amp;"R",CQ67))))</f>
        <v>bB</v>
      </c>
      <c r="CR68" s="11" t="str">
        <f aca="false">IF($P68=0,CR67,IF(CR$3=$E68,IF($AA68=1,$F68&amp;$AB68,$G68),IF(OR(CR$3=$D68,CR$3=$AC68,CR$3=$AE68),"",IF(CR$3=$AD68,$F68&amp;"R",CR67))))</f>
        <v>bN</v>
      </c>
      <c r="CS68" s="11" t="str">
        <f aca="false">IF($P68=0,CS67,IF(CS$3=$E68,IF($AA68=1,$F68&amp;$AB68,$G68),IF(OR(CS$3=$D68,CS$3=$AC68,CS$3=$AE68),"",IF(CS$3=$AD68,$F68&amp;"R",CS67))))</f>
        <v>bR</v>
      </c>
      <c r="CT68" s="11"/>
      <c r="CU68" s="11"/>
      <c r="CV68" s="11"/>
    </row>
    <row r="69" customFormat="false" ht="15" hidden="false" customHeight="false" outlineLevel="0" collapsed="false">
      <c r="A69" s="11" t="n">
        <v>64</v>
      </c>
      <c r="B69" s="11" t="str">
        <f aca="false">IF(Chess!$L$73="","",Chess!$L$73&amp;"")</f>
        <v/>
      </c>
      <c r="C69" s="11" t="str">
        <f aca="false">LOWER(SUBSTITUTE(SUBSTITUTE(SUBSTITUTE(SUBSTITUTE(TRIM($B69),"-",""),"=","")," ",""),"x",""))</f>
        <v/>
      </c>
      <c r="D69" s="11" t="n">
        <f aca="false">IF(LEN($C69)&lt;4,0,IFERROR(IF(AND(CODE(MID($C69,1,1))&gt;=97,CODE(MID($C69,1,1))&lt;=104,VALUE(MID($C69,2,1))&gt;=1,VALUE(MID($C69,2,1))&lt;=8),(VALUE(MID($C69,2,1))-1)*8+CODE(MID($C69,1,1))-96,0),0))</f>
        <v>0</v>
      </c>
      <c r="E69" s="11" t="n">
        <f aca="false">IF(LEN($C69)&lt;4,0,IFERROR(IF(AND(CODE(MID($C69,3,1))&gt;=97,CODE(MID($C69,3,1))&lt;=104,VALUE(MID($C69,4,1))&gt;=1,VALUE(MID($C69,4,1))&lt;=8),(VALUE(MID($C69,4,1))-1)*8+CODE(MID($C69,3,1))-96,0),0))</f>
        <v>0</v>
      </c>
      <c r="F69" s="11" t="str">
        <f aca="false">IF(MOD(SUM($P$5:$P68),2)=0,"w","b")</f>
        <v>w</v>
      </c>
      <c r="G69" s="11" t="str">
        <f aca="false">IF($D69=0,"",INDEX($AH68:$CS68,1,$D69)&amp;"")</f>
        <v/>
      </c>
      <c r="H69" s="11" t="str">
        <f aca="false">IF($E69=0,"",INDEX($AH68:$CS68,1,$E69)&amp;"")</f>
        <v/>
      </c>
      <c r="I69" s="11" t="n">
        <f aca="false">IF(OR($D69=0,$E69=0),0,MOD($E69-1,8)-MOD($D69-1,8))</f>
        <v>0</v>
      </c>
      <c r="J69" s="11" t="n">
        <f aca="false">IF(OR($D69=0,$E69=0),0,INT(($E69-1)/8)-INT(($D69-1)/8))</f>
        <v>0</v>
      </c>
      <c r="K69" s="11" t="str">
        <f aca="false">IF($G69="","",RIGHT($G69,1))</f>
        <v/>
      </c>
      <c r="L69" s="11" t="n">
        <f aca="false">IF(OR($D69=0,$E69=0),0,SUMPRODUCT(($AH$3:$CS$3&gt;MIN($D69,$E69))*($AH$3:$CS$3&lt;MAX($D69,$E69))*(MOD($AH$3:$CS$3-MIN($D69,$E69),MAX(1,ABS(SIGN($J69)*8+SIGN($I69))))=0)*($AH68:$CS68&lt;&gt;"")))</f>
        <v>0</v>
      </c>
      <c r="M69" s="11" t="n">
        <f aca="false">IF($K69&lt;&gt;"K",0,IFERROR(--AND($J69=0,ABS($I69)=2,$D69=IF($F69="w",5,61),IF($F69="w",$S68,$V68)=0,IF($I69=2,AND(IF($F69="w",$U68,$X68)=0,INDEX($AH68:$CS68,1,$D69+1)&amp;""="",INDEX($AH68:$CS68,1,$D69+2)&amp;""=""),AND(IF($F69="w",$T68,$W68)=0,INDEX($AH68:$CS68,1,$D69-1)&amp;""="",INDEX($AH68:$CS68,1,$D69-2)&amp;""="",INDEX($AH68:$CS68,1,$D69-3)&amp;""=""))),0))</f>
        <v>0</v>
      </c>
      <c r="N69" s="11" t="n">
        <f aca="false">IF($K69&lt;&gt;"P",0,IFERROR(--OR(AND($I69=0,$J69=IF($F69="w",1,-1),$H69=""),AND($I69=0,$J69=2*IF($F69="w",1,-1),$H69="",INT(($D69-1)/8)=IF($F69="w",1,6),INDEX($AH68:$CS68,1,MAX(1,MIN(64,$D69+8*IF($F69="w",1,-1))))&amp;""=""),AND(ABS($I69)=1,$J69=IF($F69="w",1,-1),$H69&lt;&gt;""),AND(ABS($I69)=1,$J69=IF($F69="w",1,-1),$H69="",$R68&gt;0,$E69=$R68)),0))</f>
        <v>0</v>
      </c>
      <c r="O69" s="11" t="n">
        <f aca="false">IF(OR($D69=0,$E69=0,$G69=""),0,IF($K69="N",--OR(AND(ABS($I69)=1,ABS($J69)=2),AND(ABS($I69)=2,ABS($J69)=1)),IF($K69="B",--AND(ABS($I69)=ABS($J69),$I69&lt;&gt;0,$L69=0),IF($K69="R",--AND(OR($I69=0,$J69=0),OR($I69&lt;&gt;0,$J69&lt;&gt;0),$L69=0),IF($K69="Q",--AND(OR(AND(ABS($I69)=ABS($J69),$I69&lt;&gt;0),AND(OR($I69=0,$J69=0),OR($I69&lt;&gt;0,$J69&lt;&gt;0))),$L69=0),IF($K69="K",--OR(MAX(ABS($I69),ABS($J69))=1,$M69=1),$N69))))))</f>
        <v>0</v>
      </c>
      <c r="P69" s="11" t="n">
        <f aca="false">IF($Q69="OK",1,0)</f>
        <v>0</v>
      </c>
      <c r="Q69" s="11" t="str">
        <f aca="false">IF($B69="","",IF(OR(COUNTIF($AH68:$CS68,"wK")=0,COUNTIF($AH68:$CS68,"bK")=0),"Game is over",IF(OR($D69=0,$E69=0),"Use the format e2e4",IF($G69="","No piece on that square",IF(LEFT($G69,1)&lt;&gt;$F69,"Not your piece ("&amp;IF($F69="w","White","Black")&amp;" to move)",IF($D69=$E69,"Piece must move",IF(AND($H69&lt;&gt;"",LEFT($H69,1)=$F69),"Cannot capture your own piece",IF($O69=0,"Illegal move for that piece (or path blocked)","OK"))))))))</f>
        <v/>
      </c>
      <c r="R69" s="11" t="n">
        <f aca="false">IF($P69=1,IF(AND($K69="P",ABS($J69)=2),($D69+$E69)/2,0),$R68)</f>
        <v>0</v>
      </c>
      <c r="S69" s="12" t="b">
        <f aca="false">--OR($S68=1,AND($P69=1,OR($D69=5,$E69=5)))</f>
        <v>0</v>
      </c>
      <c r="T69" s="12" t="b">
        <f aca="false">--OR($T68=1,AND($P69=1,OR($D69=1,$E69=1)))</f>
        <v>0</v>
      </c>
      <c r="U69" s="12" t="b">
        <f aca="false">--OR($U68=1,AND($P69=1,OR($D69=8,$E69=8)))</f>
        <v>0</v>
      </c>
      <c r="V69" s="12" t="b">
        <f aca="false">--OR($V68=1,AND($P69=1,OR($D69=61,$E69=61)))</f>
        <v>0</v>
      </c>
      <c r="W69" s="12" t="b">
        <f aca="false">--OR($W68=1,AND($P69=1,OR($D69=57,$E69=57)))</f>
        <v>0</v>
      </c>
      <c r="X69" s="12" t="b">
        <f aca="false">--OR($X68=1,AND($P69=1,OR($D69=64,$E69=64)))</f>
        <v>0</v>
      </c>
      <c r="Y69" s="12" t="b">
        <f aca="false">--AND($P69=1,$K69="K",ABS($I69)=2)</f>
        <v>0</v>
      </c>
      <c r="Z69" s="12" t="b">
        <f aca="false">--AND($P69=1,$K69="P",ABS($I69)=1,$H69="")</f>
        <v>0</v>
      </c>
      <c r="AA69" s="12" t="b">
        <f aca="false">--AND($P69=1,$K69="P",INT(($E69-1)/8)=IF($F69="w",7,0))</f>
        <v>0</v>
      </c>
      <c r="AB69" s="11" t="str">
        <f aca="false">IF(LEN($C69)&gt;=5,IF(ISNUMBER(FIND(MID($C69,5,1),"qrbn")),UPPER(MID($C69,5,1)),"Q"),"Q")</f>
        <v>Q</v>
      </c>
      <c r="AC69" s="11" t="n">
        <f aca="false">IF($Y69=1,IF($I69=2,$D69+3,$D69-4),0)</f>
        <v>0</v>
      </c>
      <c r="AD69" s="11" t="n">
        <f aca="false">IF($Y69=1,IF($I69=2,$D69+1,$D69-1),0)</f>
        <v>0</v>
      </c>
      <c r="AE69" s="11" t="n">
        <f aca="false">IF($Z69=1,$E69-8*IF($F69="w",1,-1),0)</f>
        <v>0</v>
      </c>
      <c r="AF69" s="11" t="str">
        <f aca="false">IF($B69="","",IF($P69=1,LOWER(INDEX($CV$2:$CV$13,MATCH($G69,$CU$2:$CU$13,0)))&amp;" "&amp;MID("abcdefgh",MOD($D69-1,8)+1,1)&amp;(INT(($D69-1)/8)+1)&amp;"→"&amp;MID("abcdefgh",MOD($E69-1,8)+1,1)&amp;(INT(($E69-1)/8)+1)&amp;IF(OR($H69&lt;&gt;"",$Z69=1)," ×","")&amp;IF($Y69=1," castles","")&amp;IF($Z69=1," e.p.","")&amp;IF($AA69=1," =" &amp;LOWER(INDEX($CV$2:$CV$13,MATCH($F69&amp;$AB69,$CU$2:$CU$13,0))),""),"X "&amp;$Q69))</f>
        <v/>
      </c>
      <c r="AG69" s="11"/>
      <c r="AH69" s="11" t="str">
        <f aca="false">IF($P69=0,AH68,IF(AH$3=$E69,IF($AA69=1,$F69&amp;$AB69,$G69),IF(OR(AH$3=$D69,AH$3=$AC69,AH$3=$AE69),"",IF(AH$3=$AD69,$F69&amp;"R",AH68))))</f>
        <v>wR</v>
      </c>
      <c r="AI69" s="11" t="str">
        <f aca="false">IF($P69=0,AI68,IF(AI$3=$E69,IF($AA69=1,$F69&amp;$AB69,$G69),IF(OR(AI$3=$D69,AI$3=$AC69,AI$3=$AE69),"",IF(AI$3=$AD69,$F69&amp;"R",AI68))))</f>
        <v>wN</v>
      </c>
      <c r="AJ69" s="11" t="str">
        <f aca="false">IF($P69=0,AJ68,IF(AJ$3=$E69,IF($AA69=1,$F69&amp;$AB69,$G69),IF(OR(AJ$3=$D69,AJ$3=$AC69,AJ$3=$AE69),"",IF(AJ$3=$AD69,$F69&amp;"R",AJ68))))</f>
        <v>wB</v>
      </c>
      <c r="AK69" s="11" t="str">
        <f aca="false">IF($P69=0,AK68,IF(AK$3=$E69,IF($AA69=1,$F69&amp;$AB69,$G69),IF(OR(AK$3=$D69,AK$3=$AC69,AK$3=$AE69),"",IF(AK$3=$AD69,$F69&amp;"R",AK68))))</f>
        <v>wQ</v>
      </c>
      <c r="AL69" s="11" t="str">
        <f aca="false">IF($P69=0,AL68,IF(AL$3=$E69,IF($AA69=1,$F69&amp;$AB69,$G69),IF(OR(AL$3=$D69,AL$3=$AC69,AL$3=$AE69),"",IF(AL$3=$AD69,$F69&amp;"R",AL68))))</f>
        <v>wK</v>
      </c>
      <c r="AM69" s="11" t="str">
        <f aca="false">IF($P69=0,AM68,IF(AM$3=$E69,IF($AA69=1,$F69&amp;$AB69,$G69),IF(OR(AM$3=$D69,AM$3=$AC69,AM$3=$AE69),"",IF(AM$3=$AD69,$F69&amp;"R",AM68))))</f>
        <v>wB</v>
      </c>
      <c r="AN69" s="11" t="str">
        <f aca="false">IF($P69=0,AN68,IF(AN$3=$E69,IF($AA69=1,$F69&amp;$AB69,$G69),IF(OR(AN$3=$D69,AN$3=$AC69,AN$3=$AE69),"",IF(AN$3=$AD69,$F69&amp;"R",AN68))))</f>
        <v>wN</v>
      </c>
      <c r="AO69" s="11" t="str">
        <f aca="false">IF($P69=0,AO68,IF(AO$3=$E69,IF($AA69=1,$F69&amp;$AB69,$G69),IF(OR(AO$3=$D69,AO$3=$AC69,AO$3=$AE69),"",IF(AO$3=$AD69,$F69&amp;"R",AO68))))</f>
        <v>wR</v>
      </c>
      <c r="AP69" s="11" t="str">
        <f aca="false">IF($P69=0,AP68,IF(AP$3=$E69,IF($AA69=1,$F69&amp;$AB69,$G69),IF(OR(AP$3=$D69,AP$3=$AC69,AP$3=$AE69),"",IF(AP$3=$AD69,$F69&amp;"R",AP68))))</f>
        <v>wP</v>
      </c>
      <c r="AQ69" s="11" t="str">
        <f aca="false">IF($P69=0,AQ68,IF(AQ$3=$E69,IF($AA69=1,$F69&amp;$AB69,$G69),IF(OR(AQ$3=$D69,AQ$3=$AC69,AQ$3=$AE69),"",IF(AQ$3=$AD69,$F69&amp;"R",AQ68))))</f>
        <v>wP</v>
      </c>
      <c r="AR69" s="11" t="str">
        <f aca="false">IF($P69=0,AR68,IF(AR$3=$E69,IF($AA69=1,$F69&amp;$AB69,$G69),IF(OR(AR$3=$D69,AR$3=$AC69,AR$3=$AE69),"",IF(AR$3=$AD69,$F69&amp;"R",AR68))))</f>
        <v>wP</v>
      </c>
      <c r="AS69" s="11" t="str">
        <f aca="false">IF($P69=0,AS68,IF(AS$3=$E69,IF($AA69=1,$F69&amp;$AB69,$G69),IF(OR(AS$3=$D69,AS$3=$AC69,AS$3=$AE69),"",IF(AS$3=$AD69,$F69&amp;"R",AS68))))</f>
        <v>wP</v>
      </c>
      <c r="AT69" s="11" t="str">
        <f aca="false">IF($P69=0,AT68,IF(AT$3=$E69,IF($AA69=1,$F69&amp;$AB69,$G69),IF(OR(AT$3=$D69,AT$3=$AC69,AT$3=$AE69),"",IF(AT$3=$AD69,$F69&amp;"R",AT68))))</f>
        <v>wP</v>
      </c>
      <c r="AU69" s="11" t="str">
        <f aca="false">IF($P69=0,AU68,IF(AU$3=$E69,IF($AA69=1,$F69&amp;$AB69,$G69),IF(OR(AU$3=$D69,AU$3=$AC69,AU$3=$AE69),"",IF(AU$3=$AD69,$F69&amp;"R",AU68))))</f>
        <v>wP</v>
      </c>
      <c r="AV69" s="11" t="str">
        <f aca="false">IF($P69=0,AV68,IF(AV$3=$E69,IF($AA69=1,$F69&amp;$AB69,$G69),IF(OR(AV$3=$D69,AV$3=$AC69,AV$3=$AE69),"",IF(AV$3=$AD69,$F69&amp;"R",AV68))))</f>
        <v>wP</v>
      </c>
      <c r="AW69" s="11" t="str">
        <f aca="false">IF($P69=0,AW68,IF(AW$3=$E69,IF($AA69=1,$F69&amp;$AB69,$G69),IF(OR(AW$3=$D69,AW$3=$AC69,AW$3=$AE69),"",IF(AW$3=$AD69,$F69&amp;"R",AW68))))</f>
        <v>wP</v>
      </c>
      <c r="AX69" s="11" t="str">
        <f aca="false">IF($P69=0,AX68,IF(AX$3=$E69,IF($AA69=1,$F69&amp;$AB69,$G69),IF(OR(AX$3=$D69,AX$3=$AC69,AX$3=$AE69),"",IF(AX$3=$AD69,$F69&amp;"R",AX68))))</f>
        <v/>
      </c>
      <c r="AY69" s="11" t="str">
        <f aca="false">IF($P69=0,AY68,IF(AY$3=$E69,IF($AA69=1,$F69&amp;$AB69,$G69),IF(OR(AY$3=$D69,AY$3=$AC69,AY$3=$AE69),"",IF(AY$3=$AD69,$F69&amp;"R",AY68))))</f>
        <v/>
      </c>
      <c r="AZ69" s="11" t="str">
        <f aca="false">IF($P69=0,AZ68,IF(AZ$3=$E69,IF($AA69=1,$F69&amp;$AB69,$G69),IF(OR(AZ$3=$D69,AZ$3=$AC69,AZ$3=$AE69),"",IF(AZ$3=$AD69,$F69&amp;"R",AZ68))))</f>
        <v/>
      </c>
      <c r="BA69" s="11" t="str">
        <f aca="false">IF($P69=0,BA68,IF(BA$3=$E69,IF($AA69=1,$F69&amp;$AB69,$G69),IF(OR(BA$3=$D69,BA$3=$AC69,BA$3=$AE69),"",IF(BA$3=$AD69,$F69&amp;"R",BA68))))</f>
        <v/>
      </c>
      <c r="BB69" s="11" t="str">
        <f aca="false">IF($P69=0,BB68,IF(BB$3=$E69,IF($AA69=1,$F69&amp;$AB69,$G69),IF(OR(BB$3=$D69,BB$3=$AC69,BB$3=$AE69),"",IF(BB$3=$AD69,$F69&amp;"R",BB68))))</f>
        <v/>
      </c>
      <c r="BC69" s="11" t="str">
        <f aca="false">IF($P69=0,BC68,IF(BC$3=$E69,IF($AA69=1,$F69&amp;$AB69,$G69),IF(OR(BC$3=$D69,BC$3=$AC69,BC$3=$AE69),"",IF(BC$3=$AD69,$F69&amp;"R",BC68))))</f>
        <v/>
      </c>
      <c r="BD69" s="11" t="str">
        <f aca="false">IF($P69=0,BD68,IF(BD$3=$E69,IF($AA69=1,$F69&amp;$AB69,$G69),IF(OR(BD$3=$D69,BD$3=$AC69,BD$3=$AE69),"",IF(BD$3=$AD69,$F69&amp;"R",BD68))))</f>
        <v/>
      </c>
      <c r="BE69" s="11" t="str">
        <f aca="false">IF($P69=0,BE68,IF(BE$3=$E69,IF($AA69=1,$F69&amp;$AB69,$G69),IF(OR(BE$3=$D69,BE$3=$AC69,BE$3=$AE69),"",IF(BE$3=$AD69,$F69&amp;"R",BE68))))</f>
        <v/>
      </c>
      <c r="BF69" s="11" t="str">
        <f aca="false">IF($P69=0,BF68,IF(BF$3=$E69,IF($AA69=1,$F69&amp;$AB69,$G69),IF(OR(BF$3=$D69,BF$3=$AC69,BF$3=$AE69),"",IF(BF$3=$AD69,$F69&amp;"R",BF68))))</f>
        <v/>
      </c>
      <c r="BG69" s="11" t="str">
        <f aca="false">IF($P69=0,BG68,IF(BG$3=$E69,IF($AA69=1,$F69&amp;$AB69,$G69),IF(OR(BG$3=$D69,BG$3=$AC69,BG$3=$AE69),"",IF(BG$3=$AD69,$F69&amp;"R",BG68))))</f>
        <v/>
      </c>
      <c r="BH69" s="11" t="str">
        <f aca="false">IF($P69=0,BH68,IF(BH$3=$E69,IF($AA69=1,$F69&amp;$AB69,$G69),IF(OR(BH$3=$D69,BH$3=$AC69,BH$3=$AE69),"",IF(BH$3=$AD69,$F69&amp;"R",BH68))))</f>
        <v/>
      </c>
      <c r="BI69" s="11" t="str">
        <f aca="false">IF($P69=0,BI68,IF(BI$3=$E69,IF($AA69=1,$F69&amp;$AB69,$G69),IF(OR(BI$3=$D69,BI$3=$AC69,BI$3=$AE69),"",IF(BI$3=$AD69,$F69&amp;"R",BI68))))</f>
        <v/>
      </c>
      <c r="BJ69" s="11" t="str">
        <f aca="false">IF($P69=0,BJ68,IF(BJ$3=$E69,IF($AA69=1,$F69&amp;$AB69,$G69),IF(OR(BJ$3=$D69,BJ$3=$AC69,BJ$3=$AE69),"",IF(BJ$3=$AD69,$F69&amp;"R",BJ68))))</f>
        <v/>
      </c>
      <c r="BK69" s="11" t="str">
        <f aca="false">IF($P69=0,BK68,IF(BK$3=$E69,IF($AA69=1,$F69&amp;$AB69,$G69),IF(OR(BK$3=$D69,BK$3=$AC69,BK$3=$AE69),"",IF(BK$3=$AD69,$F69&amp;"R",BK68))))</f>
        <v/>
      </c>
      <c r="BL69" s="11" t="str">
        <f aca="false">IF($P69=0,BL68,IF(BL$3=$E69,IF($AA69=1,$F69&amp;$AB69,$G69),IF(OR(BL$3=$D69,BL$3=$AC69,BL$3=$AE69),"",IF(BL$3=$AD69,$F69&amp;"R",BL68))))</f>
        <v/>
      </c>
      <c r="BM69" s="11" t="str">
        <f aca="false">IF($P69=0,BM68,IF(BM$3=$E69,IF($AA69=1,$F69&amp;$AB69,$G69),IF(OR(BM$3=$D69,BM$3=$AC69,BM$3=$AE69),"",IF(BM$3=$AD69,$F69&amp;"R",BM68))))</f>
        <v/>
      </c>
      <c r="BN69" s="11" t="str">
        <f aca="false">IF($P69=0,BN68,IF(BN$3=$E69,IF($AA69=1,$F69&amp;$AB69,$G69),IF(OR(BN$3=$D69,BN$3=$AC69,BN$3=$AE69),"",IF(BN$3=$AD69,$F69&amp;"R",BN68))))</f>
        <v/>
      </c>
      <c r="BO69" s="11" t="str">
        <f aca="false">IF($P69=0,BO68,IF(BO$3=$E69,IF($AA69=1,$F69&amp;$AB69,$G69),IF(OR(BO$3=$D69,BO$3=$AC69,BO$3=$AE69),"",IF(BO$3=$AD69,$F69&amp;"R",BO68))))</f>
        <v/>
      </c>
      <c r="BP69" s="11" t="str">
        <f aca="false">IF($P69=0,BP68,IF(BP$3=$E69,IF($AA69=1,$F69&amp;$AB69,$G69),IF(OR(BP$3=$D69,BP$3=$AC69,BP$3=$AE69),"",IF(BP$3=$AD69,$F69&amp;"R",BP68))))</f>
        <v/>
      </c>
      <c r="BQ69" s="11" t="str">
        <f aca="false">IF($P69=0,BQ68,IF(BQ$3=$E69,IF($AA69=1,$F69&amp;$AB69,$G69),IF(OR(BQ$3=$D69,BQ$3=$AC69,BQ$3=$AE69),"",IF(BQ$3=$AD69,$F69&amp;"R",BQ68))))</f>
        <v/>
      </c>
      <c r="BR69" s="11" t="str">
        <f aca="false">IF($P69=0,BR68,IF(BR$3=$E69,IF($AA69=1,$F69&amp;$AB69,$G69),IF(OR(BR$3=$D69,BR$3=$AC69,BR$3=$AE69),"",IF(BR$3=$AD69,$F69&amp;"R",BR68))))</f>
        <v/>
      </c>
      <c r="BS69" s="11" t="str">
        <f aca="false">IF($P69=0,BS68,IF(BS$3=$E69,IF($AA69=1,$F69&amp;$AB69,$G69),IF(OR(BS$3=$D69,BS$3=$AC69,BS$3=$AE69),"",IF(BS$3=$AD69,$F69&amp;"R",BS68))))</f>
        <v/>
      </c>
      <c r="BT69" s="11" t="str">
        <f aca="false">IF($P69=0,BT68,IF(BT$3=$E69,IF($AA69=1,$F69&amp;$AB69,$G69),IF(OR(BT$3=$D69,BT$3=$AC69,BT$3=$AE69),"",IF(BT$3=$AD69,$F69&amp;"R",BT68))))</f>
        <v/>
      </c>
      <c r="BU69" s="11" t="str">
        <f aca="false">IF($P69=0,BU68,IF(BU$3=$E69,IF($AA69=1,$F69&amp;$AB69,$G69),IF(OR(BU$3=$D69,BU$3=$AC69,BU$3=$AE69),"",IF(BU$3=$AD69,$F69&amp;"R",BU68))))</f>
        <v/>
      </c>
      <c r="BV69" s="11" t="str">
        <f aca="false">IF($P69=0,BV68,IF(BV$3=$E69,IF($AA69=1,$F69&amp;$AB69,$G69),IF(OR(BV$3=$D69,BV$3=$AC69,BV$3=$AE69),"",IF(BV$3=$AD69,$F69&amp;"R",BV68))))</f>
        <v/>
      </c>
      <c r="BW69" s="11" t="str">
        <f aca="false">IF($P69=0,BW68,IF(BW$3=$E69,IF($AA69=1,$F69&amp;$AB69,$G69),IF(OR(BW$3=$D69,BW$3=$AC69,BW$3=$AE69),"",IF(BW$3=$AD69,$F69&amp;"R",BW68))))</f>
        <v/>
      </c>
      <c r="BX69" s="11" t="str">
        <f aca="false">IF($P69=0,BX68,IF(BX$3=$E69,IF($AA69=1,$F69&amp;$AB69,$G69),IF(OR(BX$3=$D69,BX$3=$AC69,BX$3=$AE69),"",IF(BX$3=$AD69,$F69&amp;"R",BX68))))</f>
        <v/>
      </c>
      <c r="BY69" s="11" t="str">
        <f aca="false">IF($P69=0,BY68,IF(BY$3=$E69,IF($AA69=1,$F69&amp;$AB69,$G69),IF(OR(BY$3=$D69,BY$3=$AC69,BY$3=$AE69),"",IF(BY$3=$AD69,$F69&amp;"R",BY68))))</f>
        <v/>
      </c>
      <c r="BZ69" s="11" t="str">
        <f aca="false">IF($P69=0,BZ68,IF(BZ$3=$E69,IF($AA69=1,$F69&amp;$AB69,$G69),IF(OR(BZ$3=$D69,BZ$3=$AC69,BZ$3=$AE69),"",IF(BZ$3=$AD69,$F69&amp;"R",BZ68))))</f>
        <v/>
      </c>
      <c r="CA69" s="11" t="str">
        <f aca="false">IF($P69=0,CA68,IF(CA$3=$E69,IF($AA69=1,$F69&amp;$AB69,$G69),IF(OR(CA$3=$D69,CA$3=$AC69,CA$3=$AE69),"",IF(CA$3=$AD69,$F69&amp;"R",CA68))))</f>
        <v/>
      </c>
      <c r="CB69" s="11" t="str">
        <f aca="false">IF($P69=0,CB68,IF(CB$3=$E69,IF($AA69=1,$F69&amp;$AB69,$G69),IF(OR(CB$3=$D69,CB$3=$AC69,CB$3=$AE69),"",IF(CB$3=$AD69,$F69&amp;"R",CB68))))</f>
        <v/>
      </c>
      <c r="CC69" s="11" t="str">
        <f aca="false">IF($P69=0,CC68,IF(CC$3=$E69,IF($AA69=1,$F69&amp;$AB69,$G69),IF(OR(CC$3=$D69,CC$3=$AC69,CC$3=$AE69),"",IF(CC$3=$AD69,$F69&amp;"R",CC68))))</f>
        <v/>
      </c>
      <c r="CD69" s="11" t="str">
        <f aca="false">IF($P69=0,CD68,IF(CD$3=$E69,IF($AA69=1,$F69&amp;$AB69,$G69),IF(OR(CD$3=$D69,CD$3=$AC69,CD$3=$AE69),"",IF(CD$3=$AD69,$F69&amp;"R",CD68))))</f>
        <v>bP</v>
      </c>
      <c r="CE69" s="11" t="str">
        <f aca="false">IF($P69=0,CE68,IF(CE$3=$E69,IF($AA69=1,$F69&amp;$AB69,$G69),IF(OR(CE$3=$D69,CE$3=$AC69,CE$3=$AE69),"",IF(CE$3=$AD69,$F69&amp;"R",CE68))))</f>
        <v>bP</v>
      </c>
      <c r="CF69" s="11" t="str">
        <f aca="false">IF($P69=0,CF68,IF(CF$3=$E69,IF($AA69=1,$F69&amp;$AB69,$G69),IF(OR(CF$3=$D69,CF$3=$AC69,CF$3=$AE69),"",IF(CF$3=$AD69,$F69&amp;"R",CF68))))</f>
        <v>bP</v>
      </c>
      <c r="CG69" s="11" t="str">
        <f aca="false">IF($P69=0,CG68,IF(CG$3=$E69,IF($AA69=1,$F69&amp;$AB69,$G69),IF(OR(CG$3=$D69,CG$3=$AC69,CG$3=$AE69),"",IF(CG$3=$AD69,$F69&amp;"R",CG68))))</f>
        <v>bP</v>
      </c>
      <c r="CH69" s="11" t="str">
        <f aca="false">IF($P69=0,CH68,IF(CH$3=$E69,IF($AA69=1,$F69&amp;$AB69,$G69),IF(OR(CH$3=$D69,CH$3=$AC69,CH$3=$AE69),"",IF(CH$3=$AD69,$F69&amp;"R",CH68))))</f>
        <v>bP</v>
      </c>
      <c r="CI69" s="11" t="str">
        <f aca="false">IF($P69=0,CI68,IF(CI$3=$E69,IF($AA69=1,$F69&amp;$AB69,$G69),IF(OR(CI$3=$D69,CI$3=$AC69,CI$3=$AE69),"",IF(CI$3=$AD69,$F69&amp;"R",CI68))))</f>
        <v>bP</v>
      </c>
      <c r="CJ69" s="11" t="str">
        <f aca="false">IF($P69=0,CJ68,IF(CJ$3=$E69,IF($AA69=1,$F69&amp;$AB69,$G69),IF(OR(CJ$3=$D69,CJ$3=$AC69,CJ$3=$AE69),"",IF(CJ$3=$AD69,$F69&amp;"R",CJ68))))</f>
        <v>bP</v>
      </c>
      <c r="CK69" s="11" t="str">
        <f aca="false">IF($P69=0,CK68,IF(CK$3=$E69,IF($AA69=1,$F69&amp;$AB69,$G69),IF(OR(CK$3=$D69,CK$3=$AC69,CK$3=$AE69),"",IF(CK$3=$AD69,$F69&amp;"R",CK68))))</f>
        <v>bP</v>
      </c>
      <c r="CL69" s="11" t="str">
        <f aca="false">IF($P69=0,CL68,IF(CL$3=$E69,IF($AA69=1,$F69&amp;$AB69,$G69),IF(OR(CL$3=$D69,CL$3=$AC69,CL$3=$AE69),"",IF(CL$3=$AD69,$F69&amp;"R",CL68))))</f>
        <v>bR</v>
      </c>
      <c r="CM69" s="11" t="str">
        <f aca="false">IF($P69=0,CM68,IF(CM$3=$E69,IF($AA69=1,$F69&amp;$AB69,$G69),IF(OR(CM$3=$D69,CM$3=$AC69,CM$3=$AE69),"",IF(CM$3=$AD69,$F69&amp;"R",CM68))))</f>
        <v>bN</v>
      </c>
      <c r="CN69" s="11" t="str">
        <f aca="false">IF($P69=0,CN68,IF(CN$3=$E69,IF($AA69=1,$F69&amp;$AB69,$G69),IF(OR(CN$3=$D69,CN$3=$AC69,CN$3=$AE69),"",IF(CN$3=$AD69,$F69&amp;"R",CN68))))</f>
        <v>bB</v>
      </c>
      <c r="CO69" s="11" t="str">
        <f aca="false">IF($P69=0,CO68,IF(CO$3=$E69,IF($AA69=1,$F69&amp;$AB69,$G69),IF(OR(CO$3=$D69,CO$3=$AC69,CO$3=$AE69),"",IF(CO$3=$AD69,$F69&amp;"R",CO68))))</f>
        <v>bQ</v>
      </c>
      <c r="CP69" s="11" t="str">
        <f aca="false">IF($P69=0,CP68,IF(CP$3=$E69,IF($AA69=1,$F69&amp;$AB69,$G69),IF(OR(CP$3=$D69,CP$3=$AC69,CP$3=$AE69),"",IF(CP$3=$AD69,$F69&amp;"R",CP68))))</f>
        <v>bK</v>
      </c>
      <c r="CQ69" s="11" t="str">
        <f aca="false">IF($P69=0,CQ68,IF(CQ$3=$E69,IF($AA69=1,$F69&amp;$AB69,$G69),IF(OR(CQ$3=$D69,CQ$3=$AC69,CQ$3=$AE69),"",IF(CQ$3=$AD69,$F69&amp;"R",CQ68))))</f>
        <v>bB</v>
      </c>
      <c r="CR69" s="11" t="str">
        <f aca="false">IF($P69=0,CR68,IF(CR$3=$E69,IF($AA69=1,$F69&amp;$AB69,$G69),IF(OR(CR$3=$D69,CR$3=$AC69,CR$3=$AE69),"",IF(CR$3=$AD69,$F69&amp;"R",CR68))))</f>
        <v>bN</v>
      </c>
      <c r="CS69" s="11" t="str">
        <f aca="false">IF($P69=0,CS68,IF(CS$3=$E69,IF($AA69=1,$F69&amp;$AB69,$G69),IF(OR(CS$3=$D69,CS$3=$AC69,CS$3=$AE69),"",IF(CS$3=$AD69,$F69&amp;"R",CS68))))</f>
        <v>bR</v>
      </c>
      <c r="CT69" s="11"/>
      <c r="CU69" s="11"/>
      <c r="CV69" s="11"/>
    </row>
    <row r="70" customFormat="false" ht="15" hidden="false" customHeight="false" outlineLevel="0" collapsed="false">
      <c r="A70" s="11" t="n">
        <v>65</v>
      </c>
      <c r="B70" s="11" t="str">
        <f aca="false">IF(Chess!$L$74="","",Chess!$L$74&amp;"")</f>
        <v/>
      </c>
      <c r="C70" s="11" t="str">
        <f aca="false">LOWER(SUBSTITUTE(SUBSTITUTE(SUBSTITUTE(SUBSTITUTE(TRIM($B70),"-",""),"=","")," ",""),"x",""))</f>
        <v/>
      </c>
      <c r="D70" s="11" t="n">
        <f aca="false">IF(LEN($C70)&lt;4,0,IFERROR(IF(AND(CODE(MID($C70,1,1))&gt;=97,CODE(MID($C70,1,1))&lt;=104,VALUE(MID($C70,2,1))&gt;=1,VALUE(MID($C70,2,1))&lt;=8),(VALUE(MID($C70,2,1))-1)*8+CODE(MID($C70,1,1))-96,0),0))</f>
        <v>0</v>
      </c>
      <c r="E70" s="11" t="n">
        <f aca="false">IF(LEN($C70)&lt;4,0,IFERROR(IF(AND(CODE(MID($C70,3,1))&gt;=97,CODE(MID($C70,3,1))&lt;=104,VALUE(MID($C70,4,1))&gt;=1,VALUE(MID($C70,4,1))&lt;=8),(VALUE(MID($C70,4,1))-1)*8+CODE(MID($C70,3,1))-96,0),0))</f>
        <v>0</v>
      </c>
      <c r="F70" s="11" t="str">
        <f aca="false">IF(MOD(SUM($P$5:$P69),2)=0,"w","b")</f>
        <v>w</v>
      </c>
      <c r="G70" s="11" t="str">
        <f aca="false">IF($D70=0,"",INDEX($AH69:$CS69,1,$D70)&amp;"")</f>
        <v/>
      </c>
      <c r="H70" s="11" t="str">
        <f aca="false">IF($E70=0,"",INDEX($AH69:$CS69,1,$E70)&amp;"")</f>
        <v/>
      </c>
      <c r="I70" s="11" t="n">
        <f aca="false">IF(OR($D70=0,$E70=0),0,MOD($E70-1,8)-MOD($D70-1,8))</f>
        <v>0</v>
      </c>
      <c r="J70" s="11" t="n">
        <f aca="false">IF(OR($D70=0,$E70=0),0,INT(($E70-1)/8)-INT(($D70-1)/8))</f>
        <v>0</v>
      </c>
      <c r="K70" s="11" t="str">
        <f aca="false">IF($G70="","",RIGHT($G70,1))</f>
        <v/>
      </c>
      <c r="L70" s="11" t="n">
        <f aca="false">IF(OR($D70=0,$E70=0),0,SUMPRODUCT(($AH$3:$CS$3&gt;MIN($D70,$E70))*($AH$3:$CS$3&lt;MAX($D70,$E70))*(MOD($AH$3:$CS$3-MIN($D70,$E70),MAX(1,ABS(SIGN($J70)*8+SIGN($I70))))=0)*($AH69:$CS69&lt;&gt;"")))</f>
        <v>0</v>
      </c>
      <c r="M70" s="11" t="n">
        <f aca="false">IF($K70&lt;&gt;"K",0,IFERROR(--AND($J70=0,ABS($I70)=2,$D70=IF($F70="w",5,61),IF($F70="w",$S69,$V69)=0,IF($I70=2,AND(IF($F70="w",$U69,$X69)=0,INDEX($AH69:$CS69,1,$D70+1)&amp;""="",INDEX($AH69:$CS69,1,$D70+2)&amp;""=""),AND(IF($F70="w",$T69,$W69)=0,INDEX($AH69:$CS69,1,$D70-1)&amp;""="",INDEX($AH69:$CS69,1,$D70-2)&amp;""="",INDEX($AH69:$CS69,1,$D70-3)&amp;""=""))),0))</f>
        <v>0</v>
      </c>
      <c r="N70" s="11" t="n">
        <f aca="false">IF($K70&lt;&gt;"P",0,IFERROR(--OR(AND($I70=0,$J70=IF($F70="w",1,-1),$H70=""),AND($I70=0,$J70=2*IF($F70="w",1,-1),$H70="",INT(($D70-1)/8)=IF($F70="w",1,6),INDEX($AH69:$CS69,1,MAX(1,MIN(64,$D70+8*IF($F70="w",1,-1))))&amp;""=""),AND(ABS($I70)=1,$J70=IF($F70="w",1,-1),$H70&lt;&gt;""),AND(ABS($I70)=1,$J70=IF($F70="w",1,-1),$H70="",$R69&gt;0,$E70=$R69)),0))</f>
        <v>0</v>
      </c>
      <c r="O70" s="11" t="n">
        <f aca="false">IF(OR($D70=0,$E70=0,$G70=""),0,IF($K70="N",--OR(AND(ABS($I70)=1,ABS($J70)=2),AND(ABS($I70)=2,ABS($J70)=1)),IF($K70="B",--AND(ABS($I70)=ABS($J70),$I70&lt;&gt;0,$L70=0),IF($K70="R",--AND(OR($I70=0,$J70=0),OR($I70&lt;&gt;0,$J70&lt;&gt;0),$L70=0),IF($K70="Q",--AND(OR(AND(ABS($I70)=ABS($J70),$I70&lt;&gt;0),AND(OR($I70=0,$J70=0),OR($I70&lt;&gt;0,$J70&lt;&gt;0))),$L70=0),IF($K70="K",--OR(MAX(ABS($I70),ABS($J70))=1,$M70=1),$N70))))))</f>
        <v>0</v>
      </c>
      <c r="P70" s="11" t="n">
        <f aca="false">IF($Q70="OK",1,0)</f>
        <v>0</v>
      </c>
      <c r="Q70" s="11" t="str">
        <f aca="false">IF($B70="","",IF(OR(COUNTIF($AH69:$CS69,"wK")=0,COUNTIF($AH69:$CS69,"bK")=0),"Game is over",IF(OR($D70=0,$E70=0),"Use the format e2e4",IF($G70="","No piece on that square",IF(LEFT($G70,1)&lt;&gt;$F70,"Not your piece ("&amp;IF($F70="w","White","Black")&amp;" to move)",IF($D70=$E70,"Piece must move",IF(AND($H70&lt;&gt;"",LEFT($H70,1)=$F70),"Cannot capture your own piece",IF($O70=0,"Illegal move for that piece (or path blocked)","OK"))))))))</f>
        <v/>
      </c>
      <c r="R70" s="11" t="n">
        <f aca="false">IF($P70=1,IF(AND($K70="P",ABS($J70)=2),($D70+$E70)/2,0),$R69)</f>
        <v>0</v>
      </c>
      <c r="S70" s="12" t="b">
        <f aca="false">--OR($S69=1,AND($P70=1,OR($D70=5,$E70=5)))</f>
        <v>0</v>
      </c>
      <c r="T70" s="12" t="b">
        <f aca="false">--OR($T69=1,AND($P70=1,OR($D70=1,$E70=1)))</f>
        <v>0</v>
      </c>
      <c r="U70" s="12" t="b">
        <f aca="false">--OR($U69=1,AND($P70=1,OR($D70=8,$E70=8)))</f>
        <v>0</v>
      </c>
      <c r="V70" s="12" t="b">
        <f aca="false">--OR($V69=1,AND($P70=1,OR($D70=61,$E70=61)))</f>
        <v>0</v>
      </c>
      <c r="W70" s="12" t="b">
        <f aca="false">--OR($W69=1,AND($P70=1,OR($D70=57,$E70=57)))</f>
        <v>0</v>
      </c>
      <c r="X70" s="12" t="b">
        <f aca="false">--OR($X69=1,AND($P70=1,OR($D70=64,$E70=64)))</f>
        <v>0</v>
      </c>
      <c r="Y70" s="12" t="b">
        <f aca="false">--AND($P70=1,$K70="K",ABS($I70)=2)</f>
        <v>0</v>
      </c>
      <c r="Z70" s="12" t="b">
        <f aca="false">--AND($P70=1,$K70="P",ABS($I70)=1,$H70="")</f>
        <v>0</v>
      </c>
      <c r="AA70" s="12" t="b">
        <f aca="false">--AND($P70=1,$K70="P",INT(($E70-1)/8)=IF($F70="w",7,0))</f>
        <v>0</v>
      </c>
      <c r="AB70" s="11" t="str">
        <f aca="false">IF(LEN($C70)&gt;=5,IF(ISNUMBER(FIND(MID($C70,5,1),"qrbn")),UPPER(MID($C70,5,1)),"Q"),"Q")</f>
        <v>Q</v>
      </c>
      <c r="AC70" s="11" t="n">
        <f aca="false">IF($Y70=1,IF($I70=2,$D70+3,$D70-4),0)</f>
        <v>0</v>
      </c>
      <c r="AD70" s="11" t="n">
        <f aca="false">IF($Y70=1,IF($I70=2,$D70+1,$D70-1),0)</f>
        <v>0</v>
      </c>
      <c r="AE70" s="11" t="n">
        <f aca="false">IF($Z70=1,$E70-8*IF($F70="w",1,-1),0)</f>
        <v>0</v>
      </c>
      <c r="AF70" s="11" t="str">
        <f aca="false">IF($B70="","",IF($P70=1,LOWER(INDEX($CV$2:$CV$13,MATCH($G70,$CU$2:$CU$13,0)))&amp;" "&amp;MID("abcdefgh",MOD($D70-1,8)+1,1)&amp;(INT(($D70-1)/8)+1)&amp;"→"&amp;MID("abcdefgh",MOD($E70-1,8)+1,1)&amp;(INT(($E70-1)/8)+1)&amp;IF(OR($H70&lt;&gt;"",$Z70=1)," ×","")&amp;IF($Y70=1," castles","")&amp;IF($Z70=1," e.p.","")&amp;IF($AA70=1," =" &amp;LOWER(INDEX($CV$2:$CV$13,MATCH($F70&amp;$AB70,$CU$2:$CU$13,0))),""),"X "&amp;$Q70))</f>
        <v/>
      </c>
      <c r="AG70" s="11"/>
      <c r="AH70" s="11" t="str">
        <f aca="false">IF($P70=0,AH69,IF(AH$3=$E70,IF($AA70=1,$F70&amp;$AB70,$G70),IF(OR(AH$3=$D70,AH$3=$AC70,AH$3=$AE70),"",IF(AH$3=$AD70,$F70&amp;"R",AH69))))</f>
        <v>wR</v>
      </c>
      <c r="AI70" s="11" t="str">
        <f aca="false">IF($P70=0,AI69,IF(AI$3=$E70,IF($AA70=1,$F70&amp;$AB70,$G70),IF(OR(AI$3=$D70,AI$3=$AC70,AI$3=$AE70),"",IF(AI$3=$AD70,$F70&amp;"R",AI69))))</f>
        <v>wN</v>
      </c>
      <c r="AJ70" s="11" t="str">
        <f aca="false">IF($P70=0,AJ69,IF(AJ$3=$E70,IF($AA70=1,$F70&amp;$AB70,$G70),IF(OR(AJ$3=$D70,AJ$3=$AC70,AJ$3=$AE70),"",IF(AJ$3=$AD70,$F70&amp;"R",AJ69))))</f>
        <v>wB</v>
      </c>
      <c r="AK70" s="11" t="str">
        <f aca="false">IF($P70=0,AK69,IF(AK$3=$E70,IF($AA70=1,$F70&amp;$AB70,$G70),IF(OR(AK$3=$D70,AK$3=$AC70,AK$3=$AE70),"",IF(AK$3=$AD70,$F70&amp;"R",AK69))))</f>
        <v>wQ</v>
      </c>
      <c r="AL70" s="11" t="str">
        <f aca="false">IF($P70=0,AL69,IF(AL$3=$E70,IF($AA70=1,$F70&amp;$AB70,$G70),IF(OR(AL$3=$D70,AL$3=$AC70,AL$3=$AE70),"",IF(AL$3=$AD70,$F70&amp;"R",AL69))))</f>
        <v>wK</v>
      </c>
      <c r="AM70" s="11" t="str">
        <f aca="false">IF($P70=0,AM69,IF(AM$3=$E70,IF($AA70=1,$F70&amp;$AB70,$G70),IF(OR(AM$3=$D70,AM$3=$AC70,AM$3=$AE70),"",IF(AM$3=$AD70,$F70&amp;"R",AM69))))</f>
        <v>wB</v>
      </c>
      <c r="AN70" s="11" t="str">
        <f aca="false">IF($P70=0,AN69,IF(AN$3=$E70,IF($AA70=1,$F70&amp;$AB70,$G70),IF(OR(AN$3=$D70,AN$3=$AC70,AN$3=$AE70),"",IF(AN$3=$AD70,$F70&amp;"R",AN69))))</f>
        <v>wN</v>
      </c>
      <c r="AO70" s="11" t="str">
        <f aca="false">IF($P70=0,AO69,IF(AO$3=$E70,IF($AA70=1,$F70&amp;$AB70,$G70),IF(OR(AO$3=$D70,AO$3=$AC70,AO$3=$AE70),"",IF(AO$3=$AD70,$F70&amp;"R",AO69))))</f>
        <v>wR</v>
      </c>
      <c r="AP70" s="11" t="str">
        <f aca="false">IF($P70=0,AP69,IF(AP$3=$E70,IF($AA70=1,$F70&amp;$AB70,$G70),IF(OR(AP$3=$D70,AP$3=$AC70,AP$3=$AE70),"",IF(AP$3=$AD70,$F70&amp;"R",AP69))))</f>
        <v>wP</v>
      </c>
      <c r="AQ70" s="11" t="str">
        <f aca="false">IF($P70=0,AQ69,IF(AQ$3=$E70,IF($AA70=1,$F70&amp;$AB70,$G70),IF(OR(AQ$3=$D70,AQ$3=$AC70,AQ$3=$AE70),"",IF(AQ$3=$AD70,$F70&amp;"R",AQ69))))</f>
        <v>wP</v>
      </c>
      <c r="AR70" s="11" t="str">
        <f aca="false">IF($P70=0,AR69,IF(AR$3=$E70,IF($AA70=1,$F70&amp;$AB70,$G70),IF(OR(AR$3=$D70,AR$3=$AC70,AR$3=$AE70),"",IF(AR$3=$AD70,$F70&amp;"R",AR69))))</f>
        <v>wP</v>
      </c>
      <c r="AS70" s="11" t="str">
        <f aca="false">IF($P70=0,AS69,IF(AS$3=$E70,IF($AA70=1,$F70&amp;$AB70,$G70),IF(OR(AS$3=$D70,AS$3=$AC70,AS$3=$AE70),"",IF(AS$3=$AD70,$F70&amp;"R",AS69))))</f>
        <v>wP</v>
      </c>
      <c r="AT70" s="11" t="str">
        <f aca="false">IF($P70=0,AT69,IF(AT$3=$E70,IF($AA70=1,$F70&amp;$AB70,$G70),IF(OR(AT$3=$D70,AT$3=$AC70,AT$3=$AE70),"",IF(AT$3=$AD70,$F70&amp;"R",AT69))))</f>
        <v>wP</v>
      </c>
      <c r="AU70" s="11" t="str">
        <f aca="false">IF($P70=0,AU69,IF(AU$3=$E70,IF($AA70=1,$F70&amp;$AB70,$G70),IF(OR(AU$3=$D70,AU$3=$AC70,AU$3=$AE70),"",IF(AU$3=$AD70,$F70&amp;"R",AU69))))</f>
        <v>wP</v>
      </c>
      <c r="AV70" s="11" t="str">
        <f aca="false">IF($P70=0,AV69,IF(AV$3=$E70,IF($AA70=1,$F70&amp;$AB70,$G70),IF(OR(AV$3=$D70,AV$3=$AC70,AV$3=$AE70),"",IF(AV$3=$AD70,$F70&amp;"R",AV69))))</f>
        <v>wP</v>
      </c>
      <c r="AW70" s="11" t="str">
        <f aca="false">IF($P70=0,AW69,IF(AW$3=$E70,IF($AA70=1,$F70&amp;$AB70,$G70),IF(OR(AW$3=$D70,AW$3=$AC70,AW$3=$AE70),"",IF(AW$3=$AD70,$F70&amp;"R",AW69))))</f>
        <v>wP</v>
      </c>
      <c r="AX70" s="11" t="str">
        <f aca="false">IF($P70=0,AX69,IF(AX$3=$E70,IF($AA70=1,$F70&amp;$AB70,$G70),IF(OR(AX$3=$D70,AX$3=$AC70,AX$3=$AE70),"",IF(AX$3=$AD70,$F70&amp;"R",AX69))))</f>
        <v/>
      </c>
      <c r="AY70" s="11" t="str">
        <f aca="false">IF($P70=0,AY69,IF(AY$3=$E70,IF($AA70=1,$F70&amp;$AB70,$G70),IF(OR(AY$3=$D70,AY$3=$AC70,AY$3=$AE70),"",IF(AY$3=$AD70,$F70&amp;"R",AY69))))</f>
        <v/>
      </c>
      <c r="AZ70" s="11" t="str">
        <f aca="false">IF($P70=0,AZ69,IF(AZ$3=$E70,IF($AA70=1,$F70&amp;$AB70,$G70),IF(OR(AZ$3=$D70,AZ$3=$AC70,AZ$3=$AE70),"",IF(AZ$3=$AD70,$F70&amp;"R",AZ69))))</f>
        <v/>
      </c>
      <c r="BA70" s="11" t="str">
        <f aca="false">IF($P70=0,BA69,IF(BA$3=$E70,IF($AA70=1,$F70&amp;$AB70,$G70),IF(OR(BA$3=$D70,BA$3=$AC70,BA$3=$AE70),"",IF(BA$3=$AD70,$F70&amp;"R",BA69))))</f>
        <v/>
      </c>
      <c r="BB70" s="11" t="str">
        <f aca="false">IF($P70=0,BB69,IF(BB$3=$E70,IF($AA70=1,$F70&amp;$AB70,$G70),IF(OR(BB$3=$D70,BB$3=$AC70,BB$3=$AE70),"",IF(BB$3=$AD70,$F70&amp;"R",BB69))))</f>
        <v/>
      </c>
      <c r="BC70" s="11" t="str">
        <f aca="false">IF($P70=0,BC69,IF(BC$3=$E70,IF($AA70=1,$F70&amp;$AB70,$G70),IF(OR(BC$3=$D70,BC$3=$AC70,BC$3=$AE70),"",IF(BC$3=$AD70,$F70&amp;"R",BC69))))</f>
        <v/>
      </c>
      <c r="BD70" s="11" t="str">
        <f aca="false">IF($P70=0,BD69,IF(BD$3=$E70,IF($AA70=1,$F70&amp;$AB70,$G70),IF(OR(BD$3=$D70,BD$3=$AC70,BD$3=$AE70),"",IF(BD$3=$AD70,$F70&amp;"R",BD69))))</f>
        <v/>
      </c>
      <c r="BE70" s="11" t="str">
        <f aca="false">IF($P70=0,BE69,IF(BE$3=$E70,IF($AA70=1,$F70&amp;$AB70,$G70),IF(OR(BE$3=$D70,BE$3=$AC70,BE$3=$AE70),"",IF(BE$3=$AD70,$F70&amp;"R",BE69))))</f>
        <v/>
      </c>
      <c r="BF70" s="11" t="str">
        <f aca="false">IF($P70=0,BF69,IF(BF$3=$E70,IF($AA70=1,$F70&amp;$AB70,$G70),IF(OR(BF$3=$D70,BF$3=$AC70,BF$3=$AE70),"",IF(BF$3=$AD70,$F70&amp;"R",BF69))))</f>
        <v/>
      </c>
      <c r="BG70" s="11" t="str">
        <f aca="false">IF($P70=0,BG69,IF(BG$3=$E70,IF($AA70=1,$F70&amp;$AB70,$G70),IF(OR(BG$3=$D70,BG$3=$AC70,BG$3=$AE70),"",IF(BG$3=$AD70,$F70&amp;"R",BG69))))</f>
        <v/>
      </c>
      <c r="BH70" s="11" t="str">
        <f aca="false">IF($P70=0,BH69,IF(BH$3=$E70,IF($AA70=1,$F70&amp;$AB70,$G70),IF(OR(BH$3=$D70,BH$3=$AC70,BH$3=$AE70),"",IF(BH$3=$AD70,$F70&amp;"R",BH69))))</f>
        <v/>
      </c>
      <c r="BI70" s="11" t="str">
        <f aca="false">IF($P70=0,BI69,IF(BI$3=$E70,IF($AA70=1,$F70&amp;$AB70,$G70),IF(OR(BI$3=$D70,BI$3=$AC70,BI$3=$AE70),"",IF(BI$3=$AD70,$F70&amp;"R",BI69))))</f>
        <v/>
      </c>
      <c r="BJ70" s="11" t="str">
        <f aca="false">IF($P70=0,BJ69,IF(BJ$3=$E70,IF($AA70=1,$F70&amp;$AB70,$G70),IF(OR(BJ$3=$D70,BJ$3=$AC70,BJ$3=$AE70),"",IF(BJ$3=$AD70,$F70&amp;"R",BJ69))))</f>
        <v/>
      </c>
      <c r="BK70" s="11" t="str">
        <f aca="false">IF($P70=0,BK69,IF(BK$3=$E70,IF($AA70=1,$F70&amp;$AB70,$G70),IF(OR(BK$3=$D70,BK$3=$AC70,BK$3=$AE70),"",IF(BK$3=$AD70,$F70&amp;"R",BK69))))</f>
        <v/>
      </c>
      <c r="BL70" s="11" t="str">
        <f aca="false">IF($P70=0,BL69,IF(BL$3=$E70,IF($AA70=1,$F70&amp;$AB70,$G70),IF(OR(BL$3=$D70,BL$3=$AC70,BL$3=$AE70),"",IF(BL$3=$AD70,$F70&amp;"R",BL69))))</f>
        <v/>
      </c>
      <c r="BM70" s="11" t="str">
        <f aca="false">IF($P70=0,BM69,IF(BM$3=$E70,IF($AA70=1,$F70&amp;$AB70,$G70),IF(OR(BM$3=$D70,BM$3=$AC70,BM$3=$AE70),"",IF(BM$3=$AD70,$F70&amp;"R",BM69))))</f>
        <v/>
      </c>
      <c r="BN70" s="11" t="str">
        <f aca="false">IF($P70=0,BN69,IF(BN$3=$E70,IF($AA70=1,$F70&amp;$AB70,$G70),IF(OR(BN$3=$D70,BN$3=$AC70,BN$3=$AE70),"",IF(BN$3=$AD70,$F70&amp;"R",BN69))))</f>
        <v/>
      </c>
      <c r="BO70" s="11" t="str">
        <f aca="false">IF($P70=0,BO69,IF(BO$3=$E70,IF($AA70=1,$F70&amp;$AB70,$G70),IF(OR(BO$3=$D70,BO$3=$AC70,BO$3=$AE70),"",IF(BO$3=$AD70,$F70&amp;"R",BO69))))</f>
        <v/>
      </c>
      <c r="BP70" s="11" t="str">
        <f aca="false">IF($P70=0,BP69,IF(BP$3=$E70,IF($AA70=1,$F70&amp;$AB70,$G70),IF(OR(BP$3=$D70,BP$3=$AC70,BP$3=$AE70),"",IF(BP$3=$AD70,$F70&amp;"R",BP69))))</f>
        <v/>
      </c>
      <c r="BQ70" s="11" t="str">
        <f aca="false">IF($P70=0,BQ69,IF(BQ$3=$E70,IF($AA70=1,$F70&amp;$AB70,$G70),IF(OR(BQ$3=$D70,BQ$3=$AC70,BQ$3=$AE70),"",IF(BQ$3=$AD70,$F70&amp;"R",BQ69))))</f>
        <v/>
      </c>
      <c r="BR70" s="11" t="str">
        <f aca="false">IF($P70=0,BR69,IF(BR$3=$E70,IF($AA70=1,$F70&amp;$AB70,$G70),IF(OR(BR$3=$D70,BR$3=$AC70,BR$3=$AE70),"",IF(BR$3=$AD70,$F70&amp;"R",BR69))))</f>
        <v/>
      </c>
      <c r="BS70" s="11" t="str">
        <f aca="false">IF($P70=0,BS69,IF(BS$3=$E70,IF($AA70=1,$F70&amp;$AB70,$G70),IF(OR(BS$3=$D70,BS$3=$AC70,BS$3=$AE70),"",IF(BS$3=$AD70,$F70&amp;"R",BS69))))</f>
        <v/>
      </c>
      <c r="BT70" s="11" t="str">
        <f aca="false">IF($P70=0,BT69,IF(BT$3=$E70,IF($AA70=1,$F70&amp;$AB70,$G70),IF(OR(BT$3=$D70,BT$3=$AC70,BT$3=$AE70),"",IF(BT$3=$AD70,$F70&amp;"R",BT69))))</f>
        <v/>
      </c>
      <c r="BU70" s="11" t="str">
        <f aca="false">IF($P70=0,BU69,IF(BU$3=$E70,IF($AA70=1,$F70&amp;$AB70,$G70),IF(OR(BU$3=$D70,BU$3=$AC70,BU$3=$AE70),"",IF(BU$3=$AD70,$F70&amp;"R",BU69))))</f>
        <v/>
      </c>
      <c r="BV70" s="11" t="str">
        <f aca="false">IF($P70=0,BV69,IF(BV$3=$E70,IF($AA70=1,$F70&amp;$AB70,$G70),IF(OR(BV$3=$D70,BV$3=$AC70,BV$3=$AE70),"",IF(BV$3=$AD70,$F70&amp;"R",BV69))))</f>
        <v/>
      </c>
      <c r="BW70" s="11" t="str">
        <f aca="false">IF($P70=0,BW69,IF(BW$3=$E70,IF($AA70=1,$F70&amp;$AB70,$G70),IF(OR(BW$3=$D70,BW$3=$AC70,BW$3=$AE70),"",IF(BW$3=$AD70,$F70&amp;"R",BW69))))</f>
        <v/>
      </c>
      <c r="BX70" s="11" t="str">
        <f aca="false">IF($P70=0,BX69,IF(BX$3=$E70,IF($AA70=1,$F70&amp;$AB70,$G70),IF(OR(BX$3=$D70,BX$3=$AC70,BX$3=$AE70),"",IF(BX$3=$AD70,$F70&amp;"R",BX69))))</f>
        <v/>
      </c>
      <c r="BY70" s="11" t="str">
        <f aca="false">IF($P70=0,BY69,IF(BY$3=$E70,IF($AA70=1,$F70&amp;$AB70,$G70),IF(OR(BY$3=$D70,BY$3=$AC70,BY$3=$AE70),"",IF(BY$3=$AD70,$F70&amp;"R",BY69))))</f>
        <v/>
      </c>
      <c r="BZ70" s="11" t="str">
        <f aca="false">IF($P70=0,BZ69,IF(BZ$3=$E70,IF($AA70=1,$F70&amp;$AB70,$G70),IF(OR(BZ$3=$D70,BZ$3=$AC70,BZ$3=$AE70),"",IF(BZ$3=$AD70,$F70&amp;"R",BZ69))))</f>
        <v/>
      </c>
      <c r="CA70" s="11" t="str">
        <f aca="false">IF($P70=0,CA69,IF(CA$3=$E70,IF($AA70=1,$F70&amp;$AB70,$G70),IF(OR(CA$3=$D70,CA$3=$AC70,CA$3=$AE70),"",IF(CA$3=$AD70,$F70&amp;"R",CA69))))</f>
        <v/>
      </c>
      <c r="CB70" s="11" t="str">
        <f aca="false">IF($P70=0,CB69,IF(CB$3=$E70,IF($AA70=1,$F70&amp;$AB70,$G70),IF(OR(CB$3=$D70,CB$3=$AC70,CB$3=$AE70),"",IF(CB$3=$AD70,$F70&amp;"R",CB69))))</f>
        <v/>
      </c>
      <c r="CC70" s="11" t="str">
        <f aca="false">IF($P70=0,CC69,IF(CC$3=$E70,IF($AA70=1,$F70&amp;$AB70,$G70),IF(OR(CC$3=$D70,CC$3=$AC70,CC$3=$AE70),"",IF(CC$3=$AD70,$F70&amp;"R",CC69))))</f>
        <v/>
      </c>
      <c r="CD70" s="11" t="str">
        <f aca="false">IF($P70=0,CD69,IF(CD$3=$E70,IF($AA70=1,$F70&amp;$AB70,$G70),IF(OR(CD$3=$D70,CD$3=$AC70,CD$3=$AE70),"",IF(CD$3=$AD70,$F70&amp;"R",CD69))))</f>
        <v>bP</v>
      </c>
      <c r="CE70" s="11" t="str">
        <f aca="false">IF($P70=0,CE69,IF(CE$3=$E70,IF($AA70=1,$F70&amp;$AB70,$G70),IF(OR(CE$3=$D70,CE$3=$AC70,CE$3=$AE70),"",IF(CE$3=$AD70,$F70&amp;"R",CE69))))</f>
        <v>bP</v>
      </c>
      <c r="CF70" s="11" t="str">
        <f aca="false">IF($P70=0,CF69,IF(CF$3=$E70,IF($AA70=1,$F70&amp;$AB70,$G70),IF(OR(CF$3=$D70,CF$3=$AC70,CF$3=$AE70),"",IF(CF$3=$AD70,$F70&amp;"R",CF69))))</f>
        <v>bP</v>
      </c>
      <c r="CG70" s="11" t="str">
        <f aca="false">IF($P70=0,CG69,IF(CG$3=$E70,IF($AA70=1,$F70&amp;$AB70,$G70),IF(OR(CG$3=$D70,CG$3=$AC70,CG$3=$AE70),"",IF(CG$3=$AD70,$F70&amp;"R",CG69))))</f>
        <v>bP</v>
      </c>
      <c r="CH70" s="11" t="str">
        <f aca="false">IF($P70=0,CH69,IF(CH$3=$E70,IF($AA70=1,$F70&amp;$AB70,$G70),IF(OR(CH$3=$D70,CH$3=$AC70,CH$3=$AE70),"",IF(CH$3=$AD70,$F70&amp;"R",CH69))))</f>
        <v>bP</v>
      </c>
      <c r="CI70" s="11" t="str">
        <f aca="false">IF($P70=0,CI69,IF(CI$3=$E70,IF($AA70=1,$F70&amp;$AB70,$G70),IF(OR(CI$3=$D70,CI$3=$AC70,CI$3=$AE70),"",IF(CI$3=$AD70,$F70&amp;"R",CI69))))</f>
        <v>bP</v>
      </c>
      <c r="CJ70" s="11" t="str">
        <f aca="false">IF($P70=0,CJ69,IF(CJ$3=$E70,IF($AA70=1,$F70&amp;$AB70,$G70),IF(OR(CJ$3=$D70,CJ$3=$AC70,CJ$3=$AE70),"",IF(CJ$3=$AD70,$F70&amp;"R",CJ69))))</f>
        <v>bP</v>
      </c>
      <c r="CK70" s="11" t="str">
        <f aca="false">IF($P70=0,CK69,IF(CK$3=$E70,IF($AA70=1,$F70&amp;$AB70,$G70),IF(OR(CK$3=$D70,CK$3=$AC70,CK$3=$AE70),"",IF(CK$3=$AD70,$F70&amp;"R",CK69))))</f>
        <v>bP</v>
      </c>
      <c r="CL70" s="11" t="str">
        <f aca="false">IF($P70=0,CL69,IF(CL$3=$E70,IF($AA70=1,$F70&amp;$AB70,$G70),IF(OR(CL$3=$D70,CL$3=$AC70,CL$3=$AE70),"",IF(CL$3=$AD70,$F70&amp;"R",CL69))))</f>
        <v>bR</v>
      </c>
      <c r="CM70" s="11" t="str">
        <f aca="false">IF($P70=0,CM69,IF(CM$3=$E70,IF($AA70=1,$F70&amp;$AB70,$G70),IF(OR(CM$3=$D70,CM$3=$AC70,CM$3=$AE70),"",IF(CM$3=$AD70,$F70&amp;"R",CM69))))</f>
        <v>bN</v>
      </c>
      <c r="CN70" s="11" t="str">
        <f aca="false">IF($P70=0,CN69,IF(CN$3=$E70,IF($AA70=1,$F70&amp;$AB70,$G70),IF(OR(CN$3=$D70,CN$3=$AC70,CN$3=$AE70),"",IF(CN$3=$AD70,$F70&amp;"R",CN69))))</f>
        <v>bB</v>
      </c>
      <c r="CO70" s="11" t="str">
        <f aca="false">IF($P70=0,CO69,IF(CO$3=$E70,IF($AA70=1,$F70&amp;$AB70,$G70),IF(OR(CO$3=$D70,CO$3=$AC70,CO$3=$AE70),"",IF(CO$3=$AD70,$F70&amp;"R",CO69))))</f>
        <v>bQ</v>
      </c>
      <c r="CP70" s="11" t="str">
        <f aca="false">IF($P70=0,CP69,IF(CP$3=$E70,IF($AA70=1,$F70&amp;$AB70,$G70),IF(OR(CP$3=$D70,CP$3=$AC70,CP$3=$AE70),"",IF(CP$3=$AD70,$F70&amp;"R",CP69))))</f>
        <v>bK</v>
      </c>
      <c r="CQ70" s="11" t="str">
        <f aca="false">IF($P70=0,CQ69,IF(CQ$3=$E70,IF($AA70=1,$F70&amp;$AB70,$G70),IF(OR(CQ$3=$D70,CQ$3=$AC70,CQ$3=$AE70),"",IF(CQ$3=$AD70,$F70&amp;"R",CQ69))))</f>
        <v>bB</v>
      </c>
      <c r="CR70" s="11" t="str">
        <f aca="false">IF($P70=0,CR69,IF(CR$3=$E70,IF($AA70=1,$F70&amp;$AB70,$G70),IF(OR(CR$3=$D70,CR$3=$AC70,CR$3=$AE70),"",IF(CR$3=$AD70,$F70&amp;"R",CR69))))</f>
        <v>bN</v>
      </c>
      <c r="CS70" s="11" t="str">
        <f aca="false">IF($P70=0,CS69,IF(CS$3=$E70,IF($AA70=1,$F70&amp;$AB70,$G70),IF(OR(CS$3=$D70,CS$3=$AC70,CS$3=$AE70),"",IF(CS$3=$AD70,$F70&amp;"R",CS69))))</f>
        <v>bR</v>
      </c>
      <c r="CT70" s="11"/>
      <c r="CU70" s="11"/>
      <c r="CV70" s="11"/>
    </row>
    <row r="71" customFormat="false" ht="15" hidden="false" customHeight="false" outlineLevel="0" collapsed="false">
      <c r="A71" s="11" t="n">
        <v>66</v>
      </c>
      <c r="B71" s="11" t="str">
        <f aca="false">IF(Chess!$L$75="","",Chess!$L$75&amp;"")</f>
        <v/>
      </c>
      <c r="C71" s="11" t="str">
        <f aca="false">LOWER(SUBSTITUTE(SUBSTITUTE(SUBSTITUTE(SUBSTITUTE(TRIM($B71),"-",""),"=","")," ",""),"x",""))</f>
        <v/>
      </c>
      <c r="D71" s="11" t="n">
        <f aca="false">IF(LEN($C71)&lt;4,0,IFERROR(IF(AND(CODE(MID($C71,1,1))&gt;=97,CODE(MID($C71,1,1))&lt;=104,VALUE(MID($C71,2,1))&gt;=1,VALUE(MID($C71,2,1))&lt;=8),(VALUE(MID($C71,2,1))-1)*8+CODE(MID($C71,1,1))-96,0),0))</f>
        <v>0</v>
      </c>
      <c r="E71" s="11" t="n">
        <f aca="false">IF(LEN($C71)&lt;4,0,IFERROR(IF(AND(CODE(MID($C71,3,1))&gt;=97,CODE(MID($C71,3,1))&lt;=104,VALUE(MID($C71,4,1))&gt;=1,VALUE(MID($C71,4,1))&lt;=8),(VALUE(MID($C71,4,1))-1)*8+CODE(MID($C71,3,1))-96,0),0))</f>
        <v>0</v>
      </c>
      <c r="F71" s="11" t="str">
        <f aca="false">IF(MOD(SUM($P$5:$P70),2)=0,"w","b")</f>
        <v>w</v>
      </c>
      <c r="G71" s="11" t="str">
        <f aca="false">IF($D71=0,"",INDEX($AH70:$CS70,1,$D71)&amp;"")</f>
        <v/>
      </c>
      <c r="H71" s="11" t="str">
        <f aca="false">IF($E71=0,"",INDEX($AH70:$CS70,1,$E71)&amp;"")</f>
        <v/>
      </c>
      <c r="I71" s="11" t="n">
        <f aca="false">IF(OR($D71=0,$E71=0),0,MOD($E71-1,8)-MOD($D71-1,8))</f>
        <v>0</v>
      </c>
      <c r="J71" s="11" t="n">
        <f aca="false">IF(OR($D71=0,$E71=0),0,INT(($E71-1)/8)-INT(($D71-1)/8))</f>
        <v>0</v>
      </c>
      <c r="K71" s="11" t="str">
        <f aca="false">IF($G71="","",RIGHT($G71,1))</f>
        <v/>
      </c>
      <c r="L71" s="11" t="n">
        <f aca="false">IF(OR($D71=0,$E71=0),0,SUMPRODUCT(($AH$3:$CS$3&gt;MIN($D71,$E71))*($AH$3:$CS$3&lt;MAX($D71,$E71))*(MOD($AH$3:$CS$3-MIN($D71,$E71),MAX(1,ABS(SIGN($J71)*8+SIGN($I71))))=0)*($AH70:$CS70&lt;&gt;"")))</f>
        <v>0</v>
      </c>
      <c r="M71" s="11" t="n">
        <f aca="false">IF($K71&lt;&gt;"K",0,IFERROR(--AND($J71=0,ABS($I71)=2,$D71=IF($F71="w",5,61),IF($F71="w",$S70,$V70)=0,IF($I71=2,AND(IF($F71="w",$U70,$X70)=0,INDEX($AH70:$CS70,1,$D71+1)&amp;""="",INDEX($AH70:$CS70,1,$D71+2)&amp;""=""),AND(IF($F71="w",$T70,$W70)=0,INDEX($AH70:$CS70,1,$D71-1)&amp;""="",INDEX($AH70:$CS70,1,$D71-2)&amp;""="",INDEX($AH70:$CS70,1,$D71-3)&amp;""=""))),0))</f>
        <v>0</v>
      </c>
      <c r="N71" s="11" t="n">
        <f aca="false">IF($K71&lt;&gt;"P",0,IFERROR(--OR(AND($I71=0,$J71=IF($F71="w",1,-1),$H71=""),AND($I71=0,$J71=2*IF($F71="w",1,-1),$H71="",INT(($D71-1)/8)=IF($F71="w",1,6),INDEX($AH70:$CS70,1,MAX(1,MIN(64,$D71+8*IF($F71="w",1,-1))))&amp;""=""),AND(ABS($I71)=1,$J71=IF($F71="w",1,-1),$H71&lt;&gt;""),AND(ABS($I71)=1,$J71=IF($F71="w",1,-1),$H71="",$R70&gt;0,$E71=$R70)),0))</f>
        <v>0</v>
      </c>
      <c r="O71" s="11" t="n">
        <f aca="false">IF(OR($D71=0,$E71=0,$G71=""),0,IF($K71="N",--OR(AND(ABS($I71)=1,ABS($J71)=2),AND(ABS($I71)=2,ABS($J71)=1)),IF($K71="B",--AND(ABS($I71)=ABS($J71),$I71&lt;&gt;0,$L71=0),IF($K71="R",--AND(OR($I71=0,$J71=0),OR($I71&lt;&gt;0,$J71&lt;&gt;0),$L71=0),IF($K71="Q",--AND(OR(AND(ABS($I71)=ABS($J71),$I71&lt;&gt;0),AND(OR($I71=0,$J71=0),OR($I71&lt;&gt;0,$J71&lt;&gt;0))),$L71=0),IF($K71="K",--OR(MAX(ABS($I71),ABS($J71))=1,$M71=1),$N71))))))</f>
        <v>0</v>
      </c>
      <c r="P71" s="11" t="n">
        <f aca="false">IF($Q71="OK",1,0)</f>
        <v>0</v>
      </c>
      <c r="Q71" s="11" t="str">
        <f aca="false">IF($B71="","",IF(OR(COUNTIF($AH70:$CS70,"wK")=0,COUNTIF($AH70:$CS70,"bK")=0),"Game is over",IF(OR($D71=0,$E71=0),"Use the format e2e4",IF($G71="","No piece on that square",IF(LEFT($G71,1)&lt;&gt;$F71,"Not your piece ("&amp;IF($F71="w","White","Black")&amp;" to move)",IF($D71=$E71,"Piece must move",IF(AND($H71&lt;&gt;"",LEFT($H71,1)=$F71),"Cannot capture your own piece",IF($O71=0,"Illegal move for that piece (or path blocked)","OK"))))))))</f>
        <v/>
      </c>
      <c r="R71" s="11" t="n">
        <f aca="false">IF($P71=1,IF(AND($K71="P",ABS($J71)=2),($D71+$E71)/2,0),$R70)</f>
        <v>0</v>
      </c>
      <c r="S71" s="12" t="b">
        <f aca="false">--OR($S70=1,AND($P71=1,OR($D71=5,$E71=5)))</f>
        <v>0</v>
      </c>
      <c r="T71" s="12" t="b">
        <f aca="false">--OR($T70=1,AND($P71=1,OR($D71=1,$E71=1)))</f>
        <v>0</v>
      </c>
      <c r="U71" s="12" t="b">
        <f aca="false">--OR($U70=1,AND($P71=1,OR($D71=8,$E71=8)))</f>
        <v>0</v>
      </c>
      <c r="V71" s="12" t="b">
        <f aca="false">--OR($V70=1,AND($P71=1,OR($D71=61,$E71=61)))</f>
        <v>0</v>
      </c>
      <c r="W71" s="12" t="b">
        <f aca="false">--OR($W70=1,AND($P71=1,OR($D71=57,$E71=57)))</f>
        <v>0</v>
      </c>
      <c r="X71" s="12" t="b">
        <f aca="false">--OR($X70=1,AND($P71=1,OR($D71=64,$E71=64)))</f>
        <v>0</v>
      </c>
      <c r="Y71" s="12" t="b">
        <f aca="false">--AND($P71=1,$K71="K",ABS($I71)=2)</f>
        <v>0</v>
      </c>
      <c r="Z71" s="12" t="b">
        <f aca="false">--AND($P71=1,$K71="P",ABS($I71)=1,$H71="")</f>
        <v>0</v>
      </c>
      <c r="AA71" s="12" t="b">
        <f aca="false">--AND($P71=1,$K71="P",INT(($E71-1)/8)=IF($F71="w",7,0))</f>
        <v>0</v>
      </c>
      <c r="AB71" s="11" t="str">
        <f aca="false">IF(LEN($C71)&gt;=5,IF(ISNUMBER(FIND(MID($C71,5,1),"qrbn")),UPPER(MID($C71,5,1)),"Q"),"Q")</f>
        <v>Q</v>
      </c>
      <c r="AC71" s="11" t="n">
        <f aca="false">IF($Y71=1,IF($I71=2,$D71+3,$D71-4),0)</f>
        <v>0</v>
      </c>
      <c r="AD71" s="11" t="n">
        <f aca="false">IF($Y71=1,IF($I71=2,$D71+1,$D71-1),0)</f>
        <v>0</v>
      </c>
      <c r="AE71" s="11" t="n">
        <f aca="false">IF($Z71=1,$E71-8*IF($F71="w",1,-1),0)</f>
        <v>0</v>
      </c>
      <c r="AF71" s="11" t="str">
        <f aca="false">IF($B71="","",IF($P71=1,LOWER(INDEX($CV$2:$CV$13,MATCH($G71,$CU$2:$CU$13,0)))&amp;" "&amp;MID("abcdefgh",MOD($D71-1,8)+1,1)&amp;(INT(($D71-1)/8)+1)&amp;"→"&amp;MID("abcdefgh",MOD($E71-1,8)+1,1)&amp;(INT(($E71-1)/8)+1)&amp;IF(OR($H71&lt;&gt;"",$Z71=1)," ×","")&amp;IF($Y71=1," castles","")&amp;IF($Z71=1," e.p.","")&amp;IF($AA71=1," =" &amp;LOWER(INDEX($CV$2:$CV$13,MATCH($F71&amp;$AB71,$CU$2:$CU$13,0))),""),"X "&amp;$Q71))</f>
        <v/>
      </c>
      <c r="AG71" s="11"/>
      <c r="AH71" s="11" t="str">
        <f aca="false">IF($P71=0,AH70,IF(AH$3=$E71,IF($AA71=1,$F71&amp;$AB71,$G71),IF(OR(AH$3=$D71,AH$3=$AC71,AH$3=$AE71),"",IF(AH$3=$AD71,$F71&amp;"R",AH70))))</f>
        <v>wR</v>
      </c>
      <c r="AI71" s="11" t="str">
        <f aca="false">IF($P71=0,AI70,IF(AI$3=$E71,IF($AA71=1,$F71&amp;$AB71,$G71),IF(OR(AI$3=$D71,AI$3=$AC71,AI$3=$AE71),"",IF(AI$3=$AD71,$F71&amp;"R",AI70))))</f>
        <v>wN</v>
      </c>
      <c r="AJ71" s="11" t="str">
        <f aca="false">IF($P71=0,AJ70,IF(AJ$3=$E71,IF($AA71=1,$F71&amp;$AB71,$G71),IF(OR(AJ$3=$D71,AJ$3=$AC71,AJ$3=$AE71),"",IF(AJ$3=$AD71,$F71&amp;"R",AJ70))))</f>
        <v>wB</v>
      </c>
      <c r="AK71" s="11" t="str">
        <f aca="false">IF($P71=0,AK70,IF(AK$3=$E71,IF($AA71=1,$F71&amp;$AB71,$G71),IF(OR(AK$3=$D71,AK$3=$AC71,AK$3=$AE71),"",IF(AK$3=$AD71,$F71&amp;"R",AK70))))</f>
        <v>wQ</v>
      </c>
      <c r="AL71" s="11" t="str">
        <f aca="false">IF($P71=0,AL70,IF(AL$3=$E71,IF($AA71=1,$F71&amp;$AB71,$G71),IF(OR(AL$3=$D71,AL$3=$AC71,AL$3=$AE71),"",IF(AL$3=$AD71,$F71&amp;"R",AL70))))</f>
        <v>wK</v>
      </c>
      <c r="AM71" s="11" t="str">
        <f aca="false">IF($P71=0,AM70,IF(AM$3=$E71,IF($AA71=1,$F71&amp;$AB71,$G71),IF(OR(AM$3=$D71,AM$3=$AC71,AM$3=$AE71),"",IF(AM$3=$AD71,$F71&amp;"R",AM70))))</f>
        <v>wB</v>
      </c>
      <c r="AN71" s="11" t="str">
        <f aca="false">IF($P71=0,AN70,IF(AN$3=$E71,IF($AA71=1,$F71&amp;$AB71,$G71),IF(OR(AN$3=$D71,AN$3=$AC71,AN$3=$AE71),"",IF(AN$3=$AD71,$F71&amp;"R",AN70))))</f>
        <v>wN</v>
      </c>
      <c r="AO71" s="11" t="str">
        <f aca="false">IF($P71=0,AO70,IF(AO$3=$E71,IF($AA71=1,$F71&amp;$AB71,$G71),IF(OR(AO$3=$D71,AO$3=$AC71,AO$3=$AE71),"",IF(AO$3=$AD71,$F71&amp;"R",AO70))))</f>
        <v>wR</v>
      </c>
      <c r="AP71" s="11" t="str">
        <f aca="false">IF($P71=0,AP70,IF(AP$3=$E71,IF($AA71=1,$F71&amp;$AB71,$G71),IF(OR(AP$3=$D71,AP$3=$AC71,AP$3=$AE71),"",IF(AP$3=$AD71,$F71&amp;"R",AP70))))</f>
        <v>wP</v>
      </c>
      <c r="AQ71" s="11" t="str">
        <f aca="false">IF($P71=0,AQ70,IF(AQ$3=$E71,IF($AA71=1,$F71&amp;$AB71,$G71),IF(OR(AQ$3=$D71,AQ$3=$AC71,AQ$3=$AE71),"",IF(AQ$3=$AD71,$F71&amp;"R",AQ70))))</f>
        <v>wP</v>
      </c>
      <c r="AR71" s="11" t="str">
        <f aca="false">IF($P71=0,AR70,IF(AR$3=$E71,IF($AA71=1,$F71&amp;$AB71,$G71),IF(OR(AR$3=$D71,AR$3=$AC71,AR$3=$AE71),"",IF(AR$3=$AD71,$F71&amp;"R",AR70))))</f>
        <v>wP</v>
      </c>
      <c r="AS71" s="11" t="str">
        <f aca="false">IF($P71=0,AS70,IF(AS$3=$E71,IF($AA71=1,$F71&amp;$AB71,$G71),IF(OR(AS$3=$D71,AS$3=$AC71,AS$3=$AE71),"",IF(AS$3=$AD71,$F71&amp;"R",AS70))))</f>
        <v>wP</v>
      </c>
      <c r="AT71" s="11" t="str">
        <f aca="false">IF($P71=0,AT70,IF(AT$3=$E71,IF($AA71=1,$F71&amp;$AB71,$G71),IF(OR(AT$3=$D71,AT$3=$AC71,AT$3=$AE71),"",IF(AT$3=$AD71,$F71&amp;"R",AT70))))</f>
        <v>wP</v>
      </c>
      <c r="AU71" s="11" t="str">
        <f aca="false">IF($P71=0,AU70,IF(AU$3=$E71,IF($AA71=1,$F71&amp;$AB71,$G71),IF(OR(AU$3=$D71,AU$3=$AC71,AU$3=$AE71),"",IF(AU$3=$AD71,$F71&amp;"R",AU70))))</f>
        <v>wP</v>
      </c>
      <c r="AV71" s="11" t="str">
        <f aca="false">IF($P71=0,AV70,IF(AV$3=$E71,IF($AA71=1,$F71&amp;$AB71,$G71),IF(OR(AV$3=$D71,AV$3=$AC71,AV$3=$AE71),"",IF(AV$3=$AD71,$F71&amp;"R",AV70))))</f>
        <v>wP</v>
      </c>
      <c r="AW71" s="11" t="str">
        <f aca="false">IF($P71=0,AW70,IF(AW$3=$E71,IF($AA71=1,$F71&amp;$AB71,$G71),IF(OR(AW$3=$D71,AW$3=$AC71,AW$3=$AE71),"",IF(AW$3=$AD71,$F71&amp;"R",AW70))))</f>
        <v>wP</v>
      </c>
      <c r="AX71" s="11" t="str">
        <f aca="false">IF($P71=0,AX70,IF(AX$3=$E71,IF($AA71=1,$F71&amp;$AB71,$G71),IF(OR(AX$3=$D71,AX$3=$AC71,AX$3=$AE71),"",IF(AX$3=$AD71,$F71&amp;"R",AX70))))</f>
        <v/>
      </c>
      <c r="AY71" s="11" t="str">
        <f aca="false">IF($P71=0,AY70,IF(AY$3=$E71,IF($AA71=1,$F71&amp;$AB71,$G71),IF(OR(AY$3=$D71,AY$3=$AC71,AY$3=$AE71),"",IF(AY$3=$AD71,$F71&amp;"R",AY70))))</f>
        <v/>
      </c>
      <c r="AZ71" s="11" t="str">
        <f aca="false">IF($P71=0,AZ70,IF(AZ$3=$E71,IF($AA71=1,$F71&amp;$AB71,$G71),IF(OR(AZ$3=$D71,AZ$3=$AC71,AZ$3=$AE71),"",IF(AZ$3=$AD71,$F71&amp;"R",AZ70))))</f>
        <v/>
      </c>
      <c r="BA71" s="11" t="str">
        <f aca="false">IF($P71=0,BA70,IF(BA$3=$E71,IF($AA71=1,$F71&amp;$AB71,$G71),IF(OR(BA$3=$D71,BA$3=$AC71,BA$3=$AE71),"",IF(BA$3=$AD71,$F71&amp;"R",BA70))))</f>
        <v/>
      </c>
      <c r="BB71" s="11" t="str">
        <f aca="false">IF($P71=0,BB70,IF(BB$3=$E71,IF($AA71=1,$F71&amp;$AB71,$G71),IF(OR(BB$3=$D71,BB$3=$AC71,BB$3=$AE71),"",IF(BB$3=$AD71,$F71&amp;"R",BB70))))</f>
        <v/>
      </c>
      <c r="BC71" s="11" t="str">
        <f aca="false">IF($P71=0,BC70,IF(BC$3=$E71,IF($AA71=1,$F71&amp;$AB71,$G71),IF(OR(BC$3=$D71,BC$3=$AC71,BC$3=$AE71),"",IF(BC$3=$AD71,$F71&amp;"R",BC70))))</f>
        <v/>
      </c>
      <c r="BD71" s="11" t="str">
        <f aca="false">IF($P71=0,BD70,IF(BD$3=$E71,IF($AA71=1,$F71&amp;$AB71,$G71),IF(OR(BD$3=$D71,BD$3=$AC71,BD$3=$AE71),"",IF(BD$3=$AD71,$F71&amp;"R",BD70))))</f>
        <v/>
      </c>
      <c r="BE71" s="11" t="str">
        <f aca="false">IF($P71=0,BE70,IF(BE$3=$E71,IF($AA71=1,$F71&amp;$AB71,$G71),IF(OR(BE$3=$D71,BE$3=$AC71,BE$3=$AE71),"",IF(BE$3=$AD71,$F71&amp;"R",BE70))))</f>
        <v/>
      </c>
      <c r="BF71" s="11" t="str">
        <f aca="false">IF($P71=0,BF70,IF(BF$3=$E71,IF($AA71=1,$F71&amp;$AB71,$G71),IF(OR(BF$3=$D71,BF$3=$AC71,BF$3=$AE71),"",IF(BF$3=$AD71,$F71&amp;"R",BF70))))</f>
        <v/>
      </c>
      <c r="BG71" s="11" t="str">
        <f aca="false">IF($P71=0,BG70,IF(BG$3=$E71,IF($AA71=1,$F71&amp;$AB71,$G71),IF(OR(BG$3=$D71,BG$3=$AC71,BG$3=$AE71),"",IF(BG$3=$AD71,$F71&amp;"R",BG70))))</f>
        <v/>
      </c>
      <c r="BH71" s="11" t="str">
        <f aca="false">IF($P71=0,BH70,IF(BH$3=$E71,IF($AA71=1,$F71&amp;$AB71,$G71),IF(OR(BH$3=$D71,BH$3=$AC71,BH$3=$AE71),"",IF(BH$3=$AD71,$F71&amp;"R",BH70))))</f>
        <v/>
      </c>
      <c r="BI71" s="11" t="str">
        <f aca="false">IF($P71=0,BI70,IF(BI$3=$E71,IF($AA71=1,$F71&amp;$AB71,$G71),IF(OR(BI$3=$D71,BI$3=$AC71,BI$3=$AE71),"",IF(BI$3=$AD71,$F71&amp;"R",BI70))))</f>
        <v/>
      </c>
      <c r="BJ71" s="11" t="str">
        <f aca="false">IF($P71=0,BJ70,IF(BJ$3=$E71,IF($AA71=1,$F71&amp;$AB71,$G71),IF(OR(BJ$3=$D71,BJ$3=$AC71,BJ$3=$AE71),"",IF(BJ$3=$AD71,$F71&amp;"R",BJ70))))</f>
        <v/>
      </c>
      <c r="BK71" s="11" t="str">
        <f aca="false">IF($P71=0,BK70,IF(BK$3=$E71,IF($AA71=1,$F71&amp;$AB71,$G71),IF(OR(BK$3=$D71,BK$3=$AC71,BK$3=$AE71),"",IF(BK$3=$AD71,$F71&amp;"R",BK70))))</f>
        <v/>
      </c>
      <c r="BL71" s="11" t="str">
        <f aca="false">IF($P71=0,BL70,IF(BL$3=$E71,IF($AA71=1,$F71&amp;$AB71,$G71),IF(OR(BL$3=$D71,BL$3=$AC71,BL$3=$AE71),"",IF(BL$3=$AD71,$F71&amp;"R",BL70))))</f>
        <v/>
      </c>
      <c r="BM71" s="11" t="str">
        <f aca="false">IF($P71=0,BM70,IF(BM$3=$E71,IF($AA71=1,$F71&amp;$AB71,$G71),IF(OR(BM$3=$D71,BM$3=$AC71,BM$3=$AE71),"",IF(BM$3=$AD71,$F71&amp;"R",BM70))))</f>
        <v/>
      </c>
      <c r="BN71" s="11" t="str">
        <f aca="false">IF($P71=0,BN70,IF(BN$3=$E71,IF($AA71=1,$F71&amp;$AB71,$G71),IF(OR(BN$3=$D71,BN$3=$AC71,BN$3=$AE71),"",IF(BN$3=$AD71,$F71&amp;"R",BN70))))</f>
        <v/>
      </c>
      <c r="BO71" s="11" t="str">
        <f aca="false">IF($P71=0,BO70,IF(BO$3=$E71,IF($AA71=1,$F71&amp;$AB71,$G71),IF(OR(BO$3=$D71,BO$3=$AC71,BO$3=$AE71),"",IF(BO$3=$AD71,$F71&amp;"R",BO70))))</f>
        <v/>
      </c>
      <c r="BP71" s="11" t="str">
        <f aca="false">IF($P71=0,BP70,IF(BP$3=$E71,IF($AA71=1,$F71&amp;$AB71,$G71),IF(OR(BP$3=$D71,BP$3=$AC71,BP$3=$AE71),"",IF(BP$3=$AD71,$F71&amp;"R",BP70))))</f>
        <v/>
      </c>
      <c r="BQ71" s="11" t="str">
        <f aca="false">IF($P71=0,BQ70,IF(BQ$3=$E71,IF($AA71=1,$F71&amp;$AB71,$G71),IF(OR(BQ$3=$D71,BQ$3=$AC71,BQ$3=$AE71),"",IF(BQ$3=$AD71,$F71&amp;"R",BQ70))))</f>
        <v/>
      </c>
      <c r="BR71" s="11" t="str">
        <f aca="false">IF($P71=0,BR70,IF(BR$3=$E71,IF($AA71=1,$F71&amp;$AB71,$G71),IF(OR(BR$3=$D71,BR$3=$AC71,BR$3=$AE71),"",IF(BR$3=$AD71,$F71&amp;"R",BR70))))</f>
        <v/>
      </c>
      <c r="BS71" s="11" t="str">
        <f aca="false">IF($P71=0,BS70,IF(BS$3=$E71,IF($AA71=1,$F71&amp;$AB71,$G71),IF(OR(BS$3=$D71,BS$3=$AC71,BS$3=$AE71),"",IF(BS$3=$AD71,$F71&amp;"R",BS70))))</f>
        <v/>
      </c>
      <c r="BT71" s="11" t="str">
        <f aca="false">IF($P71=0,BT70,IF(BT$3=$E71,IF($AA71=1,$F71&amp;$AB71,$G71),IF(OR(BT$3=$D71,BT$3=$AC71,BT$3=$AE71),"",IF(BT$3=$AD71,$F71&amp;"R",BT70))))</f>
        <v/>
      </c>
      <c r="BU71" s="11" t="str">
        <f aca="false">IF($P71=0,BU70,IF(BU$3=$E71,IF($AA71=1,$F71&amp;$AB71,$G71),IF(OR(BU$3=$D71,BU$3=$AC71,BU$3=$AE71),"",IF(BU$3=$AD71,$F71&amp;"R",BU70))))</f>
        <v/>
      </c>
      <c r="BV71" s="11" t="str">
        <f aca="false">IF($P71=0,BV70,IF(BV$3=$E71,IF($AA71=1,$F71&amp;$AB71,$G71),IF(OR(BV$3=$D71,BV$3=$AC71,BV$3=$AE71),"",IF(BV$3=$AD71,$F71&amp;"R",BV70))))</f>
        <v/>
      </c>
      <c r="BW71" s="11" t="str">
        <f aca="false">IF($P71=0,BW70,IF(BW$3=$E71,IF($AA71=1,$F71&amp;$AB71,$G71),IF(OR(BW$3=$D71,BW$3=$AC71,BW$3=$AE71),"",IF(BW$3=$AD71,$F71&amp;"R",BW70))))</f>
        <v/>
      </c>
      <c r="BX71" s="11" t="str">
        <f aca="false">IF($P71=0,BX70,IF(BX$3=$E71,IF($AA71=1,$F71&amp;$AB71,$G71),IF(OR(BX$3=$D71,BX$3=$AC71,BX$3=$AE71),"",IF(BX$3=$AD71,$F71&amp;"R",BX70))))</f>
        <v/>
      </c>
      <c r="BY71" s="11" t="str">
        <f aca="false">IF($P71=0,BY70,IF(BY$3=$E71,IF($AA71=1,$F71&amp;$AB71,$G71),IF(OR(BY$3=$D71,BY$3=$AC71,BY$3=$AE71),"",IF(BY$3=$AD71,$F71&amp;"R",BY70))))</f>
        <v/>
      </c>
      <c r="BZ71" s="11" t="str">
        <f aca="false">IF($P71=0,BZ70,IF(BZ$3=$E71,IF($AA71=1,$F71&amp;$AB71,$G71),IF(OR(BZ$3=$D71,BZ$3=$AC71,BZ$3=$AE71),"",IF(BZ$3=$AD71,$F71&amp;"R",BZ70))))</f>
        <v/>
      </c>
      <c r="CA71" s="11" t="str">
        <f aca="false">IF($P71=0,CA70,IF(CA$3=$E71,IF($AA71=1,$F71&amp;$AB71,$G71),IF(OR(CA$3=$D71,CA$3=$AC71,CA$3=$AE71),"",IF(CA$3=$AD71,$F71&amp;"R",CA70))))</f>
        <v/>
      </c>
      <c r="CB71" s="11" t="str">
        <f aca="false">IF($P71=0,CB70,IF(CB$3=$E71,IF($AA71=1,$F71&amp;$AB71,$G71),IF(OR(CB$3=$D71,CB$3=$AC71,CB$3=$AE71),"",IF(CB$3=$AD71,$F71&amp;"R",CB70))))</f>
        <v/>
      </c>
      <c r="CC71" s="11" t="str">
        <f aca="false">IF($P71=0,CC70,IF(CC$3=$E71,IF($AA71=1,$F71&amp;$AB71,$G71),IF(OR(CC$3=$D71,CC$3=$AC71,CC$3=$AE71),"",IF(CC$3=$AD71,$F71&amp;"R",CC70))))</f>
        <v/>
      </c>
      <c r="CD71" s="11" t="str">
        <f aca="false">IF($P71=0,CD70,IF(CD$3=$E71,IF($AA71=1,$F71&amp;$AB71,$G71),IF(OR(CD$3=$D71,CD$3=$AC71,CD$3=$AE71),"",IF(CD$3=$AD71,$F71&amp;"R",CD70))))</f>
        <v>bP</v>
      </c>
      <c r="CE71" s="11" t="str">
        <f aca="false">IF($P71=0,CE70,IF(CE$3=$E71,IF($AA71=1,$F71&amp;$AB71,$G71),IF(OR(CE$3=$D71,CE$3=$AC71,CE$3=$AE71),"",IF(CE$3=$AD71,$F71&amp;"R",CE70))))</f>
        <v>bP</v>
      </c>
      <c r="CF71" s="11" t="str">
        <f aca="false">IF($P71=0,CF70,IF(CF$3=$E71,IF($AA71=1,$F71&amp;$AB71,$G71),IF(OR(CF$3=$D71,CF$3=$AC71,CF$3=$AE71),"",IF(CF$3=$AD71,$F71&amp;"R",CF70))))</f>
        <v>bP</v>
      </c>
      <c r="CG71" s="11" t="str">
        <f aca="false">IF($P71=0,CG70,IF(CG$3=$E71,IF($AA71=1,$F71&amp;$AB71,$G71),IF(OR(CG$3=$D71,CG$3=$AC71,CG$3=$AE71),"",IF(CG$3=$AD71,$F71&amp;"R",CG70))))</f>
        <v>bP</v>
      </c>
      <c r="CH71" s="11" t="str">
        <f aca="false">IF($P71=0,CH70,IF(CH$3=$E71,IF($AA71=1,$F71&amp;$AB71,$G71),IF(OR(CH$3=$D71,CH$3=$AC71,CH$3=$AE71),"",IF(CH$3=$AD71,$F71&amp;"R",CH70))))</f>
        <v>bP</v>
      </c>
      <c r="CI71" s="11" t="str">
        <f aca="false">IF($P71=0,CI70,IF(CI$3=$E71,IF($AA71=1,$F71&amp;$AB71,$G71),IF(OR(CI$3=$D71,CI$3=$AC71,CI$3=$AE71),"",IF(CI$3=$AD71,$F71&amp;"R",CI70))))</f>
        <v>bP</v>
      </c>
      <c r="CJ71" s="11" t="str">
        <f aca="false">IF($P71=0,CJ70,IF(CJ$3=$E71,IF($AA71=1,$F71&amp;$AB71,$G71),IF(OR(CJ$3=$D71,CJ$3=$AC71,CJ$3=$AE71),"",IF(CJ$3=$AD71,$F71&amp;"R",CJ70))))</f>
        <v>bP</v>
      </c>
      <c r="CK71" s="11" t="str">
        <f aca="false">IF($P71=0,CK70,IF(CK$3=$E71,IF($AA71=1,$F71&amp;$AB71,$G71),IF(OR(CK$3=$D71,CK$3=$AC71,CK$3=$AE71),"",IF(CK$3=$AD71,$F71&amp;"R",CK70))))</f>
        <v>bP</v>
      </c>
      <c r="CL71" s="11" t="str">
        <f aca="false">IF($P71=0,CL70,IF(CL$3=$E71,IF($AA71=1,$F71&amp;$AB71,$G71),IF(OR(CL$3=$D71,CL$3=$AC71,CL$3=$AE71),"",IF(CL$3=$AD71,$F71&amp;"R",CL70))))</f>
        <v>bR</v>
      </c>
      <c r="CM71" s="11" t="str">
        <f aca="false">IF($P71=0,CM70,IF(CM$3=$E71,IF($AA71=1,$F71&amp;$AB71,$G71),IF(OR(CM$3=$D71,CM$3=$AC71,CM$3=$AE71),"",IF(CM$3=$AD71,$F71&amp;"R",CM70))))</f>
        <v>bN</v>
      </c>
      <c r="CN71" s="11" t="str">
        <f aca="false">IF($P71=0,CN70,IF(CN$3=$E71,IF($AA71=1,$F71&amp;$AB71,$G71),IF(OR(CN$3=$D71,CN$3=$AC71,CN$3=$AE71),"",IF(CN$3=$AD71,$F71&amp;"R",CN70))))</f>
        <v>bB</v>
      </c>
      <c r="CO71" s="11" t="str">
        <f aca="false">IF($P71=0,CO70,IF(CO$3=$E71,IF($AA71=1,$F71&amp;$AB71,$G71),IF(OR(CO$3=$D71,CO$3=$AC71,CO$3=$AE71),"",IF(CO$3=$AD71,$F71&amp;"R",CO70))))</f>
        <v>bQ</v>
      </c>
      <c r="CP71" s="11" t="str">
        <f aca="false">IF($P71=0,CP70,IF(CP$3=$E71,IF($AA71=1,$F71&amp;$AB71,$G71),IF(OR(CP$3=$D71,CP$3=$AC71,CP$3=$AE71),"",IF(CP$3=$AD71,$F71&amp;"R",CP70))))</f>
        <v>bK</v>
      </c>
      <c r="CQ71" s="11" t="str">
        <f aca="false">IF($P71=0,CQ70,IF(CQ$3=$E71,IF($AA71=1,$F71&amp;$AB71,$G71),IF(OR(CQ$3=$D71,CQ$3=$AC71,CQ$3=$AE71),"",IF(CQ$3=$AD71,$F71&amp;"R",CQ70))))</f>
        <v>bB</v>
      </c>
      <c r="CR71" s="11" t="str">
        <f aca="false">IF($P71=0,CR70,IF(CR$3=$E71,IF($AA71=1,$F71&amp;$AB71,$G71),IF(OR(CR$3=$D71,CR$3=$AC71,CR$3=$AE71),"",IF(CR$3=$AD71,$F71&amp;"R",CR70))))</f>
        <v>bN</v>
      </c>
      <c r="CS71" s="11" t="str">
        <f aca="false">IF($P71=0,CS70,IF(CS$3=$E71,IF($AA71=1,$F71&amp;$AB71,$G71),IF(OR(CS$3=$D71,CS$3=$AC71,CS$3=$AE71),"",IF(CS$3=$AD71,$F71&amp;"R",CS70))))</f>
        <v>bR</v>
      </c>
      <c r="CT71" s="11"/>
      <c r="CU71" s="11"/>
      <c r="CV71" s="11"/>
    </row>
    <row r="72" customFormat="false" ht="15" hidden="false" customHeight="false" outlineLevel="0" collapsed="false">
      <c r="A72" s="11" t="n">
        <v>67</v>
      </c>
      <c r="B72" s="11" t="str">
        <f aca="false">IF(Chess!$L$76="","",Chess!$L$76&amp;"")</f>
        <v/>
      </c>
      <c r="C72" s="11" t="str">
        <f aca="false">LOWER(SUBSTITUTE(SUBSTITUTE(SUBSTITUTE(SUBSTITUTE(TRIM($B72),"-",""),"=","")," ",""),"x",""))</f>
        <v/>
      </c>
      <c r="D72" s="11" t="n">
        <f aca="false">IF(LEN($C72)&lt;4,0,IFERROR(IF(AND(CODE(MID($C72,1,1))&gt;=97,CODE(MID($C72,1,1))&lt;=104,VALUE(MID($C72,2,1))&gt;=1,VALUE(MID($C72,2,1))&lt;=8),(VALUE(MID($C72,2,1))-1)*8+CODE(MID($C72,1,1))-96,0),0))</f>
        <v>0</v>
      </c>
      <c r="E72" s="11" t="n">
        <f aca="false">IF(LEN($C72)&lt;4,0,IFERROR(IF(AND(CODE(MID($C72,3,1))&gt;=97,CODE(MID($C72,3,1))&lt;=104,VALUE(MID($C72,4,1))&gt;=1,VALUE(MID($C72,4,1))&lt;=8),(VALUE(MID($C72,4,1))-1)*8+CODE(MID($C72,3,1))-96,0),0))</f>
        <v>0</v>
      </c>
      <c r="F72" s="11" t="str">
        <f aca="false">IF(MOD(SUM($P$5:$P71),2)=0,"w","b")</f>
        <v>w</v>
      </c>
      <c r="G72" s="11" t="str">
        <f aca="false">IF($D72=0,"",INDEX($AH71:$CS71,1,$D72)&amp;"")</f>
        <v/>
      </c>
      <c r="H72" s="11" t="str">
        <f aca="false">IF($E72=0,"",INDEX($AH71:$CS71,1,$E72)&amp;"")</f>
        <v/>
      </c>
      <c r="I72" s="11" t="n">
        <f aca="false">IF(OR($D72=0,$E72=0),0,MOD($E72-1,8)-MOD($D72-1,8))</f>
        <v>0</v>
      </c>
      <c r="J72" s="11" t="n">
        <f aca="false">IF(OR($D72=0,$E72=0),0,INT(($E72-1)/8)-INT(($D72-1)/8))</f>
        <v>0</v>
      </c>
      <c r="K72" s="11" t="str">
        <f aca="false">IF($G72="","",RIGHT($G72,1))</f>
        <v/>
      </c>
      <c r="L72" s="11" t="n">
        <f aca="false">IF(OR($D72=0,$E72=0),0,SUMPRODUCT(($AH$3:$CS$3&gt;MIN($D72,$E72))*($AH$3:$CS$3&lt;MAX($D72,$E72))*(MOD($AH$3:$CS$3-MIN($D72,$E72),MAX(1,ABS(SIGN($J72)*8+SIGN($I72))))=0)*($AH71:$CS71&lt;&gt;"")))</f>
        <v>0</v>
      </c>
      <c r="M72" s="11" t="n">
        <f aca="false">IF($K72&lt;&gt;"K",0,IFERROR(--AND($J72=0,ABS($I72)=2,$D72=IF($F72="w",5,61),IF($F72="w",$S71,$V71)=0,IF($I72=2,AND(IF($F72="w",$U71,$X71)=0,INDEX($AH71:$CS71,1,$D72+1)&amp;""="",INDEX($AH71:$CS71,1,$D72+2)&amp;""=""),AND(IF($F72="w",$T71,$W71)=0,INDEX($AH71:$CS71,1,$D72-1)&amp;""="",INDEX($AH71:$CS71,1,$D72-2)&amp;""="",INDEX($AH71:$CS71,1,$D72-3)&amp;""=""))),0))</f>
        <v>0</v>
      </c>
      <c r="N72" s="11" t="n">
        <f aca="false">IF($K72&lt;&gt;"P",0,IFERROR(--OR(AND($I72=0,$J72=IF($F72="w",1,-1),$H72=""),AND($I72=0,$J72=2*IF($F72="w",1,-1),$H72="",INT(($D72-1)/8)=IF($F72="w",1,6),INDEX($AH71:$CS71,1,MAX(1,MIN(64,$D72+8*IF($F72="w",1,-1))))&amp;""=""),AND(ABS($I72)=1,$J72=IF($F72="w",1,-1),$H72&lt;&gt;""),AND(ABS($I72)=1,$J72=IF($F72="w",1,-1),$H72="",$R71&gt;0,$E72=$R71)),0))</f>
        <v>0</v>
      </c>
      <c r="O72" s="11" t="n">
        <f aca="false">IF(OR($D72=0,$E72=0,$G72=""),0,IF($K72="N",--OR(AND(ABS($I72)=1,ABS($J72)=2),AND(ABS($I72)=2,ABS($J72)=1)),IF($K72="B",--AND(ABS($I72)=ABS($J72),$I72&lt;&gt;0,$L72=0),IF($K72="R",--AND(OR($I72=0,$J72=0),OR($I72&lt;&gt;0,$J72&lt;&gt;0),$L72=0),IF($K72="Q",--AND(OR(AND(ABS($I72)=ABS($J72),$I72&lt;&gt;0),AND(OR($I72=0,$J72=0),OR($I72&lt;&gt;0,$J72&lt;&gt;0))),$L72=0),IF($K72="K",--OR(MAX(ABS($I72),ABS($J72))=1,$M72=1),$N72))))))</f>
        <v>0</v>
      </c>
      <c r="P72" s="11" t="n">
        <f aca="false">IF($Q72="OK",1,0)</f>
        <v>0</v>
      </c>
      <c r="Q72" s="11" t="str">
        <f aca="false">IF($B72="","",IF(OR(COUNTIF($AH71:$CS71,"wK")=0,COUNTIF($AH71:$CS71,"bK")=0),"Game is over",IF(OR($D72=0,$E72=0),"Use the format e2e4",IF($G72="","No piece on that square",IF(LEFT($G72,1)&lt;&gt;$F72,"Not your piece ("&amp;IF($F72="w","White","Black")&amp;" to move)",IF($D72=$E72,"Piece must move",IF(AND($H72&lt;&gt;"",LEFT($H72,1)=$F72),"Cannot capture your own piece",IF($O72=0,"Illegal move for that piece (or path blocked)","OK"))))))))</f>
        <v/>
      </c>
      <c r="R72" s="11" t="n">
        <f aca="false">IF($P72=1,IF(AND($K72="P",ABS($J72)=2),($D72+$E72)/2,0),$R71)</f>
        <v>0</v>
      </c>
      <c r="S72" s="12" t="b">
        <f aca="false">--OR($S71=1,AND($P72=1,OR($D72=5,$E72=5)))</f>
        <v>0</v>
      </c>
      <c r="T72" s="12" t="b">
        <f aca="false">--OR($T71=1,AND($P72=1,OR($D72=1,$E72=1)))</f>
        <v>0</v>
      </c>
      <c r="U72" s="12" t="b">
        <f aca="false">--OR($U71=1,AND($P72=1,OR($D72=8,$E72=8)))</f>
        <v>0</v>
      </c>
      <c r="V72" s="12" t="b">
        <f aca="false">--OR($V71=1,AND($P72=1,OR($D72=61,$E72=61)))</f>
        <v>0</v>
      </c>
      <c r="W72" s="12" t="b">
        <f aca="false">--OR($W71=1,AND($P72=1,OR($D72=57,$E72=57)))</f>
        <v>0</v>
      </c>
      <c r="X72" s="12" t="b">
        <f aca="false">--OR($X71=1,AND($P72=1,OR($D72=64,$E72=64)))</f>
        <v>0</v>
      </c>
      <c r="Y72" s="12" t="b">
        <f aca="false">--AND($P72=1,$K72="K",ABS($I72)=2)</f>
        <v>0</v>
      </c>
      <c r="Z72" s="12" t="b">
        <f aca="false">--AND($P72=1,$K72="P",ABS($I72)=1,$H72="")</f>
        <v>0</v>
      </c>
      <c r="AA72" s="12" t="b">
        <f aca="false">--AND($P72=1,$K72="P",INT(($E72-1)/8)=IF($F72="w",7,0))</f>
        <v>0</v>
      </c>
      <c r="AB72" s="11" t="str">
        <f aca="false">IF(LEN($C72)&gt;=5,IF(ISNUMBER(FIND(MID($C72,5,1),"qrbn")),UPPER(MID($C72,5,1)),"Q"),"Q")</f>
        <v>Q</v>
      </c>
      <c r="AC72" s="11" t="n">
        <f aca="false">IF($Y72=1,IF($I72=2,$D72+3,$D72-4),0)</f>
        <v>0</v>
      </c>
      <c r="AD72" s="11" t="n">
        <f aca="false">IF($Y72=1,IF($I72=2,$D72+1,$D72-1),0)</f>
        <v>0</v>
      </c>
      <c r="AE72" s="11" t="n">
        <f aca="false">IF($Z72=1,$E72-8*IF($F72="w",1,-1),0)</f>
        <v>0</v>
      </c>
      <c r="AF72" s="11" t="str">
        <f aca="false">IF($B72="","",IF($P72=1,LOWER(INDEX($CV$2:$CV$13,MATCH($G72,$CU$2:$CU$13,0)))&amp;" "&amp;MID("abcdefgh",MOD($D72-1,8)+1,1)&amp;(INT(($D72-1)/8)+1)&amp;"→"&amp;MID("abcdefgh",MOD($E72-1,8)+1,1)&amp;(INT(($E72-1)/8)+1)&amp;IF(OR($H72&lt;&gt;"",$Z72=1)," ×","")&amp;IF($Y72=1," castles","")&amp;IF($Z72=1," e.p.","")&amp;IF($AA72=1," =" &amp;LOWER(INDEX($CV$2:$CV$13,MATCH($F72&amp;$AB72,$CU$2:$CU$13,0))),""),"X "&amp;$Q72))</f>
        <v/>
      </c>
      <c r="AG72" s="11"/>
      <c r="AH72" s="11" t="str">
        <f aca="false">IF($P72=0,AH71,IF(AH$3=$E72,IF($AA72=1,$F72&amp;$AB72,$G72),IF(OR(AH$3=$D72,AH$3=$AC72,AH$3=$AE72),"",IF(AH$3=$AD72,$F72&amp;"R",AH71))))</f>
        <v>wR</v>
      </c>
      <c r="AI72" s="11" t="str">
        <f aca="false">IF($P72=0,AI71,IF(AI$3=$E72,IF($AA72=1,$F72&amp;$AB72,$G72),IF(OR(AI$3=$D72,AI$3=$AC72,AI$3=$AE72),"",IF(AI$3=$AD72,$F72&amp;"R",AI71))))</f>
        <v>wN</v>
      </c>
      <c r="AJ72" s="11" t="str">
        <f aca="false">IF($P72=0,AJ71,IF(AJ$3=$E72,IF($AA72=1,$F72&amp;$AB72,$G72),IF(OR(AJ$3=$D72,AJ$3=$AC72,AJ$3=$AE72),"",IF(AJ$3=$AD72,$F72&amp;"R",AJ71))))</f>
        <v>wB</v>
      </c>
      <c r="AK72" s="11" t="str">
        <f aca="false">IF($P72=0,AK71,IF(AK$3=$E72,IF($AA72=1,$F72&amp;$AB72,$G72),IF(OR(AK$3=$D72,AK$3=$AC72,AK$3=$AE72),"",IF(AK$3=$AD72,$F72&amp;"R",AK71))))</f>
        <v>wQ</v>
      </c>
      <c r="AL72" s="11" t="str">
        <f aca="false">IF($P72=0,AL71,IF(AL$3=$E72,IF($AA72=1,$F72&amp;$AB72,$G72),IF(OR(AL$3=$D72,AL$3=$AC72,AL$3=$AE72),"",IF(AL$3=$AD72,$F72&amp;"R",AL71))))</f>
        <v>wK</v>
      </c>
      <c r="AM72" s="11" t="str">
        <f aca="false">IF($P72=0,AM71,IF(AM$3=$E72,IF($AA72=1,$F72&amp;$AB72,$G72),IF(OR(AM$3=$D72,AM$3=$AC72,AM$3=$AE72),"",IF(AM$3=$AD72,$F72&amp;"R",AM71))))</f>
        <v>wB</v>
      </c>
      <c r="AN72" s="11" t="str">
        <f aca="false">IF($P72=0,AN71,IF(AN$3=$E72,IF($AA72=1,$F72&amp;$AB72,$G72),IF(OR(AN$3=$D72,AN$3=$AC72,AN$3=$AE72),"",IF(AN$3=$AD72,$F72&amp;"R",AN71))))</f>
        <v>wN</v>
      </c>
      <c r="AO72" s="11" t="str">
        <f aca="false">IF($P72=0,AO71,IF(AO$3=$E72,IF($AA72=1,$F72&amp;$AB72,$G72),IF(OR(AO$3=$D72,AO$3=$AC72,AO$3=$AE72),"",IF(AO$3=$AD72,$F72&amp;"R",AO71))))</f>
        <v>wR</v>
      </c>
      <c r="AP72" s="11" t="str">
        <f aca="false">IF($P72=0,AP71,IF(AP$3=$E72,IF($AA72=1,$F72&amp;$AB72,$G72),IF(OR(AP$3=$D72,AP$3=$AC72,AP$3=$AE72),"",IF(AP$3=$AD72,$F72&amp;"R",AP71))))</f>
        <v>wP</v>
      </c>
      <c r="AQ72" s="11" t="str">
        <f aca="false">IF($P72=0,AQ71,IF(AQ$3=$E72,IF($AA72=1,$F72&amp;$AB72,$G72),IF(OR(AQ$3=$D72,AQ$3=$AC72,AQ$3=$AE72),"",IF(AQ$3=$AD72,$F72&amp;"R",AQ71))))</f>
        <v>wP</v>
      </c>
      <c r="AR72" s="11" t="str">
        <f aca="false">IF($P72=0,AR71,IF(AR$3=$E72,IF($AA72=1,$F72&amp;$AB72,$G72),IF(OR(AR$3=$D72,AR$3=$AC72,AR$3=$AE72),"",IF(AR$3=$AD72,$F72&amp;"R",AR71))))</f>
        <v>wP</v>
      </c>
      <c r="AS72" s="11" t="str">
        <f aca="false">IF($P72=0,AS71,IF(AS$3=$E72,IF($AA72=1,$F72&amp;$AB72,$G72),IF(OR(AS$3=$D72,AS$3=$AC72,AS$3=$AE72),"",IF(AS$3=$AD72,$F72&amp;"R",AS71))))</f>
        <v>wP</v>
      </c>
      <c r="AT72" s="11" t="str">
        <f aca="false">IF($P72=0,AT71,IF(AT$3=$E72,IF($AA72=1,$F72&amp;$AB72,$G72),IF(OR(AT$3=$D72,AT$3=$AC72,AT$3=$AE72),"",IF(AT$3=$AD72,$F72&amp;"R",AT71))))</f>
        <v>wP</v>
      </c>
      <c r="AU72" s="11" t="str">
        <f aca="false">IF($P72=0,AU71,IF(AU$3=$E72,IF($AA72=1,$F72&amp;$AB72,$G72),IF(OR(AU$3=$D72,AU$3=$AC72,AU$3=$AE72),"",IF(AU$3=$AD72,$F72&amp;"R",AU71))))</f>
        <v>wP</v>
      </c>
      <c r="AV72" s="11" t="str">
        <f aca="false">IF($P72=0,AV71,IF(AV$3=$E72,IF($AA72=1,$F72&amp;$AB72,$G72),IF(OR(AV$3=$D72,AV$3=$AC72,AV$3=$AE72),"",IF(AV$3=$AD72,$F72&amp;"R",AV71))))</f>
        <v>wP</v>
      </c>
      <c r="AW72" s="11" t="str">
        <f aca="false">IF($P72=0,AW71,IF(AW$3=$E72,IF($AA72=1,$F72&amp;$AB72,$G72),IF(OR(AW$3=$D72,AW$3=$AC72,AW$3=$AE72),"",IF(AW$3=$AD72,$F72&amp;"R",AW71))))</f>
        <v>wP</v>
      </c>
      <c r="AX72" s="11" t="str">
        <f aca="false">IF($P72=0,AX71,IF(AX$3=$E72,IF($AA72=1,$F72&amp;$AB72,$G72),IF(OR(AX$3=$D72,AX$3=$AC72,AX$3=$AE72),"",IF(AX$3=$AD72,$F72&amp;"R",AX71))))</f>
        <v/>
      </c>
      <c r="AY72" s="11" t="str">
        <f aca="false">IF($P72=0,AY71,IF(AY$3=$E72,IF($AA72=1,$F72&amp;$AB72,$G72),IF(OR(AY$3=$D72,AY$3=$AC72,AY$3=$AE72),"",IF(AY$3=$AD72,$F72&amp;"R",AY71))))</f>
        <v/>
      </c>
      <c r="AZ72" s="11" t="str">
        <f aca="false">IF($P72=0,AZ71,IF(AZ$3=$E72,IF($AA72=1,$F72&amp;$AB72,$G72),IF(OR(AZ$3=$D72,AZ$3=$AC72,AZ$3=$AE72),"",IF(AZ$3=$AD72,$F72&amp;"R",AZ71))))</f>
        <v/>
      </c>
      <c r="BA72" s="11" t="str">
        <f aca="false">IF($P72=0,BA71,IF(BA$3=$E72,IF($AA72=1,$F72&amp;$AB72,$G72),IF(OR(BA$3=$D72,BA$3=$AC72,BA$3=$AE72),"",IF(BA$3=$AD72,$F72&amp;"R",BA71))))</f>
        <v/>
      </c>
      <c r="BB72" s="11" t="str">
        <f aca="false">IF($P72=0,BB71,IF(BB$3=$E72,IF($AA72=1,$F72&amp;$AB72,$G72),IF(OR(BB$3=$D72,BB$3=$AC72,BB$3=$AE72),"",IF(BB$3=$AD72,$F72&amp;"R",BB71))))</f>
        <v/>
      </c>
      <c r="BC72" s="11" t="str">
        <f aca="false">IF($P72=0,BC71,IF(BC$3=$E72,IF($AA72=1,$F72&amp;$AB72,$G72),IF(OR(BC$3=$D72,BC$3=$AC72,BC$3=$AE72),"",IF(BC$3=$AD72,$F72&amp;"R",BC71))))</f>
        <v/>
      </c>
      <c r="BD72" s="11" t="str">
        <f aca="false">IF($P72=0,BD71,IF(BD$3=$E72,IF($AA72=1,$F72&amp;$AB72,$G72),IF(OR(BD$3=$D72,BD$3=$AC72,BD$3=$AE72),"",IF(BD$3=$AD72,$F72&amp;"R",BD71))))</f>
        <v/>
      </c>
      <c r="BE72" s="11" t="str">
        <f aca="false">IF($P72=0,BE71,IF(BE$3=$E72,IF($AA72=1,$F72&amp;$AB72,$G72),IF(OR(BE$3=$D72,BE$3=$AC72,BE$3=$AE72),"",IF(BE$3=$AD72,$F72&amp;"R",BE71))))</f>
        <v/>
      </c>
      <c r="BF72" s="11" t="str">
        <f aca="false">IF($P72=0,BF71,IF(BF$3=$E72,IF($AA72=1,$F72&amp;$AB72,$G72),IF(OR(BF$3=$D72,BF$3=$AC72,BF$3=$AE72),"",IF(BF$3=$AD72,$F72&amp;"R",BF71))))</f>
        <v/>
      </c>
      <c r="BG72" s="11" t="str">
        <f aca="false">IF($P72=0,BG71,IF(BG$3=$E72,IF($AA72=1,$F72&amp;$AB72,$G72),IF(OR(BG$3=$D72,BG$3=$AC72,BG$3=$AE72),"",IF(BG$3=$AD72,$F72&amp;"R",BG71))))</f>
        <v/>
      </c>
      <c r="BH72" s="11" t="str">
        <f aca="false">IF($P72=0,BH71,IF(BH$3=$E72,IF($AA72=1,$F72&amp;$AB72,$G72),IF(OR(BH$3=$D72,BH$3=$AC72,BH$3=$AE72),"",IF(BH$3=$AD72,$F72&amp;"R",BH71))))</f>
        <v/>
      </c>
      <c r="BI72" s="11" t="str">
        <f aca="false">IF($P72=0,BI71,IF(BI$3=$E72,IF($AA72=1,$F72&amp;$AB72,$G72),IF(OR(BI$3=$D72,BI$3=$AC72,BI$3=$AE72),"",IF(BI$3=$AD72,$F72&amp;"R",BI71))))</f>
        <v/>
      </c>
      <c r="BJ72" s="11" t="str">
        <f aca="false">IF($P72=0,BJ71,IF(BJ$3=$E72,IF($AA72=1,$F72&amp;$AB72,$G72),IF(OR(BJ$3=$D72,BJ$3=$AC72,BJ$3=$AE72),"",IF(BJ$3=$AD72,$F72&amp;"R",BJ71))))</f>
        <v/>
      </c>
      <c r="BK72" s="11" t="str">
        <f aca="false">IF($P72=0,BK71,IF(BK$3=$E72,IF($AA72=1,$F72&amp;$AB72,$G72),IF(OR(BK$3=$D72,BK$3=$AC72,BK$3=$AE72),"",IF(BK$3=$AD72,$F72&amp;"R",BK71))))</f>
        <v/>
      </c>
      <c r="BL72" s="11" t="str">
        <f aca="false">IF($P72=0,BL71,IF(BL$3=$E72,IF($AA72=1,$F72&amp;$AB72,$G72),IF(OR(BL$3=$D72,BL$3=$AC72,BL$3=$AE72),"",IF(BL$3=$AD72,$F72&amp;"R",BL71))))</f>
        <v/>
      </c>
      <c r="BM72" s="11" t="str">
        <f aca="false">IF($P72=0,BM71,IF(BM$3=$E72,IF($AA72=1,$F72&amp;$AB72,$G72),IF(OR(BM$3=$D72,BM$3=$AC72,BM$3=$AE72),"",IF(BM$3=$AD72,$F72&amp;"R",BM71))))</f>
        <v/>
      </c>
      <c r="BN72" s="11" t="str">
        <f aca="false">IF($P72=0,BN71,IF(BN$3=$E72,IF($AA72=1,$F72&amp;$AB72,$G72),IF(OR(BN$3=$D72,BN$3=$AC72,BN$3=$AE72),"",IF(BN$3=$AD72,$F72&amp;"R",BN71))))</f>
        <v/>
      </c>
      <c r="BO72" s="11" t="str">
        <f aca="false">IF($P72=0,BO71,IF(BO$3=$E72,IF($AA72=1,$F72&amp;$AB72,$G72),IF(OR(BO$3=$D72,BO$3=$AC72,BO$3=$AE72),"",IF(BO$3=$AD72,$F72&amp;"R",BO71))))</f>
        <v/>
      </c>
      <c r="BP72" s="11" t="str">
        <f aca="false">IF($P72=0,BP71,IF(BP$3=$E72,IF($AA72=1,$F72&amp;$AB72,$G72),IF(OR(BP$3=$D72,BP$3=$AC72,BP$3=$AE72),"",IF(BP$3=$AD72,$F72&amp;"R",BP71))))</f>
        <v/>
      </c>
      <c r="BQ72" s="11" t="str">
        <f aca="false">IF($P72=0,BQ71,IF(BQ$3=$E72,IF($AA72=1,$F72&amp;$AB72,$G72),IF(OR(BQ$3=$D72,BQ$3=$AC72,BQ$3=$AE72),"",IF(BQ$3=$AD72,$F72&amp;"R",BQ71))))</f>
        <v/>
      </c>
      <c r="BR72" s="11" t="str">
        <f aca="false">IF($P72=0,BR71,IF(BR$3=$E72,IF($AA72=1,$F72&amp;$AB72,$G72),IF(OR(BR$3=$D72,BR$3=$AC72,BR$3=$AE72),"",IF(BR$3=$AD72,$F72&amp;"R",BR71))))</f>
        <v/>
      </c>
      <c r="BS72" s="11" t="str">
        <f aca="false">IF($P72=0,BS71,IF(BS$3=$E72,IF($AA72=1,$F72&amp;$AB72,$G72),IF(OR(BS$3=$D72,BS$3=$AC72,BS$3=$AE72),"",IF(BS$3=$AD72,$F72&amp;"R",BS71))))</f>
        <v/>
      </c>
      <c r="BT72" s="11" t="str">
        <f aca="false">IF($P72=0,BT71,IF(BT$3=$E72,IF($AA72=1,$F72&amp;$AB72,$G72),IF(OR(BT$3=$D72,BT$3=$AC72,BT$3=$AE72),"",IF(BT$3=$AD72,$F72&amp;"R",BT71))))</f>
        <v/>
      </c>
      <c r="BU72" s="11" t="str">
        <f aca="false">IF($P72=0,BU71,IF(BU$3=$E72,IF($AA72=1,$F72&amp;$AB72,$G72),IF(OR(BU$3=$D72,BU$3=$AC72,BU$3=$AE72),"",IF(BU$3=$AD72,$F72&amp;"R",BU71))))</f>
        <v/>
      </c>
      <c r="BV72" s="11" t="str">
        <f aca="false">IF($P72=0,BV71,IF(BV$3=$E72,IF($AA72=1,$F72&amp;$AB72,$G72),IF(OR(BV$3=$D72,BV$3=$AC72,BV$3=$AE72),"",IF(BV$3=$AD72,$F72&amp;"R",BV71))))</f>
        <v/>
      </c>
      <c r="BW72" s="11" t="str">
        <f aca="false">IF($P72=0,BW71,IF(BW$3=$E72,IF($AA72=1,$F72&amp;$AB72,$G72),IF(OR(BW$3=$D72,BW$3=$AC72,BW$3=$AE72),"",IF(BW$3=$AD72,$F72&amp;"R",BW71))))</f>
        <v/>
      </c>
      <c r="BX72" s="11" t="str">
        <f aca="false">IF($P72=0,BX71,IF(BX$3=$E72,IF($AA72=1,$F72&amp;$AB72,$G72),IF(OR(BX$3=$D72,BX$3=$AC72,BX$3=$AE72),"",IF(BX$3=$AD72,$F72&amp;"R",BX71))))</f>
        <v/>
      </c>
      <c r="BY72" s="11" t="str">
        <f aca="false">IF($P72=0,BY71,IF(BY$3=$E72,IF($AA72=1,$F72&amp;$AB72,$G72),IF(OR(BY$3=$D72,BY$3=$AC72,BY$3=$AE72),"",IF(BY$3=$AD72,$F72&amp;"R",BY71))))</f>
        <v/>
      </c>
      <c r="BZ72" s="11" t="str">
        <f aca="false">IF($P72=0,BZ71,IF(BZ$3=$E72,IF($AA72=1,$F72&amp;$AB72,$G72),IF(OR(BZ$3=$D72,BZ$3=$AC72,BZ$3=$AE72),"",IF(BZ$3=$AD72,$F72&amp;"R",BZ71))))</f>
        <v/>
      </c>
      <c r="CA72" s="11" t="str">
        <f aca="false">IF($P72=0,CA71,IF(CA$3=$E72,IF($AA72=1,$F72&amp;$AB72,$G72),IF(OR(CA$3=$D72,CA$3=$AC72,CA$3=$AE72),"",IF(CA$3=$AD72,$F72&amp;"R",CA71))))</f>
        <v/>
      </c>
      <c r="CB72" s="11" t="str">
        <f aca="false">IF($P72=0,CB71,IF(CB$3=$E72,IF($AA72=1,$F72&amp;$AB72,$G72),IF(OR(CB$3=$D72,CB$3=$AC72,CB$3=$AE72),"",IF(CB$3=$AD72,$F72&amp;"R",CB71))))</f>
        <v/>
      </c>
      <c r="CC72" s="11" t="str">
        <f aca="false">IF($P72=0,CC71,IF(CC$3=$E72,IF($AA72=1,$F72&amp;$AB72,$G72),IF(OR(CC$3=$D72,CC$3=$AC72,CC$3=$AE72),"",IF(CC$3=$AD72,$F72&amp;"R",CC71))))</f>
        <v/>
      </c>
      <c r="CD72" s="11" t="str">
        <f aca="false">IF($P72=0,CD71,IF(CD$3=$E72,IF($AA72=1,$F72&amp;$AB72,$G72),IF(OR(CD$3=$D72,CD$3=$AC72,CD$3=$AE72),"",IF(CD$3=$AD72,$F72&amp;"R",CD71))))</f>
        <v>bP</v>
      </c>
      <c r="CE72" s="11" t="str">
        <f aca="false">IF($P72=0,CE71,IF(CE$3=$E72,IF($AA72=1,$F72&amp;$AB72,$G72),IF(OR(CE$3=$D72,CE$3=$AC72,CE$3=$AE72),"",IF(CE$3=$AD72,$F72&amp;"R",CE71))))</f>
        <v>bP</v>
      </c>
      <c r="CF72" s="11" t="str">
        <f aca="false">IF($P72=0,CF71,IF(CF$3=$E72,IF($AA72=1,$F72&amp;$AB72,$G72),IF(OR(CF$3=$D72,CF$3=$AC72,CF$3=$AE72),"",IF(CF$3=$AD72,$F72&amp;"R",CF71))))</f>
        <v>bP</v>
      </c>
      <c r="CG72" s="11" t="str">
        <f aca="false">IF($P72=0,CG71,IF(CG$3=$E72,IF($AA72=1,$F72&amp;$AB72,$G72),IF(OR(CG$3=$D72,CG$3=$AC72,CG$3=$AE72),"",IF(CG$3=$AD72,$F72&amp;"R",CG71))))</f>
        <v>bP</v>
      </c>
      <c r="CH72" s="11" t="str">
        <f aca="false">IF($P72=0,CH71,IF(CH$3=$E72,IF($AA72=1,$F72&amp;$AB72,$G72),IF(OR(CH$3=$D72,CH$3=$AC72,CH$3=$AE72),"",IF(CH$3=$AD72,$F72&amp;"R",CH71))))</f>
        <v>bP</v>
      </c>
      <c r="CI72" s="11" t="str">
        <f aca="false">IF($P72=0,CI71,IF(CI$3=$E72,IF($AA72=1,$F72&amp;$AB72,$G72),IF(OR(CI$3=$D72,CI$3=$AC72,CI$3=$AE72),"",IF(CI$3=$AD72,$F72&amp;"R",CI71))))</f>
        <v>bP</v>
      </c>
      <c r="CJ72" s="11" t="str">
        <f aca="false">IF($P72=0,CJ71,IF(CJ$3=$E72,IF($AA72=1,$F72&amp;$AB72,$G72),IF(OR(CJ$3=$D72,CJ$3=$AC72,CJ$3=$AE72),"",IF(CJ$3=$AD72,$F72&amp;"R",CJ71))))</f>
        <v>bP</v>
      </c>
      <c r="CK72" s="11" t="str">
        <f aca="false">IF($P72=0,CK71,IF(CK$3=$E72,IF($AA72=1,$F72&amp;$AB72,$G72),IF(OR(CK$3=$D72,CK$3=$AC72,CK$3=$AE72),"",IF(CK$3=$AD72,$F72&amp;"R",CK71))))</f>
        <v>bP</v>
      </c>
      <c r="CL72" s="11" t="str">
        <f aca="false">IF($P72=0,CL71,IF(CL$3=$E72,IF($AA72=1,$F72&amp;$AB72,$G72),IF(OR(CL$3=$D72,CL$3=$AC72,CL$3=$AE72),"",IF(CL$3=$AD72,$F72&amp;"R",CL71))))</f>
        <v>bR</v>
      </c>
      <c r="CM72" s="11" t="str">
        <f aca="false">IF($P72=0,CM71,IF(CM$3=$E72,IF($AA72=1,$F72&amp;$AB72,$G72),IF(OR(CM$3=$D72,CM$3=$AC72,CM$3=$AE72),"",IF(CM$3=$AD72,$F72&amp;"R",CM71))))</f>
        <v>bN</v>
      </c>
      <c r="CN72" s="11" t="str">
        <f aca="false">IF($P72=0,CN71,IF(CN$3=$E72,IF($AA72=1,$F72&amp;$AB72,$G72),IF(OR(CN$3=$D72,CN$3=$AC72,CN$3=$AE72),"",IF(CN$3=$AD72,$F72&amp;"R",CN71))))</f>
        <v>bB</v>
      </c>
      <c r="CO72" s="11" t="str">
        <f aca="false">IF($P72=0,CO71,IF(CO$3=$E72,IF($AA72=1,$F72&amp;$AB72,$G72),IF(OR(CO$3=$D72,CO$3=$AC72,CO$3=$AE72),"",IF(CO$3=$AD72,$F72&amp;"R",CO71))))</f>
        <v>bQ</v>
      </c>
      <c r="CP72" s="11" t="str">
        <f aca="false">IF($P72=0,CP71,IF(CP$3=$E72,IF($AA72=1,$F72&amp;$AB72,$G72),IF(OR(CP$3=$D72,CP$3=$AC72,CP$3=$AE72),"",IF(CP$3=$AD72,$F72&amp;"R",CP71))))</f>
        <v>bK</v>
      </c>
      <c r="CQ72" s="11" t="str">
        <f aca="false">IF($P72=0,CQ71,IF(CQ$3=$E72,IF($AA72=1,$F72&amp;$AB72,$G72),IF(OR(CQ$3=$D72,CQ$3=$AC72,CQ$3=$AE72),"",IF(CQ$3=$AD72,$F72&amp;"R",CQ71))))</f>
        <v>bB</v>
      </c>
      <c r="CR72" s="11" t="str">
        <f aca="false">IF($P72=0,CR71,IF(CR$3=$E72,IF($AA72=1,$F72&amp;$AB72,$G72),IF(OR(CR$3=$D72,CR$3=$AC72,CR$3=$AE72),"",IF(CR$3=$AD72,$F72&amp;"R",CR71))))</f>
        <v>bN</v>
      </c>
      <c r="CS72" s="11" t="str">
        <f aca="false">IF($P72=0,CS71,IF(CS$3=$E72,IF($AA72=1,$F72&amp;$AB72,$G72),IF(OR(CS$3=$D72,CS$3=$AC72,CS$3=$AE72),"",IF(CS$3=$AD72,$F72&amp;"R",CS71))))</f>
        <v>bR</v>
      </c>
      <c r="CT72" s="11"/>
      <c r="CU72" s="11"/>
      <c r="CV72" s="11"/>
    </row>
    <row r="73" customFormat="false" ht="15" hidden="false" customHeight="false" outlineLevel="0" collapsed="false">
      <c r="A73" s="11" t="n">
        <v>68</v>
      </c>
      <c r="B73" s="11" t="str">
        <f aca="false">IF(Chess!$L$77="","",Chess!$L$77&amp;"")</f>
        <v/>
      </c>
      <c r="C73" s="11" t="str">
        <f aca="false">LOWER(SUBSTITUTE(SUBSTITUTE(SUBSTITUTE(SUBSTITUTE(TRIM($B73),"-",""),"=","")," ",""),"x",""))</f>
        <v/>
      </c>
      <c r="D73" s="11" t="n">
        <f aca="false">IF(LEN($C73)&lt;4,0,IFERROR(IF(AND(CODE(MID($C73,1,1))&gt;=97,CODE(MID($C73,1,1))&lt;=104,VALUE(MID($C73,2,1))&gt;=1,VALUE(MID($C73,2,1))&lt;=8),(VALUE(MID($C73,2,1))-1)*8+CODE(MID($C73,1,1))-96,0),0))</f>
        <v>0</v>
      </c>
      <c r="E73" s="11" t="n">
        <f aca="false">IF(LEN($C73)&lt;4,0,IFERROR(IF(AND(CODE(MID($C73,3,1))&gt;=97,CODE(MID($C73,3,1))&lt;=104,VALUE(MID($C73,4,1))&gt;=1,VALUE(MID($C73,4,1))&lt;=8),(VALUE(MID($C73,4,1))-1)*8+CODE(MID($C73,3,1))-96,0),0))</f>
        <v>0</v>
      </c>
      <c r="F73" s="11" t="str">
        <f aca="false">IF(MOD(SUM($P$5:$P72),2)=0,"w","b")</f>
        <v>w</v>
      </c>
      <c r="G73" s="11" t="str">
        <f aca="false">IF($D73=0,"",INDEX($AH72:$CS72,1,$D73)&amp;"")</f>
        <v/>
      </c>
      <c r="H73" s="11" t="str">
        <f aca="false">IF($E73=0,"",INDEX($AH72:$CS72,1,$E73)&amp;"")</f>
        <v/>
      </c>
      <c r="I73" s="11" t="n">
        <f aca="false">IF(OR($D73=0,$E73=0),0,MOD($E73-1,8)-MOD($D73-1,8))</f>
        <v>0</v>
      </c>
      <c r="J73" s="11" t="n">
        <f aca="false">IF(OR($D73=0,$E73=0),0,INT(($E73-1)/8)-INT(($D73-1)/8))</f>
        <v>0</v>
      </c>
      <c r="K73" s="11" t="str">
        <f aca="false">IF($G73="","",RIGHT($G73,1))</f>
        <v/>
      </c>
      <c r="L73" s="11" t="n">
        <f aca="false">IF(OR($D73=0,$E73=0),0,SUMPRODUCT(($AH$3:$CS$3&gt;MIN($D73,$E73))*($AH$3:$CS$3&lt;MAX($D73,$E73))*(MOD($AH$3:$CS$3-MIN($D73,$E73),MAX(1,ABS(SIGN($J73)*8+SIGN($I73))))=0)*($AH72:$CS72&lt;&gt;"")))</f>
        <v>0</v>
      </c>
      <c r="M73" s="11" t="n">
        <f aca="false">IF($K73&lt;&gt;"K",0,IFERROR(--AND($J73=0,ABS($I73)=2,$D73=IF($F73="w",5,61),IF($F73="w",$S72,$V72)=0,IF($I73=2,AND(IF($F73="w",$U72,$X72)=0,INDEX($AH72:$CS72,1,$D73+1)&amp;""="",INDEX($AH72:$CS72,1,$D73+2)&amp;""=""),AND(IF($F73="w",$T72,$W72)=0,INDEX($AH72:$CS72,1,$D73-1)&amp;""="",INDEX($AH72:$CS72,1,$D73-2)&amp;""="",INDEX($AH72:$CS72,1,$D73-3)&amp;""=""))),0))</f>
        <v>0</v>
      </c>
      <c r="N73" s="11" t="n">
        <f aca="false">IF($K73&lt;&gt;"P",0,IFERROR(--OR(AND($I73=0,$J73=IF($F73="w",1,-1),$H73=""),AND($I73=0,$J73=2*IF($F73="w",1,-1),$H73="",INT(($D73-1)/8)=IF($F73="w",1,6),INDEX($AH72:$CS72,1,MAX(1,MIN(64,$D73+8*IF($F73="w",1,-1))))&amp;""=""),AND(ABS($I73)=1,$J73=IF($F73="w",1,-1),$H73&lt;&gt;""),AND(ABS($I73)=1,$J73=IF($F73="w",1,-1),$H73="",$R72&gt;0,$E73=$R72)),0))</f>
        <v>0</v>
      </c>
      <c r="O73" s="11" t="n">
        <f aca="false">IF(OR($D73=0,$E73=0,$G73=""),0,IF($K73="N",--OR(AND(ABS($I73)=1,ABS($J73)=2),AND(ABS($I73)=2,ABS($J73)=1)),IF($K73="B",--AND(ABS($I73)=ABS($J73),$I73&lt;&gt;0,$L73=0),IF($K73="R",--AND(OR($I73=0,$J73=0),OR($I73&lt;&gt;0,$J73&lt;&gt;0),$L73=0),IF($K73="Q",--AND(OR(AND(ABS($I73)=ABS($J73),$I73&lt;&gt;0),AND(OR($I73=0,$J73=0),OR($I73&lt;&gt;0,$J73&lt;&gt;0))),$L73=0),IF($K73="K",--OR(MAX(ABS($I73),ABS($J73))=1,$M73=1),$N73))))))</f>
        <v>0</v>
      </c>
      <c r="P73" s="11" t="n">
        <f aca="false">IF($Q73="OK",1,0)</f>
        <v>0</v>
      </c>
      <c r="Q73" s="11" t="str">
        <f aca="false">IF($B73="","",IF(OR(COUNTIF($AH72:$CS72,"wK")=0,COUNTIF($AH72:$CS72,"bK")=0),"Game is over",IF(OR($D73=0,$E73=0),"Use the format e2e4",IF($G73="","No piece on that square",IF(LEFT($G73,1)&lt;&gt;$F73,"Not your piece ("&amp;IF($F73="w","White","Black")&amp;" to move)",IF($D73=$E73,"Piece must move",IF(AND($H73&lt;&gt;"",LEFT($H73,1)=$F73),"Cannot capture your own piece",IF($O73=0,"Illegal move for that piece (or path blocked)","OK"))))))))</f>
        <v/>
      </c>
      <c r="R73" s="11" t="n">
        <f aca="false">IF($P73=1,IF(AND($K73="P",ABS($J73)=2),($D73+$E73)/2,0),$R72)</f>
        <v>0</v>
      </c>
      <c r="S73" s="12" t="b">
        <f aca="false">--OR($S72=1,AND($P73=1,OR($D73=5,$E73=5)))</f>
        <v>0</v>
      </c>
      <c r="T73" s="12" t="b">
        <f aca="false">--OR($T72=1,AND($P73=1,OR($D73=1,$E73=1)))</f>
        <v>0</v>
      </c>
      <c r="U73" s="12" t="b">
        <f aca="false">--OR($U72=1,AND($P73=1,OR($D73=8,$E73=8)))</f>
        <v>0</v>
      </c>
      <c r="V73" s="12" t="b">
        <f aca="false">--OR($V72=1,AND($P73=1,OR($D73=61,$E73=61)))</f>
        <v>0</v>
      </c>
      <c r="W73" s="12" t="b">
        <f aca="false">--OR($W72=1,AND($P73=1,OR($D73=57,$E73=57)))</f>
        <v>0</v>
      </c>
      <c r="X73" s="12" t="b">
        <f aca="false">--OR($X72=1,AND($P73=1,OR($D73=64,$E73=64)))</f>
        <v>0</v>
      </c>
      <c r="Y73" s="12" t="b">
        <f aca="false">--AND($P73=1,$K73="K",ABS($I73)=2)</f>
        <v>0</v>
      </c>
      <c r="Z73" s="12" t="b">
        <f aca="false">--AND($P73=1,$K73="P",ABS($I73)=1,$H73="")</f>
        <v>0</v>
      </c>
      <c r="AA73" s="12" t="b">
        <f aca="false">--AND($P73=1,$K73="P",INT(($E73-1)/8)=IF($F73="w",7,0))</f>
        <v>0</v>
      </c>
      <c r="AB73" s="11" t="str">
        <f aca="false">IF(LEN($C73)&gt;=5,IF(ISNUMBER(FIND(MID($C73,5,1),"qrbn")),UPPER(MID($C73,5,1)),"Q"),"Q")</f>
        <v>Q</v>
      </c>
      <c r="AC73" s="11" t="n">
        <f aca="false">IF($Y73=1,IF($I73=2,$D73+3,$D73-4),0)</f>
        <v>0</v>
      </c>
      <c r="AD73" s="11" t="n">
        <f aca="false">IF($Y73=1,IF($I73=2,$D73+1,$D73-1),0)</f>
        <v>0</v>
      </c>
      <c r="AE73" s="11" t="n">
        <f aca="false">IF($Z73=1,$E73-8*IF($F73="w",1,-1),0)</f>
        <v>0</v>
      </c>
      <c r="AF73" s="11" t="str">
        <f aca="false">IF($B73="","",IF($P73=1,LOWER(INDEX($CV$2:$CV$13,MATCH($G73,$CU$2:$CU$13,0)))&amp;" "&amp;MID("abcdefgh",MOD($D73-1,8)+1,1)&amp;(INT(($D73-1)/8)+1)&amp;"→"&amp;MID("abcdefgh",MOD($E73-1,8)+1,1)&amp;(INT(($E73-1)/8)+1)&amp;IF(OR($H73&lt;&gt;"",$Z73=1)," ×","")&amp;IF($Y73=1," castles","")&amp;IF($Z73=1," e.p.","")&amp;IF($AA73=1," =" &amp;LOWER(INDEX($CV$2:$CV$13,MATCH($F73&amp;$AB73,$CU$2:$CU$13,0))),""),"X "&amp;$Q73))</f>
        <v/>
      </c>
      <c r="AG73" s="11"/>
      <c r="AH73" s="11" t="str">
        <f aca="false">IF($P73=0,AH72,IF(AH$3=$E73,IF($AA73=1,$F73&amp;$AB73,$G73),IF(OR(AH$3=$D73,AH$3=$AC73,AH$3=$AE73),"",IF(AH$3=$AD73,$F73&amp;"R",AH72))))</f>
        <v>wR</v>
      </c>
      <c r="AI73" s="11" t="str">
        <f aca="false">IF($P73=0,AI72,IF(AI$3=$E73,IF($AA73=1,$F73&amp;$AB73,$G73),IF(OR(AI$3=$D73,AI$3=$AC73,AI$3=$AE73),"",IF(AI$3=$AD73,$F73&amp;"R",AI72))))</f>
        <v>wN</v>
      </c>
      <c r="AJ73" s="11" t="str">
        <f aca="false">IF($P73=0,AJ72,IF(AJ$3=$E73,IF($AA73=1,$F73&amp;$AB73,$G73),IF(OR(AJ$3=$D73,AJ$3=$AC73,AJ$3=$AE73),"",IF(AJ$3=$AD73,$F73&amp;"R",AJ72))))</f>
        <v>wB</v>
      </c>
      <c r="AK73" s="11" t="str">
        <f aca="false">IF($P73=0,AK72,IF(AK$3=$E73,IF($AA73=1,$F73&amp;$AB73,$G73),IF(OR(AK$3=$D73,AK$3=$AC73,AK$3=$AE73),"",IF(AK$3=$AD73,$F73&amp;"R",AK72))))</f>
        <v>wQ</v>
      </c>
      <c r="AL73" s="11" t="str">
        <f aca="false">IF($P73=0,AL72,IF(AL$3=$E73,IF($AA73=1,$F73&amp;$AB73,$G73),IF(OR(AL$3=$D73,AL$3=$AC73,AL$3=$AE73),"",IF(AL$3=$AD73,$F73&amp;"R",AL72))))</f>
        <v>wK</v>
      </c>
      <c r="AM73" s="11" t="str">
        <f aca="false">IF($P73=0,AM72,IF(AM$3=$E73,IF($AA73=1,$F73&amp;$AB73,$G73),IF(OR(AM$3=$D73,AM$3=$AC73,AM$3=$AE73),"",IF(AM$3=$AD73,$F73&amp;"R",AM72))))</f>
        <v>wB</v>
      </c>
      <c r="AN73" s="11" t="str">
        <f aca="false">IF($P73=0,AN72,IF(AN$3=$E73,IF($AA73=1,$F73&amp;$AB73,$G73),IF(OR(AN$3=$D73,AN$3=$AC73,AN$3=$AE73),"",IF(AN$3=$AD73,$F73&amp;"R",AN72))))</f>
        <v>wN</v>
      </c>
      <c r="AO73" s="11" t="str">
        <f aca="false">IF($P73=0,AO72,IF(AO$3=$E73,IF($AA73=1,$F73&amp;$AB73,$G73),IF(OR(AO$3=$D73,AO$3=$AC73,AO$3=$AE73),"",IF(AO$3=$AD73,$F73&amp;"R",AO72))))</f>
        <v>wR</v>
      </c>
      <c r="AP73" s="11" t="str">
        <f aca="false">IF($P73=0,AP72,IF(AP$3=$E73,IF($AA73=1,$F73&amp;$AB73,$G73),IF(OR(AP$3=$D73,AP$3=$AC73,AP$3=$AE73),"",IF(AP$3=$AD73,$F73&amp;"R",AP72))))</f>
        <v>wP</v>
      </c>
      <c r="AQ73" s="11" t="str">
        <f aca="false">IF($P73=0,AQ72,IF(AQ$3=$E73,IF($AA73=1,$F73&amp;$AB73,$G73),IF(OR(AQ$3=$D73,AQ$3=$AC73,AQ$3=$AE73),"",IF(AQ$3=$AD73,$F73&amp;"R",AQ72))))</f>
        <v>wP</v>
      </c>
      <c r="AR73" s="11" t="str">
        <f aca="false">IF($P73=0,AR72,IF(AR$3=$E73,IF($AA73=1,$F73&amp;$AB73,$G73),IF(OR(AR$3=$D73,AR$3=$AC73,AR$3=$AE73),"",IF(AR$3=$AD73,$F73&amp;"R",AR72))))</f>
        <v>wP</v>
      </c>
      <c r="AS73" s="11" t="str">
        <f aca="false">IF($P73=0,AS72,IF(AS$3=$E73,IF($AA73=1,$F73&amp;$AB73,$G73),IF(OR(AS$3=$D73,AS$3=$AC73,AS$3=$AE73),"",IF(AS$3=$AD73,$F73&amp;"R",AS72))))</f>
        <v>wP</v>
      </c>
      <c r="AT73" s="11" t="str">
        <f aca="false">IF($P73=0,AT72,IF(AT$3=$E73,IF($AA73=1,$F73&amp;$AB73,$G73),IF(OR(AT$3=$D73,AT$3=$AC73,AT$3=$AE73),"",IF(AT$3=$AD73,$F73&amp;"R",AT72))))</f>
        <v>wP</v>
      </c>
      <c r="AU73" s="11" t="str">
        <f aca="false">IF($P73=0,AU72,IF(AU$3=$E73,IF($AA73=1,$F73&amp;$AB73,$G73),IF(OR(AU$3=$D73,AU$3=$AC73,AU$3=$AE73),"",IF(AU$3=$AD73,$F73&amp;"R",AU72))))</f>
        <v>wP</v>
      </c>
      <c r="AV73" s="11" t="str">
        <f aca="false">IF($P73=0,AV72,IF(AV$3=$E73,IF($AA73=1,$F73&amp;$AB73,$G73),IF(OR(AV$3=$D73,AV$3=$AC73,AV$3=$AE73),"",IF(AV$3=$AD73,$F73&amp;"R",AV72))))</f>
        <v>wP</v>
      </c>
      <c r="AW73" s="11" t="str">
        <f aca="false">IF($P73=0,AW72,IF(AW$3=$E73,IF($AA73=1,$F73&amp;$AB73,$G73),IF(OR(AW$3=$D73,AW$3=$AC73,AW$3=$AE73),"",IF(AW$3=$AD73,$F73&amp;"R",AW72))))</f>
        <v>wP</v>
      </c>
      <c r="AX73" s="11" t="str">
        <f aca="false">IF($P73=0,AX72,IF(AX$3=$E73,IF($AA73=1,$F73&amp;$AB73,$G73),IF(OR(AX$3=$D73,AX$3=$AC73,AX$3=$AE73),"",IF(AX$3=$AD73,$F73&amp;"R",AX72))))</f>
        <v/>
      </c>
      <c r="AY73" s="11" t="str">
        <f aca="false">IF($P73=0,AY72,IF(AY$3=$E73,IF($AA73=1,$F73&amp;$AB73,$G73),IF(OR(AY$3=$D73,AY$3=$AC73,AY$3=$AE73),"",IF(AY$3=$AD73,$F73&amp;"R",AY72))))</f>
        <v/>
      </c>
      <c r="AZ73" s="11" t="str">
        <f aca="false">IF($P73=0,AZ72,IF(AZ$3=$E73,IF($AA73=1,$F73&amp;$AB73,$G73),IF(OR(AZ$3=$D73,AZ$3=$AC73,AZ$3=$AE73),"",IF(AZ$3=$AD73,$F73&amp;"R",AZ72))))</f>
        <v/>
      </c>
      <c r="BA73" s="11" t="str">
        <f aca="false">IF($P73=0,BA72,IF(BA$3=$E73,IF($AA73=1,$F73&amp;$AB73,$G73),IF(OR(BA$3=$D73,BA$3=$AC73,BA$3=$AE73),"",IF(BA$3=$AD73,$F73&amp;"R",BA72))))</f>
        <v/>
      </c>
      <c r="BB73" s="11" t="str">
        <f aca="false">IF($P73=0,BB72,IF(BB$3=$E73,IF($AA73=1,$F73&amp;$AB73,$G73),IF(OR(BB$3=$D73,BB$3=$AC73,BB$3=$AE73),"",IF(BB$3=$AD73,$F73&amp;"R",BB72))))</f>
        <v/>
      </c>
      <c r="BC73" s="11" t="str">
        <f aca="false">IF($P73=0,BC72,IF(BC$3=$E73,IF($AA73=1,$F73&amp;$AB73,$G73),IF(OR(BC$3=$D73,BC$3=$AC73,BC$3=$AE73),"",IF(BC$3=$AD73,$F73&amp;"R",BC72))))</f>
        <v/>
      </c>
      <c r="BD73" s="11" t="str">
        <f aca="false">IF($P73=0,BD72,IF(BD$3=$E73,IF($AA73=1,$F73&amp;$AB73,$G73),IF(OR(BD$3=$D73,BD$3=$AC73,BD$3=$AE73),"",IF(BD$3=$AD73,$F73&amp;"R",BD72))))</f>
        <v/>
      </c>
      <c r="BE73" s="11" t="str">
        <f aca="false">IF($P73=0,BE72,IF(BE$3=$E73,IF($AA73=1,$F73&amp;$AB73,$G73),IF(OR(BE$3=$D73,BE$3=$AC73,BE$3=$AE73),"",IF(BE$3=$AD73,$F73&amp;"R",BE72))))</f>
        <v/>
      </c>
      <c r="BF73" s="11" t="str">
        <f aca="false">IF($P73=0,BF72,IF(BF$3=$E73,IF($AA73=1,$F73&amp;$AB73,$G73),IF(OR(BF$3=$D73,BF$3=$AC73,BF$3=$AE73),"",IF(BF$3=$AD73,$F73&amp;"R",BF72))))</f>
        <v/>
      </c>
      <c r="BG73" s="11" t="str">
        <f aca="false">IF($P73=0,BG72,IF(BG$3=$E73,IF($AA73=1,$F73&amp;$AB73,$G73),IF(OR(BG$3=$D73,BG$3=$AC73,BG$3=$AE73),"",IF(BG$3=$AD73,$F73&amp;"R",BG72))))</f>
        <v/>
      </c>
      <c r="BH73" s="11" t="str">
        <f aca="false">IF($P73=0,BH72,IF(BH$3=$E73,IF($AA73=1,$F73&amp;$AB73,$G73),IF(OR(BH$3=$D73,BH$3=$AC73,BH$3=$AE73),"",IF(BH$3=$AD73,$F73&amp;"R",BH72))))</f>
        <v/>
      </c>
      <c r="BI73" s="11" t="str">
        <f aca="false">IF($P73=0,BI72,IF(BI$3=$E73,IF($AA73=1,$F73&amp;$AB73,$G73),IF(OR(BI$3=$D73,BI$3=$AC73,BI$3=$AE73),"",IF(BI$3=$AD73,$F73&amp;"R",BI72))))</f>
        <v/>
      </c>
      <c r="BJ73" s="11" t="str">
        <f aca="false">IF($P73=0,BJ72,IF(BJ$3=$E73,IF($AA73=1,$F73&amp;$AB73,$G73),IF(OR(BJ$3=$D73,BJ$3=$AC73,BJ$3=$AE73),"",IF(BJ$3=$AD73,$F73&amp;"R",BJ72))))</f>
        <v/>
      </c>
      <c r="BK73" s="11" t="str">
        <f aca="false">IF($P73=0,BK72,IF(BK$3=$E73,IF($AA73=1,$F73&amp;$AB73,$G73),IF(OR(BK$3=$D73,BK$3=$AC73,BK$3=$AE73),"",IF(BK$3=$AD73,$F73&amp;"R",BK72))))</f>
        <v/>
      </c>
      <c r="BL73" s="11" t="str">
        <f aca="false">IF($P73=0,BL72,IF(BL$3=$E73,IF($AA73=1,$F73&amp;$AB73,$G73),IF(OR(BL$3=$D73,BL$3=$AC73,BL$3=$AE73),"",IF(BL$3=$AD73,$F73&amp;"R",BL72))))</f>
        <v/>
      </c>
      <c r="BM73" s="11" t="str">
        <f aca="false">IF($P73=0,BM72,IF(BM$3=$E73,IF($AA73=1,$F73&amp;$AB73,$G73),IF(OR(BM$3=$D73,BM$3=$AC73,BM$3=$AE73),"",IF(BM$3=$AD73,$F73&amp;"R",BM72))))</f>
        <v/>
      </c>
      <c r="BN73" s="11" t="str">
        <f aca="false">IF($P73=0,BN72,IF(BN$3=$E73,IF($AA73=1,$F73&amp;$AB73,$G73),IF(OR(BN$3=$D73,BN$3=$AC73,BN$3=$AE73),"",IF(BN$3=$AD73,$F73&amp;"R",BN72))))</f>
        <v/>
      </c>
      <c r="BO73" s="11" t="str">
        <f aca="false">IF($P73=0,BO72,IF(BO$3=$E73,IF($AA73=1,$F73&amp;$AB73,$G73),IF(OR(BO$3=$D73,BO$3=$AC73,BO$3=$AE73),"",IF(BO$3=$AD73,$F73&amp;"R",BO72))))</f>
        <v/>
      </c>
      <c r="BP73" s="11" t="str">
        <f aca="false">IF($P73=0,BP72,IF(BP$3=$E73,IF($AA73=1,$F73&amp;$AB73,$G73),IF(OR(BP$3=$D73,BP$3=$AC73,BP$3=$AE73),"",IF(BP$3=$AD73,$F73&amp;"R",BP72))))</f>
        <v/>
      </c>
      <c r="BQ73" s="11" t="str">
        <f aca="false">IF($P73=0,BQ72,IF(BQ$3=$E73,IF($AA73=1,$F73&amp;$AB73,$G73),IF(OR(BQ$3=$D73,BQ$3=$AC73,BQ$3=$AE73),"",IF(BQ$3=$AD73,$F73&amp;"R",BQ72))))</f>
        <v/>
      </c>
      <c r="BR73" s="11" t="str">
        <f aca="false">IF($P73=0,BR72,IF(BR$3=$E73,IF($AA73=1,$F73&amp;$AB73,$G73),IF(OR(BR$3=$D73,BR$3=$AC73,BR$3=$AE73),"",IF(BR$3=$AD73,$F73&amp;"R",BR72))))</f>
        <v/>
      </c>
      <c r="BS73" s="11" t="str">
        <f aca="false">IF($P73=0,BS72,IF(BS$3=$E73,IF($AA73=1,$F73&amp;$AB73,$G73),IF(OR(BS$3=$D73,BS$3=$AC73,BS$3=$AE73),"",IF(BS$3=$AD73,$F73&amp;"R",BS72))))</f>
        <v/>
      </c>
      <c r="BT73" s="11" t="str">
        <f aca="false">IF($P73=0,BT72,IF(BT$3=$E73,IF($AA73=1,$F73&amp;$AB73,$G73),IF(OR(BT$3=$D73,BT$3=$AC73,BT$3=$AE73),"",IF(BT$3=$AD73,$F73&amp;"R",BT72))))</f>
        <v/>
      </c>
      <c r="BU73" s="11" t="str">
        <f aca="false">IF($P73=0,BU72,IF(BU$3=$E73,IF($AA73=1,$F73&amp;$AB73,$G73),IF(OR(BU$3=$D73,BU$3=$AC73,BU$3=$AE73),"",IF(BU$3=$AD73,$F73&amp;"R",BU72))))</f>
        <v/>
      </c>
      <c r="BV73" s="11" t="str">
        <f aca="false">IF($P73=0,BV72,IF(BV$3=$E73,IF($AA73=1,$F73&amp;$AB73,$G73),IF(OR(BV$3=$D73,BV$3=$AC73,BV$3=$AE73),"",IF(BV$3=$AD73,$F73&amp;"R",BV72))))</f>
        <v/>
      </c>
      <c r="BW73" s="11" t="str">
        <f aca="false">IF($P73=0,BW72,IF(BW$3=$E73,IF($AA73=1,$F73&amp;$AB73,$G73),IF(OR(BW$3=$D73,BW$3=$AC73,BW$3=$AE73),"",IF(BW$3=$AD73,$F73&amp;"R",BW72))))</f>
        <v/>
      </c>
      <c r="BX73" s="11" t="str">
        <f aca="false">IF($P73=0,BX72,IF(BX$3=$E73,IF($AA73=1,$F73&amp;$AB73,$G73),IF(OR(BX$3=$D73,BX$3=$AC73,BX$3=$AE73),"",IF(BX$3=$AD73,$F73&amp;"R",BX72))))</f>
        <v/>
      </c>
      <c r="BY73" s="11" t="str">
        <f aca="false">IF($P73=0,BY72,IF(BY$3=$E73,IF($AA73=1,$F73&amp;$AB73,$G73),IF(OR(BY$3=$D73,BY$3=$AC73,BY$3=$AE73),"",IF(BY$3=$AD73,$F73&amp;"R",BY72))))</f>
        <v/>
      </c>
      <c r="BZ73" s="11" t="str">
        <f aca="false">IF($P73=0,BZ72,IF(BZ$3=$E73,IF($AA73=1,$F73&amp;$AB73,$G73),IF(OR(BZ$3=$D73,BZ$3=$AC73,BZ$3=$AE73),"",IF(BZ$3=$AD73,$F73&amp;"R",BZ72))))</f>
        <v/>
      </c>
      <c r="CA73" s="11" t="str">
        <f aca="false">IF($P73=0,CA72,IF(CA$3=$E73,IF($AA73=1,$F73&amp;$AB73,$G73),IF(OR(CA$3=$D73,CA$3=$AC73,CA$3=$AE73),"",IF(CA$3=$AD73,$F73&amp;"R",CA72))))</f>
        <v/>
      </c>
      <c r="CB73" s="11" t="str">
        <f aca="false">IF($P73=0,CB72,IF(CB$3=$E73,IF($AA73=1,$F73&amp;$AB73,$G73),IF(OR(CB$3=$D73,CB$3=$AC73,CB$3=$AE73),"",IF(CB$3=$AD73,$F73&amp;"R",CB72))))</f>
        <v/>
      </c>
      <c r="CC73" s="11" t="str">
        <f aca="false">IF($P73=0,CC72,IF(CC$3=$E73,IF($AA73=1,$F73&amp;$AB73,$G73),IF(OR(CC$3=$D73,CC$3=$AC73,CC$3=$AE73),"",IF(CC$3=$AD73,$F73&amp;"R",CC72))))</f>
        <v/>
      </c>
      <c r="CD73" s="11" t="str">
        <f aca="false">IF($P73=0,CD72,IF(CD$3=$E73,IF($AA73=1,$F73&amp;$AB73,$G73),IF(OR(CD$3=$D73,CD$3=$AC73,CD$3=$AE73),"",IF(CD$3=$AD73,$F73&amp;"R",CD72))))</f>
        <v>bP</v>
      </c>
      <c r="CE73" s="11" t="str">
        <f aca="false">IF($P73=0,CE72,IF(CE$3=$E73,IF($AA73=1,$F73&amp;$AB73,$G73),IF(OR(CE$3=$D73,CE$3=$AC73,CE$3=$AE73),"",IF(CE$3=$AD73,$F73&amp;"R",CE72))))</f>
        <v>bP</v>
      </c>
      <c r="CF73" s="11" t="str">
        <f aca="false">IF($P73=0,CF72,IF(CF$3=$E73,IF($AA73=1,$F73&amp;$AB73,$G73),IF(OR(CF$3=$D73,CF$3=$AC73,CF$3=$AE73),"",IF(CF$3=$AD73,$F73&amp;"R",CF72))))</f>
        <v>bP</v>
      </c>
      <c r="CG73" s="11" t="str">
        <f aca="false">IF($P73=0,CG72,IF(CG$3=$E73,IF($AA73=1,$F73&amp;$AB73,$G73),IF(OR(CG$3=$D73,CG$3=$AC73,CG$3=$AE73),"",IF(CG$3=$AD73,$F73&amp;"R",CG72))))</f>
        <v>bP</v>
      </c>
      <c r="CH73" s="11" t="str">
        <f aca="false">IF($P73=0,CH72,IF(CH$3=$E73,IF($AA73=1,$F73&amp;$AB73,$G73),IF(OR(CH$3=$D73,CH$3=$AC73,CH$3=$AE73),"",IF(CH$3=$AD73,$F73&amp;"R",CH72))))</f>
        <v>bP</v>
      </c>
      <c r="CI73" s="11" t="str">
        <f aca="false">IF($P73=0,CI72,IF(CI$3=$E73,IF($AA73=1,$F73&amp;$AB73,$G73),IF(OR(CI$3=$D73,CI$3=$AC73,CI$3=$AE73),"",IF(CI$3=$AD73,$F73&amp;"R",CI72))))</f>
        <v>bP</v>
      </c>
      <c r="CJ73" s="11" t="str">
        <f aca="false">IF($P73=0,CJ72,IF(CJ$3=$E73,IF($AA73=1,$F73&amp;$AB73,$G73),IF(OR(CJ$3=$D73,CJ$3=$AC73,CJ$3=$AE73),"",IF(CJ$3=$AD73,$F73&amp;"R",CJ72))))</f>
        <v>bP</v>
      </c>
      <c r="CK73" s="11" t="str">
        <f aca="false">IF($P73=0,CK72,IF(CK$3=$E73,IF($AA73=1,$F73&amp;$AB73,$G73),IF(OR(CK$3=$D73,CK$3=$AC73,CK$3=$AE73),"",IF(CK$3=$AD73,$F73&amp;"R",CK72))))</f>
        <v>bP</v>
      </c>
      <c r="CL73" s="11" t="str">
        <f aca="false">IF($P73=0,CL72,IF(CL$3=$E73,IF($AA73=1,$F73&amp;$AB73,$G73),IF(OR(CL$3=$D73,CL$3=$AC73,CL$3=$AE73),"",IF(CL$3=$AD73,$F73&amp;"R",CL72))))</f>
        <v>bR</v>
      </c>
      <c r="CM73" s="11" t="str">
        <f aca="false">IF($P73=0,CM72,IF(CM$3=$E73,IF($AA73=1,$F73&amp;$AB73,$G73),IF(OR(CM$3=$D73,CM$3=$AC73,CM$3=$AE73),"",IF(CM$3=$AD73,$F73&amp;"R",CM72))))</f>
        <v>bN</v>
      </c>
      <c r="CN73" s="11" t="str">
        <f aca="false">IF($P73=0,CN72,IF(CN$3=$E73,IF($AA73=1,$F73&amp;$AB73,$G73),IF(OR(CN$3=$D73,CN$3=$AC73,CN$3=$AE73),"",IF(CN$3=$AD73,$F73&amp;"R",CN72))))</f>
        <v>bB</v>
      </c>
      <c r="CO73" s="11" t="str">
        <f aca="false">IF($P73=0,CO72,IF(CO$3=$E73,IF($AA73=1,$F73&amp;$AB73,$G73),IF(OR(CO$3=$D73,CO$3=$AC73,CO$3=$AE73),"",IF(CO$3=$AD73,$F73&amp;"R",CO72))))</f>
        <v>bQ</v>
      </c>
      <c r="CP73" s="11" t="str">
        <f aca="false">IF($P73=0,CP72,IF(CP$3=$E73,IF($AA73=1,$F73&amp;$AB73,$G73),IF(OR(CP$3=$D73,CP$3=$AC73,CP$3=$AE73),"",IF(CP$3=$AD73,$F73&amp;"R",CP72))))</f>
        <v>bK</v>
      </c>
      <c r="CQ73" s="11" t="str">
        <f aca="false">IF($P73=0,CQ72,IF(CQ$3=$E73,IF($AA73=1,$F73&amp;$AB73,$G73),IF(OR(CQ$3=$D73,CQ$3=$AC73,CQ$3=$AE73),"",IF(CQ$3=$AD73,$F73&amp;"R",CQ72))))</f>
        <v>bB</v>
      </c>
      <c r="CR73" s="11" t="str">
        <f aca="false">IF($P73=0,CR72,IF(CR$3=$E73,IF($AA73=1,$F73&amp;$AB73,$G73),IF(OR(CR$3=$D73,CR$3=$AC73,CR$3=$AE73),"",IF(CR$3=$AD73,$F73&amp;"R",CR72))))</f>
        <v>bN</v>
      </c>
      <c r="CS73" s="11" t="str">
        <f aca="false">IF($P73=0,CS72,IF(CS$3=$E73,IF($AA73=1,$F73&amp;$AB73,$G73),IF(OR(CS$3=$D73,CS$3=$AC73,CS$3=$AE73),"",IF(CS$3=$AD73,$F73&amp;"R",CS72))))</f>
        <v>bR</v>
      </c>
      <c r="CT73" s="11"/>
      <c r="CU73" s="11"/>
      <c r="CV73" s="11"/>
    </row>
    <row r="74" customFormat="false" ht="15" hidden="false" customHeight="false" outlineLevel="0" collapsed="false">
      <c r="A74" s="11" t="n">
        <v>69</v>
      </c>
      <c r="B74" s="11" t="str">
        <f aca="false">IF(Chess!$L$78="","",Chess!$L$78&amp;"")</f>
        <v/>
      </c>
      <c r="C74" s="11" t="str">
        <f aca="false">LOWER(SUBSTITUTE(SUBSTITUTE(SUBSTITUTE(SUBSTITUTE(TRIM($B74),"-",""),"=","")," ",""),"x",""))</f>
        <v/>
      </c>
      <c r="D74" s="11" t="n">
        <f aca="false">IF(LEN($C74)&lt;4,0,IFERROR(IF(AND(CODE(MID($C74,1,1))&gt;=97,CODE(MID($C74,1,1))&lt;=104,VALUE(MID($C74,2,1))&gt;=1,VALUE(MID($C74,2,1))&lt;=8),(VALUE(MID($C74,2,1))-1)*8+CODE(MID($C74,1,1))-96,0),0))</f>
        <v>0</v>
      </c>
      <c r="E74" s="11" t="n">
        <f aca="false">IF(LEN($C74)&lt;4,0,IFERROR(IF(AND(CODE(MID($C74,3,1))&gt;=97,CODE(MID($C74,3,1))&lt;=104,VALUE(MID($C74,4,1))&gt;=1,VALUE(MID($C74,4,1))&lt;=8),(VALUE(MID($C74,4,1))-1)*8+CODE(MID($C74,3,1))-96,0),0))</f>
        <v>0</v>
      </c>
      <c r="F74" s="11" t="str">
        <f aca="false">IF(MOD(SUM($P$5:$P73),2)=0,"w","b")</f>
        <v>w</v>
      </c>
      <c r="G74" s="11" t="str">
        <f aca="false">IF($D74=0,"",INDEX($AH73:$CS73,1,$D74)&amp;"")</f>
        <v/>
      </c>
      <c r="H74" s="11" t="str">
        <f aca="false">IF($E74=0,"",INDEX($AH73:$CS73,1,$E74)&amp;"")</f>
        <v/>
      </c>
      <c r="I74" s="11" t="n">
        <f aca="false">IF(OR($D74=0,$E74=0),0,MOD($E74-1,8)-MOD($D74-1,8))</f>
        <v>0</v>
      </c>
      <c r="J74" s="11" t="n">
        <f aca="false">IF(OR($D74=0,$E74=0),0,INT(($E74-1)/8)-INT(($D74-1)/8))</f>
        <v>0</v>
      </c>
      <c r="K74" s="11" t="str">
        <f aca="false">IF($G74="","",RIGHT($G74,1))</f>
        <v/>
      </c>
      <c r="L74" s="11" t="n">
        <f aca="false">IF(OR($D74=0,$E74=0),0,SUMPRODUCT(($AH$3:$CS$3&gt;MIN($D74,$E74))*($AH$3:$CS$3&lt;MAX($D74,$E74))*(MOD($AH$3:$CS$3-MIN($D74,$E74),MAX(1,ABS(SIGN($J74)*8+SIGN($I74))))=0)*($AH73:$CS73&lt;&gt;"")))</f>
        <v>0</v>
      </c>
      <c r="M74" s="11" t="n">
        <f aca="false">IF($K74&lt;&gt;"K",0,IFERROR(--AND($J74=0,ABS($I74)=2,$D74=IF($F74="w",5,61),IF($F74="w",$S73,$V73)=0,IF($I74=2,AND(IF($F74="w",$U73,$X73)=0,INDEX($AH73:$CS73,1,$D74+1)&amp;""="",INDEX($AH73:$CS73,1,$D74+2)&amp;""=""),AND(IF($F74="w",$T73,$W73)=0,INDEX($AH73:$CS73,1,$D74-1)&amp;""="",INDEX($AH73:$CS73,1,$D74-2)&amp;""="",INDEX($AH73:$CS73,1,$D74-3)&amp;""=""))),0))</f>
        <v>0</v>
      </c>
      <c r="N74" s="11" t="n">
        <f aca="false">IF($K74&lt;&gt;"P",0,IFERROR(--OR(AND($I74=0,$J74=IF($F74="w",1,-1),$H74=""),AND($I74=0,$J74=2*IF($F74="w",1,-1),$H74="",INT(($D74-1)/8)=IF($F74="w",1,6),INDEX($AH73:$CS73,1,MAX(1,MIN(64,$D74+8*IF($F74="w",1,-1))))&amp;""=""),AND(ABS($I74)=1,$J74=IF($F74="w",1,-1),$H74&lt;&gt;""),AND(ABS($I74)=1,$J74=IF($F74="w",1,-1),$H74="",$R73&gt;0,$E74=$R73)),0))</f>
        <v>0</v>
      </c>
      <c r="O74" s="11" t="n">
        <f aca="false">IF(OR($D74=0,$E74=0,$G74=""),0,IF($K74="N",--OR(AND(ABS($I74)=1,ABS($J74)=2),AND(ABS($I74)=2,ABS($J74)=1)),IF($K74="B",--AND(ABS($I74)=ABS($J74),$I74&lt;&gt;0,$L74=0),IF($K74="R",--AND(OR($I74=0,$J74=0),OR($I74&lt;&gt;0,$J74&lt;&gt;0),$L74=0),IF($K74="Q",--AND(OR(AND(ABS($I74)=ABS($J74),$I74&lt;&gt;0),AND(OR($I74=0,$J74=0),OR($I74&lt;&gt;0,$J74&lt;&gt;0))),$L74=0),IF($K74="K",--OR(MAX(ABS($I74),ABS($J74))=1,$M74=1),$N74))))))</f>
        <v>0</v>
      </c>
      <c r="P74" s="11" t="n">
        <f aca="false">IF($Q74="OK",1,0)</f>
        <v>0</v>
      </c>
      <c r="Q74" s="11" t="str">
        <f aca="false">IF($B74="","",IF(OR(COUNTIF($AH73:$CS73,"wK")=0,COUNTIF($AH73:$CS73,"bK")=0),"Game is over",IF(OR($D74=0,$E74=0),"Use the format e2e4",IF($G74="","No piece on that square",IF(LEFT($G74,1)&lt;&gt;$F74,"Not your piece ("&amp;IF($F74="w","White","Black")&amp;" to move)",IF($D74=$E74,"Piece must move",IF(AND($H74&lt;&gt;"",LEFT($H74,1)=$F74),"Cannot capture your own piece",IF($O74=0,"Illegal move for that piece (or path blocked)","OK"))))))))</f>
        <v/>
      </c>
      <c r="R74" s="11" t="n">
        <f aca="false">IF($P74=1,IF(AND($K74="P",ABS($J74)=2),($D74+$E74)/2,0),$R73)</f>
        <v>0</v>
      </c>
      <c r="S74" s="12" t="b">
        <f aca="false">--OR($S73=1,AND($P74=1,OR($D74=5,$E74=5)))</f>
        <v>0</v>
      </c>
      <c r="T74" s="12" t="b">
        <f aca="false">--OR($T73=1,AND($P74=1,OR($D74=1,$E74=1)))</f>
        <v>0</v>
      </c>
      <c r="U74" s="12" t="b">
        <f aca="false">--OR($U73=1,AND($P74=1,OR($D74=8,$E74=8)))</f>
        <v>0</v>
      </c>
      <c r="V74" s="12" t="b">
        <f aca="false">--OR($V73=1,AND($P74=1,OR($D74=61,$E74=61)))</f>
        <v>0</v>
      </c>
      <c r="W74" s="12" t="b">
        <f aca="false">--OR($W73=1,AND($P74=1,OR($D74=57,$E74=57)))</f>
        <v>0</v>
      </c>
      <c r="X74" s="12" t="b">
        <f aca="false">--OR($X73=1,AND($P74=1,OR($D74=64,$E74=64)))</f>
        <v>0</v>
      </c>
      <c r="Y74" s="12" t="b">
        <f aca="false">--AND($P74=1,$K74="K",ABS($I74)=2)</f>
        <v>0</v>
      </c>
      <c r="Z74" s="12" t="b">
        <f aca="false">--AND($P74=1,$K74="P",ABS($I74)=1,$H74="")</f>
        <v>0</v>
      </c>
      <c r="AA74" s="12" t="b">
        <f aca="false">--AND($P74=1,$K74="P",INT(($E74-1)/8)=IF($F74="w",7,0))</f>
        <v>0</v>
      </c>
      <c r="AB74" s="11" t="str">
        <f aca="false">IF(LEN($C74)&gt;=5,IF(ISNUMBER(FIND(MID($C74,5,1),"qrbn")),UPPER(MID($C74,5,1)),"Q"),"Q")</f>
        <v>Q</v>
      </c>
      <c r="AC74" s="11" t="n">
        <f aca="false">IF($Y74=1,IF($I74=2,$D74+3,$D74-4),0)</f>
        <v>0</v>
      </c>
      <c r="AD74" s="11" t="n">
        <f aca="false">IF($Y74=1,IF($I74=2,$D74+1,$D74-1),0)</f>
        <v>0</v>
      </c>
      <c r="AE74" s="11" t="n">
        <f aca="false">IF($Z74=1,$E74-8*IF($F74="w",1,-1),0)</f>
        <v>0</v>
      </c>
      <c r="AF74" s="11" t="str">
        <f aca="false">IF($B74="","",IF($P74=1,LOWER(INDEX($CV$2:$CV$13,MATCH($G74,$CU$2:$CU$13,0)))&amp;" "&amp;MID("abcdefgh",MOD($D74-1,8)+1,1)&amp;(INT(($D74-1)/8)+1)&amp;"→"&amp;MID("abcdefgh",MOD($E74-1,8)+1,1)&amp;(INT(($E74-1)/8)+1)&amp;IF(OR($H74&lt;&gt;"",$Z74=1)," ×","")&amp;IF($Y74=1," castles","")&amp;IF($Z74=1," e.p.","")&amp;IF($AA74=1," =" &amp;LOWER(INDEX($CV$2:$CV$13,MATCH($F74&amp;$AB74,$CU$2:$CU$13,0))),""),"X "&amp;$Q74))</f>
        <v/>
      </c>
      <c r="AG74" s="11"/>
      <c r="AH74" s="11" t="str">
        <f aca="false">IF($P74=0,AH73,IF(AH$3=$E74,IF($AA74=1,$F74&amp;$AB74,$G74),IF(OR(AH$3=$D74,AH$3=$AC74,AH$3=$AE74),"",IF(AH$3=$AD74,$F74&amp;"R",AH73))))</f>
        <v>wR</v>
      </c>
      <c r="AI74" s="11" t="str">
        <f aca="false">IF($P74=0,AI73,IF(AI$3=$E74,IF($AA74=1,$F74&amp;$AB74,$G74),IF(OR(AI$3=$D74,AI$3=$AC74,AI$3=$AE74),"",IF(AI$3=$AD74,$F74&amp;"R",AI73))))</f>
        <v>wN</v>
      </c>
      <c r="AJ74" s="11" t="str">
        <f aca="false">IF($P74=0,AJ73,IF(AJ$3=$E74,IF($AA74=1,$F74&amp;$AB74,$G74),IF(OR(AJ$3=$D74,AJ$3=$AC74,AJ$3=$AE74),"",IF(AJ$3=$AD74,$F74&amp;"R",AJ73))))</f>
        <v>wB</v>
      </c>
      <c r="AK74" s="11" t="str">
        <f aca="false">IF($P74=0,AK73,IF(AK$3=$E74,IF($AA74=1,$F74&amp;$AB74,$G74),IF(OR(AK$3=$D74,AK$3=$AC74,AK$3=$AE74),"",IF(AK$3=$AD74,$F74&amp;"R",AK73))))</f>
        <v>wQ</v>
      </c>
      <c r="AL74" s="11" t="str">
        <f aca="false">IF($P74=0,AL73,IF(AL$3=$E74,IF($AA74=1,$F74&amp;$AB74,$G74),IF(OR(AL$3=$D74,AL$3=$AC74,AL$3=$AE74),"",IF(AL$3=$AD74,$F74&amp;"R",AL73))))</f>
        <v>wK</v>
      </c>
      <c r="AM74" s="11" t="str">
        <f aca="false">IF($P74=0,AM73,IF(AM$3=$E74,IF($AA74=1,$F74&amp;$AB74,$G74),IF(OR(AM$3=$D74,AM$3=$AC74,AM$3=$AE74),"",IF(AM$3=$AD74,$F74&amp;"R",AM73))))</f>
        <v>wB</v>
      </c>
      <c r="AN74" s="11" t="str">
        <f aca="false">IF($P74=0,AN73,IF(AN$3=$E74,IF($AA74=1,$F74&amp;$AB74,$G74),IF(OR(AN$3=$D74,AN$3=$AC74,AN$3=$AE74),"",IF(AN$3=$AD74,$F74&amp;"R",AN73))))</f>
        <v>wN</v>
      </c>
      <c r="AO74" s="11" t="str">
        <f aca="false">IF($P74=0,AO73,IF(AO$3=$E74,IF($AA74=1,$F74&amp;$AB74,$G74),IF(OR(AO$3=$D74,AO$3=$AC74,AO$3=$AE74),"",IF(AO$3=$AD74,$F74&amp;"R",AO73))))</f>
        <v>wR</v>
      </c>
      <c r="AP74" s="11" t="str">
        <f aca="false">IF($P74=0,AP73,IF(AP$3=$E74,IF($AA74=1,$F74&amp;$AB74,$G74),IF(OR(AP$3=$D74,AP$3=$AC74,AP$3=$AE74),"",IF(AP$3=$AD74,$F74&amp;"R",AP73))))</f>
        <v>wP</v>
      </c>
      <c r="AQ74" s="11" t="str">
        <f aca="false">IF($P74=0,AQ73,IF(AQ$3=$E74,IF($AA74=1,$F74&amp;$AB74,$G74),IF(OR(AQ$3=$D74,AQ$3=$AC74,AQ$3=$AE74),"",IF(AQ$3=$AD74,$F74&amp;"R",AQ73))))</f>
        <v>wP</v>
      </c>
      <c r="AR74" s="11" t="str">
        <f aca="false">IF($P74=0,AR73,IF(AR$3=$E74,IF($AA74=1,$F74&amp;$AB74,$G74),IF(OR(AR$3=$D74,AR$3=$AC74,AR$3=$AE74),"",IF(AR$3=$AD74,$F74&amp;"R",AR73))))</f>
        <v>wP</v>
      </c>
      <c r="AS74" s="11" t="str">
        <f aca="false">IF($P74=0,AS73,IF(AS$3=$E74,IF($AA74=1,$F74&amp;$AB74,$G74),IF(OR(AS$3=$D74,AS$3=$AC74,AS$3=$AE74),"",IF(AS$3=$AD74,$F74&amp;"R",AS73))))</f>
        <v>wP</v>
      </c>
      <c r="AT74" s="11" t="str">
        <f aca="false">IF($P74=0,AT73,IF(AT$3=$E74,IF($AA74=1,$F74&amp;$AB74,$G74),IF(OR(AT$3=$D74,AT$3=$AC74,AT$3=$AE74),"",IF(AT$3=$AD74,$F74&amp;"R",AT73))))</f>
        <v>wP</v>
      </c>
      <c r="AU74" s="11" t="str">
        <f aca="false">IF($P74=0,AU73,IF(AU$3=$E74,IF($AA74=1,$F74&amp;$AB74,$G74),IF(OR(AU$3=$D74,AU$3=$AC74,AU$3=$AE74),"",IF(AU$3=$AD74,$F74&amp;"R",AU73))))</f>
        <v>wP</v>
      </c>
      <c r="AV74" s="11" t="str">
        <f aca="false">IF($P74=0,AV73,IF(AV$3=$E74,IF($AA74=1,$F74&amp;$AB74,$G74),IF(OR(AV$3=$D74,AV$3=$AC74,AV$3=$AE74),"",IF(AV$3=$AD74,$F74&amp;"R",AV73))))</f>
        <v>wP</v>
      </c>
      <c r="AW74" s="11" t="str">
        <f aca="false">IF($P74=0,AW73,IF(AW$3=$E74,IF($AA74=1,$F74&amp;$AB74,$G74),IF(OR(AW$3=$D74,AW$3=$AC74,AW$3=$AE74),"",IF(AW$3=$AD74,$F74&amp;"R",AW73))))</f>
        <v>wP</v>
      </c>
      <c r="AX74" s="11" t="str">
        <f aca="false">IF($P74=0,AX73,IF(AX$3=$E74,IF($AA74=1,$F74&amp;$AB74,$G74),IF(OR(AX$3=$D74,AX$3=$AC74,AX$3=$AE74),"",IF(AX$3=$AD74,$F74&amp;"R",AX73))))</f>
        <v/>
      </c>
      <c r="AY74" s="11" t="str">
        <f aca="false">IF($P74=0,AY73,IF(AY$3=$E74,IF($AA74=1,$F74&amp;$AB74,$G74),IF(OR(AY$3=$D74,AY$3=$AC74,AY$3=$AE74),"",IF(AY$3=$AD74,$F74&amp;"R",AY73))))</f>
        <v/>
      </c>
      <c r="AZ74" s="11" t="str">
        <f aca="false">IF($P74=0,AZ73,IF(AZ$3=$E74,IF($AA74=1,$F74&amp;$AB74,$G74),IF(OR(AZ$3=$D74,AZ$3=$AC74,AZ$3=$AE74),"",IF(AZ$3=$AD74,$F74&amp;"R",AZ73))))</f>
        <v/>
      </c>
      <c r="BA74" s="11" t="str">
        <f aca="false">IF($P74=0,BA73,IF(BA$3=$E74,IF($AA74=1,$F74&amp;$AB74,$G74),IF(OR(BA$3=$D74,BA$3=$AC74,BA$3=$AE74),"",IF(BA$3=$AD74,$F74&amp;"R",BA73))))</f>
        <v/>
      </c>
      <c r="BB74" s="11" t="str">
        <f aca="false">IF($P74=0,BB73,IF(BB$3=$E74,IF($AA74=1,$F74&amp;$AB74,$G74),IF(OR(BB$3=$D74,BB$3=$AC74,BB$3=$AE74),"",IF(BB$3=$AD74,$F74&amp;"R",BB73))))</f>
        <v/>
      </c>
      <c r="BC74" s="11" t="str">
        <f aca="false">IF($P74=0,BC73,IF(BC$3=$E74,IF($AA74=1,$F74&amp;$AB74,$G74),IF(OR(BC$3=$D74,BC$3=$AC74,BC$3=$AE74),"",IF(BC$3=$AD74,$F74&amp;"R",BC73))))</f>
        <v/>
      </c>
      <c r="BD74" s="11" t="str">
        <f aca="false">IF($P74=0,BD73,IF(BD$3=$E74,IF($AA74=1,$F74&amp;$AB74,$G74),IF(OR(BD$3=$D74,BD$3=$AC74,BD$3=$AE74),"",IF(BD$3=$AD74,$F74&amp;"R",BD73))))</f>
        <v/>
      </c>
      <c r="BE74" s="11" t="str">
        <f aca="false">IF($P74=0,BE73,IF(BE$3=$E74,IF($AA74=1,$F74&amp;$AB74,$G74),IF(OR(BE$3=$D74,BE$3=$AC74,BE$3=$AE74),"",IF(BE$3=$AD74,$F74&amp;"R",BE73))))</f>
        <v/>
      </c>
      <c r="BF74" s="11" t="str">
        <f aca="false">IF($P74=0,BF73,IF(BF$3=$E74,IF($AA74=1,$F74&amp;$AB74,$G74),IF(OR(BF$3=$D74,BF$3=$AC74,BF$3=$AE74),"",IF(BF$3=$AD74,$F74&amp;"R",BF73))))</f>
        <v/>
      </c>
      <c r="BG74" s="11" t="str">
        <f aca="false">IF($P74=0,BG73,IF(BG$3=$E74,IF($AA74=1,$F74&amp;$AB74,$G74),IF(OR(BG$3=$D74,BG$3=$AC74,BG$3=$AE74),"",IF(BG$3=$AD74,$F74&amp;"R",BG73))))</f>
        <v/>
      </c>
      <c r="BH74" s="11" t="str">
        <f aca="false">IF($P74=0,BH73,IF(BH$3=$E74,IF($AA74=1,$F74&amp;$AB74,$G74),IF(OR(BH$3=$D74,BH$3=$AC74,BH$3=$AE74),"",IF(BH$3=$AD74,$F74&amp;"R",BH73))))</f>
        <v/>
      </c>
      <c r="BI74" s="11" t="str">
        <f aca="false">IF($P74=0,BI73,IF(BI$3=$E74,IF($AA74=1,$F74&amp;$AB74,$G74),IF(OR(BI$3=$D74,BI$3=$AC74,BI$3=$AE74),"",IF(BI$3=$AD74,$F74&amp;"R",BI73))))</f>
        <v/>
      </c>
      <c r="BJ74" s="11" t="str">
        <f aca="false">IF($P74=0,BJ73,IF(BJ$3=$E74,IF($AA74=1,$F74&amp;$AB74,$G74),IF(OR(BJ$3=$D74,BJ$3=$AC74,BJ$3=$AE74),"",IF(BJ$3=$AD74,$F74&amp;"R",BJ73))))</f>
        <v/>
      </c>
      <c r="BK74" s="11" t="str">
        <f aca="false">IF($P74=0,BK73,IF(BK$3=$E74,IF($AA74=1,$F74&amp;$AB74,$G74),IF(OR(BK$3=$D74,BK$3=$AC74,BK$3=$AE74),"",IF(BK$3=$AD74,$F74&amp;"R",BK73))))</f>
        <v/>
      </c>
      <c r="BL74" s="11" t="str">
        <f aca="false">IF($P74=0,BL73,IF(BL$3=$E74,IF($AA74=1,$F74&amp;$AB74,$G74),IF(OR(BL$3=$D74,BL$3=$AC74,BL$3=$AE74),"",IF(BL$3=$AD74,$F74&amp;"R",BL73))))</f>
        <v/>
      </c>
      <c r="BM74" s="11" t="str">
        <f aca="false">IF($P74=0,BM73,IF(BM$3=$E74,IF($AA74=1,$F74&amp;$AB74,$G74),IF(OR(BM$3=$D74,BM$3=$AC74,BM$3=$AE74),"",IF(BM$3=$AD74,$F74&amp;"R",BM73))))</f>
        <v/>
      </c>
      <c r="BN74" s="11" t="str">
        <f aca="false">IF($P74=0,BN73,IF(BN$3=$E74,IF($AA74=1,$F74&amp;$AB74,$G74),IF(OR(BN$3=$D74,BN$3=$AC74,BN$3=$AE74),"",IF(BN$3=$AD74,$F74&amp;"R",BN73))))</f>
        <v/>
      </c>
      <c r="BO74" s="11" t="str">
        <f aca="false">IF($P74=0,BO73,IF(BO$3=$E74,IF($AA74=1,$F74&amp;$AB74,$G74),IF(OR(BO$3=$D74,BO$3=$AC74,BO$3=$AE74),"",IF(BO$3=$AD74,$F74&amp;"R",BO73))))</f>
        <v/>
      </c>
      <c r="BP74" s="11" t="str">
        <f aca="false">IF($P74=0,BP73,IF(BP$3=$E74,IF($AA74=1,$F74&amp;$AB74,$G74),IF(OR(BP$3=$D74,BP$3=$AC74,BP$3=$AE74),"",IF(BP$3=$AD74,$F74&amp;"R",BP73))))</f>
        <v/>
      </c>
      <c r="BQ74" s="11" t="str">
        <f aca="false">IF($P74=0,BQ73,IF(BQ$3=$E74,IF($AA74=1,$F74&amp;$AB74,$G74),IF(OR(BQ$3=$D74,BQ$3=$AC74,BQ$3=$AE74),"",IF(BQ$3=$AD74,$F74&amp;"R",BQ73))))</f>
        <v/>
      </c>
      <c r="BR74" s="11" t="str">
        <f aca="false">IF($P74=0,BR73,IF(BR$3=$E74,IF($AA74=1,$F74&amp;$AB74,$G74),IF(OR(BR$3=$D74,BR$3=$AC74,BR$3=$AE74),"",IF(BR$3=$AD74,$F74&amp;"R",BR73))))</f>
        <v/>
      </c>
      <c r="BS74" s="11" t="str">
        <f aca="false">IF($P74=0,BS73,IF(BS$3=$E74,IF($AA74=1,$F74&amp;$AB74,$G74),IF(OR(BS$3=$D74,BS$3=$AC74,BS$3=$AE74),"",IF(BS$3=$AD74,$F74&amp;"R",BS73))))</f>
        <v/>
      </c>
      <c r="BT74" s="11" t="str">
        <f aca="false">IF($P74=0,BT73,IF(BT$3=$E74,IF($AA74=1,$F74&amp;$AB74,$G74),IF(OR(BT$3=$D74,BT$3=$AC74,BT$3=$AE74),"",IF(BT$3=$AD74,$F74&amp;"R",BT73))))</f>
        <v/>
      </c>
      <c r="BU74" s="11" t="str">
        <f aca="false">IF($P74=0,BU73,IF(BU$3=$E74,IF($AA74=1,$F74&amp;$AB74,$G74),IF(OR(BU$3=$D74,BU$3=$AC74,BU$3=$AE74),"",IF(BU$3=$AD74,$F74&amp;"R",BU73))))</f>
        <v/>
      </c>
      <c r="BV74" s="11" t="str">
        <f aca="false">IF($P74=0,BV73,IF(BV$3=$E74,IF($AA74=1,$F74&amp;$AB74,$G74),IF(OR(BV$3=$D74,BV$3=$AC74,BV$3=$AE74),"",IF(BV$3=$AD74,$F74&amp;"R",BV73))))</f>
        <v/>
      </c>
      <c r="BW74" s="11" t="str">
        <f aca="false">IF($P74=0,BW73,IF(BW$3=$E74,IF($AA74=1,$F74&amp;$AB74,$G74),IF(OR(BW$3=$D74,BW$3=$AC74,BW$3=$AE74),"",IF(BW$3=$AD74,$F74&amp;"R",BW73))))</f>
        <v/>
      </c>
      <c r="BX74" s="11" t="str">
        <f aca="false">IF($P74=0,BX73,IF(BX$3=$E74,IF($AA74=1,$F74&amp;$AB74,$G74),IF(OR(BX$3=$D74,BX$3=$AC74,BX$3=$AE74),"",IF(BX$3=$AD74,$F74&amp;"R",BX73))))</f>
        <v/>
      </c>
      <c r="BY74" s="11" t="str">
        <f aca="false">IF($P74=0,BY73,IF(BY$3=$E74,IF($AA74=1,$F74&amp;$AB74,$G74),IF(OR(BY$3=$D74,BY$3=$AC74,BY$3=$AE74),"",IF(BY$3=$AD74,$F74&amp;"R",BY73))))</f>
        <v/>
      </c>
      <c r="BZ74" s="11" t="str">
        <f aca="false">IF($P74=0,BZ73,IF(BZ$3=$E74,IF($AA74=1,$F74&amp;$AB74,$G74),IF(OR(BZ$3=$D74,BZ$3=$AC74,BZ$3=$AE74),"",IF(BZ$3=$AD74,$F74&amp;"R",BZ73))))</f>
        <v/>
      </c>
      <c r="CA74" s="11" t="str">
        <f aca="false">IF($P74=0,CA73,IF(CA$3=$E74,IF($AA74=1,$F74&amp;$AB74,$G74),IF(OR(CA$3=$D74,CA$3=$AC74,CA$3=$AE74),"",IF(CA$3=$AD74,$F74&amp;"R",CA73))))</f>
        <v/>
      </c>
      <c r="CB74" s="11" t="str">
        <f aca="false">IF($P74=0,CB73,IF(CB$3=$E74,IF($AA74=1,$F74&amp;$AB74,$G74),IF(OR(CB$3=$D74,CB$3=$AC74,CB$3=$AE74),"",IF(CB$3=$AD74,$F74&amp;"R",CB73))))</f>
        <v/>
      </c>
      <c r="CC74" s="11" t="str">
        <f aca="false">IF($P74=0,CC73,IF(CC$3=$E74,IF($AA74=1,$F74&amp;$AB74,$G74),IF(OR(CC$3=$D74,CC$3=$AC74,CC$3=$AE74),"",IF(CC$3=$AD74,$F74&amp;"R",CC73))))</f>
        <v/>
      </c>
      <c r="CD74" s="11" t="str">
        <f aca="false">IF($P74=0,CD73,IF(CD$3=$E74,IF($AA74=1,$F74&amp;$AB74,$G74),IF(OR(CD$3=$D74,CD$3=$AC74,CD$3=$AE74),"",IF(CD$3=$AD74,$F74&amp;"R",CD73))))</f>
        <v>bP</v>
      </c>
      <c r="CE74" s="11" t="str">
        <f aca="false">IF($P74=0,CE73,IF(CE$3=$E74,IF($AA74=1,$F74&amp;$AB74,$G74),IF(OR(CE$3=$D74,CE$3=$AC74,CE$3=$AE74),"",IF(CE$3=$AD74,$F74&amp;"R",CE73))))</f>
        <v>bP</v>
      </c>
      <c r="CF74" s="11" t="str">
        <f aca="false">IF($P74=0,CF73,IF(CF$3=$E74,IF($AA74=1,$F74&amp;$AB74,$G74),IF(OR(CF$3=$D74,CF$3=$AC74,CF$3=$AE74),"",IF(CF$3=$AD74,$F74&amp;"R",CF73))))</f>
        <v>bP</v>
      </c>
      <c r="CG74" s="11" t="str">
        <f aca="false">IF($P74=0,CG73,IF(CG$3=$E74,IF($AA74=1,$F74&amp;$AB74,$G74),IF(OR(CG$3=$D74,CG$3=$AC74,CG$3=$AE74),"",IF(CG$3=$AD74,$F74&amp;"R",CG73))))</f>
        <v>bP</v>
      </c>
      <c r="CH74" s="11" t="str">
        <f aca="false">IF($P74=0,CH73,IF(CH$3=$E74,IF($AA74=1,$F74&amp;$AB74,$G74),IF(OR(CH$3=$D74,CH$3=$AC74,CH$3=$AE74),"",IF(CH$3=$AD74,$F74&amp;"R",CH73))))</f>
        <v>bP</v>
      </c>
      <c r="CI74" s="11" t="str">
        <f aca="false">IF($P74=0,CI73,IF(CI$3=$E74,IF($AA74=1,$F74&amp;$AB74,$G74),IF(OR(CI$3=$D74,CI$3=$AC74,CI$3=$AE74),"",IF(CI$3=$AD74,$F74&amp;"R",CI73))))</f>
        <v>bP</v>
      </c>
      <c r="CJ74" s="11" t="str">
        <f aca="false">IF($P74=0,CJ73,IF(CJ$3=$E74,IF($AA74=1,$F74&amp;$AB74,$G74),IF(OR(CJ$3=$D74,CJ$3=$AC74,CJ$3=$AE74),"",IF(CJ$3=$AD74,$F74&amp;"R",CJ73))))</f>
        <v>bP</v>
      </c>
      <c r="CK74" s="11" t="str">
        <f aca="false">IF($P74=0,CK73,IF(CK$3=$E74,IF($AA74=1,$F74&amp;$AB74,$G74),IF(OR(CK$3=$D74,CK$3=$AC74,CK$3=$AE74),"",IF(CK$3=$AD74,$F74&amp;"R",CK73))))</f>
        <v>bP</v>
      </c>
      <c r="CL74" s="11" t="str">
        <f aca="false">IF($P74=0,CL73,IF(CL$3=$E74,IF($AA74=1,$F74&amp;$AB74,$G74),IF(OR(CL$3=$D74,CL$3=$AC74,CL$3=$AE74),"",IF(CL$3=$AD74,$F74&amp;"R",CL73))))</f>
        <v>bR</v>
      </c>
      <c r="CM74" s="11" t="str">
        <f aca="false">IF($P74=0,CM73,IF(CM$3=$E74,IF($AA74=1,$F74&amp;$AB74,$G74),IF(OR(CM$3=$D74,CM$3=$AC74,CM$3=$AE74),"",IF(CM$3=$AD74,$F74&amp;"R",CM73))))</f>
        <v>bN</v>
      </c>
      <c r="CN74" s="11" t="str">
        <f aca="false">IF($P74=0,CN73,IF(CN$3=$E74,IF($AA74=1,$F74&amp;$AB74,$G74),IF(OR(CN$3=$D74,CN$3=$AC74,CN$3=$AE74),"",IF(CN$3=$AD74,$F74&amp;"R",CN73))))</f>
        <v>bB</v>
      </c>
      <c r="CO74" s="11" t="str">
        <f aca="false">IF($P74=0,CO73,IF(CO$3=$E74,IF($AA74=1,$F74&amp;$AB74,$G74),IF(OR(CO$3=$D74,CO$3=$AC74,CO$3=$AE74),"",IF(CO$3=$AD74,$F74&amp;"R",CO73))))</f>
        <v>bQ</v>
      </c>
      <c r="CP74" s="11" t="str">
        <f aca="false">IF($P74=0,CP73,IF(CP$3=$E74,IF($AA74=1,$F74&amp;$AB74,$G74),IF(OR(CP$3=$D74,CP$3=$AC74,CP$3=$AE74),"",IF(CP$3=$AD74,$F74&amp;"R",CP73))))</f>
        <v>bK</v>
      </c>
      <c r="CQ74" s="11" t="str">
        <f aca="false">IF($P74=0,CQ73,IF(CQ$3=$E74,IF($AA74=1,$F74&amp;$AB74,$G74),IF(OR(CQ$3=$D74,CQ$3=$AC74,CQ$3=$AE74),"",IF(CQ$3=$AD74,$F74&amp;"R",CQ73))))</f>
        <v>bB</v>
      </c>
      <c r="CR74" s="11" t="str">
        <f aca="false">IF($P74=0,CR73,IF(CR$3=$E74,IF($AA74=1,$F74&amp;$AB74,$G74),IF(OR(CR$3=$D74,CR$3=$AC74,CR$3=$AE74),"",IF(CR$3=$AD74,$F74&amp;"R",CR73))))</f>
        <v>bN</v>
      </c>
      <c r="CS74" s="11" t="str">
        <f aca="false">IF($P74=0,CS73,IF(CS$3=$E74,IF($AA74=1,$F74&amp;$AB74,$G74),IF(OR(CS$3=$D74,CS$3=$AC74,CS$3=$AE74),"",IF(CS$3=$AD74,$F74&amp;"R",CS73))))</f>
        <v>bR</v>
      </c>
      <c r="CT74" s="11"/>
      <c r="CU74" s="11"/>
      <c r="CV74" s="11"/>
    </row>
    <row r="75" customFormat="false" ht="15" hidden="false" customHeight="false" outlineLevel="0" collapsed="false">
      <c r="A75" s="11" t="n">
        <v>70</v>
      </c>
      <c r="B75" s="11" t="str">
        <f aca="false">IF(Chess!$L$79="","",Chess!$L$79&amp;"")</f>
        <v/>
      </c>
      <c r="C75" s="11" t="str">
        <f aca="false">LOWER(SUBSTITUTE(SUBSTITUTE(SUBSTITUTE(SUBSTITUTE(TRIM($B75),"-",""),"=","")," ",""),"x",""))</f>
        <v/>
      </c>
      <c r="D75" s="11" t="n">
        <f aca="false">IF(LEN($C75)&lt;4,0,IFERROR(IF(AND(CODE(MID($C75,1,1))&gt;=97,CODE(MID($C75,1,1))&lt;=104,VALUE(MID($C75,2,1))&gt;=1,VALUE(MID($C75,2,1))&lt;=8),(VALUE(MID($C75,2,1))-1)*8+CODE(MID($C75,1,1))-96,0),0))</f>
        <v>0</v>
      </c>
      <c r="E75" s="11" t="n">
        <f aca="false">IF(LEN($C75)&lt;4,0,IFERROR(IF(AND(CODE(MID($C75,3,1))&gt;=97,CODE(MID($C75,3,1))&lt;=104,VALUE(MID($C75,4,1))&gt;=1,VALUE(MID($C75,4,1))&lt;=8),(VALUE(MID($C75,4,1))-1)*8+CODE(MID($C75,3,1))-96,0),0))</f>
        <v>0</v>
      </c>
      <c r="F75" s="11" t="str">
        <f aca="false">IF(MOD(SUM($P$5:$P74),2)=0,"w","b")</f>
        <v>w</v>
      </c>
      <c r="G75" s="11" t="str">
        <f aca="false">IF($D75=0,"",INDEX($AH74:$CS74,1,$D75)&amp;"")</f>
        <v/>
      </c>
      <c r="H75" s="11" t="str">
        <f aca="false">IF($E75=0,"",INDEX($AH74:$CS74,1,$E75)&amp;"")</f>
        <v/>
      </c>
      <c r="I75" s="11" t="n">
        <f aca="false">IF(OR($D75=0,$E75=0),0,MOD($E75-1,8)-MOD($D75-1,8))</f>
        <v>0</v>
      </c>
      <c r="J75" s="11" t="n">
        <f aca="false">IF(OR($D75=0,$E75=0),0,INT(($E75-1)/8)-INT(($D75-1)/8))</f>
        <v>0</v>
      </c>
      <c r="K75" s="11" t="str">
        <f aca="false">IF($G75="","",RIGHT($G75,1))</f>
        <v/>
      </c>
      <c r="L75" s="11" t="n">
        <f aca="false">IF(OR($D75=0,$E75=0),0,SUMPRODUCT(($AH$3:$CS$3&gt;MIN($D75,$E75))*($AH$3:$CS$3&lt;MAX($D75,$E75))*(MOD($AH$3:$CS$3-MIN($D75,$E75),MAX(1,ABS(SIGN($J75)*8+SIGN($I75))))=0)*($AH74:$CS74&lt;&gt;"")))</f>
        <v>0</v>
      </c>
      <c r="M75" s="11" t="n">
        <f aca="false">IF($K75&lt;&gt;"K",0,IFERROR(--AND($J75=0,ABS($I75)=2,$D75=IF($F75="w",5,61),IF($F75="w",$S74,$V74)=0,IF($I75=2,AND(IF($F75="w",$U74,$X74)=0,INDEX($AH74:$CS74,1,$D75+1)&amp;""="",INDEX($AH74:$CS74,1,$D75+2)&amp;""=""),AND(IF($F75="w",$T74,$W74)=0,INDEX($AH74:$CS74,1,$D75-1)&amp;""="",INDEX($AH74:$CS74,1,$D75-2)&amp;""="",INDEX($AH74:$CS74,1,$D75-3)&amp;""=""))),0))</f>
        <v>0</v>
      </c>
      <c r="N75" s="11" t="n">
        <f aca="false">IF($K75&lt;&gt;"P",0,IFERROR(--OR(AND($I75=0,$J75=IF($F75="w",1,-1),$H75=""),AND($I75=0,$J75=2*IF($F75="w",1,-1),$H75="",INT(($D75-1)/8)=IF($F75="w",1,6),INDEX($AH74:$CS74,1,MAX(1,MIN(64,$D75+8*IF($F75="w",1,-1))))&amp;""=""),AND(ABS($I75)=1,$J75=IF($F75="w",1,-1),$H75&lt;&gt;""),AND(ABS($I75)=1,$J75=IF($F75="w",1,-1),$H75="",$R74&gt;0,$E75=$R74)),0))</f>
        <v>0</v>
      </c>
      <c r="O75" s="11" t="n">
        <f aca="false">IF(OR($D75=0,$E75=0,$G75=""),0,IF($K75="N",--OR(AND(ABS($I75)=1,ABS($J75)=2),AND(ABS($I75)=2,ABS($J75)=1)),IF($K75="B",--AND(ABS($I75)=ABS($J75),$I75&lt;&gt;0,$L75=0),IF($K75="R",--AND(OR($I75=0,$J75=0),OR($I75&lt;&gt;0,$J75&lt;&gt;0),$L75=0),IF($K75="Q",--AND(OR(AND(ABS($I75)=ABS($J75),$I75&lt;&gt;0),AND(OR($I75=0,$J75=0),OR($I75&lt;&gt;0,$J75&lt;&gt;0))),$L75=0),IF($K75="K",--OR(MAX(ABS($I75),ABS($J75))=1,$M75=1),$N75))))))</f>
        <v>0</v>
      </c>
      <c r="P75" s="11" t="n">
        <f aca="false">IF($Q75="OK",1,0)</f>
        <v>0</v>
      </c>
      <c r="Q75" s="11" t="str">
        <f aca="false">IF($B75="","",IF(OR(COUNTIF($AH74:$CS74,"wK")=0,COUNTIF($AH74:$CS74,"bK")=0),"Game is over",IF(OR($D75=0,$E75=0),"Use the format e2e4",IF($G75="","No piece on that square",IF(LEFT($G75,1)&lt;&gt;$F75,"Not your piece ("&amp;IF($F75="w","White","Black")&amp;" to move)",IF($D75=$E75,"Piece must move",IF(AND($H75&lt;&gt;"",LEFT($H75,1)=$F75),"Cannot capture your own piece",IF($O75=0,"Illegal move for that piece (or path blocked)","OK"))))))))</f>
        <v/>
      </c>
      <c r="R75" s="11" t="n">
        <f aca="false">IF($P75=1,IF(AND($K75="P",ABS($J75)=2),($D75+$E75)/2,0),$R74)</f>
        <v>0</v>
      </c>
      <c r="S75" s="12" t="b">
        <f aca="false">--OR($S74=1,AND($P75=1,OR($D75=5,$E75=5)))</f>
        <v>0</v>
      </c>
      <c r="T75" s="12" t="b">
        <f aca="false">--OR($T74=1,AND($P75=1,OR($D75=1,$E75=1)))</f>
        <v>0</v>
      </c>
      <c r="U75" s="12" t="b">
        <f aca="false">--OR($U74=1,AND($P75=1,OR($D75=8,$E75=8)))</f>
        <v>0</v>
      </c>
      <c r="V75" s="12" t="b">
        <f aca="false">--OR($V74=1,AND($P75=1,OR($D75=61,$E75=61)))</f>
        <v>0</v>
      </c>
      <c r="W75" s="12" t="b">
        <f aca="false">--OR($W74=1,AND($P75=1,OR($D75=57,$E75=57)))</f>
        <v>0</v>
      </c>
      <c r="X75" s="12" t="b">
        <f aca="false">--OR($X74=1,AND($P75=1,OR($D75=64,$E75=64)))</f>
        <v>0</v>
      </c>
      <c r="Y75" s="12" t="b">
        <f aca="false">--AND($P75=1,$K75="K",ABS($I75)=2)</f>
        <v>0</v>
      </c>
      <c r="Z75" s="12" t="b">
        <f aca="false">--AND($P75=1,$K75="P",ABS($I75)=1,$H75="")</f>
        <v>0</v>
      </c>
      <c r="AA75" s="12" t="b">
        <f aca="false">--AND($P75=1,$K75="P",INT(($E75-1)/8)=IF($F75="w",7,0))</f>
        <v>0</v>
      </c>
      <c r="AB75" s="11" t="str">
        <f aca="false">IF(LEN($C75)&gt;=5,IF(ISNUMBER(FIND(MID($C75,5,1),"qrbn")),UPPER(MID($C75,5,1)),"Q"),"Q")</f>
        <v>Q</v>
      </c>
      <c r="AC75" s="11" t="n">
        <f aca="false">IF($Y75=1,IF($I75=2,$D75+3,$D75-4),0)</f>
        <v>0</v>
      </c>
      <c r="AD75" s="11" t="n">
        <f aca="false">IF($Y75=1,IF($I75=2,$D75+1,$D75-1),0)</f>
        <v>0</v>
      </c>
      <c r="AE75" s="11" t="n">
        <f aca="false">IF($Z75=1,$E75-8*IF($F75="w",1,-1),0)</f>
        <v>0</v>
      </c>
      <c r="AF75" s="11" t="str">
        <f aca="false">IF($B75="","",IF($P75=1,LOWER(INDEX($CV$2:$CV$13,MATCH($G75,$CU$2:$CU$13,0)))&amp;" "&amp;MID("abcdefgh",MOD($D75-1,8)+1,1)&amp;(INT(($D75-1)/8)+1)&amp;"→"&amp;MID("abcdefgh",MOD($E75-1,8)+1,1)&amp;(INT(($E75-1)/8)+1)&amp;IF(OR($H75&lt;&gt;"",$Z75=1)," ×","")&amp;IF($Y75=1," castles","")&amp;IF($Z75=1," e.p.","")&amp;IF($AA75=1," =" &amp;LOWER(INDEX($CV$2:$CV$13,MATCH($F75&amp;$AB75,$CU$2:$CU$13,0))),""),"X "&amp;$Q75))</f>
        <v/>
      </c>
      <c r="AG75" s="11"/>
      <c r="AH75" s="11" t="str">
        <f aca="false">IF($P75=0,AH74,IF(AH$3=$E75,IF($AA75=1,$F75&amp;$AB75,$G75),IF(OR(AH$3=$D75,AH$3=$AC75,AH$3=$AE75),"",IF(AH$3=$AD75,$F75&amp;"R",AH74))))</f>
        <v>wR</v>
      </c>
      <c r="AI75" s="11" t="str">
        <f aca="false">IF($P75=0,AI74,IF(AI$3=$E75,IF($AA75=1,$F75&amp;$AB75,$G75),IF(OR(AI$3=$D75,AI$3=$AC75,AI$3=$AE75),"",IF(AI$3=$AD75,$F75&amp;"R",AI74))))</f>
        <v>wN</v>
      </c>
      <c r="AJ75" s="11" t="str">
        <f aca="false">IF($P75=0,AJ74,IF(AJ$3=$E75,IF($AA75=1,$F75&amp;$AB75,$G75),IF(OR(AJ$3=$D75,AJ$3=$AC75,AJ$3=$AE75),"",IF(AJ$3=$AD75,$F75&amp;"R",AJ74))))</f>
        <v>wB</v>
      </c>
      <c r="AK75" s="11" t="str">
        <f aca="false">IF($P75=0,AK74,IF(AK$3=$E75,IF($AA75=1,$F75&amp;$AB75,$G75),IF(OR(AK$3=$D75,AK$3=$AC75,AK$3=$AE75),"",IF(AK$3=$AD75,$F75&amp;"R",AK74))))</f>
        <v>wQ</v>
      </c>
      <c r="AL75" s="11" t="str">
        <f aca="false">IF($P75=0,AL74,IF(AL$3=$E75,IF($AA75=1,$F75&amp;$AB75,$G75),IF(OR(AL$3=$D75,AL$3=$AC75,AL$3=$AE75),"",IF(AL$3=$AD75,$F75&amp;"R",AL74))))</f>
        <v>wK</v>
      </c>
      <c r="AM75" s="11" t="str">
        <f aca="false">IF($P75=0,AM74,IF(AM$3=$E75,IF($AA75=1,$F75&amp;$AB75,$G75),IF(OR(AM$3=$D75,AM$3=$AC75,AM$3=$AE75),"",IF(AM$3=$AD75,$F75&amp;"R",AM74))))</f>
        <v>wB</v>
      </c>
      <c r="AN75" s="11" t="str">
        <f aca="false">IF($P75=0,AN74,IF(AN$3=$E75,IF($AA75=1,$F75&amp;$AB75,$G75),IF(OR(AN$3=$D75,AN$3=$AC75,AN$3=$AE75),"",IF(AN$3=$AD75,$F75&amp;"R",AN74))))</f>
        <v>wN</v>
      </c>
      <c r="AO75" s="11" t="str">
        <f aca="false">IF($P75=0,AO74,IF(AO$3=$E75,IF($AA75=1,$F75&amp;$AB75,$G75),IF(OR(AO$3=$D75,AO$3=$AC75,AO$3=$AE75),"",IF(AO$3=$AD75,$F75&amp;"R",AO74))))</f>
        <v>wR</v>
      </c>
      <c r="AP75" s="11" t="str">
        <f aca="false">IF($P75=0,AP74,IF(AP$3=$E75,IF($AA75=1,$F75&amp;$AB75,$G75),IF(OR(AP$3=$D75,AP$3=$AC75,AP$3=$AE75),"",IF(AP$3=$AD75,$F75&amp;"R",AP74))))</f>
        <v>wP</v>
      </c>
      <c r="AQ75" s="11" t="str">
        <f aca="false">IF($P75=0,AQ74,IF(AQ$3=$E75,IF($AA75=1,$F75&amp;$AB75,$G75),IF(OR(AQ$3=$D75,AQ$3=$AC75,AQ$3=$AE75),"",IF(AQ$3=$AD75,$F75&amp;"R",AQ74))))</f>
        <v>wP</v>
      </c>
      <c r="AR75" s="11" t="str">
        <f aca="false">IF($P75=0,AR74,IF(AR$3=$E75,IF($AA75=1,$F75&amp;$AB75,$G75),IF(OR(AR$3=$D75,AR$3=$AC75,AR$3=$AE75),"",IF(AR$3=$AD75,$F75&amp;"R",AR74))))</f>
        <v>wP</v>
      </c>
      <c r="AS75" s="11" t="str">
        <f aca="false">IF($P75=0,AS74,IF(AS$3=$E75,IF($AA75=1,$F75&amp;$AB75,$G75),IF(OR(AS$3=$D75,AS$3=$AC75,AS$3=$AE75),"",IF(AS$3=$AD75,$F75&amp;"R",AS74))))</f>
        <v>wP</v>
      </c>
      <c r="AT75" s="11" t="str">
        <f aca="false">IF($P75=0,AT74,IF(AT$3=$E75,IF($AA75=1,$F75&amp;$AB75,$G75),IF(OR(AT$3=$D75,AT$3=$AC75,AT$3=$AE75),"",IF(AT$3=$AD75,$F75&amp;"R",AT74))))</f>
        <v>wP</v>
      </c>
      <c r="AU75" s="11" t="str">
        <f aca="false">IF($P75=0,AU74,IF(AU$3=$E75,IF($AA75=1,$F75&amp;$AB75,$G75),IF(OR(AU$3=$D75,AU$3=$AC75,AU$3=$AE75),"",IF(AU$3=$AD75,$F75&amp;"R",AU74))))</f>
        <v>wP</v>
      </c>
      <c r="AV75" s="11" t="str">
        <f aca="false">IF($P75=0,AV74,IF(AV$3=$E75,IF($AA75=1,$F75&amp;$AB75,$G75),IF(OR(AV$3=$D75,AV$3=$AC75,AV$3=$AE75),"",IF(AV$3=$AD75,$F75&amp;"R",AV74))))</f>
        <v>wP</v>
      </c>
      <c r="AW75" s="11" t="str">
        <f aca="false">IF($P75=0,AW74,IF(AW$3=$E75,IF($AA75=1,$F75&amp;$AB75,$G75),IF(OR(AW$3=$D75,AW$3=$AC75,AW$3=$AE75),"",IF(AW$3=$AD75,$F75&amp;"R",AW74))))</f>
        <v>wP</v>
      </c>
      <c r="AX75" s="11" t="str">
        <f aca="false">IF($P75=0,AX74,IF(AX$3=$E75,IF($AA75=1,$F75&amp;$AB75,$G75),IF(OR(AX$3=$D75,AX$3=$AC75,AX$3=$AE75),"",IF(AX$3=$AD75,$F75&amp;"R",AX74))))</f>
        <v/>
      </c>
      <c r="AY75" s="11" t="str">
        <f aca="false">IF($P75=0,AY74,IF(AY$3=$E75,IF($AA75=1,$F75&amp;$AB75,$G75),IF(OR(AY$3=$D75,AY$3=$AC75,AY$3=$AE75),"",IF(AY$3=$AD75,$F75&amp;"R",AY74))))</f>
        <v/>
      </c>
      <c r="AZ75" s="11" t="str">
        <f aca="false">IF($P75=0,AZ74,IF(AZ$3=$E75,IF($AA75=1,$F75&amp;$AB75,$G75),IF(OR(AZ$3=$D75,AZ$3=$AC75,AZ$3=$AE75),"",IF(AZ$3=$AD75,$F75&amp;"R",AZ74))))</f>
        <v/>
      </c>
      <c r="BA75" s="11" t="str">
        <f aca="false">IF($P75=0,BA74,IF(BA$3=$E75,IF($AA75=1,$F75&amp;$AB75,$G75),IF(OR(BA$3=$D75,BA$3=$AC75,BA$3=$AE75),"",IF(BA$3=$AD75,$F75&amp;"R",BA74))))</f>
        <v/>
      </c>
      <c r="BB75" s="11" t="str">
        <f aca="false">IF($P75=0,BB74,IF(BB$3=$E75,IF($AA75=1,$F75&amp;$AB75,$G75),IF(OR(BB$3=$D75,BB$3=$AC75,BB$3=$AE75),"",IF(BB$3=$AD75,$F75&amp;"R",BB74))))</f>
        <v/>
      </c>
      <c r="BC75" s="11" t="str">
        <f aca="false">IF($P75=0,BC74,IF(BC$3=$E75,IF($AA75=1,$F75&amp;$AB75,$G75),IF(OR(BC$3=$D75,BC$3=$AC75,BC$3=$AE75),"",IF(BC$3=$AD75,$F75&amp;"R",BC74))))</f>
        <v/>
      </c>
      <c r="BD75" s="11" t="str">
        <f aca="false">IF($P75=0,BD74,IF(BD$3=$E75,IF($AA75=1,$F75&amp;$AB75,$G75),IF(OR(BD$3=$D75,BD$3=$AC75,BD$3=$AE75),"",IF(BD$3=$AD75,$F75&amp;"R",BD74))))</f>
        <v/>
      </c>
      <c r="BE75" s="11" t="str">
        <f aca="false">IF($P75=0,BE74,IF(BE$3=$E75,IF($AA75=1,$F75&amp;$AB75,$G75),IF(OR(BE$3=$D75,BE$3=$AC75,BE$3=$AE75),"",IF(BE$3=$AD75,$F75&amp;"R",BE74))))</f>
        <v/>
      </c>
      <c r="BF75" s="11" t="str">
        <f aca="false">IF($P75=0,BF74,IF(BF$3=$E75,IF($AA75=1,$F75&amp;$AB75,$G75),IF(OR(BF$3=$D75,BF$3=$AC75,BF$3=$AE75),"",IF(BF$3=$AD75,$F75&amp;"R",BF74))))</f>
        <v/>
      </c>
      <c r="BG75" s="11" t="str">
        <f aca="false">IF($P75=0,BG74,IF(BG$3=$E75,IF($AA75=1,$F75&amp;$AB75,$G75),IF(OR(BG$3=$D75,BG$3=$AC75,BG$3=$AE75),"",IF(BG$3=$AD75,$F75&amp;"R",BG74))))</f>
        <v/>
      </c>
      <c r="BH75" s="11" t="str">
        <f aca="false">IF($P75=0,BH74,IF(BH$3=$E75,IF($AA75=1,$F75&amp;$AB75,$G75),IF(OR(BH$3=$D75,BH$3=$AC75,BH$3=$AE75),"",IF(BH$3=$AD75,$F75&amp;"R",BH74))))</f>
        <v/>
      </c>
      <c r="BI75" s="11" t="str">
        <f aca="false">IF($P75=0,BI74,IF(BI$3=$E75,IF($AA75=1,$F75&amp;$AB75,$G75),IF(OR(BI$3=$D75,BI$3=$AC75,BI$3=$AE75),"",IF(BI$3=$AD75,$F75&amp;"R",BI74))))</f>
        <v/>
      </c>
      <c r="BJ75" s="11" t="str">
        <f aca="false">IF($P75=0,BJ74,IF(BJ$3=$E75,IF($AA75=1,$F75&amp;$AB75,$G75),IF(OR(BJ$3=$D75,BJ$3=$AC75,BJ$3=$AE75),"",IF(BJ$3=$AD75,$F75&amp;"R",BJ74))))</f>
        <v/>
      </c>
      <c r="BK75" s="11" t="str">
        <f aca="false">IF($P75=0,BK74,IF(BK$3=$E75,IF($AA75=1,$F75&amp;$AB75,$G75),IF(OR(BK$3=$D75,BK$3=$AC75,BK$3=$AE75),"",IF(BK$3=$AD75,$F75&amp;"R",BK74))))</f>
        <v/>
      </c>
      <c r="BL75" s="11" t="str">
        <f aca="false">IF($P75=0,BL74,IF(BL$3=$E75,IF($AA75=1,$F75&amp;$AB75,$G75),IF(OR(BL$3=$D75,BL$3=$AC75,BL$3=$AE75),"",IF(BL$3=$AD75,$F75&amp;"R",BL74))))</f>
        <v/>
      </c>
      <c r="BM75" s="11" t="str">
        <f aca="false">IF($P75=0,BM74,IF(BM$3=$E75,IF($AA75=1,$F75&amp;$AB75,$G75),IF(OR(BM$3=$D75,BM$3=$AC75,BM$3=$AE75),"",IF(BM$3=$AD75,$F75&amp;"R",BM74))))</f>
        <v/>
      </c>
      <c r="BN75" s="11" t="str">
        <f aca="false">IF($P75=0,BN74,IF(BN$3=$E75,IF($AA75=1,$F75&amp;$AB75,$G75),IF(OR(BN$3=$D75,BN$3=$AC75,BN$3=$AE75),"",IF(BN$3=$AD75,$F75&amp;"R",BN74))))</f>
        <v/>
      </c>
      <c r="BO75" s="11" t="str">
        <f aca="false">IF($P75=0,BO74,IF(BO$3=$E75,IF($AA75=1,$F75&amp;$AB75,$G75),IF(OR(BO$3=$D75,BO$3=$AC75,BO$3=$AE75),"",IF(BO$3=$AD75,$F75&amp;"R",BO74))))</f>
        <v/>
      </c>
      <c r="BP75" s="11" t="str">
        <f aca="false">IF($P75=0,BP74,IF(BP$3=$E75,IF($AA75=1,$F75&amp;$AB75,$G75),IF(OR(BP$3=$D75,BP$3=$AC75,BP$3=$AE75),"",IF(BP$3=$AD75,$F75&amp;"R",BP74))))</f>
        <v/>
      </c>
      <c r="BQ75" s="11" t="str">
        <f aca="false">IF($P75=0,BQ74,IF(BQ$3=$E75,IF($AA75=1,$F75&amp;$AB75,$G75),IF(OR(BQ$3=$D75,BQ$3=$AC75,BQ$3=$AE75),"",IF(BQ$3=$AD75,$F75&amp;"R",BQ74))))</f>
        <v/>
      </c>
      <c r="BR75" s="11" t="str">
        <f aca="false">IF($P75=0,BR74,IF(BR$3=$E75,IF($AA75=1,$F75&amp;$AB75,$G75),IF(OR(BR$3=$D75,BR$3=$AC75,BR$3=$AE75),"",IF(BR$3=$AD75,$F75&amp;"R",BR74))))</f>
        <v/>
      </c>
      <c r="BS75" s="11" t="str">
        <f aca="false">IF($P75=0,BS74,IF(BS$3=$E75,IF($AA75=1,$F75&amp;$AB75,$G75),IF(OR(BS$3=$D75,BS$3=$AC75,BS$3=$AE75),"",IF(BS$3=$AD75,$F75&amp;"R",BS74))))</f>
        <v/>
      </c>
      <c r="BT75" s="11" t="str">
        <f aca="false">IF($P75=0,BT74,IF(BT$3=$E75,IF($AA75=1,$F75&amp;$AB75,$G75),IF(OR(BT$3=$D75,BT$3=$AC75,BT$3=$AE75),"",IF(BT$3=$AD75,$F75&amp;"R",BT74))))</f>
        <v/>
      </c>
      <c r="BU75" s="11" t="str">
        <f aca="false">IF($P75=0,BU74,IF(BU$3=$E75,IF($AA75=1,$F75&amp;$AB75,$G75),IF(OR(BU$3=$D75,BU$3=$AC75,BU$3=$AE75),"",IF(BU$3=$AD75,$F75&amp;"R",BU74))))</f>
        <v/>
      </c>
      <c r="BV75" s="11" t="str">
        <f aca="false">IF($P75=0,BV74,IF(BV$3=$E75,IF($AA75=1,$F75&amp;$AB75,$G75),IF(OR(BV$3=$D75,BV$3=$AC75,BV$3=$AE75),"",IF(BV$3=$AD75,$F75&amp;"R",BV74))))</f>
        <v/>
      </c>
      <c r="BW75" s="11" t="str">
        <f aca="false">IF($P75=0,BW74,IF(BW$3=$E75,IF($AA75=1,$F75&amp;$AB75,$G75),IF(OR(BW$3=$D75,BW$3=$AC75,BW$3=$AE75),"",IF(BW$3=$AD75,$F75&amp;"R",BW74))))</f>
        <v/>
      </c>
      <c r="BX75" s="11" t="str">
        <f aca="false">IF($P75=0,BX74,IF(BX$3=$E75,IF($AA75=1,$F75&amp;$AB75,$G75),IF(OR(BX$3=$D75,BX$3=$AC75,BX$3=$AE75),"",IF(BX$3=$AD75,$F75&amp;"R",BX74))))</f>
        <v/>
      </c>
      <c r="BY75" s="11" t="str">
        <f aca="false">IF($P75=0,BY74,IF(BY$3=$E75,IF($AA75=1,$F75&amp;$AB75,$G75),IF(OR(BY$3=$D75,BY$3=$AC75,BY$3=$AE75),"",IF(BY$3=$AD75,$F75&amp;"R",BY74))))</f>
        <v/>
      </c>
      <c r="BZ75" s="11" t="str">
        <f aca="false">IF($P75=0,BZ74,IF(BZ$3=$E75,IF($AA75=1,$F75&amp;$AB75,$G75),IF(OR(BZ$3=$D75,BZ$3=$AC75,BZ$3=$AE75),"",IF(BZ$3=$AD75,$F75&amp;"R",BZ74))))</f>
        <v/>
      </c>
      <c r="CA75" s="11" t="str">
        <f aca="false">IF($P75=0,CA74,IF(CA$3=$E75,IF($AA75=1,$F75&amp;$AB75,$G75),IF(OR(CA$3=$D75,CA$3=$AC75,CA$3=$AE75),"",IF(CA$3=$AD75,$F75&amp;"R",CA74))))</f>
        <v/>
      </c>
      <c r="CB75" s="11" t="str">
        <f aca="false">IF($P75=0,CB74,IF(CB$3=$E75,IF($AA75=1,$F75&amp;$AB75,$G75),IF(OR(CB$3=$D75,CB$3=$AC75,CB$3=$AE75),"",IF(CB$3=$AD75,$F75&amp;"R",CB74))))</f>
        <v/>
      </c>
      <c r="CC75" s="11" t="str">
        <f aca="false">IF($P75=0,CC74,IF(CC$3=$E75,IF($AA75=1,$F75&amp;$AB75,$G75),IF(OR(CC$3=$D75,CC$3=$AC75,CC$3=$AE75),"",IF(CC$3=$AD75,$F75&amp;"R",CC74))))</f>
        <v/>
      </c>
      <c r="CD75" s="11" t="str">
        <f aca="false">IF($P75=0,CD74,IF(CD$3=$E75,IF($AA75=1,$F75&amp;$AB75,$G75),IF(OR(CD$3=$D75,CD$3=$AC75,CD$3=$AE75),"",IF(CD$3=$AD75,$F75&amp;"R",CD74))))</f>
        <v>bP</v>
      </c>
      <c r="CE75" s="11" t="str">
        <f aca="false">IF($P75=0,CE74,IF(CE$3=$E75,IF($AA75=1,$F75&amp;$AB75,$G75),IF(OR(CE$3=$D75,CE$3=$AC75,CE$3=$AE75),"",IF(CE$3=$AD75,$F75&amp;"R",CE74))))</f>
        <v>bP</v>
      </c>
      <c r="CF75" s="11" t="str">
        <f aca="false">IF($P75=0,CF74,IF(CF$3=$E75,IF($AA75=1,$F75&amp;$AB75,$G75),IF(OR(CF$3=$D75,CF$3=$AC75,CF$3=$AE75),"",IF(CF$3=$AD75,$F75&amp;"R",CF74))))</f>
        <v>bP</v>
      </c>
      <c r="CG75" s="11" t="str">
        <f aca="false">IF($P75=0,CG74,IF(CG$3=$E75,IF($AA75=1,$F75&amp;$AB75,$G75),IF(OR(CG$3=$D75,CG$3=$AC75,CG$3=$AE75),"",IF(CG$3=$AD75,$F75&amp;"R",CG74))))</f>
        <v>bP</v>
      </c>
      <c r="CH75" s="11" t="str">
        <f aca="false">IF($P75=0,CH74,IF(CH$3=$E75,IF($AA75=1,$F75&amp;$AB75,$G75),IF(OR(CH$3=$D75,CH$3=$AC75,CH$3=$AE75),"",IF(CH$3=$AD75,$F75&amp;"R",CH74))))</f>
        <v>bP</v>
      </c>
      <c r="CI75" s="11" t="str">
        <f aca="false">IF($P75=0,CI74,IF(CI$3=$E75,IF($AA75=1,$F75&amp;$AB75,$G75),IF(OR(CI$3=$D75,CI$3=$AC75,CI$3=$AE75),"",IF(CI$3=$AD75,$F75&amp;"R",CI74))))</f>
        <v>bP</v>
      </c>
      <c r="CJ75" s="11" t="str">
        <f aca="false">IF($P75=0,CJ74,IF(CJ$3=$E75,IF($AA75=1,$F75&amp;$AB75,$G75),IF(OR(CJ$3=$D75,CJ$3=$AC75,CJ$3=$AE75),"",IF(CJ$3=$AD75,$F75&amp;"R",CJ74))))</f>
        <v>bP</v>
      </c>
      <c r="CK75" s="11" t="str">
        <f aca="false">IF($P75=0,CK74,IF(CK$3=$E75,IF($AA75=1,$F75&amp;$AB75,$G75),IF(OR(CK$3=$D75,CK$3=$AC75,CK$3=$AE75),"",IF(CK$3=$AD75,$F75&amp;"R",CK74))))</f>
        <v>bP</v>
      </c>
      <c r="CL75" s="11" t="str">
        <f aca="false">IF($P75=0,CL74,IF(CL$3=$E75,IF($AA75=1,$F75&amp;$AB75,$G75),IF(OR(CL$3=$D75,CL$3=$AC75,CL$3=$AE75),"",IF(CL$3=$AD75,$F75&amp;"R",CL74))))</f>
        <v>bR</v>
      </c>
      <c r="CM75" s="11" t="str">
        <f aca="false">IF($P75=0,CM74,IF(CM$3=$E75,IF($AA75=1,$F75&amp;$AB75,$G75),IF(OR(CM$3=$D75,CM$3=$AC75,CM$3=$AE75),"",IF(CM$3=$AD75,$F75&amp;"R",CM74))))</f>
        <v>bN</v>
      </c>
      <c r="CN75" s="11" t="str">
        <f aca="false">IF($P75=0,CN74,IF(CN$3=$E75,IF($AA75=1,$F75&amp;$AB75,$G75),IF(OR(CN$3=$D75,CN$3=$AC75,CN$3=$AE75),"",IF(CN$3=$AD75,$F75&amp;"R",CN74))))</f>
        <v>bB</v>
      </c>
      <c r="CO75" s="11" t="str">
        <f aca="false">IF($P75=0,CO74,IF(CO$3=$E75,IF($AA75=1,$F75&amp;$AB75,$G75),IF(OR(CO$3=$D75,CO$3=$AC75,CO$3=$AE75),"",IF(CO$3=$AD75,$F75&amp;"R",CO74))))</f>
        <v>bQ</v>
      </c>
      <c r="CP75" s="11" t="str">
        <f aca="false">IF($P75=0,CP74,IF(CP$3=$E75,IF($AA75=1,$F75&amp;$AB75,$G75),IF(OR(CP$3=$D75,CP$3=$AC75,CP$3=$AE75),"",IF(CP$3=$AD75,$F75&amp;"R",CP74))))</f>
        <v>bK</v>
      </c>
      <c r="CQ75" s="11" t="str">
        <f aca="false">IF($P75=0,CQ74,IF(CQ$3=$E75,IF($AA75=1,$F75&amp;$AB75,$G75),IF(OR(CQ$3=$D75,CQ$3=$AC75,CQ$3=$AE75),"",IF(CQ$3=$AD75,$F75&amp;"R",CQ74))))</f>
        <v>bB</v>
      </c>
      <c r="CR75" s="11" t="str">
        <f aca="false">IF($P75=0,CR74,IF(CR$3=$E75,IF($AA75=1,$F75&amp;$AB75,$G75),IF(OR(CR$3=$D75,CR$3=$AC75,CR$3=$AE75),"",IF(CR$3=$AD75,$F75&amp;"R",CR74))))</f>
        <v>bN</v>
      </c>
      <c r="CS75" s="11" t="str">
        <f aca="false">IF($P75=0,CS74,IF(CS$3=$E75,IF($AA75=1,$F75&amp;$AB75,$G75),IF(OR(CS$3=$D75,CS$3=$AC75,CS$3=$AE75),"",IF(CS$3=$AD75,$F75&amp;"R",CS74))))</f>
        <v>bR</v>
      </c>
      <c r="CT75" s="11"/>
      <c r="CU75" s="11"/>
      <c r="CV75" s="11"/>
    </row>
    <row r="76" customFormat="false" ht="15" hidden="false" customHeight="false" outlineLevel="0" collapsed="false">
      <c r="A76" s="11" t="n">
        <v>71</v>
      </c>
      <c r="B76" s="11" t="str">
        <f aca="false">IF(Chess!$L$80="","",Chess!$L$80&amp;"")</f>
        <v/>
      </c>
      <c r="C76" s="11" t="str">
        <f aca="false">LOWER(SUBSTITUTE(SUBSTITUTE(SUBSTITUTE(SUBSTITUTE(TRIM($B76),"-",""),"=","")," ",""),"x",""))</f>
        <v/>
      </c>
      <c r="D76" s="11" t="n">
        <f aca="false">IF(LEN($C76)&lt;4,0,IFERROR(IF(AND(CODE(MID($C76,1,1))&gt;=97,CODE(MID($C76,1,1))&lt;=104,VALUE(MID($C76,2,1))&gt;=1,VALUE(MID($C76,2,1))&lt;=8),(VALUE(MID($C76,2,1))-1)*8+CODE(MID($C76,1,1))-96,0),0))</f>
        <v>0</v>
      </c>
      <c r="E76" s="11" t="n">
        <f aca="false">IF(LEN($C76)&lt;4,0,IFERROR(IF(AND(CODE(MID($C76,3,1))&gt;=97,CODE(MID($C76,3,1))&lt;=104,VALUE(MID($C76,4,1))&gt;=1,VALUE(MID($C76,4,1))&lt;=8),(VALUE(MID($C76,4,1))-1)*8+CODE(MID($C76,3,1))-96,0),0))</f>
        <v>0</v>
      </c>
      <c r="F76" s="11" t="str">
        <f aca="false">IF(MOD(SUM($P$5:$P75),2)=0,"w","b")</f>
        <v>w</v>
      </c>
      <c r="G76" s="11" t="str">
        <f aca="false">IF($D76=0,"",INDEX($AH75:$CS75,1,$D76)&amp;"")</f>
        <v/>
      </c>
      <c r="H76" s="11" t="str">
        <f aca="false">IF($E76=0,"",INDEX($AH75:$CS75,1,$E76)&amp;"")</f>
        <v/>
      </c>
      <c r="I76" s="11" t="n">
        <f aca="false">IF(OR($D76=0,$E76=0),0,MOD($E76-1,8)-MOD($D76-1,8))</f>
        <v>0</v>
      </c>
      <c r="J76" s="11" t="n">
        <f aca="false">IF(OR($D76=0,$E76=0),0,INT(($E76-1)/8)-INT(($D76-1)/8))</f>
        <v>0</v>
      </c>
      <c r="K76" s="11" t="str">
        <f aca="false">IF($G76="","",RIGHT($G76,1))</f>
        <v/>
      </c>
      <c r="L76" s="11" t="n">
        <f aca="false">IF(OR($D76=0,$E76=0),0,SUMPRODUCT(($AH$3:$CS$3&gt;MIN($D76,$E76))*($AH$3:$CS$3&lt;MAX($D76,$E76))*(MOD($AH$3:$CS$3-MIN($D76,$E76),MAX(1,ABS(SIGN($J76)*8+SIGN($I76))))=0)*($AH75:$CS75&lt;&gt;"")))</f>
        <v>0</v>
      </c>
      <c r="M76" s="11" t="n">
        <f aca="false">IF($K76&lt;&gt;"K",0,IFERROR(--AND($J76=0,ABS($I76)=2,$D76=IF($F76="w",5,61),IF($F76="w",$S75,$V75)=0,IF($I76=2,AND(IF($F76="w",$U75,$X75)=0,INDEX($AH75:$CS75,1,$D76+1)&amp;""="",INDEX($AH75:$CS75,1,$D76+2)&amp;""=""),AND(IF($F76="w",$T75,$W75)=0,INDEX($AH75:$CS75,1,$D76-1)&amp;""="",INDEX($AH75:$CS75,1,$D76-2)&amp;""="",INDEX($AH75:$CS75,1,$D76-3)&amp;""=""))),0))</f>
        <v>0</v>
      </c>
      <c r="N76" s="11" t="n">
        <f aca="false">IF($K76&lt;&gt;"P",0,IFERROR(--OR(AND($I76=0,$J76=IF($F76="w",1,-1),$H76=""),AND($I76=0,$J76=2*IF($F76="w",1,-1),$H76="",INT(($D76-1)/8)=IF($F76="w",1,6),INDEX($AH75:$CS75,1,MAX(1,MIN(64,$D76+8*IF($F76="w",1,-1))))&amp;""=""),AND(ABS($I76)=1,$J76=IF($F76="w",1,-1),$H76&lt;&gt;""),AND(ABS($I76)=1,$J76=IF($F76="w",1,-1),$H76="",$R75&gt;0,$E76=$R75)),0))</f>
        <v>0</v>
      </c>
      <c r="O76" s="11" t="n">
        <f aca="false">IF(OR($D76=0,$E76=0,$G76=""),0,IF($K76="N",--OR(AND(ABS($I76)=1,ABS($J76)=2),AND(ABS($I76)=2,ABS($J76)=1)),IF($K76="B",--AND(ABS($I76)=ABS($J76),$I76&lt;&gt;0,$L76=0),IF($K76="R",--AND(OR($I76=0,$J76=0),OR($I76&lt;&gt;0,$J76&lt;&gt;0),$L76=0),IF($K76="Q",--AND(OR(AND(ABS($I76)=ABS($J76),$I76&lt;&gt;0),AND(OR($I76=0,$J76=0),OR($I76&lt;&gt;0,$J76&lt;&gt;0))),$L76=0),IF($K76="K",--OR(MAX(ABS($I76),ABS($J76))=1,$M76=1),$N76))))))</f>
        <v>0</v>
      </c>
      <c r="P76" s="11" t="n">
        <f aca="false">IF($Q76="OK",1,0)</f>
        <v>0</v>
      </c>
      <c r="Q76" s="11" t="str">
        <f aca="false">IF($B76="","",IF(OR(COUNTIF($AH75:$CS75,"wK")=0,COUNTIF($AH75:$CS75,"bK")=0),"Game is over",IF(OR($D76=0,$E76=0),"Use the format e2e4",IF($G76="","No piece on that square",IF(LEFT($G76,1)&lt;&gt;$F76,"Not your piece ("&amp;IF($F76="w","White","Black")&amp;" to move)",IF($D76=$E76,"Piece must move",IF(AND($H76&lt;&gt;"",LEFT($H76,1)=$F76),"Cannot capture your own piece",IF($O76=0,"Illegal move for that piece (or path blocked)","OK"))))))))</f>
        <v/>
      </c>
      <c r="R76" s="11" t="n">
        <f aca="false">IF($P76=1,IF(AND($K76="P",ABS($J76)=2),($D76+$E76)/2,0),$R75)</f>
        <v>0</v>
      </c>
      <c r="S76" s="12" t="b">
        <f aca="false">--OR($S75=1,AND($P76=1,OR($D76=5,$E76=5)))</f>
        <v>0</v>
      </c>
      <c r="T76" s="12" t="b">
        <f aca="false">--OR($T75=1,AND($P76=1,OR($D76=1,$E76=1)))</f>
        <v>0</v>
      </c>
      <c r="U76" s="12" t="b">
        <f aca="false">--OR($U75=1,AND($P76=1,OR($D76=8,$E76=8)))</f>
        <v>0</v>
      </c>
      <c r="V76" s="12" t="b">
        <f aca="false">--OR($V75=1,AND($P76=1,OR($D76=61,$E76=61)))</f>
        <v>0</v>
      </c>
      <c r="W76" s="12" t="b">
        <f aca="false">--OR($W75=1,AND($P76=1,OR($D76=57,$E76=57)))</f>
        <v>0</v>
      </c>
      <c r="X76" s="12" t="b">
        <f aca="false">--OR($X75=1,AND($P76=1,OR($D76=64,$E76=64)))</f>
        <v>0</v>
      </c>
      <c r="Y76" s="12" t="b">
        <f aca="false">--AND($P76=1,$K76="K",ABS($I76)=2)</f>
        <v>0</v>
      </c>
      <c r="Z76" s="12" t="b">
        <f aca="false">--AND($P76=1,$K76="P",ABS($I76)=1,$H76="")</f>
        <v>0</v>
      </c>
      <c r="AA76" s="12" t="b">
        <f aca="false">--AND($P76=1,$K76="P",INT(($E76-1)/8)=IF($F76="w",7,0))</f>
        <v>0</v>
      </c>
      <c r="AB76" s="11" t="str">
        <f aca="false">IF(LEN($C76)&gt;=5,IF(ISNUMBER(FIND(MID($C76,5,1),"qrbn")),UPPER(MID($C76,5,1)),"Q"),"Q")</f>
        <v>Q</v>
      </c>
      <c r="AC76" s="11" t="n">
        <f aca="false">IF($Y76=1,IF($I76=2,$D76+3,$D76-4),0)</f>
        <v>0</v>
      </c>
      <c r="AD76" s="11" t="n">
        <f aca="false">IF($Y76=1,IF($I76=2,$D76+1,$D76-1),0)</f>
        <v>0</v>
      </c>
      <c r="AE76" s="11" t="n">
        <f aca="false">IF($Z76=1,$E76-8*IF($F76="w",1,-1),0)</f>
        <v>0</v>
      </c>
      <c r="AF76" s="11" t="str">
        <f aca="false">IF($B76="","",IF($P76=1,LOWER(INDEX($CV$2:$CV$13,MATCH($G76,$CU$2:$CU$13,0)))&amp;" "&amp;MID("abcdefgh",MOD($D76-1,8)+1,1)&amp;(INT(($D76-1)/8)+1)&amp;"→"&amp;MID("abcdefgh",MOD($E76-1,8)+1,1)&amp;(INT(($E76-1)/8)+1)&amp;IF(OR($H76&lt;&gt;"",$Z76=1)," ×","")&amp;IF($Y76=1," castles","")&amp;IF($Z76=1," e.p.","")&amp;IF($AA76=1," =" &amp;LOWER(INDEX($CV$2:$CV$13,MATCH($F76&amp;$AB76,$CU$2:$CU$13,0))),""),"X "&amp;$Q76))</f>
        <v/>
      </c>
      <c r="AG76" s="11"/>
      <c r="AH76" s="11" t="str">
        <f aca="false">IF($P76=0,AH75,IF(AH$3=$E76,IF($AA76=1,$F76&amp;$AB76,$G76),IF(OR(AH$3=$D76,AH$3=$AC76,AH$3=$AE76),"",IF(AH$3=$AD76,$F76&amp;"R",AH75))))</f>
        <v>wR</v>
      </c>
      <c r="AI76" s="11" t="str">
        <f aca="false">IF($P76=0,AI75,IF(AI$3=$E76,IF($AA76=1,$F76&amp;$AB76,$G76),IF(OR(AI$3=$D76,AI$3=$AC76,AI$3=$AE76),"",IF(AI$3=$AD76,$F76&amp;"R",AI75))))</f>
        <v>wN</v>
      </c>
      <c r="AJ76" s="11" t="str">
        <f aca="false">IF($P76=0,AJ75,IF(AJ$3=$E76,IF($AA76=1,$F76&amp;$AB76,$G76),IF(OR(AJ$3=$D76,AJ$3=$AC76,AJ$3=$AE76),"",IF(AJ$3=$AD76,$F76&amp;"R",AJ75))))</f>
        <v>wB</v>
      </c>
      <c r="AK76" s="11" t="str">
        <f aca="false">IF($P76=0,AK75,IF(AK$3=$E76,IF($AA76=1,$F76&amp;$AB76,$G76),IF(OR(AK$3=$D76,AK$3=$AC76,AK$3=$AE76),"",IF(AK$3=$AD76,$F76&amp;"R",AK75))))</f>
        <v>wQ</v>
      </c>
      <c r="AL76" s="11" t="str">
        <f aca="false">IF($P76=0,AL75,IF(AL$3=$E76,IF($AA76=1,$F76&amp;$AB76,$G76),IF(OR(AL$3=$D76,AL$3=$AC76,AL$3=$AE76),"",IF(AL$3=$AD76,$F76&amp;"R",AL75))))</f>
        <v>wK</v>
      </c>
      <c r="AM76" s="11" t="str">
        <f aca="false">IF($P76=0,AM75,IF(AM$3=$E76,IF($AA76=1,$F76&amp;$AB76,$G76),IF(OR(AM$3=$D76,AM$3=$AC76,AM$3=$AE76),"",IF(AM$3=$AD76,$F76&amp;"R",AM75))))</f>
        <v>wB</v>
      </c>
      <c r="AN76" s="11" t="str">
        <f aca="false">IF($P76=0,AN75,IF(AN$3=$E76,IF($AA76=1,$F76&amp;$AB76,$G76),IF(OR(AN$3=$D76,AN$3=$AC76,AN$3=$AE76),"",IF(AN$3=$AD76,$F76&amp;"R",AN75))))</f>
        <v>wN</v>
      </c>
      <c r="AO76" s="11" t="str">
        <f aca="false">IF($P76=0,AO75,IF(AO$3=$E76,IF($AA76=1,$F76&amp;$AB76,$G76),IF(OR(AO$3=$D76,AO$3=$AC76,AO$3=$AE76),"",IF(AO$3=$AD76,$F76&amp;"R",AO75))))</f>
        <v>wR</v>
      </c>
      <c r="AP76" s="11" t="str">
        <f aca="false">IF($P76=0,AP75,IF(AP$3=$E76,IF($AA76=1,$F76&amp;$AB76,$G76),IF(OR(AP$3=$D76,AP$3=$AC76,AP$3=$AE76),"",IF(AP$3=$AD76,$F76&amp;"R",AP75))))</f>
        <v>wP</v>
      </c>
      <c r="AQ76" s="11" t="str">
        <f aca="false">IF($P76=0,AQ75,IF(AQ$3=$E76,IF($AA76=1,$F76&amp;$AB76,$G76),IF(OR(AQ$3=$D76,AQ$3=$AC76,AQ$3=$AE76),"",IF(AQ$3=$AD76,$F76&amp;"R",AQ75))))</f>
        <v>wP</v>
      </c>
      <c r="AR76" s="11" t="str">
        <f aca="false">IF($P76=0,AR75,IF(AR$3=$E76,IF($AA76=1,$F76&amp;$AB76,$G76),IF(OR(AR$3=$D76,AR$3=$AC76,AR$3=$AE76),"",IF(AR$3=$AD76,$F76&amp;"R",AR75))))</f>
        <v>wP</v>
      </c>
      <c r="AS76" s="11" t="str">
        <f aca="false">IF($P76=0,AS75,IF(AS$3=$E76,IF($AA76=1,$F76&amp;$AB76,$G76),IF(OR(AS$3=$D76,AS$3=$AC76,AS$3=$AE76),"",IF(AS$3=$AD76,$F76&amp;"R",AS75))))</f>
        <v>wP</v>
      </c>
      <c r="AT76" s="11" t="str">
        <f aca="false">IF($P76=0,AT75,IF(AT$3=$E76,IF($AA76=1,$F76&amp;$AB76,$G76),IF(OR(AT$3=$D76,AT$3=$AC76,AT$3=$AE76),"",IF(AT$3=$AD76,$F76&amp;"R",AT75))))</f>
        <v>wP</v>
      </c>
      <c r="AU76" s="11" t="str">
        <f aca="false">IF($P76=0,AU75,IF(AU$3=$E76,IF($AA76=1,$F76&amp;$AB76,$G76),IF(OR(AU$3=$D76,AU$3=$AC76,AU$3=$AE76),"",IF(AU$3=$AD76,$F76&amp;"R",AU75))))</f>
        <v>wP</v>
      </c>
      <c r="AV76" s="11" t="str">
        <f aca="false">IF($P76=0,AV75,IF(AV$3=$E76,IF($AA76=1,$F76&amp;$AB76,$G76),IF(OR(AV$3=$D76,AV$3=$AC76,AV$3=$AE76),"",IF(AV$3=$AD76,$F76&amp;"R",AV75))))</f>
        <v>wP</v>
      </c>
      <c r="AW76" s="11" t="str">
        <f aca="false">IF($P76=0,AW75,IF(AW$3=$E76,IF($AA76=1,$F76&amp;$AB76,$G76),IF(OR(AW$3=$D76,AW$3=$AC76,AW$3=$AE76),"",IF(AW$3=$AD76,$F76&amp;"R",AW75))))</f>
        <v>wP</v>
      </c>
      <c r="AX76" s="11" t="str">
        <f aca="false">IF($P76=0,AX75,IF(AX$3=$E76,IF($AA76=1,$F76&amp;$AB76,$G76),IF(OR(AX$3=$D76,AX$3=$AC76,AX$3=$AE76),"",IF(AX$3=$AD76,$F76&amp;"R",AX75))))</f>
        <v/>
      </c>
      <c r="AY76" s="11" t="str">
        <f aca="false">IF($P76=0,AY75,IF(AY$3=$E76,IF($AA76=1,$F76&amp;$AB76,$G76),IF(OR(AY$3=$D76,AY$3=$AC76,AY$3=$AE76),"",IF(AY$3=$AD76,$F76&amp;"R",AY75))))</f>
        <v/>
      </c>
      <c r="AZ76" s="11" t="str">
        <f aca="false">IF($P76=0,AZ75,IF(AZ$3=$E76,IF($AA76=1,$F76&amp;$AB76,$G76),IF(OR(AZ$3=$D76,AZ$3=$AC76,AZ$3=$AE76),"",IF(AZ$3=$AD76,$F76&amp;"R",AZ75))))</f>
        <v/>
      </c>
      <c r="BA76" s="11" t="str">
        <f aca="false">IF($P76=0,BA75,IF(BA$3=$E76,IF($AA76=1,$F76&amp;$AB76,$G76),IF(OR(BA$3=$D76,BA$3=$AC76,BA$3=$AE76),"",IF(BA$3=$AD76,$F76&amp;"R",BA75))))</f>
        <v/>
      </c>
      <c r="BB76" s="11" t="str">
        <f aca="false">IF($P76=0,BB75,IF(BB$3=$E76,IF($AA76=1,$F76&amp;$AB76,$G76),IF(OR(BB$3=$D76,BB$3=$AC76,BB$3=$AE76),"",IF(BB$3=$AD76,$F76&amp;"R",BB75))))</f>
        <v/>
      </c>
      <c r="BC76" s="11" t="str">
        <f aca="false">IF($P76=0,BC75,IF(BC$3=$E76,IF($AA76=1,$F76&amp;$AB76,$G76),IF(OR(BC$3=$D76,BC$3=$AC76,BC$3=$AE76),"",IF(BC$3=$AD76,$F76&amp;"R",BC75))))</f>
        <v/>
      </c>
      <c r="BD76" s="11" t="str">
        <f aca="false">IF($P76=0,BD75,IF(BD$3=$E76,IF($AA76=1,$F76&amp;$AB76,$G76),IF(OR(BD$3=$D76,BD$3=$AC76,BD$3=$AE76),"",IF(BD$3=$AD76,$F76&amp;"R",BD75))))</f>
        <v/>
      </c>
      <c r="BE76" s="11" t="str">
        <f aca="false">IF($P76=0,BE75,IF(BE$3=$E76,IF($AA76=1,$F76&amp;$AB76,$G76),IF(OR(BE$3=$D76,BE$3=$AC76,BE$3=$AE76),"",IF(BE$3=$AD76,$F76&amp;"R",BE75))))</f>
        <v/>
      </c>
      <c r="BF76" s="11" t="str">
        <f aca="false">IF($P76=0,BF75,IF(BF$3=$E76,IF($AA76=1,$F76&amp;$AB76,$G76),IF(OR(BF$3=$D76,BF$3=$AC76,BF$3=$AE76),"",IF(BF$3=$AD76,$F76&amp;"R",BF75))))</f>
        <v/>
      </c>
      <c r="BG76" s="11" t="str">
        <f aca="false">IF($P76=0,BG75,IF(BG$3=$E76,IF($AA76=1,$F76&amp;$AB76,$G76),IF(OR(BG$3=$D76,BG$3=$AC76,BG$3=$AE76),"",IF(BG$3=$AD76,$F76&amp;"R",BG75))))</f>
        <v/>
      </c>
      <c r="BH76" s="11" t="str">
        <f aca="false">IF($P76=0,BH75,IF(BH$3=$E76,IF($AA76=1,$F76&amp;$AB76,$G76),IF(OR(BH$3=$D76,BH$3=$AC76,BH$3=$AE76),"",IF(BH$3=$AD76,$F76&amp;"R",BH75))))</f>
        <v/>
      </c>
      <c r="BI76" s="11" t="str">
        <f aca="false">IF($P76=0,BI75,IF(BI$3=$E76,IF($AA76=1,$F76&amp;$AB76,$G76),IF(OR(BI$3=$D76,BI$3=$AC76,BI$3=$AE76),"",IF(BI$3=$AD76,$F76&amp;"R",BI75))))</f>
        <v/>
      </c>
      <c r="BJ76" s="11" t="str">
        <f aca="false">IF($P76=0,BJ75,IF(BJ$3=$E76,IF($AA76=1,$F76&amp;$AB76,$G76),IF(OR(BJ$3=$D76,BJ$3=$AC76,BJ$3=$AE76),"",IF(BJ$3=$AD76,$F76&amp;"R",BJ75))))</f>
        <v/>
      </c>
      <c r="BK76" s="11" t="str">
        <f aca="false">IF($P76=0,BK75,IF(BK$3=$E76,IF($AA76=1,$F76&amp;$AB76,$G76),IF(OR(BK$3=$D76,BK$3=$AC76,BK$3=$AE76),"",IF(BK$3=$AD76,$F76&amp;"R",BK75))))</f>
        <v/>
      </c>
      <c r="BL76" s="11" t="str">
        <f aca="false">IF($P76=0,BL75,IF(BL$3=$E76,IF($AA76=1,$F76&amp;$AB76,$G76),IF(OR(BL$3=$D76,BL$3=$AC76,BL$3=$AE76),"",IF(BL$3=$AD76,$F76&amp;"R",BL75))))</f>
        <v/>
      </c>
      <c r="BM76" s="11" t="str">
        <f aca="false">IF($P76=0,BM75,IF(BM$3=$E76,IF($AA76=1,$F76&amp;$AB76,$G76),IF(OR(BM$3=$D76,BM$3=$AC76,BM$3=$AE76),"",IF(BM$3=$AD76,$F76&amp;"R",BM75))))</f>
        <v/>
      </c>
      <c r="BN76" s="11" t="str">
        <f aca="false">IF($P76=0,BN75,IF(BN$3=$E76,IF($AA76=1,$F76&amp;$AB76,$G76),IF(OR(BN$3=$D76,BN$3=$AC76,BN$3=$AE76),"",IF(BN$3=$AD76,$F76&amp;"R",BN75))))</f>
        <v/>
      </c>
      <c r="BO76" s="11" t="str">
        <f aca="false">IF($P76=0,BO75,IF(BO$3=$E76,IF($AA76=1,$F76&amp;$AB76,$G76),IF(OR(BO$3=$D76,BO$3=$AC76,BO$3=$AE76),"",IF(BO$3=$AD76,$F76&amp;"R",BO75))))</f>
        <v/>
      </c>
      <c r="BP76" s="11" t="str">
        <f aca="false">IF($P76=0,BP75,IF(BP$3=$E76,IF($AA76=1,$F76&amp;$AB76,$G76),IF(OR(BP$3=$D76,BP$3=$AC76,BP$3=$AE76),"",IF(BP$3=$AD76,$F76&amp;"R",BP75))))</f>
        <v/>
      </c>
      <c r="BQ76" s="11" t="str">
        <f aca="false">IF($P76=0,BQ75,IF(BQ$3=$E76,IF($AA76=1,$F76&amp;$AB76,$G76),IF(OR(BQ$3=$D76,BQ$3=$AC76,BQ$3=$AE76),"",IF(BQ$3=$AD76,$F76&amp;"R",BQ75))))</f>
        <v/>
      </c>
      <c r="BR76" s="11" t="str">
        <f aca="false">IF($P76=0,BR75,IF(BR$3=$E76,IF($AA76=1,$F76&amp;$AB76,$G76),IF(OR(BR$3=$D76,BR$3=$AC76,BR$3=$AE76),"",IF(BR$3=$AD76,$F76&amp;"R",BR75))))</f>
        <v/>
      </c>
      <c r="BS76" s="11" t="str">
        <f aca="false">IF($P76=0,BS75,IF(BS$3=$E76,IF($AA76=1,$F76&amp;$AB76,$G76),IF(OR(BS$3=$D76,BS$3=$AC76,BS$3=$AE76),"",IF(BS$3=$AD76,$F76&amp;"R",BS75))))</f>
        <v/>
      </c>
      <c r="BT76" s="11" t="str">
        <f aca="false">IF($P76=0,BT75,IF(BT$3=$E76,IF($AA76=1,$F76&amp;$AB76,$G76),IF(OR(BT$3=$D76,BT$3=$AC76,BT$3=$AE76),"",IF(BT$3=$AD76,$F76&amp;"R",BT75))))</f>
        <v/>
      </c>
      <c r="BU76" s="11" t="str">
        <f aca="false">IF($P76=0,BU75,IF(BU$3=$E76,IF($AA76=1,$F76&amp;$AB76,$G76),IF(OR(BU$3=$D76,BU$3=$AC76,BU$3=$AE76),"",IF(BU$3=$AD76,$F76&amp;"R",BU75))))</f>
        <v/>
      </c>
      <c r="BV76" s="11" t="str">
        <f aca="false">IF($P76=0,BV75,IF(BV$3=$E76,IF($AA76=1,$F76&amp;$AB76,$G76),IF(OR(BV$3=$D76,BV$3=$AC76,BV$3=$AE76),"",IF(BV$3=$AD76,$F76&amp;"R",BV75))))</f>
        <v/>
      </c>
      <c r="BW76" s="11" t="str">
        <f aca="false">IF($P76=0,BW75,IF(BW$3=$E76,IF($AA76=1,$F76&amp;$AB76,$G76),IF(OR(BW$3=$D76,BW$3=$AC76,BW$3=$AE76),"",IF(BW$3=$AD76,$F76&amp;"R",BW75))))</f>
        <v/>
      </c>
      <c r="BX76" s="11" t="str">
        <f aca="false">IF($P76=0,BX75,IF(BX$3=$E76,IF($AA76=1,$F76&amp;$AB76,$G76),IF(OR(BX$3=$D76,BX$3=$AC76,BX$3=$AE76),"",IF(BX$3=$AD76,$F76&amp;"R",BX75))))</f>
        <v/>
      </c>
      <c r="BY76" s="11" t="str">
        <f aca="false">IF($P76=0,BY75,IF(BY$3=$E76,IF($AA76=1,$F76&amp;$AB76,$G76),IF(OR(BY$3=$D76,BY$3=$AC76,BY$3=$AE76),"",IF(BY$3=$AD76,$F76&amp;"R",BY75))))</f>
        <v/>
      </c>
      <c r="BZ76" s="11" t="str">
        <f aca="false">IF($P76=0,BZ75,IF(BZ$3=$E76,IF($AA76=1,$F76&amp;$AB76,$G76),IF(OR(BZ$3=$D76,BZ$3=$AC76,BZ$3=$AE76),"",IF(BZ$3=$AD76,$F76&amp;"R",BZ75))))</f>
        <v/>
      </c>
      <c r="CA76" s="11" t="str">
        <f aca="false">IF($P76=0,CA75,IF(CA$3=$E76,IF($AA76=1,$F76&amp;$AB76,$G76),IF(OR(CA$3=$D76,CA$3=$AC76,CA$3=$AE76),"",IF(CA$3=$AD76,$F76&amp;"R",CA75))))</f>
        <v/>
      </c>
      <c r="CB76" s="11" t="str">
        <f aca="false">IF($P76=0,CB75,IF(CB$3=$E76,IF($AA76=1,$F76&amp;$AB76,$G76),IF(OR(CB$3=$D76,CB$3=$AC76,CB$3=$AE76),"",IF(CB$3=$AD76,$F76&amp;"R",CB75))))</f>
        <v/>
      </c>
      <c r="CC76" s="11" t="str">
        <f aca="false">IF($P76=0,CC75,IF(CC$3=$E76,IF($AA76=1,$F76&amp;$AB76,$G76),IF(OR(CC$3=$D76,CC$3=$AC76,CC$3=$AE76),"",IF(CC$3=$AD76,$F76&amp;"R",CC75))))</f>
        <v/>
      </c>
      <c r="CD76" s="11" t="str">
        <f aca="false">IF($P76=0,CD75,IF(CD$3=$E76,IF($AA76=1,$F76&amp;$AB76,$G76),IF(OR(CD$3=$D76,CD$3=$AC76,CD$3=$AE76),"",IF(CD$3=$AD76,$F76&amp;"R",CD75))))</f>
        <v>bP</v>
      </c>
      <c r="CE76" s="11" t="str">
        <f aca="false">IF($P76=0,CE75,IF(CE$3=$E76,IF($AA76=1,$F76&amp;$AB76,$G76),IF(OR(CE$3=$D76,CE$3=$AC76,CE$3=$AE76),"",IF(CE$3=$AD76,$F76&amp;"R",CE75))))</f>
        <v>bP</v>
      </c>
      <c r="CF76" s="11" t="str">
        <f aca="false">IF($P76=0,CF75,IF(CF$3=$E76,IF($AA76=1,$F76&amp;$AB76,$G76),IF(OR(CF$3=$D76,CF$3=$AC76,CF$3=$AE76),"",IF(CF$3=$AD76,$F76&amp;"R",CF75))))</f>
        <v>bP</v>
      </c>
      <c r="CG76" s="11" t="str">
        <f aca="false">IF($P76=0,CG75,IF(CG$3=$E76,IF($AA76=1,$F76&amp;$AB76,$G76),IF(OR(CG$3=$D76,CG$3=$AC76,CG$3=$AE76),"",IF(CG$3=$AD76,$F76&amp;"R",CG75))))</f>
        <v>bP</v>
      </c>
      <c r="CH76" s="11" t="str">
        <f aca="false">IF($P76=0,CH75,IF(CH$3=$E76,IF($AA76=1,$F76&amp;$AB76,$G76),IF(OR(CH$3=$D76,CH$3=$AC76,CH$3=$AE76),"",IF(CH$3=$AD76,$F76&amp;"R",CH75))))</f>
        <v>bP</v>
      </c>
      <c r="CI76" s="11" t="str">
        <f aca="false">IF($P76=0,CI75,IF(CI$3=$E76,IF($AA76=1,$F76&amp;$AB76,$G76),IF(OR(CI$3=$D76,CI$3=$AC76,CI$3=$AE76),"",IF(CI$3=$AD76,$F76&amp;"R",CI75))))</f>
        <v>bP</v>
      </c>
      <c r="CJ76" s="11" t="str">
        <f aca="false">IF($P76=0,CJ75,IF(CJ$3=$E76,IF($AA76=1,$F76&amp;$AB76,$G76),IF(OR(CJ$3=$D76,CJ$3=$AC76,CJ$3=$AE76),"",IF(CJ$3=$AD76,$F76&amp;"R",CJ75))))</f>
        <v>bP</v>
      </c>
      <c r="CK76" s="11" t="str">
        <f aca="false">IF($P76=0,CK75,IF(CK$3=$E76,IF($AA76=1,$F76&amp;$AB76,$G76),IF(OR(CK$3=$D76,CK$3=$AC76,CK$3=$AE76),"",IF(CK$3=$AD76,$F76&amp;"R",CK75))))</f>
        <v>bP</v>
      </c>
      <c r="CL76" s="11" t="str">
        <f aca="false">IF($P76=0,CL75,IF(CL$3=$E76,IF($AA76=1,$F76&amp;$AB76,$G76),IF(OR(CL$3=$D76,CL$3=$AC76,CL$3=$AE76),"",IF(CL$3=$AD76,$F76&amp;"R",CL75))))</f>
        <v>bR</v>
      </c>
      <c r="CM76" s="11" t="str">
        <f aca="false">IF($P76=0,CM75,IF(CM$3=$E76,IF($AA76=1,$F76&amp;$AB76,$G76),IF(OR(CM$3=$D76,CM$3=$AC76,CM$3=$AE76),"",IF(CM$3=$AD76,$F76&amp;"R",CM75))))</f>
        <v>bN</v>
      </c>
      <c r="CN76" s="11" t="str">
        <f aca="false">IF($P76=0,CN75,IF(CN$3=$E76,IF($AA76=1,$F76&amp;$AB76,$G76),IF(OR(CN$3=$D76,CN$3=$AC76,CN$3=$AE76),"",IF(CN$3=$AD76,$F76&amp;"R",CN75))))</f>
        <v>bB</v>
      </c>
      <c r="CO76" s="11" t="str">
        <f aca="false">IF($P76=0,CO75,IF(CO$3=$E76,IF($AA76=1,$F76&amp;$AB76,$G76),IF(OR(CO$3=$D76,CO$3=$AC76,CO$3=$AE76),"",IF(CO$3=$AD76,$F76&amp;"R",CO75))))</f>
        <v>bQ</v>
      </c>
      <c r="CP76" s="11" t="str">
        <f aca="false">IF($P76=0,CP75,IF(CP$3=$E76,IF($AA76=1,$F76&amp;$AB76,$G76),IF(OR(CP$3=$D76,CP$3=$AC76,CP$3=$AE76),"",IF(CP$3=$AD76,$F76&amp;"R",CP75))))</f>
        <v>bK</v>
      </c>
      <c r="CQ76" s="11" t="str">
        <f aca="false">IF($P76=0,CQ75,IF(CQ$3=$E76,IF($AA76=1,$F76&amp;$AB76,$G76),IF(OR(CQ$3=$D76,CQ$3=$AC76,CQ$3=$AE76),"",IF(CQ$3=$AD76,$F76&amp;"R",CQ75))))</f>
        <v>bB</v>
      </c>
      <c r="CR76" s="11" t="str">
        <f aca="false">IF($P76=0,CR75,IF(CR$3=$E76,IF($AA76=1,$F76&amp;$AB76,$G76),IF(OR(CR$3=$D76,CR$3=$AC76,CR$3=$AE76),"",IF(CR$3=$AD76,$F76&amp;"R",CR75))))</f>
        <v>bN</v>
      </c>
      <c r="CS76" s="11" t="str">
        <f aca="false">IF($P76=0,CS75,IF(CS$3=$E76,IF($AA76=1,$F76&amp;$AB76,$G76),IF(OR(CS$3=$D76,CS$3=$AC76,CS$3=$AE76),"",IF(CS$3=$AD76,$F76&amp;"R",CS75))))</f>
        <v>bR</v>
      </c>
      <c r="CT76" s="11"/>
      <c r="CU76" s="11"/>
      <c r="CV76" s="11"/>
    </row>
    <row r="77" customFormat="false" ht="15" hidden="false" customHeight="false" outlineLevel="0" collapsed="false">
      <c r="A77" s="11" t="n">
        <v>72</v>
      </c>
      <c r="B77" s="11" t="str">
        <f aca="false">IF(Chess!$L$81="","",Chess!$L$81&amp;"")</f>
        <v/>
      </c>
      <c r="C77" s="11" t="str">
        <f aca="false">LOWER(SUBSTITUTE(SUBSTITUTE(SUBSTITUTE(SUBSTITUTE(TRIM($B77),"-",""),"=","")," ",""),"x",""))</f>
        <v/>
      </c>
      <c r="D77" s="11" t="n">
        <f aca="false">IF(LEN($C77)&lt;4,0,IFERROR(IF(AND(CODE(MID($C77,1,1))&gt;=97,CODE(MID($C77,1,1))&lt;=104,VALUE(MID($C77,2,1))&gt;=1,VALUE(MID($C77,2,1))&lt;=8),(VALUE(MID($C77,2,1))-1)*8+CODE(MID($C77,1,1))-96,0),0))</f>
        <v>0</v>
      </c>
      <c r="E77" s="11" t="n">
        <f aca="false">IF(LEN($C77)&lt;4,0,IFERROR(IF(AND(CODE(MID($C77,3,1))&gt;=97,CODE(MID($C77,3,1))&lt;=104,VALUE(MID($C77,4,1))&gt;=1,VALUE(MID($C77,4,1))&lt;=8),(VALUE(MID($C77,4,1))-1)*8+CODE(MID($C77,3,1))-96,0),0))</f>
        <v>0</v>
      </c>
      <c r="F77" s="11" t="str">
        <f aca="false">IF(MOD(SUM($P$5:$P76),2)=0,"w","b")</f>
        <v>w</v>
      </c>
      <c r="G77" s="11" t="str">
        <f aca="false">IF($D77=0,"",INDEX($AH76:$CS76,1,$D77)&amp;"")</f>
        <v/>
      </c>
      <c r="H77" s="11" t="str">
        <f aca="false">IF($E77=0,"",INDEX($AH76:$CS76,1,$E77)&amp;"")</f>
        <v/>
      </c>
      <c r="I77" s="11" t="n">
        <f aca="false">IF(OR($D77=0,$E77=0),0,MOD($E77-1,8)-MOD($D77-1,8))</f>
        <v>0</v>
      </c>
      <c r="J77" s="11" t="n">
        <f aca="false">IF(OR($D77=0,$E77=0),0,INT(($E77-1)/8)-INT(($D77-1)/8))</f>
        <v>0</v>
      </c>
      <c r="K77" s="11" t="str">
        <f aca="false">IF($G77="","",RIGHT($G77,1))</f>
        <v/>
      </c>
      <c r="L77" s="11" t="n">
        <f aca="false">IF(OR($D77=0,$E77=0),0,SUMPRODUCT(($AH$3:$CS$3&gt;MIN($D77,$E77))*($AH$3:$CS$3&lt;MAX($D77,$E77))*(MOD($AH$3:$CS$3-MIN($D77,$E77),MAX(1,ABS(SIGN($J77)*8+SIGN($I77))))=0)*($AH76:$CS76&lt;&gt;"")))</f>
        <v>0</v>
      </c>
      <c r="M77" s="11" t="n">
        <f aca="false">IF($K77&lt;&gt;"K",0,IFERROR(--AND($J77=0,ABS($I77)=2,$D77=IF($F77="w",5,61),IF($F77="w",$S76,$V76)=0,IF($I77=2,AND(IF($F77="w",$U76,$X76)=0,INDEX($AH76:$CS76,1,$D77+1)&amp;""="",INDEX($AH76:$CS76,1,$D77+2)&amp;""=""),AND(IF($F77="w",$T76,$W76)=0,INDEX($AH76:$CS76,1,$D77-1)&amp;""="",INDEX($AH76:$CS76,1,$D77-2)&amp;""="",INDEX($AH76:$CS76,1,$D77-3)&amp;""=""))),0))</f>
        <v>0</v>
      </c>
      <c r="N77" s="11" t="n">
        <f aca="false">IF($K77&lt;&gt;"P",0,IFERROR(--OR(AND($I77=0,$J77=IF($F77="w",1,-1),$H77=""),AND($I77=0,$J77=2*IF($F77="w",1,-1),$H77="",INT(($D77-1)/8)=IF($F77="w",1,6),INDEX($AH76:$CS76,1,MAX(1,MIN(64,$D77+8*IF($F77="w",1,-1))))&amp;""=""),AND(ABS($I77)=1,$J77=IF($F77="w",1,-1),$H77&lt;&gt;""),AND(ABS($I77)=1,$J77=IF($F77="w",1,-1),$H77="",$R76&gt;0,$E77=$R76)),0))</f>
        <v>0</v>
      </c>
      <c r="O77" s="11" t="n">
        <f aca="false">IF(OR($D77=0,$E77=0,$G77=""),0,IF($K77="N",--OR(AND(ABS($I77)=1,ABS($J77)=2),AND(ABS($I77)=2,ABS($J77)=1)),IF($K77="B",--AND(ABS($I77)=ABS($J77),$I77&lt;&gt;0,$L77=0),IF($K77="R",--AND(OR($I77=0,$J77=0),OR($I77&lt;&gt;0,$J77&lt;&gt;0),$L77=0),IF($K77="Q",--AND(OR(AND(ABS($I77)=ABS($J77),$I77&lt;&gt;0),AND(OR($I77=0,$J77=0),OR($I77&lt;&gt;0,$J77&lt;&gt;0))),$L77=0),IF($K77="K",--OR(MAX(ABS($I77),ABS($J77))=1,$M77=1),$N77))))))</f>
        <v>0</v>
      </c>
      <c r="P77" s="11" t="n">
        <f aca="false">IF($Q77="OK",1,0)</f>
        <v>0</v>
      </c>
      <c r="Q77" s="11" t="str">
        <f aca="false">IF($B77="","",IF(OR(COUNTIF($AH76:$CS76,"wK")=0,COUNTIF($AH76:$CS76,"bK")=0),"Game is over",IF(OR($D77=0,$E77=0),"Use the format e2e4",IF($G77="","No piece on that square",IF(LEFT($G77,1)&lt;&gt;$F77,"Not your piece ("&amp;IF($F77="w","White","Black")&amp;" to move)",IF($D77=$E77,"Piece must move",IF(AND($H77&lt;&gt;"",LEFT($H77,1)=$F77),"Cannot capture your own piece",IF($O77=0,"Illegal move for that piece (or path blocked)","OK"))))))))</f>
        <v/>
      </c>
      <c r="R77" s="11" t="n">
        <f aca="false">IF($P77=1,IF(AND($K77="P",ABS($J77)=2),($D77+$E77)/2,0),$R76)</f>
        <v>0</v>
      </c>
      <c r="S77" s="12" t="b">
        <f aca="false">--OR($S76=1,AND($P77=1,OR($D77=5,$E77=5)))</f>
        <v>0</v>
      </c>
      <c r="T77" s="12" t="b">
        <f aca="false">--OR($T76=1,AND($P77=1,OR($D77=1,$E77=1)))</f>
        <v>0</v>
      </c>
      <c r="U77" s="12" t="b">
        <f aca="false">--OR($U76=1,AND($P77=1,OR($D77=8,$E77=8)))</f>
        <v>0</v>
      </c>
      <c r="V77" s="12" t="b">
        <f aca="false">--OR($V76=1,AND($P77=1,OR($D77=61,$E77=61)))</f>
        <v>0</v>
      </c>
      <c r="W77" s="12" t="b">
        <f aca="false">--OR($W76=1,AND($P77=1,OR($D77=57,$E77=57)))</f>
        <v>0</v>
      </c>
      <c r="X77" s="12" t="b">
        <f aca="false">--OR($X76=1,AND($P77=1,OR($D77=64,$E77=64)))</f>
        <v>0</v>
      </c>
      <c r="Y77" s="12" t="b">
        <f aca="false">--AND($P77=1,$K77="K",ABS($I77)=2)</f>
        <v>0</v>
      </c>
      <c r="Z77" s="12" t="b">
        <f aca="false">--AND($P77=1,$K77="P",ABS($I77)=1,$H77="")</f>
        <v>0</v>
      </c>
      <c r="AA77" s="12" t="b">
        <f aca="false">--AND($P77=1,$K77="P",INT(($E77-1)/8)=IF($F77="w",7,0))</f>
        <v>0</v>
      </c>
      <c r="AB77" s="11" t="str">
        <f aca="false">IF(LEN($C77)&gt;=5,IF(ISNUMBER(FIND(MID($C77,5,1),"qrbn")),UPPER(MID($C77,5,1)),"Q"),"Q")</f>
        <v>Q</v>
      </c>
      <c r="AC77" s="11" t="n">
        <f aca="false">IF($Y77=1,IF($I77=2,$D77+3,$D77-4),0)</f>
        <v>0</v>
      </c>
      <c r="AD77" s="11" t="n">
        <f aca="false">IF($Y77=1,IF($I77=2,$D77+1,$D77-1),0)</f>
        <v>0</v>
      </c>
      <c r="AE77" s="11" t="n">
        <f aca="false">IF($Z77=1,$E77-8*IF($F77="w",1,-1),0)</f>
        <v>0</v>
      </c>
      <c r="AF77" s="11" t="str">
        <f aca="false">IF($B77="","",IF($P77=1,LOWER(INDEX($CV$2:$CV$13,MATCH($G77,$CU$2:$CU$13,0)))&amp;" "&amp;MID("abcdefgh",MOD($D77-1,8)+1,1)&amp;(INT(($D77-1)/8)+1)&amp;"→"&amp;MID("abcdefgh",MOD($E77-1,8)+1,1)&amp;(INT(($E77-1)/8)+1)&amp;IF(OR($H77&lt;&gt;"",$Z77=1)," ×","")&amp;IF($Y77=1," castles","")&amp;IF($Z77=1," e.p.","")&amp;IF($AA77=1," =" &amp;LOWER(INDEX($CV$2:$CV$13,MATCH($F77&amp;$AB77,$CU$2:$CU$13,0))),""),"X "&amp;$Q77))</f>
        <v/>
      </c>
      <c r="AG77" s="11"/>
      <c r="AH77" s="11" t="str">
        <f aca="false">IF($P77=0,AH76,IF(AH$3=$E77,IF($AA77=1,$F77&amp;$AB77,$G77),IF(OR(AH$3=$D77,AH$3=$AC77,AH$3=$AE77),"",IF(AH$3=$AD77,$F77&amp;"R",AH76))))</f>
        <v>wR</v>
      </c>
      <c r="AI77" s="11" t="str">
        <f aca="false">IF($P77=0,AI76,IF(AI$3=$E77,IF($AA77=1,$F77&amp;$AB77,$G77),IF(OR(AI$3=$D77,AI$3=$AC77,AI$3=$AE77),"",IF(AI$3=$AD77,$F77&amp;"R",AI76))))</f>
        <v>wN</v>
      </c>
      <c r="AJ77" s="11" t="str">
        <f aca="false">IF($P77=0,AJ76,IF(AJ$3=$E77,IF($AA77=1,$F77&amp;$AB77,$G77),IF(OR(AJ$3=$D77,AJ$3=$AC77,AJ$3=$AE77),"",IF(AJ$3=$AD77,$F77&amp;"R",AJ76))))</f>
        <v>wB</v>
      </c>
      <c r="AK77" s="11" t="str">
        <f aca="false">IF($P77=0,AK76,IF(AK$3=$E77,IF($AA77=1,$F77&amp;$AB77,$G77),IF(OR(AK$3=$D77,AK$3=$AC77,AK$3=$AE77),"",IF(AK$3=$AD77,$F77&amp;"R",AK76))))</f>
        <v>wQ</v>
      </c>
      <c r="AL77" s="11" t="str">
        <f aca="false">IF($P77=0,AL76,IF(AL$3=$E77,IF($AA77=1,$F77&amp;$AB77,$G77),IF(OR(AL$3=$D77,AL$3=$AC77,AL$3=$AE77),"",IF(AL$3=$AD77,$F77&amp;"R",AL76))))</f>
        <v>wK</v>
      </c>
      <c r="AM77" s="11" t="str">
        <f aca="false">IF($P77=0,AM76,IF(AM$3=$E77,IF($AA77=1,$F77&amp;$AB77,$G77),IF(OR(AM$3=$D77,AM$3=$AC77,AM$3=$AE77),"",IF(AM$3=$AD77,$F77&amp;"R",AM76))))</f>
        <v>wB</v>
      </c>
      <c r="AN77" s="11" t="str">
        <f aca="false">IF($P77=0,AN76,IF(AN$3=$E77,IF($AA77=1,$F77&amp;$AB77,$G77),IF(OR(AN$3=$D77,AN$3=$AC77,AN$3=$AE77),"",IF(AN$3=$AD77,$F77&amp;"R",AN76))))</f>
        <v>wN</v>
      </c>
      <c r="AO77" s="11" t="str">
        <f aca="false">IF($P77=0,AO76,IF(AO$3=$E77,IF($AA77=1,$F77&amp;$AB77,$G77),IF(OR(AO$3=$D77,AO$3=$AC77,AO$3=$AE77),"",IF(AO$3=$AD77,$F77&amp;"R",AO76))))</f>
        <v>wR</v>
      </c>
      <c r="AP77" s="11" t="str">
        <f aca="false">IF($P77=0,AP76,IF(AP$3=$E77,IF($AA77=1,$F77&amp;$AB77,$G77),IF(OR(AP$3=$D77,AP$3=$AC77,AP$3=$AE77),"",IF(AP$3=$AD77,$F77&amp;"R",AP76))))</f>
        <v>wP</v>
      </c>
      <c r="AQ77" s="11" t="str">
        <f aca="false">IF($P77=0,AQ76,IF(AQ$3=$E77,IF($AA77=1,$F77&amp;$AB77,$G77),IF(OR(AQ$3=$D77,AQ$3=$AC77,AQ$3=$AE77),"",IF(AQ$3=$AD77,$F77&amp;"R",AQ76))))</f>
        <v>wP</v>
      </c>
      <c r="AR77" s="11" t="str">
        <f aca="false">IF($P77=0,AR76,IF(AR$3=$E77,IF($AA77=1,$F77&amp;$AB77,$G77),IF(OR(AR$3=$D77,AR$3=$AC77,AR$3=$AE77),"",IF(AR$3=$AD77,$F77&amp;"R",AR76))))</f>
        <v>wP</v>
      </c>
      <c r="AS77" s="11" t="str">
        <f aca="false">IF($P77=0,AS76,IF(AS$3=$E77,IF($AA77=1,$F77&amp;$AB77,$G77),IF(OR(AS$3=$D77,AS$3=$AC77,AS$3=$AE77),"",IF(AS$3=$AD77,$F77&amp;"R",AS76))))</f>
        <v>wP</v>
      </c>
      <c r="AT77" s="11" t="str">
        <f aca="false">IF($P77=0,AT76,IF(AT$3=$E77,IF($AA77=1,$F77&amp;$AB77,$G77),IF(OR(AT$3=$D77,AT$3=$AC77,AT$3=$AE77),"",IF(AT$3=$AD77,$F77&amp;"R",AT76))))</f>
        <v>wP</v>
      </c>
      <c r="AU77" s="11" t="str">
        <f aca="false">IF($P77=0,AU76,IF(AU$3=$E77,IF($AA77=1,$F77&amp;$AB77,$G77),IF(OR(AU$3=$D77,AU$3=$AC77,AU$3=$AE77),"",IF(AU$3=$AD77,$F77&amp;"R",AU76))))</f>
        <v>wP</v>
      </c>
      <c r="AV77" s="11" t="str">
        <f aca="false">IF($P77=0,AV76,IF(AV$3=$E77,IF($AA77=1,$F77&amp;$AB77,$G77),IF(OR(AV$3=$D77,AV$3=$AC77,AV$3=$AE77),"",IF(AV$3=$AD77,$F77&amp;"R",AV76))))</f>
        <v>wP</v>
      </c>
      <c r="AW77" s="11" t="str">
        <f aca="false">IF($P77=0,AW76,IF(AW$3=$E77,IF($AA77=1,$F77&amp;$AB77,$G77),IF(OR(AW$3=$D77,AW$3=$AC77,AW$3=$AE77),"",IF(AW$3=$AD77,$F77&amp;"R",AW76))))</f>
        <v>wP</v>
      </c>
      <c r="AX77" s="11" t="str">
        <f aca="false">IF($P77=0,AX76,IF(AX$3=$E77,IF($AA77=1,$F77&amp;$AB77,$G77),IF(OR(AX$3=$D77,AX$3=$AC77,AX$3=$AE77),"",IF(AX$3=$AD77,$F77&amp;"R",AX76))))</f>
        <v/>
      </c>
      <c r="AY77" s="11" t="str">
        <f aca="false">IF($P77=0,AY76,IF(AY$3=$E77,IF($AA77=1,$F77&amp;$AB77,$G77),IF(OR(AY$3=$D77,AY$3=$AC77,AY$3=$AE77),"",IF(AY$3=$AD77,$F77&amp;"R",AY76))))</f>
        <v/>
      </c>
      <c r="AZ77" s="11" t="str">
        <f aca="false">IF($P77=0,AZ76,IF(AZ$3=$E77,IF($AA77=1,$F77&amp;$AB77,$G77),IF(OR(AZ$3=$D77,AZ$3=$AC77,AZ$3=$AE77),"",IF(AZ$3=$AD77,$F77&amp;"R",AZ76))))</f>
        <v/>
      </c>
      <c r="BA77" s="11" t="str">
        <f aca="false">IF($P77=0,BA76,IF(BA$3=$E77,IF($AA77=1,$F77&amp;$AB77,$G77),IF(OR(BA$3=$D77,BA$3=$AC77,BA$3=$AE77),"",IF(BA$3=$AD77,$F77&amp;"R",BA76))))</f>
        <v/>
      </c>
      <c r="BB77" s="11" t="str">
        <f aca="false">IF($P77=0,BB76,IF(BB$3=$E77,IF($AA77=1,$F77&amp;$AB77,$G77),IF(OR(BB$3=$D77,BB$3=$AC77,BB$3=$AE77),"",IF(BB$3=$AD77,$F77&amp;"R",BB76))))</f>
        <v/>
      </c>
      <c r="BC77" s="11" t="str">
        <f aca="false">IF($P77=0,BC76,IF(BC$3=$E77,IF($AA77=1,$F77&amp;$AB77,$G77),IF(OR(BC$3=$D77,BC$3=$AC77,BC$3=$AE77),"",IF(BC$3=$AD77,$F77&amp;"R",BC76))))</f>
        <v/>
      </c>
      <c r="BD77" s="11" t="str">
        <f aca="false">IF($P77=0,BD76,IF(BD$3=$E77,IF($AA77=1,$F77&amp;$AB77,$G77),IF(OR(BD$3=$D77,BD$3=$AC77,BD$3=$AE77),"",IF(BD$3=$AD77,$F77&amp;"R",BD76))))</f>
        <v/>
      </c>
      <c r="BE77" s="11" t="str">
        <f aca="false">IF($P77=0,BE76,IF(BE$3=$E77,IF($AA77=1,$F77&amp;$AB77,$G77),IF(OR(BE$3=$D77,BE$3=$AC77,BE$3=$AE77),"",IF(BE$3=$AD77,$F77&amp;"R",BE76))))</f>
        <v/>
      </c>
      <c r="BF77" s="11" t="str">
        <f aca="false">IF($P77=0,BF76,IF(BF$3=$E77,IF($AA77=1,$F77&amp;$AB77,$G77),IF(OR(BF$3=$D77,BF$3=$AC77,BF$3=$AE77),"",IF(BF$3=$AD77,$F77&amp;"R",BF76))))</f>
        <v/>
      </c>
      <c r="BG77" s="11" t="str">
        <f aca="false">IF($P77=0,BG76,IF(BG$3=$E77,IF($AA77=1,$F77&amp;$AB77,$G77),IF(OR(BG$3=$D77,BG$3=$AC77,BG$3=$AE77),"",IF(BG$3=$AD77,$F77&amp;"R",BG76))))</f>
        <v/>
      </c>
      <c r="BH77" s="11" t="str">
        <f aca="false">IF($P77=0,BH76,IF(BH$3=$E77,IF($AA77=1,$F77&amp;$AB77,$G77),IF(OR(BH$3=$D77,BH$3=$AC77,BH$3=$AE77),"",IF(BH$3=$AD77,$F77&amp;"R",BH76))))</f>
        <v/>
      </c>
      <c r="BI77" s="11" t="str">
        <f aca="false">IF($P77=0,BI76,IF(BI$3=$E77,IF($AA77=1,$F77&amp;$AB77,$G77),IF(OR(BI$3=$D77,BI$3=$AC77,BI$3=$AE77),"",IF(BI$3=$AD77,$F77&amp;"R",BI76))))</f>
        <v/>
      </c>
      <c r="BJ77" s="11" t="str">
        <f aca="false">IF($P77=0,BJ76,IF(BJ$3=$E77,IF($AA77=1,$F77&amp;$AB77,$G77),IF(OR(BJ$3=$D77,BJ$3=$AC77,BJ$3=$AE77),"",IF(BJ$3=$AD77,$F77&amp;"R",BJ76))))</f>
        <v/>
      </c>
      <c r="BK77" s="11" t="str">
        <f aca="false">IF($P77=0,BK76,IF(BK$3=$E77,IF($AA77=1,$F77&amp;$AB77,$G77),IF(OR(BK$3=$D77,BK$3=$AC77,BK$3=$AE77),"",IF(BK$3=$AD77,$F77&amp;"R",BK76))))</f>
        <v/>
      </c>
      <c r="BL77" s="11" t="str">
        <f aca="false">IF($P77=0,BL76,IF(BL$3=$E77,IF($AA77=1,$F77&amp;$AB77,$G77),IF(OR(BL$3=$D77,BL$3=$AC77,BL$3=$AE77),"",IF(BL$3=$AD77,$F77&amp;"R",BL76))))</f>
        <v/>
      </c>
      <c r="BM77" s="11" t="str">
        <f aca="false">IF($P77=0,BM76,IF(BM$3=$E77,IF($AA77=1,$F77&amp;$AB77,$G77),IF(OR(BM$3=$D77,BM$3=$AC77,BM$3=$AE77),"",IF(BM$3=$AD77,$F77&amp;"R",BM76))))</f>
        <v/>
      </c>
      <c r="BN77" s="11" t="str">
        <f aca="false">IF($P77=0,BN76,IF(BN$3=$E77,IF($AA77=1,$F77&amp;$AB77,$G77),IF(OR(BN$3=$D77,BN$3=$AC77,BN$3=$AE77),"",IF(BN$3=$AD77,$F77&amp;"R",BN76))))</f>
        <v/>
      </c>
      <c r="BO77" s="11" t="str">
        <f aca="false">IF($P77=0,BO76,IF(BO$3=$E77,IF($AA77=1,$F77&amp;$AB77,$G77),IF(OR(BO$3=$D77,BO$3=$AC77,BO$3=$AE77),"",IF(BO$3=$AD77,$F77&amp;"R",BO76))))</f>
        <v/>
      </c>
      <c r="BP77" s="11" t="str">
        <f aca="false">IF($P77=0,BP76,IF(BP$3=$E77,IF($AA77=1,$F77&amp;$AB77,$G77),IF(OR(BP$3=$D77,BP$3=$AC77,BP$3=$AE77),"",IF(BP$3=$AD77,$F77&amp;"R",BP76))))</f>
        <v/>
      </c>
      <c r="BQ77" s="11" t="str">
        <f aca="false">IF($P77=0,BQ76,IF(BQ$3=$E77,IF($AA77=1,$F77&amp;$AB77,$G77),IF(OR(BQ$3=$D77,BQ$3=$AC77,BQ$3=$AE77),"",IF(BQ$3=$AD77,$F77&amp;"R",BQ76))))</f>
        <v/>
      </c>
      <c r="BR77" s="11" t="str">
        <f aca="false">IF($P77=0,BR76,IF(BR$3=$E77,IF($AA77=1,$F77&amp;$AB77,$G77),IF(OR(BR$3=$D77,BR$3=$AC77,BR$3=$AE77),"",IF(BR$3=$AD77,$F77&amp;"R",BR76))))</f>
        <v/>
      </c>
      <c r="BS77" s="11" t="str">
        <f aca="false">IF($P77=0,BS76,IF(BS$3=$E77,IF($AA77=1,$F77&amp;$AB77,$G77),IF(OR(BS$3=$D77,BS$3=$AC77,BS$3=$AE77),"",IF(BS$3=$AD77,$F77&amp;"R",BS76))))</f>
        <v/>
      </c>
      <c r="BT77" s="11" t="str">
        <f aca="false">IF($P77=0,BT76,IF(BT$3=$E77,IF($AA77=1,$F77&amp;$AB77,$G77),IF(OR(BT$3=$D77,BT$3=$AC77,BT$3=$AE77),"",IF(BT$3=$AD77,$F77&amp;"R",BT76))))</f>
        <v/>
      </c>
      <c r="BU77" s="11" t="str">
        <f aca="false">IF($P77=0,BU76,IF(BU$3=$E77,IF($AA77=1,$F77&amp;$AB77,$G77),IF(OR(BU$3=$D77,BU$3=$AC77,BU$3=$AE77),"",IF(BU$3=$AD77,$F77&amp;"R",BU76))))</f>
        <v/>
      </c>
      <c r="BV77" s="11" t="str">
        <f aca="false">IF($P77=0,BV76,IF(BV$3=$E77,IF($AA77=1,$F77&amp;$AB77,$G77),IF(OR(BV$3=$D77,BV$3=$AC77,BV$3=$AE77),"",IF(BV$3=$AD77,$F77&amp;"R",BV76))))</f>
        <v/>
      </c>
      <c r="BW77" s="11" t="str">
        <f aca="false">IF($P77=0,BW76,IF(BW$3=$E77,IF($AA77=1,$F77&amp;$AB77,$G77),IF(OR(BW$3=$D77,BW$3=$AC77,BW$3=$AE77),"",IF(BW$3=$AD77,$F77&amp;"R",BW76))))</f>
        <v/>
      </c>
      <c r="BX77" s="11" t="str">
        <f aca="false">IF($P77=0,BX76,IF(BX$3=$E77,IF($AA77=1,$F77&amp;$AB77,$G77),IF(OR(BX$3=$D77,BX$3=$AC77,BX$3=$AE77),"",IF(BX$3=$AD77,$F77&amp;"R",BX76))))</f>
        <v/>
      </c>
      <c r="BY77" s="11" t="str">
        <f aca="false">IF($P77=0,BY76,IF(BY$3=$E77,IF($AA77=1,$F77&amp;$AB77,$G77),IF(OR(BY$3=$D77,BY$3=$AC77,BY$3=$AE77),"",IF(BY$3=$AD77,$F77&amp;"R",BY76))))</f>
        <v/>
      </c>
      <c r="BZ77" s="11" t="str">
        <f aca="false">IF($P77=0,BZ76,IF(BZ$3=$E77,IF($AA77=1,$F77&amp;$AB77,$G77),IF(OR(BZ$3=$D77,BZ$3=$AC77,BZ$3=$AE77),"",IF(BZ$3=$AD77,$F77&amp;"R",BZ76))))</f>
        <v/>
      </c>
      <c r="CA77" s="11" t="str">
        <f aca="false">IF($P77=0,CA76,IF(CA$3=$E77,IF($AA77=1,$F77&amp;$AB77,$G77),IF(OR(CA$3=$D77,CA$3=$AC77,CA$3=$AE77),"",IF(CA$3=$AD77,$F77&amp;"R",CA76))))</f>
        <v/>
      </c>
      <c r="CB77" s="11" t="str">
        <f aca="false">IF($P77=0,CB76,IF(CB$3=$E77,IF($AA77=1,$F77&amp;$AB77,$G77),IF(OR(CB$3=$D77,CB$3=$AC77,CB$3=$AE77),"",IF(CB$3=$AD77,$F77&amp;"R",CB76))))</f>
        <v/>
      </c>
      <c r="CC77" s="11" t="str">
        <f aca="false">IF($P77=0,CC76,IF(CC$3=$E77,IF($AA77=1,$F77&amp;$AB77,$G77),IF(OR(CC$3=$D77,CC$3=$AC77,CC$3=$AE77),"",IF(CC$3=$AD77,$F77&amp;"R",CC76))))</f>
        <v/>
      </c>
      <c r="CD77" s="11" t="str">
        <f aca="false">IF($P77=0,CD76,IF(CD$3=$E77,IF($AA77=1,$F77&amp;$AB77,$G77),IF(OR(CD$3=$D77,CD$3=$AC77,CD$3=$AE77),"",IF(CD$3=$AD77,$F77&amp;"R",CD76))))</f>
        <v>bP</v>
      </c>
      <c r="CE77" s="11" t="str">
        <f aca="false">IF($P77=0,CE76,IF(CE$3=$E77,IF($AA77=1,$F77&amp;$AB77,$G77),IF(OR(CE$3=$D77,CE$3=$AC77,CE$3=$AE77),"",IF(CE$3=$AD77,$F77&amp;"R",CE76))))</f>
        <v>bP</v>
      </c>
      <c r="CF77" s="11" t="str">
        <f aca="false">IF($P77=0,CF76,IF(CF$3=$E77,IF($AA77=1,$F77&amp;$AB77,$G77),IF(OR(CF$3=$D77,CF$3=$AC77,CF$3=$AE77),"",IF(CF$3=$AD77,$F77&amp;"R",CF76))))</f>
        <v>bP</v>
      </c>
      <c r="CG77" s="11" t="str">
        <f aca="false">IF($P77=0,CG76,IF(CG$3=$E77,IF($AA77=1,$F77&amp;$AB77,$G77),IF(OR(CG$3=$D77,CG$3=$AC77,CG$3=$AE77),"",IF(CG$3=$AD77,$F77&amp;"R",CG76))))</f>
        <v>bP</v>
      </c>
      <c r="CH77" s="11" t="str">
        <f aca="false">IF($P77=0,CH76,IF(CH$3=$E77,IF($AA77=1,$F77&amp;$AB77,$G77),IF(OR(CH$3=$D77,CH$3=$AC77,CH$3=$AE77),"",IF(CH$3=$AD77,$F77&amp;"R",CH76))))</f>
        <v>bP</v>
      </c>
      <c r="CI77" s="11" t="str">
        <f aca="false">IF($P77=0,CI76,IF(CI$3=$E77,IF($AA77=1,$F77&amp;$AB77,$G77),IF(OR(CI$3=$D77,CI$3=$AC77,CI$3=$AE77),"",IF(CI$3=$AD77,$F77&amp;"R",CI76))))</f>
        <v>bP</v>
      </c>
      <c r="CJ77" s="11" t="str">
        <f aca="false">IF($P77=0,CJ76,IF(CJ$3=$E77,IF($AA77=1,$F77&amp;$AB77,$G77),IF(OR(CJ$3=$D77,CJ$3=$AC77,CJ$3=$AE77),"",IF(CJ$3=$AD77,$F77&amp;"R",CJ76))))</f>
        <v>bP</v>
      </c>
      <c r="CK77" s="11" t="str">
        <f aca="false">IF($P77=0,CK76,IF(CK$3=$E77,IF($AA77=1,$F77&amp;$AB77,$G77),IF(OR(CK$3=$D77,CK$3=$AC77,CK$3=$AE77),"",IF(CK$3=$AD77,$F77&amp;"R",CK76))))</f>
        <v>bP</v>
      </c>
      <c r="CL77" s="11" t="str">
        <f aca="false">IF($P77=0,CL76,IF(CL$3=$E77,IF($AA77=1,$F77&amp;$AB77,$G77),IF(OR(CL$3=$D77,CL$3=$AC77,CL$3=$AE77),"",IF(CL$3=$AD77,$F77&amp;"R",CL76))))</f>
        <v>bR</v>
      </c>
      <c r="CM77" s="11" t="str">
        <f aca="false">IF($P77=0,CM76,IF(CM$3=$E77,IF($AA77=1,$F77&amp;$AB77,$G77),IF(OR(CM$3=$D77,CM$3=$AC77,CM$3=$AE77),"",IF(CM$3=$AD77,$F77&amp;"R",CM76))))</f>
        <v>bN</v>
      </c>
      <c r="CN77" s="11" t="str">
        <f aca="false">IF($P77=0,CN76,IF(CN$3=$E77,IF($AA77=1,$F77&amp;$AB77,$G77),IF(OR(CN$3=$D77,CN$3=$AC77,CN$3=$AE77),"",IF(CN$3=$AD77,$F77&amp;"R",CN76))))</f>
        <v>bB</v>
      </c>
      <c r="CO77" s="11" t="str">
        <f aca="false">IF($P77=0,CO76,IF(CO$3=$E77,IF($AA77=1,$F77&amp;$AB77,$G77),IF(OR(CO$3=$D77,CO$3=$AC77,CO$3=$AE77),"",IF(CO$3=$AD77,$F77&amp;"R",CO76))))</f>
        <v>bQ</v>
      </c>
      <c r="CP77" s="11" t="str">
        <f aca="false">IF($P77=0,CP76,IF(CP$3=$E77,IF($AA77=1,$F77&amp;$AB77,$G77),IF(OR(CP$3=$D77,CP$3=$AC77,CP$3=$AE77),"",IF(CP$3=$AD77,$F77&amp;"R",CP76))))</f>
        <v>bK</v>
      </c>
      <c r="CQ77" s="11" t="str">
        <f aca="false">IF($P77=0,CQ76,IF(CQ$3=$E77,IF($AA77=1,$F77&amp;$AB77,$G77),IF(OR(CQ$3=$D77,CQ$3=$AC77,CQ$3=$AE77),"",IF(CQ$3=$AD77,$F77&amp;"R",CQ76))))</f>
        <v>bB</v>
      </c>
      <c r="CR77" s="11" t="str">
        <f aca="false">IF($P77=0,CR76,IF(CR$3=$E77,IF($AA77=1,$F77&amp;$AB77,$G77),IF(OR(CR$3=$D77,CR$3=$AC77,CR$3=$AE77),"",IF(CR$3=$AD77,$F77&amp;"R",CR76))))</f>
        <v>bN</v>
      </c>
      <c r="CS77" s="11" t="str">
        <f aca="false">IF($P77=0,CS76,IF(CS$3=$E77,IF($AA77=1,$F77&amp;$AB77,$G77),IF(OR(CS$3=$D77,CS$3=$AC77,CS$3=$AE77),"",IF(CS$3=$AD77,$F77&amp;"R",CS76))))</f>
        <v>bR</v>
      </c>
      <c r="CT77" s="11"/>
      <c r="CU77" s="11"/>
      <c r="CV77" s="11"/>
    </row>
    <row r="78" customFormat="false" ht="15" hidden="false" customHeight="false" outlineLevel="0" collapsed="false">
      <c r="A78" s="11" t="n">
        <v>73</v>
      </c>
      <c r="B78" s="11" t="str">
        <f aca="false">IF(Chess!$L$82="","",Chess!$L$82&amp;"")</f>
        <v/>
      </c>
      <c r="C78" s="11" t="str">
        <f aca="false">LOWER(SUBSTITUTE(SUBSTITUTE(SUBSTITUTE(SUBSTITUTE(TRIM($B78),"-",""),"=","")," ",""),"x",""))</f>
        <v/>
      </c>
      <c r="D78" s="11" t="n">
        <f aca="false">IF(LEN($C78)&lt;4,0,IFERROR(IF(AND(CODE(MID($C78,1,1))&gt;=97,CODE(MID($C78,1,1))&lt;=104,VALUE(MID($C78,2,1))&gt;=1,VALUE(MID($C78,2,1))&lt;=8),(VALUE(MID($C78,2,1))-1)*8+CODE(MID($C78,1,1))-96,0),0))</f>
        <v>0</v>
      </c>
      <c r="E78" s="11" t="n">
        <f aca="false">IF(LEN($C78)&lt;4,0,IFERROR(IF(AND(CODE(MID($C78,3,1))&gt;=97,CODE(MID($C78,3,1))&lt;=104,VALUE(MID($C78,4,1))&gt;=1,VALUE(MID($C78,4,1))&lt;=8),(VALUE(MID($C78,4,1))-1)*8+CODE(MID($C78,3,1))-96,0),0))</f>
        <v>0</v>
      </c>
      <c r="F78" s="11" t="str">
        <f aca="false">IF(MOD(SUM($P$5:$P77),2)=0,"w","b")</f>
        <v>w</v>
      </c>
      <c r="G78" s="11" t="str">
        <f aca="false">IF($D78=0,"",INDEX($AH77:$CS77,1,$D78)&amp;"")</f>
        <v/>
      </c>
      <c r="H78" s="11" t="str">
        <f aca="false">IF($E78=0,"",INDEX($AH77:$CS77,1,$E78)&amp;"")</f>
        <v/>
      </c>
      <c r="I78" s="11" t="n">
        <f aca="false">IF(OR($D78=0,$E78=0),0,MOD($E78-1,8)-MOD($D78-1,8))</f>
        <v>0</v>
      </c>
      <c r="J78" s="11" t="n">
        <f aca="false">IF(OR($D78=0,$E78=0),0,INT(($E78-1)/8)-INT(($D78-1)/8))</f>
        <v>0</v>
      </c>
      <c r="K78" s="11" t="str">
        <f aca="false">IF($G78="","",RIGHT($G78,1))</f>
        <v/>
      </c>
      <c r="L78" s="11" t="n">
        <f aca="false">IF(OR($D78=0,$E78=0),0,SUMPRODUCT(($AH$3:$CS$3&gt;MIN($D78,$E78))*($AH$3:$CS$3&lt;MAX($D78,$E78))*(MOD($AH$3:$CS$3-MIN($D78,$E78),MAX(1,ABS(SIGN($J78)*8+SIGN($I78))))=0)*($AH77:$CS77&lt;&gt;"")))</f>
        <v>0</v>
      </c>
      <c r="M78" s="11" t="n">
        <f aca="false">IF($K78&lt;&gt;"K",0,IFERROR(--AND($J78=0,ABS($I78)=2,$D78=IF($F78="w",5,61),IF($F78="w",$S77,$V77)=0,IF($I78=2,AND(IF($F78="w",$U77,$X77)=0,INDEX($AH77:$CS77,1,$D78+1)&amp;""="",INDEX($AH77:$CS77,1,$D78+2)&amp;""=""),AND(IF($F78="w",$T77,$W77)=0,INDEX($AH77:$CS77,1,$D78-1)&amp;""="",INDEX($AH77:$CS77,1,$D78-2)&amp;""="",INDEX($AH77:$CS77,1,$D78-3)&amp;""=""))),0))</f>
        <v>0</v>
      </c>
      <c r="N78" s="11" t="n">
        <f aca="false">IF($K78&lt;&gt;"P",0,IFERROR(--OR(AND($I78=0,$J78=IF($F78="w",1,-1),$H78=""),AND($I78=0,$J78=2*IF($F78="w",1,-1),$H78="",INT(($D78-1)/8)=IF($F78="w",1,6),INDEX($AH77:$CS77,1,MAX(1,MIN(64,$D78+8*IF($F78="w",1,-1))))&amp;""=""),AND(ABS($I78)=1,$J78=IF($F78="w",1,-1),$H78&lt;&gt;""),AND(ABS($I78)=1,$J78=IF($F78="w",1,-1),$H78="",$R77&gt;0,$E78=$R77)),0))</f>
        <v>0</v>
      </c>
      <c r="O78" s="11" t="n">
        <f aca="false">IF(OR($D78=0,$E78=0,$G78=""),0,IF($K78="N",--OR(AND(ABS($I78)=1,ABS($J78)=2),AND(ABS($I78)=2,ABS($J78)=1)),IF($K78="B",--AND(ABS($I78)=ABS($J78),$I78&lt;&gt;0,$L78=0),IF($K78="R",--AND(OR($I78=0,$J78=0),OR($I78&lt;&gt;0,$J78&lt;&gt;0),$L78=0),IF($K78="Q",--AND(OR(AND(ABS($I78)=ABS($J78),$I78&lt;&gt;0),AND(OR($I78=0,$J78=0),OR($I78&lt;&gt;0,$J78&lt;&gt;0))),$L78=0),IF($K78="K",--OR(MAX(ABS($I78),ABS($J78))=1,$M78=1),$N78))))))</f>
        <v>0</v>
      </c>
      <c r="P78" s="11" t="n">
        <f aca="false">IF($Q78="OK",1,0)</f>
        <v>0</v>
      </c>
      <c r="Q78" s="11" t="str">
        <f aca="false">IF($B78="","",IF(OR(COUNTIF($AH77:$CS77,"wK")=0,COUNTIF($AH77:$CS77,"bK")=0),"Game is over",IF(OR($D78=0,$E78=0),"Use the format e2e4",IF($G78="","No piece on that square",IF(LEFT($G78,1)&lt;&gt;$F78,"Not your piece ("&amp;IF($F78="w","White","Black")&amp;" to move)",IF($D78=$E78,"Piece must move",IF(AND($H78&lt;&gt;"",LEFT($H78,1)=$F78),"Cannot capture your own piece",IF($O78=0,"Illegal move for that piece (or path blocked)","OK"))))))))</f>
        <v/>
      </c>
      <c r="R78" s="11" t="n">
        <f aca="false">IF($P78=1,IF(AND($K78="P",ABS($J78)=2),($D78+$E78)/2,0),$R77)</f>
        <v>0</v>
      </c>
      <c r="S78" s="12" t="b">
        <f aca="false">--OR($S77=1,AND($P78=1,OR($D78=5,$E78=5)))</f>
        <v>0</v>
      </c>
      <c r="T78" s="12" t="b">
        <f aca="false">--OR($T77=1,AND($P78=1,OR($D78=1,$E78=1)))</f>
        <v>0</v>
      </c>
      <c r="U78" s="12" t="b">
        <f aca="false">--OR($U77=1,AND($P78=1,OR($D78=8,$E78=8)))</f>
        <v>0</v>
      </c>
      <c r="V78" s="12" t="b">
        <f aca="false">--OR($V77=1,AND($P78=1,OR($D78=61,$E78=61)))</f>
        <v>0</v>
      </c>
      <c r="W78" s="12" t="b">
        <f aca="false">--OR($W77=1,AND($P78=1,OR($D78=57,$E78=57)))</f>
        <v>0</v>
      </c>
      <c r="X78" s="12" t="b">
        <f aca="false">--OR($X77=1,AND($P78=1,OR($D78=64,$E78=64)))</f>
        <v>0</v>
      </c>
      <c r="Y78" s="12" t="b">
        <f aca="false">--AND($P78=1,$K78="K",ABS($I78)=2)</f>
        <v>0</v>
      </c>
      <c r="Z78" s="12" t="b">
        <f aca="false">--AND($P78=1,$K78="P",ABS($I78)=1,$H78="")</f>
        <v>0</v>
      </c>
      <c r="AA78" s="12" t="b">
        <f aca="false">--AND($P78=1,$K78="P",INT(($E78-1)/8)=IF($F78="w",7,0))</f>
        <v>0</v>
      </c>
      <c r="AB78" s="11" t="str">
        <f aca="false">IF(LEN($C78)&gt;=5,IF(ISNUMBER(FIND(MID($C78,5,1),"qrbn")),UPPER(MID($C78,5,1)),"Q"),"Q")</f>
        <v>Q</v>
      </c>
      <c r="AC78" s="11" t="n">
        <f aca="false">IF($Y78=1,IF($I78=2,$D78+3,$D78-4),0)</f>
        <v>0</v>
      </c>
      <c r="AD78" s="11" t="n">
        <f aca="false">IF($Y78=1,IF($I78=2,$D78+1,$D78-1),0)</f>
        <v>0</v>
      </c>
      <c r="AE78" s="11" t="n">
        <f aca="false">IF($Z78=1,$E78-8*IF($F78="w",1,-1),0)</f>
        <v>0</v>
      </c>
      <c r="AF78" s="11" t="str">
        <f aca="false">IF($B78="","",IF($P78=1,LOWER(INDEX($CV$2:$CV$13,MATCH($G78,$CU$2:$CU$13,0)))&amp;" "&amp;MID("abcdefgh",MOD($D78-1,8)+1,1)&amp;(INT(($D78-1)/8)+1)&amp;"→"&amp;MID("abcdefgh",MOD($E78-1,8)+1,1)&amp;(INT(($E78-1)/8)+1)&amp;IF(OR($H78&lt;&gt;"",$Z78=1)," ×","")&amp;IF($Y78=1," castles","")&amp;IF($Z78=1," e.p.","")&amp;IF($AA78=1," =" &amp;LOWER(INDEX($CV$2:$CV$13,MATCH($F78&amp;$AB78,$CU$2:$CU$13,0))),""),"X "&amp;$Q78))</f>
        <v/>
      </c>
      <c r="AG78" s="11"/>
      <c r="AH78" s="11" t="str">
        <f aca="false">IF($P78=0,AH77,IF(AH$3=$E78,IF($AA78=1,$F78&amp;$AB78,$G78),IF(OR(AH$3=$D78,AH$3=$AC78,AH$3=$AE78),"",IF(AH$3=$AD78,$F78&amp;"R",AH77))))</f>
        <v>wR</v>
      </c>
      <c r="AI78" s="11" t="str">
        <f aca="false">IF($P78=0,AI77,IF(AI$3=$E78,IF($AA78=1,$F78&amp;$AB78,$G78),IF(OR(AI$3=$D78,AI$3=$AC78,AI$3=$AE78),"",IF(AI$3=$AD78,$F78&amp;"R",AI77))))</f>
        <v>wN</v>
      </c>
      <c r="AJ78" s="11" t="str">
        <f aca="false">IF($P78=0,AJ77,IF(AJ$3=$E78,IF($AA78=1,$F78&amp;$AB78,$G78),IF(OR(AJ$3=$D78,AJ$3=$AC78,AJ$3=$AE78),"",IF(AJ$3=$AD78,$F78&amp;"R",AJ77))))</f>
        <v>wB</v>
      </c>
      <c r="AK78" s="11" t="str">
        <f aca="false">IF($P78=0,AK77,IF(AK$3=$E78,IF($AA78=1,$F78&amp;$AB78,$G78),IF(OR(AK$3=$D78,AK$3=$AC78,AK$3=$AE78),"",IF(AK$3=$AD78,$F78&amp;"R",AK77))))</f>
        <v>wQ</v>
      </c>
      <c r="AL78" s="11" t="str">
        <f aca="false">IF($P78=0,AL77,IF(AL$3=$E78,IF($AA78=1,$F78&amp;$AB78,$G78),IF(OR(AL$3=$D78,AL$3=$AC78,AL$3=$AE78),"",IF(AL$3=$AD78,$F78&amp;"R",AL77))))</f>
        <v>wK</v>
      </c>
      <c r="AM78" s="11" t="str">
        <f aca="false">IF($P78=0,AM77,IF(AM$3=$E78,IF($AA78=1,$F78&amp;$AB78,$G78),IF(OR(AM$3=$D78,AM$3=$AC78,AM$3=$AE78),"",IF(AM$3=$AD78,$F78&amp;"R",AM77))))</f>
        <v>wB</v>
      </c>
      <c r="AN78" s="11" t="str">
        <f aca="false">IF($P78=0,AN77,IF(AN$3=$E78,IF($AA78=1,$F78&amp;$AB78,$G78),IF(OR(AN$3=$D78,AN$3=$AC78,AN$3=$AE78),"",IF(AN$3=$AD78,$F78&amp;"R",AN77))))</f>
        <v>wN</v>
      </c>
      <c r="AO78" s="11" t="str">
        <f aca="false">IF($P78=0,AO77,IF(AO$3=$E78,IF($AA78=1,$F78&amp;$AB78,$G78),IF(OR(AO$3=$D78,AO$3=$AC78,AO$3=$AE78),"",IF(AO$3=$AD78,$F78&amp;"R",AO77))))</f>
        <v>wR</v>
      </c>
      <c r="AP78" s="11" t="str">
        <f aca="false">IF($P78=0,AP77,IF(AP$3=$E78,IF($AA78=1,$F78&amp;$AB78,$G78),IF(OR(AP$3=$D78,AP$3=$AC78,AP$3=$AE78),"",IF(AP$3=$AD78,$F78&amp;"R",AP77))))</f>
        <v>wP</v>
      </c>
      <c r="AQ78" s="11" t="str">
        <f aca="false">IF($P78=0,AQ77,IF(AQ$3=$E78,IF($AA78=1,$F78&amp;$AB78,$G78),IF(OR(AQ$3=$D78,AQ$3=$AC78,AQ$3=$AE78),"",IF(AQ$3=$AD78,$F78&amp;"R",AQ77))))</f>
        <v>wP</v>
      </c>
      <c r="AR78" s="11" t="str">
        <f aca="false">IF($P78=0,AR77,IF(AR$3=$E78,IF($AA78=1,$F78&amp;$AB78,$G78),IF(OR(AR$3=$D78,AR$3=$AC78,AR$3=$AE78),"",IF(AR$3=$AD78,$F78&amp;"R",AR77))))</f>
        <v>wP</v>
      </c>
      <c r="AS78" s="11" t="str">
        <f aca="false">IF($P78=0,AS77,IF(AS$3=$E78,IF($AA78=1,$F78&amp;$AB78,$G78),IF(OR(AS$3=$D78,AS$3=$AC78,AS$3=$AE78),"",IF(AS$3=$AD78,$F78&amp;"R",AS77))))</f>
        <v>wP</v>
      </c>
      <c r="AT78" s="11" t="str">
        <f aca="false">IF($P78=0,AT77,IF(AT$3=$E78,IF($AA78=1,$F78&amp;$AB78,$G78),IF(OR(AT$3=$D78,AT$3=$AC78,AT$3=$AE78),"",IF(AT$3=$AD78,$F78&amp;"R",AT77))))</f>
        <v>wP</v>
      </c>
      <c r="AU78" s="11" t="str">
        <f aca="false">IF($P78=0,AU77,IF(AU$3=$E78,IF($AA78=1,$F78&amp;$AB78,$G78),IF(OR(AU$3=$D78,AU$3=$AC78,AU$3=$AE78),"",IF(AU$3=$AD78,$F78&amp;"R",AU77))))</f>
        <v>wP</v>
      </c>
      <c r="AV78" s="11" t="str">
        <f aca="false">IF($P78=0,AV77,IF(AV$3=$E78,IF($AA78=1,$F78&amp;$AB78,$G78),IF(OR(AV$3=$D78,AV$3=$AC78,AV$3=$AE78),"",IF(AV$3=$AD78,$F78&amp;"R",AV77))))</f>
        <v>wP</v>
      </c>
      <c r="AW78" s="11" t="str">
        <f aca="false">IF($P78=0,AW77,IF(AW$3=$E78,IF($AA78=1,$F78&amp;$AB78,$G78),IF(OR(AW$3=$D78,AW$3=$AC78,AW$3=$AE78),"",IF(AW$3=$AD78,$F78&amp;"R",AW77))))</f>
        <v>wP</v>
      </c>
      <c r="AX78" s="11" t="str">
        <f aca="false">IF($P78=0,AX77,IF(AX$3=$E78,IF($AA78=1,$F78&amp;$AB78,$G78),IF(OR(AX$3=$D78,AX$3=$AC78,AX$3=$AE78),"",IF(AX$3=$AD78,$F78&amp;"R",AX77))))</f>
        <v/>
      </c>
      <c r="AY78" s="11" t="str">
        <f aca="false">IF($P78=0,AY77,IF(AY$3=$E78,IF($AA78=1,$F78&amp;$AB78,$G78),IF(OR(AY$3=$D78,AY$3=$AC78,AY$3=$AE78),"",IF(AY$3=$AD78,$F78&amp;"R",AY77))))</f>
        <v/>
      </c>
      <c r="AZ78" s="11" t="str">
        <f aca="false">IF($P78=0,AZ77,IF(AZ$3=$E78,IF($AA78=1,$F78&amp;$AB78,$G78),IF(OR(AZ$3=$D78,AZ$3=$AC78,AZ$3=$AE78),"",IF(AZ$3=$AD78,$F78&amp;"R",AZ77))))</f>
        <v/>
      </c>
      <c r="BA78" s="11" t="str">
        <f aca="false">IF($P78=0,BA77,IF(BA$3=$E78,IF($AA78=1,$F78&amp;$AB78,$G78),IF(OR(BA$3=$D78,BA$3=$AC78,BA$3=$AE78),"",IF(BA$3=$AD78,$F78&amp;"R",BA77))))</f>
        <v/>
      </c>
      <c r="BB78" s="11" t="str">
        <f aca="false">IF($P78=0,BB77,IF(BB$3=$E78,IF($AA78=1,$F78&amp;$AB78,$G78),IF(OR(BB$3=$D78,BB$3=$AC78,BB$3=$AE78),"",IF(BB$3=$AD78,$F78&amp;"R",BB77))))</f>
        <v/>
      </c>
      <c r="BC78" s="11" t="str">
        <f aca="false">IF($P78=0,BC77,IF(BC$3=$E78,IF($AA78=1,$F78&amp;$AB78,$G78),IF(OR(BC$3=$D78,BC$3=$AC78,BC$3=$AE78),"",IF(BC$3=$AD78,$F78&amp;"R",BC77))))</f>
        <v/>
      </c>
      <c r="BD78" s="11" t="str">
        <f aca="false">IF($P78=0,BD77,IF(BD$3=$E78,IF($AA78=1,$F78&amp;$AB78,$G78),IF(OR(BD$3=$D78,BD$3=$AC78,BD$3=$AE78),"",IF(BD$3=$AD78,$F78&amp;"R",BD77))))</f>
        <v/>
      </c>
      <c r="BE78" s="11" t="str">
        <f aca="false">IF($P78=0,BE77,IF(BE$3=$E78,IF($AA78=1,$F78&amp;$AB78,$G78),IF(OR(BE$3=$D78,BE$3=$AC78,BE$3=$AE78),"",IF(BE$3=$AD78,$F78&amp;"R",BE77))))</f>
        <v/>
      </c>
      <c r="BF78" s="11" t="str">
        <f aca="false">IF($P78=0,BF77,IF(BF$3=$E78,IF($AA78=1,$F78&amp;$AB78,$G78),IF(OR(BF$3=$D78,BF$3=$AC78,BF$3=$AE78),"",IF(BF$3=$AD78,$F78&amp;"R",BF77))))</f>
        <v/>
      </c>
      <c r="BG78" s="11" t="str">
        <f aca="false">IF($P78=0,BG77,IF(BG$3=$E78,IF($AA78=1,$F78&amp;$AB78,$G78),IF(OR(BG$3=$D78,BG$3=$AC78,BG$3=$AE78),"",IF(BG$3=$AD78,$F78&amp;"R",BG77))))</f>
        <v/>
      </c>
      <c r="BH78" s="11" t="str">
        <f aca="false">IF($P78=0,BH77,IF(BH$3=$E78,IF($AA78=1,$F78&amp;$AB78,$G78),IF(OR(BH$3=$D78,BH$3=$AC78,BH$3=$AE78),"",IF(BH$3=$AD78,$F78&amp;"R",BH77))))</f>
        <v/>
      </c>
      <c r="BI78" s="11" t="str">
        <f aca="false">IF($P78=0,BI77,IF(BI$3=$E78,IF($AA78=1,$F78&amp;$AB78,$G78),IF(OR(BI$3=$D78,BI$3=$AC78,BI$3=$AE78),"",IF(BI$3=$AD78,$F78&amp;"R",BI77))))</f>
        <v/>
      </c>
      <c r="BJ78" s="11" t="str">
        <f aca="false">IF($P78=0,BJ77,IF(BJ$3=$E78,IF($AA78=1,$F78&amp;$AB78,$G78),IF(OR(BJ$3=$D78,BJ$3=$AC78,BJ$3=$AE78),"",IF(BJ$3=$AD78,$F78&amp;"R",BJ77))))</f>
        <v/>
      </c>
      <c r="BK78" s="11" t="str">
        <f aca="false">IF($P78=0,BK77,IF(BK$3=$E78,IF($AA78=1,$F78&amp;$AB78,$G78),IF(OR(BK$3=$D78,BK$3=$AC78,BK$3=$AE78),"",IF(BK$3=$AD78,$F78&amp;"R",BK77))))</f>
        <v/>
      </c>
      <c r="BL78" s="11" t="str">
        <f aca="false">IF($P78=0,BL77,IF(BL$3=$E78,IF($AA78=1,$F78&amp;$AB78,$G78),IF(OR(BL$3=$D78,BL$3=$AC78,BL$3=$AE78),"",IF(BL$3=$AD78,$F78&amp;"R",BL77))))</f>
        <v/>
      </c>
      <c r="BM78" s="11" t="str">
        <f aca="false">IF($P78=0,BM77,IF(BM$3=$E78,IF($AA78=1,$F78&amp;$AB78,$G78),IF(OR(BM$3=$D78,BM$3=$AC78,BM$3=$AE78),"",IF(BM$3=$AD78,$F78&amp;"R",BM77))))</f>
        <v/>
      </c>
      <c r="BN78" s="11" t="str">
        <f aca="false">IF($P78=0,BN77,IF(BN$3=$E78,IF($AA78=1,$F78&amp;$AB78,$G78),IF(OR(BN$3=$D78,BN$3=$AC78,BN$3=$AE78),"",IF(BN$3=$AD78,$F78&amp;"R",BN77))))</f>
        <v/>
      </c>
      <c r="BO78" s="11" t="str">
        <f aca="false">IF($P78=0,BO77,IF(BO$3=$E78,IF($AA78=1,$F78&amp;$AB78,$G78),IF(OR(BO$3=$D78,BO$3=$AC78,BO$3=$AE78),"",IF(BO$3=$AD78,$F78&amp;"R",BO77))))</f>
        <v/>
      </c>
      <c r="BP78" s="11" t="str">
        <f aca="false">IF($P78=0,BP77,IF(BP$3=$E78,IF($AA78=1,$F78&amp;$AB78,$G78),IF(OR(BP$3=$D78,BP$3=$AC78,BP$3=$AE78),"",IF(BP$3=$AD78,$F78&amp;"R",BP77))))</f>
        <v/>
      </c>
      <c r="BQ78" s="11" t="str">
        <f aca="false">IF($P78=0,BQ77,IF(BQ$3=$E78,IF($AA78=1,$F78&amp;$AB78,$G78),IF(OR(BQ$3=$D78,BQ$3=$AC78,BQ$3=$AE78),"",IF(BQ$3=$AD78,$F78&amp;"R",BQ77))))</f>
        <v/>
      </c>
      <c r="BR78" s="11" t="str">
        <f aca="false">IF($P78=0,BR77,IF(BR$3=$E78,IF($AA78=1,$F78&amp;$AB78,$G78),IF(OR(BR$3=$D78,BR$3=$AC78,BR$3=$AE78),"",IF(BR$3=$AD78,$F78&amp;"R",BR77))))</f>
        <v/>
      </c>
      <c r="BS78" s="11" t="str">
        <f aca="false">IF($P78=0,BS77,IF(BS$3=$E78,IF($AA78=1,$F78&amp;$AB78,$G78),IF(OR(BS$3=$D78,BS$3=$AC78,BS$3=$AE78),"",IF(BS$3=$AD78,$F78&amp;"R",BS77))))</f>
        <v/>
      </c>
      <c r="BT78" s="11" t="str">
        <f aca="false">IF($P78=0,BT77,IF(BT$3=$E78,IF($AA78=1,$F78&amp;$AB78,$G78),IF(OR(BT$3=$D78,BT$3=$AC78,BT$3=$AE78),"",IF(BT$3=$AD78,$F78&amp;"R",BT77))))</f>
        <v/>
      </c>
      <c r="BU78" s="11" t="str">
        <f aca="false">IF($P78=0,BU77,IF(BU$3=$E78,IF($AA78=1,$F78&amp;$AB78,$G78),IF(OR(BU$3=$D78,BU$3=$AC78,BU$3=$AE78),"",IF(BU$3=$AD78,$F78&amp;"R",BU77))))</f>
        <v/>
      </c>
      <c r="BV78" s="11" t="str">
        <f aca="false">IF($P78=0,BV77,IF(BV$3=$E78,IF($AA78=1,$F78&amp;$AB78,$G78),IF(OR(BV$3=$D78,BV$3=$AC78,BV$3=$AE78),"",IF(BV$3=$AD78,$F78&amp;"R",BV77))))</f>
        <v/>
      </c>
      <c r="BW78" s="11" t="str">
        <f aca="false">IF($P78=0,BW77,IF(BW$3=$E78,IF($AA78=1,$F78&amp;$AB78,$G78),IF(OR(BW$3=$D78,BW$3=$AC78,BW$3=$AE78),"",IF(BW$3=$AD78,$F78&amp;"R",BW77))))</f>
        <v/>
      </c>
      <c r="BX78" s="11" t="str">
        <f aca="false">IF($P78=0,BX77,IF(BX$3=$E78,IF($AA78=1,$F78&amp;$AB78,$G78),IF(OR(BX$3=$D78,BX$3=$AC78,BX$3=$AE78),"",IF(BX$3=$AD78,$F78&amp;"R",BX77))))</f>
        <v/>
      </c>
      <c r="BY78" s="11" t="str">
        <f aca="false">IF($P78=0,BY77,IF(BY$3=$E78,IF($AA78=1,$F78&amp;$AB78,$G78),IF(OR(BY$3=$D78,BY$3=$AC78,BY$3=$AE78),"",IF(BY$3=$AD78,$F78&amp;"R",BY77))))</f>
        <v/>
      </c>
      <c r="BZ78" s="11" t="str">
        <f aca="false">IF($P78=0,BZ77,IF(BZ$3=$E78,IF($AA78=1,$F78&amp;$AB78,$G78),IF(OR(BZ$3=$D78,BZ$3=$AC78,BZ$3=$AE78),"",IF(BZ$3=$AD78,$F78&amp;"R",BZ77))))</f>
        <v/>
      </c>
      <c r="CA78" s="11" t="str">
        <f aca="false">IF($P78=0,CA77,IF(CA$3=$E78,IF($AA78=1,$F78&amp;$AB78,$G78),IF(OR(CA$3=$D78,CA$3=$AC78,CA$3=$AE78),"",IF(CA$3=$AD78,$F78&amp;"R",CA77))))</f>
        <v/>
      </c>
      <c r="CB78" s="11" t="str">
        <f aca="false">IF($P78=0,CB77,IF(CB$3=$E78,IF($AA78=1,$F78&amp;$AB78,$G78),IF(OR(CB$3=$D78,CB$3=$AC78,CB$3=$AE78),"",IF(CB$3=$AD78,$F78&amp;"R",CB77))))</f>
        <v/>
      </c>
      <c r="CC78" s="11" t="str">
        <f aca="false">IF($P78=0,CC77,IF(CC$3=$E78,IF($AA78=1,$F78&amp;$AB78,$G78),IF(OR(CC$3=$D78,CC$3=$AC78,CC$3=$AE78),"",IF(CC$3=$AD78,$F78&amp;"R",CC77))))</f>
        <v/>
      </c>
      <c r="CD78" s="11" t="str">
        <f aca="false">IF($P78=0,CD77,IF(CD$3=$E78,IF($AA78=1,$F78&amp;$AB78,$G78),IF(OR(CD$3=$D78,CD$3=$AC78,CD$3=$AE78),"",IF(CD$3=$AD78,$F78&amp;"R",CD77))))</f>
        <v>bP</v>
      </c>
      <c r="CE78" s="11" t="str">
        <f aca="false">IF($P78=0,CE77,IF(CE$3=$E78,IF($AA78=1,$F78&amp;$AB78,$G78),IF(OR(CE$3=$D78,CE$3=$AC78,CE$3=$AE78),"",IF(CE$3=$AD78,$F78&amp;"R",CE77))))</f>
        <v>bP</v>
      </c>
      <c r="CF78" s="11" t="str">
        <f aca="false">IF($P78=0,CF77,IF(CF$3=$E78,IF($AA78=1,$F78&amp;$AB78,$G78),IF(OR(CF$3=$D78,CF$3=$AC78,CF$3=$AE78),"",IF(CF$3=$AD78,$F78&amp;"R",CF77))))</f>
        <v>bP</v>
      </c>
      <c r="CG78" s="11" t="str">
        <f aca="false">IF($P78=0,CG77,IF(CG$3=$E78,IF($AA78=1,$F78&amp;$AB78,$G78),IF(OR(CG$3=$D78,CG$3=$AC78,CG$3=$AE78),"",IF(CG$3=$AD78,$F78&amp;"R",CG77))))</f>
        <v>bP</v>
      </c>
      <c r="CH78" s="11" t="str">
        <f aca="false">IF($P78=0,CH77,IF(CH$3=$E78,IF($AA78=1,$F78&amp;$AB78,$G78),IF(OR(CH$3=$D78,CH$3=$AC78,CH$3=$AE78),"",IF(CH$3=$AD78,$F78&amp;"R",CH77))))</f>
        <v>bP</v>
      </c>
      <c r="CI78" s="11" t="str">
        <f aca="false">IF($P78=0,CI77,IF(CI$3=$E78,IF($AA78=1,$F78&amp;$AB78,$G78),IF(OR(CI$3=$D78,CI$3=$AC78,CI$3=$AE78),"",IF(CI$3=$AD78,$F78&amp;"R",CI77))))</f>
        <v>bP</v>
      </c>
      <c r="CJ78" s="11" t="str">
        <f aca="false">IF($P78=0,CJ77,IF(CJ$3=$E78,IF($AA78=1,$F78&amp;$AB78,$G78),IF(OR(CJ$3=$D78,CJ$3=$AC78,CJ$3=$AE78),"",IF(CJ$3=$AD78,$F78&amp;"R",CJ77))))</f>
        <v>bP</v>
      </c>
      <c r="CK78" s="11" t="str">
        <f aca="false">IF($P78=0,CK77,IF(CK$3=$E78,IF($AA78=1,$F78&amp;$AB78,$G78),IF(OR(CK$3=$D78,CK$3=$AC78,CK$3=$AE78),"",IF(CK$3=$AD78,$F78&amp;"R",CK77))))</f>
        <v>bP</v>
      </c>
      <c r="CL78" s="11" t="str">
        <f aca="false">IF($P78=0,CL77,IF(CL$3=$E78,IF($AA78=1,$F78&amp;$AB78,$G78),IF(OR(CL$3=$D78,CL$3=$AC78,CL$3=$AE78),"",IF(CL$3=$AD78,$F78&amp;"R",CL77))))</f>
        <v>bR</v>
      </c>
      <c r="CM78" s="11" t="str">
        <f aca="false">IF($P78=0,CM77,IF(CM$3=$E78,IF($AA78=1,$F78&amp;$AB78,$G78),IF(OR(CM$3=$D78,CM$3=$AC78,CM$3=$AE78),"",IF(CM$3=$AD78,$F78&amp;"R",CM77))))</f>
        <v>bN</v>
      </c>
      <c r="CN78" s="11" t="str">
        <f aca="false">IF($P78=0,CN77,IF(CN$3=$E78,IF($AA78=1,$F78&amp;$AB78,$G78),IF(OR(CN$3=$D78,CN$3=$AC78,CN$3=$AE78),"",IF(CN$3=$AD78,$F78&amp;"R",CN77))))</f>
        <v>bB</v>
      </c>
      <c r="CO78" s="11" t="str">
        <f aca="false">IF($P78=0,CO77,IF(CO$3=$E78,IF($AA78=1,$F78&amp;$AB78,$G78),IF(OR(CO$3=$D78,CO$3=$AC78,CO$3=$AE78),"",IF(CO$3=$AD78,$F78&amp;"R",CO77))))</f>
        <v>bQ</v>
      </c>
      <c r="CP78" s="11" t="str">
        <f aca="false">IF($P78=0,CP77,IF(CP$3=$E78,IF($AA78=1,$F78&amp;$AB78,$G78),IF(OR(CP$3=$D78,CP$3=$AC78,CP$3=$AE78),"",IF(CP$3=$AD78,$F78&amp;"R",CP77))))</f>
        <v>bK</v>
      </c>
      <c r="CQ78" s="11" t="str">
        <f aca="false">IF($P78=0,CQ77,IF(CQ$3=$E78,IF($AA78=1,$F78&amp;$AB78,$G78),IF(OR(CQ$3=$D78,CQ$3=$AC78,CQ$3=$AE78),"",IF(CQ$3=$AD78,$F78&amp;"R",CQ77))))</f>
        <v>bB</v>
      </c>
      <c r="CR78" s="11" t="str">
        <f aca="false">IF($P78=0,CR77,IF(CR$3=$E78,IF($AA78=1,$F78&amp;$AB78,$G78),IF(OR(CR$3=$D78,CR$3=$AC78,CR$3=$AE78),"",IF(CR$3=$AD78,$F78&amp;"R",CR77))))</f>
        <v>bN</v>
      </c>
      <c r="CS78" s="11" t="str">
        <f aca="false">IF($P78=0,CS77,IF(CS$3=$E78,IF($AA78=1,$F78&amp;$AB78,$G78),IF(OR(CS$3=$D78,CS$3=$AC78,CS$3=$AE78),"",IF(CS$3=$AD78,$F78&amp;"R",CS77))))</f>
        <v>bR</v>
      </c>
      <c r="CT78" s="11"/>
      <c r="CU78" s="11"/>
      <c r="CV78" s="11"/>
    </row>
    <row r="79" customFormat="false" ht="15" hidden="false" customHeight="false" outlineLevel="0" collapsed="false">
      <c r="A79" s="11" t="n">
        <v>74</v>
      </c>
      <c r="B79" s="11" t="str">
        <f aca="false">IF(Chess!$L$83="","",Chess!$L$83&amp;"")</f>
        <v/>
      </c>
      <c r="C79" s="11" t="str">
        <f aca="false">LOWER(SUBSTITUTE(SUBSTITUTE(SUBSTITUTE(SUBSTITUTE(TRIM($B79),"-",""),"=","")," ",""),"x",""))</f>
        <v/>
      </c>
      <c r="D79" s="11" t="n">
        <f aca="false">IF(LEN($C79)&lt;4,0,IFERROR(IF(AND(CODE(MID($C79,1,1))&gt;=97,CODE(MID($C79,1,1))&lt;=104,VALUE(MID($C79,2,1))&gt;=1,VALUE(MID($C79,2,1))&lt;=8),(VALUE(MID($C79,2,1))-1)*8+CODE(MID($C79,1,1))-96,0),0))</f>
        <v>0</v>
      </c>
      <c r="E79" s="11" t="n">
        <f aca="false">IF(LEN($C79)&lt;4,0,IFERROR(IF(AND(CODE(MID($C79,3,1))&gt;=97,CODE(MID($C79,3,1))&lt;=104,VALUE(MID($C79,4,1))&gt;=1,VALUE(MID($C79,4,1))&lt;=8),(VALUE(MID($C79,4,1))-1)*8+CODE(MID($C79,3,1))-96,0),0))</f>
        <v>0</v>
      </c>
      <c r="F79" s="11" t="str">
        <f aca="false">IF(MOD(SUM($P$5:$P78),2)=0,"w","b")</f>
        <v>w</v>
      </c>
      <c r="G79" s="11" t="str">
        <f aca="false">IF($D79=0,"",INDEX($AH78:$CS78,1,$D79)&amp;"")</f>
        <v/>
      </c>
      <c r="H79" s="11" t="str">
        <f aca="false">IF($E79=0,"",INDEX($AH78:$CS78,1,$E79)&amp;"")</f>
        <v/>
      </c>
      <c r="I79" s="11" t="n">
        <f aca="false">IF(OR($D79=0,$E79=0),0,MOD($E79-1,8)-MOD($D79-1,8))</f>
        <v>0</v>
      </c>
      <c r="J79" s="11" t="n">
        <f aca="false">IF(OR($D79=0,$E79=0),0,INT(($E79-1)/8)-INT(($D79-1)/8))</f>
        <v>0</v>
      </c>
      <c r="K79" s="11" t="str">
        <f aca="false">IF($G79="","",RIGHT($G79,1))</f>
        <v/>
      </c>
      <c r="L79" s="11" t="n">
        <f aca="false">IF(OR($D79=0,$E79=0),0,SUMPRODUCT(($AH$3:$CS$3&gt;MIN($D79,$E79))*($AH$3:$CS$3&lt;MAX($D79,$E79))*(MOD($AH$3:$CS$3-MIN($D79,$E79),MAX(1,ABS(SIGN($J79)*8+SIGN($I79))))=0)*($AH78:$CS78&lt;&gt;"")))</f>
        <v>0</v>
      </c>
      <c r="M79" s="11" t="n">
        <f aca="false">IF($K79&lt;&gt;"K",0,IFERROR(--AND($J79=0,ABS($I79)=2,$D79=IF($F79="w",5,61),IF($F79="w",$S78,$V78)=0,IF($I79=2,AND(IF($F79="w",$U78,$X78)=0,INDEX($AH78:$CS78,1,$D79+1)&amp;""="",INDEX($AH78:$CS78,1,$D79+2)&amp;""=""),AND(IF($F79="w",$T78,$W78)=0,INDEX($AH78:$CS78,1,$D79-1)&amp;""="",INDEX($AH78:$CS78,1,$D79-2)&amp;""="",INDEX($AH78:$CS78,1,$D79-3)&amp;""=""))),0))</f>
        <v>0</v>
      </c>
      <c r="N79" s="11" t="n">
        <f aca="false">IF($K79&lt;&gt;"P",0,IFERROR(--OR(AND($I79=0,$J79=IF($F79="w",1,-1),$H79=""),AND($I79=0,$J79=2*IF($F79="w",1,-1),$H79="",INT(($D79-1)/8)=IF($F79="w",1,6),INDEX($AH78:$CS78,1,MAX(1,MIN(64,$D79+8*IF($F79="w",1,-1))))&amp;""=""),AND(ABS($I79)=1,$J79=IF($F79="w",1,-1),$H79&lt;&gt;""),AND(ABS($I79)=1,$J79=IF($F79="w",1,-1),$H79="",$R78&gt;0,$E79=$R78)),0))</f>
        <v>0</v>
      </c>
      <c r="O79" s="11" t="n">
        <f aca="false">IF(OR($D79=0,$E79=0,$G79=""),0,IF($K79="N",--OR(AND(ABS($I79)=1,ABS($J79)=2),AND(ABS($I79)=2,ABS($J79)=1)),IF($K79="B",--AND(ABS($I79)=ABS($J79),$I79&lt;&gt;0,$L79=0),IF($K79="R",--AND(OR($I79=0,$J79=0),OR($I79&lt;&gt;0,$J79&lt;&gt;0),$L79=0),IF($K79="Q",--AND(OR(AND(ABS($I79)=ABS($J79),$I79&lt;&gt;0),AND(OR($I79=0,$J79=0),OR($I79&lt;&gt;0,$J79&lt;&gt;0))),$L79=0),IF($K79="K",--OR(MAX(ABS($I79),ABS($J79))=1,$M79=1),$N79))))))</f>
        <v>0</v>
      </c>
      <c r="P79" s="11" t="n">
        <f aca="false">IF($Q79="OK",1,0)</f>
        <v>0</v>
      </c>
      <c r="Q79" s="11" t="str">
        <f aca="false">IF($B79="","",IF(OR(COUNTIF($AH78:$CS78,"wK")=0,COUNTIF($AH78:$CS78,"bK")=0),"Game is over",IF(OR($D79=0,$E79=0),"Use the format e2e4",IF($G79="","No piece on that square",IF(LEFT($G79,1)&lt;&gt;$F79,"Not your piece ("&amp;IF($F79="w","White","Black")&amp;" to move)",IF($D79=$E79,"Piece must move",IF(AND($H79&lt;&gt;"",LEFT($H79,1)=$F79),"Cannot capture your own piece",IF($O79=0,"Illegal move for that piece (or path blocked)","OK"))))))))</f>
        <v/>
      </c>
      <c r="R79" s="11" t="n">
        <f aca="false">IF($P79=1,IF(AND($K79="P",ABS($J79)=2),($D79+$E79)/2,0),$R78)</f>
        <v>0</v>
      </c>
      <c r="S79" s="12" t="b">
        <f aca="false">--OR($S78=1,AND($P79=1,OR($D79=5,$E79=5)))</f>
        <v>0</v>
      </c>
      <c r="T79" s="12" t="b">
        <f aca="false">--OR($T78=1,AND($P79=1,OR($D79=1,$E79=1)))</f>
        <v>0</v>
      </c>
      <c r="U79" s="12" t="b">
        <f aca="false">--OR($U78=1,AND($P79=1,OR($D79=8,$E79=8)))</f>
        <v>0</v>
      </c>
      <c r="V79" s="12" t="b">
        <f aca="false">--OR($V78=1,AND($P79=1,OR($D79=61,$E79=61)))</f>
        <v>0</v>
      </c>
      <c r="W79" s="12" t="b">
        <f aca="false">--OR($W78=1,AND($P79=1,OR($D79=57,$E79=57)))</f>
        <v>0</v>
      </c>
      <c r="X79" s="12" t="b">
        <f aca="false">--OR($X78=1,AND($P79=1,OR($D79=64,$E79=64)))</f>
        <v>0</v>
      </c>
      <c r="Y79" s="12" t="b">
        <f aca="false">--AND($P79=1,$K79="K",ABS($I79)=2)</f>
        <v>0</v>
      </c>
      <c r="Z79" s="12" t="b">
        <f aca="false">--AND($P79=1,$K79="P",ABS($I79)=1,$H79="")</f>
        <v>0</v>
      </c>
      <c r="AA79" s="12" t="b">
        <f aca="false">--AND($P79=1,$K79="P",INT(($E79-1)/8)=IF($F79="w",7,0))</f>
        <v>0</v>
      </c>
      <c r="AB79" s="11" t="str">
        <f aca="false">IF(LEN($C79)&gt;=5,IF(ISNUMBER(FIND(MID($C79,5,1),"qrbn")),UPPER(MID($C79,5,1)),"Q"),"Q")</f>
        <v>Q</v>
      </c>
      <c r="AC79" s="11" t="n">
        <f aca="false">IF($Y79=1,IF($I79=2,$D79+3,$D79-4),0)</f>
        <v>0</v>
      </c>
      <c r="AD79" s="11" t="n">
        <f aca="false">IF($Y79=1,IF($I79=2,$D79+1,$D79-1),0)</f>
        <v>0</v>
      </c>
      <c r="AE79" s="11" t="n">
        <f aca="false">IF($Z79=1,$E79-8*IF($F79="w",1,-1),0)</f>
        <v>0</v>
      </c>
      <c r="AF79" s="11" t="str">
        <f aca="false">IF($B79="","",IF($P79=1,LOWER(INDEX($CV$2:$CV$13,MATCH($G79,$CU$2:$CU$13,0)))&amp;" "&amp;MID("abcdefgh",MOD($D79-1,8)+1,1)&amp;(INT(($D79-1)/8)+1)&amp;"→"&amp;MID("abcdefgh",MOD($E79-1,8)+1,1)&amp;(INT(($E79-1)/8)+1)&amp;IF(OR($H79&lt;&gt;"",$Z79=1)," ×","")&amp;IF($Y79=1," castles","")&amp;IF($Z79=1," e.p.","")&amp;IF($AA79=1," =" &amp;LOWER(INDEX($CV$2:$CV$13,MATCH($F79&amp;$AB79,$CU$2:$CU$13,0))),""),"X "&amp;$Q79))</f>
        <v/>
      </c>
      <c r="AG79" s="11"/>
      <c r="AH79" s="11" t="str">
        <f aca="false">IF($P79=0,AH78,IF(AH$3=$E79,IF($AA79=1,$F79&amp;$AB79,$G79),IF(OR(AH$3=$D79,AH$3=$AC79,AH$3=$AE79),"",IF(AH$3=$AD79,$F79&amp;"R",AH78))))</f>
        <v>wR</v>
      </c>
      <c r="AI79" s="11" t="str">
        <f aca="false">IF($P79=0,AI78,IF(AI$3=$E79,IF($AA79=1,$F79&amp;$AB79,$G79),IF(OR(AI$3=$D79,AI$3=$AC79,AI$3=$AE79),"",IF(AI$3=$AD79,$F79&amp;"R",AI78))))</f>
        <v>wN</v>
      </c>
      <c r="AJ79" s="11" t="str">
        <f aca="false">IF($P79=0,AJ78,IF(AJ$3=$E79,IF($AA79=1,$F79&amp;$AB79,$G79),IF(OR(AJ$3=$D79,AJ$3=$AC79,AJ$3=$AE79),"",IF(AJ$3=$AD79,$F79&amp;"R",AJ78))))</f>
        <v>wB</v>
      </c>
      <c r="AK79" s="11" t="str">
        <f aca="false">IF($P79=0,AK78,IF(AK$3=$E79,IF($AA79=1,$F79&amp;$AB79,$G79),IF(OR(AK$3=$D79,AK$3=$AC79,AK$3=$AE79),"",IF(AK$3=$AD79,$F79&amp;"R",AK78))))</f>
        <v>wQ</v>
      </c>
      <c r="AL79" s="11" t="str">
        <f aca="false">IF($P79=0,AL78,IF(AL$3=$E79,IF($AA79=1,$F79&amp;$AB79,$G79),IF(OR(AL$3=$D79,AL$3=$AC79,AL$3=$AE79),"",IF(AL$3=$AD79,$F79&amp;"R",AL78))))</f>
        <v>wK</v>
      </c>
      <c r="AM79" s="11" t="str">
        <f aca="false">IF($P79=0,AM78,IF(AM$3=$E79,IF($AA79=1,$F79&amp;$AB79,$G79),IF(OR(AM$3=$D79,AM$3=$AC79,AM$3=$AE79),"",IF(AM$3=$AD79,$F79&amp;"R",AM78))))</f>
        <v>wB</v>
      </c>
      <c r="AN79" s="11" t="str">
        <f aca="false">IF($P79=0,AN78,IF(AN$3=$E79,IF($AA79=1,$F79&amp;$AB79,$G79),IF(OR(AN$3=$D79,AN$3=$AC79,AN$3=$AE79),"",IF(AN$3=$AD79,$F79&amp;"R",AN78))))</f>
        <v>wN</v>
      </c>
      <c r="AO79" s="11" t="str">
        <f aca="false">IF($P79=0,AO78,IF(AO$3=$E79,IF($AA79=1,$F79&amp;$AB79,$G79),IF(OR(AO$3=$D79,AO$3=$AC79,AO$3=$AE79),"",IF(AO$3=$AD79,$F79&amp;"R",AO78))))</f>
        <v>wR</v>
      </c>
      <c r="AP79" s="11" t="str">
        <f aca="false">IF($P79=0,AP78,IF(AP$3=$E79,IF($AA79=1,$F79&amp;$AB79,$G79),IF(OR(AP$3=$D79,AP$3=$AC79,AP$3=$AE79),"",IF(AP$3=$AD79,$F79&amp;"R",AP78))))</f>
        <v>wP</v>
      </c>
      <c r="AQ79" s="11" t="str">
        <f aca="false">IF($P79=0,AQ78,IF(AQ$3=$E79,IF($AA79=1,$F79&amp;$AB79,$G79),IF(OR(AQ$3=$D79,AQ$3=$AC79,AQ$3=$AE79),"",IF(AQ$3=$AD79,$F79&amp;"R",AQ78))))</f>
        <v>wP</v>
      </c>
      <c r="AR79" s="11" t="str">
        <f aca="false">IF($P79=0,AR78,IF(AR$3=$E79,IF($AA79=1,$F79&amp;$AB79,$G79),IF(OR(AR$3=$D79,AR$3=$AC79,AR$3=$AE79),"",IF(AR$3=$AD79,$F79&amp;"R",AR78))))</f>
        <v>wP</v>
      </c>
      <c r="AS79" s="11" t="str">
        <f aca="false">IF($P79=0,AS78,IF(AS$3=$E79,IF($AA79=1,$F79&amp;$AB79,$G79),IF(OR(AS$3=$D79,AS$3=$AC79,AS$3=$AE79),"",IF(AS$3=$AD79,$F79&amp;"R",AS78))))</f>
        <v>wP</v>
      </c>
      <c r="AT79" s="11" t="str">
        <f aca="false">IF($P79=0,AT78,IF(AT$3=$E79,IF($AA79=1,$F79&amp;$AB79,$G79),IF(OR(AT$3=$D79,AT$3=$AC79,AT$3=$AE79),"",IF(AT$3=$AD79,$F79&amp;"R",AT78))))</f>
        <v>wP</v>
      </c>
      <c r="AU79" s="11" t="str">
        <f aca="false">IF($P79=0,AU78,IF(AU$3=$E79,IF($AA79=1,$F79&amp;$AB79,$G79),IF(OR(AU$3=$D79,AU$3=$AC79,AU$3=$AE79),"",IF(AU$3=$AD79,$F79&amp;"R",AU78))))</f>
        <v>wP</v>
      </c>
      <c r="AV79" s="11" t="str">
        <f aca="false">IF($P79=0,AV78,IF(AV$3=$E79,IF($AA79=1,$F79&amp;$AB79,$G79),IF(OR(AV$3=$D79,AV$3=$AC79,AV$3=$AE79),"",IF(AV$3=$AD79,$F79&amp;"R",AV78))))</f>
        <v>wP</v>
      </c>
      <c r="AW79" s="11" t="str">
        <f aca="false">IF($P79=0,AW78,IF(AW$3=$E79,IF($AA79=1,$F79&amp;$AB79,$G79),IF(OR(AW$3=$D79,AW$3=$AC79,AW$3=$AE79),"",IF(AW$3=$AD79,$F79&amp;"R",AW78))))</f>
        <v>wP</v>
      </c>
      <c r="AX79" s="11" t="str">
        <f aca="false">IF($P79=0,AX78,IF(AX$3=$E79,IF($AA79=1,$F79&amp;$AB79,$G79),IF(OR(AX$3=$D79,AX$3=$AC79,AX$3=$AE79),"",IF(AX$3=$AD79,$F79&amp;"R",AX78))))</f>
        <v/>
      </c>
      <c r="AY79" s="11" t="str">
        <f aca="false">IF($P79=0,AY78,IF(AY$3=$E79,IF($AA79=1,$F79&amp;$AB79,$G79),IF(OR(AY$3=$D79,AY$3=$AC79,AY$3=$AE79),"",IF(AY$3=$AD79,$F79&amp;"R",AY78))))</f>
        <v/>
      </c>
      <c r="AZ79" s="11" t="str">
        <f aca="false">IF($P79=0,AZ78,IF(AZ$3=$E79,IF($AA79=1,$F79&amp;$AB79,$G79),IF(OR(AZ$3=$D79,AZ$3=$AC79,AZ$3=$AE79),"",IF(AZ$3=$AD79,$F79&amp;"R",AZ78))))</f>
        <v/>
      </c>
      <c r="BA79" s="11" t="str">
        <f aca="false">IF($P79=0,BA78,IF(BA$3=$E79,IF($AA79=1,$F79&amp;$AB79,$G79),IF(OR(BA$3=$D79,BA$3=$AC79,BA$3=$AE79),"",IF(BA$3=$AD79,$F79&amp;"R",BA78))))</f>
        <v/>
      </c>
      <c r="BB79" s="11" t="str">
        <f aca="false">IF($P79=0,BB78,IF(BB$3=$E79,IF($AA79=1,$F79&amp;$AB79,$G79),IF(OR(BB$3=$D79,BB$3=$AC79,BB$3=$AE79),"",IF(BB$3=$AD79,$F79&amp;"R",BB78))))</f>
        <v/>
      </c>
      <c r="BC79" s="11" t="str">
        <f aca="false">IF($P79=0,BC78,IF(BC$3=$E79,IF($AA79=1,$F79&amp;$AB79,$G79),IF(OR(BC$3=$D79,BC$3=$AC79,BC$3=$AE79),"",IF(BC$3=$AD79,$F79&amp;"R",BC78))))</f>
        <v/>
      </c>
      <c r="BD79" s="11" t="str">
        <f aca="false">IF($P79=0,BD78,IF(BD$3=$E79,IF($AA79=1,$F79&amp;$AB79,$G79),IF(OR(BD$3=$D79,BD$3=$AC79,BD$3=$AE79),"",IF(BD$3=$AD79,$F79&amp;"R",BD78))))</f>
        <v/>
      </c>
      <c r="BE79" s="11" t="str">
        <f aca="false">IF($P79=0,BE78,IF(BE$3=$E79,IF($AA79=1,$F79&amp;$AB79,$G79),IF(OR(BE$3=$D79,BE$3=$AC79,BE$3=$AE79),"",IF(BE$3=$AD79,$F79&amp;"R",BE78))))</f>
        <v/>
      </c>
      <c r="BF79" s="11" t="str">
        <f aca="false">IF($P79=0,BF78,IF(BF$3=$E79,IF($AA79=1,$F79&amp;$AB79,$G79),IF(OR(BF$3=$D79,BF$3=$AC79,BF$3=$AE79),"",IF(BF$3=$AD79,$F79&amp;"R",BF78))))</f>
        <v/>
      </c>
      <c r="BG79" s="11" t="str">
        <f aca="false">IF($P79=0,BG78,IF(BG$3=$E79,IF($AA79=1,$F79&amp;$AB79,$G79),IF(OR(BG$3=$D79,BG$3=$AC79,BG$3=$AE79),"",IF(BG$3=$AD79,$F79&amp;"R",BG78))))</f>
        <v/>
      </c>
      <c r="BH79" s="11" t="str">
        <f aca="false">IF($P79=0,BH78,IF(BH$3=$E79,IF($AA79=1,$F79&amp;$AB79,$G79),IF(OR(BH$3=$D79,BH$3=$AC79,BH$3=$AE79),"",IF(BH$3=$AD79,$F79&amp;"R",BH78))))</f>
        <v/>
      </c>
      <c r="BI79" s="11" t="str">
        <f aca="false">IF($P79=0,BI78,IF(BI$3=$E79,IF($AA79=1,$F79&amp;$AB79,$G79),IF(OR(BI$3=$D79,BI$3=$AC79,BI$3=$AE79),"",IF(BI$3=$AD79,$F79&amp;"R",BI78))))</f>
        <v/>
      </c>
      <c r="BJ79" s="11" t="str">
        <f aca="false">IF($P79=0,BJ78,IF(BJ$3=$E79,IF($AA79=1,$F79&amp;$AB79,$G79),IF(OR(BJ$3=$D79,BJ$3=$AC79,BJ$3=$AE79),"",IF(BJ$3=$AD79,$F79&amp;"R",BJ78))))</f>
        <v/>
      </c>
      <c r="BK79" s="11" t="str">
        <f aca="false">IF($P79=0,BK78,IF(BK$3=$E79,IF($AA79=1,$F79&amp;$AB79,$G79),IF(OR(BK$3=$D79,BK$3=$AC79,BK$3=$AE79),"",IF(BK$3=$AD79,$F79&amp;"R",BK78))))</f>
        <v/>
      </c>
      <c r="BL79" s="11" t="str">
        <f aca="false">IF($P79=0,BL78,IF(BL$3=$E79,IF($AA79=1,$F79&amp;$AB79,$G79),IF(OR(BL$3=$D79,BL$3=$AC79,BL$3=$AE79),"",IF(BL$3=$AD79,$F79&amp;"R",BL78))))</f>
        <v/>
      </c>
      <c r="BM79" s="11" t="str">
        <f aca="false">IF($P79=0,BM78,IF(BM$3=$E79,IF($AA79=1,$F79&amp;$AB79,$G79),IF(OR(BM$3=$D79,BM$3=$AC79,BM$3=$AE79),"",IF(BM$3=$AD79,$F79&amp;"R",BM78))))</f>
        <v/>
      </c>
      <c r="BN79" s="11" t="str">
        <f aca="false">IF($P79=0,BN78,IF(BN$3=$E79,IF($AA79=1,$F79&amp;$AB79,$G79),IF(OR(BN$3=$D79,BN$3=$AC79,BN$3=$AE79),"",IF(BN$3=$AD79,$F79&amp;"R",BN78))))</f>
        <v/>
      </c>
      <c r="BO79" s="11" t="str">
        <f aca="false">IF($P79=0,BO78,IF(BO$3=$E79,IF($AA79=1,$F79&amp;$AB79,$G79),IF(OR(BO$3=$D79,BO$3=$AC79,BO$3=$AE79),"",IF(BO$3=$AD79,$F79&amp;"R",BO78))))</f>
        <v/>
      </c>
      <c r="BP79" s="11" t="str">
        <f aca="false">IF($P79=0,BP78,IF(BP$3=$E79,IF($AA79=1,$F79&amp;$AB79,$G79),IF(OR(BP$3=$D79,BP$3=$AC79,BP$3=$AE79),"",IF(BP$3=$AD79,$F79&amp;"R",BP78))))</f>
        <v/>
      </c>
      <c r="BQ79" s="11" t="str">
        <f aca="false">IF($P79=0,BQ78,IF(BQ$3=$E79,IF($AA79=1,$F79&amp;$AB79,$G79),IF(OR(BQ$3=$D79,BQ$3=$AC79,BQ$3=$AE79),"",IF(BQ$3=$AD79,$F79&amp;"R",BQ78))))</f>
        <v/>
      </c>
      <c r="BR79" s="11" t="str">
        <f aca="false">IF($P79=0,BR78,IF(BR$3=$E79,IF($AA79=1,$F79&amp;$AB79,$G79),IF(OR(BR$3=$D79,BR$3=$AC79,BR$3=$AE79),"",IF(BR$3=$AD79,$F79&amp;"R",BR78))))</f>
        <v/>
      </c>
      <c r="BS79" s="11" t="str">
        <f aca="false">IF($P79=0,BS78,IF(BS$3=$E79,IF($AA79=1,$F79&amp;$AB79,$G79),IF(OR(BS$3=$D79,BS$3=$AC79,BS$3=$AE79),"",IF(BS$3=$AD79,$F79&amp;"R",BS78))))</f>
        <v/>
      </c>
      <c r="BT79" s="11" t="str">
        <f aca="false">IF($P79=0,BT78,IF(BT$3=$E79,IF($AA79=1,$F79&amp;$AB79,$G79),IF(OR(BT$3=$D79,BT$3=$AC79,BT$3=$AE79),"",IF(BT$3=$AD79,$F79&amp;"R",BT78))))</f>
        <v/>
      </c>
      <c r="BU79" s="11" t="str">
        <f aca="false">IF($P79=0,BU78,IF(BU$3=$E79,IF($AA79=1,$F79&amp;$AB79,$G79),IF(OR(BU$3=$D79,BU$3=$AC79,BU$3=$AE79),"",IF(BU$3=$AD79,$F79&amp;"R",BU78))))</f>
        <v/>
      </c>
      <c r="BV79" s="11" t="str">
        <f aca="false">IF($P79=0,BV78,IF(BV$3=$E79,IF($AA79=1,$F79&amp;$AB79,$G79),IF(OR(BV$3=$D79,BV$3=$AC79,BV$3=$AE79),"",IF(BV$3=$AD79,$F79&amp;"R",BV78))))</f>
        <v/>
      </c>
      <c r="BW79" s="11" t="str">
        <f aca="false">IF($P79=0,BW78,IF(BW$3=$E79,IF($AA79=1,$F79&amp;$AB79,$G79),IF(OR(BW$3=$D79,BW$3=$AC79,BW$3=$AE79),"",IF(BW$3=$AD79,$F79&amp;"R",BW78))))</f>
        <v/>
      </c>
      <c r="BX79" s="11" t="str">
        <f aca="false">IF($P79=0,BX78,IF(BX$3=$E79,IF($AA79=1,$F79&amp;$AB79,$G79),IF(OR(BX$3=$D79,BX$3=$AC79,BX$3=$AE79),"",IF(BX$3=$AD79,$F79&amp;"R",BX78))))</f>
        <v/>
      </c>
      <c r="BY79" s="11" t="str">
        <f aca="false">IF($P79=0,BY78,IF(BY$3=$E79,IF($AA79=1,$F79&amp;$AB79,$G79),IF(OR(BY$3=$D79,BY$3=$AC79,BY$3=$AE79),"",IF(BY$3=$AD79,$F79&amp;"R",BY78))))</f>
        <v/>
      </c>
      <c r="BZ79" s="11" t="str">
        <f aca="false">IF($P79=0,BZ78,IF(BZ$3=$E79,IF($AA79=1,$F79&amp;$AB79,$G79),IF(OR(BZ$3=$D79,BZ$3=$AC79,BZ$3=$AE79),"",IF(BZ$3=$AD79,$F79&amp;"R",BZ78))))</f>
        <v/>
      </c>
      <c r="CA79" s="11" t="str">
        <f aca="false">IF($P79=0,CA78,IF(CA$3=$E79,IF($AA79=1,$F79&amp;$AB79,$G79),IF(OR(CA$3=$D79,CA$3=$AC79,CA$3=$AE79),"",IF(CA$3=$AD79,$F79&amp;"R",CA78))))</f>
        <v/>
      </c>
      <c r="CB79" s="11" t="str">
        <f aca="false">IF($P79=0,CB78,IF(CB$3=$E79,IF($AA79=1,$F79&amp;$AB79,$G79),IF(OR(CB$3=$D79,CB$3=$AC79,CB$3=$AE79),"",IF(CB$3=$AD79,$F79&amp;"R",CB78))))</f>
        <v/>
      </c>
      <c r="CC79" s="11" t="str">
        <f aca="false">IF($P79=0,CC78,IF(CC$3=$E79,IF($AA79=1,$F79&amp;$AB79,$G79),IF(OR(CC$3=$D79,CC$3=$AC79,CC$3=$AE79),"",IF(CC$3=$AD79,$F79&amp;"R",CC78))))</f>
        <v/>
      </c>
      <c r="CD79" s="11" t="str">
        <f aca="false">IF($P79=0,CD78,IF(CD$3=$E79,IF($AA79=1,$F79&amp;$AB79,$G79),IF(OR(CD$3=$D79,CD$3=$AC79,CD$3=$AE79),"",IF(CD$3=$AD79,$F79&amp;"R",CD78))))</f>
        <v>bP</v>
      </c>
      <c r="CE79" s="11" t="str">
        <f aca="false">IF($P79=0,CE78,IF(CE$3=$E79,IF($AA79=1,$F79&amp;$AB79,$G79),IF(OR(CE$3=$D79,CE$3=$AC79,CE$3=$AE79),"",IF(CE$3=$AD79,$F79&amp;"R",CE78))))</f>
        <v>bP</v>
      </c>
      <c r="CF79" s="11" t="str">
        <f aca="false">IF($P79=0,CF78,IF(CF$3=$E79,IF($AA79=1,$F79&amp;$AB79,$G79),IF(OR(CF$3=$D79,CF$3=$AC79,CF$3=$AE79),"",IF(CF$3=$AD79,$F79&amp;"R",CF78))))</f>
        <v>bP</v>
      </c>
      <c r="CG79" s="11" t="str">
        <f aca="false">IF($P79=0,CG78,IF(CG$3=$E79,IF($AA79=1,$F79&amp;$AB79,$G79),IF(OR(CG$3=$D79,CG$3=$AC79,CG$3=$AE79),"",IF(CG$3=$AD79,$F79&amp;"R",CG78))))</f>
        <v>bP</v>
      </c>
      <c r="CH79" s="11" t="str">
        <f aca="false">IF($P79=0,CH78,IF(CH$3=$E79,IF($AA79=1,$F79&amp;$AB79,$G79),IF(OR(CH$3=$D79,CH$3=$AC79,CH$3=$AE79),"",IF(CH$3=$AD79,$F79&amp;"R",CH78))))</f>
        <v>bP</v>
      </c>
      <c r="CI79" s="11" t="str">
        <f aca="false">IF($P79=0,CI78,IF(CI$3=$E79,IF($AA79=1,$F79&amp;$AB79,$G79),IF(OR(CI$3=$D79,CI$3=$AC79,CI$3=$AE79),"",IF(CI$3=$AD79,$F79&amp;"R",CI78))))</f>
        <v>bP</v>
      </c>
      <c r="CJ79" s="11" t="str">
        <f aca="false">IF($P79=0,CJ78,IF(CJ$3=$E79,IF($AA79=1,$F79&amp;$AB79,$G79),IF(OR(CJ$3=$D79,CJ$3=$AC79,CJ$3=$AE79),"",IF(CJ$3=$AD79,$F79&amp;"R",CJ78))))</f>
        <v>bP</v>
      </c>
      <c r="CK79" s="11" t="str">
        <f aca="false">IF($P79=0,CK78,IF(CK$3=$E79,IF($AA79=1,$F79&amp;$AB79,$G79),IF(OR(CK$3=$D79,CK$3=$AC79,CK$3=$AE79),"",IF(CK$3=$AD79,$F79&amp;"R",CK78))))</f>
        <v>bP</v>
      </c>
      <c r="CL79" s="11" t="str">
        <f aca="false">IF($P79=0,CL78,IF(CL$3=$E79,IF($AA79=1,$F79&amp;$AB79,$G79),IF(OR(CL$3=$D79,CL$3=$AC79,CL$3=$AE79),"",IF(CL$3=$AD79,$F79&amp;"R",CL78))))</f>
        <v>bR</v>
      </c>
      <c r="CM79" s="11" t="str">
        <f aca="false">IF($P79=0,CM78,IF(CM$3=$E79,IF($AA79=1,$F79&amp;$AB79,$G79),IF(OR(CM$3=$D79,CM$3=$AC79,CM$3=$AE79),"",IF(CM$3=$AD79,$F79&amp;"R",CM78))))</f>
        <v>bN</v>
      </c>
      <c r="CN79" s="11" t="str">
        <f aca="false">IF($P79=0,CN78,IF(CN$3=$E79,IF($AA79=1,$F79&amp;$AB79,$G79),IF(OR(CN$3=$D79,CN$3=$AC79,CN$3=$AE79),"",IF(CN$3=$AD79,$F79&amp;"R",CN78))))</f>
        <v>bB</v>
      </c>
      <c r="CO79" s="11" t="str">
        <f aca="false">IF($P79=0,CO78,IF(CO$3=$E79,IF($AA79=1,$F79&amp;$AB79,$G79),IF(OR(CO$3=$D79,CO$3=$AC79,CO$3=$AE79),"",IF(CO$3=$AD79,$F79&amp;"R",CO78))))</f>
        <v>bQ</v>
      </c>
      <c r="CP79" s="11" t="str">
        <f aca="false">IF($P79=0,CP78,IF(CP$3=$E79,IF($AA79=1,$F79&amp;$AB79,$G79),IF(OR(CP$3=$D79,CP$3=$AC79,CP$3=$AE79),"",IF(CP$3=$AD79,$F79&amp;"R",CP78))))</f>
        <v>bK</v>
      </c>
      <c r="CQ79" s="11" t="str">
        <f aca="false">IF($P79=0,CQ78,IF(CQ$3=$E79,IF($AA79=1,$F79&amp;$AB79,$G79),IF(OR(CQ$3=$D79,CQ$3=$AC79,CQ$3=$AE79),"",IF(CQ$3=$AD79,$F79&amp;"R",CQ78))))</f>
        <v>bB</v>
      </c>
      <c r="CR79" s="11" t="str">
        <f aca="false">IF($P79=0,CR78,IF(CR$3=$E79,IF($AA79=1,$F79&amp;$AB79,$G79),IF(OR(CR$3=$D79,CR$3=$AC79,CR$3=$AE79),"",IF(CR$3=$AD79,$F79&amp;"R",CR78))))</f>
        <v>bN</v>
      </c>
      <c r="CS79" s="11" t="str">
        <f aca="false">IF($P79=0,CS78,IF(CS$3=$E79,IF($AA79=1,$F79&amp;$AB79,$G79),IF(OR(CS$3=$D79,CS$3=$AC79,CS$3=$AE79),"",IF(CS$3=$AD79,$F79&amp;"R",CS78))))</f>
        <v>bR</v>
      </c>
      <c r="CT79" s="11"/>
      <c r="CU79" s="11"/>
      <c r="CV79" s="11"/>
    </row>
    <row r="80" customFormat="false" ht="15" hidden="false" customHeight="false" outlineLevel="0" collapsed="false">
      <c r="A80" s="11" t="n">
        <v>75</v>
      </c>
      <c r="B80" s="11" t="str">
        <f aca="false">IF(Chess!$L$84="","",Chess!$L$84&amp;"")</f>
        <v/>
      </c>
      <c r="C80" s="11" t="str">
        <f aca="false">LOWER(SUBSTITUTE(SUBSTITUTE(SUBSTITUTE(SUBSTITUTE(TRIM($B80),"-",""),"=","")," ",""),"x",""))</f>
        <v/>
      </c>
      <c r="D80" s="11" t="n">
        <f aca="false">IF(LEN($C80)&lt;4,0,IFERROR(IF(AND(CODE(MID($C80,1,1))&gt;=97,CODE(MID($C80,1,1))&lt;=104,VALUE(MID($C80,2,1))&gt;=1,VALUE(MID($C80,2,1))&lt;=8),(VALUE(MID($C80,2,1))-1)*8+CODE(MID($C80,1,1))-96,0),0))</f>
        <v>0</v>
      </c>
      <c r="E80" s="11" t="n">
        <f aca="false">IF(LEN($C80)&lt;4,0,IFERROR(IF(AND(CODE(MID($C80,3,1))&gt;=97,CODE(MID($C80,3,1))&lt;=104,VALUE(MID($C80,4,1))&gt;=1,VALUE(MID($C80,4,1))&lt;=8),(VALUE(MID($C80,4,1))-1)*8+CODE(MID($C80,3,1))-96,0),0))</f>
        <v>0</v>
      </c>
      <c r="F80" s="11" t="str">
        <f aca="false">IF(MOD(SUM($P$5:$P79),2)=0,"w","b")</f>
        <v>w</v>
      </c>
      <c r="G80" s="11" t="str">
        <f aca="false">IF($D80=0,"",INDEX($AH79:$CS79,1,$D80)&amp;"")</f>
        <v/>
      </c>
      <c r="H80" s="11" t="str">
        <f aca="false">IF($E80=0,"",INDEX($AH79:$CS79,1,$E80)&amp;"")</f>
        <v/>
      </c>
      <c r="I80" s="11" t="n">
        <f aca="false">IF(OR($D80=0,$E80=0),0,MOD($E80-1,8)-MOD($D80-1,8))</f>
        <v>0</v>
      </c>
      <c r="J80" s="11" t="n">
        <f aca="false">IF(OR($D80=0,$E80=0),0,INT(($E80-1)/8)-INT(($D80-1)/8))</f>
        <v>0</v>
      </c>
      <c r="K80" s="11" t="str">
        <f aca="false">IF($G80="","",RIGHT($G80,1))</f>
        <v/>
      </c>
      <c r="L80" s="11" t="n">
        <f aca="false">IF(OR($D80=0,$E80=0),0,SUMPRODUCT(($AH$3:$CS$3&gt;MIN($D80,$E80))*($AH$3:$CS$3&lt;MAX($D80,$E80))*(MOD($AH$3:$CS$3-MIN($D80,$E80),MAX(1,ABS(SIGN($J80)*8+SIGN($I80))))=0)*($AH79:$CS79&lt;&gt;"")))</f>
        <v>0</v>
      </c>
      <c r="M80" s="11" t="n">
        <f aca="false">IF($K80&lt;&gt;"K",0,IFERROR(--AND($J80=0,ABS($I80)=2,$D80=IF($F80="w",5,61),IF($F80="w",$S79,$V79)=0,IF($I80=2,AND(IF($F80="w",$U79,$X79)=0,INDEX($AH79:$CS79,1,$D80+1)&amp;""="",INDEX($AH79:$CS79,1,$D80+2)&amp;""=""),AND(IF($F80="w",$T79,$W79)=0,INDEX($AH79:$CS79,1,$D80-1)&amp;""="",INDEX($AH79:$CS79,1,$D80-2)&amp;""="",INDEX($AH79:$CS79,1,$D80-3)&amp;""=""))),0))</f>
        <v>0</v>
      </c>
      <c r="N80" s="11" t="n">
        <f aca="false">IF($K80&lt;&gt;"P",0,IFERROR(--OR(AND($I80=0,$J80=IF($F80="w",1,-1),$H80=""),AND($I80=0,$J80=2*IF($F80="w",1,-1),$H80="",INT(($D80-1)/8)=IF($F80="w",1,6),INDEX($AH79:$CS79,1,MAX(1,MIN(64,$D80+8*IF($F80="w",1,-1))))&amp;""=""),AND(ABS($I80)=1,$J80=IF($F80="w",1,-1),$H80&lt;&gt;""),AND(ABS($I80)=1,$J80=IF($F80="w",1,-1),$H80="",$R79&gt;0,$E80=$R79)),0))</f>
        <v>0</v>
      </c>
      <c r="O80" s="11" t="n">
        <f aca="false">IF(OR($D80=0,$E80=0,$G80=""),0,IF($K80="N",--OR(AND(ABS($I80)=1,ABS($J80)=2),AND(ABS($I80)=2,ABS($J80)=1)),IF($K80="B",--AND(ABS($I80)=ABS($J80),$I80&lt;&gt;0,$L80=0),IF($K80="R",--AND(OR($I80=0,$J80=0),OR($I80&lt;&gt;0,$J80&lt;&gt;0),$L80=0),IF($K80="Q",--AND(OR(AND(ABS($I80)=ABS($J80),$I80&lt;&gt;0),AND(OR($I80=0,$J80=0),OR($I80&lt;&gt;0,$J80&lt;&gt;0))),$L80=0),IF($K80="K",--OR(MAX(ABS($I80),ABS($J80))=1,$M80=1),$N80))))))</f>
        <v>0</v>
      </c>
      <c r="P80" s="11" t="n">
        <f aca="false">IF($Q80="OK",1,0)</f>
        <v>0</v>
      </c>
      <c r="Q80" s="11" t="str">
        <f aca="false">IF($B80="","",IF(OR(COUNTIF($AH79:$CS79,"wK")=0,COUNTIF($AH79:$CS79,"bK")=0),"Game is over",IF(OR($D80=0,$E80=0),"Use the format e2e4",IF($G80="","No piece on that square",IF(LEFT($G80,1)&lt;&gt;$F80,"Not your piece ("&amp;IF($F80="w","White","Black")&amp;" to move)",IF($D80=$E80,"Piece must move",IF(AND($H80&lt;&gt;"",LEFT($H80,1)=$F80),"Cannot capture your own piece",IF($O80=0,"Illegal move for that piece (or path blocked)","OK"))))))))</f>
        <v/>
      </c>
      <c r="R80" s="11" t="n">
        <f aca="false">IF($P80=1,IF(AND($K80="P",ABS($J80)=2),($D80+$E80)/2,0),$R79)</f>
        <v>0</v>
      </c>
      <c r="S80" s="12" t="b">
        <f aca="false">--OR($S79=1,AND($P80=1,OR($D80=5,$E80=5)))</f>
        <v>0</v>
      </c>
      <c r="T80" s="12" t="b">
        <f aca="false">--OR($T79=1,AND($P80=1,OR($D80=1,$E80=1)))</f>
        <v>0</v>
      </c>
      <c r="U80" s="12" t="b">
        <f aca="false">--OR($U79=1,AND($P80=1,OR($D80=8,$E80=8)))</f>
        <v>0</v>
      </c>
      <c r="V80" s="12" t="b">
        <f aca="false">--OR($V79=1,AND($P80=1,OR($D80=61,$E80=61)))</f>
        <v>0</v>
      </c>
      <c r="W80" s="12" t="b">
        <f aca="false">--OR($W79=1,AND($P80=1,OR($D80=57,$E80=57)))</f>
        <v>0</v>
      </c>
      <c r="X80" s="12" t="b">
        <f aca="false">--OR($X79=1,AND($P80=1,OR($D80=64,$E80=64)))</f>
        <v>0</v>
      </c>
      <c r="Y80" s="12" t="b">
        <f aca="false">--AND($P80=1,$K80="K",ABS($I80)=2)</f>
        <v>0</v>
      </c>
      <c r="Z80" s="12" t="b">
        <f aca="false">--AND($P80=1,$K80="P",ABS($I80)=1,$H80="")</f>
        <v>0</v>
      </c>
      <c r="AA80" s="12" t="b">
        <f aca="false">--AND($P80=1,$K80="P",INT(($E80-1)/8)=IF($F80="w",7,0))</f>
        <v>0</v>
      </c>
      <c r="AB80" s="11" t="str">
        <f aca="false">IF(LEN($C80)&gt;=5,IF(ISNUMBER(FIND(MID($C80,5,1),"qrbn")),UPPER(MID($C80,5,1)),"Q"),"Q")</f>
        <v>Q</v>
      </c>
      <c r="AC80" s="11" t="n">
        <f aca="false">IF($Y80=1,IF($I80=2,$D80+3,$D80-4),0)</f>
        <v>0</v>
      </c>
      <c r="AD80" s="11" t="n">
        <f aca="false">IF($Y80=1,IF($I80=2,$D80+1,$D80-1),0)</f>
        <v>0</v>
      </c>
      <c r="AE80" s="11" t="n">
        <f aca="false">IF($Z80=1,$E80-8*IF($F80="w",1,-1),0)</f>
        <v>0</v>
      </c>
      <c r="AF80" s="11" t="str">
        <f aca="false">IF($B80="","",IF($P80=1,LOWER(INDEX($CV$2:$CV$13,MATCH($G80,$CU$2:$CU$13,0)))&amp;" "&amp;MID("abcdefgh",MOD($D80-1,8)+1,1)&amp;(INT(($D80-1)/8)+1)&amp;"→"&amp;MID("abcdefgh",MOD($E80-1,8)+1,1)&amp;(INT(($E80-1)/8)+1)&amp;IF(OR($H80&lt;&gt;"",$Z80=1)," ×","")&amp;IF($Y80=1," castles","")&amp;IF($Z80=1," e.p.","")&amp;IF($AA80=1," =" &amp;LOWER(INDEX($CV$2:$CV$13,MATCH($F80&amp;$AB80,$CU$2:$CU$13,0))),""),"X "&amp;$Q80))</f>
        <v/>
      </c>
      <c r="AG80" s="11"/>
      <c r="AH80" s="11" t="str">
        <f aca="false">IF($P80=0,AH79,IF(AH$3=$E80,IF($AA80=1,$F80&amp;$AB80,$G80),IF(OR(AH$3=$D80,AH$3=$AC80,AH$3=$AE80),"",IF(AH$3=$AD80,$F80&amp;"R",AH79))))</f>
        <v>wR</v>
      </c>
      <c r="AI80" s="11" t="str">
        <f aca="false">IF($P80=0,AI79,IF(AI$3=$E80,IF($AA80=1,$F80&amp;$AB80,$G80),IF(OR(AI$3=$D80,AI$3=$AC80,AI$3=$AE80),"",IF(AI$3=$AD80,$F80&amp;"R",AI79))))</f>
        <v>wN</v>
      </c>
      <c r="AJ80" s="11" t="str">
        <f aca="false">IF($P80=0,AJ79,IF(AJ$3=$E80,IF($AA80=1,$F80&amp;$AB80,$G80),IF(OR(AJ$3=$D80,AJ$3=$AC80,AJ$3=$AE80),"",IF(AJ$3=$AD80,$F80&amp;"R",AJ79))))</f>
        <v>wB</v>
      </c>
      <c r="AK80" s="11" t="str">
        <f aca="false">IF($P80=0,AK79,IF(AK$3=$E80,IF($AA80=1,$F80&amp;$AB80,$G80),IF(OR(AK$3=$D80,AK$3=$AC80,AK$3=$AE80),"",IF(AK$3=$AD80,$F80&amp;"R",AK79))))</f>
        <v>wQ</v>
      </c>
      <c r="AL80" s="11" t="str">
        <f aca="false">IF($P80=0,AL79,IF(AL$3=$E80,IF($AA80=1,$F80&amp;$AB80,$G80),IF(OR(AL$3=$D80,AL$3=$AC80,AL$3=$AE80),"",IF(AL$3=$AD80,$F80&amp;"R",AL79))))</f>
        <v>wK</v>
      </c>
      <c r="AM80" s="11" t="str">
        <f aca="false">IF($P80=0,AM79,IF(AM$3=$E80,IF($AA80=1,$F80&amp;$AB80,$G80),IF(OR(AM$3=$D80,AM$3=$AC80,AM$3=$AE80),"",IF(AM$3=$AD80,$F80&amp;"R",AM79))))</f>
        <v>wB</v>
      </c>
      <c r="AN80" s="11" t="str">
        <f aca="false">IF($P80=0,AN79,IF(AN$3=$E80,IF($AA80=1,$F80&amp;$AB80,$G80),IF(OR(AN$3=$D80,AN$3=$AC80,AN$3=$AE80),"",IF(AN$3=$AD80,$F80&amp;"R",AN79))))</f>
        <v>wN</v>
      </c>
      <c r="AO80" s="11" t="str">
        <f aca="false">IF($P80=0,AO79,IF(AO$3=$E80,IF($AA80=1,$F80&amp;$AB80,$G80),IF(OR(AO$3=$D80,AO$3=$AC80,AO$3=$AE80),"",IF(AO$3=$AD80,$F80&amp;"R",AO79))))</f>
        <v>wR</v>
      </c>
      <c r="AP80" s="11" t="str">
        <f aca="false">IF($P80=0,AP79,IF(AP$3=$E80,IF($AA80=1,$F80&amp;$AB80,$G80),IF(OR(AP$3=$D80,AP$3=$AC80,AP$3=$AE80),"",IF(AP$3=$AD80,$F80&amp;"R",AP79))))</f>
        <v>wP</v>
      </c>
      <c r="AQ80" s="11" t="str">
        <f aca="false">IF($P80=0,AQ79,IF(AQ$3=$E80,IF($AA80=1,$F80&amp;$AB80,$G80),IF(OR(AQ$3=$D80,AQ$3=$AC80,AQ$3=$AE80),"",IF(AQ$3=$AD80,$F80&amp;"R",AQ79))))</f>
        <v>wP</v>
      </c>
      <c r="AR80" s="11" t="str">
        <f aca="false">IF($P80=0,AR79,IF(AR$3=$E80,IF($AA80=1,$F80&amp;$AB80,$G80),IF(OR(AR$3=$D80,AR$3=$AC80,AR$3=$AE80),"",IF(AR$3=$AD80,$F80&amp;"R",AR79))))</f>
        <v>wP</v>
      </c>
      <c r="AS80" s="11" t="str">
        <f aca="false">IF($P80=0,AS79,IF(AS$3=$E80,IF($AA80=1,$F80&amp;$AB80,$G80),IF(OR(AS$3=$D80,AS$3=$AC80,AS$3=$AE80),"",IF(AS$3=$AD80,$F80&amp;"R",AS79))))</f>
        <v>wP</v>
      </c>
      <c r="AT80" s="11" t="str">
        <f aca="false">IF($P80=0,AT79,IF(AT$3=$E80,IF($AA80=1,$F80&amp;$AB80,$G80),IF(OR(AT$3=$D80,AT$3=$AC80,AT$3=$AE80),"",IF(AT$3=$AD80,$F80&amp;"R",AT79))))</f>
        <v>wP</v>
      </c>
      <c r="AU80" s="11" t="str">
        <f aca="false">IF($P80=0,AU79,IF(AU$3=$E80,IF($AA80=1,$F80&amp;$AB80,$G80),IF(OR(AU$3=$D80,AU$3=$AC80,AU$3=$AE80),"",IF(AU$3=$AD80,$F80&amp;"R",AU79))))</f>
        <v>wP</v>
      </c>
      <c r="AV80" s="11" t="str">
        <f aca="false">IF($P80=0,AV79,IF(AV$3=$E80,IF($AA80=1,$F80&amp;$AB80,$G80),IF(OR(AV$3=$D80,AV$3=$AC80,AV$3=$AE80),"",IF(AV$3=$AD80,$F80&amp;"R",AV79))))</f>
        <v>wP</v>
      </c>
      <c r="AW80" s="11" t="str">
        <f aca="false">IF($P80=0,AW79,IF(AW$3=$E80,IF($AA80=1,$F80&amp;$AB80,$G80),IF(OR(AW$3=$D80,AW$3=$AC80,AW$3=$AE80),"",IF(AW$3=$AD80,$F80&amp;"R",AW79))))</f>
        <v>wP</v>
      </c>
      <c r="AX80" s="11" t="str">
        <f aca="false">IF($P80=0,AX79,IF(AX$3=$E80,IF($AA80=1,$F80&amp;$AB80,$G80),IF(OR(AX$3=$D80,AX$3=$AC80,AX$3=$AE80),"",IF(AX$3=$AD80,$F80&amp;"R",AX79))))</f>
        <v/>
      </c>
      <c r="AY80" s="11" t="str">
        <f aca="false">IF($P80=0,AY79,IF(AY$3=$E80,IF($AA80=1,$F80&amp;$AB80,$G80),IF(OR(AY$3=$D80,AY$3=$AC80,AY$3=$AE80),"",IF(AY$3=$AD80,$F80&amp;"R",AY79))))</f>
        <v/>
      </c>
      <c r="AZ80" s="11" t="str">
        <f aca="false">IF($P80=0,AZ79,IF(AZ$3=$E80,IF($AA80=1,$F80&amp;$AB80,$G80),IF(OR(AZ$3=$D80,AZ$3=$AC80,AZ$3=$AE80),"",IF(AZ$3=$AD80,$F80&amp;"R",AZ79))))</f>
        <v/>
      </c>
      <c r="BA80" s="11" t="str">
        <f aca="false">IF($P80=0,BA79,IF(BA$3=$E80,IF($AA80=1,$F80&amp;$AB80,$G80),IF(OR(BA$3=$D80,BA$3=$AC80,BA$3=$AE80),"",IF(BA$3=$AD80,$F80&amp;"R",BA79))))</f>
        <v/>
      </c>
      <c r="BB80" s="11" t="str">
        <f aca="false">IF($P80=0,BB79,IF(BB$3=$E80,IF($AA80=1,$F80&amp;$AB80,$G80),IF(OR(BB$3=$D80,BB$3=$AC80,BB$3=$AE80),"",IF(BB$3=$AD80,$F80&amp;"R",BB79))))</f>
        <v/>
      </c>
      <c r="BC80" s="11" t="str">
        <f aca="false">IF($P80=0,BC79,IF(BC$3=$E80,IF($AA80=1,$F80&amp;$AB80,$G80),IF(OR(BC$3=$D80,BC$3=$AC80,BC$3=$AE80),"",IF(BC$3=$AD80,$F80&amp;"R",BC79))))</f>
        <v/>
      </c>
      <c r="BD80" s="11" t="str">
        <f aca="false">IF($P80=0,BD79,IF(BD$3=$E80,IF($AA80=1,$F80&amp;$AB80,$G80),IF(OR(BD$3=$D80,BD$3=$AC80,BD$3=$AE80),"",IF(BD$3=$AD80,$F80&amp;"R",BD79))))</f>
        <v/>
      </c>
      <c r="BE80" s="11" t="str">
        <f aca="false">IF($P80=0,BE79,IF(BE$3=$E80,IF($AA80=1,$F80&amp;$AB80,$G80),IF(OR(BE$3=$D80,BE$3=$AC80,BE$3=$AE80),"",IF(BE$3=$AD80,$F80&amp;"R",BE79))))</f>
        <v/>
      </c>
      <c r="BF80" s="11" t="str">
        <f aca="false">IF($P80=0,BF79,IF(BF$3=$E80,IF($AA80=1,$F80&amp;$AB80,$G80),IF(OR(BF$3=$D80,BF$3=$AC80,BF$3=$AE80),"",IF(BF$3=$AD80,$F80&amp;"R",BF79))))</f>
        <v/>
      </c>
      <c r="BG80" s="11" t="str">
        <f aca="false">IF($P80=0,BG79,IF(BG$3=$E80,IF($AA80=1,$F80&amp;$AB80,$G80),IF(OR(BG$3=$D80,BG$3=$AC80,BG$3=$AE80),"",IF(BG$3=$AD80,$F80&amp;"R",BG79))))</f>
        <v/>
      </c>
      <c r="BH80" s="11" t="str">
        <f aca="false">IF($P80=0,BH79,IF(BH$3=$E80,IF($AA80=1,$F80&amp;$AB80,$G80),IF(OR(BH$3=$D80,BH$3=$AC80,BH$3=$AE80),"",IF(BH$3=$AD80,$F80&amp;"R",BH79))))</f>
        <v/>
      </c>
      <c r="BI80" s="11" t="str">
        <f aca="false">IF($P80=0,BI79,IF(BI$3=$E80,IF($AA80=1,$F80&amp;$AB80,$G80),IF(OR(BI$3=$D80,BI$3=$AC80,BI$3=$AE80),"",IF(BI$3=$AD80,$F80&amp;"R",BI79))))</f>
        <v/>
      </c>
      <c r="BJ80" s="11" t="str">
        <f aca="false">IF($P80=0,BJ79,IF(BJ$3=$E80,IF($AA80=1,$F80&amp;$AB80,$G80),IF(OR(BJ$3=$D80,BJ$3=$AC80,BJ$3=$AE80),"",IF(BJ$3=$AD80,$F80&amp;"R",BJ79))))</f>
        <v/>
      </c>
      <c r="BK80" s="11" t="str">
        <f aca="false">IF($P80=0,BK79,IF(BK$3=$E80,IF($AA80=1,$F80&amp;$AB80,$G80),IF(OR(BK$3=$D80,BK$3=$AC80,BK$3=$AE80),"",IF(BK$3=$AD80,$F80&amp;"R",BK79))))</f>
        <v/>
      </c>
      <c r="BL80" s="11" t="str">
        <f aca="false">IF($P80=0,BL79,IF(BL$3=$E80,IF($AA80=1,$F80&amp;$AB80,$G80),IF(OR(BL$3=$D80,BL$3=$AC80,BL$3=$AE80),"",IF(BL$3=$AD80,$F80&amp;"R",BL79))))</f>
        <v/>
      </c>
      <c r="BM80" s="11" t="str">
        <f aca="false">IF($P80=0,BM79,IF(BM$3=$E80,IF($AA80=1,$F80&amp;$AB80,$G80),IF(OR(BM$3=$D80,BM$3=$AC80,BM$3=$AE80),"",IF(BM$3=$AD80,$F80&amp;"R",BM79))))</f>
        <v/>
      </c>
      <c r="BN80" s="11" t="str">
        <f aca="false">IF($P80=0,BN79,IF(BN$3=$E80,IF($AA80=1,$F80&amp;$AB80,$G80),IF(OR(BN$3=$D80,BN$3=$AC80,BN$3=$AE80),"",IF(BN$3=$AD80,$F80&amp;"R",BN79))))</f>
        <v/>
      </c>
      <c r="BO80" s="11" t="str">
        <f aca="false">IF($P80=0,BO79,IF(BO$3=$E80,IF($AA80=1,$F80&amp;$AB80,$G80),IF(OR(BO$3=$D80,BO$3=$AC80,BO$3=$AE80),"",IF(BO$3=$AD80,$F80&amp;"R",BO79))))</f>
        <v/>
      </c>
      <c r="BP80" s="11" t="str">
        <f aca="false">IF($P80=0,BP79,IF(BP$3=$E80,IF($AA80=1,$F80&amp;$AB80,$G80),IF(OR(BP$3=$D80,BP$3=$AC80,BP$3=$AE80),"",IF(BP$3=$AD80,$F80&amp;"R",BP79))))</f>
        <v/>
      </c>
      <c r="BQ80" s="11" t="str">
        <f aca="false">IF($P80=0,BQ79,IF(BQ$3=$E80,IF($AA80=1,$F80&amp;$AB80,$G80),IF(OR(BQ$3=$D80,BQ$3=$AC80,BQ$3=$AE80),"",IF(BQ$3=$AD80,$F80&amp;"R",BQ79))))</f>
        <v/>
      </c>
      <c r="BR80" s="11" t="str">
        <f aca="false">IF($P80=0,BR79,IF(BR$3=$E80,IF($AA80=1,$F80&amp;$AB80,$G80),IF(OR(BR$3=$D80,BR$3=$AC80,BR$3=$AE80),"",IF(BR$3=$AD80,$F80&amp;"R",BR79))))</f>
        <v/>
      </c>
      <c r="BS80" s="11" t="str">
        <f aca="false">IF($P80=0,BS79,IF(BS$3=$E80,IF($AA80=1,$F80&amp;$AB80,$G80),IF(OR(BS$3=$D80,BS$3=$AC80,BS$3=$AE80),"",IF(BS$3=$AD80,$F80&amp;"R",BS79))))</f>
        <v/>
      </c>
      <c r="BT80" s="11" t="str">
        <f aca="false">IF($P80=0,BT79,IF(BT$3=$E80,IF($AA80=1,$F80&amp;$AB80,$G80),IF(OR(BT$3=$D80,BT$3=$AC80,BT$3=$AE80),"",IF(BT$3=$AD80,$F80&amp;"R",BT79))))</f>
        <v/>
      </c>
      <c r="BU80" s="11" t="str">
        <f aca="false">IF($P80=0,BU79,IF(BU$3=$E80,IF($AA80=1,$F80&amp;$AB80,$G80),IF(OR(BU$3=$D80,BU$3=$AC80,BU$3=$AE80),"",IF(BU$3=$AD80,$F80&amp;"R",BU79))))</f>
        <v/>
      </c>
      <c r="BV80" s="11" t="str">
        <f aca="false">IF($P80=0,BV79,IF(BV$3=$E80,IF($AA80=1,$F80&amp;$AB80,$G80),IF(OR(BV$3=$D80,BV$3=$AC80,BV$3=$AE80),"",IF(BV$3=$AD80,$F80&amp;"R",BV79))))</f>
        <v/>
      </c>
      <c r="BW80" s="11" t="str">
        <f aca="false">IF($P80=0,BW79,IF(BW$3=$E80,IF($AA80=1,$F80&amp;$AB80,$G80),IF(OR(BW$3=$D80,BW$3=$AC80,BW$3=$AE80),"",IF(BW$3=$AD80,$F80&amp;"R",BW79))))</f>
        <v/>
      </c>
      <c r="BX80" s="11" t="str">
        <f aca="false">IF($P80=0,BX79,IF(BX$3=$E80,IF($AA80=1,$F80&amp;$AB80,$G80),IF(OR(BX$3=$D80,BX$3=$AC80,BX$3=$AE80),"",IF(BX$3=$AD80,$F80&amp;"R",BX79))))</f>
        <v/>
      </c>
      <c r="BY80" s="11" t="str">
        <f aca="false">IF($P80=0,BY79,IF(BY$3=$E80,IF($AA80=1,$F80&amp;$AB80,$G80),IF(OR(BY$3=$D80,BY$3=$AC80,BY$3=$AE80),"",IF(BY$3=$AD80,$F80&amp;"R",BY79))))</f>
        <v/>
      </c>
      <c r="BZ80" s="11" t="str">
        <f aca="false">IF($P80=0,BZ79,IF(BZ$3=$E80,IF($AA80=1,$F80&amp;$AB80,$G80),IF(OR(BZ$3=$D80,BZ$3=$AC80,BZ$3=$AE80),"",IF(BZ$3=$AD80,$F80&amp;"R",BZ79))))</f>
        <v/>
      </c>
      <c r="CA80" s="11" t="str">
        <f aca="false">IF($P80=0,CA79,IF(CA$3=$E80,IF($AA80=1,$F80&amp;$AB80,$G80),IF(OR(CA$3=$D80,CA$3=$AC80,CA$3=$AE80),"",IF(CA$3=$AD80,$F80&amp;"R",CA79))))</f>
        <v/>
      </c>
      <c r="CB80" s="11" t="str">
        <f aca="false">IF($P80=0,CB79,IF(CB$3=$E80,IF($AA80=1,$F80&amp;$AB80,$G80),IF(OR(CB$3=$D80,CB$3=$AC80,CB$3=$AE80),"",IF(CB$3=$AD80,$F80&amp;"R",CB79))))</f>
        <v/>
      </c>
      <c r="CC80" s="11" t="str">
        <f aca="false">IF($P80=0,CC79,IF(CC$3=$E80,IF($AA80=1,$F80&amp;$AB80,$G80),IF(OR(CC$3=$D80,CC$3=$AC80,CC$3=$AE80),"",IF(CC$3=$AD80,$F80&amp;"R",CC79))))</f>
        <v/>
      </c>
      <c r="CD80" s="11" t="str">
        <f aca="false">IF($P80=0,CD79,IF(CD$3=$E80,IF($AA80=1,$F80&amp;$AB80,$G80),IF(OR(CD$3=$D80,CD$3=$AC80,CD$3=$AE80),"",IF(CD$3=$AD80,$F80&amp;"R",CD79))))</f>
        <v>bP</v>
      </c>
      <c r="CE80" s="11" t="str">
        <f aca="false">IF($P80=0,CE79,IF(CE$3=$E80,IF($AA80=1,$F80&amp;$AB80,$G80),IF(OR(CE$3=$D80,CE$3=$AC80,CE$3=$AE80),"",IF(CE$3=$AD80,$F80&amp;"R",CE79))))</f>
        <v>bP</v>
      </c>
      <c r="CF80" s="11" t="str">
        <f aca="false">IF($P80=0,CF79,IF(CF$3=$E80,IF($AA80=1,$F80&amp;$AB80,$G80),IF(OR(CF$3=$D80,CF$3=$AC80,CF$3=$AE80),"",IF(CF$3=$AD80,$F80&amp;"R",CF79))))</f>
        <v>bP</v>
      </c>
      <c r="CG80" s="11" t="str">
        <f aca="false">IF($P80=0,CG79,IF(CG$3=$E80,IF($AA80=1,$F80&amp;$AB80,$G80),IF(OR(CG$3=$D80,CG$3=$AC80,CG$3=$AE80),"",IF(CG$3=$AD80,$F80&amp;"R",CG79))))</f>
        <v>bP</v>
      </c>
      <c r="CH80" s="11" t="str">
        <f aca="false">IF($P80=0,CH79,IF(CH$3=$E80,IF($AA80=1,$F80&amp;$AB80,$G80),IF(OR(CH$3=$D80,CH$3=$AC80,CH$3=$AE80),"",IF(CH$3=$AD80,$F80&amp;"R",CH79))))</f>
        <v>bP</v>
      </c>
      <c r="CI80" s="11" t="str">
        <f aca="false">IF($P80=0,CI79,IF(CI$3=$E80,IF($AA80=1,$F80&amp;$AB80,$G80),IF(OR(CI$3=$D80,CI$3=$AC80,CI$3=$AE80),"",IF(CI$3=$AD80,$F80&amp;"R",CI79))))</f>
        <v>bP</v>
      </c>
      <c r="CJ80" s="11" t="str">
        <f aca="false">IF($P80=0,CJ79,IF(CJ$3=$E80,IF($AA80=1,$F80&amp;$AB80,$G80),IF(OR(CJ$3=$D80,CJ$3=$AC80,CJ$3=$AE80),"",IF(CJ$3=$AD80,$F80&amp;"R",CJ79))))</f>
        <v>bP</v>
      </c>
      <c r="CK80" s="11" t="str">
        <f aca="false">IF($P80=0,CK79,IF(CK$3=$E80,IF($AA80=1,$F80&amp;$AB80,$G80),IF(OR(CK$3=$D80,CK$3=$AC80,CK$3=$AE80),"",IF(CK$3=$AD80,$F80&amp;"R",CK79))))</f>
        <v>bP</v>
      </c>
      <c r="CL80" s="11" t="str">
        <f aca="false">IF($P80=0,CL79,IF(CL$3=$E80,IF($AA80=1,$F80&amp;$AB80,$G80),IF(OR(CL$3=$D80,CL$3=$AC80,CL$3=$AE80),"",IF(CL$3=$AD80,$F80&amp;"R",CL79))))</f>
        <v>bR</v>
      </c>
      <c r="CM80" s="11" t="str">
        <f aca="false">IF($P80=0,CM79,IF(CM$3=$E80,IF($AA80=1,$F80&amp;$AB80,$G80),IF(OR(CM$3=$D80,CM$3=$AC80,CM$3=$AE80),"",IF(CM$3=$AD80,$F80&amp;"R",CM79))))</f>
        <v>bN</v>
      </c>
      <c r="CN80" s="11" t="str">
        <f aca="false">IF($P80=0,CN79,IF(CN$3=$E80,IF($AA80=1,$F80&amp;$AB80,$G80),IF(OR(CN$3=$D80,CN$3=$AC80,CN$3=$AE80),"",IF(CN$3=$AD80,$F80&amp;"R",CN79))))</f>
        <v>bB</v>
      </c>
      <c r="CO80" s="11" t="str">
        <f aca="false">IF($P80=0,CO79,IF(CO$3=$E80,IF($AA80=1,$F80&amp;$AB80,$G80),IF(OR(CO$3=$D80,CO$3=$AC80,CO$3=$AE80),"",IF(CO$3=$AD80,$F80&amp;"R",CO79))))</f>
        <v>bQ</v>
      </c>
      <c r="CP80" s="11" t="str">
        <f aca="false">IF($P80=0,CP79,IF(CP$3=$E80,IF($AA80=1,$F80&amp;$AB80,$G80),IF(OR(CP$3=$D80,CP$3=$AC80,CP$3=$AE80),"",IF(CP$3=$AD80,$F80&amp;"R",CP79))))</f>
        <v>bK</v>
      </c>
      <c r="CQ80" s="11" t="str">
        <f aca="false">IF($P80=0,CQ79,IF(CQ$3=$E80,IF($AA80=1,$F80&amp;$AB80,$G80),IF(OR(CQ$3=$D80,CQ$3=$AC80,CQ$3=$AE80),"",IF(CQ$3=$AD80,$F80&amp;"R",CQ79))))</f>
        <v>bB</v>
      </c>
      <c r="CR80" s="11" t="str">
        <f aca="false">IF($P80=0,CR79,IF(CR$3=$E80,IF($AA80=1,$F80&amp;$AB80,$G80),IF(OR(CR$3=$D80,CR$3=$AC80,CR$3=$AE80),"",IF(CR$3=$AD80,$F80&amp;"R",CR79))))</f>
        <v>bN</v>
      </c>
      <c r="CS80" s="11" t="str">
        <f aca="false">IF($P80=0,CS79,IF(CS$3=$E80,IF($AA80=1,$F80&amp;$AB80,$G80),IF(OR(CS$3=$D80,CS$3=$AC80,CS$3=$AE80),"",IF(CS$3=$AD80,$F80&amp;"R",CS79))))</f>
        <v>bR</v>
      </c>
      <c r="CT80" s="11"/>
      <c r="CU80" s="11"/>
      <c r="CV80" s="11"/>
    </row>
    <row r="81" customFormat="false" ht="15" hidden="false" customHeight="false" outlineLevel="0" collapsed="false">
      <c r="A81" s="11" t="n">
        <v>76</v>
      </c>
      <c r="B81" s="11" t="str">
        <f aca="false">IF(Chess!$L$85="","",Chess!$L$85&amp;"")</f>
        <v/>
      </c>
      <c r="C81" s="11" t="str">
        <f aca="false">LOWER(SUBSTITUTE(SUBSTITUTE(SUBSTITUTE(SUBSTITUTE(TRIM($B81),"-",""),"=","")," ",""),"x",""))</f>
        <v/>
      </c>
      <c r="D81" s="11" t="n">
        <f aca="false">IF(LEN($C81)&lt;4,0,IFERROR(IF(AND(CODE(MID($C81,1,1))&gt;=97,CODE(MID($C81,1,1))&lt;=104,VALUE(MID($C81,2,1))&gt;=1,VALUE(MID($C81,2,1))&lt;=8),(VALUE(MID($C81,2,1))-1)*8+CODE(MID($C81,1,1))-96,0),0))</f>
        <v>0</v>
      </c>
      <c r="E81" s="11" t="n">
        <f aca="false">IF(LEN($C81)&lt;4,0,IFERROR(IF(AND(CODE(MID($C81,3,1))&gt;=97,CODE(MID($C81,3,1))&lt;=104,VALUE(MID($C81,4,1))&gt;=1,VALUE(MID($C81,4,1))&lt;=8),(VALUE(MID($C81,4,1))-1)*8+CODE(MID($C81,3,1))-96,0),0))</f>
        <v>0</v>
      </c>
      <c r="F81" s="11" t="str">
        <f aca="false">IF(MOD(SUM($P$5:$P80),2)=0,"w","b")</f>
        <v>w</v>
      </c>
      <c r="G81" s="11" t="str">
        <f aca="false">IF($D81=0,"",INDEX($AH80:$CS80,1,$D81)&amp;"")</f>
        <v/>
      </c>
      <c r="H81" s="11" t="str">
        <f aca="false">IF($E81=0,"",INDEX($AH80:$CS80,1,$E81)&amp;"")</f>
        <v/>
      </c>
      <c r="I81" s="11" t="n">
        <f aca="false">IF(OR($D81=0,$E81=0),0,MOD($E81-1,8)-MOD($D81-1,8))</f>
        <v>0</v>
      </c>
      <c r="J81" s="11" t="n">
        <f aca="false">IF(OR($D81=0,$E81=0),0,INT(($E81-1)/8)-INT(($D81-1)/8))</f>
        <v>0</v>
      </c>
      <c r="K81" s="11" t="str">
        <f aca="false">IF($G81="","",RIGHT($G81,1))</f>
        <v/>
      </c>
      <c r="L81" s="11" t="n">
        <f aca="false">IF(OR($D81=0,$E81=0),0,SUMPRODUCT(($AH$3:$CS$3&gt;MIN($D81,$E81))*($AH$3:$CS$3&lt;MAX($D81,$E81))*(MOD($AH$3:$CS$3-MIN($D81,$E81),MAX(1,ABS(SIGN($J81)*8+SIGN($I81))))=0)*($AH80:$CS80&lt;&gt;"")))</f>
        <v>0</v>
      </c>
      <c r="M81" s="11" t="n">
        <f aca="false">IF($K81&lt;&gt;"K",0,IFERROR(--AND($J81=0,ABS($I81)=2,$D81=IF($F81="w",5,61),IF($F81="w",$S80,$V80)=0,IF($I81=2,AND(IF($F81="w",$U80,$X80)=0,INDEX($AH80:$CS80,1,$D81+1)&amp;""="",INDEX($AH80:$CS80,1,$D81+2)&amp;""=""),AND(IF($F81="w",$T80,$W80)=0,INDEX($AH80:$CS80,1,$D81-1)&amp;""="",INDEX($AH80:$CS80,1,$D81-2)&amp;""="",INDEX($AH80:$CS80,1,$D81-3)&amp;""=""))),0))</f>
        <v>0</v>
      </c>
      <c r="N81" s="11" t="n">
        <f aca="false">IF($K81&lt;&gt;"P",0,IFERROR(--OR(AND($I81=0,$J81=IF($F81="w",1,-1),$H81=""),AND($I81=0,$J81=2*IF($F81="w",1,-1),$H81="",INT(($D81-1)/8)=IF($F81="w",1,6),INDEX($AH80:$CS80,1,MAX(1,MIN(64,$D81+8*IF($F81="w",1,-1))))&amp;""=""),AND(ABS($I81)=1,$J81=IF($F81="w",1,-1),$H81&lt;&gt;""),AND(ABS($I81)=1,$J81=IF($F81="w",1,-1),$H81="",$R80&gt;0,$E81=$R80)),0))</f>
        <v>0</v>
      </c>
      <c r="O81" s="11" t="n">
        <f aca="false">IF(OR($D81=0,$E81=0,$G81=""),0,IF($K81="N",--OR(AND(ABS($I81)=1,ABS($J81)=2),AND(ABS($I81)=2,ABS($J81)=1)),IF($K81="B",--AND(ABS($I81)=ABS($J81),$I81&lt;&gt;0,$L81=0),IF($K81="R",--AND(OR($I81=0,$J81=0),OR($I81&lt;&gt;0,$J81&lt;&gt;0),$L81=0),IF($K81="Q",--AND(OR(AND(ABS($I81)=ABS($J81),$I81&lt;&gt;0),AND(OR($I81=0,$J81=0),OR($I81&lt;&gt;0,$J81&lt;&gt;0))),$L81=0),IF($K81="K",--OR(MAX(ABS($I81),ABS($J81))=1,$M81=1),$N81))))))</f>
        <v>0</v>
      </c>
      <c r="P81" s="11" t="n">
        <f aca="false">IF($Q81="OK",1,0)</f>
        <v>0</v>
      </c>
      <c r="Q81" s="11" t="str">
        <f aca="false">IF($B81="","",IF(OR(COUNTIF($AH80:$CS80,"wK")=0,COUNTIF($AH80:$CS80,"bK")=0),"Game is over",IF(OR($D81=0,$E81=0),"Use the format e2e4",IF($G81="","No piece on that square",IF(LEFT($G81,1)&lt;&gt;$F81,"Not your piece ("&amp;IF($F81="w","White","Black")&amp;" to move)",IF($D81=$E81,"Piece must move",IF(AND($H81&lt;&gt;"",LEFT($H81,1)=$F81),"Cannot capture your own piece",IF($O81=0,"Illegal move for that piece (or path blocked)","OK"))))))))</f>
        <v/>
      </c>
      <c r="R81" s="11" t="n">
        <f aca="false">IF($P81=1,IF(AND($K81="P",ABS($J81)=2),($D81+$E81)/2,0),$R80)</f>
        <v>0</v>
      </c>
      <c r="S81" s="12" t="b">
        <f aca="false">--OR($S80=1,AND($P81=1,OR($D81=5,$E81=5)))</f>
        <v>0</v>
      </c>
      <c r="T81" s="12" t="b">
        <f aca="false">--OR($T80=1,AND($P81=1,OR($D81=1,$E81=1)))</f>
        <v>0</v>
      </c>
      <c r="U81" s="12" t="b">
        <f aca="false">--OR($U80=1,AND($P81=1,OR($D81=8,$E81=8)))</f>
        <v>0</v>
      </c>
      <c r="V81" s="12" t="b">
        <f aca="false">--OR($V80=1,AND($P81=1,OR($D81=61,$E81=61)))</f>
        <v>0</v>
      </c>
      <c r="W81" s="12" t="b">
        <f aca="false">--OR($W80=1,AND($P81=1,OR($D81=57,$E81=57)))</f>
        <v>0</v>
      </c>
      <c r="X81" s="12" t="b">
        <f aca="false">--OR($X80=1,AND($P81=1,OR($D81=64,$E81=64)))</f>
        <v>0</v>
      </c>
      <c r="Y81" s="12" t="b">
        <f aca="false">--AND($P81=1,$K81="K",ABS($I81)=2)</f>
        <v>0</v>
      </c>
      <c r="Z81" s="12" t="b">
        <f aca="false">--AND($P81=1,$K81="P",ABS($I81)=1,$H81="")</f>
        <v>0</v>
      </c>
      <c r="AA81" s="12" t="b">
        <f aca="false">--AND($P81=1,$K81="P",INT(($E81-1)/8)=IF($F81="w",7,0))</f>
        <v>0</v>
      </c>
      <c r="AB81" s="11" t="str">
        <f aca="false">IF(LEN($C81)&gt;=5,IF(ISNUMBER(FIND(MID($C81,5,1),"qrbn")),UPPER(MID($C81,5,1)),"Q"),"Q")</f>
        <v>Q</v>
      </c>
      <c r="AC81" s="11" t="n">
        <f aca="false">IF($Y81=1,IF($I81=2,$D81+3,$D81-4),0)</f>
        <v>0</v>
      </c>
      <c r="AD81" s="11" t="n">
        <f aca="false">IF($Y81=1,IF($I81=2,$D81+1,$D81-1),0)</f>
        <v>0</v>
      </c>
      <c r="AE81" s="11" t="n">
        <f aca="false">IF($Z81=1,$E81-8*IF($F81="w",1,-1),0)</f>
        <v>0</v>
      </c>
      <c r="AF81" s="11" t="str">
        <f aca="false">IF($B81="","",IF($P81=1,LOWER(INDEX($CV$2:$CV$13,MATCH($G81,$CU$2:$CU$13,0)))&amp;" "&amp;MID("abcdefgh",MOD($D81-1,8)+1,1)&amp;(INT(($D81-1)/8)+1)&amp;"→"&amp;MID("abcdefgh",MOD($E81-1,8)+1,1)&amp;(INT(($E81-1)/8)+1)&amp;IF(OR($H81&lt;&gt;"",$Z81=1)," ×","")&amp;IF($Y81=1," castles","")&amp;IF($Z81=1," e.p.","")&amp;IF($AA81=1," =" &amp;LOWER(INDEX($CV$2:$CV$13,MATCH($F81&amp;$AB81,$CU$2:$CU$13,0))),""),"X "&amp;$Q81))</f>
        <v/>
      </c>
      <c r="AG81" s="11"/>
      <c r="AH81" s="11" t="str">
        <f aca="false">IF($P81=0,AH80,IF(AH$3=$E81,IF($AA81=1,$F81&amp;$AB81,$G81),IF(OR(AH$3=$D81,AH$3=$AC81,AH$3=$AE81),"",IF(AH$3=$AD81,$F81&amp;"R",AH80))))</f>
        <v>wR</v>
      </c>
      <c r="AI81" s="11" t="str">
        <f aca="false">IF($P81=0,AI80,IF(AI$3=$E81,IF($AA81=1,$F81&amp;$AB81,$G81),IF(OR(AI$3=$D81,AI$3=$AC81,AI$3=$AE81),"",IF(AI$3=$AD81,$F81&amp;"R",AI80))))</f>
        <v>wN</v>
      </c>
      <c r="AJ81" s="11" t="str">
        <f aca="false">IF($P81=0,AJ80,IF(AJ$3=$E81,IF($AA81=1,$F81&amp;$AB81,$G81),IF(OR(AJ$3=$D81,AJ$3=$AC81,AJ$3=$AE81),"",IF(AJ$3=$AD81,$F81&amp;"R",AJ80))))</f>
        <v>wB</v>
      </c>
      <c r="AK81" s="11" t="str">
        <f aca="false">IF($P81=0,AK80,IF(AK$3=$E81,IF($AA81=1,$F81&amp;$AB81,$G81),IF(OR(AK$3=$D81,AK$3=$AC81,AK$3=$AE81),"",IF(AK$3=$AD81,$F81&amp;"R",AK80))))</f>
        <v>wQ</v>
      </c>
      <c r="AL81" s="11" t="str">
        <f aca="false">IF($P81=0,AL80,IF(AL$3=$E81,IF($AA81=1,$F81&amp;$AB81,$G81),IF(OR(AL$3=$D81,AL$3=$AC81,AL$3=$AE81),"",IF(AL$3=$AD81,$F81&amp;"R",AL80))))</f>
        <v>wK</v>
      </c>
      <c r="AM81" s="11" t="str">
        <f aca="false">IF($P81=0,AM80,IF(AM$3=$E81,IF($AA81=1,$F81&amp;$AB81,$G81),IF(OR(AM$3=$D81,AM$3=$AC81,AM$3=$AE81),"",IF(AM$3=$AD81,$F81&amp;"R",AM80))))</f>
        <v>wB</v>
      </c>
      <c r="AN81" s="11" t="str">
        <f aca="false">IF($P81=0,AN80,IF(AN$3=$E81,IF($AA81=1,$F81&amp;$AB81,$G81),IF(OR(AN$3=$D81,AN$3=$AC81,AN$3=$AE81),"",IF(AN$3=$AD81,$F81&amp;"R",AN80))))</f>
        <v>wN</v>
      </c>
      <c r="AO81" s="11" t="str">
        <f aca="false">IF($P81=0,AO80,IF(AO$3=$E81,IF($AA81=1,$F81&amp;$AB81,$G81),IF(OR(AO$3=$D81,AO$3=$AC81,AO$3=$AE81),"",IF(AO$3=$AD81,$F81&amp;"R",AO80))))</f>
        <v>wR</v>
      </c>
      <c r="AP81" s="11" t="str">
        <f aca="false">IF($P81=0,AP80,IF(AP$3=$E81,IF($AA81=1,$F81&amp;$AB81,$G81),IF(OR(AP$3=$D81,AP$3=$AC81,AP$3=$AE81),"",IF(AP$3=$AD81,$F81&amp;"R",AP80))))</f>
        <v>wP</v>
      </c>
      <c r="AQ81" s="11" t="str">
        <f aca="false">IF($P81=0,AQ80,IF(AQ$3=$E81,IF($AA81=1,$F81&amp;$AB81,$G81),IF(OR(AQ$3=$D81,AQ$3=$AC81,AQ$3=$AE81),"",IF(AQ$3=$AD81,$F81&amp;"R",AQ80))))</f>
        <v>wP</v>
      </c>
      <c r="AR81" s="11" t="str">
        <f aca="false">IF($P81=0,AR80,IF(AR$3=$E81,IF($AA81=1,$F81&amp;$AB81,$G81),IF(OR(AR$3=$D81,AR$3=$AC81,AR$3=$AE81),"",IF(AR$3=$AD81,$F81&amp;"R",AR80))))</f>
        <v>wP</v>
      </c>
      <c r="AS81" s="11" t="str">
        <f aca="false">IF($P81=0,AS80,IF(AS$3=$E81,IF($AA81=1,$F81&amp;$AB81,$G81),IF(OR(AS$3=$D81,AS$3=$AC81,AS$3=$AE81),"",IF(AS$3=$AD81,$F81&amp;"R",AS80))))</f>
        <v>wP</v>
      </c>
      <c r="AT81" s="11" t="str">
        <f aca="false">IF($P81=0,AT80,IF(AT$3=$E81,IF($AA81=1,$F81&amp;$AB81,$G81),IF(OR(AT$3=$D81,AT$3=$AC81,AT$3=$AE81),"",IF(AT$3=$AD81,$F81&amp;"R",AT80))))</f>
        <v>wP</v>
      </c>
      <c r="AU81" s="11" t="str">
        <f aca="false">IF($P81=0,AU80,IF(AU$3=$E81,IF($AA81=1,$F81&amp;$AB81,$G81),IF(OR(AU$3=$D81,AU$3=$AC81,AU$3=$AE81),"",IF(AU$3=$AD81,$F81&amp;"R",AU80))))</f>
        <v>wP</v>
      </c>
      <c r="AV81" s="11" t="str">
        <f aca="false">IF($P81=0,AV80,IF(AV$3=$E81,IF($AA81=1,$F81&amp;$AB81,$G81),IF(OR(AV$3=$D81,AV$3=$AC81,AV$3=$AE81),"",IF(AV$3=$AD81,$F81&amp;"R",AV80))))</f>
        <v>wP</v>
      </c>
      <c r="AW81" s="11" t="str">
        <f aca="false">IF($P81=0,AW80,IF(AW$3=$E81,IF($AA81=1,$F81&amp;$AB81,$G81),IF(OR(AW$3=$D81,AW$3=$AC81,AW$3=$AE81),"",IF(AW$3=$AD81,$F81&amp;"R",AW80))))</f>
        <v>wP</v>
      </c>
      <c r="AX81" s="11" t="str">
        <f aca="false">IF($P81=0,AX80,IF(AX$3=$E81,IF($AA81=1,$F81&amp;$AB81,$G81),IF(OR(AX$3=$D81,AX$3=$AC81,AX$3=$AE81),"",IF(AX$3=$AD81,$F81&amp;"R",AX80))))</f>
        <v/>
      </c>
      <c r="AY81" s="11" t="str">
        <f aca="false">IF($P81=0,AY80,IF(AY$3=$E81,IF($AA81=1,$F81&amp;$AB81,$G81),IF(OR(AY$3=$D81,AY$3=$AC81,AY$3=$AE81),"",IF(AY$3=$AD81,$F81&amp;"R",AY80))))</f>
        <v/>
      </c>
      <c r="AZ81" s="11" t="str">
        <f aca="false">IF($P81=0,AZ80,IF(AZ$3=$E81,IF($AA81=1,$F81&amp;$AB81,$G81),IF(OR(AZ$3=$D81,AZ$3=$AC81,AZ$3=$AE81),"",IF(AZ$3=$AD81,$F81&amp;"R",AZ80))))</f>
        <v/>
      </c>
      <c r="BA81" s="11" t="str">
        <f aca="false">IF($P81=0,BA80,IF(BA$3=$E81,IF($AA81=1,$F81&amp;$AB81,$G81),IF(OR(BA$3=$D81,BA$3=$AC81,BA$3=$AE81),"",IF(BA$3=$AD81,$F81&amp;"R",BA80))))</f>
        <v/>
      </c>
      <c r="BB81" s="11" t="str">
        <f aca="false">IF($P81=0,BB80,IF(BB$3=$E81,IF($AA81=1,$F81&amp;$AB81,$G81),IF(OR(BB$3=$D81,BB$3=$AC81,BB$3=$AE81),"",IF(BB$3=$AD81,$F81&amp;"R",BB80))))</f>
        <v/>
      </c>
      <c r="BC81" s="11" t="str">
        <f aca="false">IF($P81=0,BC80,IF(BC$3=$E81,IF($AA81=1,$F81&amp;$AB81,$G81),IF(OR(BC$3=$D81,BC$3=$AC81,BC$3=$AE81),"",IF(BC$3=$AD81,$F81&amp;"R",BC80))))</f>
        <v/>
      </c>
      <c r="BD81" s="11" t="str">
        <f aca="false">IF($P81=0,BD80,IF(BD$3=$E81,IF($AA81=1,$F81&amp;$AB81,$G81),IF(OR(BD$3=$D81,BD$3=$AC81,BD$3=$AE81),"",IF(BD$3=$AD81,$F81&amp;"R",BD80))))</f>
        <v/>
      </c>
      <c r="BE81" s="11" t="str">
        <f aca="false">IF($P81=0,BE80,IF(BE$3=$E81,IF($AA81=1,$F81&amp;$AB81,$G81),IF(OR(BE$3=$D81,BE$3=$AC81,BE$3=$AE81),"",IF(BE$3=$AD81,$F81&amp;"R",BE80))))</f>
        <v/>
      </c>
      <c r="BF81" s="11" t="str">
        <f aca="false">IF($P81=0,BF80,IF(BF$3=$E81,IF($AA81=1,$F81&amp;$AB81,$G81),IF(OR(BF$3=$D81,BF$3=$AC81,BF$3=$AE81),"",IF(BF$3=$AD81,$F81&amp;"R",BF80))))</f>
        <v/>
      </c>
      <c r="BG81" s="11" t="str">
        <f aca="false">IF($P81=0,BG80,IF(BG$3=$E81,IF($AA81=1,$F81&amp;$AB81,$G81),IF(OR(BG$3=$D81,BG$3=$AC81,BG$3=$AE81),"",IF(BG$3=$AD81,$F81&amp;"R",BG80))))</f>
        <v/>
      </c>
      <c r="BH81" s="11" t="str">
        <f aca="false">IF($P81=0,BH80,IF(BH$3=$E81,IF($AA81=1,$F81&amp;$AB81,$G81),IF(OR(BH$3=$D81,BH$3=$AC81,BH$3=$AE81),"",IF(BH$3=$AD81,$F81&amp;"R",BH80))))</f>
        <v/>
      </c>
      <c r="BI81" s="11" t="str">
        <f aca="false">IF($P81=0,BI80,IF(BI$3=$E81,IF($AA81=1,$F81&amp;$AB81,$G81),IF(OR(BI$3=$D81,BI$3=$AC81,BI$3=$AE81),"",IF(BI$3=$AD81,$F81&amp;"R",BI80))))</f>
        <v/>
      </c>
      <c r="BJ81" s="11" t="str">
        <f aca="false">IF($P81=0,BJ80,IF(BJ$3=$E81,IF($AA81=1,$F81&amp;$AB81,$G81),IF(OR(BJ$3=$D81,BJ$3=$AC81,BJ$3=$AE81),"",IF(BJ$3=$AD81,$F81&amp;"R",BJ80))))</f>
        <v/>
      </c>
      <c r="BK81" s="11" t="str">
        <f aca="false">IF($P81=0,BK80,IF(BK$3=$E81,IF($AA81=1,$F81&amp;$AB81,$G81),IF(OR(BK$3=$D81,BK$3=$AC81,BK$3=$AE81),"",IF(BK$3=$AD81,$F81&amp;"R",BK80))))</f>
        <v/>
      </c>
      <c r="BL81" s="11" t="str">
        <f aca="false">IF($P81=0,BL80,IF(BL$3=$E81,IF($AA81=1,$F81&amp;$AB81,$G81),IF(OR(BL$3=$D81,BL$3=$AC81,BL$3=$AE81),"",IF(BL$3=$AD81,$F81&amp;"R",BL80))))</f>
        <v/>
      </c>
      <c r="BM81" s="11" t="str">
        <f aca="false">IF($P81=0,BM80,IF(BM$3=$E81,IF($AA81=1,$F81&amp;$AB81,$G81),IF(OR(BM$3=$D81,BM$3=$AC81,BM$3=$AE81),"",IF(BM$3=$AD81,$F81&amp;"R",BM80))))</f>
        <v/>
      </c>
      <c r="BN81" s="11" t="str">
        <f aca="false">IF($P81=0,BN80,IF(BN$3=$E81,IF($AA81=1,$F81&amp;$AB81,$G81),IF(OR(BN$3=$D81,BN$3=$AC81,BN$3=$AE81),"",IF(BN$3=$AD81,$F81&amp;"R",BN80))))</f>
        <v/>
      </c>
      <c r="BO81" s="11" t="str">
        <f aca="false">IF($P81=0,BO80,IF(BO$3=$E81,IF($AA81=1,$F81&amp;$AB81,$G81),IF(OR(BO$3=$D81,BO$3=$AC81,BO$3=$AE81),"",IF(BO$3=$AD81,$F81&amp;"R",BO80))))</f>
        <v/>
      </c>
      <c r="BP81" s="11" t="str">
        <f aca="false">IF($P81=0,BP80,IF(BP$3=$E81,IF($AA81=1,$F81&amp;$AB81,$G81),IF(OR(BP$3=$D81,BP$3=$AC81,BP$3=$AE81),"",IF(BP$3=$AD81,$F81&amp;"R",BP80))))</f>
        <v/>
      </c>
      <c r="BQ81" s="11" t="str">
        <f aca="false">IF($P81=0,BQ80,IF(BQ$3=$E81,IF($AA81=1,$F81&amp;$AB81,$G81),IF(OR(BQ$3=$D81,BQ$3=$AC81,BQ$3=$AE81),"",IF(BQ$3=$AD81,$F81&amp;"R",BQ80))))</f>
        <v/>
      </c>
      <c r="BR81" s="11" t="str">
        <f aca="false">IF($P81=0,BR80,IF(BR$3=$E81,IF($AA81=1,$F81&amp;$AB81,$G81),IF(OR(BR$3=$D81,BR$3=$AC81,BR$3=$AE81),"",IF(BR$3=$AD81,$F81&amp;"R",BR80))))</f>
        <v/>
      </c>
      <c r="BS81" s="11" t="str">
        <f aca="false">IF($P81=0,BS80,IF(BS$3=$E81,IF($AA81=1,$F81&amp;$AB81,$G81),IF(OR(BS$3=$D81,BS$3=$AC81,BS$3=$AE81),"",IF(BS$3=$AD81,$F81&amp;"R",BS80))))</f>
        <v/>
      </c>
      <c r="BT81" s="11" t="str">
        <f aca="false">IF($P81=0,BT80,IF(BT$3=$E81,IF($AA81=1,$F81&amp;$AB81,$G81),IF(OR(BT$3=$D81,BT$3=$AC81,BT$3=$AE81),"",IF(BT$3=$AD81,$F81&amp;"R",BT80))))</f>
        <v/>
      </c>
      <c r="BU81" s="11" t="str">
        <f aca="false">IF($P81=0,BU80,IF(BU$3=$E81,IF($AA81=1,$F81&amp;$AB81,$G81),IF(OR(BU$3=$D81,BU$3=$AC81,BU$3=$AE81),"",IF(BU$3=$AD81,$F81&amp;"R",BU80))))</f>
        <v/>
      </c>
      <c r="BV81" s="11" t="str">
        <f aca="false">IF($P81=0,BV80,IF(BV$3=$E81,IF($AA81=1,$F81&amp;$AB81,$G81),IF(OR(BV$3=$D81,BV$3=$AC81,BV$3=$AE81),"",IF(BV$3=$AD81,$F81&amp;"R",BV80))))</f>
        <v/>
      </c>
      <c r="BW81" s="11" t="str">
        <f aca="false">IF($P81=0,BW80,IF(BW$3=$E81,IF($AA81=1,$F81&amp;$AB81,$G81),IF(OR(BW$3=$D81,BW$3=$AC81,BW$3=$AE81),"",IF(BW$3=$AD81,$F81&amp;"R",BW80))))</f>
        <v/>
      </c>
      <c r="BX81" s="11" t="str">
        <f aca="false">IF($P81=0,BX80,IF(BX$3=$E81,IF($AA81=1,$F81&amp;$AB81,$G81),IF(OR(BX$3=$D81,BX$3=$AC81,BX$3=$AE81),"",IF(BX$3=$AD81,$F81&amp;"R",BX80))))</f>
        <v/>
      </c>
      <c r="BY81" s="11" t="str">
        <f aca="false">IF($P81=0,BY80,IF(BY$3=$E81,IF($AA81=1,$F81&amp;$AB81,$G81),IF(OR(BY$3=$D81,BY$3=$AC81,BY$3=$AE81),"",IF(BY$3=$AD81,$F81&amp;"R",BY80))))</f>
        <v/>
      </c>
      <c r="BZ81" s="11" t="str">
        <f aca="false">IF($P81=0,BZ80,IF(BZ$3=$E81,IF($AA81=1,$F81&amp;$AB81,$G81),IF(OR(BZ$3=$D81,BZ$3=$AC81,BZ$3=$AE81),"",IF(BZ$3=$AD81,$F81&amp;"R",BZ80))))</f>
        <v/>
      </c>
      <c r="CA81" s="11" t="str">
        <f aca="false">IF($P81=0,CA80,IF(CA$3=$E81,IF($AA81=1,$F81&amp;$AB81,$G81),IF(OR(CA$3=$D81,CA$3=$AC81,CA$3=$AE81),"",IF(CA$3=$AD81,$F81&amp;"R",CA80))))</f>
        <v/>
      </c>
      <c r="CB81" s="11" t="str">
        <f aca="false">IF($P81=0,CB80,IF(CB$3=$E81,IF($AA81=1,$F81&amp;$AB81,$G81),IF(OR(CB$3=$D81,CB$3=$AC81,CB$3=$AE81),"",IF(CB$3=$AD81,$F81&amp;"R",CB80))))</f>
        <v/>
      </c>
      <c r="CC81" s="11" t="str">
        <f aca="false">IF($P81=0,CC80,IF(CC$3=$E81,IF($AA81=1,$F81&amp;$AB81,$G81),IF(OR(CC$3=$D81,CC$3=$AC81,CC$3=$AE81),"",IF(CC$3=$AD81,$F81&amp;"R",CC80))))</f>
        <v/>
      </c>
      <c r="CD81" s="11" t="str">
        <f aca="false">IF($P81=0,CD80,IF(CD$3=$E81,IF($AA81=1,$F81&amp;$AB81,$G81),IF(OR(CD$3=$D81,CD$3=$AC81,CD$3=$AE81),"",IF(CD$3=$AD81,$F81&amp;"R",CD80))))</f>
        <v>bP</v>
      </c>
      <c r="CE81" s="11" t="str">
        <f aca="false">IF($P81=0,CE80,IF(CE$3=$E81,IF($AA81=1,$F81&amp;$AB81,$G81),IF(OR(CE$3=$D81,CE$3=$AC81,CE$3=$AE81),"",IF(CE$3=$AD81,$F81&amp;"R",CE80))))</f>
        <v>bP</v>
      </c>
      <c r="CF81" s="11" t="str">
        <f aca="false">IF($P81=0,CF80,IF(CF$3=$E81,IF($AA81=1,$F81&amp;$AB81,$G81),IF(OR(CF$3=$D81,CF$3=$AC81,CF$3=$AE81),"",IF(CF$3=$AD81,$F81&amp;"R",CF80))))</f>
        <v>bP</v>
      </c>
      <c r="CG81" s="11" t="str">
        <f aca="false">IF($P81=0,CG80,IF(CG$3=$E81,IF($AA81=1,$F81&amp;$AB81,$G81),IF(OR(CG$3=$D81,CG$3=$AC81,CG$3=$AE81),"",IF(CG$3=$AD81,$F81&amp;"R",CG80))))</f>
        <v>bP</v>
      </c>
      <c r="CH81" s="11" t="str">
        <f aca="false">IF($P81=0,CH80,IF(CH$3=$E81,IF($AA81=1,$F81&amp;$AB81,$G81),IF(OR(CH$3=$D81,CH$3=$AC81,CH$3=$AE81),"",IF(CH$3=$AD81,$F81&amp;"R",CH80))))</f>
        <v>bP</v>
      </c>
      <c r="CI81" s="11" t="str">
        <f aca="false">IF($P81=0,CI80,IF(CI$3=$E81,IF($AA81=1,$F81&amp;$AB81,$G81),IF(OR(CI$3=$D81,CI$3=$AC81,CI$3=$AE81),"",IF(CI$3=$AD81,$F81&amp;"R",CI80))))</f>
        <v>bP</v>
      </c>
      <c r="CJ81" s="11" t="str">
        <f aca="false">IF($P81=0,CJ80,IF(CJ$3=$E81,IF($AA81=1,$F81&amp;$AB81,$G81),IF(OR(CJ$3=$D81,CJ$3=$AC81,CJ$3=$AE81),"",IF(CJ$3=$AD81,$F81&amp;"R",CJ80))))</f>
        <v>bP</v>
      </c>
      <c r="CK81" s="11" t="str">
        <f aca="false">IF($P81=0,CK80,IF(CK$3=$E81,IF($AA81=1,$F81&amp;$AB81,$G81),IF(OR(CK$3=$D81,CK$3=$AC81,CK$3=$AE81),"",IF(CK$3=$AD81,$F81&amp;"R",CK80))))</f>
        <v>bP</v>
      </c>
      <c r="CL81" s="11" t="str">
        <f aca="false">IF($P81=0,CL80,IF(CL$3=$E81,IF($AA81=1,$F81&amp;$AB81,$G81),IF(OR(CL$3=$D81,CL$3=$AC81,CL$3=$AE81),"",IF(CL$3=$AD81,$F81&amp;"R",CL80))))</f>
        <v>bR</v>
      </c>
      <c r="CM81" s="11" t="str">
        <f aca="false">IF($P81=0,CM80,IF(CM$3=$E81,IF($AA81=1,$F81&amp;$AB81,$G81),IF(OR(CM$3=$D81,CM$3=$AC81,CM$3=$AE81),"",IF(CM$3=$AD81,$F81&amp;"R",CM80))))</f>
        <v>bN</v>
      </c>
      <c r="CN81" s="11" t="str">
        <f aca="false">IF($P81=0,CN80,IF(CN$3=$E81,IF($AA81=1,$F81&amp;$AB81,$G81),IF(OR(CN$3=$D81,CN$3=$AC81,CN$3=$AE81),"",IF(CN$3=$AD81,$F81&amp;"R",CN80))))</f>
        <v>bB</v>
      </c>
      <c r="CO81" s="11" t="str">
        <f aca="false">IF($P81=0,CO80,IF(CO$3=$E81,IF($AA81=1,$F81&amp;$AB81,$G81),IF(OR(CO$3=$D81,CO$3=$AC81,CO$3=$AE81),"",IF(CO$3=$AD81,$F81&amp;"R",CO80))))</f>
        <v>bQ</v>
      </c>
      <c r="CP81" s="11" t="str">
        <f aca="false">IF($P81=0,CP80,IF(CP$3=$E81,IF($AA81=1,$F81&amp;$AB81,$G81),IF(OR(CP$3=$D81,CP$3=$AC81,CP$3=$AE81),"",IF(CP$3=$AD81,$F81&amp;"R",CP80))))</f>
        <v>bK</v>
      </c>
      <c r="CQ81" s="11" t="str">
        <f aca="false">IF($P81=0,CQ80,IF(CQ$3=$E81,IF($AA81=1,$F81&amp;$AB81,$G81),IF(OR(CQ$3=$D81,CQ$3=$AC81,CQ$3=$AE81),"",IF(CQ$3=$AD81,$F81&amp;"R",CQ80))))</f>
        <v>bB</v>
      </c>
      <c r="CR81" s="11" t="str">
        <f aca="false">IF($P81=0,CR80,IF(CR$3=$E81,IF($AA81=1,$F81&amp;$AB81,$G81),IF(OR(CR$3=$D81,CR$3=$AC81,CR$3=$AE81),"",IF(CR$3=$AD81,$F81&amp;"R",CR80))))</f>
        <v>bN</v>
      </c>
      <c r="CS81" s="11" t="str">
        <f aca="false">IF($P81=0,CS80,IF(CS$3=$E81,IF($AA81=1,$F81&amp;$AB81,$G81),IF(OR(CS$3=$D81,CS$3=$AC81,CS$3=$AE81),"",IF(CS$3=$AD81,$F81&amp;"R",CS80))))</f>
        <v>bR</v>
      </c>
      <c r="CT81" s="11"/>
      <c r="CU81" s="11"/>
      <c r="CV81" s="11"/>
    </row>
    <row r="82" customFormat="false" ht="15" hidden="false" customHeight="false" outlineLevel="0" collapsed="false">
      <c r="A82" s="11" t="n">
        <v>77</v>
      </c>
      <c r="B82" s="11" t="str">
        <f aca="false">IF(Chess!$L$86="","",Chess!$L$86&amp;"")</f>
        <v/>
      </c>
      <c r="C82" s="11" t="str">
        <f aca="false">LOWER(SUBSTITUTE(SUBSTITUTE(SUBSTITUTE(SUBSTITUTE(TRIM($B82),"-",""),"=","")," ",""),"x",""))</f>
        <v/>
      </c>
      <c r="D82" s="11" t="n">
        <f aca="false">IF(LEN($C82)&lt;4,0,IFERROR(IF(AND(CODE(MID($C82,1,1))&gt;=97,CODE(MID($C82,1,1))&lt;=104,VALUE(MID($C82,2,1))&gt;=1,VALUE(MID($C82,2,1))&lt;=8),(VALUE(MID($C82,2,1))-1)*8+CODE(MID($C82,1,1))-96,0),0))</f>
        <v>0</v>
      </c>
      <c r="E82" s="11" t="n">
        <f aca="false">IF(LEN($C82)&lt;4,0,IFERROR(IF(AND(CODE(MID($C82,3,1))&gt;=97,CODE(MID($C82,3,1))&lt;=104,VALUE(MID($C82,4,1))&gt;=1,VALUE(MID($C82,4,1))&lt;=8),(VALUE(MID($C82,4,1))-1)*8+CODE(MID($C82,3,1))-96,0),0))</f>
        <v>0</v>
      </c>
      <c r="F82" s="11" t="str">
        <f aca="false">IF(MOD(SUM($P$5:$P81),2)=0,"w","b")</f>
        <v>w</v>
      </c>
      <c r="G82" s="11" t="str">
        <f aca="false">IF($D82=0,"",INDEX($AH81:$CS81,1,$D82)&amp;"")</f>
        <v/>
      </c>
      <c r="H82" s="11" t="str">
        <f aca="false">IF($E82=0,"",INDEX($AH81:$CS81,1,$E82)&amp;"")</f>
        <v/>
      </c>
      <c r="I82" s="11" t="n">
        <f aca="false">IF(OR($D82=0,$E82=0),0,MOD($E82-1,8)-MOD($D82-1,8))</f>
        <v>0</v>
      </c>
      <c r="J82" s="11" t="n">
        <f aca="false">IF(OR($D82=0,$E82=0),0,INT(($E82-1)/8)-INT(($D82-1)/8))</f>
        <v>0</v>
      </c>
      <c r="K82" s="11" t="str">
        <f aca="false">IF($G82="","",RIGHT($G82,1))</f>
        <v/>
      </c>
      <c r="L82" s="11" t="n">
        <f aca="false">IF(OR($D82=0,$E82=0),0,SUMPRODUCT(($AH$3:$CS$3&gt;MIN($D82,$E82))*($AH$3:$CS$3&lt;MAX($D82,$E82))*(MOD($AH$3:$CS$3-MIN($D82,$E82),MAX(1,ABS(SIGN($J82)*8+SIGN($I82))))=0)*($AH81:$CS81&lt;&gt;"")))</f>
        <v>0</v>
      </c>
      <c r="M82" s="11" t="n">
        <f aca="false">IF($K82&lt;&gt;"K",0,IFERROR(--AND($J82=0,ABS($I82)=2,$D82=IF($F82="w",5,61),IF($F82="w",$S81,$V81)=0,IF($I82=2,AND(IF($F82="w",$U81,$X81)=0,INDEX($AH81:$CS81,1,$D82+1)&amp;""="",INDEX($AH81:$CS81,1,$D82+2)&amp;""=""),AND(IF($F82="w",$T81,$W81)=0,INDEX($AH81:$CS81,1,$D82-1)&amp;""="",INDEX($AH81:$CS81,1,$D82-2)&amp;""="",INDEX($AH81:$CS81,1,$D82-3)&amp;""=""))),0))</f>
        <v>0</v>
      </c>
      <c r="N82" s="11" t="n">
        <f aca="false">IF($K82&lt;&gt;"P",0,IFERROR(--OR(AND($I82=0,$J82=IF($F82="w",1,-1),$H82=""),AND($I82=0,$J82=2*IF($F82="w",1,-1),$H82="",INT(($D82-1)/8)=IF($F82="w",1,6),INDEX($AH81:$CS81,1,MAX(1,MIN(64,$D82+8*IF($F82="w",1,-1))))&amp;""=""),AND(ABS($I82)=1,$J82=IF($F82="w",1,-1),$H82&lt;&gt;""),AND(ABS($I82)=1,$J82=IF($F82="w",1,-1),$H82="",$R81&gt;0,$E82=$R81)),0))</f>
        <v>0</v>
      </c>
      <c r="O82" s="11" t="n">
        <f aca="false">IF(OR($D82=0,$E82=0,$G82=""),0,IF($K82="N",--OR(AND(ABS($I82)=1,ABS($J82)=2),AND(ABS($I82)=2,ABS($J82)=1)),IF($K82="B",--AND(ABS($I82)=ABS($J82),$I82&lt;&gt;0,$L82=0),IF($K82="R",--AND(OR($I82=0,$J82=0),OR($I82&lt;&gt;0,$J82&lt;&gt;0),$L82=0),IF($K82="Q",--AND(OR(AND(ABS($I82)=ABS($J82),$I82&lt;&gt;0),AND(OR($I82=0,$J82=0),OR($I82&lt;&gt;0,$J82&lt;&gt;0))),$L82=0),IF($K82="K",--OR(MAX(ABS($I82),ABS($J82))=1,$M82=1),$N82))))))</f>
        <v>0</v>
      </c>
      <c r="P82" s="11" t="n">
        <f aca="false">IF($Q82="OK",1,0)</f>
        <v>0</v>
      </c>
      <c r="Q82" s="11" t="str">
        <f aca="false">IF($B82="","",IF(OR(COUNTIF($AH81:$CS81,"wK")=0,COUNTIF($AH81:$CS81,"bK")=0),"Game is over",IF(OR($D82=0,$E82=0),"Use the format e2e4",IF($G82="","No piece on that square",IF(LEFT($G82,1)&lt;&gt;$F82,"Not your piece ("&amp;IF($F82="w","White","Black")&amp;" to move)",IF($D82=$E82,"Piece must move",IF(AND($H82&lt;&gt;"",LEFT($H82,1)=$F82),"Cannot capture your own piece",IF($O82=0,"Illegal move for that piece (or path blocked)","OK"))))))))</f>
        <v/>
      </c>
      <c r="R82" s="11" t="n">
        <f aca="false">IF($P82=1,IF(AND($K82="P",ABS($J82)=2),($D82+$E82)/2,0),$R81)</f>
        <v>0</v>
      </c>
      <c r="S82" s="12" t="b">
        <f aca="false">--OR($S81=1,AND($P82=1,OR($D82=5,$E82=5)))</f>
        <v>0</v>
      </c>
      <c r="T82" s="12" t="b">
        <f aca="false">--OR($T81=1,AND($P82=1,OR($D82=1,$E82=1)))</f>
        <v>0</v>
      </c>
      <c r="U82" s="12" t="b">
        <f aca="false">--OR($U81=1,AND($P82=1,OR($D82=8,$E82=8)))</f>
        <v>0</v>
      </c>
      <c r="V82" s="12" t="b">
        <f aca="false">--OR($V81=1,AND($P82=1,OR($D82=61,$E82=61)))</f>
        <v>0</v>
      </c>
      <c r="W82" s="12" t="b">
        <f aca="false">--OR($W81=1,AND($P82=1,OR($D82=57,$E82=57)))</f>
        <v>0</v>
      </c>
      <c r="X82" s="12" t="b">
        <f aca="false">--OR($X81=1,AND($P82=1,OR($D82=64,$E82=64)))</f>
        <v>0</v>
      </c>
      <c r="Y82" s="12" t="b">
        <f aca="false">--AND($P82=1,$K82="K",ABS($I82)=2)</f>
        <v>0</v>
      </c>
      <c r="Z82" s="12" t="b">
        <f aca="false">--AND($P82=1,$K82="P",ABS($I82)=1,$H82="")</f>
        <v>0</v>
      </c>
      <c r="AA82" s="12" t="b">
        <f aca="false">--AND($P82=1,$K82="P",INT(($E82-1)/8)=IF($F82="w",7,0))</f>
        <v>0</v>
      </c>
      <c r="AB82" s="11" t="str">
        <f aca="false">IF(LEN($C82)&gt;=5,IF(ISNUMBER(FIND(MID($C82,5,1),"qrbn")),UPPER(MID($C82,5,1)),"Q"),"Q")</f>
        <v>Q</v>
      </c>
      <c r="AC82" s="11" t="n">
        <f aca="false">IF($Y82=1,IF($I82=2,$D82+3,$D82-4),0)</f>
        <v>0</v>
      </c>
      <c r="AD82" s="11" t="n">
        <f aca="false">IF($Y82=1,IF($I82=2,$D82+1,$D82-1),0)</f>
        <v>0</v>
      </c>
      <c r="AE82" s="11" t="n">
        <f aca="false">IF($Z82=1,$E82-8*IF($F82="w",1,-1),0)</f>
        <v>0</v>
      </c>
      <c r="AF82" s="11" t="str">
        <f aca="false">IF($B82="","",IF($P82=1,LOWER(INDEX($CV$2:$CV$13,MATCH($G82,$CU$2:$CU$13,0)))&amp;" "&amp;MID("abcdefgh",MOD($D82-1,8)+1,1)&amp;(INT(($D82-1)/8)+1)&amp;"→"&amp;MID("abcdefgh",MOD($E82-1,8)+1,1)&amp;(INT(($E82-1)/8)+1)&amp;IF(OR($H82&lt;&gt;"",$Z82=1)," ×","")&amp;IF($Y82=1," castles","")&amp;IF($Z82=1," e.p.","")&amp;IF($AA82=1," =" &amp;LOWER(INDEX($CV$2:$CV$13,MATCH($F82&amp;$AB82,$CU$2:$CU$13,0))),""),"X "&amp;$Q82))</f>
        <v/>
      </c>
      <c r="AG82" s="11"/>
      <c r="AH82" s="11" t="str">
        <f aca="false">IF($P82=0,AH81,IF(AH$3=$E82,IF($AA82=1,$F82&amp;$AB82,$G82),IF(OR(AH$3=$D82,AH$3=$AC82,AH$3=$AE82),"",IF(AH$3=$AD82,$F82&amp;"R",AH81))))</f>
        <v>wR</v>
      </c>
      <c r="AI82" s="11" t="str">
        <f aca="false">IF($P82=0,AI81,IF(AI$3=$E82,IF($AA82=1,$F82&amp;$AB82,$G82),IF(OR(AI$3=$D82,AI$3=$AC82,AI$3=$AE82),"",IF(AI$3=$AD82,$F82&amp;"R",AI81))))</f>
        <v>wN</v>
      </c>
      <c r="AJ82" s="11" t="str">
        <f aca="false">IF($P82=0,AJ81,IF(AJ$3=$E82,IF($AA82=1,$F82&amp;$AB82,$G82),IF(OR(AJ$3=$D82,AJ$3=$AC82,AJ$3=$AE82),"",IF(AJ$3=$AD82,$F82&amp;"R",AJ81))))</f>
        <v>wB</v>
      </c>
      <c r="AK82" s="11" t="str">
        <f aca="false">IF($P82=0,AK81,IF(AK$3=$E82,IF($AA82=1,$F82&amp;$AB82,$G82),IF(OR(AK$3=$D82,AK$3=$AC82,AK$3=$AE82),"",IF(AK$3=$AD82,$F82&amp;"R",AK81))))</f>
        <v>wQ</v>
      </c>
      <c r="AL82" s="11" t="str">
        <f aca="false">IF($P82=0,AL81,IF(AL$3=$E82,IF($AA82=1,$F82&amp;$AB82,$G82),IF(OR(AL$3=$D82,AL$3=$AC82,AL$3=$AE82),"",IF(AL$3=$AD82,$F82&amp;"R",AL81))))</f>
        <v>wK</v>
      </c>
      <c r="AM82" s="11" t="str">
        <f aca="false">IF($P82=0,AM81,IF(AM$3=$E82,IF($AA82=1,$F82&amp;$AB82,$G82),IF(OR(AM$3=$D82,AM$3=$AC82,AM$3=$AE82),"",IF(AM$3=$AD82,$F82&amp;"R",AM81))))</f>
        <v>wB</v>
      </c>
      <c r="AN82" s="11" t="str">
        <f aca="false">IF($P82=0,AN81,IF(AN$3=$E82,IF($AA82=1,$F82&amp;$AB82,$G82),IF(OR(AN$3=$D82,AN$3=$AC82,AN$3=$AE82),"",IF(AN$3=$AD82,$F82&amp;"R",AN81))))</f>
        <v>wN</v>
      </c>
      <c r="AO82" s="11" t="str">
        <f aca="false">IF($P82=0,AO81,IF(AO$3=$E82,IF($AA82=1,$F82&amp;$AB82,$G82),IF(OR(AO$3=$D82,AO$3=$AC82,AO$3=$AE82),"",IF(AO$3=$AD82,$F82&amp;"R",AO81))))</f>
        <v>wR</v>
      </c>
      <c r="AP82" s="11" t="str">
        <f aca="false">IF($P82=0,AP81,IF(AP$3=$E82,IF($AA82=1,$F82&amp;$AB82,$G82),IF(OR(AP$3=$D82,AP$3=$AC82,AP$3=$AE82),"",IF(AP$3=$AD82,$F82&amp;"R",AP81))))</f>
        <v>wP</v>
      </c>
      <c r="AQ82" s="11" t="str">
        <f aca="false">IF($P82=0,AQ81,IF(AQ$3=$E82,IF($AA82=1,$F82&amp;$AB82,$G82),IF(OR(AQ$3=$D82,AQ$3=$AC82,AQ$3=$AE82),"",IF(AQ$3=$AD82,$F82&amp;"R",AQ81))))</f>
        <v>wP</v>
      </c>
      <c r="AR82" s="11" t="str">
        <f aca="false">IF($P82=0,AR81,IF(AR$3=$E82,IF($AA82=1,$F82&amp;$AB82,$G82),IF(OR(AR$3=$D82,AR$3=$AC82,AR$3=$AE82),"",IF(AR$3=$AD82,$F82&amp;"R",AR81))))</f>
        <v>wP</v>
      </c>
      <c r="AS82" s="11" t="str">
        <f aca="false">IF($P82=0,AS81,IF(AS$3=$E82,IF($AA82=1,$F82&amp;$AB82,$G82),IF(OR(AS$3=$D82,AS$3=$AC82,AS$3=$AE82),"",IF(AS$3=$AD82,$F82&amp;"R",AS81))))</f>
        <v>wP</v>
      </c>
      <c r="AT82" s="11" t="str">
        <f aca="false">IF($P82=0,AT81,IF(AT$3=$E82,IF($AA82=1,$F82&amp;$AB82,$G82),IF(OR(AT$3=$D82,AT$3=$AC82,AT$3=$AE82),"",IF(AT$3=$AD82,$F82&amp;"R",AT81))))</f>
        <v>wP</v>
      </c>
      <c r="AU82" s="11" t="str">
        <f aca="false">IF($P82=0,AU81,IF(AU$3=$E82,IF($AA82=1,$F82&amp;$AB82,$G82),IF(OR(AU$3=$D82,AU$3=$AC82,AU$3=$AE82),"",IF(AU$3=$AD82,$F82&amp;"R",AU81))))</f>
        <v>wP</v>
      </c>
      <c r="AV82" s="11" t="str">
        <f aca="false">IF($P82=0,AV81,IF(AV$3=$E82,IF($AA82=1,$F82&amp;$AB82,$G82),IF(OR(AV$3=$D82,AV$3=$AC82,AV$3=$AE82),"",IF(AV$3=$AD82,$F82&amp;"R",AV81))))</f>
        <v>wP</v>
      </c>
      <c r="AW82" s="11" t="str">
        <f aca="false">IF($P82=0,AW81,IF(AW$3=$E82,IF($AA82=1,$F82&amp;$AB82,$G82),IF(OR(AW$3=$D82,AW$3=$AC82,AW$3=$AE82),"",IF(AW$3=$AD82,$F82&amp;"R",AW81))))</f>
        <v>wP</v>
      </c>
      <c r="AX82" s="11" t="str">
        <f aca="false">IF($P82=0,AX81,IF(AX$3=$E82,IF($AA82=1,$F82&amp;$AB82,$G82),IF(OR(AX$3=$D82,AX$3=$AC82,AX$3=$AE82),"",IF(AX$3=$AD82,$F82&amp;"R",AX81))))</f>
        <v/>
      </c>
      <c r="AY82" s="11" t="str">
        <f aca="false">IF($P82=0,AY81,IF(AY$3=$E82,IF($AA82=1,$F82&amp;$AB82,$G82),IF(OR(AY$3=$D82,AY$3=$AC82,AY$3=$AE82),"",IF(AY$3=$AD82,$F82&amp;"R",AY81))))</f>
        <v/>
      </c>
      <c r="AZ82" s="11" t="str">
        <f aca="false">IF($P82=0,AZ81,IF(AZ$3=$E82,IF($AA82=1,$F82&amp;$AB82,$G82),IF(OR(AZ$3=$D82,AZ$3=$AC82,AZ$3=$AE82),"",IF(AZ$3=$AD82,$F82&amp;"R",AZ81))))</f>
        <v/>
      </c>
      <c r="BA82" s="11" t="str">
        <f aca="false">IF($P82=0,BA81,IF(BA$3=$E82,IF($AA82=1,$F82&amp;$AB82,$G82),IF(OR(BA$3=$D82,BA$3=$AC82,BA$3=$AE82),"",IF(BA$3=$AD82,$F82&amp;"R",BA81))))</f>
        <v/>
      </c>
      <c r="BB82" s="11" t="str">
        <f aca="false">IF($P82=0,BB81,IF(BB$3=$E82,IF($AA82=1,$F82&amp;$AB82,$G82),IF(OR(BB$3=$D82,BB$3=$AC82,BB$3=$AE82),"",IF(BB$3=$AD82,$F82&amp;"R",BB81))))</f>
        <v/>
      </c>
      <c r="BC82" s="11" t="str">
        <f aca="false">IF($P82=0,BC81,IF(BC$3=$E82,IF($AA82=1,$F82&amp;$AB82,$G82),IF(OR(BC$3=$D82,BC$3=$AC82,BC$3=$AE82),"",IF(BC$3=$AD82,$F82&amp;"R",BC81))))</f>
        <v/>
      </c>
      <c r="BD82" s="11" t="str">
        <f aca="false">IF($P82=0,BD81,IF(BD$3=$E82,IF($AA82=1,$F82&amp;$AB82,$G82),IF(OR(BD$3=$D82,BD$3=$AC82,BD$3=$AE82),"",IF(BD$3=$AD82,$F82&amp;"R",BD81))))</f>
        <v/>
      </c>
      <c r="BE82" s="11" t="str">
        <f aca="false">IF($P82=0,BE81,IF(BE$3=$E82,IF($AA82=1,$F82&amp;$AB82,$G82),IF(OR(BE$3=$D82,BE$3=$AC82,BE$3=$AE82),"",IF(BE$3=$AD82,$F82&amp;"R",BE81))))</f>
        <v/>
      </c>
      <c r="BF82" s="11" t="str">
        <f aca="false">IF($P82=0,BF81,IF(BF$3=$E82,IF($AA82=1,$F82&amp;$AB82,$G82),IF(OR(BF$3=$D82,BF$3=$AC82,BF$3=$AE82),"",IF(BF$3=$AD82,$F82&amp;"R",BF81))))</f>
        <v/>
      </c>
      <c r="BG82" s="11" t="str">
        <f aca="false">IF($P82=0,BG81,IF(BG$3=$E82,IF($AA82=1,$F82&amp;$AB82,$G82),IF(OR(BG$3=$D82,BG$3=$AC82,BG$3=$AE82),"",IF(BG$3=$AD82,$F82&amp;"R",BG81))))</f>
        <v/>
      </c>
      <c r="BH82" s="11" t="str">
        <f aca="false">IF($P82=0,BH81,IF(BH$3=$E82,IF($AA82=1,$F82&amp;$AB82,$G82),IF(OR(BH$3=$D82,BH$3=$AC82,BH$3=$AE82),"",IF(BH$3=$AD82,$F82&amp;"R",BH81))))</f>
        <v/>
      </c>
      <c r="BI82" s="11" t="str">
        <f aca="false">IF($P82=0,BI81,IF(BI$3=$E82,IF($AA82=1,$F82&amp;$AB82,$G82),IF(OR(BI$3=$D82,BI$3=$AC82,BI$3=$AE82),"",IF(BI$3=$AD82,$F82&amp;"R",BI81))))</f>
        <v/>
      </c>
      <c r="BJ82" s="11" t="str">
        <f aca="false">IF($P82=0,BJ81,IF(BJ$3=$E82,IF($AA82=1,$F82&amp;$AB82,$G82),IF(OR(BJ$3=$D82,BJ$3=$AC82,BJ$3=$AE82),"",IF(BJ$3=$AD82,$F82&amp;"R",BJ81))))</f>
        <v/>
      </c>
      <c r="BK82" s="11" t="str">
        <f aca="false">IF($P82=0,BK81,IF(BK$3=$E82,IF($AA82=1,$F82&amp;$AB82,$G82),IF(OR(BK$3=$D82,BK$3=$AC82,BK$3=$AE82),"",IF(BK$3=$AD82,$F82&amp;"R",BK81))))</f>
        <v/>
      </c>
      <c r="BL82" s="11" t="str">
        <f aca="false">IF($P82=0,BL81,IF(BL$3=$E82,IF($AA82=1,$F82&amp;$AB82,$G82),IF(OR(BL$3=$D82,BL$3=$AC82,BL$3=$AE82),"",IF(BL$3=$AD82,$F82&amp;"R",BL81))))</f>
        <v/>
      </c>
      <c r="BM82" s="11" t="str">
        <f aca="false">IF($P82=0,BM81,IF(BM$3=$E82,IF($AA82=1,$F82&amp;$AB82,$G82),IF(OR(BM$3=$D82,BM$3=$AC82,BM$3=$AE82),"",IF(BM$3=$AD82,$F82&amp;"R",BM81))))</f>
        <v/>
      </c>
      <c r="BN82" s="11" t="str">
        <f aca="false">IF($P82=0,BN81,IF(BN$3=$E82,IF($AA82=1,$F82&amp;$AB82,$G82),IF(OR(BN$3=$D82,BN$3=$AC82,BN$3=$AE82),"",IF(BN$3=$AD82,$F82&amp;"R",BN81))))</f>
        <v/>
      </c>
      <c r="BO82" s="11" t="str">
        <f aca="false">IF($P82=0,BO81,IF(BO$3=$E82,IF($AA82=1,$F82&amp;$AB82,$G82),IF(OR(BO$3=$D82,BO$3=$AC82,BO$3=$AE82),"",IF(BO$3=$AD82,$F82&amp;"R",BO81))))</f>
        <v/>
      </c>
      <c r="BP82" s="11" t="str">
        <f aca="false">IF($P82=0,BP81,IF(BP$3=$E82,IF($AA82=1,$F82&amp;$AB82,$G82),IF(OR(BP$3=$D82,BP$3=$AC82,BP$3=$AE82),"",IF(BP$3=$AD82,$F82&amp;"R",BP81))))</f>
        <v/>
      </c>
      <c r="BQ82" s="11" t="str">
        <f aca="false">IF($P82=0,BQ81,IF(BQ$3=$E82,IF($AA82=1,$F82&amp;$AB82,$G82),IF(OR(BQ$3=$D82,BQ$3=$AC82,BQ$3=$AE82),"",IF(BQ$3=$AD82,$F82&amp;"R",BQ81))))</f>
        <v/>
      </c>
      <c r="BR82" s="11" t="str">
        <f aca="false">IF($P82=0,BR81,IF(BR$3=$E82,IF($AA82=1,$F82&amp;$AB82,$G82),IF(OR(BR$3=$D82,BR$3=$AC82,BR$3=$AE82),"",IF(BR$3=$AD82,$F82&amp;"R",BR81))))</f>
        <v/>
      </c>
      <c r="BS82" s="11" t="str">
        <f aca="false">IF($P82=0,BS81,IF(BS$3=$E82,IF($AA82=1,$F82&amp;$AB82,$G82),IF(OR(BS$3=$D82,BS$3=$AC82,BS$3=$AE82),"",IF(BS$3=$AD82,$F82&amp;"R",BS81))))</f>
        <v/>
      </c>
      <c r="BT82" s="11" t="str">
        <f aca="false">IF($P82=0,BT81,IF(BT$3=$E82,IF($AA82=1,$F82&amp;$AB82,$G82),IF(OR(BT$3=$D82,BT$3=$AC82,BT$3=$AE82),"",IF(BT$3=$AD82,$F82&amp;"R",BT81))))</f>
        <v/>
      </c>
      <c r="BU82" s="11" t="str">
        <f aca="false">IF($P82=0,BU81,IF(BU$3=$E82,IF($AA82=1,$F82&amp;$AB82,$G82),IF(OR(BU$3=$D82,BU$3=$AC82,BU$3=$AE82),"",IF(BU$3=$AD82,$F82&amp;"R",BU81))))</f>
        <v/>
      </c>
      <c r="BV82" s="11" t="str">
        <f aca="false">IF($P82=0,BV81,IF(BV$3=$E82,IF($AA82=1,$F82&amp;$AB82,$G82),IF(OR(BV$3=$D82,BV$3=$AC82,BV$3=$AE82),"",IF(BV$3=$AD82,$F82&amp;"R",BV81))))</f>
        <v/>
      </c>
      <c r="BW82" s="11" t="str">
        <f aca="false">IF($P82=0,BW81,IF(BW$3=$E82,IF($AA82=1,$F82&amp;$AB82,$G82),IF(OR(BW$3=$D82,BW$3=$AC82,BW$3=$AE82),"",IF(BW$3=$AD82,$F82&amp;"R",BW81))))</f>
        <v/>
      </c>
      <c r="BX82" s="11" t="str">
        <f aca="false">IF($P82=0,BX81,IF(BX$3=$E82,IF($AA82=1,$F82&amp;$AB82,$G82),IF(OR(BX$3=$D82,BX$3=$AC82,BX$3=$AE82),"",IF(BX$3=$AD82,$F82&amp;"R",BX81))))</f>
        <v/>
      </c>
      <c r="BY82" s="11" t="str">
        <f aca="false">IF($P82=0,BY81,IF(BY$3=$E82,IF($AA82=1,$F82&amp;$AB82,$G82),IF(OR(BY$3=$D82,BY$3=$AC82,BY$3=$AE82),"",IF(BY$3=$AD82,$F82&amp;"R",BY81))))</f>
        <v/>
      </c>
      <c r="BZ82" s="11" t="str">
        <f aca="false">IF($P82=0,BZ81,IF(BZ$3=$E82,IF($AA82=1,$F82&amp;$AB82,$G82),IF(OR(BZ$3=$D82,BZ$3=$AC82,BZ$3=$AE82),"",IF(BZ$3=$AD82,$F82&amp;"R",BZ81))))</f>
        <v/>
      </c>
      <c r="CA82" s="11" t="str">
        <f aca="false">IF($P82=0,CA81,IF(CA$3=$E82,IF($AA82=1,$F82&amp;$AB82,$G82),IF(OR(CA$3=$D82,CA$3=$AC82,CA$3=$AE82),"",IF(CA$3=$AD82,$F82&amp;"R",CA81))))</f>
        <v/>
      </c>
      <c r="CB82" s="11" t="str">
        <f aca="false">IF($P82=0,CB81,IF(CB$3=$E82,IF($AA82=1,$F82&amp;$AB82,$G82),IF(OR(CB$3=$D82,CB$3=$AC82,CB$3=$AE82),"",IF(CB$3=$AD82,$F82&amp;"R",CB81))))</f>
        <v/>
      </c>
      <c r="CC82" s="11" t="str">
        <f aca="false">IF($P82=0,CC81,IF(CC$3=$E82,IF($AA82=1,$F82&amp;$AB82,$G82),IF(OR(CC$3=$D82,CC$3=$AC82,CC$3=$AE82),"",IF(CC$3=$AD82,$F82&amp;"R",CC81))))</f>
        <v/>
      </c>
      <c r="CD82" s="11" t="str">
        <f aca="false">IF($P82=0,CD81,IF(CD$3=$E82,IF($AA82=1,$F82&amp;$AB82,$G82),IF(OR(CD$3=$D82,CD$3=$AC82,CD$3=$AE82),"",IF(CD$3=$AD82,$F82&amp;"R",CD81))))</f>
        <v>bP</v>
      </c>
      <c r="CE82" s="11" t="str">
        <f aca="false">IF($P82=0,CE81,IF(CE$3=$E82,IF($AA82=1,$F82&amp;$AB82,$G82),IF(OR(CE$3=$D82,CE$3=$AC82,CE$3=$AE82),"",IF(CE$3=$AD82,$F82&amp;"R",CE81))))</f>
        <v>bP</v>
      </c>
      <c r="CF82" s="11" t="str">
        <f aca="false">IF($P82=0,CF81,IF(CF$3=$E82,IF($AA82=1,$F82&amp;$AB82,$G82),IF(OR(CF$3=$D82,CF$3=$AC82,CF$3=$AE82),"",IF(CF$3=$AD82,$F82&amp;"R",CF81))))</f>
        <v>bP</v>
      </c>
      <c r="CG82" s="11" t="str">
        <f aca="false">IF($P82=0,CG81,IF(CG$3=$E82,IF($AA82=1,$F82&amp;$AB82,$G82),IF(OR(CG$3=$D82,CG$3=$AC82,CG$3=$AE82),"",IF(CG$3=$AD82,$F82&amp;"R",CG81))))</f>
        <v>bP</v>
      </c>
      <c r="CH82" s="11" t="str">
        <f aca="false">IF($P82=0,CH81,IF(CH$3=$E82,IF($AA82=1,$F82&amp;$AB82,$G82),IF(OR(CH$3=$D82,CH$3=$AC82,CH$3=$AE82),"",IF(CH$3=$AD82,$F82&amp;"R",CH81))))</f>
        <v>bP</v>
      </c>
      <c r="CI82" s="11" t="str">
        <f aca="false">IF($P82=0,CI81,IF(CI$3=$E82,IF($AA82=1,$F82&amp;$AB82,$G82),IF(OR(CI$3=$D82,CI$3=$AC82,CI$3=$AE82),"",IF(CI$3=$AD82,$F82&amp;"R",CI81))))</f>
        <v>bP</v>
      </c>
      <c r="CJ82" s="11" t="str">
        <f aca="false">IF($P82=0,CJ81,IF(CJ$3=$E82,IF($AA82=1,$F82&amp;$AB82,$G82),IF(OR(CJ$3=$D82,CJ$3=$AC82,CJ$3=$AE82),"",IF(CJ$3=$AD82,$F82&amp;"R",CJ81))))</f>
        <v>bP</v>
      </c>
      <c r="CK82" s="11" t="str">
        <f aca="false">IF($P82=0,CK81,IF(CK$3=$E82,IF($AA82=1,$F82&amp;$AB82,$G82),IF(OR(CK$3=$D82,CK$3=$AC82,CK$3=$AE82),"",IF(CK$3=$AD82,$F82&amp;"R",CK81))))</f>
        <v>bP</v>
      </c>
      <c r="CL82" s="11" t="str">
        <f aca="false">IF($P82=0,CL81,IF(CL$3=$E82,IF($AA82=1,$F82&amp;$AB82,$G82),IF(OR(CL$3=$D82,CL$3=$AC82,CL$3=$AE82),"",IF(CL$3=$AD82,$F82&amp;"R",CL81))))</f>
        <v>bR</v>
      </c>
      <c r="CM82" s="11" t="str">
        <f aca="false">IF($P82=0,CM81,IF(CM$3=$E82,IF($AA82=1,$F82&amp;$AB82,$G82),IF(OR(CM$3=$D82,CM$3=$AC82,CM$3=$AE82),"",IF(CM$3=$AD82,$F82&amp;"R",CM81))))</f>
        <v>bN</v>
      </c>
      <c r="CN82" s="11" t="str">
        <f aca="false">IF($P82=0,CN81,IF(CN$3=$E82,IF($AA82=1,$F82&amp;$AB82,$G82),IF(OR(CN$3=$D82,CN$3=$AC82,CN$3=$AE82),"",IF(CN$3=$AD82,$F82&amp;"R",CN81))))</f>
        <v>bB</v>
      </c>
      <c r="CO82" s="11" t="str">
        <f aca="false">IF($P82=0,CO81,IF(CO$3=$E82,IF($AA82=1,$F82&amp;$AB82,$G82),IF(OR(CO$3=$D82,CO$3=$AC82,CO$3=$AE82),"",IF(CO$3=$AD82,$F82&amp;"R",CO81))))</f>
        <v>bQ</v>
      </c>
      <c r="CP82" s="11" t="str">
        <f aca="false">IF($P82=0,CP81,IF(CP$3=$E82,IF($AA82=1,$F82&amp;$AB82,$G82),IF(OR(CP$3=$D82,CP$3=$AC82,CP$3=$AE82),"",IF(CP$3=$AD82,$F82&amp;"R",CP81))))</f>
        <v>bK</v>
      </c>
      <c r="CQ82" s="11" t="str">
        <f aca="false">IF($P82=0,CQ81,IF(CQ$3=$E82,IF($AA82=1,$F82&amp;$AB82,$G82),IF(OR(CQ$3=$D82,CQ$3=$AC82,CQ$3=$AE82),"",IF(CQ$3=$AD82,$F82&amp;"R",CQ81))))</f>
        <v>bB</v>
      </c>
      <c r="CR82" s="11" t="str">
        <f aca="false">IF($P82=0,CR81,IF(CR$3=$E82,IF($AA82=1,$F82&amp;$AB82,$G82),IF(OR(CR$3=$D82,CR$3=$AC82,CR$3=$AE82),"",IF(CR$3=$AD82,$F82&amp;"R",CR81))))</f>
        <v>bN</v>
      </c>
      <c r="CS82" s="11" t="str">
        <f aca="false">IF($P82=0,CS81,IF(CS$3=$E82,IF($AA82=1,$F82&amp;$AB82,$G82),IF(OR(CS$3=$D82,CS$3=$AC82,CS$3=$AE82),"",IF(CS$3=$AD82,$F82&amp;"R",CS81))))</f>
        <v>bR</v>
      </c>
      <c r="CT82" s="11"/>
      <c r="CU82" s="11"/>
      <c r="CV82" s="11"/>
    </row>
    <row r="83" customFormat="false" ht="15" hidden="false" customHeight="false" outlineLevel="0" collapsed="false">
      <c r="A83" s="11" t="n">
        <v>78</v>
      </c>
      <c r="B83" s="11" t="str">
        <f aca="false">IF(Chess!$L$87="","",Chess!$L$87&amp;"")</f>
        <v/>
      </c>
      <c r="C83" s="11" t="str">
        <f aca="false">LOWER(SUBSTITUTE(SUBSTITUTE(SUBSTITUTE(SUBSTITUTE(TRIM($B83),"-",""),"=","")," ",""),"x",""))</f>
        <v/>
      </c>
      <c r="D83" s="11" t="n">
        <f aca="false">IF(LEN($C83)&lt;4,0,IFERROR(IF(AND(CODE(MID($C83,1,1))&gt;=97,CODE(MID($C83,1,1))&lt;=104,VALUE(MID($C83,2,1))&gt;=1,VALUE(MID($C83,2,1))&lt;=8),(VALUE(MID($C83,2,1))-1)*8+CODE(MID($C83,1,1))-96,0),0))</f>
        <v>0</v>
      </c>
      <c r="E83" s="11" t="n">
        <f aca="false">IF(LEN($C83)&lt;4,0,IFERROR(IF(AND(CODE(MID($C83,3,1))&gt;=97,CODE(MID($C83,3,1))&lt;=104,VALUE(MID($C83,4,1))&gt;=1,VALUE(MID($C83,4,1))&lt;=8),(VALUE(MID($C83,4,1))-1)*8+CODE(MID($C83,3,1))-96,0),0))</f>
        <v>0</v>
      </c>
      <c r="F83" s="11" t="str">
        <f aca="false">IF(MOD(SUM($P$5:$P82),2)=0,"w","b")</f>
        <v>w</v>
      </c>
      <c r="G83" s="11" t="str">
        <f aca="false">IF($D83=0,"",INDEX($AH82:$CS82,1,$D83)&amp;"")</f>
        <v/>
      </c>
      <c r="H83" s="11" t="str">
        <f aca="false">IF($E83=0,"",INDEX($AH82:$CS82,1,$E83)&amp;"")</f>
        <v/>
      </c>
      <c r="I83" s="11" t="n">
        <f aca="false">IF(OR($D83=0,$E83=0),0,MOD($E83-1,8)-MOD($D83-1,8))</f>
        <v>0</v>
      </c>
      <c r="J83" s="11" t="n">
        <f aca="false">IF(OR($D83=0,$E83=0),0,INT(($E83-1)/8)-INT(($D83-1)/8))</f>
        <v>0</v>
      </c>
      <c r="K83" s="11" t="str">
        <f aca="false">IF($G83="","",RIGHT($G83,1))</f>
        <v/>
      </c>
      <c r="L83" s="11" t="n">
        <f aca="false">IF(OR($D83=0,$E83=0),0,SUMPRODUCT(($AH$3:$CS$3&gt;MIN($D83,$E83))*($AH$3:$CS$3&lt;MAX($D83,$E83))*(MOD($AH$3:$CS$3-MIN($D83,$E83),MAX(1,ABS(SIGN($J83)*8+SIGN($I83))))=0)*($AH82:$CS82&lt;&gt;"")))</f>
        <v>0</v>
      </c>
      <c r="M83" s="11" t="n">
        <f aca="false">IF($K83&lt;&gt;"K",0,IFERROR(--AND($J83=0,ABS($I83)=2,$D83=IF($F83="w",5,61),IF($F83="w",$S82,$V82)=0,IF($I83=2,AND(IF($F83="w",$U82,$X82)=0,INDEX($AH82:$CS82,1,$D83+1)&amp;""="",INDEX($AH82:$CS82,1,$D83+2)&amp;""=""),AND(IF($F83="w",$T82,$W82)=0,INDEX($AH82:$CS82,1,$D83-1)&amp;""="",INDEX($AH82:$CS82,1,$D83-2)&amp;""="",INDEX($AH82:$CS82,1,$D83-3)&amp;""=""))),0))</f>
        <v>0</v>
      </c>
      <c r="N83" s="11" t="n">
        <f aca="false">IF($K83&lt;&gt;"P",0,IFERROR(--OR(AND($I83=0,$J83=IF($F83="w",1,-1),$H83=""),AND($I83=0,$J83=2*IF($F83="w",1,-1),$H83="",INT(($D83-1)/8)=IF($F83="w",1,6),INDEX($AH82:$CS82,1,MAX(1,MIN(64,$D83+8*IF($F83="w",1,-1))))&amp;""=""),AND(ABS($I83)=1,$J83=IF($F83="w",1,-1),$H83&lt;&gt;""),AND(ABS($I83)=1,$J83=IF($F83="w",1,-1),$H83="",$R82&gt;0,$E83=$R82)),0))</f>
        <v>0</v>
      </c>
      <c r="O83" s="11" t="n">
        <f aca="false">IF(OR($D83=0,$E83=0,$G83=""),0,IF($K83="N",--OR(AND(ABS($I83)=1,ABS($J83)=2),AND(ABS($I83)=2,ABS($J83)=1)),IF($K83="B",--AND(ABS($I83)=ABS($J83),$I83&lt;&gt;0,$L83=0),IF($K83="R",--AND(OR($I83=0,$J83=0),OR($I83&lt;&gt;0,$J83&lt;&gt;0),$L83=0),IF($K83="Q",--AND(OR(AND(ABS($I83)=ABS($J83),$I83&lt;&gt;0),AND(OR($I83=0,$J83=0),OR($I83&lt;&gt;0,$J83&lt;&gt;0))),$L83=0),IF($K83="K",--OR(MAX(ABS($I83),ABS($J83))=1,$M83=1),$N83))))))</f>
        <v>0</v>
      </c>
      <c r="P83" s="11" t="n">
        <f aca="false">IF($Q83="OK",1,0)</f>
        <v>0</v>
      </c>
      <c r="Q83" s="11" t="str">
        <f aca="false">IF($B83="","",IF(OR(COUNTIF($AH82:$CS82,"wK")=0,COUNTIF($AH82:$CS82,"bK")=0),"Game is over",IF(OR($D83=0,$E83=0),"Use the format e2e4",IF($G83="","No piece on that square",IF(LEFT($G83,1)&lt;&gt;$F83,"Not your piece ("&amp;IF($F83="w","White","Black")&amp;" to move)",IF($D83=$E83,"Piece must move",IF(AND($H83&lt;&gt;"",LEFT($H83,1)=$F83),"Cannot capture your own piece",IF($O83=0,"Illegal move for that piece (or path blocked)","OK"))))))))</f>
        <v/>
      </c>
      <c r="R83" s="11" t="n">
        <f aca="false">IF($P83=1,IF(AND($K83="P",ABS($J83)=2),($D83+$E83)/2,0),$R82)</f>
        <v>0</v>
      </c>
      <c r="S83" s="12" t="b">
        <f aca="false">--OR($S82=1,AND($P83=1,OR($D83=5,$E83=5)))</f>
        <v>0</v>
      </c>
      <c r="T83" s="12" t="b">
        <f aca="false">--OR($T82=1,AND($P83=1,OR($D83=1,$E83=1)))</f>
        <v>0</v>
      </c>
      <c r="U83" s="12" t="b">
        <f aca="false">--OR($U82=1,AND($P83=1,OR($D83=8,$E83=8)))</f>
        <v>0</v>
      </c>
      <c r="V83" s="12" t="b">
        <f aca="false">--OR($V82=1,AND($P83=1,OR($D83=61,$E83=61)))</f>
        <v>0</v>
      </c>
      <c r="W83" s="12" t="b">
        <f aca="false">--OR($W82=1,AND($P83=1,OR($D83=57,$E83=57)))</f>
        <v>0</v>
      </c>
      <c r="X83" s="12" t="b">
        <f aca="false">--OR($X82=1,AND($P83=1,OR($D83=64,$E83=64)))</f>
        <v>0</v>
      </c>
      <c r="Y83" s="12" t="b">
        <f aca="false">--AND($P83=1,$K83="K",ABS($I83)=2)</f>
        <v>0</v>
      </c>
      <c r="Z83" s="12" t="b">
        <f aca="false">--AND($P83=1,$K83="P",ABS($I83)=1,$H83="")</f>
        <v>0</v>
      </c>
      <c r="AA83" s="12" t="b">
        <f aca="false">--AND($P83=1,$K83="P",INT(($E83-1)/8)=IF($F83="w",7,0))</f>
        <v>0</v>
      </c>
      <c r="AB83" s="11" t="str">
        <f aca="false">IF(LEN($C83)&gt;=5,IF(ISNUMBER(FIND(MID($C83,5,1),"qrbn")),UPPER(MID($C83,5,1)),"Q"),"Q")</f>
        <v>Q</v>
      </c>
      <c r="AC83" s="11" t="n">
        <f aca="false">IF($Y83=1,IF($I83=2,$D83+3,$D83-4),0)</f>
        <v>0</v>
      </c>
      <c r="AD83" s="11" t="n">
        <f aca="false">IF($Y83=1,IF($I83=2,$D83+1,$D83-1),0)</f>
        <v>0</v>
      </c>
      <c r="AE83" s="11" t="n">
        <f aca="false">IF($Z83=1,$E83-8*IF($F83="w",1,-1),0)</f>
        <v>0</v>
      </c>
      <c r="AF83" s="11" t="str">
        <f aca="false">IF($B83="","",IF($P83=1,LOWER(INDEX($CV$2:$CV$13,MATCH($G83,$CU$2:$CU$13,0)))&amp;" "&amp;MID("abcdefgh",MOD($D83-1,8)+1,1)&amp;(INT(($D83-1)/8)+1)&amp;"→"&amp;MID("abcdefgh",MOD($E83-1,8)+1,1)&amp;(INT(($E83-1)/8)+1)&amp;IF(OR($H83&lt;&gt;"",$Z83=1)," ×","")&amp;IF($Y83=1," castles","")&amp;IF($Z83=1," e.p.","")&amp;IF($AA83=1," =" &amp;LOWER(INDEX($CV$2:$CV$13,MATCH($F83&amp;$AB83,$CU$2:$CU$13,0))),""),"X "&amp;$Q83))</f>
        <v/>
      </c>
      <c r="AG83" s="11"/>
      <c r="AH83" s="11" t="str">
        <f aca="false">IF($P83=0,AH82,IF(AH$3=$E83,IF($AA83=1,$F83&amp;$AB83,$G83),IF(OR(AH$3=$D83,AH$3=$AC83,AH$3=$AE83),"",IF(AH$3=$AD83,$F83&amp;"R",AH82))))</f>
        <v>wR</v>
      </c>
      <c r="AI83" s="11" t="str">
        <f aca="false">IF($P83=0,AI82,IF(AI$3=$E83,IF($AA83=1,$F83&amp;$AB83,$G83),IF(OR(AI$3=$D83,AI$3=$AC83,AI$3=$AE83),"",IF(AI$3=$AD83,$F83&amp;"R",AI82))))</f>
        <v>wN</v>
      </c>
      <c r="AJ83" s="11" t="str">
        <f aca="false">IF($P83=0,AJ82,IF(AJ$3=$E83,IF($AA83=1,$F83&amp;$AB83,$G83),IF(OR(AJ$3=$D83,AJ$3=$AC83,AJ$3=$AE83),"",IF(AJ$3=$AD83,$F83&amp;"R",AJ82))))</f>
        <v>wB</v>
      </c>
      <c r="AK83" s="11" t="str">
        <f aca="false">IF($P83=0,AK82,IF(AK$3=$E83,IF($AA83=1,$F83&amp;$AB83,$G83),IF(OR(AK$3=$D83,AK$3=$AC83,AK$3=$AE83),"",IF(AK$3=$AD83,$F83&amp;"R",AK82))))</f>
        <v>wQ</v>
      </c>
      <c r="AL83" s="11" t="str">
        <f aca="false">IF($P83=0,AL82,IF(AL$3=$E83,IF($AA83=1,$F83&amp;$AB83,$G83),IF(OR(AL$3=$D83,AL$3=$AC83,AL$3=$AE83),"",IF(AL$3=$AD83,$F83&amp;"R",AL82))))</f>
        <v>wK</v>
      </c>
      <c r="AM83" s="11" t="str">
        <f aca="false">IF($P83=0,AM82,IF(AM$3=$E83,IF($AA83=1,$F83&amp;$AB83,$G83),IF(OR(AM$3=$D83,AM$3=$AC83,AM$3=$AE83),"",IF(AM$3=$AD83,$F83&amp;"R",AM82))))</f>
        <v>wB</v>
      </c>
      <c r="AN83" s="11" t="str">
        <f aca="false">IF($P83=0,AN82,IF(AN$3=$E83,IF($AA83=1,$F83&amp;$AB83,$G83),IF(OR(AN$3=$D83,AN$3=$AC83,AN$3=$AE83),"",IF(AN$3=$AD83,$F83&amp;"R",AN82))))</f>
        <v>wN</v>
      </c>
      <c r="AO83" s="11" t="str">
        <f aca="false">IF($P83=0,AO82,IF(AO$3=$E83,IF($AA83=1,$F83&amp;$AB83,$G83),IF(OR(AO$3=$D83,AO$3=$AC83,AO$3=$AE83),"",IF(AO$3=$AD83,$F83&amp;"R",AO82))))</f>
        <v>wR</v>
      </c>
      <c r="AP83" s="11" t="str">
        <f aca="false">IF($P83=0,AP82,IF(AP$3=$E83,IF($AA83=1,$F83&amp;$AB83,$G83),IF(OR(AP$3=$D83,AP$3=$AC83,AP$3=$AE83),"",IF(AP$3=$AD83,$F83&amp;"R",AP82))))</f>
        <v>wP</v>
      </c>
      <c r="AQ83" s="11" t="str">
        <f aca="false">IF($P83=0,AQ82,IF(AQ$3=$E83,IF($AA83=1,$F83&amp;$AB83,$G83),IF(OR(AQ$3=$D83,AQ$3=$AC83,AQ$3=$AE83),"",IF(AQ$3=$AD83,$F83&amp;"R",AQ82))))</f>
        <v>wP</v>
      </c>
      <c r="AR83" s="11" t="str">
        <f aca="false">IF($P83=0,AR82,IF(AR$3=$E83,IF($AA83=1,$F83&amp;$AB83,$G83),IF(OR(AR$3=$D83,AR$3=$AC83,AR$3=$AE83),"",IF(AR$3=$AD83,$F83&amp;"R",AR82))))</f>
        <v>wP</v>
      </c>
      <c r="AS83" s="11" t="str">
        <f aca="false">IF($P83=0,AS82,IF(AS$3=$E83,IF($AA83=1,$F83&amp;$AB83,$G83),IF(OR(AS$3=$D83,AS$3=$AC83,AS$3=$AE83),"",IF(AS$3=$AD83,$F83&amp;"R",AS82))))</f>
        <v>wP</v>
      </c>
      <c r="AT83" s="11" t="str">
        <f aca="false">IF($P83=0,AT82,IF(AT$3=$E83,IF($AA83=1,$F83&amp;$AB83,$G83),IF(OR(AT$3=$D83,AT$3=$AC83,AT$3=$AE83),"",IF(AT$3=$AD83,$F83&amp;"R",AT82))))</f>
        <v>wP</v>
      </c>
      <c r="AU83" s="11" t="str">
        <f aca="false">IF($P83=0,AU82,IF(AU$3=$E83,IF($AA83=1,$F83&amp;$AB83,$G83),IF(OR(AU$3=$D83,AU$3=$AC83,AU$3=$AE83),"",IF(AU$3=$AD83,$F83&amp;"R",AU82))))</f>
        <v>wP</v>
      </c>
      <c r="AV83" s="11" t="str">
        <f aca="false">IF($P83=0,AV82,IF(AV$3=$E83,IF($AA83=1,$F83&amp;$AB83,$G83),IF(OR(AV$3=$D83,AV$3=$AC83,AV$3=$AE83),"",IF(AV$3=$AD83,$F83&amp;"R",AV82))))</f>
        <v>wP</v>
      </c>
      <c r="AW83" s="11" t="str">
        <f aca="false">IF($P83=0,AW82,IF(AW$3=$E83,IF($AA83=1,$F83&amp;$AB83,$G83),IF(OR(AW$3=$D83,AW$3=$AC83,AW$3=$AE83),"",IF(AW$3=$AD83,$F83&amp;"R",AW82))))</f>
        <v>wP</v>
      </c>
      <c r="AX83" s="11" t="str">
        <f aca="false">IF($P83=0,AX82,IF(AX$3=$E83,IF($AA83=1,$F83&amp;$AB83,$G83),IF(OR(AX$3=$D83,AX$3=$AC83,AX$3=$AE83),"",IF(AX$3=$AD83,$F83&amp;"R",AX82))))</f>
        <v/>
      </c>
      <c r="AY83" s="11" t="str">
        <f aca="false">IF($P83=0,AY82,IF(AY$3=$E83,IF($AA83=1,$F83&amp;$AB83,$G83),IF(OR(AY$3=$D83,AY$3=$AC83,AY$3=$AE83),"",IF(AY$3=$AD83,$F83&amp;"R",AY82))))</f>
        <v/>
      </c>
      <c r="AZ83" s="11" t="str">
        <f aca="false">IF($P83=0,AZ82,IF(AZ$3=$E83,IF($AA83=1,$F83&amp;$AB83,$G83),IF(OR(AZ$3=$D83,AZ$3=$AC83,AZ$3=$AE83),"",IF(AZ$3=$AD83,$F83&amp;"R",AZ82))))</f>
        <v/>
      </c>
      <c r="BA83" s="11" t="str">
        <f aca="false">IF($P83=0,BA82,IF(BA$3=$E83,IF($AA83=1,$F83&amp;$AB83,$G83),IF(OR(BA$3=$D83,BA$3=$AC83,BA$3=$AE83),"",IF(BA$3=$AD83,$F83&amp;"R",BA82))))</f>
        <v/>
      </c>
      <c r="BB83" s="11" t="str">
        <f aca="false">IF($P83=0,BB82,IF(BB$3=$E83,IF($AA83=1,$F83&amp;$AB83,$G83),IF(OR(BB$3=$D83,BB$3=$AC83,BB$3=$AE83),"",IF(BB$3=$AD83,$F83&amp;"R",BB82))))</f>
        <v/>
      </c>
      <c r="BC83" s="11" t="str">
        <f aca="false">IF($P83=0,BC82,IF(BC$3=$E83,IF($AA83=1,$F83&amp;$AB83,$G83),IF(OR(BC$3=$D83,BC$3=$AC83,BC$3=$AE83),"",IF(BC$3=$AD83,$F83&amp;"R",BC82))))</f>
        <v/>
      </c>
      <c r="BD83" s="11" t="str">
        <f aca="false">IF($P83=0,BD82,IF(BD$3=$E83,IF($AA83=1,$F83&amp;$AB83,$G83),IF(OR(BD$3=$D83,BD$3=$AC83,BD$3=$AE83),"",IF(BD$3=$AD83,$F83&amp;"R",BD82))))</f>
        <v/>
      </c>
      <c r="BE83" s="11" t="str">
        <f aca="false">IF($P83=0,BE82,IF(BE$3=$E83,IF($AA83=1,$F83&amp;$AB83,$G83),IF(OR(BE$3=$D83,BE$3=$AC83,BE$3=$AE83),"",IF(BE$3=$AD83,$F83&amp;"R",BE82))))</f>
        <v/>
      </c>
      <c r="BF83" s="11" t="str">
        <f aca="false">IF($P83=0,BF82,IF(BF$3=$E83,IF($AA83=1,$F83&amp;$AB83,$G83),IF(OR(BF$3=$D83,BF$3=$AC83,BF$3=$AE83),"",IF(BF$3=$AD83,$F83&amp;"R",BF82))))</f>
        <v/>
      </c>
      <c r="BG83" s="11" t="str">
        <f aca="false">IF($P83=0,BG82,IF(BG$3=$E83,IF($AA83=1,$F83&amp;$AB83,$G83),IF(OR(BG$3=$D83,BG$3=$AC83,BG$3=$AE83),"",IF(BG$3=$AD83,$F83&amp;"R",BG82))))</f>
        <v/>
      </c>
      <c r="BH83" s="11" t="str">
        <f aca="false">IF($P83=0,BH82,IF(BH$3=$E83,IF($AA83=1,$F83&amp;$AB83,$G83),IF(OR(BH$3=$D83,BH$3=$AC83,BH$3=$AE83),"",IF(BH$3=$AD83,$F83&amp;"R",BH82))))</f>
        <v/>
      </c>
      <c r="BI83" s="11" t="str">
        <f aca="false">IF($P83=0,BI82,IF(BI$3=$E83,IF($AA83=1,$F83&amp;$AB83,$G83),IF(OR(BI$3=$D83,BI$3=$AC83,BI$3=$AE83),"",IF(BI$3=$AD83,$F83&amp;"R",BI82))))</f>
        <v/>
      </c>
      <c r="BJ83" s="11" t="str">
        <f aca="false">IF($P83=0,BJ82,IF(BJ$3=$E83,IF($AA83=1,$F83&amp;$AB83,$G83),IF(OR(BJ$3=$D83,BJ$3=$AC83,BJ$3=$AE83),"",IF(BJ$3=$AD83,$F83&amp;"R",BJ82))))</f>
        <v/>
      </c>
      <c r="BK83" s="11" t="str">
        <f aca="false">IF($P83=0,BK82,IF(BK$3=$E83,IF($AA83=1,$F83&amp;$AB83,$G83),IF(OR(BK$3=$D83,BK$3=$AC83,BK$3=$AE83),"",IF(BK$3=$AD83,$F83&amp;"R",BK82))))</f>
        <v/>
      </c>
      <c r="BL83" s="11" t="str">
        <f aca="false">IF($P83=0,BL82,IF(BL$3=$E83,IF($AA83=1,$F83&amp;$AB83,$G83),IF(OR(BL$3=$D83,BL$3=$AC83,BL$3=$AE83),"",IF(BL$3=$AD83,$F83&amp;"R",BL82))))</f>
        <v/>
      </c>
      <c r="BM83" s="11" t="str">
        <f aca="false">IF($P83=0,BM82,IF(BM$3=$E83,IF($AA83=1,$F83&amp;$AB83,$G83),IF(OR(BM$3=$D83,BM$3=$AC83,BM$3=$AE83),"",IF(BM$3=$AD83,$F83&amp;"R",BM82))))</f>
        <v/>
      </c>
      <c r="BN83" s="11" t="str">
        <f aca="false">IF($P83=0,BN82,IF(BN$3=$E83,IF($AA83=1,$F83&amp;$AB83,$G83),IF(OR(BN$3=$D83,BN$3=$AC83,BN$3=$AE83),"",IF(BN$3=$AD83,$F83&amp;"R",BN82))))</f>
        <v/>
      </c>
      <c r="BO83" s="11" t="str">
        <f aca="false">IF($P83=0,BO82,IF(BO$3=$E83,IF($AA83=1,$F83&amp;$AB83,$G83),IF(OR(BO$3=$D83,BO$3=$AC83,BO$3=$AE83),"",IF(BO$3=$AD83,$F83&amp;"R",BO82))))</f>
        <v/>
      </c>
      <c r="BP83" s="11" t="str">
        <f aca="false">IF($P83=0,BP82,IF(BP$3=$E83,IF($AA83=1,$F83&amp;$AB83,$G83),IF(OR(BP$3=$D83,BP$3=$AC83,BP$3=$AE83),"",IF(BP$3=$AD83,$F83&amp;"R",BP82))))</f>
        <v/>
      </c>
      <c r="BQ83" s="11" t="str">
        <f aca="false">IF($P83=0,BQ82,IF(BQ$3=$E83,IF($AA83=1,$F83&amp;$AB83,$G83),IF(OR(BQ$3=$D83,BQ$3=$AC83,BQ$3=$AE83),"",IF(BQ$3=$AD83,$F83&amp;"R",BQ82))))</f>
        <v/>
      </c>
      <c r="BR83" s="11" t="str">
        <f aca="false">IF($P83=0,BR82,IF(BR$3=$E83,IF($AA83=1,$F83&amp;$AB83,$G83),IF(OR(BR$3=$D83,BR$3=$AC83,BR$3=$AE83),"",IF(BR$3=$AD83,$F83&amp;"R",BR82))))</f>
        <v/>
      </c>
      <c r="BS83" s="11" t="str">
        <f aca="false">IF($P83=0,BS82,IF(BS$3=$E83,IF($AA83=1,$F83&amp;$AB83,$G83),IF(OR(BS$3=$D83,BS$3=$AC83,BS$3=$AE83),"",IF(BS$3=$AD83,$F83&amp;"R",BS82))))</f>
        <v/>
      </c>
      <c r="BT83" s="11" t="str">
        <f aca="false">IF($P83=0,BT82,IF(BT$3=$E83,IF($AA83=1,$F83&amp;$AB83,$G83),IF(OR(BT$3=$D83,BT$3=$AC83,BT$3=$AE83),"",IF(BT$3=$AD83,$F83&amp;"R",BT82))))</f>
        <v/>
      </c>
      <c r="BU83" s="11" t="str">
        <f aca="false">IF($P83=0,BU82,IF(BU$3=$E83,IF($AA83=1,$F83&amp;$AB83,$G83),IF(OR(BU$3=$D83,BU$3=$AC83,BU$3=$AE83),"",IF(BU$3=$AD83,$F83&amp;"R",BU82))))</f>
        <v/>
      </c>
      <c r="BV83" s="11" t="str">
        <f aca="false">IF($P83=0,BV82,IF(BV$3=$E83,IF($AA83=1,$F83&amp;$AB83,$G83),IF(OR(BV$3=$D83,BV$3=$AC83,BV$3=$AE83),"",IF(BV$3=$AD83,$F83&amp;"R",BV82))))</f>
        <v/>
      </c>
      <c r="BW83" s="11" t="str">
        <f aca="false">IF($P83=0,BW82,IF(BW$3=$E83,IF($AA83=1,$F83&amp;$AB83,$G83),IF(OR(BW$3=$D83,BW$3=$AC83,BW$3=$AE83),"",IF(BW$3=$AD83,$F83&amp;"R",BW82))))</f>
        <v/>
      </c>
      <c r="BX83" s="11" t="str">
        <f aca="false">IF($P83=0,BX82,IF(BX$3=$E83,IF($AA83=1,$F83&amp;$AB83,$G83),IF(OR(BX$3=$D83,BX$3=$AC83,BX$3=$AE83),"",IF(BX$3=$AD83,$F83&amp;"R",BX82))))</f>
        <v/>
      </c>
      <c r="BY83" s="11" t="str">
        <f aca="false">IF($P83=0,BY82,IF(BY$3=$E83,IF($AA83=1,$F83&amp;$AB83,$G83),IF(OR(BY$3=$D83,BY$3=$AC83,BY$3=$AE83),"",IF(BY$3=$AD83,$F83&amp;"R",BY82))))</f>
        <v/>
      </c>
      <c r="BZ83" s="11" t="str">
        <f aca="false">IF($P83=0,BZ82,IF(BZ$3=$E83,IF($AA83=1,$F83&amp;$AB83,$G83),IF(OR(BZ$3=$D83,BZ$3=$AC83,BZ$3=$AE83),"",IF(BZ$3=$AD83,$F83&amp;"R",BZ82))))</f>
        <v/>
      </c>
      <c r="CA83" s="11" t="str">
        <f aca="false">IF($P83=0,CA82,IF(CA$3=$E83,IF($AA83=1,$F83&amp;$AB83,$G83),IF(OR(CA$3=$D83,CA$3=$AC83,CA$3=$AE83),"",IF(CA$3=$AD83,$F83&amp;"R",CA82))))</f>
        <v/>
      </c>
      <c r="CB83" s="11" t="str">
        <f aca="false">IF($P83=0,CB82,IF(CB$3=$E83,IF($AA83=1,$F83&amp;$AB83,$G83),IF(OR(CB$3=$D83,CB$3=$AC83,CB$3=$AE83),"",IF(CB$3=$AD83,$F83&amp;"R",CB82))))</f>
        <v/>
      </c>
      <c r="CC83" s="11" t="str">
        <f aca="false">IF($P83=0,CC82,IF(CC$3=$E83,IF($AA83=1,$F83&amp;$AB83,$G83),IF(OR(CC$3=$D83,CC$3=$AC83,CC$3=$AE83),"",IF(CC$3=$AD83,$F83&amp;"R",CC82))))</f>
        <v/>
      </c>
      <c r="CD83" s="11" t="str">
        <f aca="false">IF($P83=0,CD82,IF(CD$3=$E83,IF($AA83=1,$F83&amp;$AB83,$G83),IF(OR(CD$3=$D83,CD$3=$AC83,CD$3=$AE83),"",IF(CD$3=$AD83,$F83&amp;"R",CD82))))</f>
        <v>bP</v>
      </c>
      <c r="CE83" s="11" t="str">
        <f aca="false">IF($P83=0,CE82,IF(CE$3=$E83,IF($AA83=1,$F83&amp;$AB83,$G83),IF(OR(CE$3=$D83,CE$3=$AC83,CE$3=$AE83),"",IF(CE$3=$AD83,$F83&amp;"R",CE82))))</f>
        <v>bP</v>
      </c>
      <c r="CF83" s="11" t="str">
        <f aca="false">IF($P83=0,CF82,IF(CF$3=$E83,IF($AA83=1,$F83&amp;$AB83,$G83),IF(OR(CF$3=$D83,CF$3=$AC83,CF$3=$AE83),"",IF(CF$3=$AD83,$F83&amp;"R",CF82))))</f>
        <v>bP</v>
      </c>
      <c r="CG83" s="11" t="str">
        <f aca="false">IF($P83=0,CG82,IF(CG$3=$E83,IF($AA83=1,$F83&amp;$AB83,$G83),IF(OR(CG$3=$D83,CG$3=$AC83,CG$3=$AE83),"",IF(CG$3=$AD83,$F83&amp;"R",CG82))))</f>
        <v>bP</v>
      </c>
      <c r="CH83" s="11" t="str">
        <f aca="false">IF($P83=0,CH82,IF(CH$3=$E83,IF($AA83=1,$F83&amp;$AB83,$G83),IF(OR(CH$3=$D83,CH$3=$AC83,CH$3=$AE83),"",IF(CH$3=$AD83,$F83&amp;"R",CH82))))</f>
        <v>bP</v>
      </c>
      <c r="CI83" s="11" t="str">
        <f aca="false">IF($P83=0,CI82,IF(CI$3=$E83,IF($AA83=1,$F83&amp;$AB83,$G83),IF(OR(CI$3=$D83,CI$3=$AC83,CI$3=$AE83),"",IF(CI$3=$AD83,$F83&amp;"R",CI82))))</f>
        <v>bP</v>
      </c>
      <c r="CJ83" s="11" t="str">
        <f aca="false">IF($P83=0,CJ82,IF(CJ$3=$E83,IF($AA83=1,$F83&amp;$AB83,$G83),IF(OR(CJ$3=$D83,CJ$3=$AC83,CJ$3=$AE83),"",IF(CJ$3=$AD83,$F83&amp;"R",CJ82))))</f>
        <v>bP</v>
      </c>
      <c r="CK83" s="11" t="str">
        <f aca="false">IF($P83=0,CK82,IF(CK$3=$E83,IF($AA83=1,$F83&amp;$AB83,$G83),IF(OR(CK$3=$D83,CK$3=$AC83,CK$3=$AE83),"",IF(CK$3=$AD83,$F83&amp;"R",CK82))))</f>
        <v>bP</v>
      </c>
      <c r="CL83" s="11" t="str">
        <f aca="false">IF($P83=0,CL82,IF(CL$3=$E83,IF($AA83=1,$F83&amp;$AB83,$G83),IF(OR(CL$3=$D83,CL$3=$AC83,CL$3=$AE83),"",IF(CL$3=$AD83,$F83&amp;"R",CL82))))</f>
        <v>bR</v>
      </c>
      <c r="CM83" s="11" t="str">
        <f aca="false">IF($P83=0,CM82,IF(CM$3=$E83,IF($AA83=1,$F83&amp;$AB83,$G83),IF(OR(CM$3=$D83,CM$3=$AC83,CM$3=$AE83),"",IF(CM$3=$AD83,$F83&amp;"R",CM82))))</f>
        <v>bN</v>
      </c>
      <c r="CN83" s="11" t="str">
        <f aca="false">IF($P83=0,CN82,IF(CN$3=$E83,IF($AA83=1,$F83&amp;$AB83,$G83),IF(OR(CN$3=$D83,CN$3=$AC83,CN$3=$AE83),"",IF(CN$3=$AD83,$F83&amp;"R",CN82))))</f>
        <v>bB</v>
      </c>
      <c r="CO83" s="11" t="str">
        <f aca="false">IF($P83=0,CO82,IF(CO$3=$E83,IF($AA83=1,$F83&amp;$AB83,$G83),IF(OR(CO$3=$D83,CO$3=$AC83,CO$3=$AE83),"",IF(CO$3=$AD83,$F83&amp;"R",CO82))))</f>
        <v>bQ</v>
      </c>
      <c r="CP83" s="11" t="str">
        <f aca="false">IF($P83=0,CP82,IF(CP$3=$E83,IF($AA83=1,$F83&amp;$AB83,$G83),IF(OR(CP$3=$D83,CP$3=$AC83,CP$3=$AE83),"",IF(CP$3=$AD83,$F83&amp;"R",CP82))))</f>
        <v>bK</v>
      </c>
      <c r="CQ83" s="11" t="str">
        <f aca="false">IF($P83=0,CQ82,IF(CQ$3=$E83,IF($AA83=1,$F83&amp;$AB83,$G83),IF(OR(CQ$3=$D83,CQ$3=$AC83,CQ$3=$AE83),"",IF(CQ$3=$AD83,$F83&amp;"R",CQ82))))</f>
        <v>bB</v>
      </c>
      <c r="CR83" s="11" t="str">
        <f aca="false">IF($P83=0,CR82,IF(CR$3=$E83,IF($AA83=1,$F83&amp;$AB83,$G83),IF(OR(CR$3=$D83,CR$3=$AC83,CR$3=$AE83),"",IF(CR$3=$AD83,$F83&amp;"R",CR82))))</f>
        <v>bN</v>
      </c>
      <c r="CS83" s="11" t="str">
        <f aca="false">IF($P83=0,CS82,IF(CS$3=$E83,IF($AA83=1,$F83&amp;$AB83,$G83),IF(OR(CS$3=$D83,CS$3=$AC83,CS$3=$AE83),"",IF(CS$3=$AD83,$F83&amp;"R",CS82))))</f>
        <v>bR</v>
      </c>
      <c r="CT83" s="11"/>
      <c r="CU83" s="11"/>
      <c r="CV83" s="11"/>
    </row>
    <row r="84" customFormat="false" ht="15" hidden="false" customHeight="false" outlineLevel="0" collapsed="false">
      <c r="A84" s="11" t="n">
        <v>79</v>
      </c>
      <c r="B84" s="11" t="str">
        <f aca="false">IF(Chess!$L$88="","",Chess!$L$88&amp;"")</f>
        <v/>
      </c>
      <c r="C84" s="11" t="str">
        <f aca="false">LOWER(SUBSTITUTE(SUBSTITUTE(SUBSTITUTE(SUBSTITUTE(TRIM($B84),"-",""),"=","")," ",""),"x",""))</f>
        <v/>
      </c>
      <c r="D84" s="11" t="n">
        <f aca="false">IF(LEN($C84)&lt;4,0,IFERROR(IF(AND(CODE(MID($C84,1,1))&gt;=97,CODE(MID($C84,1,1))&lt;=104,VALUE(MID($C84,2,1))&gt;=1,VALUE(MID($C84,2,1))&lt;=8),(VALUE(MID($C84,2,1))-1)*8+CODE(MID($C84,1,1))-96,0),0))</f>
        <v>0</v>
      </c>
      <c r="E84" s="11" t="n">
        <f aca="false">IF(LEN($C84)&lt;4,0,IFERROR(IF(AND(CODE(MID($C84,3,1))&gt;=97,CODE(MID($C84,3,1))&lt;=104,VALUE(MID($C84,4,1))&gt;=1,VALUE(MID($C84,4,1))&lt;=8),(VALUE(MID($C84,4,1))-1)*8+CODE(MID($C84,3,1))-96,0),0))</f>
        <v>0</v>
      </c>
      <c r="F84" s="11" t="str">
        <f aca="false">IF(MOD(SUM($P$5:$P83),2)=0,"w","b")</f>
        <v>w</v>
      </c>
      <c r="G84" s="11" t="str">
        <f aca="false">IF($D84=0,"",INDEX($AH83:$CS83,1,$D84)&amp;"")</f>
        <v/>
      </c>
      <c r="H84" s="11" t="str">
        <f aca="false">IF($E84=0,"",INDEX($AH83:$CS83,1,$E84)&amp;"")</f>
        <v/>
      </c>
      <c r="I84" s="11" t="n">
        <f aca="false">IF(OR($D84=0,$E84=0),0,MOD($E84-1,8)-MOD($D84-1,8))</f>
        <v>0</v>
      </c>
      <c r="J84" s="11" t="n">
        <f aca="false">IF(OR($D84=0,$E84=0),0,INT(($E84-1)/8)-INT(($D84-1)/8))</f>
        <v>0</v>
      </c>
      <c r="K84" s="11" t="str">
        <f aca="false">IF($G84="","",RIGHT($G84,1))</f>
        <v/>
      </c>
      <c r="L84" s="11" t="n">
        <f aca="false">IF(OR($D84=0,$E84=0),0,SUMPRODUCT(($AH$3:$CS$3&gt;MIN($D84,$E84))*($AH$3:$CS$3&lt;MAX($D84,$E84))*(MOD($AH$3:$CS$3-MIN($D84,$E84),MAX(1,ABS(SIGN($J84)*8+SIGN($I84))))=0)*($AH83:$CS83&lt;&gt;"")))</f>
        <v>0</v>
      </c>
      <c r="M84" s="11" t="n">
        <f aca="false">IF($K84&lt;&gt;"K",0,IFERROR(--AND($J84=0,ABS($I84)=2,$D84=IF($F84="w",5,61),IF($F84="w",$S83,$V83)=0,IF($I84=2,AND(IF($F84="w",$U83,$X83)=0,INDEX($AH83:$CS83,1,$D84+1)&amp;""="",INDEX($AH83:$CS83,1,$D84+2)&amp;""=""),AND(IF($F84="w",$T83,$W83)=0,INDEX($AH83:$CS83,1,$D84-1)&amp;""="",INDEX($AH83:$CS83,1,$D84-2)&amp;""="",INDEX($AH83:$CS83,1,$D84-3)&amp;""=""))),0))</f>
        <v>0</v>
      </c>
      <c r="N84" s="11" t="n">
        <f aca="false">IF($K84&lt;&gt;"P",0,IFERROR(--OR(AND($I84=0,$J84=IF($F84="w",1,-1),$H84=""),AND($I84=0,$J84=2*IF($F84="w",1,-1),$H84="",INT(($D84-1)/8)=IF($F84="w",1,6),INDEX($AH83:$CS83,1,MAX(1,MIN(64,$D84+8*IF($F84="w",1,-1))))&amp;""=""),AND(ABS($I84)=1,$J84=IF($F84="w",1,-1),$H84&lt;&gt;""),AND(ABS($I84)=1,$J84=IF($F84="w",1,-1),$H84="",$R83&gt;0,$E84=$R83)),0))</f>
        <v>0</v>
      </c>
      <c r="O84" s="11" t="n">
        <f aca="false">IF(OR($D84=0,$E84=0,$G84=""),0,IF($K84="N",--OR(AND(ABS($I84)=1,ABS($J84)=2),AND(ABS($I84)=2,ABS($J84)=1)),IF($K84="B",--AND(ABS($I84)=ABS($J84),$I84&lt;&gt;0,$L84=0),IF($K84="R",--AND(OR($I84=0,$J84=0),OR($I84&lt;&gt;0,$J84&lt;&gt;0),$L84=0),IF($K84="Q",--AND(OR(AND(ABS($I84)=ABS($J84),$I84&lt;&gt;0),AND(OR($I84=0,$J84=0),OR($I84&lt;&gt;0,$J84&lt;&gt;0))),$L84=0),IF($K84="K",--OR(MAX(ABS($I84),ABS($J84))=1,$M84=1),$N84))))))</f>
        <v>0</v>
      </c>
      <c r="P84" s="11" t="n">
        <f aca="false">IF($Q84="OK",1,0)</f>
        <v>0</v>
      </c>
      <c r="Q84" s="11" t="str">
        <f aca="false">IF($B84="","",IF(OR(COUNTIF($AH83:$CS83,"wK")=0,COUNTIF($AH83:$CS83,"bK")=0),"Game is over",IF(OR($D84=0,$E84=0),"Use the format e2e4",IF($G84="","No piece on that square",IF(LEFT($G84,1)&lt;&gt;$F84,"Not your piece ("&amp;IF($F84="w","White","Black")&amp;" to move)",IF($D84=$E84,"Piece must move",IF(AND($H84&lt;&gt;"",LEFT($H84,1)=$F84),"Cannot capture your own piece",IF($O84=0,"Illegal move for that piece (or path blocked)","OK"))))))))</f>
        <v/>
      </c>
      <c r="R84" s="11" t="n">
        <f aca="false">IF($P84=1,IF(AND($K84="P",ABS($J84)=2),($D84+$E84)/2,0),$R83)</f>
        <v>0</v>
      </c>
      <c r="S84" s="12" t="b">
        <f aca="false">--OR($S83=1,AND($P84=1,OR($D84=5,$E84=5)))</f>
        <v>0</v>
      </c>
      <c r="T84" s="12" t="b">
        <f aca="false">--OR($T83=1,AND($P84=1,OR($D84=1,$E84=1)))</f>
        <v>0</v>
      </c>
      <c r="U84" s="12" t="b">
        <f aca="false">--OR($U83=1,AND($P84=1,OR($D84=8,$E84=8)))</f>
        <v>0</v>
      </c>
      <c r="V84" s="12" t="b">
        <f aca="false">--OR($V83=1,AND($P84=1,OR($D84=61,$E84=61)))</f>
        <v>0</v>
      </c>
      <c r="W84" s="12" t="b">
        <f aca="false">--OR($W83=1,AND($P84=1,OR($D84=57,$E84=57)))</f>
        <v>0</v>
      </c>
      <c r="X84" s="12" t="b">
        <f aca="false">--OR($X83=1,AND($P84=1,OR($D84=64,$E84=64)))</f>
        <v>0</v>
      </c>
      <c r="Y84" s="12" t="b">
        <f aca="false">--AND($P84=1,$K84="K",ABS($I84)=2)</f>
        <v>0</v>
      </c>
      <c r="Z84" s="12" t="b">
        <f aca="false">--AND($P84=1,$K84="P",ABS($I84)=1,$H84="")</f>
        <v>0</v>
      </c>
      <c r="AA84" s="12" t="b">
        <f aca="false">--AND($P84=1,$K84="P",INT(($E84-1)/8)=IF($F84="w",7,0))</f>
        <v>0</v>
      </c>
      <c r="AB84" s="11" t="str">
        <f aca="false">IF(LEN($C84)&gt;=5,IF(ISNUMBER(FIND(MID($C84,5,1),"qrbn")),UPPER(MID($C84,5,1)),"Q"),"Q")</f>
        <v>Q</v>
      </c>
      <c r="AC84" s="11" t="n">
        <f aca="false">IF($Y84=1,IF($I84=2,$D84+3,$D84-4),0)</f>
        <v>0</v>
      </c>
      <c r="AD84" s="11" t="n">
        <f aca="false">IF($Y84=1,IF($I84=2,$D84+1,$D84-1),0)</f>
        <v>0</v>
      </c>
      <c r="AE84" s="11" t="n">
        <f aca="false">IF($Z84=1,$E84-8*IF($F84="w",1,-1),0)</f>
        <v>0</v>
      </c>
      <c r="AF84" s="11" t="str">
        <f aca="false">IF($B84="","",IF($P84=1,LOWER(INDEX($CV$2:$CV$13,MATCH($G84,$CU$2:$CU$13,0)))&amp;" "&amp;MID("abcdefgh",MOD($D84-1,8)+1,1)&amp;(INT(($D84-1)/8)+1)&amp;"→"&amp;MID("abcdefgh",MOD($E84-1,8)+1,1)&amp;(INT(($E84-1)/8)+1)&amp;IF(OR($H84&lt;&gt;"",$Z84=1)," ×","")&amp;IF($Y84=1," castles","")&amp;IF($Z84=1," e.p.","")&amp;IF($AA84=1," =" &amp;LOWER(INDEX($CV$2:$CV$13,MATCH($F84&amp;$AB84,$CU$2:$CU$13,0))),""),"X "&amp;$Q84))</f>
        <v/>
      </c>
      <c r="AG84" s="11"/>
      <c r="AH84" s="11" t="str">
        <f aca="false">IF($P84=0,AH83,IF(AH$3=$E84,IF($AA84=1,$F84&amp;$AB84,$G84),IF(OR(AH$3=$D84,AH$3=$AC84,AH$3=$AE84),"",IF(AH$3=$AD84,$F84&amp;"R",AH83))))</f>
        <v>wR</v>
      </c>
      <c r="AI84" s="11" t="str">
        <f aca="false">IF($P84=0,AI83,IF(AI$3=$E84,IF($AA84=1,$F84&amp;$AB84,$G84),IF(OR(AI$3=$D84,AI$3=$AC84,AI$3=$AE84),"",IF(AI$3=$AD84,$F84&amp;"R",AI83))))</f>
        <v>wN</v>
      </c>
      <c r="AJ84" s="11" t="str">
        <f aca="false">IF($P84=0,AJ83,IF(AJ$3=$E84,IF($AA84=1,$F84&amp;$AB84,$G84),IF(OR(AJ$3=$D84,AJ$3=$AC84,AJ$3=$AE84),"",IF(AJ$3=$AD84,$F84&amp;"R",AJ83))))</f>
        <v>wB</v>
      </c>
      <c r="AK84" s="11" t="str">
        <f aca="false">IF($P84=0,AK83,IF(AK$3=$E84,IF($AA84=1,$F84&amp;$AB84,$G84),IF(OR(AK$3=$D84,AK$3=$AC84,AK$3=$AE84),"",IF(AK$3=$AD84,$F84&amp;"R",AK83))))</f>
        <v>wQ</v>
      </c>
      <c r="AL84" s="11" t="str">
        <f aca="false">IF($P84=0,AL83,IF(AL$3=$E84,IF($AA84=1,$F84&amp;$AB84,$G84),IF(OR(AL$3=$D84,AL$3=$AC84,AL$3=$AE84),"",IF(AL$3=$AD84,$F84&amp;"R",AL83))))</f>
        <v>wK</v>
      </c>
      <c r="AM84" s="11" t="str">
        <f aca="false">IF($P84=0,AM83,IF(AM$3=$E84,IF($AA84=1,$F84&amp;$AB84,$G84),IF(OR(AM$3=$D84,AM$3=$AC84,AM$3=$AE84),"",IF(AM$3=$AD84,$F84&amp;"R",AM83))))</f>
        <v>wB</v>
      </c>
      <c r="AN84" s="11" t="str">
        <f aca="false">IF($P84=0,AN83,IF(AN$3=$E84,IF($AA84=1,$F84&amp;$AB84,$G84),IF(OR(AN$3=$D84,AN$3=$AC84,AN$3=$AE84),"",IF(AN$3=$AD84,$F84&amp;"R",AN83))))</f>
        <v>wN</v>
      </c>
      <c r="AO84" s="11" t="str">
        <f aca="false">IF($P84=0,AO83,IF(AO$3=$E84,IF($AA84=1,$F84&amp;$AB84,$G84),IF(OR(AO$3=$D84,AO$3=$AC84,AO$3=$AE84),"",IF(AO$3=$AD84,$F84&amp;"R",AO83))))</f>
        <v>wR</v>
      </c>
      <c r="AP84" s="11" t="str">
        <f aca="false">IF($P84=0,AP83,IF(AP$3=$E84,IF($AA84=1,$F84&amp;$AB84,$G84),IF(OR(AP$3=$D84,AP$3=$AC84,AP$3=$AE84),"",IF(AP$3=$AD84,$F84&amp;"R",AP83))))</f>
        <v>wP</v>
      </c>
      <c r="AQ84" s="11" t="str">
        <f aca="false">IF($P84=0,AQ83,IF(AQ$3=$E84,IF($AA84=1,$F84&amp;$AB84,$G84),IF(OR(AQ$3=$D84,AQ$3=$AC84,AQ$3=$AE84),"",IF(AQ$3=$AD84,$F84&amp;"R",AQ83))))</f>
        <v>wP</v>
      </c>
      <c r="AR84" s="11" t="str">
        <f aca="false">IF($P84=0,AR83,IF(AR$3=$E84,IF($AA84=1,$F84&amp;$AB84,$G84),IF(OR(AR$3=$D84,AR$3=$AC84,AR$3=$AE84),"",IF(AR$3=$AD84,$F84&amp;"R",AR83))))</f>
        <v>wP</v>
      </c>
      <c r="AS84" s="11" t="str">
        <f aca="false">IF($P84=0,AS83,IF(AS$3=$E84,IF($AA84=1,$F84&amp;$AB84,$G84),IF(OR(AS$3=$D84,AS$3=$AC84,AS$3=$AE84),"",IF(AS$3=$AD84,$F84&amp;"R",AS83))))</f>
        <v>wP</v>
      </c>
      <c r="AT84" s="11" t="str">
        <f aca="false">IF($P84=0,AT83,IF(AT$3=$E84,IF($AA84=1,$F84&amp;$AB84,$G84),IF(OR(AT$3=$D84,AT$3=$AC84,AT$3=$AE84),"",IF(AT$3=$AD84,$F84&amp;"R",AT83))))</f>
        <v>wP</v>
      </c>
      <c r="AU84" s="11" t="str">
        <f aca="false">IF($P84=0,AU83,IF(AU$3=$E84,IF($AA84=1,$F84&amp;$AB84,$G84),IF(OR(AU$3=$D84,AU$3=$AC84,AU$3=$AE84),"",IF(AU$3=$AD84,$F84&amp;"R",AU83))))</f>
        <v>wP</v>
      </c>
      <c r="AV84" s="11" t="str">
        <f aca="false">IF($P84=0,AV83,IF(AV$3=$E84,IF($AA84=1,$F84&amp;$AB84,$G84),IF(OR(AV$3=$D84,AV$3=$AC84,AV$3=$AE84),"",IF(AV$3=$AD84,$F84&amp;"R",AV83))))</f>
        <v>wP</v>
      </c>
      <c r="AW84" s="11" t="str">
        <f aca="false">IF($P84=0,AW83,IF(AW$3=$E84,IF($AA84=1,$F84&amp;$AB84,$G84),IF(OR(AW$3=$D84,AW$3=$AC84,AW$3=$AE84),"",IF(AW$3=$AD84,$F84&amp;"R",AW83))))</f>
        <v>wP</v>
      </c>
      <c r="AX84" s="11" t="str">
        <f aca="false">IF($P84=0,AX83,IF(AX$3=$E84,IF($AA84=1,$F84&amp;$AB84,$G84),IF(OR(AX$3=$D84,AX$3=$AC84,AX$3=$AE84),"",IF(AX$3=$AD84,$F84&amp;"R",AX83))))</f>
        <v/>
      </c>
      <c r="AY84" s="11" t="str">
        <f aca="false">IF($P84=0,AY83,IF(AY$3=$E84,IF($AA84=1,$F84&amp;$AB84,$G84),IF(OR(AY$3=$D84,AY$3=$AC84,AY$3=$AE84),"",IF(AY$3=$AD84,$F84&amp;"R",AY83))))</f>
        <v/>
      </c>
      <c r="AZ84" s="11" t="str">
        <f aca="false">IF($P84=0,AZ83,IF(AZ$3=$E84,IF($AA84=1,$F84&amp;$AB84,$G84),IF(OR(AZ$3=$D84,AZ$3=$AC84,AZ$3=$AE84),"",IF(AZ$3=$AD84,$F84&amp;"R",AZ83))))</f>
        <v/>
      </c>
      <c r="BA84" s="11" t="str">
        <f aca="false">IF($P84=0,BA83,IF(BA$3=$E84,IF($AA84=1,$F84&amp;$AB84,$G84),IF(OR(BA$3=$D84,BA$3=$AC84,BA$3=$AE84),"",IF(BA$3=$AD84,$F84&amp;"R",BA83))))</f>
        <v/>
      </c>
      <c r="BB84" s="11" t="str">
        <f aca="false">IF($P84=0,BB83,IF(BB$3=$E84,IF($AA84=1,$F84&amp;$AB84,$G84),IF(OR(BB$3=$D84,BB$3=$AC84,BB$3=$AE84),"",IF(BB$3=$AD84,$F84&amp;"R",BB83))))</f>
        <v/>
      </c>
      <c r="BC84" s="11" t="str">
        <f aca="false">IF($P84=0,BC83,IF(BC$3=$E84,IF($AA84=1,$F84&amp;$AB84,$G84),IF(OR(BC$3=$D84,BC$3=$AC84,BC$3=$AE84),"",IF(BC$3=$AD84,$F84&amp;"R",BC83))))</f>
        <v/>
      </c>
      <c r="BD84" s="11" t="str">
        <f aca="false">IF($P84=0,BD83,IF(BD$3=$E84,IF($AA84=1,$F84&amp;$AB84,$G84),IF(OR(BD$3=$D84,BD$3=$AC84,BD$3=$AE84),"",IF(BD$3=$AD84,$F84&amp;"R",BD83))))</f>
        <v/>
      </c>
      <c r="BE84" s="11" t="str">
        <f aca="false">IF($P84=0,BE83,IF(BE$3=$E84,IF($AA84=1,$F84&amp;$AB84,$G84),IF(OR(BE$3=$D84,BE$3=$AC84,BE$3=$AE84),"",IF(BE$3=$AD84,$F84&amp;"R",BE83))))</f>
        <v/>
      </c>
      <c r="BF84" s="11" t="str">
        <f aca="false">IF($P84=0,BF83,IF(BF$3=$E84,IF($AA84=1,$F84&amp;$AB84,$G84),IF(OR(BF$3=$D84,BF$3=$AC84,BF$3=$AE84),"",IF(BF$3=$AD84,$F84&amp;"R",BF83))))</f>
        <v/>
      </c>
      <c r="BG84" s="11" t="str">
        <f aca="false">IF($P84=0,BG83,IF(BG$3=$E84,IF($AA84=1,$F84&amp;$AB84,$G84),IF(OR(BG$3=$D84,BG$3=$AC84,BG$3=$AE84),"",IF(BG$3=$AD84,$F84&amp;"R",BG83))))</f>
        <v/>
      </c>
      <c r="BH84" s="11" t="str">
        <f aca="false">IF($P84=0,BH83,IF(BH$3=$E84,IF($AA84=1,$F84&amp;$AB84,$G84),IF(OR(BH$3=$D84,BH$3=$AC84,BH$3=$AE84),"",IF(BH$3=$AD84,$F84&amp;"R",BH83))))</f>
        <v/>
      </c>
      <c r="BI84" s="11" t="str">
        <f aca="false">IF($P84=0,BI83,IF(BI$3=$E84,IF($AA84=1,$F84&amp;$AB84,$G84),IF(OR(BI$3=$D84,BI$3=$AC84,BI$3=$AE84),"",IF(BI$3=$AD84,$F84&amp;"R",BI83))))</f>
        <v/>
      </c>
      <c r="BJ84" s="11" t="str">
        <f aca="false">IF($P84=0,BJ83,IF(BJ$3=$E84,IF($AA84=1,$F84&amp;$AB84,$G84),IF(OR(BJ$3=$D84,BJ$3=$AC84,BJ$3=$AE84),"",IF(BJ$3=$AD84,$F84&amp;"R",BJ83))))</f>
        <v/>
      </c>
      <c r="BK84" s="11" t="str">
        <f aca="false">IF($P84=0,BK83,IF(BK$3=$E84,IF($AA84=1,$F84&amp;$AB84,$G84),IF(OR(BK$3=$D84,BK$3=$AC84,BK$3=$AE84),"",IF(BK$3=$AD84,$F84&amp;"R",BK83))))</f>
        <v/>
      </c>
      <c r="BL84" s="11" t="str">
        <f aca="false">IF($P84=0,BL83,IF(BL$3=$E84,IF($AA84=1,$F84&amp;$AB84,$G84),IF(OR(BL$3=$D84,BL$3=$AC84,BL$3=$AE84),"",IF(BL$3=$AD84,$F84&amp;"R",BL83))))</f>
        <v/>
      </c>
      <c r="BM84" s="11" t="str">
        <f aca="false">IF($P84=0,BM83,IF(BM$3=$E84,IF($AA84=1,$F84&amp;$AB84,$G84),IF(OR(BM$3=$D84,BM$3=$AC84,BM$3=$AE84),"",IF(BM$3=$AD84,$F84&amp;"R",BM83))))</f>
        <v/>
      </c>
      <c r="BN84" s="11" t="str">
        <f aca="false">IF($P84=0,BN83,IF(BN$3=$E84,IF($AA84=1,$F84&amp;$AB84,$G84),IF(OR(BN$3=$D84,BN$3=$AC84,BN$3=$AE84),"",IF(BN$3=$AD84,$F84&amp;"R",BN83))))</f>
        <v/>
      </c>
      <c r="BO84" s="11" t="str">
        <f aca="false">IF($P84=0,BO83,IF(BO$3=$E84,IF($AA84=1,$F84&amp;$AB84,$G84),IF(OR(BO$3=$D84,BO$3=$AC84,BO$3=$AE84),"",IF(BO$3=$AD84,$F84&amp;"R",BO83))))</f>
        <v/>
      </c>
      <c r="BP84" s="11" t="str">
        <f aca="false">IF($P84=0,BP83,IF(BP$3=$E84,IF($AA84=1,$F84&amp;$AB84,$G84),IF(OR(BP$3=$D84,BP$3=$AC84,BP$3=$AE84),"",IF(BP$3=$AD84,$F84&amp;"R",BP83))))</f>
        <v/>
      </c>
      <c r="BQ84" s="11" t="str">
        <f aca="false">IF($P84=0,BQ83,IF(BQ$3=$E84,IF($AA84=1,$F84&amp;$AB84,$G84),IF(OR(BQ$3=$D84,BQ$3=$AC84,BQ$3=$AE84),"",IF(BQ$3=$AD84,$F84&amp;"R",BQ83))))</f>
        <v/>
      </c>
      <c r="BR84" s="11" t="str">
        <f aca="false">IF($P84=0,BR83,IF(BR$3=$E84,IF($AA84=1,$F84&amp;$AB84,$G84),IF(OR(BR$3=$D84,BR$3=$AC84,BR$3=$AE84),"",IF(BR$3=$AD84,$F84&amp;"R",BR83))))</f>
        <v/>
      </c>
      <c r="BS84" s="11" t="str">
        <f aca="false">IF($P84=0,BS83,IF(BS$3=$E84,IF($AA84=1,$F84&amp;$AB84,$G84),IF(OR(BS$3=$D84,BS$3=$AC84,BS$3=$AE84),"",IF(BS$3=$AD84,$F84&amp;"R",BS83))))</f>
        <v/>
      </c>
      <c r="BT84" s="11" t="str">
        <f aca="false">IF($P84=0,BT83,IF(BT$3=$E84,IF($AA84=1,$F84&amp;$AB84,$G84),IF(OR(BT$3=$D84,BT$3=$AC84,BT$3=$AE84),"",IF(BT$3=$AD84,$F84&amp;"R",BT83))))</f>
        <v/>
      </c>
      <c r="BU84" s="11" t="str">
        <f aca="false">IF($P84=0,BU83,IF(BU$3=$E84,IF($AA84=1,$F84&amp;$AB84,$G84),IF(OR(BU$3=$D84,BU$3=$AC84,BU$3=$AE84),"",IF(BU$3=$AD84,$F84&amp;"R",BU83))))</f>
        <v/>
      </c>
      <c r="BV84" s="11" t="str">
        <f aca="false">IF($P84=0,BV83,IF(BV$3=$E84,IF($AA84=1,$F84&amp;$AB84,$G84),IF(OR(BV$3=$D84,BV$3=$AC84,BV$3=$AE84),"",IF(BV$3=$AD84,$F84&amp;"R",BV83))))</f>
        <v/>
      </c>
      <c r="BW84" s="11" t="str">
        <f aca="false">IF($P84=0,BW83,IF(BW$3=$E84,IF($AA84=1,$F84&amp;$AB84,$G84),IF(OR(BW$3=$D84,BW$3=$AC84,BW$3=$AE84),"",IF(BW$3=$AD84,$F84&amp;"R",BW83))))</f>
        <v/>
      </c>
      <c r="BX84" s="11" t="str">
        <f aca="false">IF($P84=0,BX83,IF(BX$3=$E84,IF($AA84=1,$F84&amp;$AB84,$G84),IF(OR(BX$3=$D84,BX$3=$AC84,BX$3=$AE84),"",IF(BX$3=$AD84,$F84&amp;"R",BX83))))</f>
        <v/>
      </c>
      <c r="BY84" s="11" t="str">
        <f aca="false">IF($P84=0,BY83,IF(BY$3=$E84,IF($AA84=1,$F84&amp;$AB84,$G84),IF(OR(BY$3=$D84,BY$3=$AC84,BY$3=$AE84),"",IF(BY$3=$AD84,$F84&amp;"R",BY83))))</f>
        <v/>
      </c>
      <c r="BZ84" s="11" t="str">
        <f aca="false">IF($P84=0,BZ83,IF(BZ$3=$E84,IF($AA84=1,$F84&amp;$AB84,$G84),IF(OR(BZ$3=$D84,BZ$3=$AC84,BZ$3=$AE84),"",IF(BZ$3=$AD84,$F84&amp;"R",BZ83))))</f>
        <v/>
      </c>
      <c r="CA84" s="11" t="str">
        <f aca="false">IF($P84=0,CA83,IF(CA$3=$E84,IF($AA84=1,$F84&amp;$AB84,$G84),IF(OR(CA$3=$D84,CA$3=$AC84,CA$3=$AE84),"",IF(CA$3=$AD84,$F84&amp;"R",CA83))))</f>
        <v/>
      </c>
      <c r="CB84" s="11" t="str">
        <f aca="false">IF($P84=0,CB83,IF(CB$3=$E84,IF($AA84=1,$F84&amp;$AB84,$G84),IF(OR(CB$3=$D84,CB$3=$AC84,CB$3=$AE84),"",IF(CB$3=$AD84,$F84&amp;"R",CB83))))</f>
        <v/>
      </c>
      <c r="CC84" s="11" t="str">
        <f aca="false">IF($P84=0,CC83,IF(CC$3=$E84,IF($AA84=1,$F84&amp;$AB84,$G84),IF(OR(CC$3=$D84,CC$3=$AC84,CC$3=$AE84),"",IF(CC$3=$AD84,$F84&amp;"R",CC83))))</f>
        <v/>
      </c>
      <c r="CD84" s="11" t="str">
        <f aca="false">IF($P84=0,CD83,IF(CD$3=$E84,IF($AA84=1,$F84&amp;$AB84,$G84),IF(OR(CD$3=$D84,CD$3=$AC84,CD$3=$AE84),"",IF(CD$3=$AD84,$F84&amp;"R",CD83))))</f>
        <v>bP</v>
      </c>
      <c r="CE84" s="11" t="str">
        <f aca="false">IF($P84=0,CE83,IF(CE$3=$E84,IF($AA84=1,$F84&amp;$AB84,$G84),IF(OR(CE$3=$D84,CE$3=$AC84,CE$3=$AE84),"",IF(CE$3=$AD84,$F84&amp;"R",CE83))))</f>
        <v>bP</v>
      </c>
      <c r="CF84" s="11" t="str">
        <f aca="false">IF($P84=0,CF83,IF(CF$3=$E84,IF($AA84=1,$F84&amp;$AB84,$G84),IF(OR(CF$3=$D84,CF$3=$AC84,CF$3=$AE84),"",IF(CF$3=$AD84,$F84&amp;"R",CF83))))</f>
        <v>bP</v>
      </c>
      <c r="CG84" s="11" t="str">
        <f aca="false">IF($P84=0,CG83,IF(CG$3=$E84,IF($AA84=1,$F84&amp;$AB84,$G84),IF(OR(CG$3=$D84,CG$3=$AC84,CG$3=$AE84),"",IF(CG$3=$AD84,$F84&amp;"R",CG83))))</f>
        <v>bP</v>
      </c>
      <c r="CH84" s="11" t="str">
        <f aca="false">IF($P84=0,CH83,IF(CH$3=$E84,IF($AA84=1,$F84&amp;$AB84,$G84),IF(OR(CH$3=$D84,CH$3=$AC84,CH$3=$AE84),"",IF(CH$3=$AD84,$F84&amp;"R",CH83))))</f>
        <v>bP</v>
      </c>
      <c r="CI84" s="11" t="str">
        <f aca="false">IF($P84=0,CI83,IF(CI$3=$E84,IF($AA84=1,$F84&amp;$AB84,$G84),IF(OR(CI$3=$D84,CI$3=$AC84,CI$3=$AE84),"",IF(CI$3=$AD84,$F84&amp;"R",CI83))))</f>
        <v>bP</v>
      </c>
      <c r="CJ84" s="11" t="str">
        <f aca="false">IF($P84=0,CJ83,IF(CJ$3=$E84,IF($AA84=1,$F84&amp;$AB84,$G84),IF(OR(CJ$3=$D84,CJ$3=$AC84,CJ$3=$AE84),"",IF(CJ$3=$AD84,$F84&amp;"R",CJ83))))</f>
        <v>bP</v>
      </c>
      <c r="CK84" s="11" t="str">
        <f aca="false">IF($P84=0,CK83,IF(CK$3=$E84,IF($AA84=1,$F84&amp;$AB84,$G84),IF(OR(CK$3=$D84,CK$3=$AC84,CK$3=$AE84),"",IF(CK$3=$AD84,$F84&amp;"R",CK83))))</f>
        <v>bP</v>
      </c>
      <c r="CL84" s="11" t="str">
        <f aca="false">IF($P84=0,CL83,IF(CL$3=$E84,IF($AA84=1,$F84&amp;$AB84,$G84),IF(OR(CL$3=$D84,CL$3=$AC84,CL$3=$AE84),"",IF(CL$3=$AD84,$F84&amp;"R",CL83))))</f>
        <v>bR</v>
      </c>
      <c r="CM84" s="11" t="str">
        <f aca="false">IF($P84=0,CM83,IF(CM$3=$E84,IF($AA84=1,$F84&amp;$AB84,$G84),IF(OR(CM$3=$D84,CM$3=$AC84,CM$3=$AE84),"",IF(CM$3=$AD84,$F84&amp;"R",CM83))))</f>
        <v>bN</v>
      </c>
      <c r="CN84" s="11" t="str">
        <f aca="false">IF($P84=0,CN83,IF(CN$3=$E84,IF($AA84=1,$F84&amp;$AB84,$G84),IF(OR(CN$3=$D84,CN$3=$AC84,CN$3=$AE84),"",IF(CN$3=$AD84,$F84&amp;"R",CN83))))</f>
        <v>bB</v>
      </c>
      <c r="CO84" s="11" t="str">
        <f aca="false">IF($P84=0,CO83,IF(CO$3=$E84,IF($AA84=1,$F84&amp;$AB84,$G84),IF(OR(CO$3=$D84,CO$3=$AC84,CO$3=$AE84),"",IF(CO$3=$AD84,$F84&amp;"R",CO83))))</f>
        <v>bQ</v>
      </c>
      <c r="CP84" s="11" t="str">
        <f aca="false">IF($P84=0,CP83,IF(CP$3=$E84,IF($AA84=1,$F84&amp;$AB84,$G84),IF(OR(CP$3=$D84,CP$3=$AC84,CP$3=$AE84),"",IF(CP$3=$AD84,$F84&amp;"R",CP83))))</f>
        <v>bK</v>
      </c>
      <c r="CQ84" s="11" t="str">
        <f aca="false">IF($P84=0,CQ83,IF(CQ$3=$E84,IF($AA84=1,$F84&amp;$AB84,$G84),IF(OR(CQ$3=$D84,CQ$3=$AC84,CQ$3=$AE84),"",IF(CQ$3=$AD84,$F84&amp;"R",CQ83))))</f>
        <v>bB</v>
      </c>
      <c r="CR84" s="11" t="str">
        <f aca="false">IF($P84=0,CR83,IF(CR$3=$E84,IF($AA84=1,$F84&amp;$AB84,$G84),IF(OR(CR$3=$D84,CR$3=$AC84,CR$3=$AE84),"",IF(CR$3=$AD84,$F84&amp;"R",CR83))))</f>
        <v>bN</v>
      </c>
      <c r="CS84" s="11" t="str">
        <f aca="false">IF($P84=0,CS83,IF(CS$3=$E84,IF($AA84=1,$F84&amp;$AB84,$G84),IF(OR(CS$3=$D84,CS$3=$AC84,CS$3=$AE84),"",IF(CS$3=$AD84,$F84&amp;"R",CS83))))</f>
        <v>bR</v>
      </c>
      <c r="CT84" s="11"/>
      <c r="CU84" s="11"/>
      <c r="CV84" s="11"/>
    </row>
    <row r="85" customFormat="false" ht="15" hidden="false" customHeight="false" outlineLevel="0" collapsed="false">
      <c r="A85" s="11" t="n">
        <v>80</v>
      </c>
      <c r="B85" s="11" t="str">
        <f aca="false">IF(Chess!$L$89="","",Chess!$L$89&amp;"")</f>
        <v/>
      </c>
      <c r="C85" s="11" t="str">
        <f aca="false">LOWER(SUBSTITUTE(SUBSTITUTE(SUBSTITUTE(SUBSTITUTE(TRIM($B85),"-",""),"=","")," ",""),"x",""))</f>
        <v/>
      </c>
      <c r="D85" s="11" t="n">
        <f aca="false">IF(LEN($C85)&lt;4,0,IFERROR(IF(AND(CODE(MID($C85,1,1))&gt;=97,CODE(MID($C85,1,1))&lt;=104,VALUE(MID($C85,2,1))&gt;=1,VALUE(MID($C85,2,1))&lt;=8),(VALUE(MID($C85,2,1))-1)*8+CODE(MID($C85,1,1))-96,0),0))</f>
        <v>0</v>
      </c>
      <c r="E85" s="11" t="n">
        <f aca="false">IF(LEN($C85)&lt;4,0,IFERROR(IF(AND(CODE(MID($C85,3,1))&gt;=97,CODE(MID($C85,3,1))&lt;=104,VALUE(MID($C85,4,1))&gt;=1,VALUE(MID($C85,4,1))&lt;=8),(VALUE(MID($C85,4,1))-1)*8+CODE(MID($C85,3,1))-96,0),0))</f>
        <v>0</v>
      </c>
      <c r="F85" s="11" t="str">
        <f aca="false">IF(MOD(SUM($P$5:$P84),2)=0,"w","b")</f>
        <v>w</v>
      </c>
      <c r="G85" s="11" t="str">
        <f aca="false">IF($D85=0,"",INDEX($AH84:$CS84,1,$D85)&amp;"")</f>
        <v/>
      </c>
      <c r="H85" s="11" t="str">
        <f aca="false">IF($E85=0,"",INDEX($AH84:$CS84,1,$E85)&amp;"")</f>
        <v/>
      </c>
      <c r="I85" s="11" t="n">
        <f aca="false">IF(OR($D85=0,$E85=0),0,MOD($E85-1,8)-MOD($D85-1,8))</f>
        <v>0</v>
      </c>
      <c r="J85" s="11" t="n">
        <f aca="false">IF(OR($D85=0,$E85=0),0,INT(($E85-1)/8)-INT(($D85-1)/8))</f>
        <v>0</v>
      </c>
      <c r="K85" s="11" t="str">
        <f aca="false">IF($G85="","",RIGHT($G85,1))</f>
        <v/>
      </c>
      <c r="L85" s="11" t="n">
        <f aca="false">IF(OR($D85=0,$E85=0),0,SUMPRODUCT(($AH$3:$CS$3&gt;MIN($D85,$E85))*($AH$3:$CS$3&lt;MAX($D85,$E85))*(MOD($AH$3:$CS$3-MIN($D85,$E85),MAX(1,ABS(SIGN($J85)*8+SIGN($I85))))=0)*($AH84:$CS84&lt;&gt;"")))</f>
        <v>0</v>
      </c>
      <c r="M85" s="11" t="n">
        <f aca="false">IF($K85&lt;&gt;"K",0,IFERROR(--AND($J85=0,ABS($I85)=2,$D85=IF($F85="w",5,61),IF($F85="w",$S84,$V84)=0,IF($I85=2,AND(IF($F85="w",$U84,$X84)=0,INDEX($AH84:$CS84,1,$D85+1)&amp;""="",INDEX($AH84:$CS84,1,$D85+2)&amp;""=""),AND(IF($F85="w",$T84,$W84)=0,INDEX($AH84:$CS84,1,$D85-1)&amp;""="",INDEX($AH84:$CS84,1,$D85-2)&amp;""="",INDEX($AH84:$CS84,1,$D85-3)&amp;""=""))),0))</f>
        <v>0</v>
      </c>
      <c r="N85" s="11" t="n">
        <f aca="false">IF($K85&lt;&gt;"P",0,IFERROR(--OR(AND($I85=0,$J85=IF($F85="w",1,-1),$H85=""),AND($I85=0,$J85=2*IF($F85="w",1,-1),$H85="",INT(($D85-1)/8)=IF($F85="w",1,6),INDEX($AH84:$CS84,1,MAX(1,MIN(64,$D85+8*IF($F85="w",1,-1))))&amp;""=""),AND(ABS($I85)=1,$J85=IF($F85="w",1,-1),$H85&lt;&gt;""),AND(ABS($I85)=1,$J85=IF($F85="w",1,-1),$H85="",$R84&gt;0,$E85=$R84)),0))</f>
        <v>0</v>
      </c>
      <c r="O85" s="11" t="n">
        <f aca="false">IF(OR($D85=0,$E85=0,$G85=""),0,IF($K85="N",--OR(AND(ABS($I85)=1,ABS($J85)=2),AND(ABS($I85)=2,ABS($J85)=1)),IF($K85="B",--AND(ABS($I85)=ABS($J85),$I85&lt;&gt;0,$L85=0),IF($K85="R",--AND(OR($I85=0,$J85=0),OR($I85&lt;&gt;0,$J85&lt;&gt;0),$L85=0),IF($K85="Q",--AND(OR(AND(ABS($I85)=ABS($J85),$I85&lt;&gt;0),AND(OR($I85=0,$J85=0),OR($I85&lt;&gt;0,$J85&lt;&gt;0))),$L85=0),IF($K85="K",--OR(MAX(ABS($I85),ABS($J85))=1,$M85=1),$N85))))))</f>
        <v>0</v>
      </c>
      <c r="P85" s="11" t="n">
        <f aca="false">IF($Q85="OK",1,0)</f>
        <v>0</v>
      </c>
      <c r="Q85" s="11" t="str">
        <f aca="false">IF($B85="","",IF(OR(COUNTIF($AH84:$CS84,"wK")=0,COUNTIF($AH84:$CS84,"bK")=0),"Game is over",IF(OR($D85=0,$E85=0),"Use the format e2e4",IF($G85="","No piece on that square",IF(LEFT($G85,1)&lt;&gt;$F85,"Not your piece ("&amp;IF($F85="w","White","Black")&amp;" to move)",IF($D85=$E85,"Piece must move",IF(AND($H85&lt;&gt;"",LEFT($H85,1)=$F85),"Cannot capture your own piece",IF($O85=0,"Illegal move for that piece (or path blocked)","OK"))))))))</f>
        <v/>
      </c>
      <c r="R85" s="11" t="n">
        <f aca="false">IF($P85=1,IF(AND($K85="P",ABS($J85)=2),($D85+$E85)/2,0),$R84)</f>
        <v>0</v>
      </c>
      <c r="S85" s="12" t="b">
        <f aca="false">--OR($S84=1,AND($P85=1,OR($D85=5,$E85=5)))</f>
        <v>0</v>
      </c>
      <c r="T85" s="12" t="b">
        <f aca="false">--OR($T84=1,AND($P85=1,OR($D85=1,$E85=1)))</f>
        <v>0</v>
      </c>
      <c r="U85" s="12" t="b">
        <f aca="false">--OR($U84=1,AND($P85=1,OR($D85=8,$E85=8)))</f>
        <v>0</v>
      </c>
      <c r="V85" s="12" t="b">
        <f aca="false">--OR($V84=1,AND($P85=1,OR($D85=61,$E85=61)))</f>
        <v>0</v>
      </c>
      <c r="W85" s="12" t="b">
        <f aca="false">--OR($W84=1,AND($P85=1,OR($D85=57,$E85=57)))</f>
        <v>0</v>
      </c>
      <c r="X85" s="12" t="b">
        <f aca="false">--OR($X84=1,AND($P85=1,OR($D85=64,$E85=64)))</f>
        <v>0</v>
      </c>
      <c r="Y85" s="12" t="b">
        <f aca="false">--AND($P85=1,$K85="K",ABS($I85)=2)</f>
        <v>0</v>
      </c>
      <c r="Z85" s="12" t="b">
        <f aca="false">--AND($P85=1,$K85="P",ABS($I85)=1,$H85="")</f>
        <v>0</v>
      </c>
      <c r="AA85" s="12" t="b">
        <f aca="false">--AND($P85=1,$K85="P",INT(($E85-1)/8)=IF($F85="w",7,0))</f>
        <v>0</v>
      </c>
      <c r="AB85" s="11" t="str">
        <f aca="false">IF(LEN($C85)&gt;=5,IF(ISNUMBER(FIND(MID($C85,5,1),"qrbn")),UPPER(MID($C85,5,1)),"Q"),"Q")</f>
        <v>Q</v>
      </c>
      <c r="AC85" s="11" t="n">
        <f aca="false">IF($Y85=1,IF($I85=2,$D85+3,$D85-4),0)</f>
        <v>0</v>
      </c>
      <c r="AD85" s="11" t="n">
        <f aca="false">IF($Y85=1,IF($I85=2,$D85+1,$D85-1),0)</f>
        <v>0</v>
      </c>
      <c r="AE85" s="11" t="n">
        <f aca="false">IF($Z85=1,$E85-8*IF($F85="w",1,-1),0)</f>
        <v>0</v>
      </c>
      <c r="AF85" s="11" t="str">
        <f aca="false">IF($B85="","",IF($P85=1,LOWER(INDEX($CV$2:$CV$13,MATCH($G85,$CU$2:$CU$13,0)))&amp;" "&amp;MID("abcdefgh",MOD($D85-1,8)+1,1)&amp;(INT(($D85-1)/8)+1)&amp;"→"&amp;MID("abcdefgh",MOD($E85-1,8)+1,1)&amp;(INT(($E85-1)/8)+1)&amp;IF(OR($H85&lt;&gt;"",$Z85=1)," ×","")&amp;IF($Y85=1," castles","")&amp;IF($Z85=1," e.p.","")&amp;IF($AA85=1," =" &amp;LOWER(INDEX($CV$2:$CV$13,MATCH($F85&amp;$AB85,$CU$2:$CU$13,0))),""),"X "&amp;$Q85))</f>
        <v/>
      </c>
      <c r="AG85" s="11"/>
      <c r="AH85" s="11" t="str">
        <f aca="false">IF($P85=0,AH84,IF(AH$3=$E85,IF($AA85=1,$F85&amp;$AB85,$G85),IF(OR(AH$3=$D85,AH$3=$AC85,AH$3=$AE85),"",IF(AH$3=$AD85,$F85&amp;"R",AH84))))</f>
        <v>wR</v>
      </c>
      <c r="AI85" s="11" t="str">
        <f aca="false">IF($P85=0,AI84,IF(AI$3=$E85,IF($AA85=1,$F85&amp;$AB85,$G85),IF(OR(AI$3=$D85,AI$3=$AC85,AI$3=$AE85),"",IF(AI$3=$AD85,$F85&amp;"R",AI84))))</f>
        <v>wN</v>
      </c>
      <c r="AJ85" s="11" t="str">
        <f aca="false">IF($P85=0,AJ84,IF(AJ$3=$E85,IF($AA85=1,$F85&amp;$AB85,$G85),IF(OR(AJ$3=$D85,AJ$3=$AC85,AJ$3=$AE85),"",IF(AJ$3=$AD85,$F85&amp;"R",AJ84))))</f>
        <v>wB</v>
      </c>
      <c r="AK85" s="11" t="str">
        <f aca="false">IF($P85=0,AK84,IF(AK$3=$E85,IF($AA85=1,$F85&amp;$AB85,$G85),IF(OR(AK$3=$D85,AK$3=$AC85,AK$3=$AE85),"",IF(AK$3=$AD85,$F85&amp;"R",AK84))))</f>
        <v>wQ</v>
      </c>
      <c r="AL85" s="11" t="str">
        <f aca="false">IF($P85=0,AL84,IF(AL$3=$E85,IF($AA85=1,$F85&amp;$AB85,$G85),IF(OR(AL$3=$D85,AL$3=$AC85,AL$3=$AE85),"",IF(AL$3=$AD85,$F85&amp;"R",AL84))))</f>
        <v>wK</v>
      </c>
      <c r="AM85" s="11" t="str">
        <f aca="false">IF($P85=0,AM84,IF(AM$3=$E85,IF($AA85=1,$F85&amp;$AB85,$G85),IF(OR(AM$3=$D85,AM$3=$AC85,AM$3=$AE85),"",IF(AM$3=$AD85,$F85&amp;"R",AM84))))</f>
        <v>wB</v>
      </c>
      <c r="AN85" s="11" t="str">
        <f aca="false">IF($P85=0,AN84,IF(AN$3=$E85,IF($AA85=1,$F85&amp;$AB85,$G85),IF(OR(AN$3=$D85,AN$3=$AC85,AN$3=$AE85),"",IF(AN$3=$AD85,$F85&amp;"R",AN84))))</f>
        <v>wN</v>
      </c>
      <c r="AO85" s="11" t="str">
        <f aca="false">IF($P85=0,AO84,IF(AO$3=$E85,IF($AA85=1,$F85&amp;$AB85,$G85),IF(OR(AO$3=$D85,AO$3=$AC85,AO$3=$AE85),"",IF(AO$3=$AD85,$F85&amp;"R",AO84))))</f>
        <v>wR</v>
      </c>
      <c r="AP85" s="11" t="str">
        <f aca="false">IF($P85=0,AP84,IF(AP$3=$E85,IF($AA85=1,$F85&amp;$AB85,$G85),IF(OR(AP$3=$D85,AP$3=$AC85,AP$3=$AE85),"",IF(AP$3=$AD85,$F85&amp;"R",AP84))))</f>
        <v>wP</v>
      </c>
      <c r="AQ85" s="11" t="str">
        <f aca="false">IF($P85=0,AQ84,IF(AQ$3=$E85,IF($AA85=1,$F85&amp;$AB85,$G85),IF(OR(AQ$3=$D85,AQ$3=$AC85,AQ$3=$AE85),"",IF(AQ$3=$AD85,$F85&amp;"R",AQ84))))</f>
        <v>wP</v>
      </c>
      <c r="AR85" s="11" t="str">
        <f aca="false">IF($P85=0,AR84,IF(AR$3=$E85,IF($AA85=1,$F85&amp;$AB85,$G85),IF(OR(AR$3=$D85,AR$3=$AC85,AR$3=$AE85),"",IF(AR$3=$AD85,$F85&amp;"R",AR84))))</f>
        <v>wP</v>
      </c>
      <c r="AS85" s="11" t="str">
        <f aca="false">IF($P85=0,AS84,IF(AS$3=$E85,IF($AA85=1,$F85&amp;$AB85,$G85),IF(OR(AS$3=$D85,AS$3=$AC85,AS$3=$AE85),"",IF(AS$3=$AD85,$F85&amp;"R",AS84))))</f>
        <v>wP</v>
      </c>
      <c r="AT85" s="11" t="str">
        <f aca="false">IF($P85=0,AT84,IF(AT$3=$E85,IF($AA85=1,$F85&amp;$AB85,$G85),IF(OR(AT$3=$D85,AT$3=$AC85,AT$3=$AE85),"",IF(AT$3=$AD85,$F85&amp;"R",AT84))))</f>
        <v>wP</v>
      </c>
      <c r="AU85" s="11" t="str">
        <f aca="false">IF($P85=0,AU84,IF(AU$3=$E85,IF($AA85=1,$F85&amp;$AB85,$G85),IF(OR(AU$3=$D85,AU$3=$AC85,AU$3=$AE85),"",IF(AU$3=$AD85,$F85&amp;"R",AU84))))</f>
        <v>wP</v>
      </c>
      <c r="AV85" s="11" t="str">
        <f aca="false">IF($P85=0,AV84,IF(AV$3=$E85,IF($AA85=1,$F85&amp;$AB85,$G85),IF(OR(AV$3=$D85,AV$3=$AC85,AV$3=$AE85),"",IF(AV$3=$AD85,$F85&amp;"R",AV84))))</f>
        <v>wP</v>
      </c>
      <c r="AW85" s="11" t="str">
        <f aca="false">IF($P85=0,AW84,IF(AW$3=$E85,IF($AA85=1,$F85&amp;$AB85,$G85),IF(OR(AW$3=$D85,AW$3=$AC85,AW$3=$AE85),"",IF(AW$3=$AD85,$F85&amp;"R",AW84))))</f>
        <v>wP</v>
      </c>
      <c r="AX85" s="11" t="str">
        <f aca="false">IF($P85=0,AX84,IF(AX$3=$E85,IF($AA85=1,$F85&amp;$AB85,$G85),IF(OR(AX$3=$D85,AX$3=$AC85,AX$3=$AE85),"",IF(AX$3=$AD85,$F85&amp;"R",AX84))))</f>
        <v/>
      </c>
      <c r="AY85" s="11" t="str">
        <f aca="false">IF($P85=0,AY84,IF(AY$3=$E85,IF($AA85=1,$F85&amp;$AB85,$G85),IF(OR(AY$3=$D85,AY$3=$AC85,AY$3=$AE85),"",IF(AY$3=$AD85,$F85&amp;"R",AY84))))</f>
        <v/>
      </c>
      <c r="AZ85" s="11" t="str">
        <f aca="false">IF($P85=0,AZ84,IF(AZ$3=$E85,IF($AA85=1,$F85&amp;$AB85,$G85),IF(OR(AZ$3=$D85,AZ$3=$AC85,AZ$3=$AE85),"",IF(AZ$3=$AD85,$F85&amp;"R",AZ84))))</f>
        <v/>
      </c>
      <c r="BA85" s="11" t="str">
        <f aca="false">IF($P85=0,BA84,IF(BA$3=$E85,IF($AA85=1,$F85&amp;$AB85,$G85),IF(OR(BA$3=$D85,BA$3=$AC85,BA$3=$AE85),"",IF(BA$3=$AD85,$F85&amp;"R",BA84))))</f>
        <v/>
      </c>
      <c r="BB85" s="11" t="str">
        <f aca="false">IF($P85=0,BB84,IF(BB$3=$E85,IF($AA85=1,$F85&amp;$AB85,$G85),IF(OR(BB$3=$D85,BB$3=$AC85,BB$3=$AE85),"",IF(BB$3=$AD85,$F85&amp;"R",BB84))))</f>
        <v/>
      </c>
      <c r="BC85" s="11" t="str">
        <f aca="false">IF($P85=0,BC84,IF(BC$3=$E85,IF($AA85=1,$F85&amp;$AB85,$G85),IF(OR(BC$3=$D85,BC$3=$AC85,BC$3=$AE85),"",IF(BC$3=$AD85,$F85&amp;"R",BC84))))</f>
        <v/>
      </c>
      <c r="BD85" s="11" t="str">
        <f aca="false">IF($P85=0,BD84,IF(BD$3=$E85,IF($AA85=1,$F85&amp;$AB85,$G85),IF(OR(BD$3=$D85,BD$3=$AC85,BD$3=$AE85),"",IF(BD$3=$AD85,$F85&amp;"R",BD84))))</f>
        <v/>
      </c>
      <c r="BE85" s="11" t="str">
        <f aca="false">IF($P85=0,BE84,IF(BE$3=$E85,IF($AA85=1,$F85&amp;$AB85,$G85),IF(OR(BE$3=$D85,BE$3=$AC85,BE$3=$AE85),"",IF(BE$3=$AD85,$F85&amp;"R",BE84))))</f>
        <v/>
      </c>
      <c r="BF85" s="11" t="str">
        <f aca="false">IF($P85=0,BF84,IF(BF$3=$E85,IF($AA85=1,$F85&amp;$AB85,$G85),IF(OR(BF$3=$D85,BF$3=$AC85,BF$3=$AE85),"",IF(BF$3=$AD85,$F85&amp;"R",BF84))))</f>
        <v/>
      </c>
      <c r="BG85" s="11" t="str">
        <f aca="false">IF($P85=0,BG84,IF(BG$3=$E85,IF($AA85=1,$F85&amp;$AB85,$G85),IF(OR(BG$3=$D85,BG$3=$AC85,BG$3=$AE85),"",IF(BG$3=$AD85,$F85&amp;"R",BG84))))</f>
        <v/>
      </c>
      <c r="BH85" s="11" t="str">
        <f aca="false">IF($P85=0,BH84,IF(BH$3=$E85,IF($AA85=1,$F85&amp;$AB85,$G85),IF(OR(BH$3=$D85,BH$3=$AC85,BH$3=$AE85),"",IF(BH$3=$AD85,$F85&amp;"R",BH84))))</f>
        <v/>
      </c>
      <c r="BI85" s="11" t="str">
        <f aca="false">IF($P85=0,BI84,IF(BI$3=$E85,IF($AA85=1,$F85&amp;$AB85,$G85),IF(OR(BI$3=$D85,BI$3=$AC85,BI$3=$AE85),"",IF(BI$3=$AD85,$F85&amp;"R",BI84))))</f>
        <v/>
      </c>
      <c r="BJ85" s="11" t="str">
        <f aca="false">IF($P85=0,BJ84,IF(BJ$3=$E85,IF($AA85=1,$F85&amp;$AB85,$G85),IF(OR(BJ$3=$D85,BJ$3=$AC85,BJ$3=$AE85),"",IF(BJ$3=$AD85,$F85&amp;"R",BJ84))))</f>
        <v/>
      </c>
      <c r="BK85" s="11" t="str">
        <f aca="false">IF($P85=0,BK84,IF(BK$3=$E85,IF($AA85=1,$F85&amp;$AB85,$G85),IF(OR(BK$3=$D85,BK$3=$AC85,BK$3=$AE85),"",IF(BK$3=$AD85,$F85&amp;"R",BK84))))</f>
        <v/>
      </c>
      <c r="BL85" s="11" t="str">
        <f aca="false">IF($P85=0,BL84,IF(BL$3=$E85,IF($AA85=1,$F85&amp;$AB85,$G85),IF(OR(BL$3=$D85,BL$3=$AC85,BL$3=$AE85),"",IF(BL$3=$AD85,$F85&amp;"R",BL84))))</f>
        <v/>
      </c>
      <c r="BM85" s="11" t="str">
        <f aca="false">IF($P85=0,BM84,IF(BM$3=$E85,IF($AA85=1,$F85&amp;$AB85,$G85),IF(OR(BM$3=$D85,BM$3=$AC85,BM$3=$AE85),"",IF(BM$3=$AD85,$F85&amp;"R",BM84))))</f>
        <v/>
      </c>
      <c r="BN85" s="11" t="str">
        <f aca="false">IF($P85=0,BN84,IF(BN$3=$E85,IF($AA85=1,$F85&amp;$AB85,$G85),IF(OR(BN$3=$D85,BN$3=$AC85,BN$3=$AE85),"",IF(BN$3=$AD85,$F85&amp;"R",BN84))))</f>
        <v/>
      </c>
      <c r="BO85" s="11" t="str">
        <f aca="false">IF($P85=0,BO84,IF(BO$3=$E85,IF($AA85=1,$F85&amp;$AB85,$G85),IF(OR(BO$3=$D85,BO$3=$AC85,BO$3=$AE85),"",IF(BO$3=$AD85,$F85&amp;"R",BO84))))</f>
        <v/>
      </c>
      <c r="BP85" s="11" t="str">
        <f aca="false">IF($P85=0,BP84,IF(BP$3=$E85,IF($AA85=1,$F85&amp;$AB85,$G85),IF(OR(BP$3=$D85,BP$3=$AC85,BP$3=$AE85),"",IF(BP$3=$AD85,$F85&amp;"R",BP84))))</f>
        <v/>
      </c>
      <c r="BQ85" s="11" t="str">
        <f aca="false">IF($P85=0,BQ84,IF(BQ$3=$E85,IF($AA85=1,$F85&amp;$AB85,$G85),IF(OR(BQ$3=$D85,BQ$3=$AC85,BQ$3=$AE85),"",IF(BQ$3=$AD85,$F85&amp;"R",BQ84))))</f>
        <v/>
      </c>
      <c r="BR85" s="11" t="str">
        <f aca="false">IF($P85=0,BR84,IF(BR$3=$E85,IF($AA85=1,$F85&amp;$AB85,$G85),IF(OR(BR$3=$D85,BR$3=$AC85,BR$3=$AE85),"",IF(BR$3=$AD85,$F85&amp;"R",BR84))))</f>
        <v/>
      </c>
      <c r="BS85" s="11" t="str">
        <f aca="false">IF($P85=0,BS84,IF(BS$3=$E85,IF($AA85=1,$F85&amp;$AB85,$G85),IF(OR(BS$3=$D85,BS$3=$AC85,BS$3=$AE85),"",IF(BS$3=$AD85,$F85&amp;"R",BS84))))</f>
        <v/>
      </c>
      <c r="BT85" s="11" t="str">
        <f aca="false">IF($P85=0,BT84,IF(BT$3=$E85,IF($AA85=1,$F85&amp;$AB85,$G85),IF(OR(BT$3=$D85,BT$3=$AC85,BT$3=$AE85),"",IF(BT$3=$AD85,$F85&amp;"R",BT84))))</f>
        <v/>
      </c>
      <c r="BU85" s="11" t="str">
        <f aca="false">IF($P85=0,BU84,IF(BU$3=$E85,IF($AA85=1,$F85&amp;$AB85,$G85),IF(OR(BU$3=$D85,BU$3=$AC85,BU$3=$AE85),"",IF(BU$3=$AD85,$F85&amp;"R",BU84))))</f>
        <v/>
      </c>
      <c r="BV85" s="11" t="str">
        <f aca="false">IF($P85=0,BV84,IF(BV$3=$E85,IF($AA85=1,$F85&amp;$AB85,$G85),IF(OR(BV$3=$D85,BV$3=$AC85,BV$3=$AE85),"",IF(BV$3=$AD85,$F85&amp;"R",BV84))))</f>
        <v/>
      </c>
      <c r="BW85" s="11" t="str">
        <f aca="false">IF($P85=0,BW84,IF(BW$3=$E85,IF($AA85=1,$F85&amp;$AB85,$G85),IF(OR(BW$3=$D85,BW$3=$AC85,BW$3=$AE85),"",IF(BW$3=$AD85,$F85&amp;"R",BW84))))</f>
        <v/>
      </c>
      <c r="BX85" s="11" t="str">
        <f aca="false">IF($P85=0,BX84,IF(BX$3=$E85,IF($AA85=1,$F85&amp;$AB85,$G85),IF(OR(BX$3=$D85,BX$3=$AC85,BX$3=$AE85),"",IF(BX$3=$AD85,$F85&amp;"R",BX84))))</f>
        <v/>
      </c>
      <c r="BY85" s="11" t="str">
        <f aca="false">IF($P85=0,BY84,IF(BY$3=$E85,IF($AA85=1,$F85&amp;$AB85,$G85),IF(OR(BY$3=$D85,BY$3=$AC85,BY$3=$AE85),"",IF(BY$3=$AD85,$F85&amp;"R",BY84))))</f>
        <v/>
      </c>
      <c r="BZ85" s="11" t="str">
        <f aca="false">IF($P85=0,BZ84,IF(BZ$3=$E85,IF($AA85=1,$F85&amp;$AB85,$G85),IF(OR(BZ$3=$D85,BZ$3=$AC85,BZ$3=$AE85),"",IF(BZ$3=$AD85,$F85&amp;"R",BZ84))))</f>
        <v/>
      </c>
      <c r="CA85" s="11" t="str">
        <f aca="false">IF($P85=0,CA84,IF(CA$3=$E85,IF($AA85=1,$F85&amp;$AB85,$G85),IF(OR(CA$3=$D85,CA$3=$AC85,CA$3=$AE85),"",IF(CA$3=$AD85,$F85&amp;"R",CA84))))</f>
        <v/>
      </c>
      <c r="CB85" s="11" t="str">
        <f aca="false">IF($P85=0,CB84,IF(CB$3=$E85,IF($AA85=1,$F85&amp;$AB85,$G85),IF(OR(CB$3=$D85,CB$3=$AC85,CB$3=$AE85),"",IF(CB$3=$AD85,$F85&amp;"R",CB84))))</f>
        <v/>
      </c>
      <c r="CC85" s="11" t="str">
        <f aca="false">IF($P85=0,CC84,IF(CC$3=$E85,IF($AA85=1,$F85&amp;$AB85,$G85),IF(OR(CC$3=$D85,CC$3=$AC85,CC$3=$AE85),"",IF(CC$3=$AD85,$F85&amp;"R",CC84))))</f>
        <v/>
      </c>
      <c r="CD85" s="11" t="str">
        <f aca="false">IF($P85=0,CD84,IF(CD$3=$E85,IF($AA85=1,$F85&amp;$AB85,$G85),IF(OR(CD$3=$D85,CD$3=$AC85,CD$3=$AE85),"",IF(CD$3=$AD85,$F85&amp;"R",CD84))))</f>
        <v>bP</v>
      </c>
      <c r="CE85" s="11" t="str">
        <f aca="false">IF($P85=0,CE84,IF(CE$3=$E85,IF($AA85=1,$F85&amp;$AB85,$G85),IF(OR(CE$3=$D85,CE$3=$AC85,CE$3=$AE85),"",IF(CE$3=$AD85,$F85&amp;"R",CE84))))</f>
        <v>bP</v>
      </c>
      <c r="CF85" s="11" t="str">
        <f aca="false">IF($P85=0,CF84,IF(CF$3=$E85,IF($AA85=1,$F85&amp;$AB85,$G85),IF(OR(CF$3=$D85,CF$3=$AC85,CF$3=$AE85),"",IF(CF$3=$AD85,$F85&amp;"R",CF84))))</f>
        <v>bP</v>
      </c>
      <c r="CG85" s="11" t="str">
        <f aca="false">IF($P85=0,CG84,IF(CG$3=$E85,IF($AA85=1,$F85&amp;$AB85,$G85),IF(OR(CG$3=$D85,CG$3=$AC85,CG$3=$AE85),"",IF(CG$3=$AD85,$F85&amp;"R",CG84))))</f>
        <v>bP</v>
      </c>
      <c r="CH85" s="11" t="str">
        <f aca="false">IF($P85=0,CH84,IF(CH$3=$E85,IF($AA85=1,$F85&amp;$AB85,$G85),IF(OR(CH$3=$D85,CH$3=$AC85,CH$3=$AE85),"",IF(CH$3=$AD85,$F85&amp;"R",CH84))))</f>
        <v>bP</v>
      </c>
      <c r="CI85" s="11" t="str">
        <f aca="false">IF($P85=0,CI84,IF(CI$3=$E85,IF($AA85=1,$F85&amp;$AB85,$G85),IF(OR(CI$3=$D85,CI$3=$AC85,CI$3=$AE85),"",IF(CI$3=$AD85,$F85&amp;"R",CI84))))</f>
        <v>bP</v>
      </c>
      <c r="CJ85" s="11" t="str">
        <f aca="false">IF($P85=0,CJ84,IF(CJ$3=$E85,IF($AA85=1,$F85&amp;$AB85,$G85),IF(OR(CJ$3=$D85,CJ$3=$AC85,CJ$3=$AE85),"",IF(CJ$3=$AD85,$F85&amp;"R",CJ84))))</f>
        <v>bP</v>
      </c>
      <c r="CK85" s="11" t="str">
        <f aca="false">IF($P85=0,CK84,IF(CK$3=$E85,IF($AA85=1,$F85&amp;$AB85,$G85),IF(OR(CK$3=$D85,CK$3=$AC85,CK$3=$AE85),"",IF(CK$3=$AD85,$F85&amp;"R",CK84))))</f>
        <v>bP</v>
      </c>
      <c r="CL85" s="11" t="str">
        <f aca="false">IF($P85=0,CL84,IF(CL$3=$E85,IF($AA85=1,$F85&amp;$AB85,$G85),IF(OR(CL$3=$D85,CL$3=$AC85,CL$3=$AE85),"",IF(CL$3=$AD85,$F85&amp;"R",CL84))))</f>
        <v>bR</v>
      </c>
      <c r="CM85" s="11" t="str">
        <f aca="false">IF($P85=0,CM84,IF(CM$3=$E85,IF($AA85=1,$F85&amp;$AB85,$G85),IF(OR(CM$3=$D85,CM$3=$AC85,CM$3=$AE85),"",IF(CM$3=$AD85,$F85&amp;"R",CM84))))</f>
        <v>bN</v>
      </c>
      <c r="CN85" s="11" t="str">
        <f aca="false">IF($P85=0,CN84,IF(CN$3=$E85,IF($AA85=1,$F85&amp;$AB85,$G85),IF(OR(CN$3=$D85,CN$3=$AC85,CN$3=$AE85),"",IF(CN$3=$AD85,$F85&amp;"R",CN84))))</f>
        <v>bB</v>
      </c>
      <c r="CO85" s="11" t="str">
        <f aca="false">IF($P85=0,CO84,IF(CO$3=$E85,IF($AA85=1,$F85&amp;$AB85,$G85),IF(OR(CO$3=$D85,CO$3=$AC85,CO$3=$AE85),"",IF(CO$3=$AD85,$F85&amp;"R",CO84))))</f>
        <v>bQ</v>
      </c>
      <c r="CP85" s="11" t="str">
        <f aca="false">IF($P85=0,CP84,IF(CP$3=$E85,IF($AA85=1,$F85&amp;$AB85,$G85),IF(OR(CP$3=$D85,CP$3=$AC85,CP$3=$AE85),"",IF(CP$3=$AD85,$F85&amp;"R",CP84))))</f>
        <v>bK</v>
      </c>
      <c r="CQ85" s="11" t="str">
        <f aca="false">IF($P85=0,CQ84,IF(CQ$3=$E85,IF($AA85=1,$F85&amp;$AB85,$G85),IF(OR(CQ$3=$D85,CQ$3=$AC85,CQ$3=$AE85),"",IF(CQ$3=$AD85,$F85&amp;"R",CQ84))))</f>
        <v>bB</v>
      </c>
      <c r="CR85" s="11" t="str">
        <f aca="false">IF($P85=0,CR84,IF(CR$3=$E85,IF($AA85=1,$F85&amp;$AB85,$G85),IF(OR(CR$3=$D85,CR$3=$AC85,CR$3=$AE85),"",IF(CR$3=$AD85,$F85&amp;"R",CR84))))</f>
        <v>bN</v>
      </c>
      <c r="CS85" s="11" t="str">
        <f aca="false">IF($P85=0,CS84,IF(CS$3=$E85,IF($AA85=1,$F85&amp;$AB85,$G85),IF(OR(CS$3=$D85,CS$3=$AC85,CS$3=$AE85),"",IF(CS$3=$AD85,$F85&amp;"R",CS84))))</f>
        <v>bR</v>
      </c>
      <c r="CT85" s="11"/>
      <c r="CU85" s="11"/>
      <c r="CV85" s="11"/>
    </row>
    <row r="86" customFormat="false" ht="15" hidden="false" customHeight="false" outlineLevel="0" collapsed="false">
      <c r="A86" s="11" t="n">
        <v>81</v>
      </c>
      <c r="B86" s="11" t="str">
        <f aca="false">IF(Chess!$L$90="","",Chess!$L$90&amp;"")</f>
        <v/>
      </c>
      <c r="C86" s="11" t="str">
        <f aca="false">LOWER(SUBSTITUTE(SUBSTITUTE(SUBSTITUTE(SUBSTITUTE(TRIM($B86),"-",""),"=","")," ",""),"x",""))</f>
        <v/>
      </c>
      <c r="D86" s="11" t="n">
        <f aca="false">IF(LEN($C86)&lt;4,0,IFERROR(IF(AND(CODE(MID($C86,1,1))&gt;=97,CODE(MID($C86,1,1))&lt;=104,VALUE(MID($C86,2,1))&gt;=1,VALUE(MID($C86,2,1))&lt;=8),(VALUE(MID($C86,2,1))-1)*8+CODE(MID($C86,1,1))-96,0),0))</f>
        <v>0</v>
      </c>
      <c r="E86" s="11" t="n">
        <f aca="false">IF(LEN($C86)&lt;4,0,IFERROR(IF(AND(CODE(MID($C86,3,1))&gt;=97,CODE(MID($C86,3,1))&lt;=104,VALUE(MID($C86,4,1))&gt;=1,VALUE(MID($C86,4,1))&lt;=8),(VALUE(MID($C86,4,1))-1)*8+CODE(MID($C86,3,1))-96,0),0))</f>
        <v>0</v>
      </c>
      <c r="F86" s="11" t="str">
        <f aca="false">IF(MOD(SUM($P$5:$P85),2)=0,"w","b")</f>
        <v>w</v>
      </c>
      <c r="G86" s="11" t="str">
        <f aca="false">IF($D86=0,"",INDEX($AH85:$CS85,1,$D86)&amp;"")</f>
        <v/>
      </c>
      <c r="H86" s="11" t="str">
        <f aca="false">IF($E86=0,"",INDEX($AH85:$CS85,1,$E86)&amp;"")</f>
        <v/>
      </c>
      <c r="I86" s="11" t="n">
        <f aca="false">IF(OR($D86=0,$E86=0),0,MOD($E86-1,8)-MOD($D86-1,8))</f>
        <v>0</v>
      </c>
      <c r="J86" s="11" t="n">
        <f aca="false">IF(OR($D86=0,$E86=0),0,INT(($E86-1)/8)-INT(($D86-1)/8))</f>
        <v>0</v>
      </c>
      <c r="K86" s="11" t="str">
        <f aca="false">IF($G86="","",RIGHT($G86,1))</f>
        <v/>
      </c>
      <c r="L86" s="11" t="n">
        <f aca="false">IF(OR($D86=0,$E86=0),0,SUMPRODUCT(($AH$3:$CS$3&gt;MIN($D86,$E86))*($AH$3:$CS$3&lt;MAX($D86,$E86))*(MOD($AH$3:$CS$3-MIN($D86,$E86),MAX(1,ABS(SIGN($J86)*8+SIGN($I86))))=0)*($AH85:$CS85&lt;&gt;"")))</f>
        <v>0</v>
      </c>
      <c r="M86" s="11" t="n">
        <f aca="false">IF($K86&lt;&gt;"K",0,IFERROR(--AND($J86=0,ABS($I86)=2,$D86=IF($F86="w",5,61),IF($F86="w",$S85,$V85)=0,IF($I86=2,AND(IF($F86="w",$U85,$X85)=0,INDEX($AH85:$CS85,1,$D86+1)&amp;""="",INDEX($AH85:$CS85,1,$D86+2)&amp;""=""),AND(IF($F86="w",$T85,$W85)=0,INDEX($AH85:$CS85,1,$D86-1)&amp;""="",INDEX($AH85:$CS85,1,$D86-2)&amp;""="",INDEX($AH85:$CS85,1,$D86-3)&amp;""=""))),0))</f>
        <v>0</v>
      </c>
      <c r="N86" s="11" t="n">
        <f aca="false">IF($K86&lt;&gt;"P",0,IFERROR(--OR(AND($I86=0,$J86=IF($F86="w",1,-1),$H86=""),AND($I86=0,$J86=2*IF($F86="w",1,-1),$H86="",INT(($D86-1)/8)=IF($F86="w",1,6),INDEX($AH85:$CS85,1,MAX(1,MIN(64,$D86+8*IF($F86="w",1,-1))))&amp;""=""),AND(ABS($I86)=1,$J86=IF($F86="w",1,-1),$H86&lt;&gt;""),AND(ABS($I86)=1,$J86=IF($F86="w",1,-1),$H86="",$R85&gt;0,$E86=$R85)),0))</f>
        <v>0</v>
      </c>
      <c r="O86" s="11" t="n">
        <f aca="false">IF(OR($D86=0,$E86=0,$G86=""),0,IF($K86="N",--OR(AND(ABS($I86)=1,ABS($J86)=2),AND(ABS($I86)=2,ABS($J86)=1)),IF($K86="B",--AND(ABS($I86)=ABS($J86),$I86&lt;&gt;0,$L86=0),IF($K86="R",--AND(OR($I86=0,$J86=0),OR($I86&lt;&gt;0,$J86&lt;&gt;0),$L86=0),IF($K86="Q",--AND(OR(AND(ABS($I86)=ABS($J86),$I86&lt;&gt;0),AND(OR($I86=0,$J86=0),OR($I86&lt;&gt;0,$J86&lt;&gt;0))),$L86=0),IF($K86="K",--OR(MAX(ABS($I86),ABS($J86))=1,$M86=1),$N86))))))</f>
        <v>0</v>
      </c>
      <c r="P86" s="11" t="n">
        <f aca="false">IF($Q86="OK",1,0)</f>
        <v>0</v>
      </c>
      <c r="Q86" s="11" t="str">
        <f aca="false">IF($B86="","",IF(OR(COUNTIF($AH85:$CS85,"wK")=0,COUNTIF($AH85:$CS85,"bK")=0),"Game is over",IF(OR($D86=0,$E86=0),"Use the format e2e4",IF($G86="","No piece on that square",IF(LEFT($G86,1)&lt;&gt;$F86,"Not your piece ("&amp;IF($F86="w","White","Black")&amp;" to move)",IF($D86=$E86,"Piece must move",IF(AND($H86&lt;&gt;"",LEFT($H86,1)=$F86),"Cannot capture your own piece",IF($O86=0,"Illegal move for that piece (or path blocked)","OK"))))))))</f>
        <v/>
      </c>
      <c r="R86" s="11" t="n">
        <f aca="false">IF($P86=1,IF(AND($K86="P",ABS($J86)=2),($D86+$E86)/2,0),$R85)</f>
        <v>0</v>
      </c>
      <c r="S86" s="12" t="b">
        <f aca="false">--OR($S85=1,AND($P86=1,OR($D86=5,$E86=5)))</f>
        <v>0</v>
      </c>
      <c r="T86" s="12" t="b">
        <f aca="false">--OR($T85=1,AND($P86=1,OR($D86=1,$E86=1)))</f>
        <v>0</v>
      </c>
      <c r="U86" s="12" t="b">
        <f aca="false">--OR($U85=1,AND($P86=1,OR($D86=8,$E86=8)))</f>
        <v>0</v>
      </c>
      <c r="V86" s="12" t="b">
        <f aca="false">--OR($V85=1,AND($P86=1,OR($D86=61,$E86=61)))</f>
        <v>0</v>
      </c>
      <c r="W86" s="12" t="b">
        <f aca="false">--OR($W85=1,AND($P86=1,OR($D86=57,$E86=57)))</f>
        <v>0</v>
      </c>
      <c r="X86" s="12" t="b">
        <f aca="false">--OR($X85=1,AND($P86=1,OR($D86=64,$E86=64)))</f>
        <v>0</v>
      </c>
      <c r="Y86" s="12" t="b">
        <f aca="false">--AND($P86=1,$K86="K",ABS($I86)=2)</f>
        <v>0</v>
      </c>
      <c r="Z86" s="12" t="b">
        <f aca="false">--AND($P86=1,$K86="P",ABS($I86)=1,$H86="")</f>
        <v>0</v>
      </c>
      <c r="AA86" s="12" t="b">
        <f aca="false">--AND($P86=1,$K86="P",INT(($E86-1)/8)=IF($F86="w",7,0))</f>
        <v>0</v>
      </c>
      <c r="AB86" s="11" t="str">
        <f aca="false">IF(LEN($C86)&gt;=5,IF(ISNUMBER(FIND(MID($C86,5,1),"qrbn")),UPPER(MID($C86,5,1)),"Q"),"Q")</f>
        <v>Q</v>
      </c>
      <c r="AC86" s="11" t="n">
        <f aca="false">IF($Y86=1,IF($I86=2,$D86+3,$D86-4),0)</f>
        <v>0</v>
      </c>
      <c r="AD86" s="11" t="n">
        <f aca="false">IF($Y86=1,IF($I86=2,$D86+1,$D86-1),0)</f>
        <v>0</v>
      </c>
      <c r="AE86" s="11" t="n">
        <f aca="false">IF($Z86=1,$E86-8*IF($F86="w",1,-1),0)</f>
        <v>0</v>
      </c>
      <c r="AF86" s="11" t="str">
        <f aca="false">IF($B86="","",IF($P86=1,LOWER(INDEX($CV$2:$CV$13,MATCH($G86,$CU$2:$CU$13,0)))&amp;" "&amp;MID("abcdefgh",MOD($D86-1,8)+1,1)&amp;(INT(($D86-1)/8)+1)&amp;"→"&amp;MID("abcdefgh",MOD($E86-1,8)+1,1)&amp;(INT(($E86-1)/8)+1)&amp;IF(OR($H86&lt;&gt;"",$Z86=1)," ×","")&amp;IF($Y86=1," castles","")&amp;IF($Z86=1," e.p.","")&amp;IF($AA86=1," =" &amp;LOWER(INDEX($CV$2:$CV$13,MATCH($F86&amp;$AB86,$CU$2:$CU$13,0))),""),"X "&amp;$Q86))</f>
        <v/>
      </c>
      <c r="AG86" s="11"/>
      <c r="AH86" s="11" t="str">
        <f aca="false">IF($P86=0,AH85,IF(AH$3=$E86,IF($AA86=1,$F86&amp;$AB86,$G86),IF(OR(AH$3=$D86,AH$3=$AC86,AH$3=$AE86),"",IF(AH$3=$AD86,$F86&amp;"R",AH85))))</f>
        <v>wR</v>
      </c>
      <c r="AI86" s="11" t="str">
        <f aca="false">IF($P86=0,AI85,IF(AI$3=$E86,IF($AA86=1,$F86&amp;$AB86,$G86),IF(OR(AI$3=$D86,AI$3=$AC86,AI$3=$AE86),"",IF(AI$3=$AD86,$F86&amp;"R",AI85))))</f>
        <v>wN</v>
      </c>
      <c r="AJ86" s="11" t="str">
        <f aca="false">IF($P86=0,AJ85,IF(AJ$3=$E86,IF($AA86=1,$F86&amp;$AB86,$G86),IF(OR(AJ$3=$D86,AJ$3=$AC86,AJ$3=$AE86),"",IF(AJ$3=$AD86,$F86&amp;"R",AJ85))))</f>
        <v>wB</v>
      </c>
      <c r="AK86" s="11" t="str">
        <f aca="false">IF($P86=0,AK85,IF(AK$3=$E86,IF($AA86=1,$F86&amp;$AB86,$G86),IF(OR(AK$3=$D86,AK$3=$AC86,AK$3=$AE86),"",IF(AK$3=$AD86,$F86&amp;"R",AK85))))</f>
        <v>wQ</v>
      </c>
      <c r="AL86" s="11" t="str">
        <f aca="false">IF($P86=0,AL85,IF(AL$3=$E86,IF($AA86=1,$F86&amp;$AB86,$G86),IF(OR(AL$3=$D86,AL$3=$AC86,AL$3=$AE86),"",IF(AL$3=$AD86,$F86&amp;"R",AL85))))</f>
        <v>wK</v>
      </c>
      <c r="AM86" s="11" t="str">
        <f aca="false">IF($P86=0,AM85,IF(AM$3=$E86,IF($AA86=1,$F86&amp;$AB86,$G86),IF(OR(AM$3=$D86,AM$3=$AC86,AM$3=$AE86),"",IF(AM$3=$AD86,$F86&amp;"R",AM85))))</f>
        <v>wB</v>
      </c>
      <c r="AN86" s="11" t="str">
        <f aca="false">IF($P86=0,AN85,IF(AN$3=$E86,IF($AA86=1,$F86&amp;$AB86,$G86),IF(OR(AN$3=$D86,AN$3=$AC86,AN$3=$AE86),"",IF(AN$3=$AD86,$F86&amp;"R",AN85))))</f>
        <v>wN</v>
      </c>
      <c r="AO86" s="11" t="str">
        <f aca="false">IF($P86=0,AO85,IF(AO$3=$E86,IF($AA86=1,$F86&amp;$AB86,$G86),IF(OR(AO$3=$D86,AO$3=$AC86,AO$3=$AE86),"",IF(AO$3=$AD86,$F86&amp;"R",AO85))))</f>
        <v>wR</v>
      </c>
      <c r="AP86" s="11" t="str">
        <f aca="false">IF($P86=0,AP85,IF(AP$3=$E86,IF($AA86=1,$F86&amp;$AB86,$G86),IF(OR(AP$3=$D86,AP$3=$AC86,AP$3=$AE86),"",IF(AP$3=$AD86,$F86&amp;"R",AP85))))</f>
        <v>wP</v>
      </c>
      <c r="AQ86" s="11" t="str">
        <f aca="false">IF($P86=0,AQ85,IF(AQ$3=$E86,IF($AA86=1,$F86&amp;$AB86,$G86),IF(OR(AQ$3=$D86,AQ$3=$AC86,AQ$3=$AE86),"",IF(AQ$3=$AD86,$F86&amp;"R",AQ85))))</f>
        <v>wP</v>
      </c>
      <c r="AR86" s="11" t="str">
        <f aca="false">IF($P86=0,AR85,IF(AR$3=$E86,IF($AA86=1,$F86&amp;$AB86,$G86),IF(OR(AR$3=$D86,AR$3=$AC86,AR$3=$AE86),"",IF(AR$3=$AD86,$F86&amp;"R",AR85))))</f>
        <v>wP</v>
      </c>
      <c r="AS86" s="11" t="str">
        <f aca="false">IF($P86=0,AS85,IF(AS$3=$E86,IF($AA86=1,$F86&amp;$AB86,$G86),IF(OR(AS$3=$D86,AS$3=$AC86,AS$3=$AE86),"",IF(AS$3=$AD86,$F86&amp;"R",AS85))))</f>
        <v>wP</v>
      </c>
      <c r="AT86" s="11" t="str">
        <f aca="false">IF($P86=0,AT85,IF(AT$3=$E86,IF($AA86=1,$F86&amp;$AB86,$G86),IF(OR(AT$3=$D86,AT$3=$AC86,AT$3=$AE86),"",IF(AT$3=$AD86,$F86&amp;"R",AT85))))</f>
        <v>wP</v>
      </c>
      <c r="AU86" s="11" t="str">
        <f aca="false">IF($P86=0,AU85,IF(AU$3=$E86,IF($AA86=1,$F86&amp;$AB86,$G86),IF(OR(AU$3=$D86,AU$3=$AC86,AU$3=$AE86),"",IF(AU$3=$AD86,$F86&amp;"R",AU85))))</f>
        <v>wP</v>
      </c>
      <c r="AV86" s="11" t="str">
        <f aca="false">IF($P86=0,AV85,IF(AV$3=$E86,IF($AA86=1,$F86&amp;$AB86,$G86),IF(OR(AV$3=$D86,AV$3=$AC86,AV$3=$AE86),"",IF(AV$3=$AD86,$F86&amp;"R",AV85))))</f>
        <v>wP</v>
      </c>
      <c r="AW86" s="11" t="str">
        <f aca="false">IF($P86=0,AW85,IF(AW$3=$E86,IF($AA86=1,$F86&amp;$AB86,$G86),IF(OR(AW$3=$D86,AW$3=$AC86,AW$3=$AE86),"",IF(AW$3=$AD86,$F86&amp;"R",AW85))))</f>
        <v>wP</v>
      </c>
      <c r="AX86" s="11" t="str">
        <f aca="false">IF($P86=0,AX85,IF(AX$3=$E86,IF($AA86=1,$F86&amp;$AB86,$G86),IF(OR(AX$3=$D86,AX$3=$AC86,AX$3=$AE86),"",IF(AX$3=$AD86,$F86&amp;"R",AX85))))</f>
        <v/>
      </c>
      <c r="AY86" s="11" t="str">
        <f aca="false">IF($P86=0,AY85,IF(AY$3=$E86,IF($AA86=1,$F86&amp;$AB86,$G86),IF(OR(AY$3=$D86,AY$3=$AC86,AY$3=$AE86),"",IF(AY$3=$AD86,$F86&amp;"R",AY85))))</f>
        <v/>
      </c>
      <c r="AZ86" s="11" t="str">
        <f aca="false">IF($P86=0,AZ85,IF(AZ$3=$E86,IF($AA86=1,$F86&amp;$AB86,$G86),IF(OR(AZ$3=$D86,AZ$3=$AC86,AZ$3=$AE86),"",IF(AZ$3=$AD86,$F86&amp;"R",AZ85))))</f>
        <v/>
      </c>
      <c r="BA86" s="11" t="str">
        <f aca="false">IF($P86=0,BA85,IF(BA$3=$E86,IF($AA86=1,$F86&amp;$AB86,$G86),IF(OR(BA$3=$D86,BA$3=$AC86,BA$3=$AE86),"",IF(BA$3=$AD86,$F86&amp;"R",BA85))))</f>
        <v/>
      </c>
      <c r="BB86" s="11" t="str">
        <f aca="false">IF($P86=0,BB85,IF(BB$3=$E86,IF($AA86=1,$F86&amp;$AB86,$G86),IF(OR(BB$3=$D86,BB$3=$AC86,BB$3=$AE86),"",IF(BB$3=$AD86,$F86&amp;"R",BB85))))</f>
        <v/>
      </c>
      <c r="BC86" s="11" t="str">
        <f aca="false">IF($P86=0,BC85,IF(BC$3=$E86,IF($AA86=1,$F86&amp;$AB86,$G86),IF(OR(BC$3=$D86,BC$3=$AC86,BC$3=$AE86),"",IF(BC$3=$AD86,$F86&amp;"R",BC85))))</f>
        <v/>
      </c>
      <c r="BD86" s="11" t="str">
        <f aca="false">IF($P86=0,BD85,IF(BD$3=$E86,IF($AA86=1,$F86&amp;$AB86,$G86),IF(OR(BD$3=$D86,BD$3=$AC86,BD$3=$AE86),"",IF(BD$3=$AD86,$F86&amp;"R",BD85))))</f>
        <v/>
      </c>
      <c r="BE86" s="11" t="str">
        <f aca="false">IF($P86=0,BE85,IF(BE$3=$E86,IF($AA86=1,$F86&amp;$AB86,$G86),IF(OR(BE$3=$D86,BE$3=$AC86,BE$3=$AE86),"",IF(BE$3=$AD86,$F86&amp;"R",BE85))))</f>
        <v/>
      </c>
      <c r="BF86" s="11" t="str">
        <f aca="false">IF($P86=0,BF85,IF(BF$3=$E86,IF($AA86=1,$F86&amp;$AB86,$G86),IF(OR(BF$3=$D86,BF$3=$AC86,BF$3=$AE86),"",IF(BF$3=$AD86,$F86&amp;"R",BF85))))</f>
        <v/>
      </c>
      <c r="BG86" s="11" t="str">
        <f aca="false">IF($P86=0,BG85,IF(BG$3=$E86,IF($AA86=1,$F86&amp;$AB86,$G86),IF(OR(BG$3=$D86,BG$3=$AC86,BG$3=$AE86),"",IF(BG$3=$AD86,$F86&amp;"R",BG85))))</f>
        <v/>
      </c>
      <c r="BH86" s="11" t="str">
        <f aca="false">IF($P86=0,BH85,IF(BH$3=$E86,IF($AA86=1,$F86&amp;$AB86,$G86),IF(OR(BH$3=$D86,BH$3=$AC86,BH$3=$AE86),"",IF(BH$3=$AD86,$F86&amp;"R",BH85))))</f>
        <v/>
      </c>
      <c r="BI86" s="11" t="str">
        <f aca="false">IF($P86=0,BI85,IF(BI$3=$E86,IF($AA86=1,$F86&amp;$AB86,$G86),IF(OR(BI$3=$D86,BI$3=$AC86,BI$3=$AE86),"",IF(BI$3=$AD86,$F86&amp;"R",BI85))))</f>
        <v/>
      </c>
      <c r="BJ86" s="11" t="str">
        <f aca="false">IF($P86=0,BJ85,IF(BJ$3=$E86,IF($AA86=1,$F86&amp;$AB86,$G86),IF(OR(BJ$3=$D86,BJ$3=$AC86,BJ$3=$AE86),"",IF(BJ$3=$AD86,$F86&amp;"R",BJ85))))</f>
        <v/>
      </c>
      <c r="BK86" s="11" t="str">
        <f aca="false">IF($P86=0,BK85,IF(BK$3=$E86,IF($AA86=1,$F86&amp;$AB86,$G86),IF(OR(BK$3=$D86,BK$3=$AC86,BK$3=$AE86),"",IF(BK$3=$AD86,$F86&amp;"R",BK85))))</f>
        <v/>
      </c>
      <c r="BL86" s="11" t="str">
        <f aca="false">IF($P86=0,BL85,IF(BL$3=$E86,IF($AA86=1,$F86&amp;$AB86,$G86),IF(OR(BL$3=$D86,BL$3=$AC86,BL$3=$AE86),"",IF(BL$3=$AD86,$F86&amp;"R",BL85))))</f>
        <v/>
      </c>
      <c r="BM86" s="11" t="str">
        <f aca="false">IF($P86=0,BM85,IF(BM$3=$E86,IF($AA86=1,$F86&amp;$AB86,$G86),IF(OR(BM$3=$D86,BM$3=$AC86,BM$3=$AE86),"",IF(BM$3=$AD86,$F86&amp;"R",BM85))))</f>
        <v/>
      </c>
      <c r="BN86" s="11" t="str">
        <f aca="false">IF($P86=0,BN85,IF(BN$3=$E86,IF($AA86=1,$F86&amp;$AB86,$G86),IF(OR(BN$3=$D86,BN$3=$AC86,BN$3=$AE86),"",IF(BN$3=$AD86,$F86&amp;"R",BN85))))</f>
        <v/>
      </c>
      <c r="BO86" s="11" t="str">
        <f aca="false">IF($P86=0,BO85,IF(BO$3=$E86,IF($AA86=1,$F86&amp;$AB86,$G86),IF(OR(BO$3=$D86,BO$3=$AC86,BO$3=$AE86),"",IF(BO$3=$AD86,$F86&amp;"R",BO85))))</f>
        <v/>
      </c>
      <c r="BP86" s="11" t="str">
        <f aca="false">IF($P86=0,BP85,IF(BP$3=$E86,IF($AA86=1,$F86&amp;$AB86,$G86),IF(OR(BP$3=$D86,BP$3=$AC86,BP$3=$AE86),"",IF(BP$3=$AD86,$F86&amp;"R",BP85))))</f>
        <v/>
      </c>
      <c r="BQ86" s="11" t="str">
        <f aca="false">IF($P86=0,BQ85,IF(BQ$3=$E86,IF($AA86=1,$F86&amp;$AB86,$G86),IF(OR(BQ$3=$D86,BQ$3=$AC86,BQ$3=$AE86),"",IF(BQ$3=$AD86,$F86&amp;"R",BQ85))))</f>
        <v/>
      </c>
      <c r="BR86" s="11" t="str">
        <f aca="false">IF($P86=0,BR85,IF(BR$3=$E86,IF($AA86=1,$F86&amp;$AB86,$G86),IF(OR(BR$3=$D86,BR$3=$AC86,BR$3=$AE86),"",IF(BR$3=$AD86,$F86&amp;"R",BR85))))</f>
        <v/>
      </c>
      <c r="BS86" s="11" t="str">
        <f aca="false">IF($P86=0,BS85,IF(BS$3=$E86,IF($AA86=1,$F86&amp;$AB86,$G86),IF(OR(BS$3=$D86,BS$3=$AC86,BS$3=$AE86),"",IF(BS$3=$AD86,$F86&amp;"R",BS85))))</f>
        <v/>
      </c>
      <c r="BT86" s="11" t="str">
        <f aca="false">IF($P86=0,BT85,IF(BT$3=$E86,IF($AA86=1,$F86&amp;$AB86,$G86),IF(OR(BT$3=$D86,BT$3=$AC86,BT$3=$AE86),"",IF(BT$3=$AD86,$F86&amp;"R",BT85))))</f>
        <v/>
      </c>
      <c r="BU86" s="11" t="str">
        <f aca="false">IF($P86=0,BU85,IF(BU$3=$E86,IF($AA86=1,$F86&amp;$AB86,$G86),IF(OR(BU$3=$D86,BU$3=$AC86,BU$3=$AE86),"",IF(BU$3=$AD86,$F86&amp;"R",BU85))))</f>
        <v/>
      </c>
      <c r="BV86" s="11" t="str">
        <f aca="false">IF($P86=0,BV85,IF(BV$3=$E86,IF($AA86=1,$F86&amp;$AB86,$G86),IF(OR(BV$3=$D86,BV$3=$AC86,BV$3=$AE86),"",IF(BV$3=$AD86,$F86&amp;"R",BV85))))</f>
        <v/>
      </c>
      <c r="BW86" s="11" t="str">
        <f aca="false">IF($P86=0,BW85,IF(BW$3=$E86,IF($AA86=1,$F86&amp;$AB86,$G86),IF(OR(BW$3=$D86,BW$3=$AC86,BW$3=$AE86),"",IF(BW$3=$AD86,$F86&amp;"R",BW85))))</f>
        <v/>
      </c>
      <c r="BX86" s="11" t="str">
        <f aca="false">IF($P86=0,BX85,IF(BX$3=$E86,IF($AA86=1,$F86&amp;$AB86,$G86),IF(OR(BX$3=$D86,BX$3=$AC86,BX$3=$AE86),"",IF(BX$3=$AD86,$F86&amp;"R",BX85))))</f>
        <v/>
      </c>
      <c r="BY86" s="11" t="str">
        <f aca="false">IF($P86=0,BY85,IF(BY$3=$E86,IF($AA86=1,$F86&amp;$AB86,$G86),IF(OR(BY$3=$D86,BY$3=$AC86,BY$3=$AE86),"",IF(BY$3=$AD86,$F86&amp;"R",BY85))))</f>
        <v/>
      </c>
      <c r="BZ86" s="11" t="str">
        <f aca="false">IF($P86=0,BZ85,IF(BZ$3=$E86,IF($AA86=1,$F86&amp;$AB86,$G86),IF(OR(BZ$3=$D86,BZ$3=$AC86,BZ$3=$AE86),"",IF(BZ$3=$AD86,$F86&amp;"R",BZ85))))</f>
        <v/>
      </c>
      <c r="CA86" s="11" t="str">
        <f aca="false">IF($P86=0,CA85,IF(CA$3=$E86,IF($AA86=1,$F86&amp;$AB86,$G86),IF(OR(CA$3=$D86,CA$3=$AC86,CA$3=$AE86),"",IF(CA$3=$AD86,$F86&amp;"R",CA85))))</f>
        <v/>
      </c>
      <c r="CB86" s="11" t="str">
        <f aca="false">IF($P86=0,CB85,IF(CB$3=$E86,IF($AA86=1,$F86&amp;$AB86,$G86),IF(OR(CB$3=$D86,CB$3=$AC86,CB$3=$AE86),"",IF(CB$3=$AD86,$F86&amp;"R",CB85))))</f>
        <v/>
      </c>
      <c r="CC86" s="11" t="str">
        <f aca="false">IF($P86=0,CC85,IF(CC$3=$E86,IF($AA86=1,$F86&amp;$AB86,$G86),IF(OR(CC$3=$D86,CC$3=$AC86,CC$3=$AE86),"",IF(CC$3=$AD86,$F86&amp;"R",CC85))))</f>
        <v/>
      </c>
      <c r="CD86" s="11" t="str">
        <f aca="false">IF($P86=0,CD85,IF(CD$3=$E86,IF($AA86=1,$F86&amp;$AB86,$G86),IF(OR(CD$3=$D86,CD$3=$AC86,CD$3=$AE86),"",IF(CD$3=$AD86,$F86&amp;"R",CD85))))</f>
        <v>bP</v>
      </c>
      <c r="CE86" s="11" t="str">
        <f aca="false">IF($P86=0,CE85,IF(CE$3=$E86,IF($AA86=1,$F86&amp;$AB86,$G86),IF(OR(CE$3=$D86,CE$3=$AC86,CE$3=$AE86),"",IF(CE$3=$AD86,$F86&amp;"R",CE85))))</f>
        <v>bP</v>
      </c>
      <c r="CF86" s="11" t="str">
        <f aca="false">IF($P86=0,CF85,IF(CF$3=$E86,IF($AA86=1,$F86&amp;$AB86,$G86),IF(OR(CF$3=$D86,CF$3=$AC86,CF$3=$AE86),"",IF(CF$3=$AD86,$F86&amp;"R",CF85))))</f>
        <v>bP</v>
      </c>
      <c r="CG86" s="11" t="str">
        <f aca="false">IF($P86=0,CG85,IF(CG$3=$E86,IF($AA86=1,$F86&amp;$AB86,$G86),IF(OR(CG$3=$D86,CG$3=$AC86,CG$3=$AE86),"",IF(CG$3=$AD86,$F86&amp;"R",CG85))))</f>
        <v>bP</v>
      </c>
      <c r="CH86" s="11" t="str">
        <f aca="false">IF($P86=0,CH85,IF(CH$3=$E86,IF($AA86=1,$F86&amp;$AB86,$G86),IF(OR(CH$3=$D86,CH$3=$AC86,CH$3=$AE86),"",IF(CH$3=$AD86,$F86&amp;"R",CH85))))</f>
        <v>bP</v>
      </c>
      <c r="CI86" s="11" t="str">
        <f aca="false">IF($P86=0,CI85,IF(CI$3=$E86,IF($AA86=1,$F86&amp;$AB86,$G86),IF(OR(CI$3=$D86,CI$3=$AC86,CI$3=$AE86),"",IF(CI$3=$AD86,$F86&amp;"R",CI85))))</f>
        <v>bP</v>
      </c>
      <c r="CJ86" s="11" t="str">
        <f aca="false">IF($P86=0,CJ85,IF(CJ$3=$E86,IF($AA86=1,$F86&amp;$AB86,$G86),IF(OR(CJ$3=$D86,CJ$3=$AC86,CJ$3=$AE86),"",IF(CJ$3=$AD86,$F86&amp;"R",CJ85))))</f>
        <v>bP</v>
      </c>
      <c r="CK86" s="11" t="str">
        <f aca="false">IF($P86=0,CK85,IF(CK$3=$E86,IF($AA86=1,$F86&amp;$AB86,$G86),IF(OR(CK$3=$D86,CK$3=$AC86,CK$3=$AE86),"",IF(CK$3=$AD86,$F86&amp;"R",CK85))))</f>
        <v>bP</v>
      </c>
      <c r="CL86" s="11" t="str">
        <f aca="false">IF($P86=0,CL85,IF(CL$3=$E86,IF($AA86=1,$F86&amp;$AB86,$G86),IF(OR(CL$3=$D86,CL$3=$AC86,CL$3=$AE86),"",IF(CL$3=$AD86,$F86&amp;"R",CL85))))</f>
        <v>bR</v>
      </c>
      <c r="CM86" s="11" t="str">
        <f aca="false">IF($P86=0,CM85,IF(CM$3=$E86,IF($AA86=1,$F86&amp;$AB86,$G86),IF(OR(CM$3=$D86,CM$3=$AC86,CM$3=$AE86),"",IF(CM$3=$AD86,$F86&amp;"R",CM85))))</f>
        <v>bN</v>
      </c>
      <c r="CN86" s="11" t="str">
        <f aca="false">IF($P86=0,CN85,IF(CN$3=$E86,IF($AA86=1,$F86&amp;$AB86,$G86),IF(OR(CN$3=$D86,CN$3=$AC86,CN$3=$AE86),"",IF(CN$3=$AD86,$F86&amp;"R",CN85))))</f>
        <v>bB</v>
      </c>
      <c r="CO86" s="11" t="str">
        <f aca="false">IF($P86=0,CO85,IF(CO$3=$E86,IF($AA86=1,$F86&amp;$AB86,$G86),IF(OR(CO$3=$D86,CO$3=$AC86,CO$3=$AE86),"",IF(CO$3=$AD86,$F86&amp;"R",CO85))))</f>
        <v>bQ</v>
      </c>
      <c r="CP86" s="11" t="str">
        <f aca="false">IF($P86=0,CP85,IF(CP$3=$E86,IF($AA86=1,$F86&amp;$AB86,$G86),IF(OR(CP$3=$D86,CP$3=$AC86,CP$3=$AE86),"",IF(CP$3=$AD86,$F86&amp;"R",CP85))))</f>
        <v>bK</v>
      </c>
      <c r="CQ86" s="11" t="str">
        <f aca="false">IF($P86=0,CQ85,IF(CQ$3=$E86,IF($AA86=1,$F86&amp;$AB86,$G86),IF(OR(CQ$3=$D86,CQ$3=$AC86,CQ$3=$AE86),"",IF(CQ$3=$AD86,$F86&amp;"R",CQ85))))</f>
        <v>bB</v>
      </c>
      <c r="CR86" s="11" t="str">
        <f aca="false">IF($P86=0,CR85,IF(CR$3=$E86,IF($AA86=1,$F86&amp;$AB86,$G86),IF(OR(CR$3=$D86,CR$3=$AC86,CR$3=$AE86),"",IF(CR$3=$AD86,$F86&amp;"R",CR85))))</f>
        <v>bN</v>
      </c>
      <c r="CS86" s="11" t="str">
        <f aca="false">IF($P86=0,CS85,IF(CS$3=$E86,IF($AA86=1,$F86&amp;$AB86,$G86),IF(OR(CS$3=$D86,CS$3=$AC86,CS$3=$AE86),"",IF(CS$3=$AD86,$F86&amp;"R",CS85))))</f>
        <v>bR</v>
      </c>
      <c r="CT86" s="11"/>
      <c r="CU86" s="11"/>
      <c r="CV86" s="11"/>
    </row>
    <row r="87" customFormat="false" ht="15" hidden="false" customHeight="false" outlineLevel="0" collapsed="false">
      <c r="A87" s="11" t="n">
        <v>82</v>
      </c>
      <c r="B87" s="11" t="str">
        <f aca="false">IF(Chess!$L$91="","",Chess!$L$91&amp;"")</f>
        <v/>
      </c>
      <c r="C87" s="11" t="str">
        <f aca="false">LOWER(SUBSTITUTE(SUBSTITUTE(SUBSTITUTE(SUBSTITUTE(TRIM($B87),"-",""),"=","")," ",""),"x",""))</f>
        <v/>
      </c>
      <c r="D87" s="11" t="n">
        <f aca="false">IF(LEN($C87)&lt;4,0,IFERROR(IF(AND(CODE(MID($C87,1,1))&gt;=97,CODE(MID($C87,1,1))&lt;=104,VALUE(MID($C87,2,1))&gt;=1,VALUE(MID($C87,2,1))&lt;=8),(VALUE(MID($C87,2,1))-1)*8+CODE(MID($C87,1,1))-96,0),0))</f>
        <v>0</v>
      </c>
      <c r="E87" s="11" t="n">
        <f aca="false">IF(LEN($C87)&lt;4,0,IFERROR(IF(AND(CODE(MID($C87,3,1))&gt;=97,CODE(MID($C87,3,1))&lt;=104,VALUE(MID($C87,4,1))&gt;=1,VALUE(MID($C87,4,1))&lt;=8),(VALUE(MID($C87,4,1))-1)*8+CODE(MID($C87,3,1))-96,0),0))</f>
        <v>0</v>
      </c>
      <c r="F87" s="11" t="str">
        <f aca="false">IF(MOD(SUM($P$5:$P86),2)=0,"w","b")</f>
        <v>w</v>
      </c>
      <c r="G87" s="11" t="str">
        <f aca="false">IF($D87=0,"",INDEX($AH86:$CS86,1,$D87)&amp;"")</f>
        <v/>
      </c>
      <c r="H87" s="11" t="str">
        <f aca="false">IF($E87=0,"",INDEX($AH86:$CS86,1,$E87)&amp;"")</f>
        <v/>
      </c>
      <c r="I87" s="11" t="n">
        <f aca="false">IF(OR($D87=0,$E87=0),0,MOD($E87-1,8)-MOD($D87-1,8))</f>
        <v>0</v>
      </c>
      <c r="J87" s="11" t="n">
        <f aca="false">IF(OR($D87=0,$E87=0),0,INT(($E87-1)/8)-INT(($D87-1)/8))</f>
        <v>0</v>
      </c>
      <c r="K87" s="11" t="str">
        <f aca="false">IF($G87="","",RIGHT($G87,1))</f>
        <v/>
      </c>
      <c r="L87" s="11" t="n">
        <f aca="false">IF(OR($D87=0,$E87=0),0,SUMPRODUCT(($AH$3:$CS$3&gt;MIN($D87,$E87))*($AH$3:$CS$3&lt;MAX($D87,$E87))*(MOD($AH$3:$CS$3-MIN($D87,$E87),MAX(1,ABS(SIGN($J87)*8+SIGN($I87))))=0)*($AH86:$CS86&lt;&gt;"")))</f>
        <v>0</v>
      </c>
      <c r="M87" s="11" t="n">
        <f aca="false">IF($K87&lt;&gt;"K",0,IFERROR(--AND($J87=0,ABS($I87)=2,$D87=IF($F87="w",5,61),IF($F87="w",$S86,$V86)=0,IF($I87=2,AND(IF($F87="w",$U86,$X86)=0,INDEX($AH86:$CS86,1,$D87+1)&amp;""="",INDEX($AH86:$CS86,1,$D87+2)&amp;""=""),AND(IF($F87="w",$T86,$W86)=0,INDEX($AH86:$CS86,1,$D87-1)&amp;""="",INDEX($AH86:$CS86,1,$D87-2)&amp;""="",INDEX($AH86:$CS86,1,$D87-3)&amp;""=""))),0))</f>
        <v>0</v>
      </c>
      <c r="N87" s="11" t="n">
        <f aca="false">IF($K87&lt;&gt;"P",0,IFERROR(--OR(AND($I87=0,$J87=IF($F87="w",1,-1),$H87=""),AND($I87=0,$J87=2*IF($F87="w",1,-1),$H87="",INT(($D87-1)/8)=IF($F87="w",1,6),INDEX($AH86:$CS86,1,MAX(1,MIN(64,$D87+8*IF($F87="w",1,-1))))&amp;""=""),AND(ABS($I87)=1,$J87=IF($F87="w",1,-1),$H87&lt;&gt;""),AND(ABS($I87)=1,$J87=IF($F87="w",1,-1),$H87="",$R86&gt;0,$E87=$R86)),0))</f>
        <v>0</v>
      </c>
      <c r="O87" s="11" t="n">
        <f aca="false">IF(OR($D87=0,$E87=0,$G87=""),0,IF($K87="N",--OR(AND(ABS($I87)=1,ABS($J87)=2),AND(ABS($I87)=2,ABS($J87)=1)),IF($K87="B",--AND(ABS($I87)=ABS($J87),$I87&lt;&gt;0,$L87=0),IF($K87="R",--AND(OR($I87=0,$J87=0),OR($I87&lt;&gt;0,$J87&lt;&gt;0),$L87=0),IF($K87="Q",--AND(OR(AND(ABS($I87)=ABS($J87),$I87&lt;&gt;0),AND(OR($I87=0,$J87=0),OR($I87&lt;&gt;0,$J87&lt;&gt;0))),$L87=0),IF($K87="K",--OR(MAX(ABS($I87),ABS($J87))=1,$M87=1),$N87))))))</f>
        <v>0</v>
      </c>
      <c r="P87" s="11" t="n">
        <f aca="false">IF($Q87="OK",1,0)</f>
        <v>0</v>
      </c>
      <c r="Q87" s="11" t="str">
        <f aca="false">IF($B87="","",IF(OR(COUNTIF($AH86:$CS86,"wK")=0,COUNTIF($AH86:$CS86,"bK")=0),"Game is over",IF(OR($D87=0,$E87=0),"Use the format e2e4",IF($G87="","No piece on that square",IF(LEFT($G87,1)&lt;&gt;$F87,"Not your piece ("&amp;IF($F87="w","White","Black")&amp;" to move)",IF($D87=$E87,"Piece must move",IF(AND($H87&lt;&gt;"",LEFT($H87,1)=$F87),"Cannot capture your own piece",IF($O87=0,"Illegal move for that piece (or path blocked)","OK"))))))))</f>
        <v/>
      </c>
      <c r="R87" s="11" t="n">
        <f aca="false">IF($P87=1,IF(AND($K87="P",ABS($J87)=2),($D87+$E87)/2,0),$R86)</f>
        <v>0</v>
      </c>
      <c r="S87" s="12" t="b">
        <f aca="false">--OR($S86=1,AND($P87=1,OR($D87=5,$E87=5)))</f>
        <v>0</v>
      </c>
      <c r="T87" s="12" t="b">
        <f aca="false">--OR($T86=1,AND($P87=1,OR($D87=1,$E87=1)))</f>
        <v>0</v>
      </c>
      <c r="U87" s="12" t="b">
        <f aca="false">--OR($U86=1,AND($P87=1,OR($D87=8,$E87=8)))</f>
        <v>0</v>
      </c>
      <c r="V87" s="12" t="b">
        <f aca="false">--OR($V86=1,AND($P87=1,OR($D87=61,$E87=61)))</f>
        <v>0</v>
      </c>
      <c r="W87" s="12" t="b">
        <f aca="false">--OR($W86=1,AND($P87=1,OR($D87=57,$E87=57)))</f>
        <v>0</v>
      </c>
      <c r="X87" s="12" t="b">
        <f aca="false">--OR($X86=1,AND($P87=1,OR($D87=64,$E87=64)))</f>
        <v>0</v>
      </c>
      <c r="Y87" s="12" t="b">
        <f aca="false">--AND($P87=1,$K87="K",ABS($I87)=2)</f>
        <v>0</v>
      </c>
      <c r="Z87" s="12" t="b">
        <f aca="false">--AND($P87=1,$K87="P",ABS($I87)=1,$H87="")</f>
        <v>0</v>
      </c>
      <c r="AA87" s="12" t="b">
        <f aca="false">--AND($P87=1,$K87="P",INT(($E87-1)/8)=IF($F87="w",7,0))</f>
        <v>0</v>
      </c>
      <c r="AB87" s="11" t="str">
        <f aca="false">IF(LEN($C87)&gt;=5,IF(ISNUMBER(FIND(MID($C87,5,1),"qrbn")),UPPER(MID($C87,5,1)),"Q"),"Q")</f>
        <v>Q</v>
      </c>
      <c r="AC87" s="11" t="n">
        <f aca="false">IF($Y87=1,IF($I87=2,$D87+3,$D87-4),0)</f>
        <v>0</v>
      </c>
      <c r="AD87" s="11" t="n">
        <f aca="false">IF($Y87=1,IF($I87=2,$D87+1,$D87-1),0)</f>
        <v>0</v>
      </c>
      <c r="AE87" s="11" t="n">
        <f aca="false">IF($Z87=1,$E87-8*IF($F87="w",1,-1),0)</f>
        <v>0</v>
      </c>
      <c r="AF87" s="11" t="str">
        <f aca="false">IF($B87="","",IF($P87=1,LOWER(INDEX($CV$2:$CV$13,MATCH($G87,$CU$2:$CU$13,0)))&amp;" "&amp;MID("abcdefgh",MOD($D87-1,8)+1,1)&amp;(INT(($D87-1)/8)+1)&amp;"→"&amp;MID("abcdefgh",MOD($E87-1,8)+1,1)&amp;(INT(($E87-1)/8)+1)&amp;IF(OR($H87&lt;&gt;"",$Z87=1)," ×","")&amp;IF($Y87=1," castles","")&amp;IF($Z87=1," e.p.","")&amp;IF($AA87=1," =" &amp;LOWER(INDEX($CV$2:$CV$13,MATCH($F87&amp;$AB87,$CU$2:$CU$13,0))),""),"X "&amp;$Q87))</f>
        <v/>
      </c>
      <c r="AG87" s="11"/>
      <c r="AH87" s="11" t="str">
        <f aca="false">IF($P87=0,AH86,IF(AH$3=$E87,IF($AA87=1,$F87&amp;$AB87,$G87),IF(OR(AH$3=$D87,AH$3=$AC87,AH$3=$AE87),"",IF(AH$3=$AD87,$F87&amp;"R",AH86))))</f>
        <v>wR</v>
      </c>
      <c r="AI87" s="11" t="str">
        <f aca="false">IF($P87=0,AI86,IF(AI$3=$E87,IF($AA87=1,$F87&amp;$AB87,$G87),IF(OR(AI$3=$D87,AI$3=$AC87,AI$3=$AE87),"",IF(AI$3=$AD87,$F87&amp;"R",AI86))))</f>
        <v>wN</v>
      </c>
      <c r="AJ87" s="11" t="str">
        <f aca="false">IF($P87=0,AJ86,IF(AJ$3=$E87,IF($AA87=1,$F87&amp;$AB87,$G87),IF(OR(AJ$3=$D87,AJ$3=$AC87,AJ$3=$AE87),"",IF(AJ$3=$AD87,$F87&amp;"R",AJ86))))</f>
        <v>wB</v>
      </c>
      <c r="AK87" s="11" t="str">
        <f aca="false">IF($P87=0,AK86,IF(AK$3=$E87,IF($AA87=1,$F87&amp;$AB87,$G87),IF(OR(AK$3=$D87,AK$3=$AC87,AK$3=$AE87),"",IF(AK$3=$AD87,$F87&amp;"R",AK86))))</f>
        <v>wQ</v>
      </c>
      <c r="AL87" s="11" t="str">
        <f aca="false">IF($P87=0,AL86,IF(AL$3=$E87,IF($AA87=1,$F87&amp;$AB87,$G87),IF(OR(AL$3=$D87,AL$3=$AC87,AL$3=$AE87),"",IF(AL$3=$AD87,$F87&amp;"R",AL86))))</f>
        <v>wK</v>
      </c>
      <c r="AM87" s="11" t="str">
        <f aca="false">IF($P87=0,AM86,IF(AM$3=$E87,IF($AA87=1,$F87&amp;$AB87,$G87),IF(OR(AM$3=$D87,AM$3=$AC87,AM$3=$AE87),"",IF(AM$3=$AD87,$F87&amp;"R",AM86))))</f>
        <v>wB</v>
      </c>
      <c r="AN87" s="11" t="str">
        <f aca="false">IF($P87=0,AN86,IF(AN$3=$E87,IF($AA87=1,$F87&amp;$AB87,$G87),IF(OR(AN$3=$D87,AN$3=$AC87,AN$3=$AE87),"",IF(AN$3=$AD87,$F87&amp;"R",AN86))))</f>
        <v>wN</v>
      </c>
      <c r="AO87" s="11" t="str">
        <f aca="false">IF($P87=0,AO86,IF(AO$3=$E87,IF($AA87=1,$F87&amp;$AB87,$G87),IF(OR(AO$3=$D87,AO$3=$AC87,AO$3=$AE87),"",IF(AO$3=$AD87,$F87&amp;"R",AO86))))</f>
        <v>wR</v>
      </c>
      <c r="AP87" s="11" t="str">
        <f aca="false">IF($P87=0,AP86,IF(AP$3=$E87,IF($AA87=1,$F87&amp;$AB87,$G87),IF(OR(AP$3=$D87,AP$3=$AC87,AP$3=$AE87),"",IF(AP$3=$AD87,$F87&amp;"R",AP86))))</f>
        <v>wP</v>
      </c>
      <c r="AQ87" s="11" t="str">
        <f aca="false">IF($P87=0,AQ86,IF(AQ$3=$E87,IF($AA87=1,$F87&amp;$AB87,$G87),IF(OR(AQ$3=$D87,AQ$3=$AC87,AQ$3=$AE87),"",IF(AQ$3=$AD87,$F87&amp;"R",AQ86))))</f>
        <v>wP</v>
      </c>
      <c r="AR87" s="11" t="str">
        <f aca="false">IF($P87=0,AR86,IF(AR$3=$E87,IF($AA87=1,$F87&amp;$AB87,$G87),IF(OR(AR$3=$D87,AR$3=$AC87,AR$3=$AE87),"",IF(AR$3=$AD87,$F87&amp;"R",AR86))))</f>
        <v>wP</v>
      </c>
      <c r="AS87" s="11" t="str">
        <f aca="false">IF($P87=0,AS86,IF(AS$3=$E87,IF($AA87=1,$F87&amp;$AB87,$G87),IF(OR(AS$3=$D87,AS$3=$AC87,AS$3=$AE87),"",IF(AS$3=$AD87,$F87&amp;"R",AS86))))</f>
        <v>wP</v>
      </c>
      <c r="AT87" s="11" t="str">
        <f aca="false">IF($P87=0,AT86,IF(AT$3=$E87,IF($AA87=1,$F87&amp;$AB87,$G87),IF(OR(AT$3=$D87,AT$3=$AC87,AT$3=$AE87),"",IF(AT$3=$AD87,$F87&amp;"R",AT86))))</f>
        <v>wP</v>
      </c>
      <c r="AU87" s="11" t="str">
        <f aca="false">IF($P87=0,AU86,IF(AU$3=$E87,IF($AA87=1,$F87&amp;$AB87,$G87),IF(OR(AU$3=$D87,AU$3=$AC87,AU$3=$AE87),"",IF(AU$3=$AD87,$F87&amp;"R",AU86))))</f>
        <v>wP</v>
      </c>
      <c r="AV87" s="11" t="str">
        <f aca="false">IF($P87=0,AV86,IF(AV$3=$E87,IF($AA87=1,$F87&amp;$AB87,$G87),IF(OR(AV$3=$D87,AV$3=$AC87,AV$3=$AE87),"",IF(AV$3=$AD87,$F87&amp;"R",AV86))))</f>
        <v>wP</v>
      </c>
      <c r="AW87" s="11" t="str">
        <f aca="false">IF($P87=0,AW86,IF(AW$3=$E87,IF($AA87=1,$F87&amp;$AB87,$G87),IF(OR(AW$3=$D87,AW$3=$AC87,AW$3=$AE87),"",IF(AW$3=$AD87,$F87&amp;"R",AW86))))</f>
        <v>wP</v>
      </c>
      <c r="AX87" s="11" t="str">
        <f aca="false">IF($P87=0,AX86,IF(AX$3=$E87,IF($AA87=1,$F87&amp;$AB87,$G87),IF(OR(AX$3=$D87,AX$3=$AC87,AX$3=$AE87),"",IF(AX$3=$AD87,$F87&amp;"R",AX86))))</f>
        <v/>
      </c>
      <c r="AY87" s="11" t="str">
        <f aca="false">IF($P87=0,AY86,IF(AY$3=$E87,IF($AA87=1,$F87&amp;$AB87,$G87),IF(OR(AY$3=$D87,AY$3=$AC87,AY$3=$AE87),"",IF(AY$3=$AD87,$F87&amp;"R",AY86))))</f>
        <v/>
      </c>
      <c r="AZ87" s="11" t="str">
        <f aca="false">IF($P87=0,AZ86,IF(AZ$3=$E87,IF($AA87=1,$F87&amp;$AB87,$G87),IF(OR(AZ$3=$D87,AZ$3=$AC87,AZ$3=$AE87),"",IF(AZ$3=$AD87,$F87&amp;"R",AZ86))))</f>
        <v/>
      </c>
      <c r="BA87" s="11" t="str">
        <f aca="false">IF($P87=0,BA86,IF(BA$3=$E87,IF($AA87=1,$F87&amp;$AB87,$G87),IF(OR(BA$3=$D87,BA$3=$AC87,BA$3=$AE87),"",IF(BA$3=$AD87,$F87&amp;"R",BA86))))</f>
        <v/>
      </c>
      <c r="BB87" s="11" t="str">
        <f aca="false">IF($P87=0,BB86,IF(BB$3=$E87,IF($AA87=1,$F87&amp;$AB87,$G87),IF(OR(BB$3=$D87,BB$3=$AC87,BB$3=$AE87),"",IF(BB$3=$AD87,$F87&amp;"R",BB86))))</f>
        <v/>
      </c>
      <c r="BC87" s="11" t="str">
        <f aca="false">IF($P87=0,BC86,IF(BC$3=$E87,IF($AA87=1,$F87&amp;$AB87,$G87),IF(OR(BC$3=$D87,BC$3=$AC87,BC$3=$AE87),"",IF(BC$3=$AD87,$F87&amp;"R",BC86))))</f>
        <v/>
      </c>
      <c r="BD87" s="11" t="str">
        <f aca="false">IF($P87=0,BD86,IF(BD$3=$E87,IF($AA87=1,$F87&amp;$AB87,$G87),IF(OR(BD$3=$D87,BD$3=$AC87,BD$3=$AE87),"",IF(BD$3=$AD87,$F87&amp;"R",BD86))))</f>
        <v/>
      </c>
      <c r="BE87" s="11" t="str">
        <f aca="false">IF($P87=0,BE86,IF(BE$3=$E87,IF($AA87=1,$F87&amp;$AB87,$G87),IF(OR(BE$3=$D87,BE$3=$AC87,BE$3=$AE87),"",IF(BE$3=$AD87,$F87&amp;"R",BE86))))</f>
        <v/>
      </c>
      <c r="BF87" s="11" t="str">
        <f aca="false">IF($P87=0,BF86,IF(BF$3=$E87,IF($AA87=1,$F87&amp;$AB87,$G87),IF(OR(BF$3=$D87,BF$3=$AC87,BF$3=$AE87),"",IF(BF$3=$AD87,$F87&amp;"R",BF86))))</f>
        <v/>
      </c>
      <c r="BG87" s="11" t="str">
        <f aca="false">IF($P87=0,BG86,IF(BG$3=$E87,IF($AA87=1,$F87&amp;$AB87,$G87),IF(OR(BG$3=$D87,BG$3=$AC87,BG$3=$AE87),"",IF(BG$3=$AD87,$F87&amp;"R",BG86))))</f>
        <v/>
      </c>
      <c r="BH87" s="11" t="str">
        <f aca="false">IF($P87=0,BH86,IF(BH$3=$E87,IF($AA87=1,$F87&amp;$AB87,$G87),IF(OR(BH$3=$D87,BH$3=$AC87,BH$3=$AE87),"",IF(BH$3=$AD87,$F87&amp;"R",BH86))))</f>
        <v/>
      </c>
      <c r="BI87" s="11" t="str">
        <f aca="false">IF($P87=0,BI86,IF(BI$3=$E87,IF($AA87=1,$F87&amp;$AB87,$G87),IF(OR(BI$3=$D87,BI$3=$AC87,BI$3=$AE87),"",IF(BI$3=$AD87,$F87&amp;"R",BI86))))</f>
        <v/>
      </c>
      <c r="BJ87" s="11" t="str">
        <f aca="false">IF($P87=0,BJ86,IF(BJ$3=$E87,IF($AA87=1,$F87&amp;$AB87,$G87),IF(OR(BJ$3=$D87,BJ$3=$AC87,BJ$3=$AE87),"",IF(BJ$3=$AD87,$F87&amp;"R",BJ86))))</f>
        <v/>
      </c>
      <c r="BK87" s="11" t="str">
        <f aca="false">IF($P87=0,BK86,IF(BK$3=$E87,IF($AA87=1,$F87&amp;$AB87,$G87),IF(OR(BK$3=$D87,BK$3=$AC87,BK$3=$AE87),"",IF(BK$3=$AD87,$F87&amp;"R",BK86))))</f>
        <v/>
      </c>
      <c r="BL87" s="11" t="str">
        <f aca="false">IF($P87=0,BL86,IF(BL$3=$E87,IF($AA87=1,$F87&amp;$AB87,$G87),IF(OR(BL$3=$D87,BL$3=$AC87,BL$3=$AE87),"",IF(BL$3=$AD87,$F87&amp;"R",BL86))))</f>
        <v/>
      </c>
      <c r="BM87" s="11" t="str">
        <f aca="false">IF($P87=0,BM86,IF(BM$3=$E87,IF($AA87=1,$F87&amp;$AB87,$G87),IF(OR(BM$3=$D87,BM$3=$AC87,BM$3=$AE87),"",IF(BM$3=$AD87,$F87&amp;"R",BM86))))</f>
        <v/>
      </c>
      <c r="BN87" s="11" t="str">
        <f aca="false">IF($P87=0,BN86,IF(BN$3=$E87,IF($AA87=1,$F87&amp;$AB87,$G87),IF(OR(BN$3=$D87,BN$3=$AC87,BN$3=$AE87),"",IF(BN$3=$AD87,$F87&amp;"R",BN86))))</f>
        <v/>
      </c>
      <c r="BO87" s="11" t="str">
        <f aca="false">IF($P87=0,BO86,IF(BO$3=$E87,IF($AA87=1,$F87&amp;$AB87,$G87),IF(OR(BO$3=$D87,BO$3=$AC87,BO$3=$AE87),"",IF(BO$3=$AD87,$F87&amp;"R",BO86))))</f>
        <v/>
      </c>
      <c r="BP87" s="11" t="str">
        <f aca="false">IF($P87=0,BP86,IF(BP$3=$E87,IF($AA87=1,$F87&amp;$AB87,$G87),IF(OR(BP$3=$D87,BP$3=$AC87,BP$3=$AE87),"",IF(BP$3=$AD87,$F87&amp;"R",BP86))))</f>
        <v/>
      </c>
      <c r="BQ87" s="11" t="str">
        <f aca="false">IF($P87=0,BQ86,IF(BQ$3=$E87,IF($AA87=1,$F87&amp;$AB87,$G87),IF(OR(BQ$3=$D87,BQ$3=$AC87,BQ$3=$AE87),"",IF(BQ$3=$AD87,$F87&amp;"R",BQ86))))</f>
        <v/>
      </c>
      <c r="BR87" s="11" t="str">
        <f aca="false">IF($P87=0,BR86,IF(BR$3=$E87,IF($AA87=1,$F87&amp;$AB87,$G87),IF(OR(BR$3=$D87,BR$3=$AC87,BR$3=$AE87),"",IF(BR$3=$AD87,$F87&amp;"R",BR86))))</f>
        <v/>
      </c>
      <c r="BS87" s="11" t="str">
        <f aca="false">IF($P87=0,BS86,IF(BS$3=$E87,IF($AA87=1,$F87&amp;$AB87,$G87),IF(OR(BS$3=$D87,BS$3=$AC87,BS$3=$AE87),"",IF(BS$3=$AD87,$F87&amp;"R",BS86))))</f>
        <v/>
      </c>
      <c r="BT87" s="11" t="str">
        <f aca="false">IF($P87=0,BT86,IF(BT$3=$E87,IF($AA87=1,$F87&amp;$AB87,$G87),IF(OR(BT$3=$D87,BT$3=$AC87,BT$3=$AE87),"",IF(BT$3=$AD87,$F87&amp;"R",BT86))))</f>
        <v/>
      </c>
      <c r="BU87" s="11" t="str">
        <f aca="false">IF($P87=0,BU86,IF(BU$3=$E87,IF($AA87=1,$F87&amp;$AB87,$G87),IF(OR(BU$3=$D87,BU$3=$AC87,BU$3=$AE87),"",IF(BU$3=$AD87,$F87&amp;"R",BU86))))</f>
        <v/>
      </c>
      <c r="BV87" s="11" t="str">
        <f aca="false">IF($P87=0,BV86,IF(BV$3=$E87,IF($AA87=1,$F87&amp;$AB87,$G87),IF(OR(BV$3=$D87,BV$3=$AC87,BV$3=$AE87),"",IF(BV$3=$AD87,$F87&amp;"R",BV86))))</f>
        <v/>
      </c>
      <c r="BW87" s="11" t="str">
        <f aca="false">IF($P87=0,BW86,IF(BW$3=$E87,IF($AA87=1,$F87&amp;$AB87,$G87),IF(OR(BW$3=$D87,BW$3=$AC87,BW$3=$AE87),"",IF(BW$3=$AD87,$F87&amp;"R",BW86))))</f>
        <v/>
      </c>
      <c r="BX87" s="11" t="str">
        <f aca="false">IF($P87=0,BX86,IF(BX$3=$E87,IF($AA87=1,$F87&amp;$AB87,$G87),IF(OR(BX$3=$D87,BX$3=$AC87,BX$3=$AE87),"",IF(BX$3=$AD87,$F87&amp;"R",BX86))))</f>
        <v/>
      </c>
      <c r="BY87" s="11" t="str">
        <f aca="false">IF($P87=0,BY86,IF(BY$3=$E87,IF($AA87=1,$F87&amp;$AB87,$G87),IF(OR(BY$3=$D87,BY$3=$AC87,BY$3=$AE87),"",IF(BY$3=$AD87,$F87&amp;"R",BY86))))</f>
        <v/>
      </c>
      <c r="BZ87" s="11" t="str">
        <f aca="false">IF($P87=0,BZ86,IF(BZ$3=$E87,IF($AA87=1,$F87&amp;$AB87,$G87),IF(OR(BZ$3=$D87,BZ$3=$AC87,BZ$3=$AE87),"",IF(BZ$3=$AD87,$F87&amp;"R",BZ86))))</f>
        <v/>
      </c>
      <c r="CA87" s="11" t="str">
        <f aca="false">IF($P87=0,CA86,IF(CA$3=$E87,IF($AA87=1,$F87&amp;$AB87,$G87),IF(OR(CA$3=$D87,CA$3=$AC87,CA$3=$AE87),"",IF(CA$3=$AD87,$F87&amp;"R",CA86))))</f>
        <v/>
      </c>
      <c r="CB87" s="11" t="str">
        <f aca="false">IF($P87=0,CB86,IF(CB$3=$E87,IF($AA87=1,$F87&amp;$AB87,$G87),IF(OR(CB$3=$D87,CB$3=$AC87,CB$3=$AE87),"",IF(CB$3=$AD87,$F87&amp;"R",CB86))))</f>
        <v/>
      </c>
      <c r="CC87" s="11" t="str">
        <f aca="false">IF($P87=0,CC86,IF(CC$3=$E87,IF($AA87=1,$F87&amp;$AB87,$G87),IF(OR(CC$3=$D87,CC$3=$AC87,CC$3=$AE87),"",IF(CC$3=$AD87,$F87&amp;"R",CC86))))</f>
        <v/>
      </c>
      <c r="CD87" s="11" t="str">
        <f aca="false">IF($P87=0,CD86,IF(CD$3=$E87,IF($AA87=1,$F87&amp;$AB87,$G87),IF(OR(CD$3=$D87,CD$3=$AC87,CD$3=$AE87),"",IF(CD$3=$AD87,$F87&amp;"R",CD86))))</f>
        <v>bP</v>
      </c>
      <c r="CE87" s="11" t="str">
        <f aca="false">IF($P87=0,CE86,IF(CE$3=$E87,IF($AA87=1,$F87&amp;$AB87,$G87),IF(OR(CE$3=$D87,CE$3=$AC87,CE$3=$AE87),"",IF(CE$3=$AD87,$F87&amp;"R",CE86))))</f>
        <v>bP</v>
      </c>
      <c r="CF87" s="11" t="str">
        <f aca="false">IF($P87=0,CF86,IF(CF$3=$E87,IF($AA87=1,$F87&amp;$AB87,$G87),IF(OR(CF$3=$D87,CF$3=$AC87,CF$3=$AE87),"",IF(CF$3=$AD87,$F87&amp;"R",CF86))))</f>
        <v>bP</v>
      </c>
      <c r="CG87" s="11" t="str">
        <f aca="false">IF($P87=0,CG86,IF(CG$3=$E87,IF($AA87=1,$F87&amp;$AB87,$G87),IF(OR(CG$3=$D87,CG$3=$AC87,CG$3=$AE87),"",IF(CG$3=$AD87,$F87&amp;"R",CG86))))</f>
        <v>bP</v>
      </c>
      <c r="CH87" s="11" t="str">
        <f aca="false">IF($P87=0,CH86,IF(CH$3=$E87,IF($AA87=1,$F87&amp;$AB87,$G87),IF(OR(CH$3=$D87,CH$3=$AC87,CH$3=$AE87),"",IF(CH$3=$AD87,$F87&amp;"R",CH86))))</f>
        <v>bP</v>
      </c>
      <c r="CI87" s="11" t="str">
        <f aca="false">IF($P87=0,CI86,IF(CI$3=$E87,IF($AA87=1,$F87&amp;$AB87,$G87),IF(OR(CI$3=$D87,CI$3=$AC87,CI$3=$AE87),"",IF(CI$3=$AD87,$F87&amp;"R",CI86))))</f>
        <v>bP</v>
      </c>
      <c r="CJ87" s="11" t="str">
        <f aca="false">IF($P87=0,CJ86,IF(CJ$3=$E87,IF($AA87=1,$F87&amp;$AB87,$G87),IF(OR(CJ$3=$D87,CJ$3=$AC87,CJ$3=$AE87),"",IF(CJ$3=$AD87,$F87&amp;"R",CJ86))))</f>
        <v>bP</v>
      </c>
      <c r="CK87" s="11" t="str">
        <f aca="false">IF($P87=0,CK86,IF(CK$3=$E87,IF($AA87=1,$F87&amp;$AB87,$G87),IF(OR(CK$3=$D87,CK$3=$AC87,CK$3=$AE87),"",IF(CK$3=$AD87,$F87&amp;"R",CK86))))</f>
        <v>bP</v>
      </c>
      <c r="CL87" s="11" t="str">
        <f aca="false">IF($P87=0,CL86,IF(CL$3=$E87,IF($AA87=1,$F87&amp;$AB87,$G87),IF(OR(CL$3=$D87,CL$3=$AC87,CL$3=$AE87),"",IF(CL$3=$AD87,$F87&amp;"R",CL86))))</f>
        <v>bR</v>
      </c>
      <c r="CM87" s="11" t="str">
        <f aca="false">IF($P87=0,CM86,IF(CM$3=$E87,IF($AA87=1,$F87&amp;$AB87,$G87),IF(OR(CM$3=$D87,CM$3=$AC87,CM$3=$AE87),"",IF(CM$3=$AD87,$F87&amp;"R",CM86))))</f>
        <v>bN</v>
      </c>
      <c r="CN87" s="11" t="str">
        <f aca="false">IF($P87=0,CN86,IF(CN$3=$E87,IF($AA87=1,$F87&amp;$AB87,$G87),IF(OR(CN$3=$D87,CN$3=$AC87,CN$3=$AE87),"",IF(CN$3=$AD87,$F87&amp;"R",CN86))))</f>
        <v>bB</v>
      </c>
      <c r="CO87" s="11" t="str">
        <f aca="false">IF($P87=0,CO86,IF(CO$3=$E87,IF($AA87=1,$F87&amp;$AB87,$G87),IF(OR(CO$3=$D87,CO$3=$AC87,CO$3=$AE87),"",IF(CO$3=$AD87,$F87&amp;"R",CO86))))</f>
        <v>bQ</v>
      </c>
      <c r="CP87" s="11" t="str">
        <f aca="false">IF($P87=0,CP86,IF(CP$3=$E87,IF($AA87=1,$F87&amp;$AB87,$G87),IF(OR(CP$3=$D87,CP$3=$AC87,CP$3=$AE87),"",IF(CP$3=$AD87,$F87&amp;"R",CP86))))</f>
        <v>bK</v>
      </c>
      <c r="CQ87" s="11" t="str">
        <f aca="false">IF($P87=0,CQ86,IF(CQ$3=$E87,IF($AA87=1,$F87&amp;$AB87,$G87),IF(OR(CQ$3=$D87,CQ$3=$AC87,CQ$3=$AE87),"",IF(CQ$3=$AD87,$F87&amp;"R",CQ86))))</f>
        <v>bB</v>
      </c>
      <c r="CR87" s="11" t="str">
        <f aca="false">IF($P87=0,CR86,IF(CR$3=$E87,IF($AA87=1,$F87&amp;$AB87,$G87),IF(OR(CR$3=$D87,CR$3=$AC87,CR$3=$AE87),"",IF(CR$3=$AD87,$F87&amp;"R",CR86))))</f>
        <v>bN</v>
      </c>
      <c r="CS87" s="11" t="str">
        <f aca="false">IF($P87=0,CS86,IF(CS$3=$E87,IF($AA87=1,$F87&amp;$AB87,$G87),IF(OR(CS$3=$D87,CS$3=$AC87,CS$3=$AE87),"",IF(CS$3=$AD87,$F87&amp;"R",CS86))))</f>
        <v>bR</v>
      </c>
      <c r="CT87" s="11"/>
      <c r="CU87" s="11"/>
      <c r="CV87" s="11"/>
    </row>
    <row r="88" customFormat="false" ht="15" hidden="false" customHeight="false" outlineLevel="0" collapsed="false">
      <c r="A88" s="11" t="n">
        <v>83</v>
      </c>
      <c r="B88" s="11" t="str">
        <f aca="false">IF(Chess!$L$92="","",Chess!$L$92&amp;"")</f>
        <v/>
      </c>
      <c r="C88" s="11" t="str">
        <f aca="false">LOWER(SUBSTITUTE(SUBSTITUTE(SUBSTITUTE(SUBSTITUTE(TRIM($B88),"-",""),"=","")," ",""),"x",""))</f>
        <v/>
      </c>
      <c r="D88" s="11" t="n">
        <f aca="false">IF(LEN($C88)&lt;4,0,IFERROR(IF(AND(CODE(MID($C88,1,1))&gt;=97,CODE(MID($C88,1,1))&lt;=104,VALUE(MID($C88,2,1))&gt;=1,VALUE(MID($C88,2,1))&lt;=8),(VALUE(MID($C88,2,1))-1)*8+CODE(MID($C88,1,1))-96,0),0))</f>
        <v>0</v>
      </c>
      <c r="E88" s="11" t="n">
        <f aca="false">IF(LEN($C88)&lt;4,0,IFERROR(IF(AND(CODE(MID($C88,3,1))&gt;=97,CODE(MID($C88,3,1))&lt;=104,VALUE(MID($C88,4,1))&gt;=1,VALUE(MID($C88,4,1))&lt;=8),(VALUE(MID($C88,4,1))-1)*8+CODE(MID($C88,3,1))-96,0),0))</f>
        <v>0</v>
      </c>
      <c r="F88" s="11" t="str">
        <f aca="false">IF(MOD(SUM($P$5:$P87),2)=0,"w","b")</f>
        <v>w</v>
      </c>
      <c r="G88" s="11" t="str">
        <f aca="false">IF($D88=0,"",INDEX($AH87:$CS87,1,$D88)&amp;"")</f>
        <v/>
      </c>
      <c r="H88" s="11" t="str">
        <f aca="false">IF($E88=0,"",INDEX($AH87:$CS87,1,$E88)&amp;"")</f>
        <v/>
      </c>
      <c r="I88" s="11" t="n">
        <f aca="false">IF(OR($D88=0,$E88=0),0,MOD($E88-1,8)-MOD($D88-1,8))</f>
        <v>0</v>
      </c>
      <c r="J88" s="11" t="n">
        <f aca="false">IF(OR($D88=0,$E88=0),0,INT(($E88-1)/8)-INT(($D88-1)/8))</f>
        <v>0</v>
      </c>
      <c r="K88" s="11" t="str">
        <f aca="false">IF($G88="","",RIGHT($G88,1))</f>
        <v/>
      </c>
      <c r="L88" s="11" t="n">
        <f aca="false">IF(OR($D88=0,$E88=0),0,SUMPRODUCT(($AH$3:$CS$3&gt;MIN($D88,$E88))*($AH$3:$CS$3&lt;MAX($D88,$E88))*(MOD($AH$3:$CS$3-MIN($D88,$E88),MAX(1,ABS(SIGN($J88)*8+SIGN($I88))))=0)*($AH87:$CS87&lt;&gt;"")))</f>
        <v>0</v>
      </c>
      <c r="M88" s="11" t="n">
        <f aca="false">IF($K88&lt;&gt;"K",0,IFERROR(--AND($J88=0,ABS($I88)=2,$D88=IF($F88="w",5,61),IF($F88="w",$S87,$V87)=0,IF($I88=2,AND(IF($F88="w",$U87,$X87)=0,INDEX($AH87:$CS87,1,$D88+1)&amp;""="",INDEX($AH87:$CS87,1,$D88+2)&amp;""=""),AND(IF($F88="w",$T87,$W87)=0,INDEX($AH87:$CS87,1,$D88-1)&amp;""="",INDEX($AH87:$CS87,1,$D88-2)&amp;""="",INDEX($AH87:$CS87,1,$D88-3)&amp;""=""))),0))</f>
        <v>0</v>
      </c>
      <c r="N88" s="11" t="n">
        <f aca="false">IF($K88&lt;&gt;"P",0,IFERROR(--OR(AND($I88=0,$J88=IF($F88="w",1,-1),$H88=""),AND($I88=0,$J88=2*IF($F88="w",1,-1),$H88="",INT(($D88-1)/8)=IF($F88="w",1,6),INDEX($AH87:$CS87,1,MAX(1,MIN(64,$D88+8*IF($F88="w",1,-1))))&amp;""=""),AND(ABS($I88)=1,$J88=IF($F88="w",1,-1),$H88&lt;&gt;""),AND(ABS($I88)=1,$J88=IF($F88="w",1,-1),$H88="",$R87&gt;0,$E88=$R87)),0))</f>
        <v>0</v>
      </c>
      <c r="O88" s="11" t="n">
        <f aca="false">IF(OR($D88=0,$E88=0,$G88=""),0,IF($K88="N",--OR(AND(ABS($I88)=1,ABS($J88)=2),AND(ABS($I88)=2,ABS($J88)=1)),IF($K88="B",--AND(ABS($I88)=ABS($J88),$I88&lt;&gt;0,$L88=0),IF($K88="R",--AND(OR($I88=0,$J88=0),OR($I88&lt;&gt;0,$J88&lt;&gt;0),$L88=0),IF($K88="Q",--AND(OR(AND(ABS($I88)=ABS($J88),$I88&lt;&gt;0),AND(OR($I88=0,$J88=0),OR($I88&lt;&gt;0,$J88&lt;&gt;0))),$L88=0),IF($K88="K",--OR(MAX(ABS($I88),ABS($J88))=1,$M88=1),$N88))))))</f>
        <v>0</v>
      </c>
      <c r="P88" s="11" t="n">
        <f aca="false">IF($Q88="OK",1,0)</f>
        <v>0</v>
      </c>
      <c r="Q88" s="11" t="str">
        <f aca="false">IF($B88="","",IF(OR(COUNTIF($AH87:$CS87,"wK")=0,COUNTIF($AH87:$CS87,"bK")=0),"Game is over",IF(OR($D88=0,$E88=0),"Use the format e2e4",IF($G88="","No piece on that square",IF(LEFT($G88,1)&lt;&gt;$F88,"Not your piece ("&amp;IF($F88="w","White","Black")&amp;" to move)",IF($D88=$E88,"Piece must move",IF(AND($H88&lt;&gt;"",LEFT($H88,1)=$F88),"Cannot capture your own piece",IF($O88=0,"Illegal move for that piece (or path blocked)","OK"))))))))</f>
        <v/>
      </c>
      <c r="R88" s="11" t="n">
        <f aca="false">IF($P88=1,IF(AND($K88="P",ABS($J88)=2),($D88+$E88)/2,0),$R87)</f>
        <v>0</v>
      </c>
      <c r="S88" s="12" t="b">
        <f aca="false">--OR($S87=1,AND($P88=1,OR($D88=5,$E88=5)))</f>
        <v>0</v>
      </c>
      <c r="T88" s="12" t="b">
        <f aca="false">--OR($T87=1,AND($P88=1,OR($D88=1,$E88=1)))</f>
        <v>0</v>
      </c>
      <c r="U88" s="12" t="b">
        <f aca="false">--OR($U87=1,AND($P88=1,OR($D88=8,$E88=8)))</f>
        <v>0</v>
      </c>
      <c r="V88" s="12" t="b">
        <f aca="false">--OR($V87=1,AND($P88=1,OR($D88=61,$E88=61)))</f>
        <v>0</v>
      </c>
      <c r="W88" s="12" t="b">
        <f aca="false">--OR($W87=1,AND($P88=1,OR($D88=57,$E88=57)))</f>
        <v>0</v>
      </c>
      <c r="X88" s="12" t="b">
        <f aca="false">--OR($X87=1,AND($P88=1,OR($D88=64,$E88=64)))</f>
        <v>0</v>
      </c>
      <c r="Y88" s="12" t="b">
        <f aca="false">--AND($P88=1,$K88="K",ABS($I88)=2)</f>
        <v>0</v>
      </c>
      <c r="Z88" s="12" t="b">
        <f aca="false">--AND($P88=1,$K88="P",ABS($I88)=1,$H88="")</f>
        <v>0</v>
      </c>
      <c r="AA88" s="12" t="b">
        <f aca="false">--AND($P88=1,$K88="P",INT(($E88-1)/8)=IF($F88="w",7,0))</f>
        <v>0</v>
      </c>
      <c r="AB88" s="11" t="str">
        <f aca="false">IF(LEN($C88)&gt;=5,IF(ISNUMBER(FIND(MID($C88,5,1),"qrbn")),UPPER(MID($C88,5,1)),"Q"),"Q")</f>
        <v>Q</v>
      </c>
      <c r="AC88" s="11" t="n">
        <f aca="false">IF($Y88=1,IF($I88=2,$D88+3,$D88-4),0)</f>
        <v>0</v>
      </c>
      <c r="AD88" s="11" t="n">
        <f aca="false">IF($Y88=1,IF($I88=2,$D88+1,$D88-1),0)</f>
        <v>0</v>
      </c>
      <c r="AE88" s="11" t="n">
        <f aca="false">IF($Z88=1,$E88-8*IF($F88="w",1,-1),0)</f>
        <v>0</v>
      </c>
      <c r="AF88" s="11" t="str">
        <f aca="false">IF($B88="","",IF($P88=1,LOWER(INDEX($CV$2:$CV$13,MATCH($G88,$CU$2:$CU$13,0)))&amp;" "&amp;MID("abcdefgh",MOD($D88-1,8)+1,1)&amp;(INT(($D88-1)/8)+1)&amp;"→"&amp;MID("abcdefgh",MOD($E88-1,8)+1,1)&amp;(INT(($E88-1)/8)+1)&amp;IF(OR($H88&lt;&gt;"",$Z88=1)," ×","")&amp;IF($Y88=1," castles","")&amp;IF($Z88=1," e.p.","")&amp;IF($AA88=1," =" &amp;LOWER(INDEX($CV$2:$CV$13,MATCH($F88&amp;$AB88,$CU$2:$CU$13,0))),""),"X "&amp;$Q88))</f>
        <v/>
      </c>
      <c r="AG88" s="11"/>
      <c r="AH88" s="11" t="str">
        <f aca="false">IF($P88=0,AH87,IF(AH$3=$E88,IF($AA88=1,$F88&amp;$AB88,$G88),IF(OR(AH$3=$D88,AH$3=$AC88,AH$3=$AE88),"",IF(AH$3=$AD88,$F88&amp;"R",AH87))))</f>
        <v>wR</v>
      </c>
      <c r="AI88" s="11" t="str">
        <f aca="false">IF($P88=0,AI87,IF(AI$3=$E88,IF($AA88=1,$F88&amp;$AB88,$G88),IF(OR(AI$3=$D88,AI$3=$AC88,AI$3=$AE88),"",IF(AI$3=$AD88,$F88&amp;"R",AI87))))</f>
        <v>wN</v>
      </c>
      <c r="AJ88" s="11" t="str">
        <f aca="false">IF($P88=0,AJ87,IF(AJ$3=$E88,IF($AA88=1,$F88&amp;$AB88,$G88),IF(OR(AJ$3=$D88,AJ$3=$AC88,AJ$3=$AE88),"",IF(AJ$3=$AD88,$F88&amp;"R",AJ87))))</f>
        <v>wB</v>
      </c>
      <c r="AK88" s="11" t="str">
        <f aca="false">IF($P88=0,AK87,IF(AK$3=$E88,IF($AA88=1,$F88&amp;$AB88,$G88),IF(OR(AK$3=$D88,AK$3=$AC88,AK$3=$AE88),"",IF(AK$3=$AD88,$F88&amp;"R",AK87))))</f>
        <v>wQ</v>
      </c>
      <c r="AL88" s="11" t="str">
        <f aca="false">IF($P88=0,AL87,IF(AL$3=$E88,IF($AA88=1,$F88&amp;$AB88,$G88),IF(OR(AL$3=$D88,AL$3=$AC88,AL$3=$AE88),"",IF(AL$3=$AD88,$F88&amp;"R",AL87))))</f>
        <v>wK</v>
      </c>
      <c r="AM88" s="11" t="str">
        <f aca="false">IF($P88=0,AM87,IF(AM$3=$E88,IF($AA88=1,$F88&amp;$AB88,$G88),IF(OR(AM$3=$D88,AM$3=$AC88,AM$3=$AE88),"",IF(AM$3=$AD88,$F88&amp;"R",AM87))))</f>
        <v>wB</v>
      </c>
      <c r="AN88" s="11" t="str">
        <f aca="false">IF($P88=0,AN87,IF(AN$3=$E88,IF($AA88=1,$F88&amp;$AB88,$G88),IF(OR(AN$3=$D88,AN$3=$AC88,AN$3=$AE88),"",IF(AN$3=$AD88,$F88&amp;"R",AN87))))</f>
        <v>wN</v>
      </c>
      <c r="AO88" s="11" t="str">
        <f aca="false">IF($P88=0,AO87,IF(AO$3=$E88,IF($AA88=1,$F88&amp;$AB88,$G88),IF(OR(AO$3=$D88,AO$3=$AC88,AO$3=$AE88),"",IF(AO$3=$AD88,$F88&amp;"R",AO87))))</f>
        <v>wR</v>
      </c>
      <c r="AP88" s="11" t="str">
        <f aca="false">IF($P88=0,AP87,IF(AP$3=$E88,IF($AA88=1,$F88&amp;$AB88,$G88),IF(OR(AP$3=$D88,AP$3=$AC88,AP$3=$AE88),"",IF(AP$3=$AD88,$F88&amp;"R",AP87))))</f>
        <v>wP</v>
      </c>
      <c r="AQ88" s="11" t="str">
        <f aca="false">IF($P88=0,AQ87,IF(AQ$3=$E88,IF($AA88=1,$F88&amp;$AB88,$G88),IF(OR(AQ$3=$D88,AQ$3=$AC88,AQ$3=$AE88),"",IF(AQ$3=$AD88,$F88&amp;"R",AQ87))))</f>
        <v>wP</v>
      </c>
      <c r="AR88" s="11" t="str">
        <f aca="false">IF($P88=0,AR87,IF(AR$3=$E88,IF($AA88=1,$F88&amp;$AB88,$G88),IF(OR(AR$3=$D88,AR$3=$AC88,AR$3=$AE88),"",IF(AR$3=$AD88,$F88&amp;"R",AR87))))</f>
        <v>wP</v>
      </c>
      <c r="AS88" s="11" t="str">
        <f aca="false">IF($P88=0,AS87,IF(AS$3=$E88,IF($AA88=1,$F88&amp;$AB88,$G88),IF(OR(AS$3=$D88,AS$3=$AC88,AS$3=$AE88),"",IF(AS$3=$AD88,$F88&amp;"R",AS87))))</f>
        <v>wP</v>
      </c>
      <c r="AT88" s="11" t="str">
        <f aca="false">IF($P88=0,AT87,IF(AT$3=$E88,IF($AA88=1,$F88&amp;$AB88,$G88),IF(OR(AT$3=$D88,AT$3=$AC88,AT$3=$AE88),"",IF(AT$3=$AD88,$F88&amp;"R",AT87))))</f>
        <v>wP</v>
      </c>
      <c r="AU88" s="11" t="str">
        <f aca="false">IF($P88=0,AU87,IF(AU$3=$E88,IF($AA88=1,$F88&amp;$AB88,$G88),IF(OR(AU$3=$D88,AU$3=$AC88,AU$3=$AE88),"",IF(AU$3=$AD88,$F88&amp;"R",AU87))))</f>
        <v>wP</v>
      </c>
      <c r="AV88" s="11" t="str">
        <f aca="false">IF($P88=0,AV87,IF(AV$3=$E88,IF($AA88=1,$F88&amp;$AB88,$G88),IF(OR(AV$3=$D88,AV$3=$AC88,AV$3=$AE88),"",IF(AV$3=$AD88,$F88&amp;"R",AV87))))</f>
        <v>wP</v>
      </c>
      <c r="AW88" s="11" t="str">
        <f aca="false">IF($P88=0,AW87,IF(AW$3=$E88,IF($AA88=1,$F88&amp;$AB88,$G88),IF(OR(AW$3=$D88,AW$3=$AC88,AW$3=$AE88),"",IF(AW$3=$AD88,$F88&amp;"R",AW87))))</f>
        <v>wP</v>
      </c>
      <c r="AX88" s="11" t="str">
        <f aca="false">IF($P88=0,AX87,IF(AX$3=$E88,IF($AA88=1,$F88&amp;$AB88,$G88),IF(OR(AX$3=$D88,AX$3=$AC88,AX$3=$AE88),"",IF(AX$3=$AD88,$F88&amp;"R",AX87))))</f>
        <v/>
      </c>
      <c r="AY88" s="11" t="str">
        <f aca="false">IF($P88=0,AY87,IF(AY$3=$E88,IF($AA88=1,$F88&amp;$AB88,$G88),IF(OR(AY$3=$D88,AY$3=$AC88,AY$3=$AE88),"",IF(AY$3=$AD88,$F88&amp;"R",AY87))))</f>
        <v/>
      </c>
      <c r="AZ88" s="11" t="str">
        <f aca="false">IF($P88=0,AZ87,IF(AZ$3=$E88,IF($AA88=1,$F88&amp;$AB88,$G88),IF(OR(AZ$3=$D88,AZ$3=$AC88,AZ$3=$AE88),"",IF(AZ$3=$AD88,$F88&amp;"R",AZ87))))</f>
        <v/>
      </c>
      <c r="BA88" s="11" t="str">
        <f aca="false">IF($P88=0,BA87,IF(BA$3=$E88,IF($AA88=1,$F88&amp;$AB88,$G88),IF(OR(BA$3=$D88,BA$3=$AC88,BA$3=$AE88),"",IF(BA$3=$AD88,$F88&amp;"R",BA87))))</f>
        <v/>
      </c>
      <c r="BB88" s="11" t="str">
        <f aca="false">IF($P88=0,BB87,IF(BB$3=$E88,IF($AA88=1,$F88&amp;$AB88,$G88),IF(OR(BB$3=$D88,BB$3=$AC88,BB$3=$AE88),"",IF(BB$3=$AD88,$F88&amp;"R",BB87))))</f>
        <v/>
      </c>
      <c r="BC88" s="11" t="str">
        <f aca="false">IF($P88=0,BC87,IF(BC$3=$E88,IF($AA88=1,$F88&amp;$AB88,$G88),IF(OR(BC$3=$D88,BC$3=$AC88,BC$3=$AE88),"",IF(BC$3=$AD88,$F88&amp;"R",BC87))))</f>
        <v/>
      </c>
      <c r="BD88" s="11" t="str">
        <f aca="false">IF($P88=0,BD87,IF(BD$3=$E88,IF($AA88=1,$F88&amp;$AB88,$G88),IF(OR(BD$3=$D88,BD$3=$AC88,BD$3=$AE88),"",IF(BD$3=$AD88,$F88&amp;"R",BD87))))</f>
        <v/>
      </c>
      <c r="BE88" s="11" t="str">
        <f aca="false">IF($P88=0,BE87,IF(BE$3=$E88,IF($AA88=1,$F88&amp;$AB88,$G88),IF(OR(BE$3=$D88,BE$3=$AC88,BE$3=$AE88),"",IF(BE$3=$AD88,$F88&amp;"R",BE87))))</f>
        <v/>
      </c>
      <c r="BF88" s="11" t="str">
        <f aca="false">IF($P88=0,BF87,IF(BF$3=$E88,IF($AA88=1,$F88&amp;$AB88,$G88),IF(OR(BF$3=$D88,BF$3=$AC88,BF$3=$AE88),"",IF(BF$3=$AD88,$F88&amp;"R",BF87))))</f>
        <v/>
      </c>
      <c r="BG88" s="11" t="str">
        <f aca="false">IF($P88=0,BG87,IF(BG$3=$E88,IF($AA88=1,$F88&amp;$AB88,$G88),IF(OR(BG$3=$D88,BG$3=$AC88,BG$3=$AE88),"",IF(BG$3=$AD88,$F88&amp;"R",BG87))))</f>
        <v/>
      </c>
      <c r="BH88" s="11" t="str">
        <f aca="false">IF($P88=0,BH87,IF(BH$3=$E88,IF($AA88=1,$F88&amp;$AB88,$G88),IF(OR(BH$3=$D88,BH$3=$AC88,BH$3=$AE88),"",IF(BH$3=$AD88,$F88&amp;"R",BH87))))</f>
        <v/>
      </c>
      <c r="BI88" s="11" t="str">
        <f aca="false">IF($P88=0,BI87,IF(BI$3=$E88,IF($AA88=1,$F88&amp;$AB88,$G88),IF(OR(BI$3=$D88,BI$3=$AC88,BI$3=$AE88),"",IF(BI$3=$AD88,$F88&amp;"R",BI87))))</f>
        <v/>
      </c>
      <c r="BJ88" s="11" t="str">
        <f aca="false">IF($P88=0,BJ87,IF(BJ$3=$E88,IF($AA88=1,$F88&amp;$AB88,$G88),IF(OR(BJ$3=$D88,BJ$3=$AC88,BJ$3=$AE88),"",IF(BJ$3=$AD88,$F88&amp;"R",BJ87))))</f>
        <v/>
      </c>
      <c r="BK88" s="11" t="str">
        <f aca="false">IF($P88=0,BK87,IF(BK$3=$E88,IF($AA88=1,$F88&amp;$AB88,$G88),IF(OR(BK$3=$D88,BK$3=$AC88,BK$3=$AE88),"",IF(BK$3=$AD88,$F88&amp;"R",BK87))))</f>
        <v/>
      </c>
      <c r="BL88" s="11" t="str">
        <f aca="false">IF($P88=0,BL87,IF(BL$3=$E88,IF($AA88=1,$F88&amp;$AB88,$G88),IF(OR(BL$3=$D88,BL$3=$AC88,BL$3=$AE88),"",IF(BL$3=$AD88,$F88&amp;"R",BL87))))</f>
        <v/>
      </c>
      <c r="BM88" s="11" t="str">
        <f aca="false">IF($P88=0,BM87,IF(BM$3=$E88,IF($AA88=1,$F88&amp;$AB88,$G88),IF(OR(BM$3=$D88,BM$3=$AC88,BM$3=$AE88),"",IF(BM$3=$AD88,$F88&amp;"R",BM87))))</f>
        <v/>
      </c>
      <c r="BN88" s="11" t="str">
        <f aca="false">IF($P88=0,BN87,IF(BN$3=$E88,IF($AA88=1,$F88&amp;$AB88,$G88),IF(OR(BN$3=$D88,BN$3=$AC88,BN$3=$AE88),"",IF(BN$3=$AD88,$F88&amp;"R",BN87))))</f>
        <v/>
      </c>
      <c r="BO88" s="11" t="str">
        <f aca="false">IF($P88=0,BO87,IF(BO$3=$E88,IF($AA88=1,$F88&amp;$AB88,$G88),IF(OR(BO$3=$D88,BO$3=$AC88,BO$3=$AE88),"",IF(BO$3=$AD88,$F88&amp;"R",BO87))))</f>
        <v/>
      </c>
      <c r="BP88" s="11" t="str">
        <f aca="false">IF($P88=0,BP87,IF(BP$3=$E88,IF($AA88=1,$F88&amp;$AB88,$G88),IF(OR(BP$3=$D88,BP$3=$AC88,BP$3=$AE88),"",IF(BP$3=$AD88,$F88&amp;"R",BP87))))</f>
        <v/>
      </c>
      <c r="BQ88" s="11" t="str">
        <f aca="false">IF($P88=0,BQ87,IF(BQ$3=$E88,IF($AA88=1,$F88&amp;$AB88,$G88),IF(OR(BQ$3=$D88,BQ$3=$AC88,BQ$3=$AE88),"",IF(BQ$3=$AD88,$F88&amp;"R",BQ87))))</f>
        <v/>
      </c>
      <c r="BR88" s="11" t="str">
        <f aca="false">IF($P88=0,BR87,IF(BR$3=$E88,IF($AA88=1,$F88&amp;$AB88,$G88),IF(OR(BR$3=$D88,BR$3=$AC88,BR$3=$AE88),"",IF(BR$3=$AD88,$F88&amp;"R",BR87))))</f>
        <v/>
      </c>
      <c r="BS88" s="11" t="str">
        <f aca="false">IF($P88=0,BS87,IF(BS$3=$E88,IF($AA88=1,$F88&amp;$AB88,$G88),IF(OR(BS$3=$D88,BS$3=$AC88,BS$3=$AE88),"",IF(BS$3=$AD88,$F88&amp;"R",BS87))))</f>
        <v/>
      </c>
      <c r="BT88" s="11" t="str">
        <f aca="false">IF($P88=0,BT87,IF(BT$3=$E88,IF($AA88=1,$F88&amp;$AB88,$G88),IF(OR(BT$3=$D88,BT$3=$AC88,BT$3=$AE88),"",IF(BT$3=$AD88,$F88&amp;"R",BT87))))</f>
        <v/>
      </c>
      <c r="BU88" s="11" t="str">
        <f aca="false">IF($P88=0,BU87,IF(BU$3=$E88,IF($AA88=1,$F88&amp;$AB88,$G88),IF(OR(BU$3=$D88,BU$3=$AC88,BU$3=$AE88),"",IF(BU$3=$AD88,$F88&amp;"R",BU87))))</f>
        <v/>
      </c>
      <c r="BV88" s="11" t="str">
        <f aca="false">IF($P88=0,BV87,IF(BV$3=$E88,IF($AA88=1,$F88&amp;$AB88,$G88),IF(OR(BV$3=$D88,BV$3=$AC88,BV$3=$AE88),"",IF(BV$3=$AD88,$F88&amp;"R",BV87))))</f>
        <v/>
      </c>
      <c r="BW88" s="11" t="str">
        <f aca="false">IF($P88=0,BW87,IF(BW$3=$E88,IF($AA88=1,$F88&amp;$AB88,$G88),IF(OR(BW$3=$D88,BW$3=$AC88,BW$3=$AE88),"",IF(BW$3=$AD88,$F88&amp;"R",BW87))))</f>
        <v/>
      </c>
      <c r="BX88" s="11" t="str">
        <f aca="false">IF($P88=0,BX87,IF(BX$3=$E88,IF($AA88=1,$F88&amp;$AB88,$G88),IF(OR(BX$3=$D88,BX$3=$AC88,BX$3=$AE88),"",IF(BX$3=$AD88,$F88&amp;"R",BX87))))</f>
        <v/>
      </c>
      <c r="BY88" s="11" t="str">
        <f aca="false">IF($P88=0,BY87,IF(BY$3=$E88,IF($AA88=1,$F88&amp;$AB88,$G88),IF(OR(BY$3=$D88,BY$3=$AC88,BY$3=$AE88),"",IF(BY$3=$AD88,$F88&amp;"R",BY87))))</f>
        <v/>
      </c>
      <c r="BZ88" s="11" t="str">
        <f aca="false">IF($P88=0,BZ87,IF(BZ$3=$E88,IF($AA88=1,$F88&amp;$AB88,$G88),IF(OR(BZ$3=$D88,BZ$3=$AC88,BZ$3=$AE88),"",IF(BZ$3=$AD88,$F88&amp;"R",BZ87))))</f>
        <v/>
      </c>
      <c r="CA88" s="11" t="str">
        <f aca="false">IF($P88=0,CA87,IF(CA$3=$E88,IF($AA88=1,$F88&amp;$AB88,$G88),IF(OR(CA$3=$D88,CA$3=$AC88,CA$3=$AE88),"",IF(CA$3=$AD88,$F88&amp;"R",CA87))))</f>
        <v/>
      </c>
      <c r="CB88" s="11" t="str">
        <f aca="false">IF($P88=0,CB87,IF(CB$3=$E88,IF($AA88=1,$F88&amp;$AB88,$G88),IF(OR(CB$3=$D88,CB$3=$AC88,CB$3=$AE88),"",IF(CB$3=$AD88,$F88&amp;"R",CB87))))</f>
        <v/>
      </c>
      <c r="CC88" s="11" t="str">
        <f aca="false">IF($P88=0,CC87,IF(CC$3=$E88,IF($AA88=1,$F88&amp;$AB88,$G88),IF(OR(CC$3=$D88,CC$3=$AC88,CC$3=$AE88),"",IF(CC$3=$AD88,$F88&amp;"R",CC87))))</f>
        <v/>
      </c>
      <c r="CD88" s="11" t="str">
        <f aca="false">IF($P88=0,CD87,IF(CD$3=$E88,IF($AA88=1,$F88&amp;$AB88,$G88),IF(OR(CD$3=$D88,CD$3=$AC88,CD$3=$AE88),"",IF(CD$3=$AD88,$F88&amp;"R",CD87))))</f>
        <v>bP</v>
      </c>
      <c r="CE88" s="11" t="str">
        <f aca="false">IF($P88=0,CE87,IF(CE$3=$E88,IF($AA88=1,$F88&amp;$AB88,$G88),IF(OR(CE$3=$D88,CE$3=$AC88,CE$3=$AE88),"",IF(CE$3=$AD88,$F88&amp;"R",CE87))))</f>
        <v>bP</v>
      </c>
      <c r="CF88" s="11" t="str">
        <f aca="false">IF($P88=0,CF87,IF(CF$3=$E88,IF($AA88=1,$F88&amp;$AB88,$G88),IF(OR(CF$3=$D88,CF$3=$AC88,CF$3=$AE88),"",IF(CF$3=$AD88,$F88&amp;"R",CF87))))</f>
        <v>bP</v>
      </c>
      <c r="CG88" s="11" t="str">
        <f aca="false">IF($P88=0,CG87,IF(CG$3=$E88,IF($AA88=1,$F88&amp;$AB88,$G88),IF(OR(CG$3=$D88,CG$3=$AC88,CG$3=$AE88),"",IF(CG$3=$AD88,$F88&amp;"R",CG87))))</f>
        <v>bP</v>
      </c>
      <c r="CH88" s="11" t="str">
        <f aca="false">IF($P88=0,CH87,IF(CH$3=$E88,IF($AA88=1,$F88&amp;$AB88,$G88),IF(OR(CH$3=$D88,CH$3=$AC88,CH$3=$AE88),"",IF(CH$3=$AD88,$F88&amp;"R",CH87))))</f>
        <v>bP</v>
      </c>
      <c r="CI88" s="11" t="str">
        <f aca="false">IF($P88=0,CI87,IF(CI$3=$E88,IF($AA88=1,$F88&amp;$AB88,$G88),IF(OR(CI$3=$D88,CI$3=$AC88,CI$3=$AE88),"",IF(CI$3=$AD88,$F88&amp;"R",CI87))))</f>
        <v>bP</v>
      </c>
      <c r="CJ88" s="11" t="str">
        <f aca="false">IF($P88=0,CJ87,IF(CJ$3=$E88,IF($AA88=1,$F88&amp;$AB88,$G88),IF(OR(CJ$3=$D88,CJ$3=$AC88,CJ$3=$AE88),"",IF(CJ$3=$AD88,$F88&amp;"R",CJ87))))</f>
        <v>bP</v>
      </c>
      <c r="CK88" s="11" t="str">
        <f aca="false">IF($P88=0,CK87,IF(CK$3=$E88,IF($AA88=1,$F88&amp;$AB88,$G88),IF(OR(CK$3=$D88,CK$3=$AC88,CK$3=$AE88),"",IF(CK$3=$AD88,$F88&amp;"R",CK87))))</f>
        <v>bP</v>
      </c>
      <c r="CL88" s="11" t="str">
        <f aca="false">IF($P88=0,CL87,IF(CL$3=$E88,IF($AA88=1,$F88&amp;$AB88,$G88),IF(OR(CL$3=$D88,CL$3=$AC88,CL$3=$AE88),"",IF(CL$3=$AD88,$F88&amp;"R",CL87))))</f>
        <v>bR</v>
      </c>
      <c r="CM88" s="11" t="str">
        <f aca="false">IF($P88=0,CM87,IF(CM$3=$E88,IF($AA88=1,$F88&amp;$AB88,$G88),IF(OR(CM$3=$D88,CM$3=$AC88,CM$3=$AE88),"",IF(CM$3=$AD88,$F88&amp;"R",CM87))))</f>
        <v>bN</v>
      </c>
      <c r="CN88" s="11" t="str">
        <f aca="false">IF($P88=0,CN87,IF(CN$3=$E88,IF($AA88=1,$F88&amp;$AB88,$G88),IF(OR(CN$3=$D88,CN$3=$AC88,CN$3=$AE88),"",IF(CN$3=$AD88,$F88&amp;"R",CN87))))</f>
        <v>bB</v>
      </c>
      <c r="CO88" s="11" t="str">
        <f aca="false">IF($P88=0,CO87,IF(CO$3=$E88,IF($AA88=1,$F88&amp;$AB88,$G88),IF(OR(CO$3=$D88,CO$3=$AC88,CO$3=$AE88),"",IF(CO$3=$AD88,$F88&amp;"R",CO87))))</f>
        <v>bQ</v>
      </c>
      <c r="CP88" s="11" t="str">
        <f aca="false">IF($P88=0,CP87,IF(CP$3=$E88,IF($AA88=1,$F88&amp;$AB88,$G88),IF(OR(CP$3=$D88,CP$3=$AC88,CP$3=$AE88),"",IF(CP$3=$AD88,$F88&amp;"R",CP87))))</f>
        <v>bK</v>
      </c>
      <c r="CQ88" s="11" t="str">
        <f aca="false">IF($P88=0,CQ87,IF(CQ$3=$E88,IF($AA88=1,$F88&amp;$AB88,$G88),IF(OR(CQ$3=$D88,CQ$3=$AC88,CQ$3=$AE88),"",IF(CQ$3=$AD88,$F88&amp;"R",CQ87))))</f>
        <v>bB</v>
      </c>
      <c r="CR88" s="11" t="str">
        <f aca="false">IF($P88=0,CR87,IF(CR$3=$E88,IF($AA88=1,$F88&amp;$AB88,$G88),IF(OR(CR$3=$D88,CR$3=$AC88,CR$3=$AE88),"",IF(CR$3=$AD88,$F88&amp;"R",CR87))))</f>
        <v>bN</v>
      </c>
      <c r="CS88" s="11" t="str">
        <f aca="false">IF($P88=0,CS87,IF(CS$3=$E88,IF($AA88=1,$F88&amp;$AB88,$G88),IF(OR(CS$3=$D88,CS$3=$AC88,CS$3=$AE88),"",IF(CS$3=$AD88,$F88&amp;"R",CS87))))</f>
        <v>bR</v>
      </c>
      <c r="CT88" s="11"/>
      <c r="CU88" s="11"/>
      <c r="CV88" s="11"/>
    </row>
    <row r="89" customFormat="false" ht="15" hidden="false" customHeight="false" outlineLevel="0" collapsed="false">
      <c r="A89" s="11" t="n">
        <v>84</v>
      </c>
      <c r="B89" s="11" t="str">
        <f aca="false">IF(Chess!$L$93="","",Chess!$L$93&amp;"")</f>
        <v/>
      </c>
      <c r="C89" s="11" t="str">
        <f aca="false">LOWER(SUBSTITUTE(SUBSTITUTE(SUBSTITUTE(SUBSTITUTE(TRIM($B89),"-",""),"=","")," ",""),"x",""))</f>
        <v/>
      </c>
      <c r="D89" s="11" t="n">
        <f aca="false">IF(LEN($C89)&lt;4,0,IFERROR(IF(AND(CODE(MID($C89,1,1))&gt;=97,CODE(MID($C89,1,1))&lt;=104,VALUE(MID($C89,2,1))&gt;=1,VALUE(MID($C89,2,1))&lt;=8),(VALUE(MID($C89,2,1))-1)*8+CODE(MID($C89,1,1))-96,0),0))</f>
        <v>0</v>
      </c>
      <c r="E89" s="11" t="n">
        <f aca="false">IF(LEN($C89)&lt;4,0,IFERROR(IF(AND(CODE(MID($C89,3,1))&gt;=97,CODE(MID($C89,3,1))&lt;=104,VALUE(MID($C89,4,1))&gt;=1,VALUE(MID($C89,4,1))&lt;=8),(VALUE(MID($C89,4,1))-1)*8+CODE(MID($C89,3,1))-96,0),0))</f>
        <v>0</v>
      </c>
      <c r="F89" s="11" t="str">
        <f aca="false">IF(MOD(SUM($P$5:$P88),2)=0,"w","b")</f>
        <v>w</v>
      </c>
      <c r="G89" s="11" t="str">
        <f aca="false">IF($D89=0,"",INDEX($AH88:$CS88,1,$D89)&amp;"")</f>
        <v/>
      </c>
      <c r="H89" s="11" t="str">
        <f aca="false">IF($E89=0,"",INDEX($AH88:$CS88,1,$E89)&amp;"")</f>
        <v/>
      </c>
      <c r="I89" s="11" t="n">
        <f aca="false">IF(OR($D89=0,$E89=0),0,MOD($E89-1,8)-MOD($D89-1,8))</f>
        <v>0</v>
      </c>
      <c r="J89" s="11" t="n">
        <f aca="false">IF(OR($D89=0,$E89=0),0,INT(($E89-1)/8)-INT(($D89-1)/8))</f>
        <v>0</v>
      </c>
      <c r="K89" s="11" t="str">
        <f aca="false">IF($G89="","",RIGHT($G89,1))</f>
        <v/>
      </c>
      <c r="L89" s="11" t="n">
        <f aca="false">IF(OR($D89=0,$E89=0),0,SUMPRODUCT(($AH$3:$CS$3&gt;MIN($D89,$E89))*($AH$3:$CS$3&lt;MAX($D89,$E89))*(MOD($AH$3:$CS$3-MIN($D89,$E89),MAX(1,ABS(SIGN($J89)*8+SIGN($I89))))=0)*($AH88:$CS88&lt;&gt;"")))</f>
        <v>0</v>
      </c>
      <c r="M89" s="11" t="n">
        <f aca="false">IF($K89&lt;&gt;"K",0,IFERROR(--AND($J89=0,ABS($I89)=2,$D89=IF($F89="w",5,61),IF($F89="w",$S88,$V88)=0,IF($I89=2,AND(IF($F89="w",$U88,$X88)=0,INDEX($AH88:$CS88,1,$D89+1)&amp;""="",INDEX($AH88:$CS88,1,$D89+2)&amp;""=""),AND(IF($F89="w",$T88,$W88)=0,INDEX($AH88:$CS88,1,$D89-1)&amp;""="",INDEX($AH88:$CS88,1,$D89-2)&amp;""="",INDEX($AH88:$CS88,1,$D89-3)&amp;""=""))),0))</f>
        <v>0</v>
      </c>
      <c r="N89" s="11" t="n">
        <f aca="false">IF($K89&lt;&gt;"P",0,IFERROR(--OR(AND($I89=0,$J89=IF($F89="w",1,-1),$H89=""),AND($I89=0,$J89=2*IF($F89="w",1,-1),$H89="",INT(($D89-1)/8)=IF($F89="w",1,6),INDEX($AH88:$CS88,1,MAX(1,MIN(64,$D89+8*IF($F89="w",1,-1))))&amp;""=""),AND(ABS($I89)=1,$J89=IF($F89="w",1,-1),$H89&lt;&gt;""),AND(ABS($I89)=1,$J89=IF($F89="w",1,-1),$H89="",$R88&gt;0,$E89=$R88)),0))</f>
        <v>0</v>
      </c>
      <c r="O89" s="11" t="n">
        <f aca="false">IF(OR($D89=0,$E89=0,$G89=""),0,IF($K89="N",--OR(AND(ABS($I89)=1,ABS($J89)=2),AND(ABS($I89)=2,ABS($J89)=1)),IF($K89="B",--AND(ABS($I89)=ABS($J89),$I89&lt;&gt;0,$L89=0),IF($K89="R",--AND(OR($I89=0,$J89=0),OR($I89&lt;&gt;0,$J89&lt;&gt;0),$L89=0),IF($K89="Q",--AND(OR(AND(ABS($I89)=ABS($J89),$I89&lt;&gt;0),AND(OR($I89=0,$J89=0),OR($I89&lt;&gt;0,$J89&lt;&gt;0))),$L89=0),IF($K89="K",--OR(MAX(ABS($I89),ABS($J89))=1,$M89=1),$N89))))))</f>
        <v>0</v>
      </c>
      <c r="P89" s="11" t="n">
        <f aca="false">IF($Q89="OK",1,0)</f>
        <v>0</v>
      </c>
      <c r="Q89" s="11" t="str">
        <f aca="false">IF($B89="","",IF(OR(COUNTIF($AH88:$CS88,"wK")=0,COUNTIF($AH88:$CS88,"bK")=0),"Game is over",IF(OR($D89=0,$E89=0),"Use the format e2e4",IF($G89="","No piece on that square",IF(LEFT($G89,1)&lt;&gt;$F89,"Not your piece ("&amp;IF($F89="w","White","Black")&amp;" to move)",IF($D89=$E89,"Piece must move",IF(AND($H89&lt;&gt;"",LEFT($H89,1)=$F89),"Cannot capture your own piece",IF($O89=0,"Illegal move for that piece (or path blocked)","OK"))))))))</f>
        <v/>
      </c>
      <c r="R89" s="11" t="n">
        <f aca="false">IF($P89=1,IF(AND($K89="P",ABS($J89)=2),($D89+$E89)/2,0),$R88)</f>
        <v>0</v>
      </c>
      <c r="S89" s="12" t="b">
        <f aca="false">--OR($S88=1,AND($P89=1,OR($D89=5,$E89=5)))</f>
        <v>0</v>
      </c>
      <c r="T89" s="12" t="b">
        <f aca="false">--OR($T88=1,AND($P89=1,OR($D89=1,$E89=1)))</f>
        <v>0</v>
      </c>
      <c r="U89" s="12" t="b">
        <f aca="false">--OR($U88=1,AND($P89=1,OR($D89=8,$E89=8)))</f>
        <v>0</v>
      </c>
      <c r="V89" s="12" t="b">
        <f aca="false">--OR($V88=1,AND($P89=1,OR($D89=61,$E89=61)))</f>
        <v>0</v>
      </c>
      <c r="W89" s="12" t="b">
        <f aca="false">--OR($W88=1,AND($P89=1,OR($D89=57,$E89=57)))</f>
        <v>0</v>
      </c>
      <c r="X89" s="12" t="b">
        <f aca="false">--OR($X88=1,AND($P89=1,OR($D89=64,$E89=64)))</f>
        <v>0</v>
      </c>
      <c r="Y89" s="12" t="b">
        <f aca="false">--AND($P89=1,$K89="K",ABS($I89)=2)</f>
        <v>0</v>
      </c>
      <c r="Z89" s="12" t="b">
        <f aca="false">--AND($P89=1,$K89="P",ABS($I89)=1,$H89="")</f>
        <v>0</v>
      </c>
      <c r="AA89" s="12" t="b">
        <f aca="false">--AND($P89=1,$K89="P",INT(($E89-1)/8)=IF($F89="w",7,0))</f>
        <v>0</v>
      </c>
      <c r="AB89" s="11" t="str">
        <f aca="false">IF(LEN($C89)&gt;=5,IF(ISNUMBER(FIND(MID($C89,5,1),"qrbn")),UPPER(MID($C89,5,1)),"Q"),"Q")</f>
        <v>Q</v>
      </c>
      <c r="AC89" s="11" t="n">
        <f aca="false">IF($Y89=1,IF($I89=2,$D89+3,$D89-4),0)</f>
        <v>0</v>
      </c>
      <c r="AD89" s="11" t="n">
        <f aca="false">IF($Y89=1,IF($I89=2,$D89+1,$D89-1),0)</f>
        <v>0</v>
      </c>
      <c r="AE89" s="11" t="n">
        <f aca="false">IF($Z89=1,$E89-8*IF($F89="w",1,-1),0)</f>
        <v>0</v>
      </c>
      <c r="AF89" s="11" t="str">
        <f aca="false">IF($B89="","",IF($P89=1,LOWER(INDEX($CV$2:$CV$13,MATCH($G89,$CU$2:$CU$13,0)))&amp;" "&amp;MID("abcdefgh",MOD($D89-1,8)+1,1)&amp;(INT(($D89-1)/8)+1)&amp;"→"&amp;MID("abcdefgh",MOD($E89-1,8)+1,1)&amp;(INT(($E89-1)/8)+1)&amp;IF(OR($H89&lt;&gt;"",$Z89=1)," ×","")&amp;IF($Y89=1," castles","")&amp;IF($Z89=1," e.p.","")&amp;IF($AA89=1," =" &amp;LOWER(INDEX($CV$2:$CV$13,MATCH($F89&amp;$AB89,$CU$2:$CU$13,0))),""),"X "&amp;$Q89))</f>
        <v/>
      </c>
      <c r="AG89" s="11"/>
      <c r="AH89" s="11" t="str">
        <f aca="false">IF($P89=0,AH88,IF(AH$3=$E89,IF($AA89=1,$F89&amp;$AB89,$G89),IF(OR(AH$3=$D89,AH$3=$AC89,AH$3=$AE89),"",IF(AH$3=$AD89,$F89&amp;"R",AH88))))</f>
        <v>wR</v>
      </c>
      <c r="AI89" s="11" t="str">
        <f aca="false">IF($P89=0,AI88,IF(AI$3=$E89,IF($AA89=1,$F89&amp;$AB89,$G89),IF(OR(AI$3=$D89,AI$3=$AC89,AI$3=$AE89),"",IF(AI$3=$AD89,$F89&amp;"R",AI88))))</f>
        <v>wN</v>
      </c>
      <c r="AJ89" s="11" t="str">
        <f aca="false">IF($P89=0,AJ88,IF(AJ$3=$E89,IF($AA89=1,$F89&amp;$AB89,$G89),IF(OR(AJ$3=$D89,AJ$3=$AC89,AJ$3=$AE89),"",IF(AJ$3=$AD89,$F89&amp;"R",AJ88))))</f>
        <v>wB</v>
      </c>
      <c r="AK89" s="11" t="str">
        <f aca="false">IF($P89=0,AK88,IF(AK$3=$E89,IF($AA89=1,$F89&amp;$AB89,$G89),IF(OR(AK$3=$D89,AK$3=$AC89,AK$3=$AE89),"",IF(AK$3=$AD89,$F89&amp;"R",AK88))))</f>
        <v>wQ</v>
      </c>
      <c r="AL89" s="11" t="str">
        <f aca="false">IF($P89=0,AL88,IF(AL$3=$E89,IF($AA89=1,$F89&amp;$AB89,$G89),IF(OR(AL$3=$D89,AL$3=$AC89,AL$3=$AE89),"",IF(AL$3=$AD89,$F89&amp;"R",AL88))))</f>
        <v>wK</v>
      </c>
      <c r="AM89" s="11" t="str">
        <f aca="false">IF($P89=0,AM88,IF(AM$3=$E89,IF($AA89=1,$F89&amp;$AB89,$G89),IF(OR(AM$3=$D89,AM$3=$AC89,AM$3=$AE89),"",IF(AM$3=$AD89,$F89&amp;"R",AM88))))</f>
        <v>wB</v>
      </c>
      <c r="AN89" s="11" t="str">
        <f aca="false">IF($P89=0,AN88,IF(AN$3=$E89,IF($AA89=1,$F89&amp;$AB89,$G89),IF(OR(AN$3=$D89,AN$3=$AC89,AN$3=$AE89),"",IF(AN$3=$AD89,$F89&amp;"R",AN88))))</f>
        <v>wN</v>
      </c>
      <c r="AO89" s="11" t="str">
        <f aca="false">IF($P89=0,AO88,IF(AO$3=$E89,IF($AA89=1,$F89&amp;$AB89,$G89),IF(OR(AO$3=$D89,AO$3=$AC89,AO$3=$AE89),"",IF(AO$3=$AD89,$F89&amp;"R",AO88))))</f>
        <v>wR</v>
      </c>
      <c r="AP89" s="11" t="str">
        <f aca="false">IF($P89=0,AP88,IF(AP$3=$E89,IF($AA89=1,$F89&amp;$AB89,$G89),IF(OR(AP$3=$D89,AP$3=$AC89,AP$3=$AE89),"",IF(AP$3=$AD89,$F89&amp;"R",AP88))))</f>
        <v>wP</v>
      </c>
      <c r="AQ89" s="11" t="str">
        <f aca="false">IF($P89=0,AQ88,IF(AQ$3=$E89,IF($AA89=1,$F89&amp;$AB89,$G89),IF(OR(AQ$3=$D89,AQ$3=$AC89,AQ$3=$AE89),"",IF(AQ$3=$AD89,$F89&amp;"R",AQ88))))</f>
        <v>wP</v>
      </c>
      <c r="AR89" s="11" t="str">
        <f aca="false">IF($P89=0,AR88,IF(AR$3=$E89,IF($AA89=1,$F89&amp;$AB89,$G89),IF(OR(AR$3=$D89,AR$3=$AC89,AR$3=$AE89),"",IF(AR$3=$AD89,$F89&amp;"R",AR88))))</f>
        <v>wP</v>
      </c>
      <c r="AS89" s="11" t="str">
        <f aca="false">IF($P89=0,AS88,IF(AS$3=$E89,IF($AA89=1,$F89&amp;$AB89,$G89),IF(OR(AS$3=$D89,AS$3=$AC89,AS$3=$AE89),"",IF(AS$3=$AD89,$F89&amp;"R",AS88))))</f>
        <v>wP</v>
      </c>
      <c r="AT89" s="11" t="str">
        <f aca="false">IF($P89=0,AT88,IF(AT$3=$E89,IF($AA89=1,$F89&amp;$AB89,$G89),IF(OR(AT$3=$D89,AT$3=$AC89,AT$3=$AE89),"",IF(AT$3=$AD89,$F89&amp;"R",AT88))))</f>
        <v>wP</v>
      </c>
      <c r="AU89" s="11" t="str">
        <f aca="false">IF($P89=0,AU88,IF(AU$3=$E89,IF($AA89=1,$F89&amp;$AB89,$G89),IF(OR(AU$3=$D89,AU$3=$AC89,AU$3=$AE89),"",IF(AU$3=$AD89,$F89&amp;"R",AU88))))</f>
        <v>wP</v>
      </c>
      <c r="AV89" s="11" t="str">
        <f aca="false">IF($P89=0,AV88,IF(AV$3=$E89,IF($AA89=1,$F89&amp;$AB89,$G89),IF(OR(AV$3=$D89,AV$3=$AC89,AV$3=$AE89),"",IF(AV$3=$AD89,$F89&amp;"R",AV88))))</f>
        <v>wP</v>
      </c>
      <c r="AW89" s="11" t="str">
        <f aca="false">IF($P89=0,AW88,IF(AW$3=$E89,IF($AA89=1,$F89&amp;$AB89,$G89),IF(OR(AW$3=$D89,AW$3=$AC89,AW$3=$AE89),"",IF(AW$3=$AD89,$F89&amp;"R",AW88))))</f>
        <v>wP</v>
      </c>
      <c r="AX89" s="11" t="str">
        <f aca="false">IF($P89=0,AX88,IF(AX$3=$E89,IF($AA89=1,$F89&amp;$AB89,$G89),IF(OR(AX$3=$D89,AX$3=$AC89,AX$3=$AE89),"",IF(AX$3=$AD89,$F89&amp;"R",AX88))))</f>
        <v/>
      </c>
      <c r="AY89" s="11" t="str">
        <f aca="false">IF($P89=0,AY88,IF(AY$3=$E89,IF($AA89=1,$F89&amp;$AB89,$G89),IF(OR(AY$3=$D89,AY$3=$AC89,AY$3=$AE89),"",IF(AY$3=$AD89,$F89&amp;"R",AY88))))</f>
        <v/>
      </c>
      <c r="AZ89" s="11" t="str">
        <f aca="false">IF($P89=0,AZ88,IF(AZ$3=$E89,IF($AA89=1,$F89&amp;$AB89,$G89),IF(OR(AZ$3=$D89,AZ$3=$AC89,AZ$3=$AE89),"",IF(AZ$3=$AD89,$F89&amp;"R",AZ88))))</f>
        <v/>
      </c>
      <c r="BA89" s="11" t="str">
        <f aca="false">IF($P89=0,BA88,IF(BA$3=$E89,IF($AA89=1,$F89&amp;$AB89,$G89),IF(OR(BA$3=$D89,BA$3=$AC89,BA$3=$AE89),"",IF(BA$3=$AD89,$F89&amp;"R",BA88))))</f>
        <v/>
      </c>
      <c r="BB89" s="11" t="str">
        <f aca="false">IF($P89=0,BB88,IF(BB$3=$E89,IF($AA89=1,$F89&amp;$AB89,$G89),IF(OR(BB$3=$D89,BB$3=$AC89,BB$3=$AE89),"",IF(BB$3=$AD89,$F89&amp;"R",BB88))))</f>
        <v/>
      </c>
      <c r="BC89" s="11" t="str">
        <f aca="false">IF($P89=0,BC88,IF(BC$3=$E89,IF($AA89=1,$F89&amp;$AB89,$G89),IF(OR(BC$3=$D89,BC$3=$AC89,BC$3=$AE89),"",IF(BC$3=$AD89,$F89&amp;"R",BC88))))</f>
        <v/>
      </c>
      <c r="BD89" s="11" t="str">
        <f aca="false">IF($P89=0,BD88,IF(BD$3=$E89,IF($AA89=1,$F89&amp;$AB89,$G89),IF(OR(BD$3=$D89,BD$3=$AC89,BD$3=$AE89),"",IF(BD$3=$AD89,$F89&amp;"R",BD88))))</f>
        <v/>
      </c>
      <c r="BE89" s="11" t="str">
        <f aca="false">IF($P89=0,BE88,IF(BE$3=$E89,IF($AA89=1,$F89&amp;$AB89,$G89),IF(OR(BE$3=$D89,BE$3=$AC89,BE$3=$AE89),"",IF(BE$3=$AD89,$F89&amp;"R",BE88))))</f>
        <v/>
      </c>
      <c r="BF89" s="11" t="str">
        <f aca="false">IF($P89=0,BF88,IF(BF$3=$E89,IF($AA89=1,$F89&amp;$AB89,$G89),IF(OR(BF$3=$D89,BF$3=$AC89,BF$3=$AE89),"",IF(BF$3=$AD89,$F89&amp;"R",BF88))))</f>
        <v/>
      </c>
      <c r="BG89" s="11" t="str">
        <f aca="false">IF($P89=0,BG88,IF(BG$3=$E89,IF($AA89=1,$F89&amp;$AB89,$G89),IF(OR(BG$3=$D89,BG$3=$AC89,BG$3=$AE89),"",IF(BG$3=$AD89,$F89&amp;"R",BG88))))</f>
        <v/>
      </c>
      <c r="BH89" s="11" t="str">
        <f aca="false">IF($P89=0,BH88,IF(BH$3=$E89,IF($AA89=1,$F89&amp;$AB89,$G89),IF(OR(BH$3=$D89,BH$3=$AC89,BH$3=$AE89),"",IF(BH$3=$AD89,$F89&amp;"R",BH88))))</f>
        <v/>
      </c>
      <c r="BI89" s="11" t="str">
        <f aca="false">IF($P89=0,BI88,IF(BI$3=$E89,IF($AA89=1,$F89&amp;$AB89,$G89),IF(OR(BI$3=$D89,BI$3=$AC89,BI$3=$AE89),"",IF(BI$3=$AD89,$F89&amp;"R",BI88))))</f>
        <v/>
      </c>
      <c r="BJ89" s="11" t="str">
        <f aca="false">IF($P89=0,BJ88,IF(BJ$3=$E89,IF($AA89=1,$F89&amp;$AB89,$G89),IF(OR(BJ$3=$D89,BJ$3=$AC89,BJ$3=$AE89),"",IF(BJ$3=$AD89,$F89&amp;"R",BJ88))))</f>
        <v/>
      </c>
      <c r="BK89" s="11" t="str">
        <f aca="false">IF($P89=0,BK88,IF(BK$3=$E89,IF($AA89=1,$F89&amp;$AB89,$G89),IF(OR(BK$3=$D89,BK$3=$AC89,BK$3=$AE89),"",IF(BK$3=$AD89,$F89&amp;"R",BK88))))</f>
        <v/>
      </c>
      <c r="BL89" s="11" t="str">
        <f aca="false">IF($P89=0,BL88,IF(BL$3=$E89,IF($AA89=1,$F89&amp;$AB89,$G89),IF(OR(BL$3=$D89,BL$3=$AC89,BL$3=$AE89),"",IF(BL$3=$AD89,$F89&amp;"R",BL88))))</f>
        <v/>
      </c>
      <c r="BM89" s="11" t="str">
        <f aca="false">IF($P89=0,BM88,IF(BM$3=$E89,IF($AA89=1,$F89&amp;$AB89,$G89),IF(OR(BM$3=$D89,BM$3=$AC89,BM$3=$AE89),"",IF(BM$3=$AD89,$F89&amp;"R",BM88))))</f>
        <v/>
      </c>
      <c r="BN89" s="11" t="str">
        <f aca="false">IF($P89=0,BN88,IF(BN$3=$E89,IF($AA89=1,$F89&amp;$AB89,$G89),IF(OR(BN$3=$D89,BN$3=$AC89,BN$3=$AE89),"",IF(BN$3=$AD89,$F89&amp;"R",BN88))))</f>
        <v/>
      </c>
      <c r="BO89" s="11" t="str">
        <f aca="false">IF($P89=0,BO88,IF(BO$3=$E89,IF($AA89=1,$F89&amp;$AB89,$G89),IF(OR(BO$3=$D89,BO$3=$AC89,BO$3=$AE89),"",IF(BO$3=$AD89,$F89&amp;"R",BO88))))</f>
        <v/>
      </c>
      <c r="BP89" s="11" t="str">
        <f aca="false">IF($P89=0,BP88,IF(BP$3=$E89,IF($AA89=1,$F89&amp;$AB89,$G89),IF(OR(BP$3=$D89,BP$3=$AC89,BP$3=$AE89),"",IF(BP$3=$AD89,$F89&amp;"R",BP88))))</f>
        <v/>
      </c>
      <c r="BQ89" s="11" t="str">
        <f aca="false">IF($P89=0,BQ88,IF(BQ$3=$E89,IF($AA89=1,$F89&amp;$AB89,$G89),IF(OR(BQ$3=$D89,BQ$3=$AC89,BQ$3=$AE89),"",IF(BQ$3=$AD89,$F89&amp;"R",BQ88))))</f>
        <v/>
      </c>
      <c r="BR89" s="11" t="str">
        <f aca="false">IF($P89=0,BR88,IF(BR$3=$E89,IF($AA89=1,$F89&amp;$AB89,$G89),IF(OR(BR$3=$D89,BR$3=$AC89,BR$3=$AE89),"",IF(BR$3=$AD89,$F89&amp;"R",BR88))))</f>
        <v/>
      </c>
      <c r="BS89" s="11" t="str">
        <f aca="false">IF($P89=0,BS88,IF(BS$3=$E89,IF($AA89=1,$F89&amp;$AB89,$G89),IF(OR(BS$3=$D89,BS$3=$AC89,BS$3=$AE89),"",IF(BS$3=$AD89,$F89&amp;"R",BS88))))</f>
        <v/>
      </c>
      <c r="BT89" s="11" t="str">
        <f aca="false">IF($P89=0,BT88,IF(BT$3=$E89,IF($AA89=1,$F89&amp;$AB89,$G89),IF(OR(BT$3=$D89,BT$3=$AC89,BT$3=$AE89),"",IF(BT$3=$AD89,$F89&amp;"R",BT88))))</f>
        <v/>
      </c>
      <c r="BU89" s="11" t="str">
        <f aca="false">IF($P89=0,BU88,IF(BU$3=$E89,IF($AA89=1,$F89&amp;$AB89,$G89),IF(OR(BU$3=$D89,BU$3=$AC89,BU$3=$AE89),"",IF(BU$3=$AD89,$F89&amp;"R",BU88))))</f>
        <v/>
      </c>
      <c r="BV89" s="11" t="str">
        <f aca="false">IF($P89=0,BV88,IF(BV$3=$E89,IF($AA89=1,$F89&amp;$AB89,$G89),IF(OR(BV$3=$D89,BV$3=$AC89,BV$3=$AE89),"",IF(BV$3=$AD89,$F89&amp;"R",BV88))))</f>
        <v/>
      </c>
      <c r="BW89" s="11" t="str">
        <f aca="false">IF($P89=0,BW88,IF(BW$3=$E89,IF($AA89=1,$F89&amp;$AB89,$G89),IF(OR(BW$3=$D89,BW$3=$AC89,BW$3=$AE89),"",IF(BW$3=$AD89,$F89&amp;"R",BW88))))</f>
        <v/>
      </c>
      <c r="BX89" s="11" t="str">
        <f aca="false">IF($P89=0,BX88,IF(BX$3=$E89,IF($AA89=1,$F89&amp;$AB89,$G89),IF(OR(BX$3=$D89,BX$3=$AC89,BX$3=$AE89),"",IF(BX$3=$AD89,$F89&amp;"R",BX88))))</f>
        <v/>
      </c>
      <c r="BY89" s="11" t="str">
        <f aca="false">IF($P89=0,BY88,IF(BY$3=$E89,IF($AA89=1,$F89&amp;$AB89,$G89),IF(OR(BY$3=$D89,BY$3=$AC89,BY$3=$AE89),"",IF(BY$3=$AD89,$F89&amp;"R",BY88))))</f>
        <v/>
      </c>
      <c r="BZ89" s="11" t="str">
        <f aca="false">IF($P89=0,BZ88,IF(BZ$3=$E89,IF($AA89=1,$F89&amp;$AB89,$G89),IF(OR(BZ$3=$D89,BZ$3=$AC89,BZ$3=$AE89),"",IF(BZ$3=$AD89,$F89&amp;"R",BZ88))))</f>
        <v/>
      </c>
      <c r="CA89" s="11" t="str">
        <f aca="false">IF($P89=0,CA88,IF(CA$3=$E89,IF($AA89=1,$F89&amp;$AB89,$G89),IF(OR(CA$3=$D89,CA$3=$AC89,CA$3=$AE89),"",IF(CA$3=$AD89,$F89&amp;"R",CA88))))</f>
        <v/>
      </c>
      <c r="CB89" s="11" t="str">
        <f aca="false">IF($P89=0,CB88,IF(CB$3=$E89,IF($AA89=1,$F89&amp;$AB89,$G89),IF(OR(CB$3=$D89,CB$3=$AC89,CB$3=$AE89),"",IF(CB$3=$AD89,$F89&amp;"R",CB88))))</f>
        <v/>
      </c>
      <c r="CC89" s="11" t="str">
        <f aca="false">IF($P89=0,CC88,IF(CC$3=$E89,IF($AA89=1,$F89&amp;$AB89,$G89),IF(OR(CC$3=$D89,CC$3=$AC89,CC$3=$AE89),"",IF(CC$3=$AD89,$F89&amp;"R",CC88))))</f>
        <v/>
      </c>
      <c r="CD89" s="11" t="str">
        <f aca="false">IF($P89=0,CD88,IF(CD$3=$E89,IF($AA89=1,$F89&amp;$AB89,$G89),IF(OR(CD$3=$D89,CD$3=$AC89,CD$3=$AE89),"",IF(CD$3=$AD89,$F89&amp;"R",CD88))))</f>
        <v>bP</v>
      </c>
      <c r="CE89" s="11" t="str">
        <f aca="false">IF($P89=0,CE88,IF(CE$3=$E89,IF($AA89=1,$F89&amp;$AB89,$G89),IF(OR(CE$3=$D89,CE$3=$AC89,CE$3=$AE89),"",IF(CE$3=$AD89,$F89&amp;"R",CE88))))</f>
        <v>bP</v>
      </c>
      <c r="CF89" s="11" t="str">
        <f aca="false">IF($P89=0,CF88,IF(CF$3=$E89,IF($AA89=1,$F89&amp;$AB89,$G89),IF(OR(CF$3=$D89,CF$3=$AC89,CF$3=$AE89),"",IF(CF$3=$AD89,$F89&amp;"R",CF88))))</f>
        <v>bP</v>
      </c>
      <c r="CG89" s="11" t="str">
        <f aca="false">IF($P89=0,CG88,IF(CG$3=$E89,IF($AA89=1,$F89&amp;$AB89,$G89),IF(OR(CG$3=$D89,CG$3=$AC89,CG$3=$AE89),"",IF(CG$3=$AD89,$F89&amp;"R",CG88))))</f>
        <v>bP</v>
      </c>
      <c r="CH89" s="11" t="str">
        <f aca="false">IF($P89=0,CH88,IF(CH$3=$E89,IF($AA89=1,$F89&amp;$AB89,$G89),IF(OR(CH$3=$D89,CH$3=$AC89,CH$3=$AE89),"",IF(CH$3=$AD89,$F89&amp;"R",CH88))))</f>
        <v>bP</v>
      </c>
      <c r="CI89" s="11" t="str">
        <f aca="false">IF($P89=0,CI88,IF(CI$3=$E89,IF($AA89=1,$F89&amp;$AB89,$G89),IF(OR(CI$3=$D89,CI$3=$AC89,CI$3=$AE89),"",IF(CI$3=$AD89,$F89&amp;"R",CI88))))</f>
        <v>bP</v>
      </c>
      <c r="CJ89" s="11" t="str">
        <f aca="false">IF($P89=0,CJ88,IF(CJ$3=$E89,IF($AA89=1,$F89&amp;$AB89,$G89),IF(OR(CJ$3=$D89,CJ$3=$AC89,CJ$3=$AE89),"",IF(CJ$3=$AD89,$F89&amp;"R",CJ88))))</f>
        <v>bP</v>
      </c>
      <c r="CK89" s="11" t="str">
        <f aca="false">IF($P89=0,CK88,IF(CK$3=$E89,IF($AA89=1,$F89&amp;$AB89,$G89),IF(OR(CK$3=$D89,CK$3=$AC89,CK$3=$AE89),"",IF(CK$3=$AD89,$F89&amp;"R",CK88))))</f>
        <v>bP</v>
      </c>
      <c r="CL89" s="11" t="str">
        <f aca="false">IF($P89=0,CL88,IF(CL$3=$E89,IF($AA89=1,$F89&amp;$AB89,$G89),IF(OR(CL$3=$D89,CL$3=$AC89,CL$3=$AE89),"",IF(CL$3=$AD89,$F89&amp;"R",CL88))))</f>
        <v>bR</v>
      </c>
      <c r="CM89" s="11" t="str">
        <f aca="false">IF($P89=0,CM88,IF(CM$3=$E89,IF($AA89=1,$F89&amp;$AB89,$G89),IF(OR(CM$3=$D89,CM$3=$AC89,CM$3=$AE89),"",IF(CM$3=$AD89,$F89&amp;"R",CM88))))</f>
        <v>bN</v>
      </c>
      <c r="CN89" s="11" t="str">
        <f aca="false">IF($P89=0,CN88,IF(CN$3=$E89,IF($AA89=1,$F89&amp;$AB89,$G89),IF(OR(CN$3=$D89,CN$3=$AC89,CN$3=$AE89),"",IF(CN$3=$AD89,$F89&amp;"R",CN88))))</f>
        <v>bB</v>
      </c>
      <c r="CO89" s="11" t="str">
        <f aca="false">IF($P89=0,CO88,IF(CO$3=$E89,IF($AA89=1,$F89&amp;$AB89,$G89),IF(OR(CO$3=$D89,CO$3=$AC89,CO$3=$AE89),"",IF(CO$3=$AD89,$F89&amp;"R",CO88))))</f>
        <v>bQ</v>
      </c>
      <c r="CP89" s="11" t="str">
        <f aca="false">IF($P89=0,CP88,IF(CP$3=$E89,IF($AA89=1,$F89&amp;$AB89,$G89),IF(OR(CP$3=$D89,CP$3=$AC89,CP$3=$AE89),"",IF(CP$3=$AD89,$F89&amp;"R",CP88))))</f>
        <v>bK</v>
      </c>
      <c r="CQ89" s="11" t="str">
        <f aca="false">IF($P89=0,CQ88,IF(CQ$3=$E89,IF($AA89=1,$F89&amp;$AB89,$G89),IF(OR(CQ$3=$D89,CQ$3=$AC89,CQ$3=$AE89),"",IF(CQ$3=$AD89,$F89&amp;"R",CQ88))))</f>
        <v>bB</v>
      </c>
      <c r="CR89" s="11" t="str">
        <f aca="false">IF($P89=0,CR88,IF(CR$3=$E89,IF($AA89=1,$F89&amp;$AB89,$G89),IF(OR(CR$3=$D89,CR$3=$AC89,CR$3=$AE89),"",IF(CR$3=$AD89,$F89&amp;"R",CR88))))</f>
        <v>bN</v>
      </c>
      <c r="CS89" s="11" t="str">
        <f aca="false">IF($P89=0,CS88,IF(CS$3=$E89,IF($AA89=1,$F89&amp;$AB89,$G89),IF(OR(CS$3=$D89,CS$3=$AC89,CS$3=$AE89),"",IF(CS$3=$AD89,$F89&amp;"R",CS88))))</f>
        <v>bR</v>
      </c>
      <c r="CT89" s="11"/>
      <c r="CU89" s="11"/>
      <c r="CV89" s="11"/>
    </row>
    <row r="90" customFormat="false" ht="15" hidden="false" customHeight="false" outlineLevel="0" collapsed="false">
      <c r="A90" s="11" t="n">
        <v>85</v>
      </c>
      <c r="B90" s="11" t="str">
        <f aca="false">IF(Chess!$L$94="","",Chess!$L$94&amp;"")</f>
        <v/>
      </c>
      <c r="C90" s="11" t="str">
        <f aca="false">LOWER(SUBSTITUTE(SUBSTITUTE(SUBSTITUTE(SUBSTITUTE(TRIM($B90),"-",""),"=","")," ",""),"x",""))</f>
        <v/>
      </c>
      <c r="D90" s="11" t="n">
        <f aca="false">IF(LEN($C90)&lt;4,0,IFERROR(IF(AND(CODE(MID($C90,1,1))&gt;=97,CODE(MID($C90,1,1))&lt;=104,VALUE(MID($C90,2,1))&gt;=1,VALUE(MID($C90,2,1))&lt;=8),(VALUE(MID($C90,2,1))-1)*8+CODE(MID($C90,1,1))-96,0),0))</f>
        <v>0</v>
      </c>
      <c r="E90" s="11" t="n">
        <f aca="false">IF(LEN($C90)&lt;4,0,IFERROR(IF(AND(CODE(MID($C90,3,1))&gt;=97,CODE(MID($C90,3,1))&lt;=104,VALUE(MID($C90,4,1))&gt;=1,VALUE(MID($C90,4,1))&lt;=8),(VALUE(MID($C90,4,1))-1)*8+CODE(MID($C90,3,1))-96,0),0))</f>
        <v>0</v>
      </c>
      <c r="F90" s="11" t="str">
        <f aca="false">IF(MOD(SUM($P$5:$P89),2)=0,"w","b")</f>
        <v>w</v>
      </c>
      <c r="G90" s="11" t="str">
        <f aca="false">IF($D90=0,"",INDEX($AH89:$CS89,1,$D90)&amp;"")</f>
        <v/>
      </c>
      <c r="H90" s="11" t="str">
        <f aca="false">IF($E90=0,"",INDEX($AH89:$CS89,1,$E90)&amp;"")</f>
        <v/>
      </c>
      <c r="I90" s="11" t="n">
        <f aca="false">IF(OR($D90=0,$E90=0),0,MOD($E90-1,8)-MOD($D90-1,8))</f>
        <v>0</v>
      </c>
      <c r="J90" s="11" t="n">
        <f aca="false">IF(OR($D90=0,$E90=0),0,INT(($E90-1)/8)-INT(($D90-1)/8))</f>
        <v>0</v>
      </c>
      <c r="K90" s="11" t="str">
        <f aca="false">IF($G90="","",RIGHT($G90,1))</f>
        <v/>
      </c>
      <c r="L90" s="11" t="n">
        <f aca="false">IF(OR($D90=0,$E90=0),0,SUMPRODUCT(($AH$3:$CS$3&gt;MIN($D90,$E90))*($AH$3:$CS$3&lt;MAX($D90,$E90))*(MOD($AH$3:$CS$3-MIN($D90,$E90),MAX(1,ABS(SIGN($J90)*8+SIGN($I90))))=0)*($AH89:$CS89&lt;&gt;"")))</f>
        <v>0</v>
      </c>
      <c r="M90" s="11" t="n">
        <f aca="false">IF($K90&lt;&gt;"K",0,IFERROR(--AND($J90=0,ABS($I90)=2,$D90=IF($F90="w",5,61),IF($F90="w",$S89,$V89)=0,IF($I90=2,AND(IF($F90="w",$U89,$X89)=0,INDEX($AH89:$CS89,1,$D90+1)&amp;""="",INDEX($AH89:$CS89,1,$D90+2)&amp;""=""),AND(IF($F90="w",$T89,$W89)=0,INDEX($AH89:$CS89,1,$D90-1)&amp;""="",INDEX($AH89:$CS89,1,$D90-2)&amp;""="",INDEX($AH89:$CS89,1,$D90-3)&amp;""=""))),0))</f>
        <v>0</v>
      </c>
      <c r="N90" s="11" t="n">
        <f aca="false">IF($K90&lt;&gt;"P",0,IFERROR(--OR(AND($I90=0,$J90=IF($F90="w",1,-1),$H90=""),AND($I90=0,$J90=2*IF($F90="w",1,-1),$H90="",INT(($D90-1)/8)=IF($F90="w",1,6),INDEX($AH89:$CS89,1,MAX(1,MIN(64,$D90+8*IF($F90="w",1,-1))))&amp;""=""),AND(ABS($I90)=1,$J90=IF($F90="w",1,-1),$H90&lt;&gt;""),AND(ABS($I90)=1,$J90=IF($F90="w",1,-1),$H90="",$R89&gt;0,$E90=$R89)),0))</f>
        <v>0</v>
      </c>
      <c r="O90" s="11" t="n">
        <f aca="false">IF(OR($D90=0,$E90=0,$G90=""),0,IF($K90="N",--OR(AND(ABS($I90)=1,ABS($J90)=2),AND(ABS($I90)=2,ABS($J90)=1)),IF($K90="B",--AND(ABS($I90)=ABS($J90),$I90&lt;&gt;0,$L90=0),IF($K90="R",--AND(OR($I90=0,$J90=0),OR($I90&lt;&gt;0,$J90&lt;&gt;0),$L90=0),IF($K90="Q",--AND(OR(AND(ABS($I90)=ABS($J90),$I90&lt;&gt;0),AND(OR($I90=0,$J90=0),OR($I90&lt;&gt;0,$J90&lt;&gt;0))),$L90=0),IF($K90="K",--OR(MAX(ABS($I90),ABS($J90))=1,$M90=1),$N90))))))</f>
        <v>0</v>
      </c>
      <c r="P90" s="11" t="n">
        <f aca="false">IF($Q90="OK",1,0)</f>
        <v>0</v>
      </c>
      <c r="Q90" s="11" t="str">
        <f aca="false">IF($B90="","",IF(OR(COUNTIF($AH89:$CS89,"wK")=0,COUNTIF($AH89:$CS89,"bK")=0),"Game is over",IF(OR($D90=0,$E90=0),"Use the format e2e4",IF($G90="","No piece on that square",IF(LEFT($G90,1)&lt;&gt;$F90,"Not your piece ("&amp;IF($F90="w","White","Black")&amp;" to move)",IF($D90=$E90,"Piece must move",IF(AND($H90&lt;&gt;"",LEFT($H90,1)=$F90),"Cannot capture your own piece",IF($O90=0,"Illegal move for that piece (or path blocked)","OK"))))))))</f>
        <v/>
      </c>
      <c r="R90" s="11" t="n">
        <f aca="false">IF($P90=1,IF(AND($K90="P",ABS($J90)=2),($D90+$E90)/2,0),$R89)</f>
        <v>0</v>
      </c>
      <c r="S90" s="12" t="b">
        <f aca="false">--OR($S89=1,AND($P90=1,OR($D90=5,$E90=5)))</f>
        <v>0</v>
      </c>
      <c r="T90" s="12" t="b">
        <f aca="false">--OR($T89=1,AND($P90=1,OR($D90=1,$E90=1)))</f>
        <v>0</v>
      </c>
      <c r="U90" s="12" t="b">
        <f aca="false">--OR($U89=1,AND($P90=1,OR($D90=8,$E90=8)))</f>
        <v>0</v>
      </c>
      <c r="V90" s="12" t="b">
        <f aca="false">--OR($V89=1,AND($P90=1,OR($D90=61,$E90=61)))</f>
        <v>0</v>
      </c>
      <c r="W90" s="12" t="b">
        <f aca="false">--OR($W89=1,AND($P90=1,OR($D90=57,$E90=57)))</f>
        <v>0</v>
      </c>
      <c r="X90" s="12" t="b">
        <f aca="false">--OR($X89=1,AND($P90=1,OR($D90=64,$E90=64)))</f>
        <v>0</v>
      </c>
      <c r="Y90" s="12" t="b">
        <f aca="false">--AND($P90=1,$K90="K",ABS($I90)=2)</f>
        <v>0</v>
      </c>
      <c r="Z90" s="12" t="b">
        <f aca="false">--AND($P90=1,$K90="P",ABS($I90)=1,$H90="")</f>
        <v>0</v>
      </c>
      <c r="AA90" s="12" t="b">
        <f aca="false">--AND($P90=1,$K90="P",INT(($E90-1)/8)=IF($F90="w",7,0))</f>
        <v>0</v>
      </c>
      <c r="AB90" s="11" t="str">
        <f aca="false">IF(LEN($C90)&gt;=5,IF(ISNUMBER(FIND(MID($C90,5,1),"qrbn")),UPPER(MID($C90,5,1)),"Q"),"Q")</f>
        <v>Q</v>
      </c>
      <c r="AC90" s="11" t="n">
        <f aca="false">IF($Y90=1,IF($I90=2,$D90+3,$D90-4),0)</f>
        <v>0</v>
      </c>
      <c r="AD90" s="11" t="n">
        <f aca="false">IF($Y90=1,IF($I90=2,$D90+1,$D90-1),0)</f>
        <v>0</v>
      </c>
      <c r="AE90" s="11" t="n">
        <f aca="false">IF($Z90=1,$E90-8*IF($F90="w",1,-1),0)</f>
        <v>0</v>
      </c>
      <c r="AF90" s="11" t="str">
        <f aca="false">IF($B90="","",IF($P90=1,LOWER(INDEX($CV$2:$CV$13,MATCH($G90,$CU$2:$CU$13,0)))&amp;" "&amp;MID("abcdefgh",MOD($D90-1,8)+1,1)&amp;(INT(($D90-1)/8)+1)&amp;"→"&amp;MID("abcdefgh",MOD($E90-1,8)+1,1)&amp;(INT(($E90-1)/8)+1)&amp;IF(OR($H90&lt;&gt;"",$Z90=1)," ×","")&amp;IF($Y90=1," castles","")&amp;IF($Z90=1," e.p.","")&amp;IF($AA90=1," =" &amp;LOWER(INDEX($CV$2:$CV$13,MATCH($F90&amp;$AB90,$CU$2:$CU$13,0))),""),"X "&amp;$Q90))</f>
        <v/>
      </c>
      <c r="AG90" s="11"/>
      <c r="AH90" s="11" t="str">
        <f aca="false">IF($P90=0,AH89,IF(AH$3=$E90,IF($AA90=1,$F90&amp;$AB90,$G90),IF(OR(AH$3=$D90,AH$3=$AC90,AH$3=$AE90),"",IF(AH$3=$AD90,$F90&amp;"R",AH89))))</f>
        <v>wR</v>
      </c>
      <c r="AI90" s="11" t="str">
        <f aca="false">IF($P90=0,AI89,IF(AI$3=$E90,IF($AA90=1,$F90&amp;$AB90,$G90),IF(OR(AI$3=$D90,AI$3=$AC90,AI$3=$AE90),"",IF(AI$3=$AD90,$F90&amp;"R",AI89))))</f>
        <v>wN</v>
      </c>
      <c r="AJ90" s="11" t="str">
        <f aca="false">IF($P90=0,AJ89,IF(AJ$3=$E90,IF($AA90=1,$F90&amp;$AB90,$G90),IF(OR(AJ$3=$D90,AJ$3=$AC90,AJ$3=$AE90),"",IF(AJ$3=$AD90,$F90&amp;"R",AJ89))))</f>
        <v>wB</v>
      </c>
      <c r="AK90" s="11" t="str">
        <f aca="false">IF($P90=0,AK89,IF(AK$3=$E90,IF($AA90=1,$F90&amp;$AB90,$G90),IF(OR(AK$3=$D90,AK$3=$AC90,AK$3=$AE90),"",IF(AK$3=$AD90,$F90&amp;"R",AK89))))</f>
        <v>wQ</v>
      </c>
      <c r="AL90" s="11" t="str">
        <f aca="false">IF($P90=0,AL89,IF(AL$3=$E90,IF($AA90=1,$F90&amp;$AB90,$G90),IF(OR(AL$3=$D90,AL$3=$AC90,AL$3=$AE90),"",IF(AL$3=$AD90,$F90&amp;"R",AL89))))</f>
        <v>wK</v>
      </c>
      <c r="AM90" s="11" t="str">
        <f aca="false">IF($P90=0,AM89,IF(AM$3=$E90,IF($AA90=1,$F90&amp;$AB90,$G90),IF(OR(AM$3=$D90,AM$3=$AC90,AM$3=$AE90),"",IF(AM$3=$AD90,$F90&amp;"R",AM89))))</f>
        <v>wB</v>
      </c>
      <c r="AN90" s="11" t="str">
        <f aca="false">IF($P90=0,AN89,IF(AN$3=$E90,IF($AA90=1,$F90&amp;$AB90,$G90),IF(OR(AN$3=$D90,AN$3=$AC90,AN$3=$AE90),"",IF(AN$3=$AD90,$F90&amp;"R",AN89))))</f>
        <v>wN</v>
      </c>
      <c r="AO90" s="11" t="str">
        <f aca="false">IF($P90=0,AO89,IF(AO$3=$E90,IF($AA90=1,$F90&amp;$AB90,$G90),IF(OR(AO$3=$D90,AO$3=$AC90,AO$3=$AE90),"",IF(AO$3=$AD90,$F90&amp;"R",AO89))))</f>
        <v>wR</v>
      </c>
      <c r="AP90" s="11" t="str">
        <f aca="false">IF($P90=0,AP89,IF(AP$3=$E90,IF($AA90=1,$F90&amp;$AB90,$G90),IF(OR(AP$3=$D90,AP$3=$AC90,AP$3=$AE90),"",IF(AP$3=$AD90,$F90&amp;"R",AP89))))</f>
        <v>wP</v>
      </c>
      <c r="AQ90" s="11" t="str">
        <f aca="false">IF($P90=0,AQ89,IF(AQ$3=$E90,IF($AA90=1,$F90&amp;$AB90,$G90),IF(OR(AQ$3=$D90,AQ$3=$AC90,AQ$3=$AE90),"",IF(AQ$3=$AD90,$F90&amp;"R",AQ89))))</f>
        <v>wP</v>
      </c>
      <c r="AR90" s="11" t="str">
        <f aca="false">IF($P90=0,AR89,IF(AR$3=$E90,IF($AA90=1,$F90&amp;$AB90,$G90),IF(OR(AR$3=$D90,AR$3=$AC90,AR$3=$AE90),"",IF(AR$3=$AD90,$F90&amp;"R",AR89))))</f>
        <v>wP</v>
      </c>
      <c r="AS90" s="11" t="str">
        <f aca="false">IF($P90=0,AS89,IF(AS$3=$E90,IF($AA90=1,$F90&amp;$AB90,$G90),IF(OR(AS$3=$D90,AS$3=$AC90,AS$3=$AE90),"",IF(AS$3=$AD90,$F90&amp;"R",AS89))))</f>
        <v>wP</v>
      </c>
      <c r="AT90" s="11" t="str">
        <f aca="false">IF($P90=0,AT89,IF(AT$3=$E90,IF($AA90=1,$F90&amp;$AB90,$G90),IF(OR(AT$3=$D90,AT$3=$AC90,AT$3=$AE90),"",IF(AT$3=$AD90,$F90&amp;"R",AT89))))</f>
        <v>wP</v>
      </c>
      <c r="AU90" s="11" t="str">
        <f aca="false">IF($P90=0,AU89,IF(AU$3=$E90,IF($AA90=1,$F90&amp;$AB90,$G90),IF(OR(AU$3=$D90,AU$3=$AC90,AU$3=$AE90),"",IF(AU$3=$AD90,$F90&amp;"R",AU89))))</f>
        <v>wP</v>
      </c>
      <c r="AV90" s="11" t="str">
        <f aca="false">IF($P90=0,AV89,IF(AV$3=$E90,IF($AA90=1,$F90&amp;$AB90,$G90),IF(OR(AV$3=$D90,AV$3=$AC90,AV$3=$AE90),"",IF(AV$3=$AD90,$F90&amp;"R",AV89))))</f>
        <v>wP</v>
      </c>
      <c r="AW90" s="11" t="str">
        <f aca="false">IF($P90=0,AW89,IF(AW$3=$E90,IF($AA90=1,$F90&amp;$AB90,$G90),IF(OR(AW$3=$D90,AW$3=$AC90,AW$3=$AE90),"",IF(AW$3=$AD90,$F90&amp;"R",AW89))))</f>
        <v>wP</v>
      </c>
      <c r="AX90" s="11" t="str">
        <f aca="false">IF($P90=0,AX89,IF(AX$3=$E90,IF($AA90=1,$F90&amp;$AB90,$G90),IF(OR(AX$3=$D90,AX$3=$AC90,AX$3=$AE90),"",IF(AX$3=$AD90,$F90&amp;"R",AX89))))</f>
        <v/>
      </c>
      <c r="AY90" s="11" t="str">
        <f aca="false">IF($P90=0,AY89,IF(AY$3=$E90,IF($AA90=1,$F90&amp;$AB90,$G90),IF(OR(AY$3=$D90,AY$3=$AC90,AY$3=$AE90),"",IF(AY$3=$AD90,$F90&amp;"R",AY89))))</f>
        <v/>
      </c>
      <c r="AZ90" s="11" t="str">
        <f aca="false">IF($P90=0,AZ89,IF(AZ$3=$E90,IF($AA90=1,$F90&amp;$AB90,$G90),IF(OR(AZ$3=$D90,AZ$3=$AC90,AZ$3=$AE90),"",IF(AZ$3=$AD90,$F90&amp;"R",AZ89))))</f>
        <v/>
      </c>
      <c r="BA90" s="11" t="str">
        <f aca="false">IF($P90=0,BA89,IF(BA$3=$E90,IF($AA90=1,$F90&amp;$AB90,$G90),IF(OR(BA$3=$D90,BA$3=$AC90,BA$3=$AE90),"",IF(BA$3=$AD90,$F90&amp;"R",BA89))))</f>
        <v/>
      </c>
      <c r="BB90" s="11" t="str">
        <f aca="false">IF($P90=0,BB89,IF(BB$3=$E90,IF($AA90=1,$F90&amp;$AB90,$G90),IF(OR(BB$3=$D90,BB$3=$AC90,BB$3=$AE90),"",IF(BB$3=$AD90,$F90&amp;"R",BB89))))</f>
        <v/>
      </c>
      <c r="BC90" s="11" t="str">
        <f aca="false">IF($P90=0,BC89,IF(BC$3=$E90,IF($AA90=1,$F90&amp;$AB90,$G90),IF(OR(BC$3=$D90,BC$3=$AC90,BC$3=$AE90),"",IF(BC$3=$AD90,$F90&amp;"R",BC89))))</f>
        <v/>
      </c>
      <c r="BD90" s="11" t="str">
        <f aca="false">IF($P90=0,BD89,IF(BD$3=$E90,IF($AA90=1,$F90&amp;$AB90,$G90),IF(OR(BD$3=$D90,BD$3=$AC90,BD$3=$AE90),"",IF(BD$3=$AD90,$F90&amp;"R",BD89))))</f>
        <v/>
      </c>
      <c r="BE90" s="11" t="str">
        <f aca="false">IF($P90=0,BE89,IF(BE$3=$E90,IF($AA90=1,$F90&amp;$AB90,$G90),IF(OR(BE$3=$D90,BE$3=$AC90,BE$3=$AE90),"",IF(BE$3=$AD90,$F90&amp;"R",BE89))))</f>
        <v/>
      </c>
      <c r="BF90" s="11" t="str">
        <f aca="false">IF($P90=0,BF89,IF(BF$3=$E90,IF($AA90=1,$F90&amp;$AB90,$G90),IF(OR(BF$3=$D90,BF$3=$AC90,BF$3=$AE90),"",IF(BF$3=$AD90,$F90&amp;"R",BF89))))</f>
        <v/>
      </c>
      <c r="BG90" s="11" t="str">
        <f aca="false">IF($P90=0,BG89,IF(BG$3=$E90,IF($AA90=1,$F90&amp;$AB90,$G90),IF(OR(BG$3=$D90,BG$3=$AC90,BG$3=$AE90),"",IF(BG$3=$AD90,$F90&amp;"R",BG89))))</f>
        <v/>
      </c>
      <c r="BH90" s="11" t="str">
        <f aca="false">IF($P90=0,BH89,IF(BH$3=$E90,IF($AA90=1,$F90&amp;$AB90,$G90),IF(OR(BH$3=$D90,BH$3=$AC90,BH$3=$AE90),"",IF(BH$3=$AD90,$F90&amp;"R",BH89))))</f>
        <v/>
      </c>
      <c r="BI90" s="11" t="str">
        <f aca="false">IF($P90=0,BI89,IF(BI$3=$E90,IF($AA90=1,$F90&amp;$AB90,$G90),IF(OR(BI$3=$D90,BI$3=$AC90,BI$3=$AE90),"",IF(BI$3=$AD90,$F90&amp;"R",BI89))))</f>
        <v/>
      </c>
      <c r="BJ90" s="11" t="str">
        <f aca="false">IF($P90=0,BJ89,IF(BJ$3=$E90,IF($AA90=1,$F90&amp;$AB90,$G90),IF(OR(BJ$3=$D90,BJ$3=$AC90,BJ$3=$AE90),"",IF(BJ$3=$AD90,$F90&amp;"R",BJ89))))</f>
        <v/>
      </c>
      <c r="BK90" s="11" t="str">
        <f aca="false">IF($P90=0,BK89,IF(BK$3=$E90,IF($AA90=1,$F90&amp;$AB90,$G90),IF(OR(BK$3=$D90,BK$3=$AC90,BK$3=$AE90),"",IF(BK$3=$AD90,$F90&amp;"R",BK89))))</f>
        <v/>
      </c>
      <c r="BL90" s="11" t="str">
        <f aca="false">IF($P90=0,BL89,IF(BL$3=$E90,IF($AA90=1,$F90&amp;$AB90,$G90),IF(OR(BL$3=$D90,BL$3=$AC90,BL$3=$AE90),"",IF(BL$3=$AD90,$F90&amp;"R",BL89))))</f>
        <v/>
      </c>
      <c r="BM90" s="11" t="str">
        <f aca="false">IF($P90=0,BM89,IF(BM$3=$E90,IF($AA90=1,$F90&amp;$AB90,$G90),IF(OR(BM$3=$D90,BM$3=$AC90,BM$3=$AE90),"",IF(BM$3=$AD90,$F90&amp;"R",BM89))))</f>
        <v/>
      </c>
      <c r="BN90" s="11" t="str">
        <f aca="false">IF($P90=0,BN89,IF(BN$3=$E90,IF($AA90=1,$F90&amp;$AB90,$G90),IF(OR(BN$3=$D90,BN$3=$AC90,BN$3=$AE90),"",IF(BN$3=$AD90,$F90&amp;"R",BN89))))</f>
        <v/>
      </c>
      <c r="BO90" s="11" t="str">
        <f aca="false">IF($P90=0,BO89,IF(BO$3=$E90,IF($AA90=1,$F90&amp;$AB90,$G90),IF(OR(BO$3=$D90,BO$3=$AC90,BO$3=$AE90),"",IF(BO$3=$AD90,$F90&amp;"R",BO89))))</f>
        <v/>
      </c>
      <c r="BP90" s="11" t="str">
        <f aca="false">IF($P90=0,BP89,IF(BP$3=$E90,IF($AA90=1,$F90&amp;$AB90,$G90),IF(OR(BP$3=$D90,BP$3=$AC90,BP$3=$AE90),"",IF(BP$3=$AD90,$F90&amp;"R",BP89))))</f>
        <v/>
      </c>
      <c r="BQ90" s="11" t="str">
        <f aca="false">IF($P90=0,BQ89,IF(BQ$3=$E90,IF($AA90=1,$F90&amp;$AB90,$G90),IF(OR(BQ$3=$D90,BQ$3=$AC90,BQ$3=$AE90),"",IF(BQ$3=$AD90,$F90&amp;"R",BQ89))))</f>
        <v/>
      </c>
      <c r="BR90" s="11" t="str">
        <f aca="false">IF($P90=0,BR89,IF(BR$3=$E90,IF($AA90=1,$F90&amp;$AB90,$G90),IF(OR(BR$3=$D90,BR$3=$AC90,BR$3=$AE90),"",IF(BR$3=$AD90,$F90&amp;"R",BR89))))</f>
        <v/>
      </c>
      <c r="BS90" s="11" t="str">
        <f aca="false">IF($P90=0,BS89,IF(BS$3=$E90,IF($AA90=1,$F90&amp;$AB90,$G90),IF(OR(BS$3=$D90,BS$3=$AC90,BS$3=$AE90),"",IF(BS$3=$AD90,$F90&amp;"R",BS89))))</f>
        <v/>
      </c>
      <c r="BT90" s="11" t="str">
        <f aca="false">IF($P90=0,BT89,IF(BT$3=$E90,IF($AA90=1,$F90&amp;$AB90,$G90),IF(OR(BT$3=$D90,BT$3=$AC90,BT$3=$AE90),"",IF(BT$3=$AD90,$F90&amp;"R",BT89))))</f>
        <v/>
      </c>
      <c r="BU90" s="11" t="str">
        <f aca="false">IF($P90=0,BU89,IF(BU$3=$E90,IF($AA90=1,$F90&amp;$AB90,$G90),IF(OR(BU$3=$D90,BU$3=$AC90,BU$3=$AE90),"",IF(BU$3=$AD90,$F90&amp;"R",BU89))))</f>
        <v/>
      </c>
      <c r="BV90" s="11" t="str">
        <f aca="false">IF($P90=0,BV89,IF(BV$3=$E90,IF($AA90=1,$F90&amp;$AB90,$G90),IF(OR(BV$3=$D90,BV$3=$AC90,BV$3=$AE90),"",IF(BV$3=$AD90,$F90&amp;"R",BV89))))</f>
        <v/>
      </c>
      <c r="BW90" s="11" t="str">
        <f aca="false">IF($P90=0,BW89,IF(BW$3=$E90,IF($AA90=1,$F90&amp;$AB90,$G90),IF(OR(BW$3=$D90,BW$3=$AC90,BW$3=$AE90),"",IF(BW$3=$AD90,$F90&amp;"R",BW89))))</f>
        <v/>
      </c>
      <c r="BX90" s="11" t="str">
        <f aca="false">IF($P90=0,BX89,IF(BX$3=$E90,IF($AA90=1,$F90&amp;$AB90,$G90),IF(OR(BX$3=$D90,BX$3=$AC90,BX$3=$AE90),"",IF(BX$3=$AD90,$F90&amp;"R",BX89))))</f>
        <v/>
      </c>
      <c r="BY90" s="11" t="str">
        <f aca="false">IF($P90=0,BY89,IF(BY$3=$E90,IF($AA90=1,$F90&amp;$AB90,$G90),IF(OR(BY$3=$D90,BY$3=$AC90,BY$3=$AE90),"",IF(BY$3=$AD90,$F90&amp;"R",BY89))))</f>
        <v/>
      </c>
      <c r="BZ90" s="11" t="str">
        <f aca="false">IF($P90=0,BZ89,IF(BZ$3=$E90,IF($AA90=1,$F90&amp;$AB90,$G90),IF(OR(BZ$3=$D90,BZ$3=$AC90,BZ$3=$AE90),"",IF(BZ$3=$AD90,$F90&amp;"R",BZ89))))</f>
        <v/>
      </c>
      <c r="CA90" s="11" t="str">
        <f aca="false">IF($P90=0,CA89,IF(CA$3=$E90,IF($AA90=1,$F90&amp;$AB90,$G90),IF(OR(CA$3=$D90,CA$3=$AC90,CA$3=$AE90),"",IF(CA$3=$AD90,$F90&amp;"R",CA89))))</f>
        <v/>
      </c>
      <c r="CB90" s="11" t="str">
        <f aca="false">IF($P90=0,CB89,IF(CB$3=$E90,IF($AA90=1,$F90&amp;$AB90,$G90),IF(OR(CB$3=$D90,CB$3=$AC90,CB$3=$AE90),"",IF(CB$3=$AD90,$F90&amp;"R",CB89))))</f>
        <v/>
      </c>
      <c r="CC90" s="11" t="str">
        <f aca="false">IF($P90=0,CC89,IF(CC$3=$E90,IF($AA90=1,$F90&amp;$AB90,$G90),IF(OR(CC$3=$D90,CC$3=$AC90,CC$3=$AE90),"",IF(CC$3=$AD90,$F90&amp;"R",CC89))))</f>
        <v/>
      </c>
      <c r="CD90" s="11" t="str">
        <f aca="false">IF($P90=0,CD89,IF(CD$3=$E90,IF($AA90=1,$F90&amp;$AB90,$G90),IF(OR(CD$3=$D90,CD$3=$AC90,CD$3=$AE90),"",IF(CD$3=$AD90,$F90&amp;"R",CD89))))</f>
        <v>bP</v>
      </c>
      <c r="CE90" s="11" t="str">
        <f aca="false">IF($P90=0,CE89,IF(CE$3=$E90,IF($AA90=1,$F90&amp;$AB90,$G90),IF(OR(CE$3=$D90,CE$3=$AC90,CE$3=$AE90),"",IF(CE$3=$AD90,$F90&amp;"R",CE89))))</f>
        <v>bP</v>
      </c>
      <c r="CF90" s="11" t="str">
        <f aca="false">IF($P90=0,CF89,IF(CF$3=$E90,IF($AA90=1,$F90&amp;$AB90,$G90),IF(OR(CF$3=$D90,CF$3=$AC90,CF$3=$AE90),"",IF(CF$3=$AD90,$F90&amp;"R",CF89))))</f>
        <v>bP</v>
      </c>
      <c r="CG90" s="11" t="str">
        <f aca="false">IF($P90=0,CG89,IF(CG$3=$E90,IF($AA90=1,$F90&amp;$AB90,$G90),IF(OR(CG$3=$D90,CG$3=$AC90,CG$3=$AE90),"",IF(CG$3=$AD90,$F90&amp;"R",CG89))))</f>
        <v>bP</v>
      </c>
      <c r="CH90" s="11" t="str">
        <f aca="false">IF($P90=0,CH89,IF(CH$3=$E90,IF($AA90=1,$F90&amp;$AB90,$G90),IF(OR(CH$3=$D90,CH$3=$AC90,CH$3=$AE90),"",IF(CH$3=$AD90,$F90&amp;"R",CH89))))</f>
        <v>bP</v>
      </c>
      <c r="CI90" s="11" t="str">
        <f aca="false">IF($P90=0,CI89,IF(CI$3=$E90,IF($AA90=1,$F90&amp;$AB90,$G90),IF(OR(CI$3=$D90,CI$3=$AC90,CI$3=$AE90),"",IF(CI$3=$AD90,$F90&amp;"R",CI89))))</f>
        <v>bP</v>
      </c>
      <c r="CJ90" s="11" t="str">
        <f aca="false">IF($P90=0,CJ89,IF(CJ$3=$E90,IF($AA90=1,$F90&amp;$AB90,$G90),IF(OR(CJ$3=$D90,CJ$3=$AC90,CJ$3=$AE90),"",IF(CJ$3=$AD90,$F90&amp;"R",CJ89))))</f>
        <v>bP</v>
      </c>
      <c r="CK90" s="11" t="str">
        <f aca="false">IF($P90=0,CK89,IF(CK$3=$E90,IF($AA90=1,$F90&amp;$AB90,$G90),IF(OR(CK$3=$D90,CK$3=$AC90,CK$3=$AE90),"",IF(CK$3=$AD90,$F90&amp;"R",CK89))))</f>
        <v>bP</v>
      </c>
      <c r="CL90" s="11" t="str">
        <f aca="false">IF($P90=0,CL89,IF(CL$3=$E90,IF($AA90=1,$F90&amp;$AB90,$G90),IF(OR(CL$3=$D90,CL$3=$AC90,CL$3=$AE90),"",IF(CL$3=$AD90,$F90&amp;"R",CL89))))</f>
        <v>bR</v>
      </c>
      <c r="CM90" s="11" t="str">
        <f aca="false">IF($P90=0,CM89,IF(CM$3=$E90,IF($AA90=1,$F90&amp;$AB90,$G90),IF(OR(CM$3=$D90,CM$3=$AC90,CM$3=$AE90),"",IF(CM$3=$AD90,$F90&amp;"R",CM89))))</f>
        <v>bN</v>
      </c>
      <c r="CN90" s="11" t="str">
        <f aca="false">IF($P90=0,CN89,IF(CN$3=$E90,IF($AA90=1,$F90&amp;$AB90,$G90),IF(OR(CN$3=$D90,CN$3=$AC90,CN$3=$AE90),"",IF(CN$3=$AD90,$F90&amp;"R",CN89))))</f>
        <v>bB</v>
      </c>
      <c r="CO90" s="11" t="str">
        <f aca="false">IF($P90=0,CO89,IF(CO$3=$E90,IF($AA90=1,$F90&amp;$AB90,$G90),IF(OR(CO$3=$D90,CO$3=$AC90,CO$3=$AE90),"",IF(CO$3=$AD90,$F90&amp;"R",CO89))))</f>
        <v>bQ</v>
      </c>
      <c r="CP90" s="11" t="str">
        <f aca="false">IF($P90=0,CP89,IF(CP$3=$E90,IF($AA90=1,$F90&amp;$AB90,$G90),IF(OR(CP$3=$D90,CP$3=$AC90,CP$3=$AE90),"",IF(CP$3=$AD90,$F90&amp;"R",CP89))))</f>
        <v>bK</v>
      </c>
      <c r="CQ90" s="11" t="str">
        <f aca="false">IF($P90=0,CQ89,IF(CQ$3=$E90,IF($AA90=1,$F90&amp;$AB90,$G90),IF(OR(CQ$3=$D90,CQ$3=$AC90,CQ$3=$AE90),"",IF(CQ$3=$AD90,$F90&amp;"R",CQ89))))</f>
        <v>bB</v>
      </c>
      <c r="CR90" s="11" t="str">
        <f aca="false">IF($P90=0,CR89,IF(CR$3=$E90,IF($AA90=1,$F90&amp;$AB90,$G90),IF(OR(CR$3=$D90,CR$3=$AC90,CR$3=$AE90),"",IF(CR$3=$AD90,$F90&amp;"R",CR89))))</f>
        <v>bN</v>
      </c>
      <c r="CS90" s="11" t="str">
        <f aca="false">IF($P90=0,CS89,IF(CS$3=$E90,IF($AA90=1,$F90&amp;$AB90,$G90),IF(OR(CS$3=$D90,CS$3=$AC90,CS$3=$AE90),"",IF(CS$3=$AD90,$F90&amp;"R",CS89))))</f>
        <v>bR</v>
      </c>
      <c r="CT90" s="11"/>
      <c r="CU90" s="11"/>
      <c r="CV90" s="11"/>
    </row>
    <row r="91" customFormat="false" ht="15" hidden="false" customHeight="false" outlineLevel="0" collapsed="false">
      <c r="A91" s="11" t="n">
        <v>86</v>
      </c>
      <c r="B91" s="11" t="str">
        <f aca="false">IF(Chess!$L$95="","",Chess!$L$95&amp;"")</f>
        <v/>
      </c>
      <c r="C91" s="11" t="str">
        <f aca="false">LOWER(SUBSTITUTE(SUBSTITUTE(SUBSTITUTE(SUBSTITUTE(TRIM($B91),"-",""),"=","")," ",""),"x",""))</f>
        <v/>
      </c>
      <c r="D91" s="11" t="n">
        <f aca="false">IF(LEN($C91)&lt;4,0,IFERROR(IF(AND(CODE(MID($C91,1,1))&gt;=97,CODE(MID($C91,1,1))&lt;=104,VALUE(MID($C91,2,1))&gt;=1,VALUE(MID($C91,2,1))&lt;=8),(VALUE(MID($C91,2,1))-1)*8+CODE(MID($C91,1,1))-96,0),0))</f>
        <v>0</v>
      </c>
      <c r="E91" s="11" t="n">
        <f aca="false">IF(LEN($C91)&lt;4,0,IFERROR(IF(AND(CODE(MID($C91,3,1))&gt;=97,CODE(MID($C91,3,1))&lt;=104,VALUE(MID($C91,4,1))&gt;=1,VALUE(MID($C91,4,1))&lt;=8),(VALUE(MID($C91,4,1))-1)*8+CODE(MID($C91,3,1))-96,0),0))</f>
        <v>0</v>
      </c>
      <c r="F91" s="11" t="str">
        <f aca="false">IF(MOD(SUM($P$5:$P90),2)=0,"w","b")</f>
        <v>w</v>
      </c>
      <c r="G91" s="11" t="str">
        <f aca="false">IF($D91=0,"",INDEX($AH90:$CS90,1,$D91)&amp;"")</f>
        <v/>
      </c>
      <c r="H91" s="11" t="str">
        <f aca="false">IF($E91=0,"",INDEX($AH90:$CS90,1,$E91)&amp;"")</f>
        <v/>
      </c>
      <c r="I91" s="11" t="n">
        <f aca="false">IF(OR($D91=0,$E91=0),0,MOD($E91-1,8)-MOD($D91-1,8))</f>
        <v>0</v>
      </c>
      <c r="J91" s="11" t="n">
        <f aca="false">IF(OR($D91=0,$E91=0),0,INT(($E91-1)/8)-INT(($D91-1)/8))</f>
        <v>0</v>
      </c>
      <c r="K91" s="11" t="str">
        <f aca="false">IF($G91="","",RIGHT($G91,1))</f>
        <v/>
      </c>
      <c r="L91" s="11" t="n">
        <f aca="false">IF(OR($D91=0,$E91=0),0,SUMPRODUCT(($AH$3:$CS$3&gt;MIN($D91,$E91))*($AH$3:$CS$3&lt;MAX($D91,$E91))*(MOD($AH$3:$CS$3-MIN($D91,$E91),MAX(1,ABS(SIGN($J91)*8+SIGN($I91))))=0)*($AH90:$CS90&lt;&gt;"")))</f>
        <v>0</v>
      </c>
      <c r="M91" s="11" t="n">
        <f aca="false">IF($K91&lt;&gt;"K",0,IFERROR(--AND($J91=0,ABS($I91)=2,$D91=IF($F91="w",5,61),IF($F91="w",$S90,$V90)=0,IF($I91=2,AND(IF($F91="w",$U90,$X90)=0,INDEX($AH90:$CS90,1,$D91+1)&amp;""="",INDEX($AH90:$CS90,1,$D91+2)&amp;""=""),AND(IF($F91="w",$T90,$W90)=0,INDEX($AH90:$CS90,1,$D91-1)&amp;""="",INDEX($AH90:$CS90,1,$D91-2)&amp;""="",INDEX($AH90:$CS90,1,$D91-3)&amp;""=""))),0))</f>
        <v>0</v>
      </c>
      <c r="N91" s="11" t="n">
        <f aca="false">IF($K91&lt;&gt;"P",0,IFERROR(--OR(AND($I91=0,$J91=IF($F91="w",1,-1),$H91=""),AND($I91=0,$J91=2*IF($F91="w",1,-1),$H91="",INT(($D91-1)/8)=IF($F91="w",1,6),INDEX($AH90:$CS90,1,MAX(1,MIN(64,$D91+8*IF($F91="w",1,-1))))&amp;""=""),AND(ABS($I91)=1,$J91=IF($F91="w",1,-1),$H91&lt;&gt;""),AND(ABS($I91)=1,$J91=IF($F91="w",1,-1),$H91="",$R90&gt;0,$E91=$R90)),0))</f>
        <v>0</v>
      </c>
      <c r="O91" s="11" t="n">
        <f aca="false">IF(OR($D91=0,$E91=0,$G91=""),0,IF($K91="N",--OR(AND(ABS($I91)=1,ABS($J91)=2),AND(ABS($I91)=2,ABS($J91)=1)),IF($K91="B",--AND(ABS($I91)=ABS($J91),$I91&lt;&gt;0,$L91=0),IF($K91="R",--AND(OR($I91=0,$J91=0),OR($I91&lt;&gt;0,$J91&lt;&gt;0),$L91=0),IF($K91="Q",--AND(OR(AND(ABS($I91)=ABS($J91),$I91&lt;&gt;0),AND(OR($I91=0,$J91=0),OR($I91&lt;&gt;0,$J91&lt;&gt;0))),$L91=0),IF($K91="K",--OR(MAX(ABS($I91),ABS($J91))=1,$M91=1),$N91))))))</f>
        <v>0</v>
      </c>
      <c r="P91" s="11" t="n">
        <f aca="false">IF($Q91="OK",1,0)</f>
        <v>0</v>
      </c>
      <c r="Q91" s="11" t="str">
        <f aca="false">IF($B91="","",IF(OR(COUNTIF($AH90:$CS90,"wK")=0,COUNTIF($AH90:$CS90,"bK")=0),"Game is over",IF(OR($D91=0,$E91=0),"Use the format e2e4",IF($G91="","No piece on that square",IF(LEFT($G91,1)&lt;&gt;$F91,"Not your piece ("&amp;IF($F91="w","White","Black")&amp;" to move)",IF($D91=$E91,"Piece must move",IF(AND($H91&lt;&gt;"",LEFT($H91,1)=$F91),"Cannot capture your own piece",IF($O91=0,"Illegal move for that piece (or path blocked)","OK"))))))))</f>
        <v/>
      </c>
      <c r="R91" s="11" t="n">
        <f aca="false">IF($P91=1,IF(AND($K91="P",ABS($J91)=2),($D91+$E91)/2,0),$R90)</f>
        <v>0</v>
      </c>
      <c r="S91" s="12" t="b">
        <f aca="false">--OR($S90=1,AND($P91=1,OR($D91=5,$E91=5)))</f>
        <v>0</v>
      </c>
      <c r="T91" s="12" t="b">
        <f aca="false">--OR($T90=1,AND($P91=1,OR($D91=1,$E91=1)))</f>
        <v>0</v>
      </c>
      <c r="U91" s="12" t="b">
        <f aca="false">--OR($U90=1,AND($P91=1,OR($D91=8,$E91=8)))</f>
        <v>0</v>
      </c>
      <c r="V91" s="12" t="b">
        <f aca="false">--OR($V90=1,AND($P91=1,OR($D91=61,$E91=61)))</f>
        <v>0</v>
      </c>
      <c r="W91" s="12" t="b">
        <f aca="false">--OR($W90=1,AND($P91=1,OR($D91=57,$E91=57)))</f>
        <v>0</v>
      </c>
      <c r="X91" s="12" t="b">
        <f aca="false">--OR($X90=1,AND($P91=1,OR($D91=64,$E91=64)))</f>
        <v>0</v>
      </c>
      <c r="Y91" s="12" t="b">
        <f aca="false">--AND($P91=1,$K91="K",ABS($I91)=2)</f>
        <v>0</v>
      </c>
      <c r="Z91" s="12" t="b">
        <f aca="false">--AND($P91=1,$K91="P",ABS($I91)=1,$H91="")</f>
        <v>0</v>
      </c>
      <c r="AA91" s="12" t="b">
        <f aca="false">--AND($P91=1,$K91="P",INT(($E91-1)/8)=IF($F91="w",7,0))</f>
        <v>0</v>
      </c>
      <c r="AB91" s="11" t="str">
        <f aca="false">IF(LEN($C91)&gt;=5,IF(ISNUMBER(FIND(MID($C91,5,1),"qrbn")),UPPER(MID($C91,5,1)),"Q"),"Q")</f>
        <v>Q</v>
      </c>
      <c r="AC91" s="11" t="n">
        <f aca="false">IF($Y91=1,IF($I91=2,$D91+3,$D91-4),0)</f>
        <v>0</v>
      </c>
      <c r="AD91" s="11" t="n">
        <f aca="false">IF($Y91=1,IF($I91=2,$D91+1,$D91-1),0)</f>
        <v>0</v>
      </c>
      <c r="AE91" s="11" t="n">
        <f aca="false">IF($Z91=1,$E91-8*IF($F91="w",1,-1),0)</f>
        <v>0</v>
      </c>
      <c r="AF91" s="11" t="str">
        <f aca="false">IF($B91="","",IF($P91=1,LOWER(INDEX($CV$2:$CV$13,MATCH($G91,$CU$2:$CU$13,0)))&amp;" "&amp;MID("abcdefgh",MOD($D91-1,8)+1,1)&amp;(INT(($D91-1)/8)+1)&amp;"→"&amp;MID("abcdefgh",MOD($E91-1,8)+1,1)&amp;(INT(($E91-1)/8)+1)&amp;IF(OR($H91&lt;&gt;"",$Z91=1)," ×","")&amp;IF($Y91=1," castles","")&amp;IF($Z91=1," e.p.","")&amp;IF($AA91=1," =" &amp;LOWER(INDEX($CV$2:$CV$13,MATCH($F91&amp;$AB91,$CU$2:$CU$13,0))),""),"X "&amp;$Q91))</f>
        <v/>
      </c>
      <c r="AG91" s="11"/>
      <c r="AH91" s="11" t="str">
        <f aca="false">IF($P91=0,AH90,IF(AH$3=$E91,IF($AA91=1,$F91&amp;$AB91,$G91),IF(OR(AH$3=$D91,AH$3=$AC91,AH$3=$AE91),"",IF(AH$3=$AD91,$F91&amp;"R",AH90))))</f>
        <v>wR</v>
      </c>
      <c r="AI91" s="11" t="str">
        <f aca="false">IF($P91=0,AI90,IF(AI$3=$E91,IF($AA91=1,$F91&amp;$AB91,$G91),IF(OR(AI$3=$D91,AI$3=$AC91,AI$3=$AE91),"",IF(AI$3=$AD91,$F91&amp;"R",AI90))))</f>
        <v>wN</v>
      </c>
      <c r="AJ91" s="11" t="str">
        <f aca="false">IF($P91=0,AJ90,IF(AJ$3=$E91,IF($AA91=1,$F91&amp;$AB91,$G91),IF(OR(AJ$3=$D91,AJ$3=$AC91,AJ$3=$AE91),"",IF(AJ$3=$AD91,$F91&amp;"R",AJ90))))</f>
        <v>wB</v>
      </c>
      <c r="AK91" s="11" t="str">
        <f aca="false">IF($P91=0,AK90,IF(AK$3=$E91,IF($AA91=1,$F91&amp;$AB91,$G91),IF(OR(AK$3=$D91,AK$3=$AC91,AK$3=$AE91),"",IF(AK$3=$AD91,$F91&amp;"R",AK90))))</f>
        <v>wQ</v>
      </c>
      <c r="AL91" s="11" t="str">
        <f aca="false">IF($P91=0,AL90,IF(AL$3=$E91,IF($AA91=1,$F91&amp;$AB91,$G91),IF(OR(AL$3=$D91,AL$3=$AC91,AL$3=$AE91),"",IF(AL$3=$AD91,$F91&amp;"R",AL90))))</f>
        <v>wK</v>
      </c>
      <c r="AM91" s="11" t="str">
        <f aca="false">IF($P91=0,AM90,IF(AM$3=$E91,IF($AA91=1,$F91&amp;$AB91,$G91),IF(OR(AM$3=$D91,AM$3=$AC91,AM$3=$AE91),"",IF(AM$3=$AD91,$F91&amp;"R",AM90))))</f>
        <v>wB</v>
      </c>
      <c r="AN91" s="11" t="str">
        <f aca="false">IF($P91=0,AN90,IF(AN$3=$E91,IF($AA91=1,$F91&amp;$AB91,$G91),IF(OR(AN$3=$D91,AN$3=$AC91,AN$3=$AE91),"",IF(AN$3=$AD91,$F91&amp;"R",AN90))))</f>
        <v>wN</v>
      </c>
      <c r="AO91" s="11" t="str">
        <f aca="false">IF($P91=0,AO90,IF(AO$3=$E91,IF($AA91=1,$F91&amp;$AB91,$G91),IF(OR(AO$3=$D91,AO$3=$AC91,AO$3=$AE91),"",IF(AO$3=$AD91,$F91&amp;"R",AO90))))</f>
        <v>wR</v>
      </c>
      <c r="AP91" s="11" t="str">
        <f aca="false">IF($P91=0,AP90,IF(AP$3=$E91,IF($AA91=1,$F91&amp;$AB91,$G91),IF(OR(AP$3=$D91,AP$3=$AC91,AP$3=$AE91),"",IF(AP$3=$AD91,$F91&amp;"R",AP90))))</f>
        <v>wP</v>
      </c>
      <c r="AQ91" s="11" t="str">
        <f aca="false">IF($P91=0,AQ90,IF(AQ$3=$E91,IF($AA91=1,$F91&amp;$AB91,$G91),IF(OR(AQ$3=$D91,AQ$3=$AC91,AQ$3=$AE91),"",IF(AQ$3=$AD91,$F91&amp;"R",AQ90))))</f>
        <v>wP</v>
      </c>
      <c r="AR91" s="11" t="str">
        <f aca="false">IF($P91=0,AR90,IF(AR$3=$E91,IF($AA91=1,$F91&amp;$AB91,$G91),IF(OR(AR$3=$D91,AR$3=$AC91,AR$3=$AE91),"",IF(AR$3=$AD91,$F91&amp;"R",AR90))))</f>
        <v>wP</v>
      </c>
      <c r="AS91" s="11" t="str">
        <f aca="false">IF($P91=0,AS90,IF(AS$3=$E91,IF($AA91=1,$F91&amp;$AB91,$G91),IF(OR(AS$3=$D91,AS$3=$AC91,AS$3=$AE91),"",IF(AS$3=$AD91,$F91&amp;"R",AS90))))</f>
        <v>wP</v>
      </c>
      <c r="AT91" s="11" t="str">
        <f aca="false">IF($P91=0,AT90,IF(AT$3=$E91,IF($AA91=1,$F91&amp;$AB91,$G91),IF(OR(AT$3=$D91,AT$3=$AC91,AT$3=$AE91),"",IF(AT$3=$AD91,$F91&amp;"R",AT90))))</f>
        <v>wP</v>
      </c>
      <c r="AU91" s="11" t="str">
        <f aca="false">IF($P91=0,AU90,IF(AU$3=$E91,IF($AA91=1,$F91&amp;$AB91,$G91),IF(OR(AU$3=$D91,AU$3=$AC91,AU$3=$AE91),"",IF(AU$3=$AD91,$F91&amp;"R",AU90))))</f>
        <v>wP</v>
      </c>
      <c r="AV91" s="11" t="str">
        <f aca="false">IF($P91=0,AV90,IF(AV$3=$E91,IF($AA91=1,$F91&amp;$AB91,$G91),IF(OR(AV$3=$D91,AV$3=$AC91,AV$3=$AE91),"",IF(AV$3=$AD91,$F91&amp;"R",AV90))))</f>
        <v>wP</v>
      </c>
      <c r="AW91" s="11" t="str">
        <f aca="false">IF($P91=0,AW90,IF(AW$3=$E91,IF($AA91=1,$F91&amp;$AB91,$G91),IF(OR(AW$3=$D91,AW$3=$AC91,AW$3=$AE91),"",IF(AW$3=$AD91,$F91&amp;"R",AW90))))</f>
        <v>wP</v>
      </c>
      <c r="AX91" s="11" t="str">
        <f aca="false">IF($P91=0,AX90,IF(AX$3=$E91,IF($AA91=1,$F91&amp;$AB91,$G91),IF(OR(AX$3=$D91,AX$3=$AC91,AX$3=$AE91),"",IF(AX$3=$AD91,$F91&amp;"R",AX90))))</f>
        <v/>
      </c>
      <c r="AY91" s="11" t="str">
        <f aca="false">IF($P91=0,AY90,IF(AY$3=$E91,IF($AA91=1,$F91&amp;$AB91,$G91),IF(OR(AY$3=$D91,AY$3=$AC91,AY$3=$AE91),"",IF(AY$3=$AD91,$F91&amp;"R",AY90))))</f>
        <v/>
      </c>
      <c r="AZ91" s="11" t="str">
        <f aca="false">IF($P91=0,AZ90,IF(AZ$3=$E91,IF($AA91=1,$F91&amp;$AB91,$G91),IF(OR(AZ$3=$D91,AZ$3=$AC91,AZ$3=$AE91),"",IF(AZ$3=$AD91,$F91&amp;"R",AZ90))))</f>
        <v/>
      </c>
      <c r="BA91" s="11" t="str">
        <f aca="false">IF($P91=0,BA90,IF(BA$3=$E91,IF($AA91=1,$F91&amp;$AB91,$G91),IF(OR(BA$3=$D91,BA$3=$AC91,BA$3=$AE91),"",IF(BA$3=$AD91,$F91&amp;"R",BA90))))</f>
        <v/>
      </c>
      <c r="BB91" s="11" t="str">
        <f aca="false">IF($P91=0,BB90,IF(BB$3=$E91,IF($AA91=1,$F91&amp;$AB91,$G91),IF(OR(BB$3=$D91,BB$3=$AC91,BB$3=$AE91),"",IF(BB$3=$AD91,$F91&amp;"R",BB90))))</f>
        <v/>
      </c>
      <c r="BC91" s="11" t="str">
        <f aca="false">IF($P91=0,BC90,IF(BC$3=$E91,IF($AA91=1,$F91&amp;$AB91,$G91),IF(OR(BC$3=$D91,BC$3=$AC91,BC$3=$AE91),"",IF(BC$3=$AD91,$F91&amp;"R",BC90))))</f>
        <v/>
      </c>
      <c r="BD91" s="11" t="str">
        <f aca="false">IF($P91=0,BD90,IF(BD$3=$E91,IF($AA91=1,$F91&amp;$AB91,$G91),IF(OR(BD$3=$D91,BD$3=$AC91,BD$3=$AE91),"",IF(BD$3=$AD91,$F91&amp;"R",BD90))))</f>
        <v/>
      </c>
      <c r="BE91" s="11" t="str">
        <f aca="false">IF($P91=0,BE90,IF(BE$3=$E91,IF($AA91=1,$F91&amp;$AB91,$G91),IF(OR(BE$3=$D91,BE$3=$AC91,BE$3=$AE91),"",IF(BE$3=$AD91,$F91&amp;"R",BE90))))</f>
        <v/>
      </c>
      <c r="BF91" s="11" t="str">
        <f aca="false">IF($P91=0,BF90,IF(BF$3=$E91,IF($AA91=1,$F91&amp;$AB91,$G91),IF(OR(BF$3=$D91,BF$3=$AC91,BF$3=$AE91),"",IF(BF$3=$AD91,$F91&amp;"R",BF90))))</f>
        <v/>
      </c>
      <c r="BG91" s="11" t="str">
        <f aca="false">IF($P91=0,BG90,IF(BG$3=$E91,IF($AA91=1,$F91&amp;$AB91,$G91),IF(OR(BG$3=$D91,BG$3=$AC91,BG$3=$AE91),"",IF(BG$3=$AD91,$F91&amp;"R",BG90))))</f>
        <v/>
      </c>
      <c r="BH91" s="11" t="str">
        <f aca="false">IF($P91=0,BH90,IF(BH$3=$E91,IF($AA91=1,$F91&amp;$AB91,$G91),IF(OR(BH$3=$D91,BH$3=$AC91,BH$3=$AE91),"",IF(BH$3=$AD91,$F91&amp;"R",BH90))))</f>
        <v/>
      </c>
      <c r="BI91" s="11" t="str">
        <f aca="false">IF($P91=0,BI90,IF(BI$3=$E91,IF($AA91=1,$F91&amp;$AB91,$G91),IF(OR(BI$3=$D91,BI$3=$AC91,BI$3=$AE91),"",IF(BI$3=$AD91,$F91&amp;"R",BI90))))</f>
        <v/>
      </c>
      <c r="BJ91" s="11" t="str">
        <f aca="false">IF($P91=0,BJ90,IF(BJ$3=$E91,IF($AA91=1,$F91&amp;$AB91,$G91),IF(OR(BJ$3=$D91,BJ$3=$AC91,BJ$3=$AE91),"",IF(BJ$3=$AD91,$F91&amp;"R",BJ90))))</f>
        <v/>
      </c>
      <c r="BK91" s="11" t="str">
        <f aca="false">IF($P91=0,BK90,IF(BK$3=$E91,IF($AA91=1,$F91&amp;$AB91,$G91),IF(OR(BK$3=$D91,BK$3=$AC91,BK$3=$AE91),"",IF(BK$3=$AD91,$F91&amp;"R",BK90))))</f>
        <v/>
      </c>
      <c r="BL91" s="11" t="str">
        <f aca="false">IF($P91=0,BL90,IF(BL$3=$E91,IF($AA91=1,$F91&amp;$AB91,$G91),IF(OR(BL$3=$D91,BL$3=$AC91,BL$3=$AE91),"",IF(BL$3=$AD91,$F91&amp;"R",BL90))))</f>
        <v/>
      </c>
      <c r="BM91" s="11" t="str">
        <f aca="false">IF($P91=0,BM90,IF(BM$3=$E91,IF($AA91=1,$F91&amp;$AB91,$G91),IF(OR(BM$3=$D91,BM$3=$AC91,BM$3=$AE91),"",IF(BM$3=$AD91,$F91&amp;"R",BM90))))</f>
        <v/>
      </c>
      <c r="BN91" s="11" t="str">
        <f aca="false">IF($P91=0,BN90,IF(BN$3=$E91,IF($AA91=1,$F91&amp;$AB91,$G91),IF(OR(BN$3=$D91,BN$3=$AC91,BN$3=$AE91),"",IF(BN$3=$AD91,$F91&amp;"R",BN90))))</f>
        <v/>
      </c>
      <c r="BO91" s="11" t="str">
        <f aca="false">IF($P91=0,BO90,IF(BO$3=$E91,IF($AA91=1,$F91&amp;$AB91,$G91),IF(OR(BO$3=$D91,BO$3=$AC91,BO$3=$AE91),"",IF(BO$3=$AD91,$F91&amp;"R",BO90))))</f>
        <v/>
      </c>
      <c r="BP91" s="11" t="str">
        <f aca="false">IF($P91=0,BP90,IF(BP$3=$E91,IF($AA91=1,$F91&amp;$AB91,$G91),IF(OR(BP$3=$D91,BP$3=$AC91,BP$3=$AE91),"",IF(BP$3=$AD91,$F91&amp;"R",BP90))))</f>
        <v/>
      </c>
      <c r="BQ91" s="11" t="str">
        <f aca="false">IF($P91=0,BQ90,IF(BQ$3=$E91,IF($AA91=1,$F91&amp;$AB91,$G91),IF(OR(BQ$3=$D91,BQ$3=$AC91,BQ$3=$AE91),"",IF(BQ$3=$AD91,$F91&amp;"R",BQ90))))</f>
        <v/>
      </c>
      <c r="BR91" s="11" t="str">
        <f aca="false">IF($P91=0,BR90,IF(BR$3=$E91,IF($AA91=1,$F91&amp;$AB91,$G91),IF(OR(BR$3=$D91,BR$3=$AC91,BR$3=$AE91),"",IF(BR$3=$AD91,$F91&amp;"R",BR90))))</f>
        <v/>
      </c>
      <c r="BS91" s="11" t="str">
        <f aca="false">IF($P91=0,BS90,IF(BS$3=$E91,IF($AA91=1,$F91&amp;$AB91,$G91),IF(OR(BS$3=$D91,BS$3=$AC91,BS$3=$AE91),"",IF(BS$3=$AD91,$F91&amp;"R",BS90))))</f>
        <v/>
      </c>
      <c r="BT91" s="11" t="str">
        <f aca="false">IF($P91=0,BT90,IF(BT$3=$E91,IF($AA91=1,$F91&amp;$AB91,$G91),IF(OR(BT$3=$D91,BT$3=$AC91,BT$3=$AE91),"",IF(BT$3=$AD91,$F91&amp;"R",BT90))))</f>
        <v/>
      </c>
      <c r="BU91" s="11" t="str">
        <f aca="false">IF($P91=0,BU90,IF(BU$3=$E91,IF($AA91=1,$F91&amp;$AB91,$G91),IF(OR(BU$3=$D91,BU$3=$AC91,BU$3=$AE91),"",IF(BU$3=$AD91,$F91&amp;"R",BU90))))</f>
        <v/>
      </c>
      <c r="BV91" s="11" t="str">
        <f aca="false">IF($P91=0,BV90,IF(BV$3=$E91,IF($AA91=1,$F91&amp;$AB91,$G91),IF(OR(BV$3=$D91,BV$3=$AC91,BV$3=$AE91),"",IF(BV$3=$AD91,$F91&amp;"R",BV90))))</f>
        <v/>
      </c>
      <c r="BW91" s="11" t="str">
        <f aca="false">IF($P91=0,BW90,IF(BW$3=$E91,IF($AA91=1,$F91&amp;$AB91,$G91),IF(OR(BW$3=$D91,BW$3=$AC91,BW$3=$AE91),"",IF(BW$3=$AD91,$F91&amp;"R",BW90))))</f>
        <v/>
      </c>
      <c r="BX91" s="11" t="str">
        <f aca="false">IF($P91=0,BX90,IF(BX$3=$E91,IF($AA91=1,$F91&amp;$AB91,$G91),IF(OR(BX$3=$D91,BX$3=$AC91,BX$3=$AE91),"",IF(BX$3=$AD91,$F91&amp;"R",BX90))))</f>
        <v/>
      </c>
      <c r="BY91" s="11" t="str">
        <f aca="false">IF($P91=0,BY90,IF(BY$3=$E91,IF($AA91=1,$F91&amp;$AB91,$G91),IF(OR(BY$3=$D91,BY$3=$AC91,BY$3=$AE91),"",IF(BY$3=$AD91,$F91&amp;"R",BY90))))</f>
        <v/>
      </c>
      <c r="BZ91" s="11" t="str">
        <f aca="false">IF($P91=0,BZ90,IF(BZ$3=$E91,IF($AA91=1,$F91&amp;$AB91,$G91),IF(OR(BZ$3=$D91,BZ$3=$AC91,BZ$3=$AE91),"",IF(BZ$3=$AD91,$F91&amp;"R",BZ90))))</f>
        <v/>
      </c>
      <c r="CA91" s="11" t="str">
        <f aca="false">IF($P91=0,CA90,IF(CA$3=$E91,IF($AA91=1,$F91&amp;$AB91,$G91),IF(OR(CA$3=$D91,CA$3=$AC91,CA$3=$AE91),"",IF(CA$3=$AD91,$F91&amp;"R",CA90))))</f>
        <v/>
      </c>
      <c r="CB91" s="11" t="str">
        <f aca="false">IF($P91=0,CB90,IF(CB$3=$E91,IF($AA91=1,$F91&amp;$AB91,$G91),IF(OR(CB$3=$D91,CB$3=$AC91,CB$3=$AE91),"",IF(CB$3=$AD91,$F91&amp;"R",CB90))))</f>
        <v/>
      </c>
      <c r="CC91" s="11" t="str">
        <f aca="false">IF($P91=0,CC90,IF(CC$3=$E91,IF($AA91=1,$F91&amp;$AB91,$G91),IF(OR(CC$3=$D91,CC$3=$AC91,CC$3=$AE91),"",IF(CC$3=$AD91,$F91&amp;"R",CC90))))</f>
        <v/>
      </c>
      <c r="CD91" s="11" t="str">
        <f aca="false">IF($P91=0,CD90,IF(CD$3=$E91,IF($AA91=1,$F91&amp;$AB91,$G91),IF(OR(CD$3=$D91,CD$3=$AC91,CD$3=$AE91),"",IF(CD$3=$AD91,$F91&amp;"R",CD90))))</f>
        <v>bP</v>
      </c>
      <c r="CE91" s="11" t="str">
        <f aca="false">IF($P91=0,CE90,IF(CE$3=$E91,IF($AA91=1,$F91&amp;$AB91,$G91),IF(OR(CE$3=$D91,CE$3=$AC91,CE$3=$AE91),"",IF(CE$3=$AD91,$F91&amp;"R",CE90))))</f>
        <v>bP</v>
      </c>
      <c r="CF91" s="11" t="str">
        <f aca="false">IF($P91=0,CF90,IF(CF$3=$E91,IF($AA91=1,$F91&amp;$AB91,$G91),IF(OR(CF$3=$D91,CF$3=$AC91,CF$3=$AE91),"",IF(CF$3=$AD91,$F91&amp;"R",CF90))))</f>
        <v>bP</v>
      </c>
      <c r="CG91" s="11" t="str">
        <f aca="false">IF($P91=0,CG90,IF(CG$3=$E91,IF($AA91=1,$F91&amp;$AB91,$G91),IF(OR(CG$3=$D91,CG$3=$AC91,CG$3=$AE91),"",IF(CG$3=$AD91,$F91&amp;"R",CG90))))</f>
        <v>bP</v>
      </c>
      <c r="CH91" s="11" t="str">
        <f aca="false">IF($P91=0,CH90,IF(CH$3=$E91,IF($AA91=1,$F91&amp;$AB91,$G91),IF(OR(CH$3=$D91,CH$3=$AC91,CH$3=$AE91),"",IF(CH$3=$AD91,$F91&amp;"R",CH90))))</f>
        <v>bP</v>
      </c>
      <c r="CI91" s="11" t="str">
        <f aca="false">IF($P91=0,CI90,IF(CI$3=$E91,IF($AA91=1,$F91&amp;$AB91,$G91),IF(OR(CI$3=$D91,CI$3=$AC91,CI$3=$AE91),"",IF(CI$3=$AD91,$F91&amp;"R",CI90))))</f>
        <v>bP</v>
      </c>
      <c r="CJ91" s="11" t="str">
        <f aca="false">IF($P91=0,CJ90,IF(CJ$3=$E91,IF($AA91=1,$F91&amp;$AB91,$G91),IF(OR(CJ$3=$D91,CJ$3=$AC91,CJ$3=$AE91),"",IF(CJ$3=$AD91,$F91&amp;"R",CJ90))))</f>
        <v>bP</v>
      </c>
      <c r="CK91" s="11" t="str">
        <f aca="false">IF($P91=0,CK90,IF(CK$3=$E91,IF($AA91=1,$F91&amp;$AB91,$G91),IF(OR(CK$3=$D91,CK$3=$AC91,CK$3=$AE91),"",IF(CK$3=$AD91,$F91&amp;"R",CK90))))</f>
        <v>bP</v>
      </c>
      <c r="CL91" s="11" t="str">
        <f aca="false">IF($P91=0,CL90,IF(CL$3=$E91,IF($AA91=1,$F91&amp;$AB91,$G91),IF(OR(CL$3=$D91,CL$3=$AC91,CL$3=$AE91),"",IF(CL$3=$AD91,$F91&amp;"R",CL90))))</f>
        <v>bR</v>
      </c>
      <c r="CM91" s="11" t="str">
        <f aca="false">IF($P91=0,CM90,IF(CM$3=$E91,IF($AA91=1,$F91&amp;$AB91,$G91),IF(OR(CM$3=$D91,CM$3=$AC91,CM$3=$AE91),"",IF(CM$3=$AD91,$F91&amp;"R",CM90))))</f>
        <v>bN</v>
      </c>
      <c r="CN91" s="11" t="str">
        <f aca="false">IF($P91=0,CN90,IF(CN$3=$E91,IF($AA91=1,$F91&amp;$AB91,$G91),IF(OR(CN$3=$D91,CN$3=$AC91,CN$3=$AE91),"",IF(CN$3=$AD91,$F91&amp;"R",CN90))))</f>
        <v>bB</v>
      </c>
      <c r="CO91" s="11" t="str">
        <f aca="false">IF($P91=0,CO90,IF(CO$3=$E91,IF($AA91=1,$F91&amp;$AB91,$G91),IF(OR(CO$3=$D91,CO$3=$AC91,CO$3=$AE91),"",IF(CO$3=$AD91,$F91&amp;"R",CO90))))</f>
        <v>bQ</v>
      </c>
      <c r="CP91" s="11" t="str">
        <f aca="false">IF($P91=0,CP90,IF(CP$3=$E91,IF($AA91=1,$F91&amp;$AB91,$G91),IF(OR(CP$3=$D91,CP$3=$AC91,CP$3=$AE91),"",IF(CP$3=$AD91,$F91&amp;"R",CP90))))</f>
        <v>bK</v>
      </c>
      <c r="CQ91" s="11" t="str">
        <f aca="false">IF($P91=0,CQ90,IF(CQ$3=$E91,IF($AA91=1,$F91&amp;$AB91,$G91),IF(OR(CQ$3=$D91,CQ$3=$AC91,CQ$3=$AE91),"",IF(CQ$3=$AD91,$F91&amp;"R",CQ90))))</f>
        <v>bB</v>
      </c>
      <c r="CR91" s="11" t="str">
        <f aca="false">IF($P91=0,CR90,IF(CR$3=$E91,IF($AA91=1,$F91&amp;$AB91,$G91),IF(OR(CR$3=$D91,CR$3=$AC91,CR$3=$AE91),"",IF(CR$3=$AD91,$F91&amp;"R",CR90))))</f>
        <v>bN</v>
      </c>
      <c r="CS91" s="11" t="str">
        <f aca="false">IF($P91=0,CS90,IF(CS$3=$E91,IF($AA91=1,$F91&amp;$AB91,$G91),IF(OR(CS$3=$D91,CS$3=$AC91,CS$3=$AE91),"",IF(CS$3=$AD91,$F91&amp;"R",CS90))))</f>
        <v>bR</v>
      </c>
      <c r="CT91" s="11"/>
      <c r="CU91" s="11"/>
      <c r="CV91" s="11"/>
    </row>
    <row r="92" customFormat="false" ht="15" hidden="false" customHeight="false" outlineLevel="0" collapsed="false">
      <c r="A92" s="11" t="n">
        <v>87</v>
      </c>
      <c r="B92" s="11" t="str">
        <f aca="false">IF(Chess!$L$96="","",Chess!$L$96&amp;"")</f>
        <v/>
      </c>
      <c r="C92" s="11" t="str">
        <f aca="false">LOWER(SUBSTITUTE(SUBSTITUTE(SUBSTITUTE(SUBSTITUTE(TRIM($B92),"-",""),"=","")," ",""),"x",""))</f>
        <v/>
      </c>
      <c r="D92" s="11" t="n">
        <f aca="false">IF(LEN($C92)&lt;4,0,IFERROR(IF(AND(CODE(MID($C92,1,1))&gt;=97,CODE(MID($C92,1,1))&lt;=104,VALUE(MID($C92,2,1))&gt;=1,VALUE(MID($C92,2,1))&lt;=8),(VALUE(MID($C92,2,1))-1)*8+CODE(MID($C92,1,1))-96,0),0))</f>
        <v>0</v>
      </c>
      <c r="E92" s="11" t="n">
        <f aca="false">IF(LEN($C92)&lt;4,0,IFERROR(IF(AND(CODE(MID($C92,3,1))&gt;=97,CODE(MID($C92,3,1))&lt;=104,VALUE(MID($C92,4,1))&gt;=1,VALUE(MID($C92,4,1))&lt;=8),(VALUE(MID($C92,4,1))-1)*8+CODE(MID($C92,3,1))-96,0),0))</f>
        <v>0</v>
      </c>
      <c r="F92" s="11" t="str">
        <f aca="false">IF(MOD(SUM($P$5:$P91),2)=0,"w","b")</f>
        <v>w</v>
      </c>
      <c r="G92" s="11" t="str">
        <f aca="false">IF($D92=0,"",INDEX($AH91:$CS91,1,$D92)&amp;"")</f>
        <v/>
      </c>
      <c r="H92" s="11" t="str">
        <f aca="false">IF($E92=0,"",INDEX($AH91:$CS91,1,$E92)&amp;"")</f>
        <v/>
      </c>
      <c r="I92" s="11" t="n">
        <f aca="false">IF(OR($D92=0,$E92=0),0,MOD($E92-1,8)-MOD($D92-1,8))</f>
        <v>0</v>
      </c>
      <c r="J92" s="11" t="n">
        <f aca="false">IF(OR($D92=0,$E92=0),0,INT(($E92-1)/8)-INT(($D92-1)/8))</f>
        <v>0</v>
      </c>
      <c r="K92" s="11" t="str">
        <f aca="false">IF($G92="","",RIGHT($G92,1))</f>
        <v/>
      </c>
      <c r="L92" s="11" t="n">
        <f aca="false">IF(OR($D92=0,$E92=0),0,SUMPRODUCT(($AH$3:$CS$3&gt;MIN($D92,$E92))*($AH$3:$CS$3&lt;MAX($D92,$E92))*(MOD($AH$3:$CS$3-MIN($D92,$E92),MAX(1,ABS(SIGN($J92)*8+SIGN($I92))))=0)*($AH91:$CS91&lt;&gt;"")))</f>
        <v>0</v>
      </c>
      <c r="M92" s="11" t="n">
        <f aca="false">IF($K92&lt;&gt;"K",0,IFERROR(--AND($J92=0,ABS($I92)=2,$D92=IF($F92="w",5,61),IF($F92="w",$S91,$V91)=0,IF($I92=2,AND(IF($F92="w",$U91,$X91)=0,INDEX($AH91:$CS91,1,$D92+1)&amp;""="",INDEX($AH91:$CS91,1,$D92+2)&amp;""=""),AND(IF($F92="w",$T91,$W91)=0,INDEX($AH91:$CS91,1,$D92-1)&amp;""="",INDEX($AH91:$CS91,1,$D92-2)&amp;""="",INDEX($AH91:$CS91,1,$D92-3)&amp;""=""))),0))</f>
        <v>0</v>
      </c>
      <c r="N92" s="11" t="n">
        <f aca="false">IF($K92&lt;&gt;"P",0,IFERROR(--OR(AND($I92=0,$J92=IF($F92="w",1,-1),$H92=""),AND($I92=0,$J92=2*IF($F92="w",1,-1),$H92="",INT(($D92-1)/8)=IF($F92="w",1,6),INDEX($AH91:$CS91,1,MAX(1,MIN(64,$D92+8*IF($F92="w",1,-1))))&amp;""=""),AND(ABS($I92)=1,$J92=IF($F92="w",1,-1),$H92&lt;&gt;""),AND(ABS($I92)=1,$J92=IF($F92="w",1,-1),$H92="",$R91&gt;0,$E92=$R91)),0))</f>
        <v>0</v>
      </c>
      <c r="O92" s="11" t="n">
        <f aca="false">IF(OR($D92=0,$E92=0,$G92=""),0,IF($K92="N",--OR(AND(ABS($I92)=1,ABS($J92)=2),AND(ABS($I92)=2,ABS($J92)=1)),IF($K92="B",--AND(ABS($I92)=ABS($J92),$I92&lt;&gt;0,$L92=0),IF($K92="R",--AND(OR($I92=0,$J92=0),OR($I92&lt;&gt;0,$J92&lt;&gt;0),$L92=0),IF($K92="Q",--AND(OR(AND(ABS($I92)=ABS($J92),$I92&lt;&gt;0),AND(OR($I92=0,$J92=0),OR($I92&lt;&gt;0,$J92&lt;&gt;0))),$L92=0),IF($K92="K",--OR(MAX(ABS($I92),ABS($J92))=1,$M92=1),$N92))))))</f>
        <v>0</v>
      </c>
      <c r="P92" s="11" t="n">
        <f aca="false">IF($Q92="OK",1,0)</f>
        <v>0</v>
      </c>
      <c r="Q92" s="11" t="str">
        <f aca="false">IF($B92="","",IF(OR(COUNTIF($AH91:$CS91,"wK")=0,COUNTIF($AH91:$CS91,"bK")=0),"Game is over",IF(OR($D92=0,$E92=0),"Use the format e2e4",IF($G92="","No piece on that square",IF(LEFT($G92,1)&lt;&gt;$F92,"Not your piece ("&amp;IF($F92="w","White","Black")&amp;" to move)",IF($D92=$E92,"Piece must move",IF(AND($H92&lt;&gt;"",LEFT($H92,1)=$F92),"Cannot capture your own piece",IF($O92=0,"Illegal move for that piece (or path blocked)","OK"))))))))</f>
        <v/>
      </c>
      <c r="R92" s="11" t="n">
        <f aca="false">IF($P92=1,IF(AND($K92="P",ABS($J92)=2),($D92+$E92)/2,0),$R91)</f>
        <v>0</v>
      </c>
      <c r="S92" s="12" t="b">
        <f aca="false">--OR($S91=1,AND($P92=1,OR($D92=5,$E92=5)))</f>
        <v>0</v>
      </c>
      <c r="T92" s="12" t="b">
        <f aca="false">--OR($T91=1,AND($P92=1,OR($D92=1,$E92=1)))</f>
        <v>0</v>
      </c>
      <c r="U92" s="12" t="b">
        <f aca="false">--OR($U91=1,AND($P92=1,OR($D92=8,$E92=8)))</f>
        <v>0</v>
      </c>
      <c r="V92" s="12" t="b">
        <f aca="false">--OR($V91=1,AND($P92=1,OR($D92=61,$E92=61)))</f>
        <v>0</v>
      </c>
      <c r="W92" s="12" t="b">
        <f aca="false">--OR($W91=1,AND($P92=1,OR($D92=57,$E92=57)))</f>
        <v>0</v>
      </c>
      <c r="X92" s="12" t="b">
        <f aca="false">--OR($X91=1,AND($P92=1,OR($D92=64,$E92=64)))</f>
        <v>0</v>
      </c>
      <c r="Y92" s="12" t="b">
        <f aca="false">--AND($P92=1,$K92="K",ABS($I92)=2)</f>
        <v>0</v>
      </c>
      <c r="Z92" s="12" t="b">
        <f aca="false">--AND($P92=1,$K92="P",ABS($I92)=1,$H92="")</f>
        <v>0</v>
      </c>
      <c r="AA92" s="12" t="b">
        <f aca="false">--AND($P92=1,$K92="P",INT(($E92-1)/8)=IF($F92="w",7,0))</f>
        <v>0</v>
      </c>
      <c r="AB92" s="11" t="str">
        <f aca="false">IF(LEN($C92)&gt;=5,IF(ISNUMBER(FIND(MID($C92,5,1),"qrbn")),UPPER(MID($C92,5,1)),"Q"),"Q")</f>
        <v>Q</v>
      </c>
      <c r="AC92" s="11" t="n">
        <f aca="false">IF($Y92=1,IF($I92=2,$D92+3,$D92-4),0)</f>
        <v>0</v>
      </c>
      <c r="AD92" s="11" t="n">
        <f aca="false">IF($Y92=1,IF($I92=2,$D92+1,$D92-1),0)</f>
        <v>0</v>
      </c>
      <c r="AE92" s="11" t="n">
        <f aca="false">IF($Z92=1,$E92-8*IF($F92="w",1,-1),0)</f>
        <v>0</v>
      </c>
      <c r="AF92" s="11" t="str">
        <f aca="false">IF($B92="","",IF($P92=1,LOWER(INDEX($CV$2:$CV$13,MATCH($G92,$CU$2:$CU$13,0)))&amp;" "&amp;MID("abcdefgh",MOD($D92-1,8)+1,1)&amp;(INT(($D92-1)/8)+1)&amp;"→"&amp;MID("abcdefgh",MOD($E92-1,8)+1,1)&amp;(INT(($E92-1)/8)+1)&amp;IF(OR($H92&lt;&gt;"",$Z92=1)," ×","")&amp;IF($Y92=1," castles","")&amp;IF($Z92=1," e.p.","")&amp;IF($AA92=1," =" &amp;LOWER(INDEX($CV$2:$CV$13,MATCH($F92&amp;$AB92,$CU$2:$CU$13,0))),""),"X "&amp;$Q92))</f>
        <v/>
      </c>
      <c r="AG92" s="11"/>
      <c r="AH92" s="11" t="str">
        <f aca="false">IF($P92=0,AH91,IF(AH$3=$E92,IF($AA92=1,$F92&amp;$AB92,$G92),IF(OR(AH$3=$D92,AH$3=$AC92,AH$3=$AE92),"",IF(AH$3=$AD92,$F92&amp;"R",AH91))))</f>
        <v>wR</v>
      </c>
      <c r="AI92" s="11" t="str">
        <f aca="false">IF($P92=0,AI91,IF(AI$3=$E92,IF($AA92=1,$F92&amp;$AB92,$G92),IF(OR(AI$3=$D92,AI$3=$AC92,AI$3=$AE92),"",IF(AI$3=$AD92,$F92&amp;"R",AI91))))</f>
        <v>wN</v>
      </c>
      <c r="AJ92" s="11" t="str">
        <f aca="false">IF($P92=0,AJ91,IF(AJ$3=$E92,IF($AA92=1,$F92&amp;$AB92,$G92),IF(OR(AJ$3=$D92,AJ$3=$AC92,AJ$3=$AE92),"",IF(AJ$3=$AD92,$F92&amp;"R",AJ91))))</f>
        <v>wB</v>
      </c>
      <c r="AK92" s="11" t="str">
        <f aca="false">IF($P92=0,AK91,IF(AK$3=$E92,IF($AA92=1,$F92&amp;$AB92,$G92),IF(OR(AK$3=$D92,AK$3=$AC92,AK$3=$AE92),"",IF(AK$3=$AD92,$F92&amp;"R",AK91))))</f>
        <v>wQ</v>
      </c>
      <c r="AL92" s="11" t="str">
        <f aca="false">IF($P92=0,AL91,IF(AL$3=$E92,IF($AA92=1,$F92&amp;$AB92,$G92),IF(OR(AL$3=$D92,AL$3=$AC92,AL$3=$AE92),"",IF(AL$3=$AD92,$F92&amp;"R",AL91))))</f>
        <v>wK</v>
      </c>
      <c r="AM92" s="11" t="str">
        <f aca="false">IF($P92=0,AM91,IF(AM$3=$E92,IF($AA92=1,$F92&amp;$AB92,$G92),IF(OR(AM$3=$D92,AM$3=$AC92,AM$3=$AE92),"",IF(AM$3=$AD92,$F92&amp;"R",AM91))))</f>
        <v>wB</v>
      </c>
      <c r="AN92" s="11" t="str">
        <f aca="false">IF($P92=0,AN91,IF(AN$3=$E92,IF($AA92=1,$F92&amp;$AB92,$G92),IF(OR(AN$3=$D92,AN$3=$AC92,AN$3=$AE92),"",IF(AN$3=$AD92,$F92&amp;"R",AN91))))</f>
        <v>wN</v>
      </c>
      <c r="AO92" s="11" t="str">
        <f aca="false">IF($P92=0,AO91,IF(AO$3=$E92,IF($AA92=1,$F92&amp;$AB92,$G92),IF(OR(AO$3=$D92,AO$3=$AC92,AO$3=$AE92),"",IF(AO$3=$AD92,$F92&amp;"R",AO91))))</f>
        <v>wR</v>
      </c>
      <c r="AP92" s="11" t="str">
        <f aca="false">IF($P92=0,AP91,IF(AP$3=$E92,IF($AA92=1,$F92&amp;$AB92,$G92),IF(OR(AP$3=$D92,AP$3=$AC92,AP$3=$AE92),"",IF(AP$3=$AD92,$F92&amp;"R",AP91))))</f>
        <v>wP</v>
      </c>
      <c r="AQ92" s="11" t="str">
        <f aca="false">IF($P92=0,AQ91,IF(AQ$3=$E92,IF($AA92=1,$F92&amp;$AB92,$G92),IF(OR(AQ$3=$D92,AQ$3=$AC92,AQ$3=$AE92),"",IF(AQ$3=$AD92,$F92&amp;"R",AQ91))))</f>
        <v>wP</v>
      </c>
      <c r="AR92" s="11" t="str">
        <f aca="false">IF($P92=0,AR91,IF(AR$3=$E92,IF($AA92=1,$F92&amp;$AB92,$G92),IF(OR(AR$3=$D92,AR$3=$AC92,AR$3=$AE92),"",IF(AR$3=$AD92,$F92&amp;"R",AR91))))</f>
        <v>wP</v>
      </c>
      <c r="AS92" s="11" t="str">
        <f aca="false">IF($P92=0,AS91,IF(AS$3=$E92,IF($AA92=1,$F92&amp;$AB92,$G92),IF(OR(AS$3=$D92,AS$3=$AC92,AS$3=$AE92),"",IF(AS$3=$AD92,$F92&amp;"R",AS91))))</f>
        <v>wP</v>
      </c>
      <c r="AT92" s="11" t="str">
        <f aca="false">IF($P92=0,AT91,IF(AT$3=$E92,IF($AA92=1,$F92&amp;$AB92,$G92),IF(OR(AT$3=$D92,AT$3=$AC92,AT$3=$AE92),"",IF(AT$3=$AD92,$F92&amp;"R",AT91))))</f>
        <v>wP</v>
      </c>
      <c r="AU92" s="11" t="str">
        <f aca="false">IF($P92=0,AU91,IF(AU$3=$E92,IF($AA92=1,$F92&amp;$AB92,$G92),IF(OR(AU$3=$D92,AU$3=$AC92,AU$3=$AE92),"",IF(AU$3=$AD92,$F92&amp;"R",AU91))))</f>
        <v>wP</v>
      </c>
      <c r="AV92" s="11" t="str">
        <f aca="false">IF($P92=0,AV91,IF(AV$3=$E92,IF($AA92=1,$F92&amp;$AB92,$G92),IF(OR(AV$3=$D92,AV$3=$AC92,AV$3=$AE92),"",IF(AV$3=$AD92,$F92&amp;"R",AV91))))</f>
        <v>wP</v>
      </c>
      <c r="AW92" s="11" t="str">
        <f aca="false">IF($P92=0,AW91,IF(AW$3=$E92,IF($AA92=1,$F92&amp;$AB92,$G92),IF(OR(AW$3=$D92,AW$3=$AC92,AW$3=$AE92),"",IF(AW$3=$AD92,$F92&amp;"R",AW91))))</f>
        <v>wP</v>
      </c>
      <c r="AX92" s="11" t="str">
        <f aca="false">IF($P92=0,AX91,IF(AX$3=$E92,IF($AA92=1,$F92&amp;$AB92,$G92),IF(OR(AX$3=$D92,AX$3=$AC92,AX$3=$AE92),"",IF(AX$3=$AD92,$F92&amp;"R",AX91))))</f>
        <v/>
      </c>
      <c r="AY92" s="11" t="str">
        <f aca="false">IF($P92=0,AY91,IF(AY$3=$E92,IF($AA92=1,$F92&amp;$AB92,$G92),IF(OR(AY$3=$D92,AY$3=$AC92,AY$3=$AE92),"",IF(AY$3=$AD92,$F92&amp;"R",AY91))))</f>
        <v/>
      </c>
      <c r="AZ92" s="11" t="str">
        <f aca="false">IF($P92=0,AZ91,IF(AZ$3=$E92,IF($AA92=1,$F92&amp;$AB92,$G92),IF(OR(AZ$3=$D92,AZ$3=$AC92,AZ$3=$AE92),"",IF(AZ$3=$AD92,$F92&amp;"R",AZ91))))</f>
        <v/>
      </c>
      <c r="BA92" s="11" t="str">
        <f aca="false">IF($P92=0,BA91,IF(BA$3=$E92,IF($AA92=1,$F92&amp;$AB92,$G92),IF(OR(BA$3=$D92,BA$3=$AC92,BA$3=$AE92),"",IF(BA$3=$AD92,$F92&amp;"R",BA91))))</f>
        <v/>
      </c>
      <c r="BB92" s="11" t="str">
        <f aca="false">IF($P92=0,BB91,IF(BB$3=$E92,IF($AA92=1,$F92&amp;$AB92,$G92),IF(OR(BB$3=$D92,BB$3=$AC92,BB$3=$AE92),"",IF(BB$3=$AD92,$F92&amp;"R",BB91))))</f>
        <v/>
      </c>
      <c r="BC92" s="11" t="str">
        <f aca="false">IF($P92=0,BC91,IF(BC$3=$E92,IF($AA92=1,$F92&amp;$AB92,$G92),IF(OR(BC$3=$D92,BC$3=$AC92,BC$3=$AE92),"",IF(BC$3=$AD92,$F92&amp;"R",BC91))))</f>
        <v/>
      </c>
      <c r="BD92" s="11" t="str">
        <f aca="false">IF($P92=0,BD91,IF(BD$3=$E92,IF($AA92=1,$F92&amp;$AB92,$G92),IF(OR(BD$3=$D92,BD$3=$AC92,BD$3=$AE92),"",IF(BD$3=$AD92,$F92&amp;"R",BD91))))</f>
        <v/>
      </c>
      <c r="BE92" s="11" t="str">
        <f aca="false">IF($P92=0,BE91,IF(BE$3=$E92,IF($AA92=1,$F92&amp;$AB92,$G92),IF(OR(BE$3=$D92,BE$3=$AC92,BE$3=$AE92),"",IF(BE$3=$AD92,$F92&amp;"R",BE91))))</f>
        <v/>
      </c>
      <c r="BF92" s="11" t="str">
        <f aca="false">IF($P92=0,BF91,IF(BF$3=$E92,IF($AA92=1,$F92&amp;$AB92,$G92),IF(OR(BF$3=$D92,BF$3=$AC92,BF$3=$AE92),"",IF(BF$3=$AD92,$F92&amp;"R",BF91))))</f>
        <v/>
      </c>
      <c r="BG92" s="11" t="str">
        <f aca="false">IF($P92=0,BG91,IF(BG$3=$E92,IF($AA92=1,$F92&amp;$AB92,$G92),IF(OR(BG$3=$D92,BG$3=$AC92,BG$3=$AE92),"",IF(BG$3=$AD92,$F92&amp;"R",BG91))))</f>
        <v/>
      </c>
      <c r="BH92" s="11" t="str">
        <f aca="false">IF($P92=0,BH91,IF(BH$3=$E92,IF($AA92=1,$F92&amp;$AB92,$G92),IF(OR(BH$3=$D92,BH$3=$AC92,BH$3=$AE92),"",IF(BH$3=$AD92,$F92&amp;"R",BH91))))</f>
        <v/>
      </c>
      <c r="BI92" s="11" t="str">
        <f aca="false">IF($P92=0,BI91,IF(BI$3=$E92,IF($AA92=1,$F92&amp;$AB92,$G92),IF(OR(BI$3=$D92,BI$3=$AC92,BI$3=$AE92),"",IF(BI$3=$AD92,$F92&amp;"R",BI91))))</f>
        <v/>
      </c>
      <c r="BJ92" s="11" t="str">
        <f aca="false">IF($P92=0,BJ91,IF(BJ$3=$E92,IF($AA92=1,$F92&amp;$AB92,$G92),IF(OR(BJ$3=$D92,BJ$3=$AC92,BJ$3=$AE92),"",IF(BJ$3=$AD92,$F92&amp;"R",BJ91))))</f>
        <v/>
      </c>
      <c r="BK92" s="11" t="str">
        <f aca="false">IF($P92=0,BK91,IF(BK$3=$E92,IF($AA92=1,$F92&amp;$AB92,$G92),IF(OR(BK$3=$D92,BK$3=$AC92,BK$3=$AE92),"",IF(BK$3=$AD92,$F92&amp;"R",BK91))))</f>
        <v/>
      </c>
      <c r="BL92" s="11" t="str">
        <f aca="false">IF($P92=0,BL91,IF(BL$3=$E92,IF($AA92=1,$F92&amp;$AB92,$G92),IF(OR(BL$3=$D92,BL$3=$AC92,BL$3=$AE92),"",IF(BL$3=$AD92,$F92&amp;"R",BL91))))</f>
        <v/>
      </c>
      <c r="BM92" s="11" t="str">
        <f aca="false">IF($P92=0,BM91,IF(BM$3=$E92,IF($AA92=1,$F92&amp;$AB92,$G92),IF(OR(BM$3=$D92,BM$3=$AC92,BM$3=$AE92),"",IF(BM$3=$AD92,$F92&amp;"R",BM91))))</f>
        <v/>
      </c>
      <c r="BN92" s="11" t="str">
        <f aca="false">IF($P92=0,BN91,IF(BN$3=$E92,IF($AA92=1,$F92&amp;$AB92,$G92),IF(OR(BN$3=$D92,BN$3=$AC92,BN$3=$AE92),"",IF(BN$3=$AD92,$F92&amp;"R",BN91))))</f>
        <v/>
      </c>
      <c r="BO92" s="11" t="str">
        <f aca="false">IF($P92=0,BO91,IF(BO$3=$E92,IF($AA92=1,$F92&amp;$AB92,$G92),IF(OR(BO$3=$D92,BO$3=$AC92,BO$3=$AE92),"",IF(BO$3=$AD92,$F92&amp;"R",BO91))))</f>
        <v/>
      </c>
      <c r="BP92" s="11" t="str">
        <f aca="false">IF($P92=0,BP91,IF(BP$3=$E92,IF($AA92=1,$F92&amp;$AB92,$G92),IF(OR(BP$3=$D92,BP$3=$AC92,BP$3=$AE92),"",IF(BP$3=$AD92,$F92&amp;"R",BP91))))</f>
        <v/>
      </c>
      <c r="BQ92" s="11" t="str">
        <f aca="false">IF($P92=0,BQ91,IF(BQ$3=$E92,IF($AA92=1,$F92&amp;$AB92,$G92),IF(OR(BQ$3=$D92,BQ$3=$AC92,BQ$3=$AE92),"",IF(BQ$3=$AD92,$F92&amp;"R",BQ91))))</f>
        <v/>
      </c>
      <c r="BR92" s="11" t="str">
        <f aca="false">IF($P92=0,BR91,IF(BR$3=$E92,IF($AA92=1,$F92&amp;$AB92,$G92),IF(OR(BR$3=$D92,BR$3=$AC92,BR$3=$AE92),"",IF(BR$3=$AD92,$F92&amp;"R",BR91))))</f>
        <v/>
      </c>
      <c r="BS92" s="11" t="str">
        <f aca="false">IF($P92=0,BS91,IF(BS$3=$E92,IF($AA92=1,$F92&amp;$AB92,$G92),IF(OR(BS$3=$D92,BS$3=$AC92,BS$3=$AE92),"",IF(BS$3=$AD92,$F92&amp;"R",BS91))))</f>
        <v/>
      </c>
      <c r="BT92" s="11" t="str">
        <f aca="false">IF($P92=0,BT91,IF(BT$3=$E92,IF($AA92=1,$F92&amp;$AB92,$G92),IF(OR(BT$3=$D92,BT$3=$AC92,BT$3=$AE92),"",IF(BT$3=$AD92,$F92&amp;"R",BT91))))</f>
        <v/>
      </c>
      <c r="BU92" s="11" t="str">
        <f aca="false">IF($P92=0,BU91,IF(BU$3=$E92,IF($AA92=1,$F92&amp;$AB92,$G92),IF(OR(BU$3=$D92,BU$3=$AC92,BU$3=$AE92),"",IF(BU$3=$AD92,$F92&amp;"R",BU91))))</f>
        <v/>
      </c>
      <c r="BV92" s="11" t="str">
        <f aca="false">IF($P92=0,BV91,IF(BV$3=$E92,IF($AA92=1,$F92&amp;$AB92,$G92),IF(OR(BV$3=$D92,BV$3=$AC92,BV$3=$AE92),"",IF(BV$3=$AD92,$F92&amp;"R",BV91))))</f>
        <v/>
      </c>
      <c r="BW92" s="11" t="str">
        <f aca="false">IF($P92=0,BW91,IF(BW$3=$E92,IF($AA92=1,$F92&amp;$AB92,$G92),IF(OR(BW$3=$D92,BW$3=$AC92,BW$3=$AE92),"",IF(BW$3=$AD92,$F92&amp;"R",BW91))))</f>
        <v/>
      </c>
      <c r="BX92" s="11" t="str">
        <f aca="false">IF($P92=0,BX91,IF(BX$3=$E92,IF($AA92=1,$F92&amp;$AB92,$G92),IF(OR(BX$3=$D92,BX$3=$AC92,BX$3=$AE92),"",IF(BX$3=$AD92,$F92&amp;"R",BX91))))</f>
        <v/>
      </c>
      <c r="BY92" s="11" t="str">
        <f aca="false">IF($P92=0,BY91,IF(BY$3=$E92,IF($AA92=1,$F92&amp;$AB92,$G92),IF(OR(BY$3=$D92,BY$3=$AC92,BY$3=$AE92),"",IF(BY$3=$AD92,$F92&amp;"R",BY91))))</f>
        <v/>
      </c>
      <c r="BZ92" s="11" t="str">
        <f aca="false">IF($P92=0,BZ91,IF(BZ$3=$E92,IF($AA92=1,$F92&amp;$AB92,$G92),IF(OR(BZ$3=$D92,BZ$3=$AC92,BZ$3=$AE92),"",IF(BZ$3=$AD92,$F92&amp;"R",BZ91))))</f>
        <v/>
      </c>
      <c r="CA92" s="11" t="str">
        <f aca="false">IF($P92=0,CA91,IF(CA$3=$E92,IF($AA92=1,$F92&amp;$AB92,$G92),IF(OR(CA$3=$D92,CA$3=$AC92,CA$3=$AE92),"",IF(CA$3=$AD92,$F92&amp;"R",CA91))))</f>
        <v/>
      </c>
      <c r="CB92" s="11" t="str">
        <f aca="false">IF($P92=0,CB91,IF(CB$3=$E92,IF($AA92=1,$F92&amp;$AB92,$G92),IF(OR(CB$3=$D92,CB$3=$AC92,CB$3=$AE92),"",IF(CB$3=$AD92,$F92&amp;"R",CB91))))</f>
        <v/>
      </c>
      <c r="CC92" s="11" t="str">
        <f aca="false">IF($P92=0,CC91,IF(CC$3=$E92,IF($AA92=1,$F92&amp;$AB92,$G92),IF(OR(CC$3=$D92,CC$3=$AC92,CC$3=$AE92),"",IF(CC$3=$AD92,$F92&amp;"R",CC91))))</f>
        <v/>
      </c>
      <c r="CD92" s="11" t="str">
        <f aca="false">IF($P92=0,CD91,IF(CD$3=$E92,IF($AA92=1,$F92&amp;$AB92,$G92),IF(OR(CD$3=$D92,CD$3=$AC92,CD$3=$AE92),"",IF(CD$3=$AD92,$F92&amp;"R",CD91))))</f>
        <v>bP</v>
      </c>
      <c r="CE92" s="11" t="str">
        <f aca="false">IF($P92=0,CE91,IF(CE$3=$E92,IF($AA92=1,$F92&amp;$AB92,$G92),IF(OR(CE$3=$D92,CE$3=$AC92,CE$3=$AE92),"",IF(CE$3=$AD92,$F92&amp;"R",CE91))))</f>
        <v>bP</v>
      </c>
      <c r="CF92" s="11" t="str">
        <f aca="false">IF($P92=0,CF91,IF(CF$3=$E92,IF($AA92=1,$F92&amp;$AB92,$G92),IF(OR(CF$3=$D92,CF$3=$AC92,CF$3=$AE92),"",IF(CF$3=$AD92,$F92&amp;"R",CF91))))</f>
        <v>bP</v>
      </c>
      <c r="CG92" s="11" t="str">
        <f aca="false">IF($P92=0,CG91,IF(CG$3=$E92,IF($AA92=1,$F92&amp;$AB92,$G92),IF(OR(CG$3=$D92,CG$3=$AC92,CG$3=$AE92),"",IF(CG$3=$AD92,$F92&amp;"R",CG91))))</f>
        <v>bP</v>
      </c>
      <c r="CH92" s="11" t="str">
        <f aca="false">IF($P92=0,CH91,IF(CH$3=$E92,IF($AA92=1,$F92&amp;$AB92,$G92),IF(OR(CH$3=$D92,CH$3=$AC92,CH$3=$AE92),"",IF(CH$3=$AD92,$F92&amp;"R",CH91))))</f>
        <v>bP</v>
      </c>
      <c r="CI92" s="11" t="str">
        <f aca="false">IF($P92=0,CI91,IF(CI$3=$E92,IF($AA92=1,$F92&amp;$AB92,$G92),IF(OR(CI$3=$D92,CI$3=$AC92,CI$3=$AE92),"",IF(CI$3=$AD92,$F92&amp;"R",CI91))))</f>
        <v>bP</v>
      </c>
      <c r="CJ92" s="11" t="str">
        <f aca="false">IF($P92=0,CJ91,IF(CJ$3=$E92,IF($AA92=1,$F92&amp;$AB92,$G92),IF(OR(CJ$3=$D92,CJ$3=$AC92,CJ$3=$AE92),"",IF(CJ$3=$AD92,$F92&amp;"R",CJ91))))</f>
        <v>bP</v>
      </c>
      <c r="CK92" s="11" t="str">
        <f aca="false">IF($P92=0,CK91,IF(CK$3=$E92,IF($AA92=1,$F92&amp;$AB92,$G92),IF(OR(CK$3=$D92,CK$3=$AC92,CK$3=$AE92),"",IF(CK$3=$AD92,$F92&amp;"R",CK91))))</f>
        <v>bP</v>
      </c>
      <c r="CL92" s="11" t="str">
        <f aca="false">IF($P92=0,CL91,IF(CL$3=$E92,IF($AA92=1,$F92&amp;$AB92,$G92),IF(OR(CL$3=$D92,CL$3=$AC92,CL$3=$AE92),"",IF(CL$3=$AD92,$F92&amp;"R",CL91))))</f>
        <v>bR</v>
      </c>
      <c r="CM92" s="11" t="str">
        <f aca="false">IF($P92=0,CM91,IF(CM$3=$E92,IF($AA92=1,$F92&amp;$AB92,$G92),IF(OR(CM$3=$D92,CM$3=$AC92,CM$3=$AE92),"",IF(CM$3=$AD92,$F92&amp;"R",CM91))))</f>
        <v>bN</v>
      </c>
      <c r="CN92" s="11" t="str">
        <f aca="false">IF($P92=0,CN91,IF(CN$3=$E92,IF($AA92=1,$F92&amp;$AB92,$G92),IF(OR(CN$3=$D92,CN$3=$AC92,CN$3=$AE92),"",IF(CN$3=$AD92,$F92&amp;"R",CN91))))</f>
        <v>bB</v>
      </c>
      <c r="CO92" s="11" t="str">
        <f aca="false">IF($P92=0,CO91,IF(CO$3=$E92,IF($AA92=1,$F92&amp;$AB92,$G92),IF(OR(CO$3=$D92,CO$3=$AC92,CO$3=$AE92),"",IF(CO$3=$AD92,$F92&amp;"R",CO91))))</f>
        <v>bQ</v>
      </c>
      <c r="CP92" s="11" t="str">
        <f aca="false">IF($P92=0,CP91,IF(CP$3=$E92,IF($AA92=1,$F92&amp;$AB92,$G92),IF(OR(CP$3=$D92,CP$3=$AC92,CP$3=$AE92),"",IF(CP$3=$AD92,$F92&amp;"R",CP91))))</f>
        <v>bK</v>
      </c>
      <c r="CQ92" s="11" t="str">
        <f aca="false">IF($P92=0,CQ91,IF(CQ$3=$E92,IF($AA92=1,$F92&amp;$AB92,$G92),IF(OR(CQ$3=$D92,CQ$3=$AC92,CQ$3=$AE92),"",IF(CQ$3=$AD92,$F92&amp;"R",CQ91))))</f>
        <v>bB</v>
      </c>
      <c r="CR92" s="11" t="str">
        <f aca="false">IF($P92=0,CR91,IF(CR$3=$E92,IF($AA92=1,$F92&amp;$AB92,$G92),IF(OR(CR$3=$D92,CR$3=$AC92,CR$3=$AE92),"",IF(CR$3=$AD92,$F92&amp;"R",CR91))))</f>
        <v>bN</v>
      </c>
      <c r="CS92" s="11" t="str">
        <f aca="false">IF($P92=0,CS91,IF(CS$3=$E92,IF($AA92=1,$F92&amp;$AB92,$G92),IF(OR(CS$3=$D92,CS$3=$AC92,CS$3=$AE92),"",IF(CS$3=$AD92,$F92&amp;"R",CS91))))</f>
        <v>bR</v>
      </c>
      <c r="CT92" s="11"/>
      <c r="CU92" s="11"/>
      <c r="CV92" s="11"/>
    </row>
    <row r="93" customFormat="false" ht="15" hidden="false" customHeight="false" outlineLevel="0" collapsed="false">
      <c r="A93" s="11" t="n">
        <v>88</v>
      </c>
      <c r="B93" s="11" t="str">
        <f aca="false">IF(Chess!$L$97="","",Chess!$L$97&amp;"")</f>
        <v/>
      </c>
      <c r="C93" s="11" t="str">
        <f aca="false">LOWER(SUBSTITUTE(SUBSTITUTE(SUBSTITUTE(SUBSTITUTE(TRIM($B93),"-",""),"=","")," ",""),"x",""))</f>
        <v/>
      </c>
      <c r="D93" s="11" t="n">
        <f aca="false">IF(LEN($C93)&lt;4,0,IFERROR(IF(AND(CODE(MID($C93,1,1))&gt;=97,CODE(MID($C93,1,1))&lt;=104,VALUE(MID($C93,2,1))&gt;=1,VALUE(MID($C93,2,1))&lt;=8),(VALUE(MID($C93,2,1))-1)*8+CODE(MID($C93,1,1))-96,0),0))</f>
        <v>0</v>
      </c>
      <c r="E93" s="11" t="n">
        <f aca="false">IF(LEN($C93)&lt;4,0,IFERROR(IF(AND(CODE(MID($C93,3,1))&gt;=97,CODE(MID($C93,3,1))&lt;=104,VALUE(MID($C93,4,1))&gt;=1,VALUE(MID($C93,4,1))&lt;=8),(VALUE(MID($C93,4,1))-1)*8+CODE(MID($C93,3,1))-96,0),0))</f>
        <v>0</v>
      </c>
      <c r="F93" s="11" t="str">
        <f aca="false">IF(MOD(SUM($P$5:$P92),2)=0,"w","b")</f>
        <v>w</v>
      </c>
      <c r="G93" s="11" t="str">
        <f aca="false">IF($D93=0,"",INDEX($AH92:$CS92,1,$D93)&amp;"")</f>
        <v/>
      </c>
      <c r="H93" s="11" t="str">
        <f aca="false">IF($E93=0,"",INDEX($AH92:$CS92,1,$E93)&amp;"")</f>
        <v/>
      </c>
      <c r="I93" s="11" t="n">
        <f aca="false">IF(OR($D93=0,$E93=0),0,MOD($E93-1,8)-MOD($D93-1,8))</f>
        <v>0</v>
      </c>
      <c r="J93" s="11" t="n">
        <f aca="false">IF(OR($D93=0,$E93=0),0,INT(($E93-1)/8)-INT(($D93-1)/8))</f>
        <v>0</v>
      </c>
      <c r="K93" s="11" t="str">
        <f aca="false">IF($G93="","",RIGHT($G93,1))</f>
        <v/>
      </c>
      <c r="L93" s="11" t="n">
        <f aca="false">IF(OR($D93=0,$E93=0),0,SUMPRODUCT(($AH$3:$CS$3&gt;MIN($D93,$E93))*($AH$3:$CS$3&lt;MAX($D93,$E93))*(MOD($AH$3:$CS$3-MIN($D93,$E93),MAX(1,ABS(SIGN($J93)*8+SIGN($I93))))=0)*($AH92:$CS92&lt;&gt;"")))</f>
        <v>0</v>
      </c>
      <c r="M93" s="11" t="n">
        <f aca="false">IF($K93&lt;&gt;"K",0,IFERROR(--AND($J93=0,ABS($I93)=2,$D93=IF($F93="w",5,61),IF($F93="w",$S92,$V92)=0,IF($I93=2,AND(IF($F93="w",$U92,$X92)=0,INDEX($AH92:$CS92,1,$D93+1)&amp;""="",INDEX($AH92:$CS92,1,$D93+2)&amp;""=""),AND(IF($F93="w",$T92,$W92)=0,INDEX($AH92:$CS92,1,$D93-1)&amp;""="",INDEX($AH92:$CS92,1,$D93-2)&amp;""="",INDEX($AH92:$CS92,1,$D93-3)&amp;""=""))),0))</f>
        <v>0</v>
      </c>
      <c r="N93" s="11" t="n">
        <f aca="false">IF($K93&lt;&gt;"P",0,IFERROR(--OR(AND($I93=0,$J93=IF($F93="w",1,-1),$H93=""),AND($I93=0,$J93=2*IF($F93="w",1,-1),$H93="",INT(($D93-1)/8)=IF($F93="w",1,6),INDEX($AH92:$CS92,1,MAX(1,MIN(64,$D93+8*IF($F93="w",1,-1))))&amp;""=""),AND(ABS($I93)=1,$J93=IF($F93="w",1,-1),$H93&lt;&gt;""),AND(ABS($I93)=1,$J93=IF($F93="w",1,-1),$H93="",$R92&gt;0,$E93=$R92)),0))</f>
        <v>0</v>
      </c>
      <c r="O93" s="11" t="n">
        <f aca="false">IF(OR($D93=0,$E93=0,$G93=""),0,IF($K93="N",--OR(AND(ABS($I93)=1,ABS($J93)=2),AND(ABS($I93)=2,ABS($J93)=1)),IF($K93="B",--AND(ABS($I93)=ABS($J93),$I93&lt;&gt;0,$L93=0),IF($K93="R",--AND(OR($I93=0,$J93=0),OR($I93&lt;&gt;0,$J93&lt;&gt;0),$L93=0),IF($K93="Q",--AND(OR(AND(ABS($I93)=ABS($J93),$I93&lt;&gt;0),AND(OR($I93=0,$J93=0),OR($I93&lt;&gt;0,$J93&lt;&gt;0))),$L93=0),IF($K93="K",--OR(MAX(ABS($I93),ABS($J93))=1,$M93=1),$N93))))))</f>
        <v>0</v>
      </c>
      <c r="P93" s="11" t="n">
        <f aca="false">IF($Q93="OK",1,0)</f>
        <v>0</v>
      </c>
      <c r="Q93" s="11" t="str">
        <f aca="false">IF($B93="","",IF(OR(COUNTIF($AH92:$CS92,"wK")=0,COUNTIF($AH92:$CS92,"bK")=0),"Game is over",IF(OR($D93=0,$E93=0),"Use the format e2e4",IF($G93="","No piece on that square",IF(LEFT($G93,1)&lt;&gt;$F93,"Not your piece ("&amp;IF($F93="w","White","Black")&amp;" to move)",IF($D93=$E93,"Piece must move",IF(AND($H93&lt;&gt;"",LEFT($H93,1)=$F93),"Cannot capture your own piece",IF($O93=0,"Illegal move for that piece (or path blocked)","OK"))))))))</f>
        <v/>
      </c>
      <c r="R93" s="11" t="n">
        <f aca="false">IF($P93=1,IF(AND($K93="P",ABS($J93)=2),($D93+$E93)/2,0),$R92)</f>
        <v>0</v>
      </c>
      <c r="S93" s="12" t="b">
        <f aca="false">--OR($S92=1,AND($P93=1,OR($D93=5,$E93=5)))</f>
        <v>0</v>
      </c>
      <c r="T93" s="12" t="b">
        <f aca="false">--OR($T92=1,AND($P93=1,OR($D93=1,$E93=1)))</f>
        <v>0</v>
      </c>
      <c r="U93" s="12" t="b">
        <f aca="false">--OR($U92=1,AND($P93=1,OR($D93=8,$E93=8)))</f>
        <v>0</v>
      </c>
      <c r="V93" s="12" t="b">
        <f aca="false">--OR($V92=1,AND($P93=1,OR($D93=61,$E93=61)))</f>
        <v>0</v>
      </c>
      <c r="W93" s="12" t="b">
        <f aca="false">--OR($W92=1,AND($P93=1,OR($D93=57,$E93=57)))</f>
        <v>0</v>
      </c>
      <c r="X93" s="12" t="b">
        <f aca="false">--OR($X92=1,AND($P93=1,OR($D93=64,$E93=64)))</f>
        <v>0</v>
      </c>
      <c r="Y93" s="12" t="b">
        <f aca="false">--AND($P93=1,$K93="K",ABS($I93)=2)</f>
        <v>0</v>
      </c>
      <c r="Z93" s="12" t="b">
        <f aca="false">--AND($P93=1,$K93="P",ABS($I93)=1,$H93="")</f>
        <v>0</v>
      </c>
      <c r="AA93" s="12" t="b">
        <f aca="false">--AND($P93=1,$K93="P",INT(($E93-1)/8)=IF($F93="w",7,0))</f>
        <v>0</v>
      </c>
      <c r="AB93" s="11" t="str">
        <f aca="false">IF(LEN($C93)&gt;=5,IF(ISNUMBER(FIND(MID($C93,5,1),"qrbn")),UPPER(MID($C93,5,1)),"Q"),"Q")</f>
        <v>Q</v>
      </c>
      <c r="AC93" s="11" t="n">
        <f aca="false">IF($Y93=1,IF($I93=2,$D93+3,$D93-4),0)</f>
        <v>0</v>
      </c>
      <c r="AD93" s="11" t="n">
        <f aca="false">IF($Y93=1,IF($I93=2,$D93+1,$D93-1),0)</f>
        <v>0</v>
      </c>
      <c r="AE93" s="11" t="n">
        <f aca="false">IF($Z93=1,$E93-8*IF($F93="w",1,-1),0)</f>
        <v>0</v>
      </c>
      <c r="AF93" s="11" t="str">
        <f aca="false">IF($B93="","",IF($P93=1,LOWER(INDEX($CV$2:$CV$13,MATCH($G93,$CU$2:$CU$13,0)))&amp;" "&amp;MID("abcdefgh",MOD($D93-1,8)+1,1)&amp;(INT(($D93-1)/8)+1)&amp;"→"&amp;MID("abcdefgh",MOD($E93-1,8)+1,1)&amp;(INT(($E93-1)/8)+1)&amp;IF(OR($H93&lt;&gt;"",$Z93=1)," ×","")&amp;IF($Y93=1," castles","")&amp;IF($Z93=1," e.p.","")&amp;IF($AA93=1," =" &amp;LOWER(INDEX($CV$2:$CV$13,MATCH($F93&amp;$AB93,$CU$2:$CU$13,0))),""),"X "&amp;$Q93))</f>
        <v/>
      </c>
      <c r="AG93" s="11"/>
      <c r="AH93" s="11" t="str">
        <f aca="false">IF($P93=0,AH92,IF(AH$3=$E93,IF($AA93=1,$F93&amp;$AB93,$G93),IF(OR(AH$3=$D93,AH$3=$AC93,AH$3=$AE93),"",IF(AH$3=$AD93,$F93&amp;"R",AH92))))</f>
        <v>wR</v>
      </c>
      <c r="AI93" s="11" t="str">
        <f aca="false">IF($P93=0,AI92,IF(AI$3=$E93,IF($AA93=1,$F93&amp;$AB93,$G93),IF(OR(AI$3=$D93,AI$3=$AC93,AI$3=$AE93),"",IF(AI$3=$AD93,$F93&amp;"R",AI92))))</f>
        <v>wN</v>
      </c>
      <c r="AJ93" s="11" t="str">
        <f aca="false">IF($P93=0,AJ92,IF(AJ$3=$E93,IF($AA93=1,$F93&amp;$AB93,$G93),IF(OR(AJ$3=$D93,AJ$3=$AC93,AJ$3=$AE93),"",IF(AJ$3=$AD93,$F93&amp;"R",AJ92))))</f>
        <v>wB</v>
      </c>
      <c r="AK93" s="11" t="str">
        <f aca="false">IF($P93=0,AK92,IF(AK$3=$E93,IF($AA93=1,$F93&amp;$AB93,$G93),IF(OR(AK$3=$D93,AK$3=$AC93,AK$3=$AE93),"",IF(AK$3=$AD93,$F93&amp;"R",AK92))))</f>
        <v>wQ</v>
      </c>
      <c r="AL93" s="11" t="str">
        <f aca="false">IF($P93=0,AL92,IF(AL$3=$E93,IF($AA93=1,$F93&amp;$AB93,$G93),IF(OR(AL$3=$D93,AL$3=$AC93,AL$3=$AE93),"",IF(AL$3=$AD93,$F93&amp;"R",AL92))))</f>
        <v>wK</v>
      </c>
      <c r="AM93" s="11" t="str">
        <f aca="false">IF($P93=0,AM92,IF(AM$3=$E93,IF($AA93=1,$F93&amp;$AB93,$G93),IF(OR(AM$3=$D93,AM$3=$AC93,AM$3=$AE93),"",IF(AM$3=$AD93,$F93&amp;"R",AM92))))</f>
        <v>wB</v>
      </c>
      <c r="AN93" s="11" t="str">
        <f aca="false">IF($P93=0,AN92,IF(AN$3=$E93,IF($AA93=1,$F93&amp;$AB93,$G93),IF(OR(AN$3=$D93,AN$3=$AC93,AN$3=$AE93),"",IF(AN$3=$AD93,$F93&amp;"R",AN92))))</f>
        <v>wN</v>
      </c>
      <c r="AO93" s="11" t="str">
        <f aca="false">IF($P93=0,AO92,IF(AO$3=$E93,IF($AA93=1,$F93&amp;$AB93,$G93),IF(OR(AO$3=$D93,AO$3=$AC93,AO$3=$AE93),"",IF(AO$3=$AD93,$F93&amp;"R",AO92))))</f>
        <v>wR</v>
      </c>
      <c r="AP93" s="11" t="str">
        <f aca="false">IF($P93=0,AP92,IF(AP$3=$E93,IF($AA93=1,$F93&amp;$AB93,$G93),IF(OR(AP$3=$D93,AP$3=$AC93,AP$3=$AE93),"",IF(AP$3=$AD93,$F93&amp;"R",AP92))))</f>
        <v>wP</v>
      </c>
      <c r="AQ93" s="11" t="str">
        <f aca="false">IF($P93=0,AQ92,IF(AQ$3=$E93,IF($AA93=1,$F93&amp;$AB93,$G93),IF(OR(AQ$3=$D93,AQ$3=$AC93,AQ$3=$AE93),"",IF(AQ$3=$AD93,$F93&amp;"R",AQ92))))</f>
        <v>wP</v>
      </c>
      <c r="AR93" s="11" t="str">
        <f aca="false">IF($P93=0,AR92,IF(AR$3=$E93,IF($AA93=1,$F93&amp;$AB93,$G93),IF(OR(AR$3=$D93,AR$3=$AC93,AR$3=$AE93),"",IF(AR$3=$AD93,$F93&amp;"R",AR92))))</f>
        <v>wP</v>
      </c>
      <c r="AS93" s="11" t="str">
        <f aca="false">IF($P93=0,AS92,IF(AS$3=$E93,IF($AA93=1,$F93&amp;$AB93,$G93),IF(OR(AS$3=$D93,AS$3=$AC93,AS$3=$AE93),"",IF(AS$3=$AD93,$F93&amp;"R",AS92))))</f>
        <v>wP</v>
      </c>
      <c r="AT93" s="11" t="str">
        <f aca="false">IF($P93=0,AT92,IF(AT$3=$E93,IF($AA93=1,$F93&amp;$AB93,$G93),IF(OR(AT$3=$D93,AT$3=$AC93,AT$3=$AE93),"",IF(AT$3=$AD93,$F93&amp;"R",AT92))))</f>
        <v>wP</v>
      </c>
      <c r="AU93" s="11" t="str">
        <f aca="false">IF($P93=0,AU92,IF(AU$3=$E93,IF($AA93=1,$F93&amp;$AB93,$G93),IF(OR(AU$3=$D93,AU$3=$AC93,AU$3=$AE93),"",IF(AU$3=$AD93,$F93&amp;"R",AU92))))</f>
        <v>wP</v>
      </c>
      <c r="AV93" s="11" t="str">
        <f aca="false">IF($P93=0,AV92,IF(AV$3=$E93,IF($AA93=1,$F93&amp;$AB93,$G93),IF(OR(AV$3=$D93,AV$3=$AC93,AV$3=$AE93),"",IF(AV$3=$AD93,$F93&amp;"R",AV92))))</f>
        <v>wP</v>
      </c>
      <c r="AW93" s="11" t="str">
        <f aca="false">IF($P93=0,AW92,IF(AW$3=$E93,IF($AA93=1,$F93&amp;$AB93,$G93),IF(OR(AW$3=$D93,AW$3=$AC93,AW$3=$AE93),"",IF(AW$3=$AD93,$F93&amp;"R",AW92))))</f>
        <v>wP</v>
      </c>
      <c r="AX93" s="11" t="str">
        <f aca="false">IF($P93=0,AX92,IF(AX$3=$E93,IF($AA93=1,$F93&amp;$AB93,$G93),IF(OR(AX$3=$D93,AX$3=$AC93,AX$3=$AE93),"",IF(AX$3=$AD93,$F93&amp;"R",AX92))))</f>
        <v/>
      </c>
      <c r="AY93" s="11" t="str">
        <f aca="false">IF($P93=0,AY92,IF(AY$3=$E93,IF($AA93=1,$F93&amp;$AB93,$G93),IF(OR(AY$3=$D93,AY$3=$AC93,AY$3=$AE93),"",IF(AY$3=$AD93,$F93&amp;"R",AY92))))</f>
        <v/>
      </c>
      <c r="AZ93" s="11" t="str">
        <f aca="false">IF($P93=0,AZ92,IF(AZ$3=$E93,IF($AA93=1,$F93&amp;$AB93,$G93),IF(OR(AZ$3=$D93,AZ$3=$AC93,AZ$3=$AE93),"",IF(AZ$3=$AD93,$F93&amp;"R",AZ92))))</f>
        <v/>
      </c>
      <c r="BA93" s="11" t="str">
        <f aca="false">IF($P93=0,BA92,IF(BA$3=$E93,IF($AA93=1,$F93&amp;$AB93,$G93),IF(OR(BA$3=$D93,BA$3=$AC93,BA$3=$AE93),"",IF(BA$3=$AD93,$F93&amp;"R",BA92))))</f>
        <v/>
      </c>
      <c r="BB93" s="11" t="str">
        <f aca="false">IF($P93=0,BB92,IF(BB$3=$E93,IF($AA93=1,$F93&amp;$AB93,$G93),IF(OR(BB$3=$D93,BB$3=$AC93,BB$3=$AE93),"",IF(BB$3=$AD93,$F93&amp;"R",BB92))))</f>
        <v/>
      </c>
      <c r="BC93" s="11" t="str">
        <f aca="false">IF($P93=0,BC92,IF(BC$3=$E93,IF($AA93=1,$F93&amp;$AB93,$G93),IF(OR(BC$3=$D93,BC$3=$AC93,BC$3=$AE93),"",IF(BC$3=$AD93,$F93&amp;"R",BC92))))</f>
        <v/>
      </c>
      <c r="BD93" s="11" t="str">
        <f aca="false">IF($P93=0,BD92,IF(BD$3=$E93,IF($AA93=1,$F93&amp;$AB93,$G93),IF(OR(BD$3=$D93,BD$3=$AC93,BD$3=$AE93),"",IF(BD$3=$AD93,$F93&amp;"R",BD92))))</f>
        <v/>
      </c>
      <c r="BE93" s="11" t="str">
        <f aca="false">IF($P93=0,BE92,IF(BE$3=$E93,IF($AA93=1,$F93&amp;$AB93,$G93),IF(OR(BE$3=$D93,BE$3=$AC93,BE$3=$AE93),"",IF(BE$3=$AD93,$F93&amp;"R",BE92))))</f>
        <v/>
      </c>
      <c r="BF93" s="11" t="str">
        <f aca="false">IF($P93=0,BF92,IF(BF$3=$E93,IF($AA93=1,$F93&amp;$AB93,$G93),IF(OR(BF$3=$D93,BF$3=$AC93,BF$3=$AE93),"",IF(BF$3=$AD93,$F93&amp;"R",BF92))))</f>
        <v/>
      </c>
      <c r="BG93" s="11" t="str">
        <f aca="false">IF($P93=0,BG92,IF(BG$3=$E93,IF($AA93=1,$F93&amp;$AB93,$G93),IF(OR(BG$3=$D93,BG$3=$AC93,BG$3=$AE93),"",IF(BG$3=$AD93,$F93&amp;"R",BG92))))</f>
        <v/>
      </c>
      <c r="BH93" s="11" t="str">
        <f aca="false">IF($P93=0,BH92,IF(BH$3=$E93,IF($AA93=1,$F93&amp;$AB93,$G93),IF(OR(BH$3=$D93,BH$3=$AC93,BH$3=$AE93),"",IF(BH$3=$AD93,$F93&amp;"R",BH92))))</f>
        <v/>
      </c>
      <c r="BI93" s="11" t="str">
        <f aca="false">IF($P93=0,BI92,IF(BI$3=$E93,IF($AA93=1,$F93&amp;$AB93,$G93),IF(OR(BI$3=$D93,BI$3=$AC93,BI$3=$AE93),"",IF(BI$3=$AD93,$F93&amp;"R",BI92))))</f>
        <v/>
      </c>
      <c r="BJ93" s="11" t="str">
        <f aca="false">IF($P93=0,BJ92,IF(BJ$3=$E93,IF($AA93=1,$F93&amp;$AB93,$G93),IF(OR(BJ$3=$D93,BJ$3=$AC93,BJ$3=$AE93),"",IF(BJ$3=$AD93,$F93&amp;"R",BJ92))))</f>
        <v/>
      </c>
      <c r="BK93" s="11" t="str">
        <f aca="false">IF($P93=0,BK92,IF(BK$3=$E93,IF($AA93=1,$F93&amp;$AB93,$G93),IF(OR(BK$3=$D93,BK$3=$AC93,BK$3=$AE93),"",IF(BK$3=$AD93,$F93&amp;"R",BK92))))</f>
        <v/>
      </c>
      <c r="BL93" s="11" t="str">
        <f aca="false">IF($P93=0,BL92,IF(BL$3=$E93,IF($AA93=1,$F93&amp;$AB93,$G93),IF(OR(BL$3=$D93,BL$3=$AC93,BL$3=$AE93),"",IF(BL$3=$AD93,$F93&amp;"R",BL92))))</f>
        <v/>
      </c>
      <c r="BM93" s="11" t="str">
        <f aca="false">IF($P93=0,BM92,IF(BM$3=$E93,IF($AA93=1,$F93&amp;$AB93,$G93),IF(OR(BM$3=$D93,BM$3=$AC93,BM$3=$AE93),"",IF(BM$3=$AD93,$F93&amp;"R",BM92))))</f>
        <v/>
      </c>
      <c r="BN93" s="11" t="str">
        <f aca="false">IF($P93=0,BN92,IF(BN$3=$E93,IF($AA93=1,$F93&amp;$AB93,$G93),IF(OR(BN$3=$D93,BN$3=$AC93,BN$3=$AE93),"",IF(BN$3=$AD93,$F93&amp;"R",BN92))))</f>
        <v/>
      </c>
      <c r="BO93" s="11" t="str">
        <f aca="false">IF($P93=0,BO92,IF(BO$3=$E93,IF($AA93=1,$F93&amp;$AB93,$G93),IF(OR(BO$3=$D93,BO$3=$AC93,BO$3=$AE93),"",IF(BO$3=$AD93,$F93&amp;"R",BO92))))</f>
        <v/>
      </c>
      <c r="BP93" s="11" t="str">
        <f aca="false">IF($P93=0,BP92,IF(BP$3=$E93,IF($AA93=1,$F93&amp;$AB93,$G93),IF(OR(BP$3=$D93,BP$3=$AC93,BP$3=$AE93),"",IF(BP$3=$AD93,$F93&amp;"R",BP92))))</f>
        <v/>
      </c>
      <c r="BQ93" s="11" t="str">
        <f aca="false">IF($P93=0,BQ92,IF(BQ$3=$E93,IF($AA93=1,$F93&amp;$AB93,$G93),IF(OR(BQ$3=$D93,BQ$3=$AC93,BQ$3=$AE93),"",IF(BQ$3=$AD93,$F93&amp;"R",BQ92))))</f>
        <v/>
      </c>
      <c r="BR93" s="11" t="str">
        <f aca="false">IF($P93=0,BR92,IF(BR$3=$E93,IF($AA93=1,$F93&amp;$AB93,$G93),IF(OR(BR$3=$D93,BR$3=$AC93,BR$3=$AE93),"",IF(BR$3=$AD93,$F93&amp;"R",BR92))))</f>
        <v/>
      </c>
      <c r="BS93" s="11" t="str">
        <f aca="false">IF($P93=0,BS92,IF(BS$3=$E93,IF($AA93=1,$F93&amp;$AB93,$G93),IF(OR(BS$3=$D93,BS$3=$AC93,BS$3=$AE93),"",IF(BS$3=$AD93,$F93&amp;"R",BS92))))</f>
        <v/>
      </c>
      <c r="BT93" s="11" t="str">
        <f aca="false">IF($P93=0,BT92,IF(BT$3=$E93,IF($AA93=1,$F93&amp;$AB93,$G93),IF(OR(BT$3=$D93,BT$3=$AC93,BT$3=$AE93),"",IF(BT$3=$AD93,$F93&amp;"R",BT92))))</f>
        <v/>
      </c>
      <c r="BU93" s="11" t="str">
        <f aca="false">IF($P93=0,BU92,IF(BU$3=$E93,IF($AA93=1,$F93&amp;$AB93,$G93),IF(OR(BU$3=$D93,BU$3=$AC93,BU$3=$AE93),"",IF(BU$3=$AD93,$F93&amp;"R",BU92))))</f>
        <v/>
      </c>
      <c r="BV93" s="11" t="str">
        <f aca="false">IF($P93=0,BV92,IF(BV$3=$E93,IF($AA93=1,$F93&amp;$AB93,$G93),IF(OR(BV$3=$D93,BV$3=$AC93,BV$3=$AE93),"",IF(BV$3=$AD93,$F93&amp;"R",BV92))))</f>
        <v/>
      </c>
      <c r="BW93" s="11" t="str">
        <f aca="false">IF($P93=0,BW92,IF(BW$3=$E93,IF($AA93=1,$F93&amp;$AB93,$G93),IF(OR(BW$3=$D93,BW$3=$AC93,BW$3=$AE93),"",IF(BW$3=$AD93,$F93&amp;"R",BW92))))</f>
        <v/>
      </c>
      <c r="BX93" s="11" t="str">
        <f aca="false">IF($P93=0,BX92,IF(BX$3=$E93,IF($AA93=1,$F93&amp;$AB93,$G93),IF(OR(BX$3=$D93,BX$3=$AC93,BX$3=$AE93),"",IF(BX$3=$AD93,$F93&amp;"R",BX92))))</f>
        <v/>
      </c>
      <c r="BY93" s="11" t="str">
        <f aca="false">IF($P93=0,BY92,IF(BY$3=$E93,IF($AA93=1,$F93&amp;$AB93,$G93),IF(OR(BY$3=$D93,BY$3=$AC93,BY$3=$AE93),"",IF(BY$3=$AD93,$F93&amp;"R",BY92))))</f>
        <v/>
      </c>
      <c r="BZ93" s="11" t="str">
        <f aca="false">IF($P93=0,BZ92,IF(BZ$3=$E93,IF($AA93=1,$F93&amp;$AB93,$G93),IF(OR(BZ$3=$D93,BZ$3=$AC93,BZ$3=$AE93),"",IF(BZ$3=$AD93,$F93&amp;"R",BZ92))))</f>
        <v/>
      </c>
      <c r="CA93" s="11" t="str">
        <f aca="false">IF($P93=0,CA92,IF(CA$3=$E93,IF($AA93=1,$F93&amp;$AB93,$G93),IF(OR(CA$3=$D93,CA$3=$AC93,CA$3=$AE93),"",IF(CA$3=$AD93,$F93&amp;"R",CA92))))</f>
        <v/>
      </c>
      <c r="CB93" s="11" t="str">
        <f aca="false">IF($P93=0,CB92,IF(CB$3=$E93,IF($AA93=1,$F93&amp;$AB93,$G93),IF(OR(CB$3=$D93,CB$3=$AC93,CB$3=$AE93),"",IF(CB$3=$AD93,$F93&amp;"R",CB92))))</f>
        <v/>
      </c>
      <c r="CC93" s="11" t="str">
        <f aca="false">IF($P93=0,CC92,IF(CC$3=$E93,IF($AA93=1,$F93&amp;$AB93,$G93),IF(OR(CC$3=$D93,CC$3=$AC93,CC$3=$AE93),"",IF(CC$3=$AD93,$F93&amp;"R",CC92))))</f>
        <v/>
      </c>
      <c r="CD93" s="11" t="str">
        <f aca="false">IF($P93=0,CD92,IF(CD$3=$E93,IF($AA93=1,$F93&amp;$AB93,$G93),IF(OR(CD$3=$D93,CD$3=$AC93,CD$3=$AE93),"",IF(CD$3=$AD93,$F93&amp;"R",CD92))))</f>
        <v>bP</v>
      </c>
      <c r="CE93" s="11" t="str">
        <f aca="false">IF($P93=0,CE92,IF(CE$3=$E93,IF($AA93=1,$F93&amp;$AB93,$G93),IF(OR(CE$3=$D93,CE$3=$AC93,CE$3=$AE93),"",IF(CE$3=$AD93,$F93&amp;"R",CE92))))</f>
        <v>bP</v>
      </c>
      <c r="CF93" s="11" t="str">
        <f aca="false">IF($P93=0,CF92,IF(CF$3=$E93,IF($AA93=1,$F93&amp;$AB93,$G93),IF(OR(CF$3=$D93,CF$3=$AC93,CF$3=$AE93),"",IF(CF$3=$AD93,$F93&amp;"R",CF92))))</f>
        <v>bP</v>
      </c>
      <c r="CG93" s="11" t="str">
        <f aca="false">IF($P93=0,CG92,IF(CG$3=$E93,IF($AA93=1,$F93&amp;$AB93,$G93),IF(OR(CG$3=$D93,CG$3=$AC93,CG$3=$AE93),"",IF(CG$3=$AD93,$F93&amp;"R",CG92))))</f>
        <v>bP</v>
      </c>
      <c r="CH93" s="11" t="str">
        <f aca="false">IF($P93=0,CH92,IF(CH$3=$E93,IF($AA93=1,$F93&amp;$AB93,$G93),IF(OR(CH$3=$D93,CH$3=$AC93,CH$3=$AE93),"",IF(CH$3=$AD93,$F93&amp;"R",CH92))))</f>
        <v>bP</v>
      </c>
      <c r="CI93" s="11" t="str">
        <f aca="false">IF($P93=0,CI92,IF(CI$3=$E93,IF($AA93=1,$F93&amp;$AB93,$G93),IF(OR(CI$3=$D93,CI$3=$AC93,CI$3=$AE93),"",IF(CI$3=$AD93,$F93&amp;"R",CI92))))</f>
        <v>bP</v>
      </c>
      <c r="CJ93" s="11" t="str">
        <f aca="false">IF($P93=0,CJ92,IF(CJ$3=$E93,IF($AA93=1,$F93&amp;$AB93,$G93),IF(OR(CJ$3=$D93,CJ$3=$AC93,CJ$3=$AE93),"",IF(CJ$3=$AD93,$F93&amp;"R",CJ92))))</f>
        <v>bP</v>
      </c>
      <c r="CK93" s="11" t="str">
        <f aca="false">IF($P93=0,CK92,IF(CK$3=$E93,IF($AA93=1,$F93&amp;$AB93,$G93),IF(OR(CK$3=$D93,CK$3=$AC93,CK$3=$AE93),"",IF(CK$3=$AD93,$F93&amp;"R",CK92))))</f>
        <v>bP</v>
      </c>
      <c r="CL93" s="11" t="str">
        <f aca="false">IF($P93=0,CL92,IF(CL$3=$E93,IF($AA93=1,$F93&amp;$AB93,$G93),IF(OR(CL$3=$D93,CL$3=$AC93,CL$3=$AE93),"",IF(CL$3=$AD93,$F93&amp;"R",CL92))))</f>
        <v>bR</v>
      </c>
      <c r="CM93" s="11" t="str">
        <f aca="false">IF($P93=0,CM92,IF(CM$3=$E93,IF($AA93=1,$F93&amp;$AB93,$G93),IF(OR(CM$3=$D93,CM$3=$AC93,CM$3=$AE93),"",IF(CM$3=$AD93,$F93&amp;"R",CM92))))</f>
        <v>bN</v>
      </c>
      <c r="CN93" s="11" t="str">
        <f aca="false">IF($P93=0,CN92,IF(CN$3=$E93,IF($AA93=1,$F93&amp;$AB93,$G93),IF(OR(CN$3=$D93,CN$3=$AC93,CN$3=$AE93),"",IF(CN$3=$AD93,$F93&amp;"R",CN92))))</f>
        <v>bB</v>
      </c>
      <c r="CO93" s="11" t="str">
        <f aca="false">IF($P93=0,CO92,IF(CO$3=$E93,IF($AA93=1,$F93&amp;$AB93,$G93),IF(OR(CO$3=$D93,CO$3=$AC93,CO$3=$AE93),"",IF(CO$3=$AD93,$F93&amp;"R",CO92))))</f>
        <v>bQ</v>
      </c>
      <c r="CP93" s="11" t="str">
        <f aca="false">IF($P93=0,CP92,IF(CP$3=$E93,IF($AA93=1,$F93&amp;$AB93,$G93),IF(OR(CP$3=$D93,CP$3=$AC93,CP$3=$AE93),"",IF(CP$3=$AD93,$F93&amp;"R",CP92))))</f>
        <v>bK</v>
      </c>
      <c r="CQ93" s="11" t="str">
        <f aca="false">IF($P93=0,CQ92,IF(CQ$3=$E93,IF($AA93=1,$F93&amp;$AB93,$G93),IF(OR(CQ$3=$D93,CQ$3=$AC93,CQ$3=$AE93),"",IF(CQ$3=$AD93,$F93&amp;"R",CQ92))))</f>
        <v>bB</v>
      </c>
      <c r="CR93" s="11" t="str">
        <f aca="false">IF($P93=0,CR92,IF(CR$3=$E93,IF($AA93=1,$F93&amp;$AB93,$G93),IF(OR(CR$3=$D93,CR$3=$AC93,CR$3=$AE93),"",IF(CR$3=$AD93,$F93&amp;"R",CR92))))</f>
        <v>bN</v>
      </c>
      <c r="CS93" s="11" t="str">
        <f aca="false">IF($P93=0,CS92,IF(CS$3=$E93,IF($AA93=1,$F93&amp;$AB93,$G93),IF(OR(CS$3=$D93,CS$3=$AC93,CS$3=$AE93),"",IF(CS$3=$AD93,$F93&amp;"R",CS92))))</f>
        <v>bR</v>
      </c>
      <c r="CT93" s="11"/>
      <c r="CU93" s="11"/>
      <c r="CV93" s="11"/>
    </row>
    <row r="94" customFormat="false" ht="15" hidden="false" customHeight="false" outlineLevel="0" collapsed="false">
      <c r="A94" s="11" t="n">
        <v>89</v>
      </c>
      <c r="B94" s="11" t="str">
        <f aca="false">IF(Chess!$L$98="","",Chess!$L$98&amp;"")</f>
        <v/>
      </c>
      <c r="C94" s="11" t="str">
        <f aca="false">LOWER(SUBSTITUTE(SUBSTITUTE(SUBSTITUTE(SUBSTITUTE(TRIM($B94),"-",""),"=","")," ",""),"x",""))</f>
        <v/>
      </c>
      <c r="D94" s="11" t="n">
        <f aca="false">IF(LEN($C94)&lt;4,0,IFERROR(IF(AND(CODE(MID($C94,1,1))&gt;=97,CODE(MID($C94,1,1))&lt;=104,VALUE(MID($C94,2,1))&gt;=1,VALUE(MID($C94,2,1))&lt;=8),(VALUE(MID($C94,2,1))-1)*8+CODE(MID($C94,1,1))-96,0),0))</f>
        <v>0</v>
      </c>
      <c r="E94" s="11" t="n">
        <f aca="false">IF(LEN($C94)&lt;4,0,IFERROR(IF(AND(CODE(MID($C94,3,1))&gt;=97,CODE(MID($C94,3,1))&lt;=104,VALUE(MID($C94,4,1))&gt;=1,VALUE(MID($C94,4,1))&lt;=8),(VALUE(MID($C94,4,1))-1)*8+CODE(MID($C94,3,1))-96,0),0))</f>
        <v>0</v>
      </c>
      <c r="F94" s="11" t="str">
        <f aca="false">IF(MOD(SUM($P$5:$P93),2)=0,"w","b")</f>
        <v>w</v>
      </c>
      <c r="G94" s="11" t="str">
        <f aca="false">IF($D94=0,"",INDEX($AH93:$CS93,1,$D94)&amp;"")</f>
        <v/>
      </c>
      <c r="H94" s="11" t="str">
        <f aca="false">IF($E94=0,"",INDEX($AH93:$CS93,1,$E94)&amp;"")</f>
        <v/>
      </c>
      <c r="I94" s="11" t="n">
        <f aca="false">IF(OR($D94=0,$E94=0),0,MOD($E94-1,8)-MOD($D94-1,8))</f>
        <v>0</v>
      </c>
      <c r="J94" s="11" t="n">
        <f aca="false">IF(OR($D94=0,$E94=0),0,INT(($E94-1)/8)-INT(($D94-1)/8))</f>
        <v>0</v>
      </c>
      <c r="K94" s="11" t="str">
        <f aca="false">IF($G94="","",RIGHT($G94,1))</f>
        <v/>
      </c>
      <c r="L94" s="11" t="n">
        <f aca="false">IF(OR($D94=0,$E94=0),0,SUMPRODUCT(($AH$3:$CS$3&gt;MIN($D94,$E94))*($AH$3:$CS$3&lt;MAX($D94,$E94))*(MOD($AH$3:$CS$3-MIN($D94,$E94),MAX(1,ABS(SIGN($J94)*8+SIGN($I94))))=0)*($AH93:$CS93&lt;&gt;"")))</f>
        <v>0</v>
      </c>
      <c r="M94" s="11" t="n">
        <f aca="false">IF($K94&lt;&gt;"K",0,IFERROR(--AND($J94=0,ABS($I94)=2,$D94=IF($F94="w",5,61),IF($F94="w",$S93,$V93)=0,IF($I94=2,AND(IF($F94="w",$U93,$X93)=0,INDEX($AH93:$CS93,1,$D94+1)&amp;""="",INDEX($AH93:$CS93,1,$D94+2)&amp;""=""),AND(IF($F94="w",$T93,$W93)=0,INDEX($AH93:$CS93,1,$D94-1)&amp;""="",INDEX($AH93:$CS93,1,$D94-2)&amp;""="",INDEX($AH93:$CS93,1,$D94-3)&amp;""=""))),0))</f>
        <v>0</v>
      </c>
      <c r="N94" s="11" t="n">
        <f aca="false">IF($K94&lt;&gt;"P",0,IFERROR(--OR(AND($I94=0,$J94=IF($F94="w",1,-1),$H94=""),AND($I94=0,$J94=2*IF($F94="w",1,-1),$H94="",INT(($D94-1)/8)=IF($F94="w",1,6),INDEX($AH93:$CS93,1,MAX(1,MIN(64,$D94+8*IF($F94="w",1,-1))))&amp;""=""),AND(ABS($I94)=1,$J94=IF($F94="w",1,-1),$H94&lt;&gt;""),AND(ABS($I94)=1,$J94=IF($F94="w",1,-1),$H94="",$R93&gt;0,$E94=$R93)),0))</f>
        <v>0</v>
      </c>
      <c r="O94" s="11" t="n">
        <f aca="false">IF(OR($D94=0,$E94=0,$G94=""),0,IF($K94="N",--OR(AND(ABS($I94)=1,ABS($J94)=2),AND(ABS($I94)=2,ABS($J94)=1)),IF($K94="B",--AND(ABS($I94)=ABS($J94),$I94&lt;&gt;0,$L94=0),IF($K94="R",--AND(OR($I94=0,$J94=0),OR($I94&lt;&gt;0,$J94&lt;&gt;0),$L94=0),IF($K94="Q",--AND(OR(AND(ABS($I94)=ABS($J94),$I94&lt;&gt;0),AND(OR($I94=0,$J94=0),OR($I94&lt;&gt;0,$J94&lt;&gt;0))),$L94=0),IF($K94="K",--OR(MAX(ABS($I94),ABS($J94))=1,$M94=1),$N94))))))</f>
        <v>0</v>
      </c>
      <c r="P94" s="11" t="n">
        <f aca="false">IF($Q94="OK",1,0)</f>
        <v>0</v>
      </c>
      <c r="Q94" s="11" t="str">
        <f aca="false">IF($B94="","",IF(OR(COUNTIF($AH93:$CS93,"wK")=0,COUNTIF($AH93:$CS93,"bK")=0),"Game is over",IF(OR($D94=0,$E94=0),"Use the format e2e4",IF($G94="","No piece on that square",IF(LEFT($G94,1)&lt;&gt;$F94,"Not your piece ("&amp;IF($F94="w","White","Black")&amp;" to move)",IF($D94=$E94,"Piece must move",IF(AND($H94&lt;&gt;"",LEFT($H94,1)=$F94),"Cannot capture your own piece",IF($O94=0,"Illegal move for that piece (or path blocked)","OK"))))))))</f>
        <v/>
      </c>
      <c r="R94" s="11" t="n">
        <f aca="false">IF($P94=1,IF(AND($K94="P",ABS($J94)=2),($D94+$E94)/2,0),$R93)</f>
        <v>0</v>
      </c>
      <c r="S94" s="12" t="b">
        <f aca="false">--OR($S93=1,AND($P94=1,OR($D94=5,$E94=5)))</f>
        <v>0</v>
      </c>
      <c r="T94" s="12" t="b">
        <f aca="false">--OR($T93=1,AND($P94=1,OR($D94=1,$E94=1)))</f>
        <v>0</v>
      </c>
      <c r="U94" s="12" t="b">
        <f aca="false">--OR($U93=1,AND($P94=1,OR($D94=8,$E94=8)))</f>
        <v>0</v>
      </c>
      <c r="V94" s="12" t="b">
        <f aca="false">--OR($V93=1,AND($P94=1,OR($D94=61,$E94=61)))</f>
        <v>0</v>
      </c>
      <c r="W94" s="12" t="b">
        <f aca="false">--OR($W93=1,AND($P94=1,OR($D94=57,$E94=57)))</f>
        <v>0</v>
      </c>
      <c r="X94" s="12" t="b">
        <f aca="false">--OR($X93=1,AND($P94=1,OR($D94=64,$E94=64)))</f>
        <v>0</v>
      </c>
      <c r="Y94" s="12" t="b">
        <f aca="false">--AND($P94=1,$K94="K",ABS($I94)=2)</f>
        <v>0</v>
      </c>
      <c r="Z94" s="12" t="b">
        <f aca="false">--AND($P94=1,$K94="P",ABS($I94)=1,$H94="")</f>
        <v>0</v>
      </c>
      <c r="AA94" s="12" t="b">
        <f aca="false">--AND($P94=1,$K94="P",INT(($E94-1)/8)=IF($F94="w",7,0))</f>
        <v>0</v>
      </c>
      <c r="AB94" s="11" t="str">
        <f aca="false">IF(LEN($C94)&gt;=5,IF(ISNUMBER(FIND(MID($C94,5,1),"qrbn")),UPPER(MID($C94,5,1)),"Q"),"Q")</f>
        <v>Q</v>
      </c>
      <c r="AC94" s="11" t="n">
        <f aca="false">IF($Y94=1,IF($I94=2,$D94+3,$D94-4),0)</f>
        <v>0</v>
      </c>
      <c r="AD94" s="11" t="n">
        <f aca="false">IF($Y94=1,IF($I94=2,$D94+1,$D94-1),0)</f>
        <v>0</v>
      </c>
      <c r="AE94" s="11" t="n">
        <f aca="false">IF($Z94=1,$E94-8*IF($F94="w",1,-1),0)</f>
        <v>0</v>
      </c>
      <c r="AF94" s="11" t="str">
        <f aca="false">IF($B94="","",IF($P94=1,LOWER(INDEX($CV$2:$CV$13,MATCH($G94,$CU$2:$CU$13,0)))&amp;" "&amp;MID("abcdefgh",MOD($D94-1,8)+1,1)&amp;(INT(($D94-1)/8)+1)&amp;"→"&amp;MID("abcdefgh",MOD($E94-1,8)+1,1)&amp;(INT(($E94-1)/8)+1)&amp;IF(OR($H94&lt;&gt;"",$Z94=1)," ×","")&amp;IF($Y94=1," castles","")&amp;IF($Z94=1," e.p.","")&amp;IF($AA94=1," =" &amp;LOWER(INDEX($CV$2:$CV$13,MATCH($F94&amp;$AB94,$CU$2:$CU$13,0))),""),"X "&amp;$Q94))</f>
        <v/>
      </c>
      <c r="AG94" s="11"/>
      <c r="AH94" s="11" t="str">
        <f aca="false">IF($P94=0,AH93,IF(AH$3=$E94,IF($AA94=1,$F94&amp;$AB94,$G94),IF(OR(AH$3=$D94,AH$3=$AC94,AH$3=$AE94),"",IF(AH$3=$AD94,$F94&amp;"R",AH93))))</f>
        <v>wR</v>
      </c>
      <c r="AI94" s="11" t="str">
        <f aca="false">IF($P94=0,AI93,IF(AI$3=$E94,IF($AA94=1,$F94&amp;$AB94,$G94),IF(OR(AI$3=$D94,AI$3=$AC94,AI$3=$AE94),"",IF(AI$3=$AD94,$F94&amp;"R",AI93))))</f>
        <v>wN</v>
      </c>
      <c r="AJ94" s="11" t="str">
        <f aca="false">IF($P94=0,AJ93,IF(AJ$3=$E94,IF($AA94=1,$F94&amp;$AB94,$G94),IF(OR(AJ$3=$D94,AJ$3=$AC94,AJ$3=$AE94),"",IF(AJ$3=$AD94,$F94&amp;"R",AJ93))))</f>
        <v>wB</v>
      </c>
      <c r="AK94" s="11" t="str">
        <f aca="false">IF($P94=0,AK93,IF(AK$3=$E94,IF($AA94=1,$F94&amp;$AB94,$G94),IF(OR(AK$3=$D94,AK$3=$AC94,AK$3=$AE94),"",IF(AK$3=$AD94,$F94&amp;"R",AK93))))</f>
        <v>wQ</v>
      </c>
      <c r="AL94" s="11" t="str">
        <f aca="false">IF($P94=0,AL93,IF(AL$3=$E94,IF($AA94=1,$F94&amp;$AB94,$G94),IF(OR(AL$3=$D94,AL$3=$AC94,AL$3=$AE94),"",IF(AL$3=$AD94,$F94&amp;"R",AL93))))</f>
        <v>wK</v>
      </c>
      <c r="AM94" s="11" t="str">
        <f aca="false">IF($P94=0,AM93,IF(AM$3=$E94,IF($AA94=1,$F94&amp;$AB94,$G94),IF(OR(AM$3=$D94,AM$3=$AC94,AM$3=$AE94),"",IF(AM$3=$AD94,$F94&amp;"R",AM93))))</f>
        <v>wB</v>
      </c>
      <c r="AN94" s="11" t="str">
        <f aca="false">IF($P94=0,AN93,IF(AN$3=$E94,IF($AA94=1,$F94&amp;$AB94,$G94),IF(OR(AN$3=$D94,AN$3=$AC94,AN$3=$AE94),"",IF(AN$3=$AD94,$F94&amp;"R",AN93))))</f>
        <v>wN</v>
      </c>
      <c r="AO94" s="11" t="str">
        <f aca="false">IF($P94=0,AO93,IF(AO$3=$E94,IF($AA94=1,$F94&amp;$AB94,$G94),IF(OR(AO$3=$D94,AO$3=$AC94,AO$3=$AE94),"",IF(AO$3=$AD94,$F94&amp;"R",AO93))))</f>
        <v>wR</v>
      </c>
      <c r="AP94" s="11" t="str">
        <f aca="false">IF($P94=0,AP93,IF(AP$3=$E94,IF($AA94=1,$F94&amp;$AB94,$G94),IF(OR(AP$3=$D94,AP$3=$AC94,AP$3=$AE94),"",IF(AP$3=$AD94,$F94&amp;"R",AP93))))</f>
        <v>wP</v>
      </c>
      <c r="AQ94" s="11" t="str">
        <f aca="false">IF($P94=0,AQ93,IF(AQ$3=$E94,IF($AA94=1,$F94&amp;$AB94,$G94),IF(OR(AQ$3=$D94,AQ$3=$AC94,AQ$3=$AE94),"",IF(AQ$3=$AD94,$F94&amp;"R",AQ93))))</f>
        <v>wP</v>
      </c>
      <c r="AR94" s="11" t="str">
        <f aca="false">IF($P94=0,AR93,IF(AR$3=$E94,IF($AA94=1,$F94&amp;$AB94,$G94),IF(OR(AR$3=$D94,AR$3=$AC94,AR$3=$AE94),"",IF(AR$3=$AD94,$F94&amp;"R",AR93))))</f>
        <v>wP</v>
      </c>
      <c r="AS94" s="11" t="str">
        <f aca="false">IF($P94=0,AS93,IF(AS$3=$E94,IF($AA94=1,$F94&amp;$AB94,$G94),IF(OR(AS$3=$D94,AS$3=$AC94,AS$3=$AE94),"",IF(AS$3=$AD94,$F94&amp;"R",AS93))))</f>
        <v>wP</v>
      </c>
      <c r="AT94" s="11" t="str">
        <f aca="false">IF($P94=0,AT93,IF(AT$3=$E94,IF($AA94=1,$F94&amp;$AB94,$G94),IF(OR(AT$3=$D94,AT$3=$AC94,AT$3=$AE94),"",IF(AT$3=$AD94,$F94&amp;"R",AT93))))</f>
        <v>wP</v>
      </c>
      <c r="AU94" s="11" t="str">
        <f aca="false">IF($P94=0,AU93,IF(AU$3=$E94,IF($AA94=1,$F94&amp;$AB94,$G94),IF(OR(AU$3=$D94,AU$3=$AC94,AU$3=$AE94),"",IF(AU$3=$AD94,$F94&amp;"R",AU93))))</f>
        <v>wP</v>
      </c>
      <c r="AV94" s="11" t="str">
        <f aca="false">IF($P94=0,AV93,IF(AV$3=$E94,IF($AA94=1,$F94&amp;$AB94,$G94),IF(OR(AV$3=$D94,AV$3=$AC94,AV$3=$AE94),"",IF(AV$3=$AD94,$F94&amp;"R",AV93))))</f>
        <v>wP</v>
      </c>
      <c r="AW94" s="11" t="str">
        <f aca="false">IF($P94=0,AW93,IF(AW$3=$E94,IF($AA94=1,$F94&amp;$AB94,$G94),IF(OR(AW$3=$D94,AW$3=$AC94,AW$3=$AE94),"",IF(AW$3=$AD94,$F94&amp;"R",AW93))))</f>
        <v>wP</v>
      </c>
      <c r="AX94" s="11" t="str">
        <f aca="false">IF($P94=0,AX93,IF(AX$3=$E94,IF($AA94=1,$F94&amp;$AB94,$G94),IF(OR(AX$3=$D94,AX$3=$AC94,AX$3=$AE94),"",IF(AX$3=$AD94,$F94&amp;"R",AX93))))</f>
        <v/>
      </c>
      <c r="AY94" s="11" t="str">
        <f aca="false">IF($P94=0,AY93,IF(AY$3=$E94,IF($AA94=1,$F94&amp;$AB94,$G94),IF(OR(AY$3=$D94,AY$3=$AC94,AY$3=$AE94),"",IF(AY$3=$AD94,$F94&amp;"R",AY93))))</f>
        <v/>
      </c>
      <c r="AZ94" s="11" t="str">
        <f aca="false">IF($P94=0,AZ93,IF(AZ$3=$E94,IF($AA94=1,$F94&amp;$AB94,$G94),IF(OR(AZ$3=$D94,AZ$3=$AC94,AZ$3=$AE94),"",IF(AZ$3=$AD94,$F94&amp;"R",AZ93))))</f>
        <v/>
      </c>
      <c r="BA94" s="11" t="str">
        <f aca="false">IF($P94=0,BA93,IF(BA$3=$E94,IF($AA94=1,$F94&amp;$AB94,$G94),IF(OR(BA$3=$D94,BA$3=$AC94,BA$3=$AE94),"",IF(BA$3=$AD94,$F94&amp;"R",BA93))))</f>
        <v/>
      </c>
      <c r="BB94" s="11" t="str">
        <f aca="false">IF($P94=0,BB93,IF(BB$3=$E94,IF($AA94=1,$F94&amp;$AB94,$G94),IF(OR(BB$3=$D94,BB$3=$AC94,BB$3=$AE94),"",IF(BB$3=$AD94,$F94&amp;"R",BB93))))</f>
        <v/>
      </c>
      <c r="BC94" s="11" t="str">
        <f aca="false">IF($P94=0,BC93,IF(BC$3=$E94,IF($AA94=1,$F94&amp;$AB94,$G94),IF(OR(BC$3=$D94,BC$3=$AC94,BC$3=$AE94),"",IF(BC$3=$AD94,$F94&amp;"R",BC93))))</f>
        <v/>
      </c>
      <c r="BD94" s="11" t="str">
        <f aca="false">IF($P94=0,BD93,IF(BD$3=$E94,IF($AA94=1,$F94&amp;$AB94,$G94),IF(OR(BD$3=$D94,BD$3=$AC94,BD$3=$AE94),"",IF(BD$3=$AD94,$F94&amp;"R",BD93))))</f>
        <v/>
      </c>
      <c r="BE94" s="11" t="str">
        <f aca="false">IF($P94=0,BE93,IF(BE$3=$E94,IF($AA94=1,$F94&amp;$AB94,$G94),IF(OR(BE$3=$D94,BE$3=$AC94,BE$3=$AE94),"",IF(BE$3=$AD94,$F94&amp;"R",BE93))))</f>
        <v/>
      </c>
      <c r="BF94" s="11" t="str">
        <f aca="false">IF($P94=0,BF93,IF(BF$3=$E94,IF($AA94=1,$F94&amp;$AB94,$G94),IF(OR(BF$3=$D94,BF$3=$AC94,BF$3=$AE94),"",IF(BF$3=$AD94,$F94&amp;"R",BF93))))</f>
        <v/>
      </c>
      <c r="BG94" s="11" t="str">
        <f aca="false">IF($P94=0,BG93,IF(BG$3=$E94,IF($AA94=1,$F94&amp;$AB94,$G94),IF(OR(BG$3=$D94,BG$3=$AC94,BG$3=$AE94),"",IF(BG$3=$AD94,$F94&amp;"R",BG93))))</f>
        <v/>
      </c>
      <c r="BH94" s="11" t="str">
        <f aca="false">IF($P94=0,BH93,IF(BH$3=$E94,IF($AA94=1,$F94&amp;$AB94,$G94),IF(OR(BH$3=$D94,BH$3=$AC94,BH$3=$AE94),"",IF(BH$3=$AD94,$F94&amp;"R",BH93))))</f>
        <v/>
      </c>
      <c r="BI94" s="11" t="str">
        <f aca="false">IF($P94=0,BI93,IF(BI$3=$E94,IF($AA94=1,$F94&amp;$AB94,$G94),IF(OR(BI$3=$D94,BI$3=$AC94,BI$3=$AE94),"",IF(BI$3=$AD94,$F94&amp;"R",BI93))))</f>
        <v/>
      </c>
      <c r="BJ94" s="11" t="str">
        <f aca="false">IF($P94=0,BJ93,IF(BJ$3=$E94,IF($AA94=1,$F94&amp;$AB94,$G94),IF(OR(BJ$3=$D94,BJ$3=$AC94,BJ$3=$AE94),"",IF(BJ$3=$AD94,$F94&amp;"R",BJ93))))</f>
        <v/>
      </c>
      <c r="BK94" s="11" t="str">
        <f aca="false">IF($P94=0,BK93,IF(BK$3=$E94,IF($AA94=1,$F94&amp;$AB94,$G94),IF(OR(BK$3=$D94,BK$3=$AC94,BK$3=$AE94),"",IF(BK$3=$AD94,$F94&amp;"R",BK93))))</f>
        <v/>
      </c>
      <c r="BL94" s="11" t="str">
        <f aca="false">IF($P94=0,BL93,IF(BL$3=$E94,IF($AA94=1,$F94&amp;$AB94,$G94),IF(OR(BL$3=$D94,BL$3=$AC94,BL$3=$AE94),"",IF(BL$3=$AD94,$F94&amp;"R",BL93))))</f>
        <v/>
      </c>
      <c r="BM94" s="11" t="str">
        <f aca="false">IF($P94=0,BM93,IF(BM$3=$E94,IF($AA94=1,$F94&amp;$AB94,$G94),IF(OR(BM$3=$D94,BM$3=$AC94,BM$3=$AE94),"",IF(BM$3=$AD94,$F94&amp;"R",BM93))))</f>
        <v/>
      </c>
      <c r="BN94" s="11" t="str">
        <f aca="false">IF($P94=0,BN93,IF(BN$3=$E94,IF($AA94=1,$F94&amp;$AB94,$G94),IF(OR(BN$3=$D94,BN$3=$AC94,BN$3=$AE94),"",IF(BN$3=$AD94,$F94&amp;"R",BN93))))</f>
        <v/>
      </c>
      <c r="BO94" s="11" t="str">
        <f aca="false">IF($P94=0,BO93,IF(BO$3=$E94,IF($AA94=1,$F94&amp;$AB94,$G94),IF(OR(BO$3=$D94,BO$3=$AC94,BO$3=$AE94),"",IF(BO$3=$AD94,$F94&amp;"R",BO93))))</f>
        <v/>
      </c>
      <c r="BP94" s="11" t="str">
        <f aca="false">IF($P94=0,BP93,IF(BP$3=$E94,IF($AA94=1,$F94&amp;$AB94,$G94),IF(OR(BP$3=$D94,BP$3=$AC94,BP$3=$AE94),"",IF(BP$3=$AD94,$F94&amp;"R",BP93))))</f>
        <v/>
      </c>
      <c r="BQ94" s="11" t="str">
        <f aca="false">IF($P94=0,BQ93,IF(BQ$3=$E94,IF($AA94=1,$F94&amp;$AB94,$G94),IF(OR(BQ$3=$D94,BQ$3=$AC94,BQ$3=$AE94),"",IF(BQ$3=$AD94,$F94&amp;"R",BQ93))))</f>
        <v/>
      </c>
      <c r="BR94" s="11" t="str">
        <f aca="false">IF($P94=0,BR93,IF(BR$3=$E94,IF($AA94=1,$F94&amp;$AB94,$G94),IF(OR(BR$3=$D94,BR$3=$AC94,BR$3=$AE94),"",IF(BR$3=$AD94,$F94&amp;"R",BR93))))</f>
        <v/>
      </c>
      <c r="BS94" s="11" t="str">
        <f aca="false">IF($P94=0,BS93,IF(BS$3=$E94,IF($AA94=1,$F94&amp;$AB94,$G94),IF(OR(BS$3=$D94,BS$3=$AC94,BS$3=$AE94),"",IF(BS$3=$AD94,$F94&amp;"R",BS93))))</f>
        <v/>
      </c>
      <c r="BT94" s="11" t="str">
        <f aca="false">IF($P94=0,BT93,IF(BT$3=$E94,IF($AA94=1,$F94&amp;$AB94,$G94),IF(OR(BT$3=$D94,BT$3=$AC94,BT$3=$AE94),"",IF(BT$3=$AD94,$F94&amp;"R",BT93))))</f>
        <v/>
      </c>
      <c r="BU94" s="11" t="str">
        <f aca="false">IF($P94=0,BU93,IF(BU$3=$E94,IF($AA94=1,$F94&amp;$AB94,$G94),IF(OR(BU$3=$D94,BU$3=$AC94,BU$3=$AE94),"",IF(BU$3=$AD94,$F94&amp;"R",BU93))))</f>
        <v/>
      </c>
      <c r="BV94" s="11" t="str">
        <f aca="false">IF($P94=0,BV93,IF(BV$3=$E94,IF($AA94=1,$F94&amp;$AB94,$G94),IF(OR(BV$3=$D94,BV$3=$AC94,BV$3=$AE94),"",IF(BV$3=$AD94,$F94&amp;"R",BV93))))</f>
        <v/>
      </c>
      <c r="BW94" s="11" t="str">
        <f aca="false">IF($P94=0,BW93,IF(BW$3=$E94,IF($AA94=1,$F94&amp;$AB94,$G94),IF(OR(BW$3=$D94,BW$3=$AC94,BW$3=$AE94),"",IF(BW$3=$AD94,$F94&amp;"R",BW93))))</f>
        <v/>
      </c>
      <c r="BX94" s="11" t="str">
        <f aca="false">IF($P94=0,BX93,IF(BX$3=$E94,IF($AA94=1,$F94&amp;$AB94,$G94),IF(OR(BX$3=$D94,BX$3=$AC94,BX$3=$AE94),"",IF(BX$3=$AD94,$F94&amp;"R",BX93))))</f>
        <v/>
      </c>
      <c r="BY94" s="11" t="str">
        <f aca="false">IF($P94=0,BY93,IF(BY$3=$E94,IF($AA94=1,$F94&amp;$AB94,$G94),IF(OR(BY$3=$D94,BY$3=$AC94,BY$3=$AE94),"",IF(BY$3=$AD94,$F94&amp;"R",BY93))))</f>
        <v/>
      </c>
      <c r="BZ94" s="11" t="str">
        <f aca="false">IF($P94=0,BZ93,IF(BZ$3=$E94,IF($AA94=1,$F94&amp;$AB94,$G94),IF(OR(BZ$3=$D94,BZ$3=$AC94,BZ$3=$AE94),"",IF(BZ$3=$AD94,$F94&amp;"R",BZ93))))</f>
        <v/>
      </c>
      <c r="CA94" s="11" t="str">
        <f aca="false">IF($P94=0,CA93,IF(CA$3=$E94,IF($AA94=1,$F94&amp;$AB94,$G94),IF(OR(CA$3=$D94,CA$3=$AC94,CA$3=$AE94),"",IF(CA$3=$AD94,$F94&amp;"R",CA93))))</f>
        <v/>
      </c>
      <c r="CB94" s="11" t="str">
        <f aca="false">IF($P94=0,CB93,IF(CB$3=$E94,IF($AA94=1,$F94&amp;$AB94,$G94),IF(OR(CB$3=$D94,CB$3=$AC94,CB$3=$AE94),"",IF(CB$3=$AD94,$F94&amp;"R",CB93))))</f>
        <v/>
      </c>
      <c r="CC94" s="11" t="str">
        <f aca="false">IF($P94=0,CC93,IF(CC$3=$E94,IF($AA94=1,$F94&amp;$AB94,$G94),IF(OR(CC$3=$D94,CC$3=$AC94,CC$3=$AE94),"",IF(CC$3=$AD94,$F94&amp;"R",CC93))))</f>
        <v/>
      </c>
      <c r="CD94" s="11" t="str">
        <f aca="false">IF($P94=0,CD93,IF(CD$3=$E94,IF($AA94=1,$F94&amp;$AB94,$G94),IF(OR(CD$3=$D94,CD$3=$AC94,CD$3=$AE94),"",IF(CD$3=$AD94,$F94&amp;"R",CD93))))</f>
        <v>bP</v>
      </c>
      <c r="CE94" s="11" t="str">
        <f aca="false">IF($P94=0,CE93,IF(CE$3=$E94,IF($AA94=1,$F94&amp;$AB94,$G94),IF(OR(CE$3=$D94,CE$3=$AC94,CE$3=$AE94),"",IF(CE$3=$AD94,$F94&amp;"R",CE93))))</f>
        <v>bP</v>
      </c>
      <c r="CF94" s="11" t="str">
        <f aca="false">IF($P94=0,CF93,IF(CF$3=$E94,IF($AA94=1,$F94&amp;$AB94,$G94),IF(OR(CF$3=$D94,CF$3=$AC94,CF$3=$AE94),"",IF(CF$3=$AD94,$F94&amp;"R",CF93))))</f>
        <v>bP</v>
      </c>
      <c r="CG94" s="11" t="str">
        <f aca="false">IF($P94=0,CG93,IF(CG$3=$E94,IF($AA94=1,$F94&amp;$AB94,$G94),IF(OR(CG$3=$D94,CG$3=$AC94,CG$3=$AE94),"",IF(CG$3=$AD94,$F94&amp;"R",CG93))))</f>
        <v>bP</v>
      </c>
      <c r="CH94" s="11" t="str">
        <f aca="false">IF($P94=0,CH93,IF(CH$3=$E94,IF($AA94=1,$F94&amp;$AB94,$G94),IF(OR(CH$3=$D94,CH$3=$AC94,CH$3=$AE94),"",IF(CH$3=$AD94,$F94&amp;"R",CH93))))</f>
        <v>bP</v>
      </c>
      <c r="CI94" s="11" t="str">
        <f aca="false">IF($P94=0,CI93,IF(CI$3=$E94,IF($AA94=1,$F94&amp;$AB94,$G94),IF(OR(CI$3=$D94,CI$3=$AC94,CI$3=$AE94),"",IF(CI$3=$AD94,$F94&amp;"R",CI93))))</f>
        <v>bP</v>
      </c>
      <c r="CJ94" s="11" t="str">
        <f aca="false">IF($P94=0,CJ93,IF(CJ$3=$E94,IF($AA94=1,$F94&amp;$AB94,$G94),IF(OR(CJ$3=$D94,CJ$3=$AC94,CJ$3=$AE94),"",IF(CJ$3=$AD94,$F94&amp;"R",CJ93))))</f>
        <v>bP</v>
      </c>
      <c r="CK94" s="11" t="str">
        <f aca="false">IF($P94=0,CK93,IF(CK$3=$E94,IF($AA94=1,$F94&amp;$AB94,$G94),IF(OR(CK$3=$D94,CK$3=$AC94,CK$3=$AE94),"",IF(CK$3=$AD94,$F94&amp;"R",CK93))))</f>
        <v>bP</v>
      </c>
      <c r="CL94" s="11" t="str">
        <f aca="false">IF($P94=0,CL93,IF(CL$3=$E94,IF($AA94=1,$F94&amp;$AB94,$G94),IF(OR(CL$3=$D94,CL$3=$AC94,CL$3=$AE94),"",IF(CL$3=$AD94,$F94&amp;"R",CL93))))</f>
        <v>bR</v>
      </c>
      <c r="CM94" s="11" t="str">
        <f aca="false">IF($P94=0,CM93,IF(CM$3=$E94,IF($AA94=1,$F94&amp;$AB94,$G94),IF(OR(CM$3=$D94,CM$3=$AC94,CM$3=$AE94),"",IF(CM$3=$AD94,$F94&amp;"R",CM93))))</f>
        <v>bN</v>
      </c>
      <c r="CN94" s="11" t="str">
        <f aca="false">IF($P94=0,CN93,IF(CN$3=$E94,IF($AA94=1,$F94&amp;$AB94,$G94),IF(OR(CN$3=$D94,CN$3=$AC94,CN$3=$AE94),"",IF(CN$3=$AD94,$F94&amp;"R",CN93))))</f>
        <v>bB</v>
      </c>
      <c r="CO94" s="11" t="str">
        <f aca="false">IF($P94=0,CO93,IF(CO$3=$E94,IF($AA94=1,$F94&amp;$AB94,$G94),IF(OR(CO$3=$D94,CO$3=$AC94,CO$3=$AE94),"",IF(CO$3=$AD94,$F94&amp;"R",CO93))))</f>
        <v>bQ</v>
      </c>
      <c r="CP94" s="11" t="str">
        <f aca="false">IF($P94=0,CP93,IF(CP$3=$E94,IF($AA94=1,$F94&amp;$AB94,$G94),IF(OR(CP$3=$D94,CP$3=$AC94,CP$3=$AE94),"",IF(CP$3=$AD94,$F94&amp;"R",CP93))))</f>
        <v>bK</v>
      </c>
      <c r="CQ94" s="11" t="str">
        <f aca="false">IF($P94=0,CQ93,IF(CQ$3=$E94,IF($AA94=1,$F94&amp;$AB94,$G94),IF(OR(CQ$3=$D94,CQ$3=$AC94,CQ$3=$AE94),"",IF(CQ$3=$AD94,$F94&amp;"R",CQ93))))</f>
        <v>bB</v>
      </c>
      <c r="CR94" s="11" t="str">
        <f aca="false">IF($P94=0,CR93,IF(CR$3=$E94,IF($AA94=1,$F94&amp;$AB94,$G94),IF(OR(CR$3=$D94,CR$3=$AC94,CR$3=$AE94),"",IF(CR$3=$AD94,$F94&amp;"R",CR93))))</f>
        <v>bN</v>
      </c>
      <c r="CS94" s="11" t="str">
        <f aca="false">IF($P94=0,CS93,IF(CS$3=$E94,IF($AA94=1,$F94&amp;$AB94,$G94),IF(OR(CS$3=$D94,CS$3=$AC94,CS$3=$AE94),"",IF(CS$3=$AD94,$F94&amp;"R",CS93))))</f>
        <v>bR</v>
      </c>
      <c r="CT94" s="11"/>
      <c r="CU94" s="11"/>
      <c r="CV94" s="11"/>
    </row>
    <row r="95" customFormat="false" ht="15" hidden="false" customHeight="false" outlineLevel="0" collapsed="false">
      <c r="A95" s="11" t="n">
        <v>90</v>
      </c>
      <c r="B95" s="11" t="str">
        <f aca="false">IF(Chess!$L$99="","",Chess!$L$99&amp;"")</f>
        <v/>
      </c>
      <c r="C95" s="11" t="str">
        <f aca="false">LOWER(SUBSTITUTE(SUBSTITUTE(SUBSTITUTE(SUBSTITUTE(TRIM($B95),"-",""),"=","")," ",""),"x",""))</f>
        <v/>
      </c>
      <c r="D95" s="11" t="n">
        <f aca="false">IF(LEN($C95)&lt;4,0,IFERROR(IF(AND(CODE(MID($C95,1,1))&gt;=97,CODE(MID($C95,1,1))&lt;=104,VALUE(MID($C95,2,1))&gt;=1,VALUE(MID($C95,2,1))&lt;=8),(VALUE(MID($C95,2,1))-1)*8+CODE(MID($C95,1,1))-96,0),0))</f>
        <v>0</v>
      </c>
      <c r="E95" s="11" t="n">
        <f aca="false">IF(LEN($C95)&lt;4,0,IFERROR(IF(AND(CODE(MID($C95,3,1))&gt;=97,CODE(MID($C95,3,1))&lt;=104,VALUE(MID($C95,4,1))&gt;=1,VALUE(MID($C95,4,1))&lt;=8),(VALUE(MID($C95,4,1))-1)*8+CODE(MID($C95,3,1))-96,0),0))</f>
        <v>0</v>
      </c>
      <c r="F95" s="11" t="str">
        <f aca="false">IF(MOD(SUM($P$5:$P94),2)=0,"w","b")</f>
        <v>w</v>
      </c>
      <c r="G95" s="11" t="str">
        <f aca="false">IF($D95=0,"",INDEX($AH94:$CS94,1,$D95)&amp;"")</f>
        <v/>
      </c>
      <c r="H95" s="11" t="str">
        <f aca="false">IF($E95=0,"",INDEX($AH94:$CS94,1,$E95)&amp;"")</f>
        <v/>
      </c>
      <c r="I95" s="11" t="n">
        <f aca="false">IF(OR($D95=0,$E95=0),0,MOD($E95-1,8)-MOD($D95-1,8))</f>
        <v>0</v>
      </c>
      <c r="J95" s="11" t="n">
        <f aca="false">IF(OR($D95=0,$E95=0),0,INT(($E95-1)/8)-INT(($D95-1)/8))</f>
        <v>0</v>
      </c>
      <c r="K95" s="11" t="str">
        <f aca="false">IF($G95="","",RIGHT($G95,1))</f>
        <v/>
      </c>
      <c r="L95" s="11" t="n">
        <f aca="false">IF(OR($D95=0,$E95=0),0,SUMPRODUCT(($AH$3:$CS$3&gt;MIN($D95,$E95))*($AH$3:$CS$3&lt;MAX($D95,$E95))*(MOD($AH$3:$CS$3-MIN($D95,$E95),MAX(1,ABS(SIGN($J95)*8+SIGN($I95))))=0)*($AH94:$CS94&lt;&gt;"")))</f>
        <v>0</v>
      </c>
      <c r="M95" s="11" t="n">
        <f aca="false">IF($K95&lt;&gt;"K",0,IFERROR(--AND($J95=0,ABS($I95)=2,$D95=IF($F95="w",5,61),IF($F95="w",$S94,$V94)=0,IF($I95=2,AND(IF($F95="w",$U94,$X94)=0,INDEX($AH94:$CS94,1,$D95+1)&amp;""="",INDEX($AH94:$CS94,1,$D95+2)&amp;""=""),AND(IF($F95="w",$T94,$W94)=0,INDEX($AH94:$CS94,1,$D95-1)&amp;""="",INDEX($AH94:$CS94,1,$D95-2)&amp;""="",INDEX($AH94:$CS94,1,$D95-3)&amp;""=""))),0))</f>
        <v>0</v>
      </c>
      <c r="N95" s="11" t="n">
        <f aca="false">IF($K95&lt;&gt;"P",0,IFERROR(--OR(AND($I95=0,$J95=IF($F95="w",1,-1),$H95=""),AND($I95=0,$J95=2*IF($F95="w",1,-1),$H95="",INT(($D95-1)/8)=IF($F95="w",1,6),INDEX($AH94:$CS94,1,MAX(1,MIN(64,$D95+8*IF($F95="w",1,-1))))&amp;""=""),AND(ABS($I95)=1,$J95=IF($F95="w",1,-1),$H95&lt;&gt;""),AND(ABS($I95)=1,$J95=IF($F95="w",1,-1),$H95="",$R94&gt;0,$E95=$R94)),0))</f>
        <v>0</v>
      </c>
      <c r="O95" s="11" t="n">
        <f aca="false">IF(OR($D95=0,$E95=0,$G95=""),0,IF($K95="N",--OR(AND(ABS($I95)=1,ABS($J95)=2),AND(ABS($I95)=2,ABS($J95)=1)),IF($K95="B",--AND(ABS($I95)=ABS($J95),$I95&lt;&gt;0,$L95=0),IF($K95="R",--AND(OR($I95=0,$J95=0),OR($I95&lt;&gt;0,$J95&lt;&gt;0),$L95=0),IF($K95="Q",--AND(OR(AND(ABS($I95)=ABS($J95),$I95&lt;&gt;0),AND(OR($I95=0,$J95=0),OR($I95&lt;&gt;0,$J95&lt;&gt;0))),$L95=0),IF($K95="K",--OR(MAX(ABS($I95),ABS($J95))=1,$M95=1),$N95))))))</f>
        <v>0</v>
      </c>
      <c r="P95" s="11" t="n">
        <f aca="false">IF($Q95="OK",1,0)</f>
        <v>0</v>
      </c>
      <c r="Q95" s="11" t="str">
        <f aca="false">IF($B95="","",IF(OR(COUNTIF($AH94:$CS94,"wK")=0,COUNTIF($AH94:$CS94,"bK")=0),"Game is over",IF(OR($D95=0,$E95=0),"Use the format e2e4",IF($G95="","No piece on that square",IF(LEFT($G95,1)&lt;&gt;$F95,"Not your piece ("&amp;IF($F95="w","White","Black")&amp;" to move)",IF($D95=$E95,"Piece must move",IF(AND($H95&lt;&gt;"",LEFT($H95,1)=$F95),"Cannot capture your own piece",IF($O95=0,"Illegal move for that piece (or path blocked)","OK"))))))))</f>
        <v/>
      </c>
      <c r="R95" s="11" t="n">
        <f aca="false">IF($P95=1,IF(AND($K95="P",ABS($J95)=2),($D95+$E95)/2,0),$R94)</f>
        <v>0</v>
      </c>
      <c r="S95" s="12" t="b">
        <f aca="false">--OR($S94=1,AND($P95=1,OR($D95=5,$E95=5)))</f>
        <v>0</v>
      </c>
      <c r="T95" s="12" t="b">
        <f aca="false">--OR($T94=1,AND($P95=1,OR($D95=1,$E95=1)))</f>
        <v>0</v>
      </c>
      <c r="U95" s="12" t="b">
        <f aca="false">--OR($U94=1,AND($P95=1,OR($D95=8,$E95=8)))</f>
        <v>0</v>
      </c>
      <c r="V95" s="12" t="b">
        <f aca="false">--OR($V94=1,AND($P95=1,OR($D95=61,$E95=61)))</f>
        <v>0</v>
      </c>
      <c r="W95" s="12" t="b">
        <f aca="false">--OR($W94=1,AND($P95=1,OR($D95=57,$E95=57)))</f>
        <v>0</v>
      </c>
      <c r="X95" s="12" t="b">
        <f aca="false">--OR($X94=1,AND($P95=1,OR($D95=64,$E95=64)))</f>
        <v>0</v>
      </c>
      <c r="Y95" s="12" t="b">
        <f aca="false">--AND($P95=1,$K95="K",ABS($I95)=2)</f>
        <v>0</v>
      </c>
      <c r="Z95" s="12" t="b">
        <f aca="false">--AND($P95=1,$K95="P",ABS($I95)=1,$H95="")</f>
        <v>0</v>
      </c>
      <c r="AA95" s="12" t="b">
        <f aca="false">--AND($P95=1,$K95="P",INT(($E95-1)/8)=IF($F95="w",7,0))</f>
        <v>0</v>
      </c>
      <c r="AB95" s="11" t="str">
        <f aca="false">IF(LEN($C95)&gt;=5,IF(ISNUMBER(FIND(MID($C95,5,1),"qrbn")),UPPER(MID($C95,5,1)),"Q"),"Q")</f>
        <v>Q</v>
      </c>
      <c r="AC95" s="11" t="n">
        <f aca="false">IF($Y95=1,IF($I95=2,$D95+3,$D95-4),0)</f>
        <v>0</v>
      </c>
      <c r="AD95" s="11" t="n">
        <f aca="false">IF($Y95=1,IF($I95=2,$D95+1,$D95-1),0)</f>
        <v>0</v>
      </c>
      <c r="AE95" s="11" t="n">
        <f aca="false">IF($Z95=1,$E95-8*IF($F95="w",1,-1),0)</f>
        <v>0</v>
      </c>
      <c r="AF95" s="11" t="str">
        <f aca="false">IF($B95="","",IF($P95=1,LOWER(INDEX($CV$2:$CV$13,MATCH($G95,$CU$2:$CU$13,0)))&amp;" "&amp;MID("abcdefgh",MOD($D95-1,8)+1,1)&amp;(INT(($D95-1)/8)+1)&amp;"→"&amp;MID("abcdefgh",MOD($E95-1,8)+1,1)&amp;(INT(($E95-1)/8)+1)&amp;IF(OR($H95&lt;&gt;"",$Z95=1)," ×","")&amp;IF($Y95=1," castles","")&amp;IF($Z95=1," e.p.","")&amp;IF($AA95=1," =" &amp;LOWER(INDEX($CV$2:$CV$13,MATCH($F95&amp;$AB95,$CU$2:$CU$13,0))),""),"X "&amp;$Q95))</f>
        <v/>
      </c>
      <c r="AG95" s="11"/>
      <c r="AH95" s="11" t="str">
        <f aca="false">IF($P95=0,AH94,IF(AH$3=$E95,IF($AA95=1,$F95&amp;$AB95,$G95),IF(OR(AH$3=$D95,AH$3=$AC95,AH$3=$AE95),"",IF(AH$3=$AD95,$F95&amp;"R",AH94))))</f>
        <v>wR</v>
      </c>
      <c r="AI95" s="11" t="str">
        <f aca="false">IF($P95=0,AI94,IF(AI$3=$E95,IF($AA95=1,$F95&amp;$AB95,$G95),IF(OR(AI$3=$D95,AI$3=$AC95,AI$3=$AE95),"",IF(AI$3=$AD95,$F95&amp;"R",AI94))))</f>
        <v>wN</v>
      </c>
      <c r="AJ95" s="11" t="str">
        <f aca="false">IF($P95=0,AJ94,IF(AJ$3=$E95,IF($AA95=1,$F95&amp;$AB95,$G95),IF(OR(AJ$3=$D95,AJ$3=$AC95,AJ$3=$AE95),"",IF(AJ$3=$AD95,$F95&amp;"R",AJ94))))</f>
        <v>wB</v>
      </c>
      <c r="AK95" s="11" t="str">
        <f aca="false">IF($P95=0,AK94,IF(AK$3=$E95,IF($AA95=1,$F95&amp;$AB95,$G95),IF(OR(AK$3=$D95,AK$3=$AC95,AK$3=$AE95),"",IF(AK$3=$AD95,$F95&amp;"R",AK94))))</f>
        <v>wQ</v>
      </c>
      <c r="AL95" s="11" t="str">
        <f aca="false">IF($P95=0,AL94,IF(AL$3=$E95,IF($AA95=1,$F95&amp;$AB95,$G95),IF(OR(AL$3=$D95,AL$3=$AC95,AL$3=$AE95),"",IF(AL$3=$AD95,$F95&amp;"R",AL94))))</f>
        <v>wK</v>
      </c>
      <c r="AM95" s="11" t="str">
        <f aca="false">IF($P95=0,AM94,IF(AM$3=$E95,IF($AA95=1,$F95&amp;$AB95,$G95),IF(OR(AM$3=$D95,AM$3=$AC95,AM$3=$AE95),"",IF(AM$3=$AD95,$F95&amp;"R",AM94))))</f>
        <v>wB</v>
      </c>
      <c r="AN95" s="11" t="str">
        <f aca="false">IF($P95=0,AN94,IF(AN$3=$E95,IF($AA95=1,$F95&amp;$AB95,$G95),IF(OR(AN$3=$D95,AN$3=$AC95,AN$3=$AE95),"",IF(AN$3=$AD95,$F95&amp;"R",AN94))))</f>
        <v>wN</v>
      </c>
      <c r="AO95" s="11" t="str">
        <f aca="false">IF($P95=0,AO94,IF(AO$3=$E95,IF($AA95=1,$F95&amp;$AB95,$G95),IF(OR(AO$3=$D95,AO$3=$AC95,AO$3=$AE95),"",IF(AO$3=$AD95,$F95&amp;"R",AO94))))</f>
        <v>wR</v>
      </c>
      <c r="AP95" s="11" t="str">
        <f aca="false">IF($P95=0,AP94,IF(AP$3=$E95,IF($AA95=1,$F95&amp;$AB95,$G95),IF(OR(AP$3=$D95,AP$3=$AC95,AP$3=$AE95),"",IF(AP$3=$AD95,$F95&amp;"R",AP94))))</f>
        <v>wP</v>
      </c>
      <c r="AQ95" s="11" t="str">
        <f aca="false">IF($P95=0,AQ94,IF(AQ$3=$E95,IF($AA95=1,$F95&amp;$AB95,$G95),IF(OR(AQ$3=$D95,AQ$3=$AC95,AQ$3=$AE95),"",IF(AQ$3=$AD95,$F95&amp;"R",AQ94))))</f>
        <v>wP</v>
      </c>
      <c r="AR95" s="11" t="str">
        <f aca="false">IF($P95=0,AR94,IF(AR$3=$E95,IF($AA95=1,$F95&amp;$AB95,$G95),IF(OR(AR$3=$D95,AR$3=$AC95,AR$3=$AE95),"",IF(AR$3=$AD95,$F95&amp;"R",AR94))))</f>
        <v>wP</v>
      </c>
      <c r="AS95" s="11" t="str">
        <f aca="false">IF($P95=0,AS94,IF(AS$3=$E95,IF($AA95=1,$F95&amp;$AB95,$G95),IF(OR(AS$3=$D95,AS$3=$AC95,AS$3=$AE95),"",IF(AS$3=$AD95,$F95&amp;"R",AS94))))</f>
        <v>wP</v>
      </c>
      <c r="AT95" s="11" t="str">
        <f aca="false">IF($P95=0,AT94,IF(AT$3=$E95,IF($AA95=1,$F95&amp;$AB95,$G95),IF(OR(AT$3=$D95,AT$3=$AC95,AT$3=$AE95),"",IF(AT$3=$AD95,$F95&amp;"R",AT94))))</f>
        <v>wP</v>
      </c>
      <c r="AU95" s="11" t="str">
        <f aca="false">IF($P95=0,AU94,IF(AU$3=$E95,IF($AA95=1,$F95&amp;$AB95,$G95),IF(OR(AU$3=$D95,AU$3=$AC95,AU$3=$AE95),"",IF(AU$3=$AD95,$F95&amp;"R",AU94))))</f>
        <v>wP</v>
      </c>
      <c r="AV95" s="11" t="str">
        <f aca="false">IF($P95=0,AV94,IF(AV$3=$E95,IF($AA95=1,$F95&amp;$AB95,$G95),IF(OR(AV$3=$D95,AV$3=$AC95,AV$3=$AE95),"",IF(AV$3=$AD95,$F95&amp;"R",AV94))))</f>
        <v>wP</v>
      </c>
      <c r="AW95" s="11" t="str">
        <f aca="false">IF($P95=0,AW94,IF(AW$3=$E95,IF($AA95=1,$F95&amp;$AB95,$G95),IF(OR(AW$3=$D95,AW$3=$AC95,AW$3=$AE95),"",IF(AW$3=$AD95,$F95&amp;"R",AW94))))</f>
        <v>wP</v>
      </c>
      <c r="AX95" s="11" t="str">
        <f aca="false">IF($P95=0,AX94,IF(AX$3=$E95,IF($AA95=1,$F95&amp;$AB95,$G95),IF(OR(AX$3=$D95,AX$3=$AC95,AX$3=$AE95),"",IF(AX$3=$AD95,$F95&amp;"R",AX94))))</f>
        <v/>
      </c>
      <c r="AY95" s="11" t="str">
        <f aca="false">IF($P95=0,AY94,IF(AY$3=$E95,IF($AA95=1,$F95&amp;$AB95,$G95),IF(OR(AY$3=$D95,AY$3=$AC95,AY$3=$AE95),"",IF(AY$3=$AD95,$F95&amp;"R",AY94))))</f>
        <v/>
      </c>
      <c r="AZ95" s="11" t="str">
        <f aca="false">IF($P95=0,AZ94,IF(AZ$3=$E95,IF($AA95=1,$F95&amp;$AB95,$G95),IF(OR(AZ$3=$D95,AZ$3=$AC95,AZ$3=$AE95),"",IF(AZ$3=$AD95,$F95&amp;"R",AZ94))))</f>
        <v/>
      </c>
      <c r="BA95" s="11" t="str">
        <f aca="false">IF($P95=0,BA94,IF(BA$3=$E95,IF($AA95=1,$F95&amp;$AB95,$G95),IF(OR(BA$3=$D95,BA$3=$AC95,BA$3=$AE95),"",IF(BA$3=$AD95,$F95&amp;"R",BA94))))</f>
        <v/>
      </c>
      <c r="BB95" s="11" t="str">
        <f aca="false">IF($P95=0,BB94,IF(BB$3=$E95,IF($AA95=1,$F95&amp;$AB95,$G95),IF(OR(BB$3=$D95,BB$3=$AC95,BB$3=$AE95),"",IF(BB$3=$AD95,$F95&amp;"R",BB94))))</f>
        <v/>
      </c>
      <c r="BC95" s="11" t="str">
        <f aca="false">IF($P95=0,BC94,IF(BC$3=$E95,IF($AA95=1,$F95&amp;$AB95,$G95),IF(OR(BC$3=$D95,BC$3=$AC95,BC$3=$AE95),"",IF(BC$3=$AD95,$F95&amp;"R",BC94))))</f>
        <v/>
      </c>
      <c r="BD95" s="11" t="str">
        <f aca="false">IF($P95=0,BD94,IF(BD$3=$E95,IF($AA95=1,$F95&amp;$AB95,$G95),IF(OR(BD$3=$D95,BD$3=$AC95,BD$3=$AE95),"",IF(BD$3=$AD95,$F95&amp;"R",BD94))))</f>
        <v/>
      </c>
      <c r="BE95" s="11" t="str">
        <f aca="false">IF($P95=0,BE94,IF(BE$3=$E95,IF($AA95=1,$F95&amp;$AB95,$G95),IF(OR(BE$3=$D95,BE$3=$AC95,BE$3=$AE95),"",IF(BE$3=$AD95,$F95&amp;"R",BE94))))</f>
        <v/>
      </c>
      <c r="BF95" s="11" t="str">
        <f aca="false">IF($P95=0,BF94,IF(BF$3=$E95,IF($AA95=1,$F95&amp;$AB95,$G95),IF(OR(BF$3=$D95,BF$3=$AC95,BF$3=$AE95),"",IF(BF$3=$AD95,$F95&amp;"R",BF94))))</f>
        <v/>
      </c>
      <c r="BG95" s="11" t="str">
        <f aca="false">IF($P95=0,BG94,IF(BG$3=$E95,IF($AA95=1,$F95&amp;$AB95,$G95),IF(OR(BG$3=$D95,BG$3=$AC95,BG$3=$AE95),"",IF(BG$3=$AD95,$F95&amp;"R",BG94))))</f>
        <v/>
      </c>
      <c r="BH95" s="11" t="str">
        <f aca="false">IF($P95=0,BH94,IF(BH$3=$E95,IF($AA95=1,$F95&amp;$AB95,$G95),IF(OR(BH$3=$D95,BH$3=$AC95,BH$3=$AE95),"",IF(BH$3=$AD95,$F95&amp;"R",BH94))))</f>
        <v/>
      </c>
      <c r="BI95" s="11" t="str">
        <f aca="false">IF($P95=0,BI94,IF(BI$3=$E95,IF($AA95=1,$F95&amp;$AB95,$G95),IF(OR(BI$3=$D95,BI$3=$AC95,BI$3=$AE95),"",IF(BI$3=$AD95,$F95&amp;"R",BI94))))</f>
        <v/>
      </c>
      <c r="BJ95" s="11" t="str">
        <f aca="false">IF($P95=0,BJ94,IF(BJ$3=$E95,IF($AA95=1,$F95&amp;$AB95,$G95),IF(OR(BJ$3=$D95,BJ$3=$AC95,BJ$3=$AE95),"",IF(BJ$3=$AD95,$F95&amp;"R",BJ94))))</f>
        <v/>
      </c>
      <c r="BK95" s="11" t="str">
        <f aca="false">IF($P95=0,BK94,IF(BK$3=$E95,IF($AA95=1,$F95&amp;$AB95,$G95),IF(OR(BK$3=$D95,BK$3=$AC95,BK$3=$AE95),"",IF(BK$3=$AD95,$F95&amp;"R",BK94))))</f>
        <v/>
      </c>
      <c r="BL95" s="11" t="str">
        <f aca="false">IF($P95=0,BL94,IF(BL$3=$E95,IF($AA95=1,$F95&amp;$AB95,$G95),IF(OR(BL$3=$D95,BL$3=$AC95,BL$3=$AE95),"",IF(BL$3=$AD95,$F95&amp;"R",BL94))))</f>
        <v/>
      </c>
      <c r="BM95" s="11" t="str">
        <f aca="false">IF($P95=0,BM94,IF(BM$3=$E95,IF($AA95=1,$F95&amp;$AB95,$G95),IF(OR(BM$3=$D95,BM$3=$AC95,BM$3=$AE95),"",IF(BM$3=$AD95,$F95&amp;"R",BM94))))</f>
        <v/>
      </c>
      <c r="BN95" s="11" t="str">
        <f aca="false">IF($P95=0,BN94,IF(BN$3=$E95,IF($AA95=1,$F95&amp;$AB95,$G95),IF(OR(BN$3=$D95,BN$3=$AC95,BN$3=$AE95),"",IF(BN$3=$AD95,$F95&amp;"R",BN94))))</f>
        <v/>
      </c>
      <c r="BO95" s="11" t="str">
        <f aca="false">IF($P95=0,BO94,IF(BO$3=$E95,IF($AA95=1,$F95&amp;$AB95,$G95),IF(OR(BO$3=$D95,BO$3=$AC95,BO$3=$AE95),"",IF(BO$3=$AD95,$F95&amp;"R",BO94))))</f>
        <v/>
      </c>
      <c r="BP95" s="11" t="str">
        <f aca="false">IF($P95=0,BP94,IF(BP$3=$E95,IF($AA95=1,$F95&amp;$AB95,$G95),IF(OR(BP$3=$D95,BP$3=$AC95,BP$3=$AE95),"",IF(BP$3=$AD95,$F95&amp;"R",BP94))))</f>
        <v/>
      </c>
      <c r="BQ95" s="11" t="str">
        <f aca="false">IF($P95=0,BQ94,IF(BQ$3=$E95,IF($AA95=1,$F95&amp;$AB95,$G95),IF(OR(BQ$3=$D95,BQ$3=$AC95,BQ$3=$AE95),"",IF(BQ$3=$AD95,$F95&amp;"R",BQ94))))</f>
        <v/>
      </c>
      <c r="BR95" s="11" t="str">
        <f aca="false">IF($P95=0,BR94,IF(BR$3=$E95,IF($AA95=1,$F95&amp;$AB95,$G95),IF(OR(BR$3=$D95,BR$3=$AC95,BR$3=$AE95),"",IF(BR$3=$AD95,$F95&amp;"R",BR94))))</f>
        <v/>
      </c>
      <c r="BS95" s="11" t="str">
        <f aca="false">IF($P95=0,BS94,IF(BS$3=$E95,IF($AA95=1,$F95&amp;$AB95,$G95),IF(OR(BS$3=$D95,BS$3=$AC95,BS$3=$AE95),"",IF(BS$3=$AD95,$F95&amp;"R",BS94))))</f>
        <v/>
      </c>
      <c r="BT95" s="11" t="str">
        <f aca="false">IF($P95=0,BT94,IF(BT$3=$E95,IF($AA95=1,$F95&amp;$AB95,$G95),IF(OR(BT$3=$D95,BT$3=$AC95,BT$3=$AE95),"",IF(BT$3=$AD95,$F95&amp;"R",BT94))))</f>
        <v/>
      </c>
      <c r="BU95" s="11" t="str">
        <f aca="false">IF($P95=0,BU94,IF(BU$3=$E95,IF($AA95=1,$F95&amp;$AB95,$G95),IF(OR(BU$3=$D95,BU$3=$AC95,BU$3=$AE95),"",IF(BU$3=$AD95,$F95&amp;"R",BU94))))</f>
        <v/>
      </c>
      <c r="BV95" s="11" t="str">
        <f aca="false">IF($P95=0,BV94,IF(BV$3=$E95,IF($AA95=1,$F95&amp;$AB95,$G95),IF(OR(BV$3=$D95,BV$3=$AC95,BV$3=$AE95),"",IF(BV$3=$AD95,$F95&amp;"R",BV94))))</f>
        <v/>
      </c>
      <c r="BW95" s="11" t="str">
        <f aca="false">IF($P95=0,BW94,IF(BW$3=$E95,IF($AA95=1,$F95&amp;$AB95,$G95),IF(OR(BW$3=$D95,BW$3=$AC95,BW$3=$AE95),"",IF(BW$3=$AD95,$F95&amp;"R",BW94))))</f>
        <v/>
      </c>
      <c r="BX95" s="11" t="str">
        <f aca="false">IF($P95=0,BX94,IF(BX$3=$E95,IF($AA95=1,$F95&amp;$AB95,$G95),IF(OR(BX$3=$D95,BX$3=$AC95,BX$3=$AE95),"",IF(BX$3=$AD95,$F95&amp;"R",BX94))))</f>
        <v/>
      </c>
      <c r="BY95" s="11" t="str">
        <f aca="false">IF($P95=0,BY94,IF(BY$3=$E95,IF($AA95=1,$F95&amp;$AB95,$G95),IF(OR(BY$3=$D95,BY$3=$AC95,BY$3=$AE95),"",IF(BY$3=$AD95,$F95&amp;"R",BY94))))</f>
        <v/>
      </c>
      <c r="BZ95" s="11" t="str">
        <f aca="false">IF($P95=0,BZ94,IF(BZ$3=$E95,IF($AA95=1,$F95&amp;$AB95,$G95),IF(OR(BZ$3=$D95,BZ$3=$AC95,BZ$3=$AE95),"",IF(BZ$3=$AD95,$F95&amp;"R",BZ94))))</f>
        <v/>
      </c>
      <c r="CA95" s="11" t="str">
        <f aca="false">IF($P95=0,CA94,IF(CA$3=$E95,IF($AA95=1,$F95&amp;$AB95,$G95),IF(OR(CA$3=$D95,CA$3=$AC95,CA$3=$AE95),"",IF(CA$3=$AD95,$F95&amp;"R",CA94))))</f>
        <v/>
      </c>
      <c r="CB95" s="11" t="str">
        <f aca="false">IF($P95=0,CB94,IF(CB$3=$E95,IF($AA95=1,$F95&amp;$AB95,$G95),IF(OR(CB$3=$D95,CB$3=$AC95,CB$3=$AE95),"",IF(CB$3=$AD95,$F95&amp;"R",CB94))))</f>
        <v/>
      </c>
      <c r="CC95" s="11" t="str">
        <f aca="false">IF($P95=0,CC94,IF(CC$3=$E95,IF($AA95=1,$F95&amp;$AB95,$G95),IF(OR(CC$3=$D95,CC$3=$AC95,CC$3=$AE95),"",IF(CC$3=$AD95,$F95&amp;"R",CC94))))</f>
        <v/>
      </c>
      <c r="CD95" s="11" t="str">
        <f aca="false">IF($P95=0,CD94,IF(CD$3=$E95,IF($AA95=1,$F95&amp;$AB95,$G95),IF(OR(CD$3=$D95,CD$3=$AC95,CD$3=$AE95),"",IF(CD$3=$AD95,$F95&amp;"R",CD94))))</f>
        <v>bP</v>
      </c>
      <c r="CE95" s="11" t="str">
        <f aca="false">IF($P95=0,CE94,IF(CE$3=$E95,IF($AA95=1,$F95&amp;$AB95,$G95),IF(OR(CE$3=$D95,CE$3=$AC95,CE$3=$AE95),"",IF(CE$3=$AD95,$F95&amp;"R",CE94))))</f>
        <v>bP</v>
      </c>
      <c r="CF95" s="11" t="str">
        <f aca="false">IF($P95=0,CF94,IF(CF$3=$E95,IF($AA95=1,$F95&amp;$AB95,$G95),IF(OR(CF$3=$D95,CF$3=$AC95,CF$3=$AE95),"",IF(CF$3=$AD95,$F95&amp;"R",CF94))))</f>
        <v>bP</v>
      </c>
      <c r="CG95" s="11" t="str">
        <f aca="false">IF($P95=0,CG94,IF(CG$3=$E95,IF($AA95=1,$F95&amp;$AB95,$G95),IF(OR(CG$3=$D95,CG$3=$AC95,CG$3=$AE95),"",IF(CG$3=$AD95,$F95&amp;"R",CG94))))</f>
        <v>bP</v>
      </c>
      <c r="CH95" s="11" t="str">
        <f aca="false">IF($P95=0,CH94,IF(CH$3=$E95,IF($AA95=1,$F95&amp;$AB95,$G95),IF(OR(CH$3=$D95,CH$3=$AC95,CH$3=$AE95),"",IF(CH$3=$AD95,$F95&amp;"R",CH94))))</f>
        <v>bP</v>
      </c>
      <c r="CI95" s="11" t="str">
        <f aca="false">IF($P95=0,CI94,IF(CI$3=$E95,IF($AA95=1,$F95&amp;$AB95,$G95),IF(OR(CI$3=$D95,CI$3=$AC95,CI$3=$AE95),"",IF(CI$3=$AD95,$F95&amp;"R",CI94))))</f>
        <v>bP</v>
      </c>
      <c r="CJ95" s="11" t="str">
        <f aca="false">IF($P95=0,CJ94,IF(CJ$3=$E95,IF($AA95=1,$F95&amp;$AB95,$G95),IF(OR(CJ$3=$D95,CJ$3=$AC95,CJ$3=$AE95),"",IF(CJ$3=$AD95,$F95&amp;"R",CJ94))))</f>
        <v>bP</v>
      </c>
      <c r="CK95" s="11" t="str">
        <f aca="false">IF($P95=0,CK94,IF(CK$3=$E95,IF($AA95=1,$F95&amp;$AB95,$G95),IF(OR(CK$3=$D95,CK$3=$AC95,CK$3=$AE95),"",IF(CK$3=$AD95,$F95&amp;"R",CK94))))</f>
        <v>bP</v>
      </c>
      <c r="CL95" s="11" t="str">
        <f aca="false">IF($P95=0,CL94,IF(CL$3=$E95,IF($AA95=1,$F95&amp;$AB95,$G95),IF(OR(CL$3=$D95,CL$3=$AC95,CL$3=$AE95),"",IF(CL$3=$AD95,$F95&amp;"R",CL94))))</f>
        <v>bR</v>
      </c>
      <c r="CM95" s="11" t="str">
        <f aca="false">IF($P95=0,CM94,IF(CM$3=$E95,IF($AA95=1,$F95&amp;$AB95,$G95),IF(OR(CM$3=$D95,CM$3=$AC95,CM$3=$AE95),"",IF(CM$3=$AD95,$F95&amp;"R",CM94))))</f>
        <v>bN</v>
      </c>
      <c r="CN95" s="11" t="str">
        <f aca="false">IF($P95=0,CN94,IF(CN$3=$E95,IF($AA95=1,$F95&amp;$AB95,$G95),IF(OR(CN$3=$D95,CN$3=$AC95,CN$3=$AE95),"",IF(CN$3=$AD95,$F95&amp;"R",CN94))))</f>
        <v>bB</v>
      </c>
      <c r="CO95" s="11" t="str">
        <f aca="false">IF($P95=0,CO94,IF(CO$3=$E95,IF($AA95=1,$F95&amp;$AB95,$G95),IF(OR(CO$3=$D95,CO$3=$AC95,CO$3=$AE95),"",IF(CO$3=$AD95,$F95&amp;"R",CO94))))</f>
        <v>bQ</v>
      </c>
      <c r="CP95" s="11" t="str">
        <f aca="false">IF($P95=0,CP94,IF(CP$3=$E95,IF($AA95=1,$F95&amp;$AB95,$G95),IF(OR(CP$3=$D95,CP$3=$AC95,CP$3=$AE95),"",IF(CP$3=$AD95,$F95&amp;"R",CP94))))</f>
        <v>bK</v>
      </c>
      <c r="CQ95" s="11" t="str">
        <f aca="false">IF($P95=0,CQ94,IF(CQ$3=$E95,IF($AA95=1,$F95&amp;$AB95,$G95),IF(OR(CQ$3=$D95,CQ$3=$AC95,CQ$3=$AE95),"",IF(CQ$3=$AD95,$F95&amp;"R",CQ94))))</f>
        <v>bB</v>
      </c>
      <c r="CR95" s="11" t="str">
        <f aca="false">IF($P95=0,CR94,IF(CR$3=$E95,IF($AA95=1,$F95&amp;$AB95,$G95),IF(OR(CR$3=$D95,CR$3=$AC95,CR$3=$AE95),"",IF(CR$3=$AD95,$F95&amp;"R",CR94))))</f>
        <v>bN</v>
      </c>
      <c r="CS95" s="11" t="str">
        <f aca="false">IF($P95=0,CS94,IF(CS$3=$E95,IF($AA95=1,$F95&amp;$AB95,$G95),IF(OR(CS$3=$D95,CS$3=$AC95,CS$3=$AE95),"",IF(CS$3=$AD95,$F95&amp;"R",CS94))))</f>
        <v>bR</v>
      </c>
      <c r="CT95" s="11"/>
      <c r="CU95" s="11"/>
      <c r="CV95" s="11"/>
    </row>
    <row r="96" customFormat="false" ht="15" hidden="false" customHeight="false" outlineLevel="0" collapsed="false">
      <c r="A96" s="11" t="n">
        <v>91</v>
      </c>
      <c r="B96" s="11" t="str">
        <f aca="false">IF(Chess!$L$100="","",Chess!$L$100&amp;"")</f>
        <v/>
      </c>
      <c r="C96" s="11" t="str">
        <f aca="false">LOWER(SUBSTITUTE(SUBSTITUTE(SUBSTITUTE(SUBSTITUTE(TRIM($B96),"-",""),"=","")," ",""),"x",""))</f>
        <v/>
      </c>
      <c r="D96" s="11" t="n">
        <f aca="false">IF(LEN($C96)&lt;4,0,IFERROR(IF(AND(CODE(MID($C96,1,1))&gt;=97,CODE(MID($C96,1,1))&lt;=104,VALUE(MID($C96,2,1))&gt;=1,VALUE(MID($C96,2,1))&lt;=8),(VALUE(MID($C96,2,1))-1)*8+CODE(MID($C96,1,1))-96,0),0))</f>
        <v>0</v>
      </c>
      <c r="E96" s="11" t="n">
        <f aca="false">IF(LEN($C96)&lt;4,0,IFERROR(IF(AND(CODE(MID($C96,3,1))&gt;=97,CODE(MID($C96,3,1))&lt;=104,VALUE(MID($C96,4,1))&gt;=1,VALUE(MID($C96,4,1))&lt;=8),(VALUE(MID($C96,4,1))-1)*8+CODE(MID($C96,3,1))-96,0),0))</f>
        <v>0</v>
      </c>
      <c r="F96" s="11" t="str">
        <f aca="false">IF(MOD(SUM($P$5:$P95),2)=0,"w","b")</f>
        <v>w</v>
      </c>
      <c r="G96" s="11" t="str">
        <f aca="false">IF($D96=0,"",INDEX($AH95:$CS95,1,$D96)&amp;"")</f>
        <v/>
      </c>
      <c r="H96" s="11" t="str">
        <f aca="false">IF($E96=0,"",INDEX($AH95:$CS95,1,$E96)&amp;"")</f>
        <v/>
      </c>
      <c r="I96" s="11" t="n">
        <f aca="false">IF(OR($D96=0,$E96=0),0,MOD($E96-1,8)-MOD($D96-1,8))</f>
        <v>0</v>
      </c>
      <c r="J96" s="11" t="n">
        <f aca="false">IF(OR($D96=0,$E96=0),0,INT(($E96-1)/8)-INT(($D96-1)/8))</f>
        <v>0</v>
      </c>
      <c r="K96" s="11" t="str">
        <f aca="false">IF($G96="","",RIGHT($G96,1))</f>
        <v/>
      </c>
      <c r="L96" s="11" t="n">
        <f aca="false">IF(OR($D96=0,$E96=0),0,SUMPRODUCT(($AH$3:$CS$3&gt;MIN($D96,$E96))*($AH$3:$CS$3&lt;MAX($D96,$E96))*(MOD($AH$3:$CS$3-MIN($D96,$E96),MAX(1,ABS(SIGN($J96)*8+SIGN($I96))))=0)*($AH95:$CS95&lt;&gt;"")))</f>
        <v>0</v>
      </c>
      <c r="M96" s="11" t="n">
        <f aca="false">IF($K96&lt;&gt;"K",0,IFERROR(--AND($J96=0,ABS($I96)=2,$D96=IF($F96="w",5,61),IF($F96="w",$S95,$V95)=0,IF($I96=2,AND(IF($F96="w",$U95,$X95)=0,INDEX($AH95:$CS95,1,$D96+1)&amp;""="",INDEX($AH95:$CS95,1,$D96+2)&amp;""=""),AND(IF($F96="w",$T95,$W95)=0,INDEX($AH95:$CS95,1,$D96-1)&amp;""="",INDEX($AH95:$CS95,1,$D96-2)&amp;""="",INDEX($AH95:$CS95,1,$D96-3)&amp;""=""))),0))</f>
        <v>0</v>
      </c>
      <c r="N96" s="11" t="n">
        <f aca="false">IF($K96&lt;&gt;"P",0,IFERROR(--OR(AND($I96=0,$J96=IF($F96="w",1,-1),$H96=""),AND($I96=0,$J96=2*IF($F96="w",1,-1),$H96="",INT(($D96-1)/8)=IF($F96="w",1,6),INDEX($AH95:$CS95,1,MAX(1,MIN(64,$D96+8*IF($F96="w",1,-1))))&amp;""=""),AND(ABS($I96)=1,$J96=IF($F96="w",1,-1),$H96&lt;&gt;""),AND(ABS($I96)=1,$J96=IF($F96="w",1,-1),$H96="",$R95&gt;0,$E96=$R95)),0))</f>
        <v>0</v>
      </c>
      <c r="O96" s="11" t="n">
        <f aca="false">IF(OR($D96=0,$E96=0,$G96=""),0,IF($K96="N",--OR(AND(ABS($I96)=1,ABS($J96)=2),AND(ABS($I96)=2,ABS($J96)=1)),IF($K96="B",--AND(ABS($I96)=ABS($J96),$I96&lt;&gt;0,$L96=0),IF($K96="R",--AND(OR($I96=0,$J96=0),OR($I96&lt;&gt;0,$J96&lt;&gt;0),$L96=0),IF($K96="Q",--AND(OR(AND(ABS($I96)=ABS($J96),$I96&lt;&gt;0),AND(OR($I96=0,$J96=0),OR($I96&lt;&gt;0,$J96&lt;&gt;0))),$L96=0),IF($K96="K",--OR(MAX(ABS($I96),ABS($J96))=1,$M96=1),$N96))))))</f>
        <v>0</v>
      </c>
      <c r="P96" s="11" t="n">
        <f aca="false">IF($Q96="OK",1,0)</f>
        <v>0</v>
      </c>
      <c r="Q96" s="11" t="str">
        <f aca="false">IF($B96="","",IF(OR(COUNTIF($AH95:$CS95,"wK")=0,COUNTIF($AH95:$CS95,"bK")=0),"Game is over",IF(OR($D96=0,$E96=0),"Use the format e2e4",IF($G96="","No piece on that square",IF(LEFT($G96,1)&lt;&gt;$F96,"Not your piece ("&amp;IF($F96="w","White","Black")&amp;" to move)",IF($D96=$E96,"Piece must move",IF(AND($H96&lt;&gt;"",LEFT($H96,1)=$F96),"Cannot capture your own piece",IF($O96=0,"Illegal move for that piece (or path blocked)","OK"))))))))</f>
        <v/>
      </c>
      <c r="R96" s="11" t="n">
        <f aca="false">IF($P96=1,IF(AND($K96="P",ABS($J96)=2),($D96+$E96)/2,0),$R95)</f>
        <v>0</v>
      </c>
      <c r="S96" s="12" t="b">
        <f aca="false">--OR($S95=1,AND($P96=1,OR($D96=5,$E96=5)))</f>
        <v>0</v>
      </c>
      <c r="T96" s="12" t="b">
        <f aca="false">--OR($T95=1,AND($P96=1,OR($D96=1,$E96=1)))</f>
        <v>0</v>
      </c>
      <c r="U96" s="12" t="b">
        <f aca="false">--OR($U95=1,AND($P96=1,OR($D96=8,$E96=8)))</f>
        <v>0</v>
      </c>
      <c r="V96" s="12" t="b">
        <f aca="false">--OR($V95=1,AND($P96=1,OR($D96=61,$E96=61)))</f>
        <v>0</v>
      </c>
      <c r="W96" s="12" t="b">
        <f aca="false">--OR($W95=1,AND($P96=1,OR($D96=57,$E96=57)))</f>
        <v>0</v>
      </c>
      <c r="X96" s="12" t="b">
        <f aca="false">--OR($X95=1,AND($P96=1,OR($D96=64,$E96=64)))</f>
        <v>0</v>
      </c>
      <c r="Y96" s="12" t="b">
        <f aca="false">--AND($P96=1,$K96="K",ABS($I96)=2)</f>
        <v>0</v>
      </c>
      <c r="Z96" s="12" t="b">
        <f aca="false">--AND($P96=1,$K96="P",ABS($I96)=1,$H96="")</f>
        <v>0</v>
      </c>
      <c r="AA96" s="12" t="b">
        <f aca="false">--AND($P96=1,$K96="P",INT(($E96-1)/8)=IF($F96="w",7,0))</f>
        <v>0</v>
      </c>
      <c r="AB96" s="11" t="str">
        <f aca="false">IF(LEN($C96)&gt;=5,IF(ISNUMBER(FIND(MID($C96,5,1),"qrbn")),UPPER(MID($C96,5,1)),"Q"),"Q")</f>
        <v>Q</v>
      </c>
      <c r="AC96" s="11" t="n">
        <f aca="false">IF($Y96=1,IF($I96=2,$D96+3,$D96-4),0)</f>
        <v>0</v>
      </c>
      <c r="AD96" s="11" t="n">
        <f aca="false">IF($Y96=1,IF($I96=2,$D96+1,$D96-1),0)</f>
        <v>0</v>
      </c>
      <c r="AE96" s="11" t="n">
        <f aca="false">IF($Z96=1,$E96-8*IF($F96="w",1,-1),0)</f>
        <v>0</v>
      </c>
      <c r="AF96" s="11" t="str">
        <f aca="false">IF($B96="","",IF($P96=1,LOWER(INDEX($CV$2:$CV$13,MATCH($G96,$CU$2:$CU$13,0)))&amp;" "&amp;MID("abcdefgh",MOD($D96-1,8)+1,1)&amp;(INT(($D96-1)/8)+1)&amp;"→"&amp;MID("abcdefgh",MOD($E96-1,8)+1,1)&amp;(INT(($E96-1)/8)+1)&amp;IF(OR($H96&lt;&gt;"",$Z96=1)," ×","")&amp;IF($Y96=1," castles","")&amp;IF($Z96=1," e.p.","")&amp;IF($AA96=1," =" &amp;LOWER(INDEX($CV$2:$CV$13,MATCH($F96&amp;$AB96,$CU$2:$CU$13,0))),""),"X "&amp;$Q96))</f>
        <v/>
      </c>
      <c r="AG96" s="11"/>
      <c r="AH96" s="11" t="str">
        <f aca="false">IF($P96=0,AH95,IF(AH$3=$E96,IF($AA96=1,$F96&amp;$AB96,$G96),IF(OR(AH$3=$D96,AH$3=$AC96,AH$3=$AE96),"",IF(AH$3=$AD96,$F96&amp;"R",AH95))))</f>
        <v>wR</v>
      </c>
      <c r="AI96" s="11" t="str">
        <f aca="false">IF($P96=0,AI95,IF(AI$3=$E96,IF($AA96=1,$F96&amp;$AB96,$G96),IF(OR(AI$3=$D96,AI$3=$AC96,AI$3=$AE96),"",IF(AI$3=$AD96,$F96&amp;"R",AI95))))</f>
        <v>wN</v>
      </c>
      <c r="AJ96" s="11" t="str">
        <f aca="false">IF($P96=0,AJ95,IF(AJ$3=$E96,IF($AA96=1,$F96&amp;$AB96,$G96),IF(OR(AJ$3=$D96,AJ$3=$AC96,AJ$3=$AE96),"",IF(AJ$3=$AD96,$F96&amp;"R",AJ95))))</f>
        <v>wB</v>
      </c>
      <c r="AK96" s="11" t="str">
        <f aca="false">IF($P96=0,AK95,IF(AK$3=$E96,IF($AA96=1,$F96&amp;$AB96,$G96),IF(OR(AK$3=$D96,AK$3=$AC96,AK$3=$AE96),"",IF(AK$3=$AD96,$F96&amp;"R",AK95))))</f>
        <v>wQ</v>
      </c>
      <c r="AL96" s="11" t="str">
        <f aca="false">IF($P96=0,AL95,IF(AL$3=$E96,IF($AA96=1,$F96&amp;$AB96,$G96),IF(OR(AL$3=$D96,AL$3=$AC96,AL$3=$AE96),"",IF(AL$3=$AD96,$F96&amp;"R",AL95))))</f>
        <v>wK</v>
      </c>
      <c r="AM96" s="11" t="str">
        <f aca="false">IF($P96=0,AM95,IF(AM$3=$E96,IF($AA96=1,$F96&amp;$AB96,$G96),IF(OR(AM$3=$D96,AM$3=$AC96,AM$3=$AE96),"",IF(AM$3=$AD96,$F96&amp;"R",AM95))))</f>
        <v>wB</v>
      </c>
      <c r="AN96" s="11" t="str">
        <f aca="false">IF($P96=0,AN95,IF(AN$3=$E96,IF($AA96=1,$F96&amp;$AB96,$G96),IF(OR(AN$3=$D96,AN$3=$AC96,AN$3=$AE96),"",IF(AN$3=$AD96,$F96&amp;"R",AN95))))</f>
        <v>wN</v>
      </c>
      <c r="AO96" s="11" t="str">
        <f aca="false">IF($P96=0,AO95,IF(AO$3=$E96,IF($AA96=1,$F96&amp;$AB96,$G96),IF(OR(AO$3=$D96,AO$3=$AC96,AO$3=$AE96),"",IF(AO$3=$AD96,$F96&amp;"R",AO95))))</f>
        <v>wR</v>
      </c>
      <c r="AP96" s="11" t="str">
        <f aca="false">IF($P96=0,AP95,IF(AP$3=$E96,IF($AA96=1,$F96&amp;$AB96,$G96),IF(OR(AP$3=$D96,AP$3=$AC96,AP$3=$AE96),"",IF(AP$3=$AD96,$F96&amp;"R",AP95))))</f>
        <v>wP</v>
      </c>
      <c r="AQ96" s="11" t="str">
        <f aca="false">IF($P96=0,AQ95,IF(AQ$3=$E96,IF($AA96=1,$F96&amp;$AB96,$G96),IF(OR(AQ$3=$D96,AQ$3=$AC96,AQ$3=$AE96),"",IF(AQ$3=$AD96,$F96&amp;"R",AQ95))))</f>
        <v>wP</v>
      </c>
      <c r="AR96" s="11" t="str">
        <f aca="false">IF($P96=0,AR95,IF(AR$3=$E96,IF($AA96=1,$F96&amp;$AB96,$G96),IF(OR(AR$3=$D96,AR$3=$AC96,AR$3=$AE96),"",IF(AR$3=$AD96,$F96&amp;"R",AR95))))</f>
        <v>wP</v>
      </c>
      <c r="AS96" s="11" t="str">
        <f aca="false">IF($P96=0,AS95,IF(AS$3=$E96,IF($AA96=1,$F96&amp;$AB96,$G96),IF(OR(AS$3=$D96,AS$3=$AC96,AS$3=$AE96),"",IF(AS$3=$AD96,$F96&amp;"R",AS95))))</f>
        <v>wP</v>
      </c>
      <c r="AT96" s="11" t="str">
        <f aca="false">IF($P96=0,AT95,IF(AT$3=$E96,IF($AA96=1,$F96&amp;$AB96,$G96),IF(OR(AT$3=$D96,AT$3=$AC96,AT$3=$AE96),"",IF(AT$3=$AD96,$F96&amp;"R",AT95))))</f>
        <v>wP</v>
      </c>
      <c r="AU96" s="11" t="str">
        <f aca="false">IF($P96=0,AU95,IF(AU$3=$E96,IF($AA96=1,$F96&amp;$AB96,$G96),IF(OR(AU$3=$D96,AU$3=$AC96,AU$3=$AE96),"",IF(AU$3=$AD96,$F96&amp;"R",AU95))))</f>
        <v>wP</v>
      </c>
      <c r="AV96" s="11" t="str">
        <f aca="false">IF($P96=0,AV95,IF(AV$3=$E96,IF($AA96=1,$F96&amp;$AB96,$G96),IF(OR(AV$3=$D96,AV$3=$AC96,AV$3=$AE96),"",IF(AV$3=$AD96,$F96&amp;"R",AV95))))</f>
        <v>wP</v>
      </c>
      <c r="AW96" s="11" t="str">
        <f aca="false">IF($P96=0,AW95,IF(AW$3=$E96,IF($AA96=1,$F96&amp;$AB96,$G96),IF(OR(AW$3=$D96,AW$3=$AC96,AW$3=$AE96),"",IF(AW$3=$AD96,$F96&amp;"R",AW95))))</f>
        <v>wP</v>
      </c>
      <c r="AX96" s="11" t="str">
        <f aca="false">IF($P96=0,AX95,IF(AX$3=$E96,IF($AA96=1,$F96&amp;$AB96,$G96),IF(OR(AX$3=$D96,AX$3=$AC96,AX$3=$AE96),"",IF(AX$3=$AD96,$F96&amp;"R",AX95))))</f>
        <v/>
      </c>
      <c r="AY96" s="11" t="str">
        <f aca="false">IF($P96=0,AY95,IF(AY$3=$E96,IF($AA96=1,$F96&amp;$AB96,$G96),IF(OR(AY$3=$D96,AY$3=$AC96,AY$3=$AE96),"",IF(AY$3=$AD96,$F96&amp;"R",AY95))))</f>
        <v/>
      </c>
      <c r="AZ96" s="11" t="str">
        <f aca="false">IF($P96=0,AZ95,IF(AZ$3=$E96,IF($AA96=1,$F96&amp;$AB96,$G96),IF(OR(AZ$3=$D96,AZ$3=$AC96,AZ$3=$AE96),"",IF(AZ$3=$AD96,$F96&amp;"R",AZ95))))</f>
        <v/>
      </c>
      <c r="BA96" s="11" t="str">
        <f aca="false">IF($P96=0,BA95,IF(BA$3=$E96,IF($AA96=1,$F96&amp;$AB96,$G96),IF(OR(BA$3=$D96,BA$3=$AC96,BA$3=$AE96),"",IF(BA$3=$AD96,$F96&amp;"R",BA95))))</f>
        <v/>
      </c>
      <c r="BB96" s="11" t="str">
        <f aca="false">IF($P96=0,BB95,IF(BB$3=$E96,IF($AA96=1,$F96&amp;$AB96,$G96),IF(OR(BB$3=$D96,BB$3=$AC96,BB$3=$AE96),"",IF(BB$3=$AD96,$F96&amp;"R",BB95))))</f>
        <v/>
      </c>
      <c r="BC96" s="11" t="str">
        <f aca="false">IF($P96=0,BC95,IF(BC$3=$E96,IF($AA96=1,$F96&amp;$AB96,$G96),IF(OR(BC$3=$D96,BC$3=$AC96,BC$3=$AE96),"",IF(BC$3=$AD96,$F96&amp;"R",BC95))))</f>
        <v/>
      </c>
      <c r="BD96" s="11" t="str">
        <f aca="false">IF($P96=0,BD95,IF(BD$3=$E96,IF($AA96=1,$F96&amp;$AB96,$G96),IF(OR(BD$3=$D96,BD$3=$AC96,BD$3=$AE96),"",IF(BD$3=$AD96,$F96&amp;"R",BD95))))</f>
        <v/>
      </c>
      <c r="BE96" s="11" t="str">
        <f aca="false">IF($P96=0,BE95,IF(BE$3=$E96,IF($AA96=1,$F96&amp;$AB96,$G96),IF(OR(BE$3=$D96,BE$3=$AC96,BE$3=$AE96),"",IF(BE$3=$AD96,$F96&amp;"R",BE95))))</f>
        <v/>
      </c>
      <c r="BF96" s="11" t="str">
        <f aca="false">IF($P96=0,BF95,IF(BF$3=$E96,IF($AA96=1,$F96&amp;$AB96,$G96),IF(OR(BF$3=$D96,BF$3=$AC96,BF$3=$AE96),"",IF(BF$3=$AD96,$F96&amp;"R",BF95))))</f>
        <v/>
      </c>
      <c r="BG96" s="11" t="str">
        <f aca="false">IF($P96=0,BG95,IF(BG$3=$E96,IF($AA96=1,$F96&amp;$AB96,$G96),IF(OR(BG$3=$D96,BG$3=$AC96,BG$3=$AE96),"",IF(BG$3=$AD96,$F96&amp;"R",BG95))))</f>
        <v/>
      </c>
      <c r="BH96" s="11" t="str">
        <f aca="false">IF($P96=0,BH95,IF(BH$3=$E96,IF($AA96=1,$F96&amp;$AB96,$G96),IF(OR(BH$3=$D96,BH$3=$AC96,BH$3=$AE96),"",IF(BH$3=$AD96,$F96&amp;"R",BH95))))</f>
        <v/>
      </c>
      <c r="BI96" s="11" t="str">
        <f aca="false">IF($P96=0,BI95,IF(BI$3=$E96,IF($AA96=1,$F96&amp;$AB96,$G96),IF(OR(BI$3=$D96,BI$3=$AC96,BI$3=$AE96),"",IF(BI$3=$AD96,$F96&amp;"R",BI95))))</f>
        <v/>
      </c>
      <c r="BJ96" s="11" t="str">
        <f aca="false">IF($P96=0,BJ95,IF(BJ$3=$E96,IF($AA96=1,$F96&amp;$AB96,$G96),IF(OR(BJ$3=$D96,BJ$3=$AC96,BJ$3=$AE96),"",IF(BJ$3=$AD96,$F96&amp;"R",BJ95))))</f>
        <v/>
      </c>
      <c r="BK96" s="11" t="str">
        <f aca="false">IF($P96=0,BK95,IF(BK$3=$E96,IF($AA96=1,$F96&amp;$AB96,$G96),IF(OR(BK$3=$D96,BK$3=$AC96,BK$3=$AE96),"",IF(BK$3=$AD96,$F96&amp;"R",BK95))))</f>
        <v/>
      </c>
      <c r="BL96" s="11" t="str">
        <f aca="false">IF($P96=0,BL95,IF(BL$3=$E96,IF($AA96=1,$F96&amp;$AB96,$G96),IF(OR(BL$3=$D96,BL$3=$AC96,BL$3=$AE96),"",IF(BL$3=$AD96,$F96&amp;"R",BL95))))</f>
        <v/>
      </c>
      <c r="BM96" s="11" t="str">
        <f aca="false">IF($P96=0,BM95,IF(BM$3=$E96,IF($AA96=1,$F96&amp;$AB96,$G96),IF(OR(BM$3=$D96,BM$3=$AC96,BM$3=$AE96),"",IF(BM$3=$AD96,$F96&amp;"R",BM95))))</f>
        <v/>
      </c>
      <c r="BN96" s="11" t="str">
        <f aca="false">IF($P96=0,BN95,IF(BN$3=$E96,IF($AA96=1,$F96&amp;$AB96,$G96),IF(OR(BN$3=$D96,BN$3=$AC96,BN$3=$AE96),"",IF(BN$3=$AD96,$F96&amp;"R",BN95))))</f>
        <v/>
      </c>
      <c r="BO96" s="11" t="str">
        <f aca="false">IF($P96=0,BO95,IF(BO$3=$E96,IF($AA96=1,$F96&amp;$AB96,$G96),IF(OR(BO$3=$D96,BO$3=$AC96,BO$3=$AE96),"",IF(BO$3=$AD96,$F96&amp;"R",BO95))))</f>
        <v/>
      </c>
      <c r="BP96" s="11" t="str">
        <f aca="false">IF($P96=0,BP95,IF(BP$3=$E96,IF($AA96=1,$F96&amp;$AB96,$G96),IF(OR(BP$3=$D96,BP$3=$AC96,BP$3=$AE96),"",IF(BP$3=$AD96,$F96&amp;"R",BP95))))</f>
        <v/>
      </c>
      <c r="BQ96" s="11" t="str">
        <f aca="false">IF($P96=0,BQ95,IF(BQ$3=$E96,IF($AA96=1,$F96&amp;$AB96,$G96),IF(OR(BQ$3=$D96,BQ$3=$AC96,BQ$3=$AE96),"",IF(BQ$3=$AD96,$F96&amp;"R",BQ95))))</f>
        <v/>
      </c>
      <c r="BR96" s="11" t="str">
        <f aca="false">IF($P96=0,BR95,IF(BR$3=$E96,IF($AA96=1,$F96&amp;$AB96,$G96),IF(OR(BR$3=$D96,BR$3=$AC96,BR$3=$AE96),"",IF(BR$3=$AD96,$F96&amp;"R",BR95))))</f>
        <v/>
      </c>
      <c r="BS96" s="11" t="str">
        <f aca="false">IF($P96=0,BS95,IF(BS$3=$E96,IF($AA96=1,$F96&amp;$AB96,$G96),IF(OR(BS$3=$D96,BS$3=$AC96,BS$3=$AE96),"",IF(BS$3=$AD96,$F96&amp;"R",BS95))))</f>
        <v/>
      </c>
      <c r="BT96" s="11" t="str">
        <f aca="false">IF($P96=0,BT95,IF(BT$3=$E96,IF($AA96=1,$F96&amp;$AB96,$G96),IF(OR(BT$3=$D96,BT$3=$AC96,BT$3=$AE96),"",IF(BT$3=$AD96,$F96&amp;"R",BT95))))</f>
        <v/>
      </c>
      <c r="BU96" s="11" t="str">
        <f aca="false">IF($P96=0,BU95,IF(BU$3=$E96,IF($AA96=1,$F96&amp;$AB96,$G96),IF(OR(BU$3=$D96,BU$3=$AC96,BU$3=$AE96),"",IF(BU$3=$AD96,$F96&amp;"R",BU95))))</f>
        <v/>
      </c>
      <c r="BV96" s="11" t="str">
        <f aca="false">IF($P96=0,BV95,IF(BV$3=$E96,IF($AA96=1,$F96&amp;$AB96,$G96),IF(OR(BV$3=$D96,BV$3=$AC96,BV$3=$AE96),"",IF(BV$3=$AD96,$F96&amp;"R",BV95))))</f>
        <v/>
      </c>
      <c r="BW96" s="11" t="str">
        <f aca="false">IF($P96=0,BW95,IF(BW$3=$E96,IF($AA96=1,$F96&amp;$AB96,$G96),IF(OR(BW$3=$D96,BW$3=$AC96,BW$3=$AE96),"",IF(BW$3=$AD96,$F96&amp;"R",BW95))))</f>
        <v/>
      </c>
      <c r="BX96" s="11" t="str">
        <f aca="false">IF($P96=0,BX95,IF(BX$3=$E96,IF($AA96=1,$F96&amp;$AB96,$G96),IF(OR(BX$3=$D96,BX$3=$AC96,BX$3=$AE96),"",IF(BX$3=$AD96,$F96&amp;"R",BX95))))</f>
        <v/>
      </c>
      <c r="BY96" s="11" t="str">
        <f aca="false">IF($P96=0,BY95,IF(BY$3=$E96,IF($AA96=1,$F96&amp;$AB96,$G96),IF(OR(BY$3=$D96,BY$3=$AC96,BY$3=$AE96),"",IF(BY$3=$AD96,$F96&amp;"R",BY95))))</f>
        <v/>
      </c>
      <c r="BZ96" s="11" t="str">
        <f aca="false">IF($P96=0,BZ95,IF(BZ$3=$E96,IF($AA96=1,$F96&amp;$AB96,$G96),IF(OR(BZ$3=$D96,BZ$3=$AC96,BZ$3=$AE96),"",IF(BZ$3=$AD96,$F96&amp;"R",BZ95))))</f>
        <v/>
      </c>
      <c r="CA96" s="11" t="str">
        <f aca="false">IF($P96=0,CA95,IF(CA$3=$E96,IF($AA96=1,$F96&amp;$AB96,$G96),IF(OR(CA$3=$D96,CA$3=$AC96,CA$3=$AE96),"",IF(CA$3=$AD96,$F96&amp;"R",CA95))))</f>
        <v/>
      </c>
      <c r="CB96" s="11" t="str">
        <f aca="false">IF($P96=0,CB95,IF(CB$3=$E96,IF($AA96=1,$F96&amp;$AB96,$G96),IF(OR(CB$3=$D96,CB$3=$AC96,CB$3=$AE96),"",IF(CB$3=$AD96,$F96&amp;"R",CB95))))</f>
        <v/>
      </c>
      <c r="CC96" s="11" t="str">
        <f aca="false">IF($P96=0,CC95,IF(CC$3=$E96,IF($AA96=1,$F96&amp;$AB96,$G96),IF(OR(CC$3=$D96,CC$3=$AC96,CC$3=$AE96),"",IF(CC$3=$AD96,$F96&amp;"R",CC95))))</f>
        <v/>
      </c>
      <c r="CD96" s="11" t="str">
        <f aca="false">IF($P96=0,CD95,IF(CD$3=$E96,IF($AA96=1,$F96&amp;$AB96,$G96),IF(OR(CD$3=$D96,CD$3=$AC96,CD$3=$AE96),"",IF(CD$3=$AD96,$F96&amp;"R",CD95))))</f>
        <v>bP</v>
      </c>
      <c r="CE96" s="11" t="str">
        <f aca="false">IF($P96=0,CE95,IF(CE$3=$E96,IF($AA96=1,$F96&amp;$AB96,$G96),IF(OR(CE$3=$D96,CE$3=$AC96,CE$3=$AE96),"",IF(CE$3=$AD96,$F96&amp;"R",CE95))))</f>
        <v>bP</v>
      </c>
      <c r="CF96" s="11" t="str">
        <f aca="false">IF($P96=0,CF95,IF(CF$3=$E96,IF($AA96=1,$F96&amp;$AB96,$G96),IF(OR(CF$3=$D96,CF$3=$AC96,CF$3=$AE96),"",IF(CF$3=$AD96,$F96&amp;"R",CF95))))</f>
        <v>bP</v>
      </c>
      <c r="CG96" s="11" t="str">
        <f aca="false">IF($P96=0,CG95,IF(CG$3=$E96,IF($AA96=1,$F96&amp;$AB96,$G96),IF(OR(CG$3=$D96,CG$3=$AC96,CG$3=$AE96),"",IF(CG$3=$AD96,$F96&amp;"R",CG95))))</f>
        <v>bP</v>
      </c>
      <c r="CH96" s="11" t="str">
        <f aca="false">IF($P96=0,CH95,IF(CH$3=$E96,IF($AA96=1,$F96&amp;$AB96,$G96),IF(OR(CH$3=$D96,CH$3=$AC96,CH$3=$AE96),"",IF(CH$3=$AD96,$F96&amp;"R",CH95))))</f>
        <v>bP</v>
      </c>
      <c r="CI96" s="11" t="str">
        <f aca="false">IF($P96=0,CI95,IF(CI$3=$E96,IF($AA96=1,$F96&amp;$AB96,$G96),IF(OR(CI$3=$D96,CI$3=$AC96,CI$3=$AE96),"",IF(CI$3=$AD96,$F96&amp;"R",CI95))))</f>
        <v>bP</v>
      </c>
      <c r="CJ96" s="11" t="str">
        <f aca="false">IF($P96=0,CJ95,IF(CJ$3=$E96,IF($AA96=1,$F96&amp;$AB96,$G96),IF(OR(CJ$3=$D96,CJ$3=$AC96,CJ$3=$AE96),"",IF(CJ$3=$AD96,$F96&amp;"R",CJ95))))</f>
        <v>bP</v>
      </c>
      <c r="CK96" s="11" t="str">
        <f aca="false">IF($P96=0,CK95,IF(CK$3=$E96,IF($AA96=1,$F96&amp;$AB96,$G96),IF(OR(CK$3=$D96,CK$3=$AC96,CK$3=$AE96),"",IF(CK$3=$AD96,$F96&amp;"R",CK95))))</f>
        <v>bP</v>
      </c>
      <c r="CL96" s="11" t="str">
        <f aca="false">IF($P96=0,CL95,IF(CL$3=$E96,IF($AA96=1,$F96&amp;$AB96,$G96),IF(OR(CL$3=$D96,CL$3=$AC96,CL$3=$AE96),"",IF(CL$3=$AD96,$F96&amp;"R",CL95))))</f>
        <v>bR</v>
      </c>
      <c r="CM96" s="11" t="str">
        <f aca="false">IF($P96=0,CM95,IF(CM$3=$E96,IF($AA96=1,$F96&amp;$AB96,$G96),IF(OR(CM$3=$D96,CM$3=$AC96,CM$3=$AE96),"",IF(CM$3=$AD96,$F96&amp;"R",CM95))))</f>
        <v>bN</v>
      </c>
      <c r="CN96" s="11" t="str">
        <f aca="false">IF($P96=0,CN95,IF(CN$3=$E96,IF($AA96=1,$F96&amp;$AB96,$G96),IF(OR(CN$3=$D96,CN$3=$AC96,CN$3=$AE96),"",IF(CN$3=$AD96,$F96&amp;"R",CN95))))</f>
        <v>bB</v>
      </c>
      <c r="CO96" s="11" t="str">
        <f aca="false">IF($P96=0,CO95,IF(CO$3=$E96,IF($AA96=1,$F96&amp;$AB96,$G96),IF(OR(CO$3=$D96,CO$3=$AC96,CO$3=$AE96),"",IF(CO$3=$AD96,$F96&amp;"R",CO95))))</f>
        <v>bQ</v>
      </c>
      <c r="CP96" s="11" t="str">
        <f aca="false">IF($P96=0,CP95,IF(CP$3=$E96,IF($AA96=1,$F96&amp;$AB96,$G96),IF(OR(CP$3=$D96,CP$3=$AC96,CP$3=$AE96),"",IF(CP$3=$AD96,$F96&amp;"R",CP95))))</f>
        <v>bK</v>
      </c>
      <c r="CQ96" s="11" t="str">
        <f aca="false">IF($P96=0,CQ95,IF(CQ$3=$E96,IF($AA96=1,$F96&amp;$AB96,$G96),IF(OR(CQ$3=$D96,CQ$3=$AC96,CQ$3=$AE96),"",IF(CQ$3=$AD96,$F96&amp;"R",CQ95))))</f>
        <v>bB</v>
      </c>
      <c r="CR96" s="11" t="str">
        <f aca="false">IF($P96=0,CR95,IF(CR$3=$E96,IF($AA96=1,$F96&amp;$AB96,$G96),IF(OR(CR$3=$D96,CR$3=$AC96,CR$3=$AE96),"",IF(CR$3=$AD96,$F96&amp;"R",CR95))))</f>
        <v>bN</v>
      </c>
      <c r="CS96" s="11" t="str">
        <f aca="false">IF($P96=0,CS95,IF(CS$3=$E96,IF($AA96=1,$F96&amp;$AB96,$G96),IF(OR(CS$3=$D96,CS$3=$AC96,CS$3=$AE96),"",IF(CS$3=$AD96,$F96&amp;"R",CS95))))</f>
        <v>bR</v>
      </c>
      <c r="CT96" s="11"/>
      <c r="CU96" s="11"/>
      <c r="CV96" s="11"/>
    </row>
    <row r="97" customFormat="false" ht="15" hidden="false" customHeight="false" outlineLevel="0" collapsed="false">
      <c r="A97" s="11" t="n">
        <v>92</v>
      </c>
      <c r="B97" s="11" t="str">
        <f aca="false">IF(Chess!$L$101="","",Chess!$L$101&amp;"")</f>
        <v/>
      </c>
      <c r="C97" s="11" t="str">
        <f aca="false">LOWER(SUBSTITUTE(SUBSTITUTE(SUBSTITUTE(SUBSTITUTE(TRIM($B97),"-",""),"=","")," ",""),"x",""))</f>
        <v/>
      </c>
      <c r="D97" s="11" t="n">
        <f aca="false">IF(LEN($C97)&lt;4,0,IFERROR(IF(AND(CODE(MID($C97,1,1))&gt;=97,CODE(MID($C97,1,1))&lt;=104,VALUE(MID($C97,2,1))&gt;=1,VALUE(MID($C97,2,1))&lt;=8),(VALUE(MID($C97,2,1))-1)*8+CODE(MID($C97,1,1))-96,0),0))</f>
        <v>0</v>
      </c>
      <c r="E97" s="11" t="n">
        <f aca="false">IF(LEN($C97)&lt;4,0,IFERROR(IF(AND(CODE(MID($C97,3,1))&gt;=97,CODE(MID($C97,3,1))&lt;=104,VALUE(MID($C97,4,1))&gt;=1,VALUE(MID($C97,4,1))&lt;=8),(VALUE(MID($C97,4,1))-1)*8+CODE(MID($C97,3,1))-96,0),0))</f>
        <v>0</v>
      </c>
      <c r="F97" s="11" t="str">
        <f aca="false">IF(MOD(SUM($P$5:$P96),2)=0,"w","b")</f>
        <v>w</v>
      </c>
      <c r="G97" s="11" t="str">
        <f aca="false">IF($D97=0,"",INDEX($AH96:$CS96,1,$D97)&amp;"")</f>
        <v/>
      </c>
      <c r="H97" s="11" t="str">
        <f aca="false">IF($E97=0,"",INDEX($AH96:$CS96,1,$E97)&amp;"")</f>
        <v/>
      </c>
      <c r="I97" s="11" t="n">
        <f aca="false">IF(OR($D97=0,$E97=0),0,MOD($E97-1,8)-MOD($D97-1,8))</f>
        <v>0</v>
      </c>
      <c r="J97" s="11" t="n">
        <f aca="false">IF(OR($D97=0,$E97=0),0,INT(($E97-1)/8)-INT(($D97-1)/8))</f>
        <v>0</v>
      </c>
      <c r="K97" s="11" t="str">
        <f aca="false">IF($G97="","",RIGHT($G97,1))</f>
        <v/>
      </c>
      <c r="L97" s="11" t="n">
        <f aca="false">IF(OR($D97=0,$E97=0),0,SUMPRODUCT(($AH$3:$CS$3&gt;MIN($D97,$E97))*($AH$3:$CS$3&lt;MAX($D97,$E97))*(MOD($AH$3:$CS$3-MIN($D97,$E97),MAX(1,ABS(SIGN($J97)*8+SIGN($I97))))=0)*($AH96:$CS96&lt;&gt;"")))</f>
        <v>0</v>
      </c>
      <c r="M97" s="11" t="n">
        <f aca="false">IF($K97&lt;&gt;"K",0,IFERROR(--AND($J97=0,ABS($I97)=2,$D97=IF($F97="w",5,61),IF($F97="w",$S96,$V96)=0,IF($I97=2,AND(IF($F97="w",$U96,$X96)=0,INDEX($AH96:$CS96,1,$D97+1)&amp;""="",INDEX($AH96:$CS96,1,$D97+2)&amp;""=""),AND(IF($F97="w",$T96,$W96)=0,INDEX($AH96:$CS96,1,$D97-1)&amp;""="",INDEX($AH96:$CS96,1,$D97-2)&amp;""="",INDEX($AH96:$CS96,1,$D97-3)&amp;""=""))),0))</f>
        <v>0</v>
      </c>
      <c r="N97" s="11" t="n">
        <f aca="false">IF($K97&lt;&gt;"P",0,IFERROR(--OR(AND($I97=0,$J97=IF($F97="w",1,-1),$H97=""),AND($I97=0,$J97=2*IF($F97="w",1,-1),$H97="",INT(($D97-1)/8)=IF($F97="w",1,6),INDEX($AH96:$CS96,1,MAX(1,MIN(64,$D97+8*IF($F97="w",1,-1))))&amp;""=""),AND(ABS($I97)=1,$J97=IF($F97="w",1,-1),$H97&lt;&gt;""),AND(ABS($I97)=1,$J97=IF($F97="w",1,-1),$H97="",$R96&gt;0,$E97=$R96)),0))</f>
        <v>0</v>
      </c>
      <c r="O97" s="11" t="n">
        <f aca="false">IF(OR($D97=0,$E97=0,$G97=""),0,IF($K97="N",--OR(AND(ABS($I97)=1,ABS($J97)=2),AND(ABS($I97)=2,ABS($J97)=1)),IF($K97="B",--AND(ABS($I97)=ABS($J97),$I97&lt;&gt;0,$L97=0),IF($K97="R",--AND(OR($I97=0,$J97=0),OR($I97&lt;&gt;0,$J97&lt;&gt;0),$L97=0),IF($K97="Q",--AND(OR(AND(ABS($I97)=ABS($J97),$I97&lt;&gt;0),AND(OR($I97=0,$J97=0),OR($I97&lt;&gt;0,$J97&lt;&gt;0))),$L97=0),IF($K97="K",--OR(MAX(ABS($I97),ABS($J97))=1,$M97=1),$N97))))))</f>
        <v>0</v>
      </c>
      <c r="P97" s="11" t="n">
        <f aca="false">IF($Q97="OK",1,0)</f>
        <v>0</v>
      </c>
      <c r="Q97" s="11" t="str">
        <f aca="false">IF($B97="","",IF(OR(COUNTIF($AH96:$CS96,"wK")=0,COUNTIF($AH96:$CS96,"bK")=0),"Game is over",IF(OR($D97=0,$E97=0),"Use the format e2e4",IF($G97="","No piece on that square",IF(LEFT($G97,1)&lt;&gt;$F97,"Not your piece ("&amp;IF($F97="w","White","Black")&amp;" to move)",IF($D97=$E97,"Piece must move",IF(AND($H97&lt;&gt;"",LEFT($H97,1)=$F97),"Cannot capture your own piece",IF($O97=0,"Illegal move for that piece (or path blocked)","OK"))))))))</f>
        <v/>
      </c>
      <c r="R97" s="11" t="n">
        <f aca="false">IF($P97=1,IF(AND($K97="P",ABS($J97)=2),($D97+$E97)/2,0),$R96)</f>
        <v>0</v>
      </c>
      <c r="S97" s="12" t="b">
        <f aca="false">--OR($S96=1,AND($P97=1,OR($D97=5,$E97=5)))</f>
        <v>0</v>
      </c>
      <c r="T97" s="12" t="b">
        <f aca="false">--OR($T96=1,AND($P97=1,OR($D97=1,$E97=1)))</f>
        <v>0</v>
      </c>
      <c r="U97" s="12" t="b">
        <f aca="false">--OR($U96=1,AND($P97=1,OR($D97=8,$E97=8)))</f>
        <v>0</v>
      </c>
      <c r="V97" s="12" t="b">
        <f aca="false">--OR($V96=1,AND($P97=1,OR($D97=61,$E97=61)))</f>
        <v>0</v>
      </c>
      <c r="W97" s="12" t="b">
        <f aca="false">--OR($W96=1,AND($P97=1,OR($D97=57,$E97=57)))</f>
        <v>0</v>
      </c>
      <c r="X97" s="12" t="b">
        <f aca="false">--OR($X96=1,AND($P97=1,OR($D97=64,$E97=64)))</f>
        <v>0</v>
      </c>
      <c r="Y97" s="12" t="b">
        <f aca="false">--AND($P97=1,$K97="K",ABS($I97)=2)</f>
        <v>0</v>
      </c>
      <c r="Z97" s="12" t="b">
        <f aca="false">--AND($P97=1,$K97="P",ABS($I97)=1,$H97="")</f>
        <v>0</v>
      </c>
      <c r="AA97" s="12" t="b">
        <f aca="false">--AND($P97=1,$K97="P",INT(($E97-1)/8)=IF($F97="w",7,0))</f>
        <v>0</v>
      </c>
      <c r="AB97" s="11" t="str">
        <f aca="false">IF(LEN($C97)&gt;=5,IF(ISNUMBER(FIND(MID($C97,5,1),"qrbn")),UPPER(MID($C97,5,1)),"Q"),"Q")</f>
        <v>Q</v>
      </c>
      <c r="AC97" s="11" t="n">
        <f aca="false">IF($Y97=1,IF($I97=2,$D97+3,$D97-4),0)</f>
        <v>0</v>
      </c>
      <c r="AD97" s="11" t="n">
        <f aca="false">IF($Y97=1,IF($I97=2,$D97+1,$D97-1),0)</f>
        <v>0</v>
      </c>
      <c r="AE97" s="11" t="n">
        <f aca="false">IF($Z97=1,$E97-8*IF($F97="w",1,-1),0)</f>
        <v>0</v>
      </c>
      <c r="AF97" s="11" t="str">
        <f aca="false">IF($B97="","",IF($P97=1,LOWER(INDEX($CV$2:$CV$13,MATCH($G97,$CU$2:$CU$13,0)))&amp;" "&amp;MID("abcdefgh",MOD($D97-1,8)+1,1)&amp;(INT(($D97-1)/8)+1)&amp;"→"&amp;MID("abcdefgh",MOD($E97-1,8)+1,1)&amp;(INT(($E97-1)/8)+1)&amp;IF(OR($H97&lt;&gt;"",$Z97=1)," ×","")&amp;IF($Y97=1," castles","")&amp;IF($Z97=1," e.p.","")&amp;IF($AA97=1," =" &amp;LOWER(INDEX($CV$2:$CV$13,MATCH($F97&amp;$AB97,$CU$2:$CU$13,0))),""),"X "&amp;$Q97))</f>
        <v/>
      </c>
      <c r="AG97" s="11"/>
      <c r="AH97" s="11" t="str">
        <f aca="false">IF($P97=0,AH96,IF(AH$3=$E97,IF($AA97=1,$F97&amp;$AB97,$G97),IF(OR(AH$3=$D97,AH$3=$AC97,AH$3=$AE97),"",IF(AH$3=$AD97,$F97&amp;"R",AH96))))</f>
        <v>wR</v>
      </c>
      <c r="AI97" s="11" t="str">
        <f aca="false">IF($P97=0,AI96,IF(AI$3=$E97,IF($AA97=1,$F97&amp;$AB97,$G97),IF(OR(AI$3=$D97,AI$3=$AC97,AI$3=$AE97),"",IF(AI$3=$AD97,$F97&amp;"R",AI96))))</f>
        <v>wN</v>
      </c>
      <c r="AJ97" s="11" t="str">
        <f aca="false">IF($P97=0,AJ96,IF(AJ$3=$E97,IF($AA97=1,$F97&amp;$AB97,$G97),IF(OR(AJ$3=$D97,AJ$3=$AC97,AJ$3=$AE97),"",IF(AJ$3=$AD97,$F97&amp;"R",AJ96))))</f>
        <v>wB</v>
      </c>
      <c r="AK97" s="11" t="str">
        <f aca="false">IF($P97=0,AK96,IF(AK$3=$E97,IF($AA97=1,$F97&amp;$AB97,$G97),IF(OR(AK$3=$D97,AK$3=$AC97,AK$3=$AE97),"",IF(AK$3=$AD97,$F97&amp;"R",AK96))))</f>
        <v>wQ</v>
      </c>
      <c r="AL97" s="11" t="str">
        <f aca="false">IF($P97=0,AL96,IF(AL$3=$E97,IF($AA97=1,$F97&amp;$AB97,$G97),IF(OR(AL$3=$D97,AL$3=$AC97,AL$3=$AE97),"",IF(AL$3=$AD97,$F97&amp;"R",AL96))))</f>
        <v>wK</v>
      </c>
      <c r="AM97" s="11" t="str">
        <f aca="false">IF($P97=0,AM96,IF(AM$3=$E97,IF($AA97=1,$F97&amp;$AB97,$G97),IF(OR(AM$3=$D97,AM$3=$AC97,AM$3=$AE97),"",IF(AM$3=$AD97,$F97&amp;"R",AM96))))</f>
        <v>wB</v>
      </c>
      <c r="AN97" s="11" t="str">
        <f aca="false">IF($P97=0,AN96,IF(AN$3=$E97,IF($AA97=1,$F97&amp;$AB97,$G97),IF(OR(AN$3=$D97,AN$3=$AC97,AN$3=$AE97),"",IF(AN$3=$AD97,$F97&amp;"R",AN96))))</f>
        <v>wN</v>
      </c>
      <c r="AO97" s="11" t="str">
        <f aca="false">IF($P97=0,AO96,IF(AO$3=$E97,IF($AA97=1,$F97&amp;$AB97,$G97),IF(OR(AO$3=$D97,AO$3=$AC97,AO$3=$AE97),"",IF(AO$3=$AD97,$F97&amp;"R",AO96))))</f>
        <v>wR</v>
      </c>
      <c r="AP97" s="11" t="str">
        <f aca="false">IF($P97=0,AP96,IF(AP$3=$E97,IF($AA97=1,$F97&amp;$AB97,$G97),IF(OR(AP$3=$D97,AP$3=$AC97,AP$3=$AE97),"",IF(AP$3=$AD97,$F97&amp;"R",AP96))))</f>
        <v>wP</v>
      </c>
      <c r="AQ97" s="11" t="str">
        <f aca="false">IF($P97=0,AQ96,IF(AQ$3=$E97,IF($AA97=1,$F97&amp;$AB97,$G97),IF(OR(AQ$3=$D97,AQ$3=$AC97,AQ$3=$AE97),"",IF(AQ$3=$AD97,$F97&amp;"R",AQ96))))</f>
        <v>wP</v>
      </c>
      <c r="AR97" s="11" t="str">
        <f aca="false">IF($P97=0,AR96,IF(AR$3=$E97,IF($AA97=1,$F97&amp;$AB97,$G97),IF(OR(AR$3=$D97,AR$3=$AC97,AR$3=$AE97),"",IF(AR$3=$AD97,$F97&amp;"R",AR96))))</f>
        <v>wP</v>
      </c>
      <c r="AS97" s="11" t="str">
        <f aca="false">IF($P97=0,AS96,IF(AS$3=$E97,IF($AA97=1,$F97&amp;$AB97,$G97),IF(OR(AS$3=$D97,AS$3=$AC97,AS$3=$AE97),"",IF(AS$3=$AD97,$F97&amp;"R",AS96))))</f>
        <v>wP</v>
      </c>
      <c r="AT97" s="11" t="str">
        <f aca="false">IF($P97=0,AT96,IF(AT$3=$E97,IF($AA97=1,$F97&amp;$AB97,$G97),IF(OR(AT$3=$D97,AT$3=$AC97,AT$3=$AE97),"",IF(AT$3=$AD97,$F97&amp;"R",AT96))))</f>
        <v>wP</v>
      </c>
      <c r="AU97" s="11" t="str">
        <f aca="false">IF($P97=0,AU96,IF(AU$3=$E97,IF($AA97=1,$F97&amp;$AB97,$G97),IF(OR(AU$3=$D97,AU$3=$AC97,AU$3=$AE97),"",IF(AU$3=$AD97,$F97&amp;"R",AU96))))</f>
        <v>wP</v>
      </c>
      <c r="AV97" s="11" t="str">
        <f aca="false">IF($P97=0,AV96,IF(AV$3=$E97,IF($AA97=1,$F97&amp;$AB97,$G97),IF(OR(AV$3=$D97,AV$3=$AC97,AV$3=$AE97),"",IF(AV$3=$AD97,$F97&amp;"R",AV96))))</f>
        <v>wP</v>
      </c>
      <c r="AW97" s="11" t="str">
        <f aca="false">IF($P97=0,AW96,IF(AW$3=$E97,IF($AA97=1,$F97&amp;$AB97,$G97),IF(OR(AW$3=$D97,AW$3=$AC97,AW$3=$AE97),"",IF(AW$3=$AD97,$F97&amp;"R",AW96))))</f>
        <v>wP</v>
      </c>
      <c r="AX97" s="11" t="str">
        <f aca="false">IF($P97=0,AX96,IF(AX$3=$E97,IF($AA97=1,$F97&amp;$AB97,$G97),IF(OR(AX$3=$D97,AX$3=$AC97,AX$3=$AE97),"",IF(AX$3=$AD97,$F97&amp;"R",AX96))))</f>
        <v/>
      </c>
      <c r="AY97" s="11" t="str">
        <f aca="false">IF($P97=0,AY96,IF(AY$3=$E97,IF($AA97=1,$F97&amp;$AB97,$G97),IF(OR(AY$3=$D97,AY$3=$AC97,AY$3=$AE97),"",IF(AY$3=$AD97,$F97&amp;"R",AY96))))</f>
        <v/>
      </c>
      <c r="AZ97" s="11" t="str">
        <f aca="false">IF($P97=0,AZ96,IF(AZ$3=$E97,IF($AA97=1,$F97&amp;$AB97,$G97),IF(OR(AZ$3=$D97,AZ$3=$AC97,AZ$3=$AE97),"",IF(AZ$3=$AD97,$F97&amp;"R",AZ96))))</f>
        <v/>
      </c>
      <c r="BA97" s="11" t="str">
        <f aca="false">IF($P97=0,BA96,IF(BA$3=$E97,IF($AA97=1,$F97&amp;$AB97,$G97),IF(OR(BA$3=$D97,BA$3=$AC97,BA$3=$AE97),"",IF(BA$3=$AD97,$F97&amp;"R",BA96))))</f>
        <v/>
      </c>
      <c r="BB97" s="11" t="str">
        <f aca="false">IF($P97=0,BB96,IF(BB$3=$E97,IF($AA97=1,$F97&amp;$AB97,$G97),IF(OR(BB$3=$D97,BB$3=$AC97,BB$3=$AE97),"",IF(BB$3=$AD97,$F97&amp;"R",BB96))))</f>
        <v/>
      </c>
      <c r="BC97" s="11" t="str">
        <f aca="false">IF($P97=0,BC96,IF(BC$3=$E97,IF($AA97=1,$F97&amp;$AB97,$G97),IF(OR(BC$3=$D97,BC$3=$AC97,BC$3=$AE97),"",IF(BC$3=$AD97,$F97&amp;"R",BC96))))</f>
        <v/>
      </c>
      <c r="BD97" s="11" t="str">
        <f aca="false">IF($P97=0,BD96,IF(BD$3=$E97,IF($AA97=1,$F97&amp;$AB97,$G97),IF(OR(BD$3=$D97,BD$3=$AC97,BD$3=$AE97),"",IF(BD$3=$AD97,$F97&amp;"R",BD96))))</f>
        <v/>
      </c>
      <c r="BE97" s="11" t="str">
        <f aca="false">IF($P97=0,BE96,IF(BE$3=$E97,IF($AA97=1,$F97&amp;$AB97,$G97),IF(OR(BE$3=$D97,BE$3=$AC97,BE$3=$AE97),"",IF(BE$3=$AD97,$F97&amp;"R",BE96))))</f>
        <v/>
      </c>
      <c r="BF97" s="11" t="str">
        <f aca="false">IF($P97=0,BF96,IF(BF$3=$E97,IF($AA97=1,$F97&amp;$AB97,$G97),IF(OR(BF$3=$D97,BF$3=$AC97,BF$3=$AE97),"",IF(BF$3=$AD97,$F97&amp;"R",BF96))))</f>
        <v/>
      </c>
      <c r="BG97" s="11" t="str">
        <f aca="false">IF($P97=0,BG96,IF(BG$3=$E97,IF($AA97=1,$F97&amp;$AB97,$G97),IF(OR(BG$3=$D97,BG$3=$AC97,BG$3=$AE97),"",IF(BG$3=$AD97,$F97&amp;"R",BG96))))</f>
        <v/>
      </c>
      <c r="BH97" s="11" t="str">
        <f aca="false">IF($P97=0,BH96,IF(BH$3=$E97,IF($AA97=1,$F97&amp;$AB97,$G97),IF(OR(BH$3=$D97,BH$3=$AC97,BH$3=$AE97),"",IF(BH$3=$AD97,$F97&amp;"R",BH96))))</f>
        <v/>
      </c>
      <c r="BI97" s="11" t="str">
        <f aca="false">IF($P97=0,BI96,IF(BI$3=$E97,IF($AA97=1,$F97&amp;$AB97,$G97),IF(OR(BI$3=$D97,BI$3=$AC97,BI$3=$AE97),"",IF(BI$3=$AD97,$F97&amp;"R",BI96))))</f>
        <v/>
      </c>
      <c r="BJ97" s="11" t="str">
        <f aca="false">IF($P97=0,BJ96,IF(BJ$3=$E97,IF($AA97=1,$F97&amp;$AB97,$G97),IF(OR(BJ$3=$D97,BJ$3=$AC97,BJ$3=$AE97),"",IF(BJ$3=$AD97,$F97&amp;"R",BJ96))))</f>
        <v/>
      </c>
      <c r="BK97" s="11" t="str">
        <f aca="false">IF($P97=0,BK96,IF(BK$3=$E97,IF($AA97=1,$F97&amp;$AB97,$G97),IF(OR(BK$3=$D97,BK$3=$AC97,BK$3=$AE97),"",IF(BK$3=$AD97,$F97&amp;"R",BK96))))</f>
        <v/>
      </c>
      <c r="BL97" s="11" t="str">
        <f aca="false">IF($P97=0,BL96,IF(BL$3=$E97,IF($AA97=1,$F97&amp;$AB97,$G97),IF(OR(BL$3=$D97,BL$3=$AC97,BL$3=$AE97),"",IF(BL$3=$AD97,$F97&amp;"R",BL96))))</f>
        <v/>
      </c>
      <c r="BM97" s="11" t="str">
        <f aca="false">IF($P97=0,BM96,IF(BM$3=$E97,IF($AA97=1,$F97&amp;$AB97,$G97),IF(OR(BM$3=$D97,BM$3=$AC97,BM$3=$AE97),"",IF(BM$3=$AD97,$F97&amp;"R",BM96))))</f>
        <v/>
      </c>
      <c r="BN97" s="11" t="str">
        <f aca="false">IF($P97=0,BN96,IF(BN$3=$E97,IF($AA97=1,$F97&amp;$AB97,$G97),IF(OR(BN$3=$D97,BN$3=$AC97,BN$3=$AE97),"",IF(BN$3=$AD97,$F97&amp;"R",BN96))))</f>
        <v/>
      </c>
      <c r="BO97" s="11" t="str">
        <f aca="false">IF($P97=0,BO96,IF(BO$3=$E97,IF($AA97=1,$F97&amp;$AB97,$G97),IF(OR(BO$3=$D97,BO$3=$AC97,BO$3=$AE97),"",IF(BO$3=$AD97,$F97&amp;"R",BO96))))</f>
        <v/>
      </c>
      <c r="BP97" s="11" t="str">
        <f aca="false">IF($P97=0,BP96,IF(BP$3=$E97,IF($AA97=1,$F97&amp;$AB97,$G97),IF(OR(BP$3=$D97,BP$3=$AC97,BP$3=$AE97),"",IF(BP$3=$AD97,$F97&amp;"R",BP96))))</f>
        <v/>
      </c>
      <c r="BQ97" s="11" t="str">
        <f aca="false">IF($P97=0,BQ96,IF(BQ$3=$E97,IF($AA97=1,$F97&amp;$AB97,$G97),IF(OR(BQ$3=$D97,BQ$3=$AC97,BQ$3=$AE97),"",IF(BQ$3=$AD97,$F97&amp;"R",BQ96))))</f>
        <v/>
      </c>
      <c r="BR97" s="11" t="str">
        <f aca="false">IF($P97=0,BR96,IF(BR$3=$E97,IF($AA97=1,$F97&amp;$AB97,$G97),IF(OR(BR$3=$D97,BR$3=$AC97,BR$3=$AE97),"",IF(BR$3=$AD97,$F97&amp;"R",BR96))))</f>
        <v/>
      </c>
      <c r="BS97" s="11" t="str">
        <f aca="false">IF($P97=0,BS96,IF(BS$3=$E97,IF($AA97=1,$F97&amp;$AB97,$G97),IF(OR(BS$3=$D97,BS$3=$AC97,BS$3=$AE97),"",IF(BS$3=$AD97,$F97&amp;"R",BS96))))</f>
        <v/>
      </c>
      <c r="BT97" s="11" t="str">
        <f aca="false">IF($P97=0,BT96,IF(BT$3=$E97,IF($AA97=1,$F97&amp;$AB97,$G97),IF(OR(BT$3=$D97,BT$3=$AC97,BT$3=$AE97),"",IF(BT$3=$AD97,$F97&amp;"R",BT96))))</f>
        <v/>
      </c>
      <c r="BU97" s="11" t="str">
        <f aca="false">IF($P97=0,BU96,IF(BU$3=$E97,IF($AA97=1,$F97&amp;$AB97,$G97),IF(OR(BU$3=$D97,BU$3=$AC97,BU$3=$AE97),"",IF(BU$3=$AD97,$F97&amp;"R",BU96))))</f>
        <v/>
      </c>
      <c r="BV97" s="11" t="str">
        <f aca="false">IF($P97=0,BV96,IF(BV$3=$E97,IF($AA97=1,$F97&amp;$AB97,$G97),IF(OR(BV$3=$D97,BV$3=$AC97,BV$3=$AE97),"",IF(BV$3=$AD97,$F97&amp;"R",BV96))))</f>
        <v/>
      </c>
      <c r="BW97" s="11" t="str">
        <f aca="false">IF($P97=0,BW96,IF(BW$3=$E97,IF($AA97=1,$F97&amp;$AB97,$G97),IF(OR(BW$3=$D97,BW$3=$AC97,BW$3=$AE97),"",IF(BW$3=$AD97,$F97&amp;"R",BW96))))</f>
        <v/>
      </c>
      <c r="BX97" s="11" t="str">
        <f aca="false">IF($P97=0,BX96,IF(BX$3=$E97,IF($AA97=1,$F97&amp;$AB97,$G97),IF(OR(BX$3=$D97,BX$3=$AC97,BX$3=$AE97),"",IF(BX$3=$AD97,$F97&amp;"R",BX96))))</f>
        <v/>
      </c>
      <c r="BY97" s="11" t="str">
        <f aca="false">IF($P97=0,BY96,IF(BY$3=$E97,IF($AA97=1,$F97&amp;$AB97,$G97),IF(OR(BY$3=$D97,BY$3=$AC97,BY$3=$AE97),"",IF(BY$3=$AD97,$F97&amp;"R",BY96))))</f>
        <v/>
      </c>
      <c r="BZ97" s="11" t="str">
        <f aca="false">IF($P97=0,BZ96,IF(BZ$3=$E97,IF($AA97=1,$F97&amp;$AB97,$G97),IF(OR(BZ$3=$D97,BZ$3=$AC97,BZ$3=$AE97),"",IF(BZ$3=$AD97,$F97&amp;"R",BZ96))))</f>
        <v/>
      </c>
      <c r="CA97" s="11" t="str">
        <f aca="false">IF($P97=0,CA96,IF(CA$3=$E97,IF($AA97=1,$F97&amp;$AB97,$G97),IF(OR(CA$3=$D97,CA$3=$AC97,CA$3=$AE97),"",IF(CA$3=$AD97,$F97&amp;"R",CA96))))</f>
        <v/>
      </c>
      <c r="CB97" s="11" t="str">
        <f aca="false">IF($P97=0,CB96,IF(CB$3=$E97,IF($AA97=1,$F97&amp;$AB97,$G97),IF(OR(CB$3=$D97,CB$3=$AC97,CB$3=$AE97),"",IF(CB$3=$AD97,$F97&amp;"R",CB96))))</f>
        <v/>
      </c>
      <c r="CC97" s="11" t="str">
        <f aca="false">IF($P97=0,CC96,IF(CC$3=$E97,IF($AA97=1,$F97&amp;$AB97,$G97),IF(OR(CC$3=$D97,CC$3=$AC97,CC$3=$AE97),"",IF(CC$3=$AD97,$F97&amp;"R",CC96))))</f>
        <v/>
      </c>
      <c r="CD97" s="11" t="str">
        <f aca="false">IF($P97=0,CD96,IF(CD$3=$E97,IF($AA97=1,$F97&amp;$AB97,$G97),IF(OR(CD$3=$D97,CD$3=$AC97,CD$3=$AE97),"",IF(CD$3=$AD97,$F97&amp;"R",CD96))))</f>
        <v>bP</v>
      </c>
      <c r="CE97" s="11" t="str">
        <f aca="false">IF($P97=0,CE96,IF(CE$3=$E97,IF($AA97=1,$F97&amp;$AB97,$G97),IF(OR(CE$3=$D97,CE$3=$AC97,CE$3=$AE97),"",IF(CE$3=$AD97,$F97&amp;"R",CE96))))</f>
        <v>bP</v>
      </c>
      <c r="CF97" s="11" t="str">
        <f aca="false">IF($P97=0,CF96,IF(CF$3=$E97,IF($AA97=1,$F97&amp;$AB97,$G97),IF(OR(CF$3=$D97,CF$3=$AC97,CF$3=$AE97),"",IF(CF$3=$AD97,$F97&amp;"R",CF96))))</f>
        <v>bP</v>
      </c>
      <c r="CG97" s="11" t="str">
        <f aca="false">IF($P97=0,CG96,IF(CG$3=$E97,IF($AA97=1,$F97&amp;$AB97,$G97),IF(OR(CG$3=$D97,CG$3=$AC97,CG$3=$AE97),"",IF(CG$3=$AD97,$F97&amp;"R",CG96))))</f>
        <v>bP</v>
      </c>
      <c r="CH97" s="11" t="str">
        <f aca="false">IF($P97=0,CH96,IF(CH$3=$E97,IF($AA97=1,$F97&amp;$AB97,$G97),IF(OR(CH$3=$D97,CH$3=$AC97,CH$3=$AE97),"",IF(CH$3=$AD97,$F97&amp;"R",CH96))))</f>
        <v>bP</v>
      </c>
      <c r="CI97" s="11" t="str">
        <f aca="false">IF($P97=0,CI96,IF(CI$3=$E97,IF($AA97=1,$F97&amp;$AB97,$G97),IF(OR(CI$3=$D97,CI$3=$AC97,CI$3=$AE97),"",IF(CI$3=$AD97,$F97&amp;"R",CI96))))</f>
        <v>bP</v>
      </c>
      <c r="CJ97" s="11" t="str">
        <f aca="false">IF($P97=0,CJ96,IF(CJ$3=$E97,IF($AA97=1,$F97&amp;$AB97,$G97),IF(OR(CJ$3=$D97,CJ$3=$AC97,CJ$3=$AE97),"",IF(CJ$3=$AD97,$F97&amp;"R",CJ96))))</f>
        <v>bP</v>
      </c>
      <c r="CK97" s="11" t="str">
        <f aca="false">IF($P97=0,CK96,IF(CK$3=$E97,IF($AA97=1,$F97&amp;$AB97,$G97),IF(OR(CK$3=$D97,CK$3=$AC97,CK$3=$AE97),"",IF(CK$3=$AD97,$F97&amp;"R",CK96))))</f>
        <v>bP</v>
      </c>
      <c r="CL97" s="11" t="str">
        <f aca="false">IF($P97=0,CL96,IF(CL$3=$E97,IF($AA97=1,$F97&amp;$AB97,$G97),IF(OR(CL$3=$D97,CL$3=$AC97,CL$3=$AE97),"",IF(CL$3=$AD97,$F97&amp;"R",CL96))))</f>
        <v>bR</v>
      </c>
      <c r="CM97" s="11" t="str">
        <f aca="false">IF($P97=0,CM96,IF(CM$3=$E97,IF($AA97=1,$F97&amp;$AB97,$G97),IF(OR(CM$3=$D97,CM$3=$AC97,CM$3=$AE97),"",IF(CM$3=$AD97,$F97&amp;"R",CM96))))</f>
        <v>bN</v>
      </c>
      <c r="CN97" s="11" t="str">
        <f aca="false">IF($P97=0,CN96,IF(CN$3=$E97,IF($AA97=1,$F97&amp;$AB97,$G97),IF(OR(CN$3=$D97,CN$3=$AC97,CN$3=$AE97),"",IF(CN$3=$AD97,$F97&amp;"R",CN96))))</f>
        <v>bB</v>
      </c>
      <c r="CO97" s="11" t="str">
        <f aca="false">IF($P97=0,CO96,IF(CO$3=$E97,IF($AA97=1,$F97&amp;$AB97,$G97),IF(OR(CO$3=$D97,CO$3=$AC97,CO$3=$AE97),"",IF(CO$3=$AD97,$F97&amp;"R",CO96))))</f>
        <v>bQ</v>
      </c>
      <c r="CP97" s="11" t="str">
        <f aca="false">IF($P97=0,CP96,IF(CP$3=$E97,IF($AA97=1,$F97&amp;$AB97,$G97),IF(OR(CP$3=$D97,CP$3=$AC97,CP$3=$AE97),"",IF(CP$3=$AD97,$F97&amp;"R",CP96))))</f>
        <v>bK</v>
      </c>
      <c r="CQ97" s="11" t="str">
        <f aca="false">IF($P97=0,CQ96,IF(CQ$3=$E97,IF($AA97=1,$F97&amp;$AB97,$G97),IF(OR(CQ$3=$D97,CQ$3=$AC97,CQ$3=$AE97),"",IF(CQ$3=$AD97,$F97&amp;"R",CQ96))))</f>
        <v>bB</v>
      </c>
      <c r="CR97" s="11" t="str">
        <f aca="false">IF($P97=0,CR96,IF(CR$3=$E97,IF($AA97=1,$F97&amp;$AB97,$G97),IF(OR(CR$3=$D97,CR$3=$AC97,CR$3=$AE97),"",IF(CR$3=$AD97,$F97&amp;"R",CR96))))</f>
        <v>bN</v>
      </c>
      <c r="CS97" s="11" t="str">
        <f aca="false">IF($P97=0,CS96,IF(CS$3=$E97,IF($AA97=1,$F97&amp;$AB97,$G97),IF(OR(CS$3=$D97,CS$3=$AC97,CS$3=$AE97),"",IF(CS$3=$AD97,$F97&amp;"R",CS96))))</f>
        <v>bR</v>
      </c>
      <c r="CT97" s="11"/>
      <c r="CU97" s="11"/>
      <c r="CV97" s="11"/>
    </row>
    <row r="98" customFormat="false" ht="15" hidden="false" customHeight="false" outlineLevel="0" collapsed="false">
      <c r="A98" s="11" t="n">
        <v>93</v>
      </c>
      <c r="B98" s="11" t="str">
        <f aca="false">IF(Chess!$L$102="","",Chess!$L$102&amp;"")</f>
        <v/>
      </c>
      <c r="C98" s="11" t="str">
        <f aca="false">LOWER(SUBSTITUTE(SUBSTITUTE(SUBSTITUTE(SUBSTITUTE(TRIM($B98),"-",""),"=","")," ",""),"x",""))</f>
        <v/>
      </c>
      <c r="D98" s="11" t="n">
        <f aca="false">IF(LEN($C98)&lt;4,0,IFERROR(IF(AND(CODE(MID($C98,1,1))&gt;=97,CODE(MID($C98,1,1))&lt;=104,VALUE(MID($C98,2,1))&gt;=1,VALUE(MID($C98,2,1))&lt;=8),(VALUE(MID($C98,2,1))-1)*8+CODE(MID($C98,1,1))-96,0),0))</f>
        <v>0</v>
      </c>
      <c r="E98" s="11" t="n">
        <f aca="false">IF(LEN($C98)&lt;4,0,IFERROR(IF(AND(CODE(MID($C98,3,1))&gt;=97,CODE(MID($C98,3,1))&lt;=104,VALUE(MID($C98,4,1))&gt;=1,VALUE(MID($C98,4,1))&lt;=8),(VALUE(MID($C98,4,1))-1)*8+CODE(MID($C98,3,1))-96,0),0))</f>
        <v>0</v>
      </c>
      <c r="F98" s="11" t="str">
        <f aca="false">IF(MOD(SUM($P$5:$P97),2)=0,"w","b")</f>
        <v>w</v>
      </c>
      <c r="G98" s="11" t="str">
        <f aca="false">IF($D98=0,"",INDEX($AH97:$CS97,1,$D98)&amp;"")</f>
        <v/>
      </c>
      <c r="H98" s="11" t="str">
        <f aca="false">IF($E98=0,"",INDEX($AH97:$CS97,1,$E98)&amp;"")</f>
        <v/>
      </c>
      <c r="I98" s="11" t="n">
        <f aca="false">IF(OR($D98=0,$E98=0),0,MOD($E98-1,8)-MOD($D98-1,8))</f>
        <v>0</v>
      </c>
      <c r="J98" s="11" t="n">
        <f aca="false">IF(OR($D98=0,$E98=0),0,INT(($E98-1)/8)-INT(($D98-1)/8))</f>
        <v>0</v>
      </c>
      <c r="K98" s="11" t="str">
        <f aca="false">IF($G98="","",RIGHT($G98,1))</f>
        <v/>
      </c>
      <c r="L98" s="11" t="n">
        <f aca="false">IF(OR($D98=0,$E98=0),0,SUMPRODUCT(($AH$3:$CS$3&gt;MIN($D98,$E98))*($AH$3:$CS$3&lt;MAX($D98,$E98))*(MOD($AH$3:$CS$3-MIN($D98,$E98),MAX(1,ABS(SIGN($J98)*8+SIGN($I98))))=0)*($AH97:$CS97&lt;&gt;"")))</f>
        <v>0</v>
      </c>
      <c r="M98" s="11" t="n">
        <f aca="false">IF($K98&lt;&gt;"K",0,IFERROR(--AND($J98=0,ABS($I98)=2,$D98=IF($F98="w",5,61),IF($F98="w",$S97,$V97)=0,IF($I98=2,AND(IF($F98="w",$U97,$X97)=0,INDEX($AH97:$CS97,1,$D98+1)&amp;""="",INDEX($AH97:$CS97,1,$D98+2)&amp;""=""),AND(IF($F98="w",$T97,$W97)=0,INDEX($AH97:$CS97,1,$D98-1)&amp;""="",INDEX($AH97:$CS97,1,$D98-2)&amp;""="",INDEX($AH97:$CS97,1,$D98-3)&amp;""=""))),0))</f>
        <v>0</v>
      </c>
      <c r="N98" s="11" t="n">
        <f aca="false">IF($K98&lt;&gt;"P",0,IFERROR(--OR(AND($I98=0,$J98=IF($F98="w",1,-1),$H98=""),AND($I98=0,$J98=2*IF($F98="w",1,-1),$H98="",INT(($D98-1)/8)=IF($F98="w",1,6),INDEX($AH97:$CS97,1,MAX(1,MIN(64,$D98+8*IF($F98="w",1,-1))))&amp;""=""),AND(ABS($I98)=1,$J98=IF($F98="w",1,-1),$H98&lt;&gt;""),AND(ABS($I98)=1,$J98=IF($F98="w",1,-1),$H98="",$R97&gt;0,$E98=$R97)),0))</f>
        <v>0</v>
      </c>
      <c r="O98" s="11" t="n">
        <f aca="false">IF(OR($D98=0,$E98=0,$G98=""),0,IF($K98="N",--OR(AND(ABS($I98)=1,ABS($J98)=2),AND(ABS($I98)=2,ABS($J98)=1)),IF($K98="B",--AND(ABS($I98)=ABS($J98),$I98&lt;&gt;0,$L98=0),IF($K98="R",--AND(OR($I98=0,$J98=0),OR($I98&lt;&gt;0,$J98&lt;&gt;0),$L98=0),IF($K98="Q",--AND(OR(AND(ABS($I98)=ABS($J98),$I98&lt;&gt;0),AND(OR($I98=0,$J98=0),OR($I98&lt;&gt;0,$J98&lt;&gt;0))),$L98=0),IF($K98="K",--OR(MAX(ABS($I98),ABS($J98))=1,$M98=1),$N98))))))</f>
        <v>0</v>
      </c>
      <c r="P98" s="11" t="n">
        <f aca="false">IF($Q98="OK",1,0)</f>
        <v>0</v>
      </c>
      <c r="Q98" s="11" t="str">
        <f aca="false">IF($B98="","",IF(OR(COUNTIF($AH97:$CS97,"wK")=0,COUNTIF($AH97:$CS97,"bK")=0),"Game is over",IF(OR($D98=0,$E98=0),"Use the format e2e4",IF($G98="","No piece on that square",IF(LEFT($G98,1)&lt;&gt;$F98,"Not your piece ("&amp;IF($F98="w","White","Black")&amp;" to move)",IF($D98=$E98,"Piece must move",IF(AND($H98&lt;&gt;"",LEFT($H98,1)=$F98),"Cannot capture your own piece",IF($O98=0,"Illegal move for that piece (or path blocked)","OK"))))))))</f>
        <v/>
      </c>
      <c r="R98" s="11" t="n">
        <f aca="false">IF($P98=1,IF(AND($K98="P",ABS($J98)=2),($D98+$E98)/2,0),$R97)</f>
        <v>0</v>
      </c>
      <c r="S98" s="12" t="b">
        <f aca="false">--OR($S97=1,AND($P98=1,OR($D98=5,$E98=5)))</f>
        <v>0</v>
      </c>
      <c r="T98" s="12" t="b">
        <f aca="false">--OR($T97=1,AND($P98=1,OR($D98=1,$E98=1)))</f>
        <v>0</v>
      </c>
      <c r="U98" s="12" t="b">
        <f aca="false">--OR($U97=1,AND($P98=1,OR($D98=8,$E98=8)))</f>
        <v>0</v>
      </c>
      <c r="V98" s="12" t="b">
        <f aca="false">--OR($V97=1,AND($P98=1,OR($D98=61,$E98=61)))</f>
        <v>0</v>
      </c>
      <c r="W98" s="12" t="b">
        <f aca="false">--OR($W97=1,AND($P98=1,OR($D98=57,$E98=57)))</f>
        <v>0</v>
      </c>
      <c r="X98" s="12" t="b">
        <f aca="false">--OR($X97=1,AND($P98=1,OR($D98=64,$E98=64)))</f>
        <v>0</v>
      </c>
      <c r="Y98" s="12" t="b">
        <f aca="false">--AND($P98=1,$K98="K",ABS($I98)=2)</f>
        <v>0</v>
      </c>
      <c r="Z98" s="12" t="b">
        <f aca="false">--AND($P98=1,$K98="P",ABS($I98)=1,$H98="")</f>
        <v>0</v>
      </c>
      <c r="AA98" s="12" t="b">
        <f aca="false">--AND($P98=1,$K98="P",INT(($E98-1)/8)=IF($F98="w",7,0))</f>
        <v>0</v>
      </c>
      <c r="AB98" s="11" t="str">
        <f aca="false">IF(LEN($C98)&gt;=5,IF(ISNUMBER(FIND(MID($C98,5,1),"qrbn")),UPPER(MID($C98,5,1)),"Q"),"Q")</f>
        <v>Q</v>
      </c>
      <c r="AC98" s="11" t="n">
        <f aca="false">IF($Y98=1,IF($I98=2,$D98+3,$D98-4),0)</f>
        <v>0</v>
      </c>
      <c r="AD98" s="11" t="n">
        <f aca="false">IF($Y98=1,IF($I98=2,$D98+1,$D98-1),0)</f>
        <v>0</v>
      </c>
      <c r="AE98" s="11" t="n">
        <f aca="false">IF($Z98=1,$E98-8*IF($F98="w",1,-1),0)</f>
        <v>0</v>
      </c>
      <c r="AF98" s="11" t="str">
        <f aca="false">IF($B98="","",IF($P98=1,LOWER(INDEX($CV$2:$CV$13,MATCH($G98,$CU$2:$CU$13,0)))&amp;" "&amp;MID("abcdefgh",MOD($D98-1,8)+1,1)&amp;(INT(($D98-1)/8)+1)&amp;"→"&amp;MID("abcdefgh",MOD($E98-1,8)+1,1)&amp;(INT(($E98-1)/8)+1)&amp;IF(OR($H98&lt;&gt;"",$Z98=1)," ×","")&amp;IF($Y98=1," castles","")&amp;IF($Z98=1," e.p.","")&amp;IF($AA98=1," =" &amp;LOWER(INDEX($CV$2:$CV$13,MATCH($F98&amp;$AB98,$CU$2:$CU$13,0))),""),"X "&amp;$Q98))</f>
        <v/>
      </c>
      <c r="AG98" s="11"/>
      <c r="AH98" s="11" t="str">
        <f aca="false">IF($P98=0,AH97,IF(AH$3=$E98,IF($AA98=1,$F98&amp;$AB98,$G98),IF(OR(AH$3=$D98,AH$3=$AC98,AH$3=$AE98),"",IF(AH$3=$AD98,$F98&amp;"R",AH97))))</f>
        <v>wR</v>
      </c>
      <c r="AI98" s="11" t="str">
        <f aca="false">IF($P98=0,AI97,IF(AI$3=$E98,IF($AA98=1,$F98&amp;$AB98,$G98),IF(OR(AI$3=$D98,AI$3=$AC98,AI$3=$AE98),"",IF(AI$3=$AD98,$F98&amp;"R",AI97))))</f>
        <v>wN</v>
      </c>
      <c r="AJ98" s="11" t="str">
        <f aca="false">IF($P98=0,AJ97,IF(AJ$3=$E98,IF($AA98=1,$F98&amp;$AB98,$G98),IF(OR(AJ$3=$D98,AJ$3=$AC98,AJ$3=$AE98),"",IF(AJ$3=$AD98,$F98&amp;"R",AJ97))))</f>
        <v>wB</v>
      </c>
      <c r="AK98" s="11" t="str">
        <f aca="false">IF($P98=0,AK97,IF(AK$3=$E98,IF($AA98=1,$F98&amp;$AB98,$G98),IF(OR(AK$3=$D98,AK$3=$AC98,AK$3=$AE98),"",IF(AK$3=$AD98,$F98&amp;"R",AK97))))</f>
        <v>wQ</v>
      </c>
      <c r="AL98" s="11" t="str">
        <f aca="false">IF($P98=0,AL97,IF(AL$3=$E98,IF($AA98=1,$F98&amp;$AB98,$G98),IF(OR(AL$3=$D98,AL$3=$AC98,AL$3=$AE98),"",IF(AL$3=$AD98,$F98&amp;"R",AL97))))</f>
        <v>wK</v>
      </c>
      <c r="AM98" s="11" t="str">
        <f aca="false">IF($P98=0,AM97,IF(AM$3=$E98,IF($AA98=1,$F98&amp;$AB98,$G98),IF(OR(AM$3=$D98,AM$3=$AC98,AM$3=$AE98),"",IF(AM$3=$AD98,$F98&amp;"R",AM97))))</f>
        <v>wB</v>
      </c>
      <c r="AN98" s="11" t="str">
        <f aca="false">IF($P98=0,AN97,IF(AN$3=$E98,IF($AA98=1,$F98&amp;$AB98,$G98),IF(OR(AN$3=$D98,AN$3=$AC98,AN$3=$AE98),"",IF(AN$3=$AD98,$F98&amp;"R",AN97))))</f>
        <v>wN</v>
      </c>
      <c r="AO98" s="11" t="str">
        <f aca="false">IF($P98=0,AO97,IF(AO$3=$E98,IF($AA98=1,$F98&amp;$AB98,$G98),IF(OR(AO$3=$D98,AO$3=$AC98,AO$3=$AE98),"",IF(AO$3=$AD98,$F98&amp;"R",AO97))))</f>
        <v>wR</v>
      </c>
      <c r="AP98" s="11" t="str">
        <f aca="false">IF($P98=0,AP97,IF(AP$3=$E98,IF($AA98=1,$F98&amp;$AB98,$G98),IF(OR(AP$3=$D98,AP$3=$AC98,AP$3=$AE98),"",IF(AP$3=$AD98,$F98&amp;"R",AP97))))</f>
        <v>wP</v>
      </c>
      <c r="AQ98" s="11" t="str">
        <f aca="false">IF($P98=0,AQ97,IF(AQ$3=$E98,IF($AA98=1,$F98&amp;$AB98,$G98),IF(OR(AQ$3=$D98,AQ$3=$AC98,AQ$3=$AE98),"",IF(AQ$3=$AD98,$F98&amp;"R",AQ97))))</f>
        <v>wP</v>
      </c>
      <c r="AR98" s="11" t="str">
        <f aca="false">IF($P98=0,AR97,IF(AR$3=$E98,IF($AA98=1,$F98&amp;$AB98,$G98),IF(OR(AR$3=$D98,AR$3=$AC98,AR$3=$AE98),"",IF(AR$3=$AD98,$F98&amp;"R",AR97))))</f>
        <v>wP</v>
      </c>
      <c r="AS98" s="11" t="str">
        <f aca="false">IF($P98=0,AS97,IF(AS$3=$E98,IF($AA98=1,$F98&amp;$AB98,$G98),IF(OR(AS$3=$D98,AS$3=$AC98,AS$3=$AE98),"",IF(AS$3=$AD98,$F98&amp;"R",AS97))))</f>
        <v>wP</v>
      </c>
      <c r="AT98" s="11" t="str">
        <f aca="false">IF($P98=0,AT97,IF(AT$3=$E98,IF($AA98=1,$F98&amp;$AB98,$G98),IF(OR(AT$3=$D98,AT$3=$AC98,AT$3=$AE98),"",IF(AT$3=$AD98,$F98&amp;"R",AT97))))</f>
        <v>wP</v>
      </c>
      <c r="AU98" s="11" t="str">
        <f aca="false">IF($P98=0,AU97,IF(AU$3=$E98,IF($AA98=1,$F98&amp;$AB98,$G98),IF(OR(AU$3=$D98,AU$3=$AC98,AU$3=$AE98),"",IF(AU$3=$AD98,$F98&amp;"R",AU97))))</f>
        <v>wP</v>
      </c>
      <c r="AV98" s="11" t="str">
        <f aca="false">IF($P98=0,AV97,IF(AV$3=$E98,IF($AA98=1,$F98&amp;$AB98,$G98),IF(OR(AV$3=$D98,AV$3=$AC98,AV$3=$AE98),"",IF(AV$3=$AD98,$F98&amp;"R",AV97))))</f>
        <v>wP</v>
      </c>
      <c r="AW98" s="11" t="str">
        <f aca="false">IF($P98=0,AW97,IF(AW$3=$E98,IF($AA98=1,$F98&amp;$AB98,$G98),IF(OR(AW$3=$D98,AW$3=$AC98,AW$3=$AE98),"",IF(AW$3=$AD98,$F98&amp;"R",AW97))))</f>
        <v>wP</v>
      </c>
      <c r="AX98" s="11" t="str">
        <f aca="false">IF($P98=0,AX97,IF(AX$3=$E98,IF($AA98=1,$F98&amp;$AB98,$G98),IF(OR(AX$3=$D98,AX$3=$AC98,AX$3=$AE98),"",IF(AX$3=$AD98,$F98&amp;"R",AX97))))</f>
        <v/>
      </c>
      <c r="AY98" s="11" t="str">
        <f aca="false">IF($P98=0,AY97,IF(AY$3=$E98,IF($AA98=1,$F98&amp;$AB98,$G98),IF(OR(AY$3=$D98,AY$3=$AC98,AY$3=$AE98),"",IF(AY$3=$AD98,$F98&amp;"R",AY97))))</f>
        <v/>
      </c>
      <c r="AZ98" s="11" t="str">
        <f aca="false">IF($P98=0,AZ97,IF(AZ$3=$E98,IF($AA98=1,$F98&amp;$AB98,$G98),IF(OR(AZ$3=$D98,AZ$3=$AC98,AZ$3=$AE98),"",IF(AZ$3=$AD98,$F98&amp;"R",AZ97))))</f>
        <v/>
      </c>
      <c r="BA98" s="11" t="str">
        <f aca="false">IF($P98=0,BA97,IF(BA$3=$E98,IF($AA98=1,$F98&amp;$AB98,$G98),IF(OR(BA$3=$D98,BA$3=$AC98,BA$3=$AE98),"",IF(BA$3=$AD98,$F98&amp;"R",BA97))))</f>
        <v/>
      </c>
      <c r="BB98" s="11" t="str">
        <f aca="false">IF($P98=0,BB97,IF(BB$3=$E98,IF($AA98=1,$F98&amp;$AB98,$G98),IF(OR(BB$3=$D98,BB$3=$AC98,BB$3=$AE98),"",IF(BB$3=$AD98,$F98&amp;"R",BB97))))</f>
        <v/>
      </c>
      <c r="BC98" s="11" t="str">
        <f aca="false">IF($P98=0,BC97,IF(BC$3=$E98,IF($AA98=1,$F98&amp;$AB98,$G98),IF(OR(BC$3=$D98,BC$3=$AC98,BC$3=$AE98),"",IF(BC$3=$AD98,$F98&amp;"R",BC97))))</f>
        <v/>
      </c>
      <c r="BD98" s="11" t="str">
        <f aca="false">IF($P98=0,BD97,IF(BD$3=$E98,IF($AA98=1,$F98&amp;$AB98,$G98),IF(OR(BD$3=$D98,BD$3=$AC98,BD$3=$AE98),"",IF(BD$3=$AD98,$F98&amp;"R",BD97))))</f>
        <v/>
      </c>
      <c r="BE98" s="11" t="str">
        <f aca="false">IF($P98=0,BE97,IF(BE$3=$E98,IF($AA98=1,$F98&amp;$AB98,$G98),IF(OR(BE$3=$D98,BE$3=$AC98,BE$3=$AE98),"",IF(BE$3=$AD98,$F98&amp;"R",BE97))))</f>
        <v/>
      </c>
      <c r="BF98" s="11" t="str">
        <f aca="false">IF($P98=0,BF97,IF(BF$3=$E98,IF($AA98=1,$F98&amp;$AB98,$G98),IF(OR(BF$3=$D98,BF$3=$AC98,BF$3=$AE98),"",IF(BF$3=$AD98,$F98&amp;"R",BF97))))</f>
        <v/>
      </c>
      <c r="BG98" s="11" t="str">
        <f aca="false">IF($P98=0,BG97,IF(BG$3=$E98,IF($AA98=1,$F98&amp;$AB98,$G98),IF(OR(BG$3=$D98,BG$3=$AC98,BG$3=$AE98),"",IF(BG$3=$AD98,$F98&amp;"R",BG97))))</f>
        <v/>
      </c>
      <c r="BH98" s="11" t="str">
        <f aca="false">IF($P98=0,BH97,IF(BH$3=$E98,IF($AA98=1,$F98&amp;$AB98,$G98),IF(OR(BH$3=$D98,BH$3=$AC98,BH$3=$AE98),"",IF(BH$3=$AD98,$F98&amp;"R",BH97))))</f>
        <v/>
      </c>
      <c r="BI98" s="11" t="str">
        <f aca="false">IF($P98=0,BI97,IF(BI$3=$E98,IF($AA98=1,$F98&amp;$AB98,$G98),IF(OR(BI$3=$D98,BI$3=$AC98,BI$3=$AE98),"",IF(BI$3=$AD98,$F98&amp;"R",BI97))))</f>
        <v/>
      </c>
      <c r="BJ98" s="11" t="str">
        <f aca="false">IF($P98=0,BJ97,IF(BJ$3=$E98,IF($AA98=1,$F98&amp;$AB98,$G98),IF(OR(BJ$3=$D98,BJ$3=$AC98,BJ$3=$AE98),"",IF(BJ$3=$AD98,$F98&amp;"R",BJ97))))</f>
        <v/>
      </c>
      <c r="BK98" s="11" t="str">
        <f aca="false">IF($P98=0,BK97,IF(BK$3=$E98,IF($AA98=1,$F98&amp;$AB98,$G98),IF(OR(BK$3=$D98,BK$3=$AC98,BK$3=$AE98),"",IF(BK$3=$AD98,$F98&amp;"R",BK97))))</f>
        <v/>
      </c>
      <c r="BL98" s="11" t="str">
        <f aca="false">IF($P98=0,BL97,IF(BL$3=$E98,IF($AA98=1,$F98&amp;$AB98,$G98),IF(OR(BL$3=$D98,BL$3=$AC98,BL$3=$AE98),"",IF(BL$3=$AD98,$F98&amp;"R",BL97))))</f>
        <v/>
      </c>
      <c r="BM98" s="11" t="str">
        <f aca="false">IF($P98=0,BM97,IF(BM$3=$E98,IF($AA98=1,$F98&amp;$AB98,$G98),IF(OR(BM$3=$D98,BM$3=$AC98,BM$3=$AE98),"",IF(BM$3=$AD98,$F98&amp;"R",BM97))))</f>
        <v/>
      </c>
      <c r="BN98" s="11" t="str">
        <f aca="false">IF($P98=0,BN97,IF(BN$3=$E98,IF($AA98=1,$F98&amp;$AB98,$G98),IF(OR(BN$3=$D98,BN$3=$AC98,BN$3=$AE98),"",IF(BN$3=$AD98,$F98&amp;"R",BN97))))</f>
        <v/>
      </c>
      <c r="BO98" s="11" t="str">
        <f aca="false">IF($P98=0,BO97,IF(BO$3=$E98,IF($AA98=1,$F98&amp;$AB98,$G98),IF(OR(BO$3=$D98,BO$3=$AC98,BO$3=$AE98),"",IF(BO$3=$AD98,$F98&amp;"R",BO97))))</f>
        <v/>
      </c>
      <c r="BP98" s="11" t="str">
        <f aca="false">IF($P98=0,BP97,IF(BP$3=$E98,IF($AA98=1,$F98&amp;$AB98,$G98),IF(OR(BP$3=$D98,BP$3=$AC98,BP$3=$AE98),"",IF(BP$3=$AD98,$F98&amp;"R",BP97))))</f>
        <v/>
      </c>
      <c r="BQ98" s="11" t="str">
        <f aca="false">IF($P98=0,BQ97,IF(BQ$3=$E98,IF($AA98=1,$F98&amp;$AB98,$G98),IF(OR(BQ$3=$D98,BQ$3=$AC98,BQ$3=$AE98),"",IF(BQ$3=$AD98,$F98&amp;"R",BQ97))))</f>
        <v/>
      </c>
      <c r="BR98" s="11" t="str">
        <f aca="false">IF($P98=0,BR97,IF(BR$3=$E98,IF($AA98=1,$F98&amp;$AB98,$G98),IF(OR(BR$3=$D98,BR$3=$AC98,BR$3=$AE98),"",IF(BR$3=$AD98,$F98&amp;"R",BR97))))</f>
        <v/>
      </c>
      <c r="BS98" s="11" t="str">
        <f aca="false">IF($P98=0,BS97,IF(BS$3=$E98,IF($AA98=1,$F98&amp;$AB98,$G98),IF(OR(BS$3=$D98,BS$3=$AC98,BS$3=$AE98),"",IF(BS$3=$AD98,$F98&amp;"R",BS97))))</f>
        <v/>
      </c>
      <c r="BT98" s="11" t="str">
        <f aca="false">IF($P98=0,BT97,IF(BT$3=$E98,IF($AA98=1,$F98&amp;$AB98,$G98),IF(OR(BT$3=$D98,BT$3=$AC98,BT$3=$AE98),"",IF(BT$3=$AD98,$F98&amp;"R",BT97))))</f>
        <v/>
      </c>
      <c r="BU98" s="11" t="str">
        <f aca="false">IF($P98=0,BU97,IF(BU$3=$E98,IF($AA98=1,$F98&amp;$AB98,$G98),IF(OR(BU$3=$D98,BU$3=$AC98,BU$3=$AE98),"",IF(BU$3=$AD98,$F98&amp;"R",BU97))))</f>
        <v/>
      </c>
      <c r="BV98" s="11" t="str">
        <f aca="false">IF($P98=0,BV97,IF(BV$3=$E98,IF($AA98=1,$F98&amp;$AB98,$G98),IF(OR(BV$3=$D98,BV$3=$AC98,BV$3=$AE98),"",IF(BV$3=$AD98,$F98&amp;"R",BV97))))</f>
        <v/>
      </c>
      <c r="BW98" s="11" t="str">
        <f aca="false">IF($P98=0,BW97,IF(BW$3=$E98,IF($AA98=1,$F98&amp;$AB98,$G98),IF(OR(BW$3=$D98,BW$3=$AC98,BW$3=$AE98),"",IF(BW$3=$AD98,$F98&amp;"R",BW97))))</f>
        <v/>
      </c>
      <c r="BX98" s="11" t="str">
        <f aca="false">IF($P98=0,BX97,IF(BX$3=$E98,IF($AA98=1,$F98&amp;$AB98,$G98),IF(OR(BX$3=$D98,BX$3=$AC98,BX$3=$AE98),"",IF(BX$3=$AD98,$F98&amp;"R",BX97))))</f>
        <v/>
      </c>
      <c r="BY98" s="11" t="str">
        <f aca="false">IF($P98=0,BY97,IF(BY$3=$E98,IF($AA98=1,$F98&amp;$AB98,$G98),IF(OR(BY$3=$D98,BY$3=$AC98,BY$3=$AE98),"",IF(BY$3=$AD98,$F98&amp;"R",BY97))))</f>
        <v/>
      </c>
      <c r="BZ98" s="11" t="str">
        <f aca="false">IF($P98=0,BZ97,IF(BZ$3=$E98,IF($AA98=1,$F98&amp;$AB98,$G98),IF(OR(BZ$3=$D98,BZ$3=$AC98,BZ$3=$AE98),"",IF(BZ$3=$AD98,$F98&amp;"R",BZ97))))</f>
        <v/>
      </c>
      <c r="CA98" s="11" t="str">
        <f aca="false">IF($P98=0,CA97,IF(CA$3=$E98,IF($AA98=1,$F98&amp;$AB98,$G98),IF(OR(CA$3=$D98,CA$3=$AC98,CA$3=$AE98),"",IF(CA$3=$AD98,$F98&amp;"R",CA97))))</f>
        <v/>
      </c>
      <c r="CB98" s="11" t="str">
        <f aca="false">IF($P98=0,CB97,IF(CB$3=$E98,IF($AA98=1,$F98&amp;$AB98,$G98),IF(OR(CB$3=$D98,CB$3=$AC98,CB$3=$AE98),"",IF(CB$3=$AD98,$F98&amp;"R",CB97))))</f>
        <v/>
      </c>
      <c r="CC98" s="11" t="str">
        <f aca="false">IF($P98=0,CC97,IF(CC$3=$E98,IF($AA98=1,$F98&amp;$AB98,$G98),IF(OR(CC$3=$D98,CC$3=$AC98,CC$3=$AE98),"",IF(CC$3=$AD98,$F98&amp;"R",CC97))))</f>
        <v/>
      </c>
      <c r="CD98" s="11" t="str">
        <f aca="false">IF($P98=0,CD97,IF(CD$3=$E98,IF($AA98=1,$F98&amp;$AB98,$G98),IF(OR(CD$3=$D98,CD$3=$AC98,CD$3=$AE98),"",IF(CD$3=$AD98,$F98&amp;"R",CD97))))</f>
        <v>bP</v>
      </c>
      <c r="CE98" s="11" t="str">
        <f aca="false">IF($P98=0,CE97,IF(CE$3=$E98,IF($AA98=1,$F98&amp;$AB98,$G98),IF(OR(CE$3=$D98,CE$3=$AC98,CE$3=$AE98),"",IF(CE$3=$AD98,$F98&amp;"R",CE97))))</f>
        <v>bP</v>
      </c>
      <c r="CF98" s="11" t="str">
        <f aca="false">IF($P98=0,CF97,IF(CF$3=$E98,IF($AA98=1,$F98&amp;$AB98,$G98),IF(OR(CF$3=$D98,CF$3=$AC98,CF$3=$AE98),"",IF(CF$3=$AD98,$F98&amp;"R",CF97))))</f>
        <v>bP</v>
      </c>
      <c r="CG98" s="11" t="str">
        <f aca="false">IF($P98=0,CG97,IF(CG$3=$E98,IF($AA98=1,$F98&amp;$AB98,$G98),IF(OR(CG$3=$D98,CG$3=$AC98,CG$3=$AE98),"",IF(CG$3=$AD98,$F98&amp;"R",CG97))))</f>
        <v>bP</v>
      </c>
      <c r="CH98" s="11" t="str">
        <f aca="false">IF($P98=0,CH97,IF(CH$3=$E98,IF($AA98=1,$F98&amp;$AB98,$G98),IF(OR(CH$3=$D98,CH$3=$AC98,CH$3=$AE98),"",IF(CH$3=$AD98,$F98&amp;"R",CH97))))</f>
        <v>bP</v>
      </c>
      <c r="CI98" s="11" t="str">
        <f aca="false">IF($P98=0,CI97,IF(CI$3=$E98,IF($AA98=1,$F98&amp;$AB98,$G98),IF(OR(CI$3=$D98,CI$3=$AC98,CI$3=$AE98),"",IF(CI$3=$AD98,$F98&amp;"R",CI97))))</f>
        <v>bP</v>
      </c>
      <c r="CJ98" s="11" t="str">
        <f aca="false">IF($P98=0,CJ97,IF(CJ$3=$E98,IF($AA98=1,$F98&amp;$AB98,$G98),IF(OR(CJ$3=$D98,CJ$3=$AC98,CJ$3=$AE98),"",IF(CJ$3=$AD98,$F98&amp;"R",CJ97))))</f>
        <v>bP</v>
      </c>
      <c r="CK98" s="11" t="str">
        <f aca="false">IF($P98=0,CK97,IF(CK$3=$E98,IF($AA98=1,$F98&amp;$AB98,$G98),IF(OR(CK$3=$D98,CK$3=$AC98,CK$3=$AE98),"",IF(CK$3=$AD98,$F98&amp;"R",CK97))))</f>
        <v>bP</v>
      </c>
      <c r="CL98" s="11" t="str">
        <f aca="false">IF($P98=0,CL97,IF(CL$3=$E98,IF($AA98=1,$F98&amp;$AB98,$G98),IF(OR(CL$3=$D98,CL$3=$AC98,CL$3=$AE98),"",IF(CL$3=$AD98,$F98&amp;"R",CL97))))</f>
        <v>bR</v>
      </c>
      <c r="CM98" s="11" t="str">
        <f aca="false">IF($P98=0,CM97,IF(CM$3=$E98,IF($AA98=1,$F98&amp;$AB98,$G98),IF(OR(CM$3=$D98,CM$3=$AC98,CM$3=$AE98),"",IF(CM$3=$AD98,$F98&amp;"R",CM97))))</f>
        <v>bN</v>
      </c>
      <c r="CN98" s="11" t="str">
        <f aca="false">IF($P98=0,CN97,IF(CN$3=$E98,IF($AA98=1,$F98&amp;$AB98,$G98),IF(OR(CN$3=$D98,CN$3=$AC98,CN$3=$AE98),"",IF(CN$3=$AD98,$F98&amp;"R",CN97))))</f>
        <v>bB</v>
      </c>
      <c r="CO98" s="11" t="str">
        <f aca="false">IF($P98=0,CO97,IF(CO$3=$E98,IF($AA98=1,$F98&amp;$AB98,$G98),IF(OR(CO$3=$D98,CO$3=$AC98,CO$3=$AE98),"",IF(CO$3=$AD98,$F98&amp;"R",CO97))))</f>
        <v>bQ</v>
      </c>
      <c r="CP98" s="11" t="str">
        <f aca="false">IF($P98=0,CP97,IF(CP$3=$E98,IF($AA98=1,$F98&amp;$AB98,$G98),IF(OR(CP$3=$D98,CP$3=$AC98,CP$3=$AE98),"",IF(CP$3=$AD98,$F98&amp;"R",CP97))))</f>
        <v>bK</v>
      </c>
      <c r="CQ98" s="11" t="str">
        <f aca="false">IF($P98=0,CQ97,IF(CQ$3=$E98,IF($AA98=1,$F98&amp;$AB98,$G98),IF(OR(CQ$3=$D98,CQ$3=$AC98,CQ$3=$AE98),"",IF(CQ$3=$AD98,$F98&amp;"R",CQ97))))</f>
        <v>bB</v>
      </c>
      <c r="CR98" s="11" t="str">
        <f aca="false">IF($P98=0,CR97,IF(CR$3=$E98,IF($AA98=1,$F98&amp;$AB98,$G98),IF(OR(CR$3=$D98,CR$3=$AC98,CR$3=$AE98),"",IF(CR$3=$AD98,$F98&amp;"R",CR97))))</f>
        <v>bN</v>
      </c>
      <c r="CS98" s="11" t="str">
        <f aca="false">IF($P98=0,CS97,IF(CS$3=$E98,IF($AA98=1,$F98&amp;$AB98,$G98),IF(OR(CS$3=$D98,CS$3=$AC98,CS$3=$AE98),"",IF(CS$3=$AD98,$F98&amp;"R",CS97))))</f>
        <v>bR</v>
      </c>
      <c r="CT98" s="11"/>
      <c r="CU98" s="11"/>
      <c r="CV98" s="11"/>
    </row>
    <row r="99" customFormat="false" ht="15" hidden="false" customHeight="false" outlineLevel="0" collapsed="false">
      <c r="A99" s="11" t="n">
        <v>94</v>
      </c>
      <c r="B99" s="11" t="str">
        <f aca="false">IF(Chess!$L$103="","",Chess!$L$103&amp;"")</f>
        <v/>
      </c>
      <c r="C99" s="11" t="str">
        <f aca="false">LOWER(SUBSTITUTE(SUBSTITUTE(SUBSTITUTE(SUBSTITUTE(TRIM($B99),"-",""),"=","")," ",""),"x",""))</f>
        <v/>
      </c>
      <c r="D99" s="11" t="n">
        <f aca="false">IF(LEN($C99)&lt;4,0,IFERROR(IF(AND(CODE(MID($C99,1,1))&gt;=97,CODE(MID($C99,1,1))&lt;=104,VALUE(MID($C99,2,1))&gt;=1,VALUE(MID($C99,2,1))&lt;=8),(VALUE(MID($C99,2,1))-1)*8+CODE(MID($C99,1,1))-96,0),0))</f>
        <v>0</v>
      </c>
      <c r="E99" s="11" t="n">
        <f aca="false">IF(LEN($C99)&lt;4,0,IFERROR(IF(AND(CODE(MID($C99,3,1))&gt;=97,CODE(MID($C99,3,1))&lt;=104,VALUE(MID($C99,4,1))&gt;=1,VALUE(MID($C99,4,1))&lt;=8),(VALUE(MID($C99,4,1))-1)*8+CODE(MID($C99,3,1))-96,0),0))</f>
        <v>0</v>
      </c>
      <c r="F99" s="11" t="str">
        <f aca="false">IF(MOD(SUM($P$5:$P98),2)=0,"w","b")</f>
        <v>w</v>
      </c>
      <c r="G99" s="11" t="str">
        <f aca="false">IF($D99=0,"",INDEX($AH98:$CS98,1,$D99)&amp;"")</f>
        <v/>
      </c>
      <c r="H99" s="11" t="str">
        <f aca="false">IF($E99=0,"",INDEX($AH98:$CS98,1,$E99)&amp;"")</f>
        <v/>
      </c>
      <c r="I99" s="11" t="n">
        <f aca="false">IF(OR($D99=0,$E99=0),0,MOD($E99-1,8)-MOD($D99-1,8))</f>
        <v>0</v>
      </c>
      <c r="J99" s="11" t="n">
        <f aca="false">IF(OR($D99=0,$E99=0),0,INT(($E99-1)/8)-INT(($D99-1)/8))</f>
        <v>0</v>
      </c>
      <c r="K99" s="11" t="str">
        <f aca="false">IF($G99="","",RIGHT($G99,1))</f>
        <v/>
      </c>
      <c r="L99" s="11" t="n">
        <f aca="false">IF(OR($D99=0,$E99=0),0,SUMPRODUCT(($AH$3:$CS$3&gt;MIN($D99,$E99))*($AH$3:$CS$3&lt;MAX($D99,$E99))*(MOD($AH$3:$CS$3-MIN($D99,$E99),MAX(1,ABS(SIGN($J99)*8+SIGN($I99))))=0)*($AH98:$CS98&lt;&gt;"")))</f>
        <v>0</v>
      </c>
      <c r="M99" s="11" t="n">
        <f aca="false">IF($K99&lt;&gt;"K",0,IFERROR(--AND($J99=0,ABS($I99)=2,$D99=IF($F99="w",5,61),IF($F99="w",$S98,$V98)=0,IF($I99=2,AND(IF($F99="w",$U98,$X98)=0,INDEX($AH98:$CS98,1,$D99+1)&amp;""="",INDEX($AH98:$CS98,1,$D99+2)&amp;""=""),AND(IF($F99="w",$T98,$W98)=0,INDEX($AH98:$CS98,1,$D99-1)&amp;""="",INDEX($AH98:$CS98,1,$D99-2)&amp;""="",INDEX($AH98:$CS98,1,$D99-3)&amp;""=""))),0))</f>
        <v>0</v>
      </c>
      <c r="N99" s="11" t="n">
        <f aca="false">IF($K99&lt;&gt;"P",0,IFERROR(--OR(AND($I99=0,$J99=IF($F99="w",1,-1),$H99=""),AND($I99=0,$J99=2*IF($F99="w",1,-1),$H99="",INT(($D99-1)/8)=IF($F99="w",1,6),INDEX($AH98:$CS98,1,MAX(1,MIN(64,$D99+8*IF($F99="w",1,-1))))&amp;""=""),AND(ABS($I99)=1,$J99=IF($F99="w",1,-1),$H99&lt;&gt;""),AND(ABS($I99)=1,$J99=IF($F99="w",1,-1),$H99="",$R98&gt;0,$E99=$R98)),0))</f>
        <v>0</v>
      </c>
      <c r="O99" s="11" t="n">
        <f aca="false">IF(OR($D99=0,$E99=0,$G99=""),0,IF($K99="N",--OR(AND(ABS($I99)=1,ABS($J99)=2),AND(ABS($I99)=2,ABS($J99)=1)),IF($K99="B",--AND(ABS($I99)=ABS($J99),$I99&lt;&gt;0,$L99=0),IF($K99="R",--AND(OR($I99=0,$J99=0),OR($I99&lt;&gt;0,$J99&lt;&gt;0),$L99=0),IF($K99="Q",--AND(OR(AND(ABS($I99)=ABS($J99),$I99&lt;&gt;0),AND(OR($I99=0,$J99=0),OR($I99&lt;&gt;0,$J99&lt;&gt;0))),$L99=0),IF($K99="K",--OR(MAX(ABS($I99),ABS($J99))=1,$M99=1),$N99))))))</f>
        <v>0</v>
      </c>
      <c r="P99" s="11" t="n">
        <f aca="false">IF($Q99="OK",1,0)</f>
        <v>0</v>
      </c>
      <c r="Q99" s="11" t="str">
        <f aca="false">IF($B99="","",IF(OR(COUNTIF($AH98:$CS98,"wK")=0,COUNTIF($AH98:$CS98,"bK")=0),"Game is over",IF(OR($D99=0,$E99=0),"Use the format e2e4",IF($G99="","No piece on that square",IF(LEFT($G99,1)&lt;&gt;$F99,"Not your piece ("&amp;IF($F99="w","White","Black")&amp;" to move)",IF($D99=$E99,"Piece must move",IF(AND($H99&lt;&gt;"",LEFT($H99,1)=$F99),"Cannot capture your own piece",IF($O99=0,"Illegal move for that piece (or path blocked)","OK"))))))))</f>
        <v/>
      </c>
      <c r="R99" s="11" t="n">
        <f aca="false">IF($P99=1,IF(AND($K99="P",ABS($J99)=2),($D99+$E99)/2,0),$R98)</f>
        <v>0</v>
      </c>
      <c r="S99" s="12" t="b">
        <f aca="false">--OR($S98=1,AND($P99=1,OR($D99=5,$E99=5)))</f>
        <v>0</v>
      </c>
      <c r="T99" s="12" t="b">
        <f aca="false">--OR($T98=1,AND($P99=1,OR($D99=1,$E99=1)))</f>
        <v>0</v>
      </c>
      <c r="U99" s="12" t="b">
        <f aca="false">--OR($U98=1,AND($P99=1,OR($D99=8,$E99=8)))</f>
        <v>0</v>
      </c>
      <c r="V99" s="12" t="b">
        <f aca="false">--OR($V98=1,AND($P99=1,OR($D99=61,$E99=61)))</f>
        <v>0</v>
      </c>
      <c r="W99" s="12" t="b">
        <f aca="false">--OR($W98=1,AND($P99=1,OR($D99=57,$E99=57)))</f>
        <v>0</v>
      </c>
      <c r="X99" s="12" t="b">
        <f aca="false">--OR($X98=1,AND($P99=1,OR($D99=64,$E99=64)))</f>
        <v>0</v>
      </c>
      <c r="Y99" s="12" t="b">
        <f aca="false">--AND($P99=1,$K99="K",ABS($I99)=2)</f>
        <v>0</v>
      </c>
      <c r="Z99" s="12" t="b">
        <f aca="false">--AND($P99=1,$K99="P",ABS($I99)=1,$H99="")</f>
        <v>0</v>
      </c>
      <c r="AA99" s="12" t="b">
        <f aca="false">--AND($P99=1,$K99="P",INT(($E99-1)/8)=IF($F99="w",7,0))</f>
        <v>0</v>
      </c>
      <c r="AB99" s="11" t="str">
        <f aca="false">IF(LEN($C99)&gt;=5,IF(ISNUMBER(FIND(MID($C99,5,1),"qrbn")),UPPER(MID($C99,5,1)),"Q"),"Q")</f>
        <v>Q</v>
      </c>
      <c r="AC99" s="11" t="n">
        <f aca="false">IF($Y99=1,IF($I99=2,$D99+3,$D99-4),0)</f>
        <v>0</v>
      </c>
      <c r="AD99" s="11" t="n">
        <f aca="false">IF($Y99=1,IF($I99=2,$D99+1,$D99-1),0)</f>
        <v>0</v>
      </c>
      <c r="AE99" s="11" t="n">
        <f aca="false">IF($Z99=1,$E99-8*IF($F99="w",1,-1),0)</f>
        <v>0</v>
      </c>
      <c r="AF99" s="11" t="str">
        <f aca="false">IF($B99="","",IF($P99=1,LOWER(INDEX($CV$2:$CV$13,MATCH($G99,$CU$2:$CU$13,0)))&amp;" "&amp;MID("abcdefgh",MOD($D99-1,8)+1,1)&amp;(INT(($D99-1)/8)+1)&amp;"→"&amp;MID("abcdefgh",MOD($E99-1,8)+1,1)&amp;(INT(($E99-1)/8)+1)&amp;IF(OR($H99&lt;&gt;"",$Z99=1)," ×","")&amp;IF($Y99=1," castles","")&amp;IF($Z99=1," e.p.","")&amp;IF($AA99=1," =" &amp;LOWER(INDEX($CV$2:$CV$13,MATCH($F99&amp;$AB99,$CU$2:$CU$13,0))),""),"X "&amp;$Q99))</f>
        <v/>
      </c>
      <c r="AG99" s="11"/>
      <c r="AH99" s="11" t="str">
        <f aca="false">IF($P99=0,AH98,IF(AH$3=$E99,IF($AA99=1,$F99&amp;$AB99,$G99),IF(OR(AH$3=$D99,AH$3=$AC99,AH$3=$AE99),"",IF(AH$3=$AD99,$F99&amp;"R",AH98))))</f>
        <v>wR</v>
      </c>
      <c r="AI99" s="11" t="str">
        <f aca="false">IF($P99=0,AI98,IF(AI$3=$E99,IF($AA99=1,$F99&amp;$AB99,$G99),IF(OR(AI$3=$D99,AI$3=$AC99,AI$3=$AE99),"",IF(AI$3=$AD99,$F99&amp;"R",AI98))))</f>
        <v>wN</v>
      </c>
      <c r="AJ99" s="11" t="str">
        <f aca="false">IF($P99=0,AJ98,IF(AJ$3=$E99,IF($AA99=1,$F99&amp;$AB99,$G99),IF(OR(AJ$3=$D99,AJ$3=$AC99,AJ$3=$AE99),"",IF(AJ$3=$AD99,$F99&amp;"R",AJ98))))</f>
        <v>wB</v>
      </c>
      <c r="AK99" s="11" t="str">
        <f aca="false">IF($P99=0,AK98,IF(AK$3=$E99,IF($AA99=1,$F99&amp;$AB99,$G99),IF(OR(AK$3=$D99,AK$3=$AC99,AK$3=$AE99),"",IF(AK$3=$AD99,$F99&amp;"R",AK98))))</f>
        <v>wQ</v>
      </c>
      <c r="AL99" s="11" t="str">
        <f aca="false">IF($P99=0,AL98,IF(AL$3=$E99,IF($AA99=1,$F99&amp;$AB99,$G99),IF(OR(AL$3=$D99,AL$3=$AC99,AL$3=$AE99),"",IF(AL$3=$AD99,$F99&amp;"R",AL98))))</f>
        <v>wK</v>
      </c>
      <c r="AM99" s="11" t="str">
        <f aca="false">IF($P99=0,AM98,IF(AM$3=$E99,IF($AA99=1,$F99&amp;$AB99,$G99),IF(OR(AM$3=$D99,AM$3=$AC99,AM$3=$AE99),"",IF(AM$3=$AD99,$F99&amp;"R",AM98))))</f>
        <v>wB</v>
      </c>
      <c r="AN99" s="11" t="str">
        <f aca="false">IF($P99=0,AN98,IF(AN$3=$E99,IF($AA99=1,$F99&amp;$AB99,$G99),IF(OR(AN$3=$D99,AN$3=$AC99,AN$3=$AE99),"",IF(AN$3=$AD99,$F99&amp;"R",AN98))))</f>
        <v>wN</v>
      </c>
      <c r="AO99" s="11" t="str">
        <f aca="false">IF($P99=0,AO98,IF(AO$3=$E99,IF($AA99=1,$F99&amp;$AB99,$G99),IF(OR(AO$3=$D99,AO$3=$AC99,AO$3=$AE99),"",IF(AO$3=$AD99,$F99&amp;"R",AO98))))</f>
        <v>wR</v>
      </c>
      <c r="AP99" s="11" t="str">
        <f aca="false">IF($P99=0,AP98,IF(AP$3=$E99,IF($AA99=1,$F99&amp;$AB99,$G99),IF(OR(AP$3=$D99,AP$3=$AC99,AP$3=$AE99),"",IF(AP$3=$AD99,$F99&amp;"R",AP98))))</f>
        <v>wP</v>
      </c>
      <c r="AQ99" s="11" t="str">
        <f aca="false">IF($P99=0,AQ98,IF(AQ$3=$E99,IF($AA99=1,$F99&amp;$AB99,$G99),IF(OR(AQ$3=$D99,AQ$3=$AC99,AQ$3=$AE99),"",IF(AQ$3=$AD99,$F99&amp;"R",AQ98))))</f>
        <v>wP</v>
      </c>
      <c r="AR99" s="11" t="str">
        <f aca="false">IF($P99=0,AR98,IF(AR$3=$E99,IF($AA99=1,$F99&amp;$AB99,$G99),IF(OR(AR$3=$D99,AR$3=$AC99,AR$3=$AE99),"",IF(AR$3=$AD99,$F99&amp;"R",AR98))))</f>
        <v>wP</v>
      </c>
      <c r="AS99" s="11" t="str">
        <f aca="false">IF($P99=0,AS98,IF(AS$3=$E99,IF($AA99=1,$F99&amp;$AB99,$G99),IF(OR(AS$3=$D99,AS$3=$AC99,AS$3=$AE99),"",IF(AS$3=$AD99,$F99&amp;"R",AS98))))</f>
        <v>wP</v>
      </c>
      <c r="AT99" s="11" t="str">
        <f aca="false">IF($P99=0,AT98,IF(AT$3=$E99,IF($AA99=1,$F99&amp;$AB99,$G99),IF(OR(AT$3=$D99,AT$3=$AC99,AT$3=$AE99),"",IF(AT$3=$AD99,$F99&amp;"R",AT98))))</f>
        <v>wP</v>
      </c>
      <c r="AU99" s="11" t="str">
        <f aca="false">IF($P99=0,AU98,IF(AU$3=$E99,IF($AA99=1,$F99&amp;$AB99,$G99),IF(OR(AU$3=$D99,AU$3=$AC99,AU$3=$AE99),"",IF(AU$3=$AD99,$F99&amp;"R",AU98))))</f>
        <v>wP</v>
      </c>
      <c r="AV99" s="11" t="str">
        <f aca="false">IF($P99=0,AV98,IF(AV$3=$E99,IF($AA99=1,$F99&amp;$AB99,$G99),IF(OR(AV$3=$D99,AV$3=$AC99,AV$3=$AE99),"",IF(AV$3=$AD99,$F99&amp;"R",AV98))))</f>
        <v>wP</v>
      </c>
      <c r="AW99" s="11" t="str">
        <f aca="false">IF($P99=0,AW98,IF(AW$3=$E99,IF($AA99=1,$F99&amp;$AB99,$G99),IF(OR(AW$3=$D99,AW$3=$AC99,AW$3=$AE99),"",IF(AW$3=$AD99,$F99&amp;"R",AW98))))</f>
        <v>wP</v>
      </c>
      <c r="AX99" s="11" t="str">
        <f aca="false">IF($P99=0,AX98,IF(AX$3=$E99,IF($AA99=1,$F99&amp;$AB99,$G99),IF(OR(AX$3=$D99,AX$3=$AC99,AX$3=$AE99),"",IF(AX$3=$AD99,$F99&amp;"R",AX98))))</f>
        <v/>
      </c>
      <c r="AY99" s="11" t="str">
        <f aca="false">IF($P99=0,AY98,IF(AY$3=$E99,IF($AA99=1,$F99&amp;$AB99,$G99),IF(OR(AY$3=$D99,AY$3=$AC99,AY$3=$AE99),"",IF(AY$3=$AD99,$F99&amp;"R",AY98))))</f>
        <v/>
      </c>
      <c r="AZ99" s="11" t="str">
        <f aca="false">IF($P99=0,AZ98,IF(AZ$3=$E99,IF($AA99=1,$F99&amp;$AB99,$G99),IF(OR(AZ$3=$D99,AZ$3=$AC99,AZ$3=$AE99),"",IF(AZ$3=$AD99,$F99&amp;"R",AZ98))))</f>
        <v/>
      </c>
      <c r="BA99" s="11" t="str">
        <f aca="false">IF($P99=0,BA98,IF(BA$3=$E99,IF($AA99=1,$F99&amp;$AB99,$G99),IF(OR(BA$3=$D99,BA$3=$AC99,BA$3=$AE99),"",IF(BA$3=$AD99,$F99&amp;"R",BA98))))</f>
        <v/>
      </c>
      <c r="BB99" s="11" t="str">
        <f aca="false">IF($P99=0,BB98,IF(BB$3=$E99,IF($AA99=1,$F99&amp;$AB99,$G99),IF(OR(BB$3=$D99,BB$3=$AC99,BB$3=$AE99),"",IF(BB$3=$AD99,$F99&amp;"R",BB98))))</f>
        <v/>
      </c>
      <c r="BC99" s="11" t="str">
        <f aca="false">IF($P99=0,BC98,IF(BC$3=$E99,IF($AA99=1,$F99&amp;$AB99,$G99),IF(OR(BC$3=$D99,BC$3=$AC99,BC$3=$AE99),"",IF(BC$3=$AD99,$F99&amp;"R",BC98))))</f>
        <v/>
      </c>
      <c r="BD99" s="11" t="str">
        <f aca="false">IF($P99=0,BD98,IF(BD$3=$E99,IF($AA99=1,$F99&amp;$AB99,$G99),IF(OR(BD$3=$D99,BD$3=$AC99,BD$3=$AE99),"",IF(BD$3=$AD99,$F99&amp;"R",BD98))))</f>
        <v/>
      </c>
      <c r="BE99" s="11" t="str">
        <f aca="false">IF($P99=0,BE98,IF(BE$3=$E99,IF($AA99=1,$F99&amp;$AB99,$G99),IF(OR(BE$3=$D99,BE$3=$AC99,BE$3=$AE99),"",IF(BE$3=$AD99,$F99&amp;"R",BE98))))</f>
        <v/>
      </c>
      <c r="BF99" s="11" t="str">
        <f aca="false">IF($P99=0,BF98,IF(BF$3=$E99,IF($AA99=1,$F99&amp;$AB99,$G99),IF(OR(BF$3=$D99,BF$3=$AC99,BF$3=$AE99),"",IF(BF$3=$AD99,$F99&amp;"R",BF98))))</f>
        <v/>
      </c>
      <c r="BG99" s="11" t="str">
        <f aca="false">IF($P99=0,BG98,IF(BG$3=$E99,IF($AA99=1,$F99&amp;$AB99,$G99),IF(OR(BG$3=$D99,BG$3=$AC99,BG$3=$AE99),"",IF(BG$3=$AD99,$F99&amp;"R",BG98))))</f>
        <v/>
      </c>
      <c r="BH99" s="11" t="str">
        <f aca="false">IF($P99=0,BH98,IF(BH$3=$E99,IF($AA99=1,$F99&amp;$AB99,$G99),IF(OR(BH$3=$D99,BH$3=$AC99,BH$3=$AE99),"",IF(BH$3=$AD99,$F99&amp;"R",BH98))))</f>
        <v/>
      </c>
      <c r="BI99" s="11" t="str">
        <f aca="false">IF($P99=0,BI98,IF(BI$3=$E99,IF($AA99=1,$F99&amp;$AB99,$G99),IF(OR(BI$3=$D99,BI$3=$AC99,BI$3=$AE99),"",IF(BI$3=$AD99,$F99&amp;"R",BI98))))</f>
        <v/>
      </c>
      <c r="BJ99" s="11" t="str">
        <f aca="false">IF($P99=0,BJ98,IF(BJ$3=$E99,IF($AA99=1,$F99&amp;$AB99,$G99),IF(OR(BJ$3=$D99,BJ$3=$AC99,BJ$3=$AE99),"",IF(BJ$3=$AD99,$F99&amp;"R",BJ98))))</f>
        <v/>
      </c>
      <c r="BK99" s="11" t="str">
        <f aca="false">IF($P99=0,BK98,IF(BK$3=$E99,IF($AA99=1,$F99&amp;$AB99,$G99),IF(OR(BK$3=$D99,BK$3=$AC99,BK$3=$AE99),"",IF(BK$3=$AD99,$F99&amp;"R",BK98))))</f>
        <v/>
      </c>
      <c r="BL99" s="11" t="str">
        <f aca="false">IF($P99=0,BL98,IF(BL$3=$E99,IF($AA99=1,$F99&amp;$AB99,$G99),IF(OR(BL$3=$D99,BL$3=$AC99,BL$3=$AE99),"",IF(BL$3=$AD99,$F99&amp;"R",BL98))))</f>
        <v/>
      </c>
      <c r="BM99" s="11" t="str">
        <f aca="false">IF($P99=0,BM98,IF(BM$3=$E99,IF($AA99=1,$F99&amp;$AB99,$G99),IF(OR(BM$3=$D99,BM$3=$AC99,BM$3=$AE99),"",IF(BM$3=$AD99,$F99&amp;"R",BM98))))</f>
        <v/>
      </c>
      <c r="BN99" s="11" t="str">
        <f aca="false">IF($P99=0,BN98,IF(BN$3=$E99,IF($AA99=1,$F99&amp;$AB99,$G99),IF(OR(BN$3=$D99,BN$3=$AC99,BN$3=$AE99),"",IF(BN$3=$AD99,$F99&amp;"R",BN98))))</f>
        <v/>
      </c>
      <c r="BO99" s="11" t="str">
        <f aca="false">IF($P99=0,BO98,IF(BO$3=$E99,IF($AA99=1,$F99&amp;$AB99,$G99),IF(OR(BO$3=$D99,BO$3=$AC99,BO$3=$AE99),"",IF(BO$3=$AD99,$F99&amp;"R",BO98))))</f>
        <v/>
      </c>
      <c r="BP99" s="11" t="str">
        <f aca="false">IF($P99=0,BP98,IF(BP$3=$E99,IF($AA99=1,$F99&amp;$AB99,$G99),IF(OR(BP$3=$D99,BP$3=$AC99,BP$3=$AE99),"",IF(BP$3=$AD99,$F99&amp;"R",BP98))))</f>
        <v/>
      </c>
      <c r="BQ99" s="11" t="str">
        <f aca="false">IF($P99=0,BQ98,IF(BQ$3=$E99,IF($AA99=1,$F99&amp;$AB99,$G99),IF(OR(BQ$3=$D99,BQ$3=$AC99,BQ$3=$AE99),"",IF(BQ$3=$AD99,$F99&amp;"R",BQ98))))</f>
        <v/>
      </c>
      <c r="BR99" s="11" t="str">
        <f aca="false">IF($P99=0,BR98,IF(BR$3=$E99,IF($AA99=1,$F99&amp;$AB99,$G99),IF(OR(BR$3=$D99,BR$3=$AC99,BR$3=$AE99),"",IF(BR$3=$AD99,$F99&amp;"R",BR98))))</f>
        <v/>
      </c>
      <c r="BS99" s="11" t="str">
        <f aca="false">IF($P99=0,BS98,IF(BS$3=$E99,IF($AA99=1,$F99&amp;$AB99,$G99),IF(OR(BS$3=$D99,BS$3=$AC99,BS$3=$AE99),"",IF(BS$3=$AD99,$F99&amp;"R",BS98))))</f>
        <v/>
      </c>
      <c r="BT99" s="11" t="str">
        <f aca="false">IF($P99=0,BT98,IF(BT$3=$E99,IF($AA99=1,$F99&amp;$AB99,$G99),IF(OR(BT$3=$D99,BT$3=$AC99,BT$3=$AE99),"",IF(BT$3=$AD99,$F99&amp;"R",BT98))))</f>
        <v/>
      </c>
      <c r="BU99" s="11" t="str">
        <f aca="false">IF($P99=0,BU98,IF(BU$3=$E99,IF($AA99=1,$F99&amp;$AB99,$G99),IF(OR(BU$3=$D99,BU$3=$AC99,BU$3=$AE99),"",IF(BU$3=$AD99,$F99&amp;"R",BU98))))</f>
        <v/>
      </c>
      <c r="BV99" s="11" t="str">
        <f aca="false">IF($P99=0,BV98,IF(BV$3=$E99,IF($AA99=1,$F99&amp;$AB99,$G99),IF(OR(BV$3=$D99,BV$3=$AC99,BV$3=$AE99),"",IF(BV$3=$AD99,$F99&amp;"R",BV98))))</f>
        <v/>
      </c>
      <c r="BW99" s="11" t="str">
        <f aca="false">IF($P99=0,BW98,IF(BW$3=$E99,IF($AA99=1,$F99&amp;$AB99,$G99),IF(OR(BW$3=$D99,BW$3=$AC99,BW$3=$AE99),"",IF(BW$3=$AD99,$F99&amp;"R",BW98))))</f>
        <v/>
      </c>
      <c r="BX99" s="11" t="str">
        <f aca="false">IF($P99=0,BX98,IF(BX$3=$E99,IF($AA99=1,$F99&amp;$AB99,$G99),IF(OR(BX$3=$D99,BX$3=$AC99,BX$3=$AE99),"",IF(BX$3=$AD99,$F99&amp;"R",BX98))))</f>
        <v/>
      </c>
      <c r="BY99" s="11" t="str">
        <f aca="false">IF($P99=0,BY98,IF(BY$3=$E99,IF($AA99=1,$F99&amp;$AB99,$G99),IF(OR(BY$3=$D99,BY$3=$AC99,BY$3=$AE99),"",IF(BY$3=$AD99,$F99&amp;"R",BY98))))</f>
        <v/>
      </c>
      <c r="BZ99" s="11" t="str">
        <f aca="false">IF($P99=0,BZ98,IF(BZ$3=$E99,IF($AA99=1,$F99&amp;$AB99,$G99),IF(OR(BZ$3=$D99,BZ$3=$AC99,BZ$3=$AE99),"",IF(BZ$3=$AD99,$F99&amp;"R",BZ98))))</f>
        <v/>
      </c>
      <c r="CA99" s="11" t="str">
        <f aca="false">IF($P99=0,CA98,IF(CA$3=$E99,IF($AA99=1,$F99&amp;$AB99,$G99),IF(OR(CA$3=$D99,CA$3=$AC99,CA$3=$AE99),"",IF(CA$3=$AD99,$F99&amp;"R",CA98))))</f>
        <v/>
      </c>
      <c r="CB99" s="11" t="str">
        <f aca="false">IF($P99=0,CB98,IF(CB$3=$E99,IF($AA99=1,$F99&amp;$AB99,$G99),IF(OR(CB$3=$D99,CB$3=$AC99,CB$3=$AE99),"",IF(CB$3=$AD99,$F99&amp;"R",CB98))))</f>
        <v/>
      </c>
      <c r="CC99" s="11" t="str">
        <f aca="false">IF($P99=0,CC98,IF(CC$3=$E99,IF($AA99=1,$F99&amp;$AB99,$G99),IF(OR(CC$3=$D99,CC$3=$AC99,CC$3=$AE99),"",IF(CC$3=$AD99,$F99&amp;"R",CC98))))</f>
        <v/>
      </c>
      <c r="CD99" s="11" t="str">
        <f aca="false">IF($P99=0,CD98,IF(CD$3=$E99,IF($AA99=1,$F99&amp;$AB99,$G99),IF(OR(CD$3=$D99,CD$3=$AC99,CD$3=$AE99),"",IF(CD$3=$AD99,$F99&amp;"R",CD98))))</f>
        <v>bP</v>
      </c>
      <c r="CE99" s="11" t="str">
        <f aca="false">IF($P99=0,CE98,IF(CE$3=$E99,IF($AA99=1,$F99&amp;$AB99,$G99),IF(OR(CE$3=$D99,CE$3=$AC99,CE$3=$AE99),"",IF(CE$3=$AD99,$F99&amp;"R",CE98))))</f>
        <v>bP</v>
      </c>
      <c r="CF99" s="11" t="str">
        <f aca="false">IF($P99=0,CF98,IF(CF$3=$E99,IF($AA99=1,$F99&amp;$AB99,$G99),IF(OR(CF$3=$D99,CF$3=$AC99,CF$3=$AE99),"",IF(CF$3=$AD99,$F99&amp;"R",CF98))))</f>
        <v>bP</v>
      </c>
      <c r="CG99" s="11" t="str">
        <f aca="false">IF($P99=0,CG98,IF(CG$3=$E99,IF($AA99=1,$F99&amp;$AB99,$G99),IF(OR(CG$3=$D99,CG$3=$AC99,CG$3=$AE99),"",IF(CG$3=$AD99,$F99&amp;"R",CG98))))</f>
        <v>bP</v>
      </c>
      <c r="CH99" s="11" t="str">
        <f aca="false">IF($P99=0,CH98,IF(CH$3=$E99,IF($AA99=1,$F99&amp;$AB99,$G99),IF(OR(CH$3=$D99,CH$3=$AC99,CH$3=$AE99),"",IF(CH$3=$AD99,$F99&amp;"R",CH98))))</f>
        <v>bP</v>
      </c>
      <c r="CI99" s="11" t="str">
        <f aca="false">IF($P99=0,CI98,IF(CI$3=$E99,IF($AA99=1,$F99&amp;$AB99,$G99),IF(OR(CI$3=$D99,CI$3=$AC99,CI$3=$AE99),"",IF(CI$3=$AD99,$F99&amp;"R",CI98))))</f>
        <v>bP</v>
      </c>
      <c r="CJ99" s="11" t="str">
        <f aca="false">IF($P99=0,CJ98,IF(CJ$3=$E99,IF($AA99=1,$F99&amp;$AB99,$G99),IF(OR(CJ$3=$D99,CJ$3=$AC99,CJ$3=$AE99),"",IF(CJ$3=$AD99,$F99&amp;"R",CJ98))))</f>
        <v>bP</v>
      </c>
      <c r="CK99" s="11" t="str">
        <f aca="false">IF($P99=0,CK98,IF(CK$3=$E99,IF($AA99=1,$F99&amp;$AB99,$G99),IF(OR(CK$3=$D99,CK$3=$AC99,CK$3=$AE99),"",IF(CK$3=$AD99,$F99&amp;"R",CK98))))</f>
        <v>bP</v>
      </c>
      <c r="CL99" s="11" t="str">
        <f aca="false">IF($P99=0,CL98,IF(CL$3=$E99,IF($AA99=1,$F99&amp;$AB99,$G99),IF(OR(CL$3=$D99,CL$3=$AC99,CL$3=$AE99),"",IF(CL$3=$AD99,$F99&amp;"R",CL98))))</f>
        <v>bR</v>
      </c>
      <c r="CM99" s="11" t="str">
        <f aca="false">IF($P99=0,CM98,IF(CM$3=$E99,IF($AA99=1,$F99&amp;$AB99,$G99),IF(OR(CM$3=$D99,CM$3=$AC99,CM$3=$AE99),"",IF(CM$3=$AD99,$F99&amp;"R",CM98))))</f>
        <v>bN</v>
      </c>
      <c r="CN99" s="11" t="str">
        <f aca="false">IF($P99=0,CN98,IF(CN$3=$E99,IF($AA99=1,$F99&amp;$AB99,$G99),IF(OR(CN$3=$D99,CN$3=$AC99,CN$3=$AE99),"",IF(CN$3=$AD99,$F99&amp;"R",CN98))))</f>
        <v>bB</v>
      </c>
      <c r="CO99" s="11" t="str">
        <f aca="false">IF($P99=0,CO98,IF(CO$3=$E99,IF($AA99=1,$F99&amp;$AB99,$G99),IF(OR(CO$3=$D99,CO$3=$AC99,CO$3=$AE99),"",IF(CO$3=$AD99,$F99&amp;"R",CO98))))</f>
        <v>bQ</v>
      </c>
      <c r="CP99" s="11" t="str">
        <f aca="false">IF($P99=0,CP98,IF(CP$3=$E99,IF($AA99=1,$F99&amp;$AB99,$G99),IF(OR(CP$3=$D99,CP$3=$AC99,CP$3=$AE99),"",IF(CP$3=$AD99,$F99&amp;"R",CP98))))</f>
        <v>bK</v>
      </c>
      <c r="CQ99" s="11" t="str">
        <f aca="false">IF($P99=0,CQ98,IF(CQ$3=$E99,IF($AA99=1,$F99&amp;$AB99,$G99),IF(OR(CQ$3=$D99,CQ$3=$AC99,CQ$3=$AE99),"",IF(CQ$3=$AD99,$F99&amp;"R",CQ98))))</f>
        <v>bB</v>
      </c>
      <c r="CR99" s="11" t="str">
        <f aca="false">IF($P99=0,CR98,IF(CR$3=$E99,IF($AA99=1,$F99&amp;$AB99,$G99),IF(OR(CR$3=$D99,CR$3=$AC99,CR$3=$AE99),"",IF(CR$3=$AD99,$F99&amp;"R",CR98))))</f>
        <v>bN</v>
      </c>
      <c r="CS99" s="11" t="str">
        <f aca="false">IF($P99=0,CS98,IF(CS$3=$E99,IF($AA99=1,$F99&amp;$AB99,$G99),IF(OR(CS$3=$D99,CS$3=$AC99,CS$3=$AE99),"",IF(CS$3=$AD99,$F99&amp;"R",CS98))))</f>
        <v>bR</v>
      </c>
      <c r="CT99" s="11"/>
      <c r="CU99" s="11"/>
      <c r="CV99" s="11"/>
    </row>
    <row r="100" customFormat="false" ht="15" hidden="false" customHeight="false" outlineLevel="0" collapsed="false">
      <c r="A100" s="11" t="n">
        <v>95</v>
      </c>
      <c r="B100" s="11" t="str">
        <f aca="false">IF(Chess!$L$104="","",Chess!$L$104&amp;"")</f>
        <v/>
      </c>
      <c r="C100" s="11" t="str">
        <f aca="false">LOWER(SUBSTITUTE(SUBSTITUTE(SUBSTITUTE(SUBSTITUTE(TRIM($B100),"-",""),"=","")," ",""),"x",""))</f>
        <v/>
      </c>
      <c r="D100" s="11" t="n">
        <f aca="false">IF(LEN($C100)&lt;4,0,IFERROR(IF(AND(CODE(MID($C100,1,1))&gt;=97,CODE(MID($C100,1,1))&lt;=104,VALUE(MID($C100,2,1))&gt;=1,VALUE(MID($C100,2,1))&lt;=8),(VALUE(MID($C100,2,1))-1)*8+CODE(MID($C100,1,1))-96,0),0))</f>
        <v>0</v>
      </c>
      <c r="E100" s="11" t="n">
        <f aca="false">IF(LEN($C100)&lt;4,0,IFERROR(IF(AND(CODE(MID($C100,3,1))&gt;=97,CODE(MID($C100,3,1))&lt;=104,VALUE(MID($C100,4,1))&gt;=1,VALUE(MID($C100,4,1))&lt;=8),(VALUE(MID($C100,4,1))-1)*8+CODE(MID($C100,3,1))-96,0),0))</f>
        <v>0</v>
      </c>
      <c r="F100" s="11" t="str">
        <f aca="false">IF(MOD(SUM($P$5:$P99),2)=0,"w","b")</f>
        <v>w</v>
      </c>
      <c r="G100" s="11" t="str">
        <f aca="false">IF($D100=0,"",INDEX($AH99:$CS99,1,$D100)&amp;"")</f>
        <v/>
      </c>
      <c r="H100" s="11" t="str">
        <f aca="false">IF($E100=0,"",INDEX($AH99:$CS99,1,$E100)&amp;"")</f>
        <v/>
      </c>
      <c r="I100" s="11" t="n">
        <f aca="false">IF(OR($D100=0,$E100=0),0,MOD($E100-1,8)-MOD($D100-1,8))</f>
        <v>0</v>
      </c>
      <c r="J100" s="11" t="n">
        <f aca="false">IF(OR($D100=0,$E100=0),0,INT(($E100-1)/8)-INT(($D100-1)/8))</f>
        <v>0</v>
      </c>
      <c r="K100" s="11" t="str">
        <f aca="false">IF($G100="","",RIGHT($G100,1))</f>
        <v/>
      </c>
      <c r="L100" s="11" t="n">
        <f aca="false">IF(OR($D100=0,$E100=0),0,SUMPRODUCT(($AH$3:$CS$3&gt;MIN($D100,$E100))*($AH$3:$CS$3&lt;MAX($D100,$E100))*(MOD($AH$3:$CS$3-MIN($D100,$E100),MAX(1,ABS(SIGN($J100)*8+SIGN($I100))))=0)*($AH99:$CS99&lt;&gt;"")))</f>
        <v>0</v>
      </c>
      <c r="M100" s="11" t="n">
        <f aca="false">IF($K100&lt;&gt;"K",0,IFERROR(--AND($J100=0,ABS($I100)=2,$D100=IF($F100="w",5,61),IF($F100="w",$S99,$V99)=0,IF($I100=2,AND(IF($F100="w",$U99,$X99)=0,INDEX($AH99:$CS99,1,$D100+1)&amp;""="",INDEX($AH99:$CS99,1,$D100+2)&amp;""=""),AND(IF($F100="w",$T99,$W99)=0,INDEX($AH99:$CS99,1,$D100-1)&amp;""="",INDEX($AH99:$CS99,1,$D100-2)&amp;""="",INDEX($AH99:$CS99,1,$D100-3)&amp;""=""))),0))</f>
        <v>0</v>
      </c>
      <c r="N100" s="11" t="n">
        <f aca="false">IF($K100&lt;&gt;"P",0,IFERROR(--OR(AND($I100=0,$J100=IF($F100="w",1,-1),$H100=""),AND($I100=0,$J100=2*IF($F100="w",1,-1),$H100="",INT(($D100-1)/8)=IF($F100="w",1,6),INDEX($AH99:$CS99,1,MAX(1,MIN(64,$D100+8*IF($F100="w",1,-1))))&amp;""=""),AND(ABS($I100)=1,$J100=IF($F100="w",1,-1),$H100&lt;&gt;""),AND(ABS($I100)=1,$J100=IF($F100="w",1,-1),$H100="",$R99&gt;0,$E100=$R99)),0))</f>
        <v>0</v>
      </c>
      <c r="O100" s="11" t="n">
        <f aca="false">IF(OR($D100=0,$E100=0,$G100=""),0,IF($K100="N",--OR(AND(ABS($I100)=1,ABS($J100)=2),AND(ABS($I100)=2,ABS($J100)=1)),IF($K100="B",--AND(ABS($I100)=ABS($J100),$I100&lt;&gt;0,$L100=0),IF($K100="R",--AND(OR($I100=0,$J100=0),OR($I100&lt;&gt;0,$J100&lt;&gt;0),$L100=0),IF($K100="Q",--AND(OR(AND(ABS($I100)=ABS($J100),$I100&lt;&gt;0),AND(OR($I100=0,$J100=0),OR($I100&lt;&gt;0,$J100&lt;&gt;0))),$L100=0),IF($K100="K",--OR(MAX(ABS($I100),ABS($J100))=1,$M100=1),$N100))))))</f>
        <v>0</v>
      </c>
      <c r="P100" s="11" t="n">
        <f aca="false">IF($Q100="OK",1,0)</f>
        <v>0</v>
      </c>
      <c r="Q100" s="11" t="str">
        <f aca="false">IF($B100="","",IF(OR(COUNTIF($AH99:$CS99,"wK")=0,COUNTIF($AH99:$CS99,"bK")=0),"Game is over",IF(OR($D100=0,$E100=0),"Use the format e2e4",IF($G100="","No piece on that square",IF(LEFT($G100,1)&lt;&gt;$F100,"Not your piece ("&amp;IF($F100="w","White","Black")&amp;" to move)",IF($D100=$E100,"Piece must move",IF(AND($H100&lt;&gt;"",LEFT($H100,1)=$F100),"Cannot capture your own piece",IF($O100=0,"Illegal move for that piece (or path blocked)","OK"))))))))</f>
        <v/>
      </c>
      <c r="R100" s="11" t="n">
        <f aca="false">IF($P100=1,IF(AND($K100="P",ABS($J100)=2),($D100+$E100)/2,0),$R99)</f>
        <v>0</v>
      </c>
      <c r="S100" s="12" t="b">
        <f aca="false">--OR($S99=1,AND($P100=1,OR($D100=5,$E100=5)))</f>
        <v>0</v>
      </c>
      <c r="T100" s="12" t="b">
        <f aca="false">--OR($T99=1,AND($P100=1,OR($D100=1,$E100=1)))</f>
        <v>0</v>
      </c>
      <c r="U100" s="12" t="b">
        <f aca="false">--OR($U99=1,AND($P100=1,OR($D100=8,$E100=8)))</f>
        <v>0</v>
      </c>
      <c r="V100" s="12" t="b">
        <f aca="false">--OR($V99=1,AND($P100=1,OR($D100=61,$E100=61)))</f>
        <v>0</v>
      </c>
      <c r="W100" s="12" t="b">
        <f aca="false">--OR($W99=1,AND($P100=1,OR($D100=57,$E100=57)))</f>
        <v>0</v>
      </c>
      <c r="X100" s="12" t="b">
        <f aca="false">--OR($X99=1,AND($P100=1,OR($D100=64,$E100=64)))</f>
        <v>0</v>
      </c>
      <c r="Y100" s="12" t="b">
        <f aca="false">--AND($P100=1,$K100="K",ABS($I100)=2)</f>
        <v>0</v>
      </c>
      <c r="Z100" s="12" t="b">
        <f aca="false">--AND($P100=1,$K100="P",ABS($I100)=1,$H100="")</f>
        <v>0</v>
      </c>
      <c r="AA100" s="12" t="b">
        <f aca="false">--AND($P100=1,$K100="P",INT(($E100-1)/8)=IF($F100="w",7,0))</f>
        <v>0</v>
      </c>
      <c r="AB100" s="11" t="str">
        <f aca="false">IF(LEN($C100)&gt;=5,IF(ISNUMBER(FIND(MID($C100,5,1),"qrbn")),UPPER(MID($C100,5,1)),"Q"),"Q")</f>
        <v>Q</v>
      </c>
      <c r="AC100" s="11" t="n">
        <f aca="false">IF($Y100=1,IF($I100=2,$D100+3,$D100-4),0)</f>
        <v>0</v>
      </c>
      <c r="AD100" s="11" t="n">
        <f aca="false">IF($Y100=1,IF($I100=2,$D100+1,$D100-1),0)</f>
        <v>0</v>
      </c>
      <c r="AE100" s="11" t="n">
        <f aca="false">IF($Z100=1,$E100-8*IF($F100="w",1,-1),0)</f>
        <v>0</v>
      </c>
      <c r="AF100" s="11" t="str">
        <f aca="false">IF($B100="","",IF($P100=1,LOWER(INDEX($CV$2:$CV$13,MATCH($G100,$CU$2:$CU$13,0)))&amp;" "&amp;MID("abcdefgh",MOD($D100-1,8)+1,1)&amp;(INT(($D100-1)/8)+1)&amp;"→"&amp;MID("abcdefgh",MOD($E100-1,8)+1,1)&amp;(INT(($E100-1)/8)+1)&amp;IF(OR($H100&lt;&gt;"",$Z100=1)," ×","")&amp;IF($Y100=1," castles","")&amp;IF($Z100=1," e.p.","")&amp;IF($AA100=1," =" &amp;LOWER(INDEX($CV$2:$CV$13,MATCH($F100&amp;$AB100,$CU$2:$CU$13,0))),""),"X "&amp;$Q100))</f>
        <v/>
      </c>
      <c r="AG100" s="11"/>
      <c r="AH100" s="11" t="str">
        <f aca="false">IF($P100=0,AH99,IF(AH$3=$E100,IF($AA100=1,$F100&amp;$AB100,$G100),IF(OR(AH$3=$D100,AH$3=$AC100,AH$3=$AE100),"",IF(AH$3=$AD100,$F100&amp;"R",AH99))))</f>
        <v>wR</v>
      </c>
      <c r="AI100" s="11" t="str">
        <f aca="false">IF($P100=0,AI99,IF(AI$3=$E100,IF($AA100=1,$F100&amp;$AB100,$G100),IF(OR(AI$3=$D100,AI$3=$AC100,AI$3=$AE100),"",IF(AI$3=$AD100,$F100&amp;"R",AI99))))</f>
        <v>wN</v>
      </c>
      <c r="AJ100" s="11" t="str">
        <f aca="false">IF($P100=0,AJ99,IF(AJ$3=$E100,IF($AA100=1,$F100&amp;$AB100,$G100),IF(OR(AJ$3=$D100,AJ$3=$AC100,AJ$3=$AE100),"",IF(AJ$3=$AD100,$F100&amp;"R",AJ99))))</f>
        <v>wB</v>
      </c>
      <c r="AK100" s="11" t="str">
        <f aca="false">IF($P100=0,AK99,IF(AK$3=$E100,IF($AA100=1,$F100&amp;$AB100,$G100),IF(OR(AK$3=$D100,AK$3=$AC100,AK$3=$AE100),"",IF(AK$3=$AD100,$F100&amp;"R",AK99))))</f>
        <v>wQ</v>
      </c>
      <c r="AL100" s="11" t="str">
        <f aca="false">IF($P100=0,AL99,IF(AL$3=$E100,IF($AA100=1,$F100&amp;$AB100,$G100),IF(OR(AL$3=$D100,AL$3=$AC100,AL$3=$AE100),"",IF(AL$3=$AD100,$F100&amp;"R",AL99))))</f>
        <v>wK</v>
      </c>
      <c r="AM100" s="11" t="str">
        <f aca="false">IF($P100=0,AM99,IF(AM$3=$E100,IF($AA100=1,$F100&amp;$AB100,$G100),IF(OR(AM$3=$D100,AM$3=$AC100,AM$3=$AE100),"",IF(AM$3=$AD100,$F100&amp;"R",AM99))))</f>
        <v>wB</v>
      </c>
      <c r="AN100" s="11" t="str">
        <f aca="false">IF($P100=0,AN99,IF(AN$3=$E100,IF($AA100=1,$F100&amp;$AB100,$G100),IF(OR(AN$3=$D100,AN$3=$AC100,AN$3=$AE100),"",IF(AN$3=$AD100,$F100&amp;"R",AN99))))</f>
        <v>wN</v>
      </c>
      <c r="AO100" s="11" t="str">
        <f aca="false">IF($P100=0,AO99,IF(AO$3=$E100,IF($AA100=1,$F100&amp;$AB100,$G100),IF(OR(AO$3=$D100,AO$3=$AC100,AO$3=$AE100),"",IF(AO$3=$AD100,$F100&amp;"R",AO99))))</f>
        <v>wR</v>
      </c>
      <c r="AP100" s="11" t="str">
        <f aca="false">IF($P100=0,AP99,IF(AP$3=$E100,IF($AA100=1,$F100&amp;$AB100,$G100),IF(OR(AP$3=$D100,AP$3=$AC100,AP$3=$AE100),"",IF(AP$3=$AD100,$F100&amp;"R",AP99))))</f>
        <v>wP</v>
      </c>
      <c r="AQ100" s="11" t="str">
        <f aca="false">IF($P100=0,AQ99,IF(AQ$3=$E100,IF($AA100=1,$F100&amp;$AB100,$G100),IF(OR(AQ$3=$D100,AQ$3=$AC100,AQ$3=$AE100),"",IF(AQ$3=$AD100,$F100&amp;"R",AQ99))))</f>
        <v>wP</v>
      </c>
      <c r="AR100" s="11" t="str">
        <f aca="false">IF($P100=0,AR99,IF(AR$3=$E100,IF($AA100=1,$F100&amp;$AB100,$G100),IF(OR(AR$3=$D100,AR$3=$AC100,AR$3=$AE100),"",IF(AR$3=$AD100,$F100&amp;"R",AR99))))</f>
        <v>wP</v>
      </c>
      <c r="AS100" s="11" t="str">
        <f aca="false">IF($P100=0,AS99,IF(AS$3=$E100,IF($AA100=1,$F100&amp;$AB100,$G100),IF(OR(AS$3=$D100,AS$3=$AC100,AS$3=$AE100),"",IF(AS$3=$AD100,$F100&amp;"R",AS99))))</f>
        <v>wP</v>
      </c>
      <c r="AT100" s="11" t="str">
        <f aca="false">IF($P100=0,AT99,IF(AT$3=$E100,IF($AA100=1,$F100&amp;$AB100,$G100),IF(OR(AT$3=$D100,AT$3=$AC100,AT$3=$AE100),"",IF(AT$3=$AD100,$F100&amp;"R",AT99))))</f>
        <v>wP</v>
      </c>
      <c r="AU100" s="11" t="str">
        <f aca="false">IF($P100=0,AU99,IF(AU$3=$E100,IF($AA100=1,$F100&amp;$AB100,$G100),IF(OR(AU$3=$D100,AU$3=$AC100,AU$3=$AE100),"",IF(AU$3=$AD100,$F100&amp;"R",AU99))))</f>
        <v>wP</v>
      </c>
      <c r="AV100" s="11" t="str">
        <f aca="false">IF($P100=0,AV99,IF(AV$3=$E100,IF($AA100=1,$F100&amp;$AB100,$G100),IF(OR(AV$3=$D100,AV$3=$AC100,AV$3=$AE100),"",IF(AV$3=$AD100,$F100&amp;"R",AV99))))</f>
        <v>wP</v>
      </c>
      <c r="AW100" s="11" t="str">
        <f aca="false">IF($P100=0,AW99,IF(AW$3=$E100,IF($AA100=1,$F100&amp;$AB100,$G100),IF(OR(AW$3=$D100,AW$3=$AC100,AW$3=$AE100),"",IF(AW$3=$AD100,$F100&amp;"R",AW99))))</f>
        <v>wP</v>
      </c>
      <c r="AX100" s="11" t="str">
        <f aca="false">IF($P100=0,AX99,IF(AX$3=$E100,IF($AA100=1,$F100&amp;$AB100,$G100),IF(OR(AX$3=$D100,AX$3=$AC100,AX$3=$AE100),"",IF(AX$3=$AD100,$F100&amp;"R",AX99))))</f>
        <v/>
      </c>
      <c r="AY100" s="11" t="str">
        <f aca="false">IF($P100=0,AY99,IF(AY$3=$E100,IF($AA100=1,$F100&amp;$AB100,$G100),IF(OR(AY$3=$D100,AY$3=$AC100,AY$3=$AE100),"",IF(AY$3=$AD100,$F100&amp;"R",AY99))))</f>
        <v/>
      </c>
      <c r="AZ100" s="11" t="str">
        <f aca="false">IF($P100=0,AZ99,IF(AZ$3=$E100,IF($AA100=1,$F100&amp;$AB100,$G100),IF(OR(AZ$3=$D100,AZ$3=$AC100,AZ$3=$AE100),"",IF(AZ$3=$AD100,$F100&amp;"R",AZ99))))</f>
        <v/>
      </c>
      <c r="BA100" s="11" t="str">
        <f aca="false">IF($P100=0,BA99,IF(BA$3=$E100,IF($AA100=1,$F100&amp;$AB100,$G100),IF(OR(BA$3=$D100,BA$3=$AC100,BA$3=$AE100),"",IF(BA$3=$AD100,$F100&amp;"R",BA99))))</f>
        <v/>
      </c>
      <c r="BB100" s="11" t="str">
        <f aca="false">IF($P100=0,BB99,IF(BB$3=$E100,IF($AA100=1,$F100&amp;$AB100,$G100),IF(OR(BB$3=$D100,BB$3=$AC100,BB$3=$AE100),"",IF(BB$3=$AD100,$F100&amp;"R",BB99))))</f>
        <v/>
      </c>
      <c r="BC100" s="11" t="str">
        <f aca="false">IF($P100=0,BC99,IF(BC$3=$E100,IF($AA100=1,$F100&amp;$AB100,$G100),IF(OR(BC$3=$D100,BC$3=$AC100,BC$3=$AE100),"",IF(BC$3=$AD100,$F100&amp;"R",BC99))))</f>
        <v/>
      </c>
      <c r="BD100" s="11" t="str">
        <f aca="false">IF($P100=0,BD99,IF(BD$3=$E100,IF($AA100=1,$F100&amp;$AB100,$G100),IF(OR(BD$3=$D100,BD$3=$AC100,BD$3=$AE100),"",IF(BD$3=$AD100,$F100&amp;"R",BD99))))</f>
        <v/>
      </c>
      <c r="BE100" s="11" t="str">
        <f aca="false">IF($P100=0,BE99,IF(BE$3=$E100,IF($AA100=1,$F100&amp;$AB100,$G100),IF(OR(BE$3=$D100,BE$3=$AC100,BE$3=$AE100),"",IF(BE$3=$AD100,$F100&amp;"R",BE99))))</f>
        <v/>
      </c>
      <c r="BF100" s="11" t="str">
        <f aca="false">IF($P100=0,BF99,IF(BF$3=$E100,IF($AA100=1,$F100&amp;$AB100,$G100),IF(OR(BF$3=$D100,BF$3=$AC100,BF$3=$AE100),"",IF(BF$3=$AD100,$F100&amp;"R",BF99))))</f>
        <v/>
      </c>
      <c r="BG100" s="11" t="str">
        <f aca="false">IF($P100=0,BG99,IF(BG$3=$E100,IF($AA100=1,$F100&amp;$AB100,$G100),IF(OR(BG$3=$D100,BG$3=$AC100,BG$3=$AE100),"",IF(BG$3=$AD100,$F100&amp;"R",BG99))))</f>
        <v/>
      </c>
      <c r="BH100" s="11" t="str">
        <f aca="false">IF($P100=0,BH99,IF(BH$3=$E100,IF($AA100=1,$F100&amp;$AB100,$G100),IF(OR(BH$3=$D100,BH$3=$AC100,BH$3=$AE100),"",IF(BH$3=$AD100,$F100&amp;"R",BH99))))</f>
        <v/>
      </c>
      <c r="BI100" s="11" t="str">
        <f aca="false">IF($P100=0,BI99,IF(BI$3=$E100,IF($AA100=1,$F100&amp;$AB100,$G100),IF(OR(BI$3=$D100,BI$3=$AC100,BI$3=$AE100),"",IF(BI$3=$AD100,$F100&amp;"R",BI99))))</f>
        <v/>
      </c>
      <c r="BJ100" s="11" t="str">
        <f aca="false">IF($P100=0,BJ99,IF(BJ$3=$E100,IF($AA100=1,$F100&amp;$AB100,$G100),IF(OR(BJ$3=$D100,BJ$3=$AC100,BJ$3=$AE100),"",IF(BJ$3=$AD100,$F100&amp;"R",BJ99))))</f>
        <v/>
      </c>
      <c r="BK100" s="11" t="str">
        <f aca="false">IF($P100=0,BK99,IF(BK$3=$E100,IF($AA100=1,$F100&amp;$AB100,$G100),IF(OR(BK$3=$D100,BK$3=$AC100,BK$3=$AE100),"",IF(BK$3=$AD100,$F100&amp;"R",BK99))))</f>
        <v/>
      </c>
      <c r="BL100" s="11" t="str">
        <f aca="false">IF($P100=0,BL99,IF(BL$3=$E100,IF($AA100=1,$F100&amp;$AB100,$G100),IF(OR(BL$3=$D100,BL$3=$AC100,BL$3=$AE100),"",IF(BL$3=$AD100,$F100&amp;"R",BL99))))</f>
        <v/>
      </c>
      <c r="BM100" s="11" t="str">
        <f aca="false">IF($P100=0,BM99,IF(BM$3=$E100,IF($AA100=1,$F100&amp;$AB100,$G100),IF(OR(BM$3=$D100,BM$3=$AC100,BM$3=$AE100),"",IF(BM$3=$AD100,$F100&amp;"R",BM99))))</f>
        <v/>
      </c>
      <c r="BN100" s="11" t="str">
        <f aca="false">IF($P100=0,BN99,IF(BN$3=$E100,IF($AA100=1,$F100&amp;$AB100,$G100),IF(OR(BN$3=$D100,BN$3=$AC100,BN$3=$AE100),"",IF(BN$3=$AD100,$F100&amp;"R",BN99))))</f>
        <v/>
      </c>
      <c r="BO100" s="11" t="str">
        <f aca="false">IF($P100=0,BO99,IF(BO$3=$E100,IF($AA100=1,$F100&amp;$AB100,$G100),IF(OR(BO$3=$D100,BO$3=$AC100,BO$3=$AE100),"",IF(BO$3=$AD100,$F100&amp;"R",BO99))))</f>
        <v/>
      </c>
      <c r="BP100" s="11" t="str">
        <f aca="false">IF($P100=0,BP99,IF(BP$3=$E100,IF($AA100=1,$F100&amp;$AB100,$G100),IF(OR(BP$3=$D100,BP$3=$AC100,BP$3=$AE100),"",IF(BP$3=$AD100,$F100&amp;"R",BP99))))</f>
        <v/>
      </c>
      <c r="BQ100" s="11" t="str">
        <f aca="false">IF($P100=0,BQ99,IF(BQ$3=$E100,IF($AA100=1,$F100&amp;$AB100,$G100),IF(OR(BQ$3=$D100,BQ$3=$AC100,BQ$3=$AE100),"",IF(BQ$3=$AD100,$F100&amp;"R",BQ99))))</f>
        <v/>
      </c>
      <c r="BR100" s="11" t="str">
        <f aca="false">IF($P100=0,BR99,IF(BR$3=$E100,IF($AA100=1,$F100&amp;$AB100,$G100),IF(OR(BR$3=$D100,BR$3=$AC100,BR$3=$AE100),"",IF(BR$3=$AD100,$F100&amp;"R",BR99))))</f>
        <v/>
      </c>
      <c r="BS100" s="11" t="str">
        <f aca="false">IF($P100=0,BS99,IF(BS$3=$E100,IF($AA100=1,$F100&amp;$AB100,$G100),IF(OR(BS$3=$D100,BS$3=$AC100,BS$3=$AE100),"",IF(BS$3=$AD100,$F100&amp;"R",BS99))))</f>
        <v/>
      </c>
      <c r="BT100" s="11" t="str">
        <f aca="false">IF($P100=0,BT99,IF(BT$3=$E100,IF($AA100=1,$F100&amp;$AB100,$G100),IF(OR(BT$3=$D100,BT$3=$AC100,BT$3=$AE100),"",IF(BT$3=$AD100,$F100&amp;"R",BT99))))</f>
        <v/>
      </c>
      <c r="BU100" s="11" t="str">
        <f aca="false">IF($P100=0,BU99,IF(BU$3=$E100,IF($AA100=1,$F100&amp;$AB100,$G100),IF(OR(BU$3=$D100,BU$3=$AC100,BU$3=$AE100),"",IF(BU$3=$AD100,$F100&amp;"R",BU99))))</f>
        <v/>
      </c>
      <c r="BV100" s="11" t="str">
        <f aca="false">IF($P100=0,BV99,IF(BV$3=$E100,IF($AA100=1,$F100&amp;$AB100,$G100),IF(OR(BV$3=$D100,BV$3=$AC100,BV$3=$AE100),"",IF(BV$3=$AD100,$F100&amp;"R",BV99))))</f>
        <v/>
      </c>
      <c r="BW100" s="11" t="str">
        <f aca="false">IF($P100=0,BW99,IF(BW$3=$E100,IF($AA100=1,$F100&amp;$AB100,$G100),IF(OR(BW$3=$D100,BW$3=$AC100,BW$3=$AE100),"",IF(BW$3=$AD100,$F100&amp;"R",BW99))))</f>
        <v/>
      </c>
      <c r="BX100" s="11" t="str">
        <f aca="false">IF($P100=0,BX99,IF(BX$3=$E100,IF($AA100=1,$F100&amp;$AB100,$G100),IF(OR(BX$3=$D100,BX$3=$AC100,BX$3=$AE100),"",IF(BX$3=$AD100,$F100&amp;"R",BX99))))</f>
        <v/>
      </c>
      <c r="BY100" s="11" t="str">
        <f aca="false">IF($P100=0,BY99,IF(BY$3=$E100,IF($AA100=1,$F100&amp;$AB100,$G100),IF(OR(BY$3=$D100,BY$3=$AC100,BY$3=$AE100),"",IF(BY$3=$AD100,$F100&amp;"R",BY99))))</f>
        <v/>
      </c>
      <c r="BZ100" s="11" t="str">
        <f aca="false">IF($P100=0,BZ99,IF(BZ$3=$E100,IF($AA100=1,$F100&amp;$AB100,$G100),IF(OR(BZ$3=$D100,BZ$3=$AC100,BZ$3=$AE100),"",IF(BZ$3=$AD100,$F100&amp;"R",BZ99))))</f>
        <v/>
      </c>
      <c r="CA100" s="11" t="str">
        <f aca="false">IF($P100=0,CA99,IF(CA$3=$E100,IF($AA100=1,$F100&amp;$AB100,$G100),IF(OR(CA$3=$D100,CA$3=$AC100,CA$3=$AE100),"",IF(CA$3=$AD100,$F100&amp;"R",CA99))))</f>
        <v/>
      </c>
      <c r="CB100" s="11" t="str">
        <f aca="false">IF($P100=0,CB99,IF(CB$3=$E100,IF($AA100=1,$F100&amp;$AB100,$G100),IF(OR(CB$3=$D100,CB$3=$AC100,CB$3=$AE100),"",IF(CB$3=$AD100,$F100&amp;"R",CB99))))</f>
        <v/>
      </c>
      <c r="CC100" s="11" t="str">
        <f aca="false">IF($P100=0,CC99,IF(CC$3=$E100,IF($AA100=1,$F100&amp;$AB100,$G100),IF(OR(CC$3=$D100,CC$3=$AC100,CC$3=$AE100),"",IF(CC$3=$AD100,$F100&amp;"R",CC99))))</f>
        <v/>
      </c>
      <c r="CD100" s="11" t="str">
        <f aca="false">IF($P100=0,CD99,IF(CD$3=$E100,IF($AA100=1,$F100&amp;$AB100,$G100),IF(OR(CD$3=$D100,CD$3=$AC100,CD$3=$AE100),"",IF(CD$3=$AD100,$F100&amp;"R",CD99))))</f>
        <v>bP</v>
      </c>
      <c r="CE100" s="11" t="str">
        <f aca="false">IF($P100=0,CE99,IF(CE$3=$E100,IF($AA100=1,$F100&amp;$AB100,$G100),IF(OR(CE$3=$D100,CE$3=$AC100,CE$3=$AE100),"",IF(CE$3=$AD100,$F100&amp;"R",CE99))))</f>
        <v>bP</v>
      </c>
      <c r="CF100" s="11" t="str">
        <f aca="false">IF($P100=0,CF99,IF(CF$3=$E100,IF($AA100=1,$F100&amp;$AB100,$G100),IF(OR(CF$3=$D100,CF$3=$AC100,CF$3=$AE100),"",IF(CF$3=$AD100,$F100&amp;"R",CF99))))</f>
        <v>bP</v>
      </c>
      <c r="CG100" s="11" t="str">
        <f aca="false">IF($P100=0,CG99,IF(CG$3=$E100,IF($AA100=1,$F100&amp;$AB100,$G100),IF(OR(CG$3=$D100,CG$3=$AC100,CG$3=$AE100),"",IF(CG$3=$AD100,$F100&amp;"R",CG99))))</f>
        <v>bP</v>
      </c>
      <c r="CH100" s="11" t="str">
        <f aca="false">IF($P100=0,CH99,IF(CH$3=$E100,IF($AA100=1,$F100&amp;$AB100,$G100),IF(OR(CH$3=$D100,CH$3=$AC100,CH$3=$AE100),"",IF(CH$3=$AD100,$F100&amp;"R",CH99))))</f>
        <v>bP</v>
      </c>
      <c r="CI100" s="11" t="str">
        <f aca="false">IF($P100=0,CI99,IF(CI$3=$E100,IF($AA100=1,$F100&amp;$AB100,$G100),IF(OR(CI$3=$D100,CI$3=$AC100,CI$3=$AE100),"",IF(CI$3=$AD100,$F100&amp;"R",CI99))))</f>
        <v>bP</v>
      </c>
      <c r="CJ100" s="11" t="str">
        <f aca="false">IF($P100=0,CJ99,IF(CJ$3=$E100,IF($AA100=1,$F100&amp;$AB100,$G100),IF(OR(CJ$3=$D100,CJ$3=$AC100,CJ$3=$AE100),"",IF(CJ$3=$AD100,$F100&amp;"R",CJ99))))</f>
        <v>bP</v>
      </c>
      <c r="CK100" s="11" t="str">
        <f aca="false">IF($P100=0,CK99,IF(CK$3=$E100,IF($AA100=1,$F100&amp;$AB100,$G100),IF(OR(CK$3=$D100,CK$3=$AC100,CK$3=$AE100),"",IF(CK$3=$AD100,$F100&amp;"R",CK99))))</f>
        <v>bP</v>
      </c>
      <c r="CL100" s="11" t="str">
        <f aca="false">IF($P100=0,CL99,IF(CL$3=$E100,IF($AA100=1,$F100&amp;$AB100,$G100),IF(OR(CL$3=$D100,CL$3=$AC100,CL$3=$AE100),"",IF(CL$3=$AD100,$F100&amp;"R",CL99))))</f>
        <v>bR</v>
      </c>
      <c r="CM100" s="11" t="str">
        <f aca="false">IF($P100=0,CM99,IF(CM$3=$E100,IF($AA100=1,$F100&amp;$AB100,$G100),IF(OR(CM$3=$D100,CM$3=$AC100,CM$3=$AE100),"",IF(CM$3=$AD100,$F100&amp;"R",CM99))))</f>
        <v>bN</v>
      </c>
      <c r="CN100" s="11" t="str">
        <f aca="false">IF($P100=0,CN99,IF(CN$3=$E100,IF($AA100=1,$F100&amp;$AB100,$G100),IF(OR(CN$3=$D100,CN$3=$AC100,CN$3=$AE100),"",IF(CN$3=$AD100,$F100&amp;"R",CN99))))</f>
        <v>bB</v>
      </c>
      <c r="CO100" s="11" t="str">
        <f aca="false">IF($P100=0,CO99,IF(CO$3=$E100,IF($AA100=1,$F100&amp;$AB100,$G100),IF(OR(CO$3=$D100,CO$3=$AC100,CO$3=$AE100),"",IF(CO$3=$AD100,$F100&amp;"R",CO99))))</f>
        <v>bQ</v>
      </c>
      <c r="CP100" s="11" t="str">
        <f aca="false">IF($P100=0,CP99,IF(CP$3=$E100,IF($AA100=1,$F100&amp;$AB100,$G100),IF(OR(CP$3=$D100,CP$3=$AC100,CP$3=$AE100),"",IF(CP$3=$AD100,$F100&amp;"R",CP99))))</f>
        <v>bK</v>
      </c>
      <c r="CQ100" s="11" t="str">
        <f aca="false">IF($P100=0,CQ99,IF(CQ$3=$E100,IF($AA100=1,$F100&amp;$AB100,$G100),IF(OR(CQ$3=$D100,CQ$3=$AC100,CQ$3=$AE100),"",IF(CQ$3=$AD100,$F100&amp;"R",CQ99))))</f>
        <v>bB</v>
      </c>
      <c r="CR100" s="11" t="str">
        <f aca="false">IF($P100=0,CR99,IF(CR$3=$E100,IF($AA100=1,$F100&amp;$AB100,$G100),IF(OR(CR$3=$D100,CR$3=$AC100,CR$3=$AE100),"",IF(CR$3=$AD100,$F100&amp;"R",CR99))))</f>
        <v>bN</v>
      </c>
      <c r="CS100" s="11" t="str">
        <f aca="false">IF($P100=0,CS99,IF(CS$3=$E100,IF($AA100=1,$F100&amp;$AB100,$G100),IF(OR(CS$3=$D100,CS$3=$AC100,CS$3=$AE100),"",IF(CS$3=$AD100,$F100&amp;"R",CS99))))</f>
        <v>bR</v>
      </c>
      <c r="CT100" s="11"/>
      <c r="CU100" s="11"/>
      <c r="CV100" s="11"/>
    </row>
    <row r="101" customFormat="false" ht="15" hidden="false" customHeight="false" outlineLevel="0" collapsed="false">
      <c r="A101" s="11" t="n">
        <v>96</v>
      </c>
      <c r="B101" s="11" t="str">
        <f aca="false">IF(Chess!$L$105="","",Chess!$L$105&amp;"")</f>
        <v/>
      </c>
      <c r="C101" s="11" t="str">
        <f aca="false">LOWER(SUBSTITUTE(SUBSTITUTE(SUBSTITUTE(SUBSTITUTE(TRIM($B101),"-",""),"=","")," ",""),"x",""))</f>
        <v/>
      </c>
      <c r="D101" s="11" t="n">
        <f aca="false">IF(LEN($C101)&lt;4,0,IFERROR(IF(AND(CODE(MID($C101,1,1))&gt;=97,CODE(MID($C101,1,1))&lt;=104,VALUE(MID($C101,2,1))&gt;=1,VALUE(MID($C101,2,1))&lt;=8),(VALUE(MID($C101,2,1))-1)*8+CODE(MID($C101,1,1))-96,0),0))</f>
        <v>0</v>
      </c>
      <c r="E101" s="11" t="n">
        <f aca="false">IF(LEN($C101)&lt;4,0,IFERROR(IF(AND(CODE(MID($C101,3,1))&gt;=97,CODE(MID($C101,3,1))&lt;=104,VALUE(MID($C101,4,1))&gt;=1,VALUE(MID($C101,4,1))&lt;=8),(VALUE(MID($C101,4,1))-1)*8+CODE(MID($C101,3,1))-96,0),0))</f>
        <v>0</v>
      </c>
      <c r="F101" s="11" t="str">
        <f aca="false">IF(MOD(SUM($P$5:$P100),2)=0,"w","b")</f>
        <v>w</v>
      </c>
      <c r="G101" s="11" t="str">
        <f aca="false">IF($D101=0,"",INDEX($AH100:$CS100,1,$D101)&amp;"")</f>
        <v/>
      </c>
      <c r="H101" s="11" t="str">
        <f aca="false">IF($E101=0,"",INDEX($AH100:$CS100,1,$E101)&amp;"")</f>
        <v/>
      </c>
      <c r="I101" s="11" t="n">
        <f aca="false">IF(OR($D101=0,$E101=0),0,MOD($E101-1,8)-MOD($D101-1,8))</f>
        <v>0</v>
      </c>
      <c r="J101" s="11" t="n">
        <f aca="false">IF(OR($D101=0,$E101=0),0,INT(($E101-1)/8)-INT(($D101-1)/8))</f>
        <v>0</v>
      </c>
      <c r="K101" s="11" t="str">
        <f aca="false">IF($G101="","",RIGHT($G101,1))</f>
        <v/>
      </c>
      <c r="L101" s="11" t="n">
        <f aca="false">IF(OR($D101=0,$E101=0),0,SUMPRODUCT(($AH$3:$CS$3&gt;MIN($D101,$E101))*($AH$3:$CS$3&lt;MAX($D101,$E101))*(MOD($AH$3:$CS$3-MIN($D101,$E101),MAX(1,ABS(SIGN($J101)*8+SIGN($I101))))=0)*($AH100:$CS100&lt;&gt;"")))</f>
        <v>0</v>
      </c>
      <c r="M101" s="11" t="n">
        <f aca="false">IF($K101&lt;&gt;"K",0,IFERROR(--AND($J101=0,ABS($I101)=2,$D101=IF($F101="w",5,61),IF($F101="w",$S100,$V100)=0,IF($I101=2,AND(IF($F101="w",$U100,$X100)=0,INDEX($AH100:$CS100,1,$D101+1)&amp;""="",INDEX($AH100:$CS100,1,$D101+2)&amp;""=""),AND(IF($F101="w",$T100,$W100)=0,INDEX($AH100:$CS100,1,$D101-1)&amp;""="",INDEX($AH100:$CS100,1,$D101-2)&amp;""="",INDEX($AH100:$CS100,1,$D101-3)&amp;""=""))),0))</f>
        <v>0</v>
      </c>
      <c r="N101" s="11" t="n">
        <f aca="false">IF($K101&lt;&gt;"P",0,IFERROR(--OR(AND($I101=0,$J101=IF($F101="w",1,-1),$H101=""),AND($I101=0,$J101=2*IF($F101="w",1,-1),$H101="",INT(($D101-1)/8)=IF($F101="w",1,6),INDEX($AH100:$CS100,1,MAX(1,MIN(64,$D101+8*IF($F101="w",1,-1))))&amp;""=""),AND(ABS($I101)=1,$J101=IF($F101="w",1,-1),$H101&lt;&gt;""),AND(ABS($I101)=1,$J101=IF($F101="w",1,-1),$H101="",$R100&gt;0,$E101=$R100)),0))</f>
        <v>0</v>
      </c>
      <c r="O101" s="11" t="n">
        <f aca="false">IF(OR($D101=0,$E101=0,$G101=""),0,IF($K101="N",--OR(AND(ABS($I101)=1,ABS($J101)=2),AND(ABS($I101)=2,ABS($J101)=1)),IF($K101="B",--AND(ABS($I101)=ABS($J101),$I101&lt;&gt;0,$L101=0),IF($K101="R",--AND(OR($I101=0,$J101=0),OR($I101&lt;&gt;0,$J101&lt;&gt;0),$L101=0),IF($K101="Q",--AND(OR(AND(ABS($I101)=ABS($J101),$I101&lt;&gt;0),AND(OR($I101=0,$J101=0),OR($I101&lt;&gt;0,$J101&lt;&gt;0))),$L101=0),IF($K101="K",--OR(MAX(ABS($I101),ABS($J101))=1,$M101=1),$N101))))))</f>
        <v>0</v>
      </c>
      <c r="P101" s="11" t="n">
        <f aca="false">IF($Q101="OK",1,0)</f>
        <v>0</v>
      </c>
      <c r="Q101" s="11" t="str">
        <f aca="false">IF($B101="","",IF(OR(COUNTIF($AH100:$CS100,"wK")=0,COUNTIF($AH100:$CS100,"bK")=0),"Game is over",IF(OR($D101=0,$E101=0),"Use the format e2e4",IF($G101="","No piece on that square",IF(LEFT($G101,1)&lt;&gt;$F101,"Not your piece ("&amp;IF($F101="w","White","Black")&amp;" to move)",IF($D101=$E101,"Piece must move",IF(AND($H101&lt;&gt;"",LEFT($H101,1)=$F101),"Cannot capture your own piece",IF($O101=0,"Illegal move for that piece (or path blocked)","OK"))))))))</f>
        <v/>
      </c>
      <c r="R101" s="11" t="n">
        <f aca="false">IF($P101=1,IF(AND($K101="P",ABS($J101)=2),($D101+$E101)/2,0),$R100)</f>
        <v>0</v>
      </c>
      <c r="S101" s="12" t="b">
        <f aca="false">--OR($S100=1,AND($P101=1,OR($D101=5,$E101=5)))</f>
        <v>0</v>
      </c>
      <c r="T101" s="12" t="b">
        <f aca="false">--OR($T100=1,AND($P101=1,OR($D101=1,$E101=1)))</f>
        <v>0</v>
      </c>
      <c r="U101" s="12" t="b">
        <f aca="false">--OR($U100=1,AND($P101=1,OR($D101=8,$E101=8)))</f>
        <v>0</v>
      </c>
      <c r="V101" s="12" t="b">
        <f aca="false">--OR($V100=1,AND($P101=1,OR($D101=61,$E101=61)))</f>
        <v>0</v>
      </c>
      <c r="W101" s="12" t="b">
        <f aca="false">--OR($W100=1,AND($P101=1,OR($D101=57,$E101=57)))</f>
        <v>0</v>
      </c>
      <c r="X101" s="12" t="b">
        <f aca="false">--OR($X100=1,AND($P101=1,OR($D101=64,$E101=64)))</f>
        <v>0</v>
      </c>
      <c r="Y101" s="12" t="b">
        <f aca="false">--AND($P101=1,$K101="K",ABS($I101)=2)</f>
        <v>0</v>
      </c>
      <c r="Z101" s="12" t="b">
        <f aca="false">--AND($P101=1,$K101="P",ABS($I101)=1,$H101="")</f>
        <v>0</v>
      </c>
      <c r="AA101" s="12" t="b">
        <f aca="false">--AND($P101=1,$K101="P",INT(($E101-1)/8)=IF($F101="w",7,0))</f>
        <v>0</v>
      </c>
      <c r="AB101" s="11" t="str">
        <f aca="false">IF(LEN($C101)&gt;=5,IF(ISNUMBER(FIND(MID($C101,5,1),"qrbn")),UPPER(MID($C101,5,1)),"Q"),"Q")</f>
        <v>Q</v>
      </c>
      <c r="AC101" s="11" t="n">
        <f aca="false">IF($Y101=1,IF($I101=2,$D101+3,$D101-4),0)</f>
        <v>0</v>
      </c>
      <c r="AD101" s="11" t="n">
        <f aca="false">IF($Y101=1,IF($I101=2,$D101+1,$D101-1),0)</f>
        <v>0</v>
      </c>
      <c r="AE101" s="11" t="n">
        <f aca="false">IF($Z101=1,$E101-8*IF($F101="w",1,-1),0)</f>
        <v>0</v>
      </c>
      <c r="AF101" s="11" t="str">
        <f aca="false">IF($B101="","",IF($P101=1,LOWER(INDEX($CV$2:$CV$13,MATCH($G101,$CU$2:$CU$13,0)))&amp;" "&amp;MID("abcdefgh",MOD($D101-1,8)+1,1)&amp;(INT(($D101-1)/8)+1)&amp;"→"&amp;MID("abcdefgh",MOD($E101-1,8)+1,1)&amp;(INT(($E101-1)/8)+1)&amp;IF(OR($H101&lt;&gt;"",$Z101=1)," ×","")&amp;IF($Y101=1," castles","")&amp;IF($Z101=1," e.p.","")&amp;IF($AA101=1," =" &amp;LOWER(INDEX($CV$2:$CV$13,MATCH($F101&amp;$AB101,$CU$2:$CU$13,0))),""),"X "&amp;$Q101))</f>
        <v/>
      </c>
      <c r="AG101" s="11"/>
      <c r="AH101" s="11" t="str">
        <f aca="false">IF($P101=0,AH100,IF(AH$3=$E101,IF($AA101=1,$F101&amp;$AB101,$G101),IF(OR(AH$3=$D101,AH$3=$AC101,AH$3=$AE101),"",IF(AH$3=$AD101,$F101&amp;"R",AH100))))</f>
        <v>wR</v>
      </c>
      <c r="AI101" s="11" t="str">
        <f aca="false">IF($P101=0,AI100,IF(AI$3=$E101,IF($AA101=1,$F101&amp;$AB101,$G101),IF(OR(AI$3=$D101,AI$3=$AC101,AI$3=$AE101),"",IF(AI$3=$AD101,$F101&amp;"R",AI100))))</f>
        <v>wN</v>
      </c>
      <c r="AJ101" s="11" t="str">
        <f aca="false">IF($P101=0,AJ100,IF(AJ$3=$E101,IF($AA101=1,$F101&amp;$AB101,$G101),IF(OR(AJ$3=$D101,AJ$3=$AC101,AJ$3=$AE101),"",IF(AJ$3=$AD101,$F101&amp;"R",AJ100))))</f>
        <v>wB</v>
      </c>
      <c r="AK101" s="11" t="str">
        <f aca="false">IF($P101=0,AK100,IF(AK$3=$E101,IF($AA101=1,$F101&amp;$AB101,$G101),IF(OR(AK$3=$D101,AK$3=$AC101,AK$3=$AE101),"",IF(AK$3=$AD101,$F101&amp;"R",AK100))))</f>
        <v>wQ</v>
      </c>
      <c r="AL101" s="11" t="str">
        <f aca="false">IF($P101=0,AL100,IF(AL$3=$E101,IF($AA101=1,$F101&amp;$AB101,$G101),IF(OR(AL$3=$D101,AL$3=$AC101,AL$3=$AE101),"",IF(AL$3=$AD101,$F101&amp;"R",AL100))))</f>
        <v>wK</v>
      </c>
      <c r="AM101" s="11" t="str">
        <f aca="false">IF($P101=0,AM100,IF(AM$3=$E101,IF($AA101=1,$F101&amp;$AB101,$G101),IF(OR(AM$3=$D101,AM$3=$AC101,AM$3=$AE101),"",IF(AM$3=$AD101,$F101&amp;"R",AM100))))</f>
        <v>wB</v>
      </c>
      <c r="AN101" s="11" t="str">
        <f aca="false">IF($P101=0,AN100,IF(AN$3=$E101,IF($AA101=1,$F101&amp;$AB101,$G101),IF(OR(AN$3=$D101,AN$3=$AC101,AN$3=$AE101),"",IF(AN$3=$AD101,$F101&amp;"R",AN100))))</f>
        <v>wN</v>
      </c>
      <c r="AO101" s="11" t="str">
        <f aca="false">IF($P101=0,AO100,IF(AO$3=$E101,IF($AA101=1,$F101&amp;$AB101,$G101),IF(OR(AO$3=$D101,AO$3=$AC101,AO$3=$AE101),"",IF(AO$3=$AD101,$F101&amp;"R",AO100))))</f>
        <v>wR</v>
      </c>
      <c r="AP101" s="11" t="str">
        <f aca="false">IF($P101=0,AP100,IF(AP$3=$E101,IF($AA101=1,$F101&amp;$AB101,$G101),IF(OR(AP$3=$D101,AP$3=$AC101,AP$3=$AE101),"",IF(AP$3=$AD101,$F101&amp;"R",AP100))))</f>
        <v>wP</v>
      </c>
      <c r="AQ101" s="11" t="str">
        <f aca="false">IF($P101=0,AQ100,IF(AQ$3=$E101,IF($AA101=1,$F101&amp;$AB101,$G101),IF(OR(AQ$3=$D101,AQ$3=$AC101,AQ$3=$AE101),"",IF(AQ$3=$AD101,$F101&amp;"R",AQ100))))</f>
        <v>wP</v>
      </c>
      <c r="AR101" s="11" t="str">
        <f aca="false">IF($P101=0,AR100,IF(AR$3=$E101,IF($AA101=1,$F101&amp;$AB101,$G101),IF(OR(AR$3=$D101,AR$3=$AC101,AR$3=$AE101),"",IF(AR$3=$AD101,$F101&amp;"R",AR100))))</f>
        <v>wP</v>
      </c>
      <c r="AS101" s="11" t="str">
        <f aca="false">IF($P101=0,AS100,IF(AS$3=$E101,IF($AA101=1,$F101&amp;$AB101,$G101),IF(OR(AS$3=$D101,AS$3=$AC101,AS$3=$AE101),"",IF(AS$3=$AD101,$F101&amp;"R",AS100))))</f>
        <v>wP</v>
      </c>
      <c r="AT101" s="11" t="str">
        <f aca="false">IF($P101=0,AT100,IF(AT$3=$E101,IF($AA101=1,$F101&amp;$AB101,$G101),IF(OR(AT$3=$D101,AT$3=$AC101,AT$3=$AE101),"",IF(AT$3=$AD101,$F101&amp;"R",AT100))))</f>
        <v>wP</v>
      </c>
      <c r="AU101" s="11" t="str">
        <f aca="false">IF($P101=0,AU100,IF(AU$3=$E101,IF($AA101=1,$F101&amp;$AB101,$G101),IF(OR(AU$3=$D101,AU$3=$AC101,AU$3=$AE101),"",IF(AU$3=$AD101,$F101&amp;"R",AU100))))</f>
        <v>wP</v>
      </c>
      <c r="AV101" s="11" t="str">
        <f aca="false">IF($P101=0,AV100,IF(AV$3=$E101,IF($AA101=1,$F101&amp;$AB101,$G101),IF(OR(AV$3=$D101,AV$3=$AC101,AV$3=$AE101),"",IF(AV$3=$AD101,$F101&amp;"R",AV100))))</f>
        <v>wP</v>
      </c>
      <c r="AW101" s="11" t="str">
        <f aca="false">IF($P101=0,AW100,IF(AW$3=$E101,IF($AA101=1,$F101&amp;$AB101,$G101),IF(OR(AW$3=$D101,AW$3=$AC101,AW$3=$AE101),"",IF(AW$3=$AD101,$F101&amp;"R",AW100))))</f>
        <v>wP</v>
      </c>
      <c r="AX101" s="11" t="str">
        <f aca="false">IF($P101=0,AX100,IF(AX$3=$E101,IF($AA101=1,$F101&amp;$AB101,$G101),IF(OR(AX$3=$D101,AX$3=$AC101,AX$3=$AE101),"",IF(AX$3=$AD101,$F101&amp;"R",AX100))))</f>
        <v/>
      </c>
      <c r="AY101" s="11" t="str">
        <f aca="false">IF($P101=0,AY100,IF(AY$3=$E101,IF($AA101=1,$F101&amp;$AB101,$G101),IF(OR(AY$3=$D101,AY$3=$AC101,AY$3=$AE101),"",IF(AY$3=$AD101,$F101&amp;"R",AY100))))</f>
        <v/>
      </c>
      <c r="AZ101" s="11" t="str">
        <f aca="false">IF($P101=0,AZ100,IF(AZ$3=$E101,IF($AA101=1,$F101&amp;$AB101,$G101),IF(OR(AZ$3=$D101,AZ$3=$AC101,AZ$3=$AE101),"",IF(AZ$3=$AD101,$F101&amp;"R",AZ100))))</f>
        <v/>
      </c>
      <c r="BA101" s="11" t="str">
        <f aca="false">IF($P101=0,BA100,IF(BA$3=$E101,IF($AA101=1,$F101&amp;$AB101,$G101),IF(OR(BA$3=$D101,BA$3=$AC101,BA$3=$AE101),"",IF(BA$3=$AD101,$F101&amp;"R",BA100))))</f>
        <v/>
      </c>
      <c r="BB101" s="11" t="str">
        <f aca="false">IF($P101=0,BB100,IF(BB$3=$E101,IF($AA101=1,$F101&amp;$AB101,$G101),IF(OR(BB$3=$D101,BB$3=$AC101,BB$3=$AE101),"",IF(BB$3=$AD101,$F101&amp;"R",BB100))))</f>
        <v/>
      </c>
      <c r="BC101" s="11" t="str">
        <f aca="false">IF($P101=0,BC100,IF(BC$3=$E101,IF($AA101=1,$F101&amp;$AB101,$G101),IF(OR(BC$3=$D101,BC$3=$AC101,BC$3=$AE101),"",IF(BC$3=$AD101,$F101&amp;"R",BC100))))</f>
        <v/>
      </c>
      <c r="BD101" s="11" t="str">
        <f aca="false">IF($P101=0,BD100,IF(BD$3=$E101,IF($AA101=1,$F101&amp;$AB101,$G101),IF(OR(BD$3=$D101,BD$3=$AC101,BD$3=$AE101),"",IF(BD$3=$AD101,$F101&amp;"R",BD100))))</f>
        <v/>
      </c>
      <c r="BE101" s="11" t="str">
        <f aca="false">IF($P101=0,BE100,IF(BE$3=$E101,IF($AA101=1,$F101&amp;$AB101,$G101),IF(OR(BE$3=$D101,BE$3=$AC101,BE$3=$AE101),"",IF(BE$3=$AD101,$F101&amp;"R",BE100))))</f>
        <v/>
      </c>
      <c r="BF101" s="11" t="str">
        <f aca="false">IF($P101=0,BF100,IF(BF$3=$E101,IF($AA101=1,$F101&amp;$AB101,$G101),IF(OR(BF$3=$D101,BF$3=$AC101,BF$3=$AE101),"",IF(BF$3=$AD101,$F101&amp;"R",BF100))))</f>
        <v/>
      </c>
      <c r="BG101" s="11" t="str">
        <f aca="false">IF($P101=0,BG100,IF(BG$3=$E101,IF($AA101=1,$F101&amp;$AB101,$G101),IF(OR(BG$3=$D101,BG$3=$AC101,BG$3=$AE101),"",IF(BG$3=$AD101,$F101&amp;"R",BG100))))</f>
        <v/>
      </c>
      <c r="BH101" s="11" t="str">
        <f aca="false">IF($P101=0,BH100,IF(BH$3=$E101,IF($AA101=1,$F101&amp;$AB101,$G101),IF(OR(BH$3=$D101,BH$3=$AC101,BH$3=$AE101),"",IF(BH$3=$AD101,$F101&amp;"R",BH100))))</f>
        <v/>
      </c>
      <c r="BI101" s="11" t="str">
        <f aca="false">IF($P101=0,BI100,IF(BI$3=$E101,IF($AA101=1,$F101&amp;$AB101,$G101),IF(OR(BI$3=$D101,BI$3=$AC101,BI$3=$AE101),"",IF(BI$3=$AD101,$F101&amp;"R",BI100))))</f>
        <v/>
      </c>
      <c r="BJ101" s="11" t="str">
        <f aca="false">IF($P101=0,BJ100,IF(BJ$3=$E101,IF($AA101=1,$F101&amp;$AB101,$G101),IF(OR(BJ$3=$D101,BJ$3=$AC101,BJ$3=$AE101),"",IF(BJ$3=$AD101,$F101&amp;"R",BJ100))))</f>
        <v/>
      </c>
      <c r="BK101" s="11" t="str">
        <f aca="false">IF($P101=0,BK100,IF(BK$3=$E101,IF($AA101=1,$F101&amp;$AB101,$G101),IF(OR(BK$3=$D101,BK$3=$AC101,BK$3=$AE101),"",IF(BK$3=$AD101,$F101&amp;"R",BK100))))</f>
        <v/>
      </c>
      <c r="BL101" s="11" t="str">
        <f aca="false">IF($P101=0,BL100,IF(BL$3=$E101,IF($AA101=1,$F101&amp;$AB101,$G101),IF(OR(BL$3=$D101,BL$3=$AC101,BL$3=$AE101),"",IF(BL$3=$AD101,$F101&amp;"R",BL100))))</f>
        <v/>
      </c>
      <c r="BM101" s="11" t="str">
        <f aca="false">IF($P101=0,BM100,IF(BM$3=$E101,IF($AA101=1,$F101&amp;$AB101,$G101),IF(OR(BM$3=$D101,BM$3=$AC101,BM$3=$AE101),"",IF(BM$3=$AD101,$F101&amp;"R",BM100))))</f>
        <v/>
      </c>
      <c r="BN101" s="11" t="str">
        <f aca="false">IF($P101=0,BN100,IF(BN$3=$E101,IF($AA101=1,$F101&amp;$AB101,$G101),IF(OR(BN$3=$D101,BN$3=$AC101,BN$3=$AE101),"",IF(BN$3=$AD101,$F101&amp;"R",BN100))))</f>
        <v/>
      </c>
      <c r="BO101" s="11" t="str">
        <f aca="false">IF($P101=0,BO100,IF(BO$3=$E101,IF($AA101=1,$F101&amp;$AB101,$G101),IF(OR(BO$3=$D101,BO$3=$AC101,BO$3=$AE101),"",IF(BO$3=$AD101,$F101&amp;"R",BO100))))</f>
        <v/>
      </c>
      <c r="BP101" s="11" t="str">
        <f aca="false">IF($P101=0,BP100,IF(BP$3=$E101,IF($AA101=1,$F101&amp;$AB101,$G101),IF(OR(BP$3=$D101,BP$3=$AC101,BP$3=$AE101),"",IF(BP$3=$AD101,$F101&amp;"R",BP100))))</f>
        <v/>
      </c>
      <c r="BQ101" s="11" t="str">
        <f aca="false">IF($P101=0,BQ100,IF(BQ$3=$E101,IF($AA101=1,$F101&amp;$AB101,$G101),IF(OR(BQ$3=$D101,BQ$3=$AC101,BQ$3=$AE101),"",IF(BQ$3=$AD101,$F101&amp;"R",BQ100))))</f>
        <v/>
      </c>
      <c r="BR101" s="11" t="str">
        <f aca="false">IF($P101=0,BR100,IF(BR$3=$E101,IF($AA101=1,$F101&amp;$AB101,$G101),IF(OR(BR$3=$D101,BR$3=$AC101,BR$3=$AE101),"",IF(BR$3=$AD101,$F101&amp;"R",BR100))))</f>
        <v/>
      </c>
      <c r="BS101" s="11" t="str">
        <f aca="false">IF($P101=0,BS100,IF(BS$3=$E101,IF($AA101=1,$F101&amp;$AB101,$G101),IF(OR(BS$3=$D101,BS$3=$AC101,BS$3=$AE101),"",IF(BS$3=$AD101,$F101&amp;"R",BS100))))</f>
        <v/>
      </c>
      <c r="BT101" s="11" t="str">
        <f aca="false">IF($P101=0,BT100,IF(BT$3=$E101,IF($AA101=1,$F101&amp;$AB101,$G101),IF(OR(BT$3=$D101,BT$3=$AC101,BT$3=$AE101),"",IF(BT$3=$AD101,$F101&amp;"R",BT100))))</f>
        <v/>
      </c>
      <c r="BU101" s="11" t="str">
        <f aca="false">IF($P101=0,BU100,IF(BU$3=$E101,IF($AA101=1,$F101&amp;$AB101,$G101),IF(OR(BU$3=$D101,BU$3=$AC101,BU$3=$AE101),"",IF(BU$3=$AD101,$F101&amp;"R",BU100))))</f>
        <v/>
      </c>
      <c r="BV101" s="11" t="str">
        <f aca="false">IF($P101=0,BV100,IF(BV$3=$E101,IF($AA101=1,$F101&amp;$AB101,$G101),IF(OR(BV$3=$D101,BV$3=$AC101,BV$3=$AE101),"",IF(BV$3=$AD101,$F101&amp;"R",BV100))))</f>
        <v/>
      </c>
      <c r="BW101" s="11" t="str">
        <f aca="false">IF($P101=0,BW100,IF(BW$3=$E101,IF($AA101=1,$F101&amp;$AB101,$G101),IF(OR(BW$3=$D101,BW$3=$AC101,BW$3=$AE101),"",IF(BW$3=$AD101,$F101&amp;"R",BW100))))</f>
        <v/>
      </c>
      <c r="BX101" s="11" t="str">
        <f aca="false">IF($P101=0,BX100,IF(BX$3=$E101,IF($AA101=1,$F101&amp;$AB101,$G101),IF(OR(BX$3=$D101,BX$3=$AC101,BX$3=$AE101),"",IF(BX$3=$AD101,$F101&amp;"R",BX100))))</f>
        <v/>
      </c>
      <c r="BY101" s="11" t="str">
        <f aca="false">IF($P101=0,BY100,IF(BY$3=$E101,IF($AA101=1,$F101&amp;$AB101,$G101),IF(OR(BY$3=$D101,BY$3=$AC101,BY$3=$AE101),"",IF(BY$3=$AD101,$F101&amp;"R",BY100))))</f>
        <v/>
      </c>
      <c r="BZ101" s="11" t="str">
        <f aca="false">IF($P101=0,BZ100,IF(BZ$3=$E101,IF($AA101=1,$F101&amp;$AB101,$G101),IF(OR(BZ$3=$D101,BZ$3=$AC101,BZ$3=$AE101),"",IF(BZ$3=$AD101,$F101&amp;"R",BZ100))))</f>
        <v/>
      </c>
      <c r="CA101" s="11" t="str">
        <f aca="false">IF($P101=0,CA100,IF(CA$3=$E101,IF($AA101=1,$F101&amp;$AB101,$G101),IF(OR(CA$3=$D101,CA$3=$AC101,CA$3=$AE101),"",IF(CA$3=$AD101,$F101&amp;"R",CA100))))</f>
        <v/>
      </c>
      <c r="CB101" s="11" t="str">
        <f aca="false">IF($P101=0,CB100,IF(CB$3=$E101,IF($AA101=1,$F101&amp;$AB101,$G101),IF(OR(CB$3=$D101,CB$3=$AC101,CB$3=$AE101),"",IF(CB$3=$AD101,$F101&amp;"R",CB100))))</f>
        <v/>
      </c>
      <c r="CC101" s="11" t="str">
        <f aca="false">IF($P101=0,CC100,IF(CC$3=$E101,IF($AA101=1,$F101&amp;$AB101,$G101),IF(OR(CC$3=$D101,CC$3=$AC101,CC$3=$AE101),"",IF(CC$3=$AD101,$F101&amp;"R",CC100))))</f>
        <v/>
      </c>
      <c r="CD101" s="11" t="str">
        <f aca="false">IF($P101=0,CD100,IF(CD$3=$E101,IF($AA101=1,$F101&amp;$AB101,$G101),IF(OR(CD$3=$D101,CD$3=$AC101,CD$3=$AE101),"",IF(CD$3=$AD101,$F101&amp;"R",CD100))))</f>
        <v>bP</v>
      </c>
      <c r="CE101" s="11" t="str">
        <f aca="false">IF($P101=0,CE100,IF(CE$3=$E101,IF($AA101=1,$F101&amp;$AB101,$G101),IF(OR(CE$3=$D101,CE$3=$AC101,CE$3=$AE101),"",IF(CE$3=$AD101,$F101&amp;"R",CE100))))</f>
        <v>bP</v>
      </c>
      <c r="CF101" s="11" t="str">
        <f aca="false">IF($P101=0,CF100,IF(CF$3=$E101,IF($AA101=1,$F101&amp;$AB101,$G101),IF(OR(CF$3=$D101,CF$3=$AC101,CF$3=$AE101),"",IF(CF$3=$AD101,$F101&amp;"R",CF100))))</f>
        <v>bP</v>
      </c>
      <c r="CG101" s="11" t="str">
        <f aca="false">IF($P101=0,CG100,IF(CG$3=$E101,IF($AA101=1,$F101&amp;$AB101,$G101),IF(OR(CG$3=$D101,CG$3=$AC101,CG$3=$AE101),"",IF(CG$3=$AD101,$F101&amp;"R",CG100))))</f>
        <v>bP</v>
      </c>
      <c r="CH101" s="11" t="str">
        <f aca="false">IF($P101=0,CH100,IF(CH$3=$E101,IF($AA101=1,$F101&amp;$AB101,$G101),IF(OR(CH$3=$D101,CH$3=$AC101,CH$3=$AE101),"",IF(CH$3=$AD101,$F101&amp;"R",CH100))))</f>
        <v>bP</v>
      </c>
      <c r="CI101" s="11" t="str">
        <f aca="false">IF($P101=0,CI100,IF(CI$3=$E101,IF($AA101=1,$F101&amp;$AB101,$G101),IF(OR(CI$3=$D101,CI$3=$AC101,CI$3=$AE101),"",IF(CI$3=$AD101,$F101&amp;"R",CI100))))</f>
        <v>bP</v>
      </c>
      <c r="CJ101" s="11" t="str">
        <f aca="false">IF($P101=0,CJ100,IF(CJ$3=$E101,IF($AA101=1,$F101&amp;$AB101,$G101),IF(OR(CJ$3=$D101,CJ$3=$AC101,CJ$3=$AE101),"",IF(CJ$3=$AD101,$F101&amp;"R",CJ100))))</f>
        <v>bP</v>
      </c>
      <c r="CK101" s="11" t="str">
        <f aca="false">IF($P101=0,CK100,IF(CK$3=$E101,IF($AA101=1,$F101&amp;$AB101,$G101),IF(OR(CK$3=$D101,CK$3=$AC101,CK$3=$AE101),"",IF(CK$3=$AD101,$F101&amp;"R",CK100))))</f>
        <v>bP</v>
      </c>
      <c r="CL101" s="11" t="str">
        <f aca="false">IF($P101=0,CL100,IF(CL$3=$E101,IF($AA101=1,$F101&amp;$AB101,$G101),IF(OR(CL$3=$D101,CL$3=$AC101,CL$3=$AE101),"",IF(CL$3=$AD101,$F101&amp;"R",CL100))))</f>
        <v>bR</v>
      </c>
      <c r="CM101" s="11" t="str">
        <f aca="false">IF($P101=0,CM100,IF(CM$3=$E101,IF($AA101=1,$F101&amp;$AB101,$G101),IF(OR(CM$3=$D101,CM$3=$AC101,CM$3=$AE101),"",IF(CM$3=$AD101,$F101&amp;"R",CM100))))</f>
        <v>bN</v>
      </c>
      <c r="CN101" s="11" t="str">
        <f aca="false">IF($P101=0,CN100,IF(CN$3=$E101,IF($AA101=1,$F101&amp;$AB101,$G101),IF(OR(CN$3=$D101,CN$3=$AC101,CN$3=$AE101),"",IF(CN$3=$AD101,$F101&amp;"R",CN100))))</f>
        <v>bB</v>
      </c>
      <c r="CO101" s="11" t="str">
        <f aca="false">IF($P101=0,CO100,IF(CO$3=$E101,IF($AA101=1,$F101&amp;$AB101,$G101),IF(OR(CO$3=$D101,CO$3=$AC101,CO$3=$AE101),"",IF(CO$3=$AD101,$F101&amp;"R",CO100))))</f>
        <v>bQ</v>
      </c>
      <c r="CP101" s="11" t="str">
        <f aca="false">IF($P101=0,CP100,IF(CP$3=$E101,IF($AA101=1,$F101&amp;$AB101,$G101),IF(OR(CP$3=$D101,CP$3=$AC101,CP$3=$AE101),"",IF(CP$3=$AD101,$F101&amp;"R",CP100))))</f>
        <v>bK</v>
      </c>
      <c r="CQ101" s="11" t="str">
        <f aca="false">IF($P101=0,CQ100,IF(CQ$3=$E101,IF($AA101=1,$F101&amp;$AB101,$G101),IF(OR(CQ$3=$D101,CQ$3=$AC101,CQ$3=$AE101),"",IF(CQ$3=$AD101,$F101&amp;"R",CQ100))))</f>
        <v>bB</v>
      </c>
      <c r="CR101" s="11" t="str">
        <f aca="false">IF($P101=0,CR100,IF(CR$3=$E101,IF($AA101=1,$F101&amp;$AB101,$G101),IF(OR(CR$3=$D101,CR$3=$AC101,CR$3=$AE101),"",IF(CR$3=$AD101,$F101&amp;"R",CR100))))</f>
        <v>bN</v>
      </c>
      <c r="CS101" s="11" t="str">
        <f aca="false">IF($P101=0,CS100,IF(CS$3=$E101,IF($AA101=1,$F101&amp;$AB101,$G101),IF(OR(CS$3=$D101,CS$3=$AC101,CS$3=$AE101),"",IF(CS$3=$AD101,$F101&amp;"R",CS100))))</f>
        <v>bR</v>
      </c>
      <c r="CT101" s="11"/>
      <c r="CU101" s="11"/>
      <c r="CV101" s="11"/>
    </row>
    <row r="102" customFormat="false" ht="15" hidden="false" customHeight="false" outlineLevel="0" collapsed="false">
      <c r="A102" s="11" t="n">
        <v>97</v>
      </c>
      <c r="B102" s="11" t="str">
        <f aca="false">IF(Chess!$L$106="","",Chess!$L$106&amp;"")</f>
        <v/>
      </c>
      <c r="C102" s="11" t="str">
        <f aca="false">LOWER(SUBSTITUTE(SUBSTITUTE(SUBSTITUTE(SUBSTITUTE(TRIM($B102),"-",""),"=","")," ",""),"x",""))</f>
        <v/>
      </c>
      <c r="D102" s="11" t="n">
        <f aca="false">IF(LEN($C102)&lt;4,0,IFERROR(IF(AND(CODE(MID($C102,1,1))&gt;=97,CODE(MID($C102,1,1))&lt;=104,VALUE(MID($C102,2,1))&gt;=1,VALUE(MID($C102,2,1))&lt;=8),(VALUE(MID($C102,2,1))-1)*8+CODE(MID($C102,1,1))-96,0),0))</f>
        <v>0</v>
      </c>
      <c r="E102" s="11" t="n">
        <f aca="false">IF(LEN($C102)&lt;4,0,IFERROR(IF(AND(CODE(MID($C102,3,1))&gt;=97,CODE(MID($C102,3,1))&lt;=104,VALUE(MID($C102,4,1))&gt;=1,VALUE(MID($C102,4,1))&lt;=8),(VALUE(MID($C102,4,1))-1)*8+CODE(MID($C102,3,1))-96,0),0))</f>
        <v>0</v>
      </c>
      <c r="F102" s="11" t="str">
        <f aca="false">IF(MOD(SUM($P$5:$P101),2)=0,"w","b")</f>
        <v>w</v>
      </c>
      <c r="G102" s="11" t="str">
        <f aca="false">IF($D102=0,"",INDEX($AH101:$CS101,1,$D102)&amp;"")</f>
        <v/>
      </c>
      <c r="H102" s="11" t="str">
        <f aca="false">IF($E102=0,"",INDEX($AH101:$CS101,1,$E102)&amp;"")</f>
        <v/>
      </c>
      <c r="I102" s="11" t="n">
        <f aca="false">IF(OR($D102=0,$E102=0),0,MOD($E102-1,8)-MOD($D102-1,8))</f>
        <v>0</v>
      </c>
      <c r="J102" s="11" t="n">
        <f aca="false">IF(OR($D102=0,$E102=0),0,INT(($E102-1)/8)-INT(($D102-1)/8))</f>
        <v>0</v>
      </c>
      <c r="K102" s="11" t="str">
        <f aca="false">IF($G102="","",RIGHT($G102,1))</f>
        <v/>
      </c>
      <c r="L102" s="11" t="n">
        <f aca="false">IF(OR($D102=0,$E102=0),0,SUMPRODUCT(($AH$3:$CS$3&gt;MIN($D102,$E102))*($AH$3:$CS$3&lt;MAX($D102,$E102))*(MOD($AH$3:$CS$3-MIN($D102,$E102),MAX(1,ABS(SIGN($J102)*8+SIGN($I102))))=0)*($AH101:$CS101&lt;&gt;"")))</f>
        <v>0</v>
      </c>
      <c r="M102" s="11" t="n">
        <f aca="false">IF($K102&lt;&gt;"K",0,IFERROR(--AND($J102=0,ABS($I102)=2,$D102=IF($F102="w",5,61),IF($F102="w",$S101,$V101)=0,IF($I102=2,AND(IF($F102="w",$U101,$X101)=0,INDEX($AH101:$CS101,1,$D102+1)&amp;""="",INDEX($AH101:$CS101,1,$D102+2)&amp;""=""),AND(IF($F102="w",$T101,$W101)=0,INDEX($AH101:$CS101,1,$D102-1)&amp;""="",INDEX($AH101:$CS101,1,$D102-2)&amp;""="",INDEX($AH101:$CS101,1,$D102-3)&amp;""=""))),0))</f>
        <v>0</v>
      </c>
      <c r="N102" s="11" t="n">
        <f aca="false">IF($K102&lt;&gt;"P",0,IFERROR(--OR(AND($I102=0,$J102=IF($F102="w",1,-1),$H102=""),AND($I102=0,$J102=2*IF($F102="w",1,-1),$H102="",INT(($D102-1)/8)=IF($F102="w",1,6),INDEX($AH101:$CS101,1,MAX(1,MIN(64,$D102+8*IF($F102="w",1,-1))))&amp;""=""),AND(ABS($I102)=1,$J102=IF($F102="w",1,-1),$H102&lt;&gt;""),AND(ABS($I102)=1,$J102=IF($F102="w",1,-1),$H102="",$R101&gt;0,$E102=$R101)),0))</f>
        <v>0</v>
      </c>
      <c r="O102" s="11" t="n">
        <f aca="false">IF(OR($D102=0,$E102=0,$G102=""),0,IF($K102="N",--OR(AND(ABS($I102)=1,ABS($J102)=2),AND(ABS($I102)=2,ABS($J102)=1)),IF($K102="B",--AND(ABS($I102)=ABS($J102),$I102&lt;&gt;0,$L102=0),IF($K102="R",--AND(OR($I102=0,$J102=0),OR($I102&lt;&gt;0,$J102&lt;&gt;0),$L102=0),IF($K102="Q",--AND(OR(AND(ABS($I102)=ABS($J102),$I102&lt;&gt;0),AND(OR($I102=0,$J102=0),OR($I102&lt;&gt;0,$J102&lt;&gt;0))),$L102=0),IF($K102="K",--OR(MAX(ABS($I102),ABS($J102))=1,$M102=1),$N102))))))</f>
        <v>0</v>
      </c>
      <c r="P102" s="11" t="n">
        <f aca="false">IF($Q102="OK",1,0)</f>
        <v>0</v>
      </c>
      <c r="Q102" s="11" t="str">
        <f aca="false">IF($B102="","",IF(OR(COUNTIF($AH101:$CS101,"wK")=0,COUNTIF($AH101:$CS101,"bK")=0),"Game is over",IF(OR($D102=0,$E102=0),"Use the format e2e4",IF($G102="","No piece on that square",IF(LEFT($G102,1)&lt;&gt;$F102,"Not your piece ("&amp;IF($F102="w","White","Black")&amp;" to move)",IF($D102=$E102,"Piece must move",IF(AND($H102&lt;&gt;"",LEFT($H102,1)=$F102),"Cannot capture your own piece",IF($O102=0,"Illegal move for that piece (or path blocked)","OK"))))))))</f>
        <v/>
      </c>
      <c r="R102" s="11" t="n">
        <f aca="false">IF($P102=1,IF(AND($K102="P",ABS($J102)=2),($D102+$E102)/2,0),$R101)</f>
        <v>0</v>
      </c>
      <c r="S102" s="12" t="b">
        <f aca="false">--OR($S101=1,AND($P102=1,OR($D102=5,$E102=5)))</f>
        <v>0</v>
      </c>
      <c r="T102" s="12" t="b">
        <f aca="false">--OR($T101=1,AND($P102=1,OR($D102=1,$E102=1)))</f>
        <v>0</v>
      </c>
      <c r="U102" s="12" t="b">
        <f aca="false">--OR($U101=1,AND($P102=1,OR($D102=8,$E102=8)))</f>
        <v>0</v>
      </c>
      <c r="V102" s="12" t="b">
        <f aca="false">--OR($V101=1,AND($P102=1,OR($D102=61,$E102=61)))</f>
        <v>0</v>
      </c>
      <c r="W102" s="12" t="b">
        <f aca="false">--OR($W101=1,AND($P102=1,OR($D102=57,$E102=57)))</f>
        <v>0</v>
      </c>
      <c r="X102" s="12" t="b">
        <f aca="false">--OR($X101=1,AND($P102=1,OR($D102=64,$E102=64)))</f>
        <v>0</v>
      </c>
      <c r="Y102" s="12" t="b">
        <f aca="false">--AND($P102=1,$K102="K",ABS($I102)=2)</f>
        <v>0</v>
      </c>
      <c r="Z102" s="12" t="b">
        <f aca="false">--AND($P102=1,$K102="P",ABS($I102)=1,$H102="")</f>
        <v>0</v>
      </c>
      <c r="AA102" s="12" t="b">
        <f aca="false">--AND($P102=1,$K102="P",INT(($E102-1)/8)=IF($F102="w",7,0))</f>
        <v>0</v>
      </c>
      <c r="AB102" s="11" t="str">
        <f aca="false">IF(LEN($C102)&gt;=5,IF(ISNUMBER(FIND(MID($C102,5,1),"qrbn")),UPPER(MID($C102,5,1)),"Q"),"Q")</f>
        <v>Q</v>
      </c>
      <c r="AC102" s="11" t="n">
        <f aca="false">IF($Y102=1,IF($I102=2,$D102+3,$D102-4),0)</f>
        <v>0</v>
      </c>
      <c r="AD102" s="11" t="n">
        <f aca="false">IF($Y102=1,IF($I102=2,$D102+1,$D102-1),0)</f>
        <v>0</v>
      </c>
      <c r="AE102" s="11" t="n">
        <f aca="false">IF($Z102=1,$E102-8*IF($F102="w",1,-1),0)</f>
        <v>0</v>
      </c>
      <c r="AF102" s="11" t="str">
        <f aca="false">IF($B102="","",IF($P102=1,LOWER(INDEX($CV$2:$CV$13,MATCH($G102,$CU$2:$CU$13,0)))&amp;" "&amp;MID("abcdefgh",MOD($D102-1,8)+1,1)&amp;(INT(($D102-1)/8)+1)&amp;"→"&amp;MID("abcdefgh",MOD($E102-1,8)+1,1)&amp;(INT(($E102-1)/8)+1)&amp;IF(OR($H102&lt;&gt;"",$Z102=1)," ×","")&amp;IF($Y102=1," castles","")&amp;IF($Z102=1," e.p.","")&amp;IF($AA102=1," =" &amp;LOWER(INDEX($CV$2:$CV$13,MATCH($F102&amp;$AB102,$CU$2:$CU$13,0))),""),"X "&amp;$Q102))</f>
        <v/>
      </c>
      <c r="AG102" s="11"/>
      <c r="AH102" s="11" t="str">
        <f aca="false">IF($P102=0,AH101,IF(AH$3=$E102,IF($AA102=1,$F102&amp;$AB102,$G102),IF(OR(AH$3=$D102,AH$3=$AC102,AH$3=$AE102),"",IF(AH$3=$AD102,$F102&amp;"R",AH101))))</f>
        <v>wR</v>
      </c>
      <c r="AI102" s="11" t="str">
        <f aca="false">IF($P102=0,AI101,IF(AI$3=$E102,IF($AA102=1,$F102&amp;$AB102,$G102),IF(OR(AI$3=$D102,AI$3=$AC102,AI$3=$AE102),"",IF(AI$3=$AD102,$F102&amp;"R",AI101))))</f>
        <v>wN</v>
      </c>
      <c r="AJ102" s="11" t="str">
        <f aca="false">IF($P102=0,AJ101,IF(AJ$3=$E102,IF($AA102=1,$F102&amp;$AB102,$G102),IF(OR(AJ$3=$D102,AJ$3=$AC102,AJ$3=$AE102),"",IF(AJ$3=$AD102,$F102&amp;"R",AJ101))))</f>
        <v>wB</v>
      </c>
      <c r="AK102" s="11" t="str">
        <f aca="false">IF($P102=0,AK101,IF(AK$3=$E102,IF($AA102=1,$F102&amp;$AB102,$G102),IF(OR(AK$3=$D102,AK$3=$AC102,AK$3=$AE102),"",IF(AK$3=$AD102,$F102&amp;"R",AK101))))</f>
        <v>wQ</v>
      </c>
      <c r="AL102" s="11" t="str">
        <f aca="false">IF($P102=0,AL101,IF(AL$3=$E102,IF($AA102=1,$F102&amp;$AB102,$G102),IF(OR(AL$3=$D102,AL$3=$AC102,AL$3=$AE102),"",IF(AL$3=$AD102,$F102&amp;"R",AL101))))</f>
        <v>wK</v>
      </c>
      <c r="AM102" s="11" t="str">
        <f aca="false">IF($P102=0,AM101,IF(AM$3=$E102,IF($AA102=1,$F102&amp;$AB102,$G102),IF(OR(AM$3=$D102,AM$3=$AC102,AM$3=$AE102),"",IF(AM$3=$AD102,$F102&amp;"R",AM101))))</f>
        <v>wB</v>
      </c>
      <c r="AN102" s="11" t="str">
        <f aca="false">IF($P102=0,AN101,IF(AN$3=$E102,IF($AA102=1,$F102&amp;$AB102,$G102),IF(OR(AN$3=$D102,AN$3=$AC102,AN$3=$AE102),"",IF(AN$3=$AD102,$F102&amp;"R",AN101))))</f>
        <v>wN</v>
      </c>
      <c r="AO102" s="11" t="str">
        <f aca="false">IF($P102=0,AO101,IF(AO$3=$E102,IF($AA102=1,$F102&amp;$AB102,$G102),IF(OR(AO$3=$D102,AO$3=$AC102,AO$3=$AE102),"",IF(AO$3=$AD102,$F102&amp;"R",AO101))))</f>
        <v>wR</v>
      </c>
      <c r="AP102" s="11" t="str">
        <f aca="false">IF($P102=0,AP101,IF(AP$3=$E102,IF($AA102=1,$F102&amp;$AB102,$G102),IF(OR(AP$3=$D102,AP$3=$AC102,AP$3=$AE102),"",IF(AP$3=$AD102,$F102&amp;"R",AP101))))</f>
        <v>wP</v>
      </c>
      <c r="AQ102" s="11" t="str">
        <f aca="false">IF($P102=0,AQ101,IF(AQ$3=$E102,IF($AA102=1,$F102&amp;$AB102,$G102),IF(OR(AQ$3=$D102,AQ$3=$AC102,AQ$3=$AE102),"",IF(AQ$3=$AD102,$F102&amp;"R",AQ101))))</f>
        <v>wP</v>
      </c>
      <c r="AR102" s="11" t="str">
        <f aca="false">IF($P102=0,AR101,IF(AR$3=$E102,IF($AA102=1,$F102&amp;$AB102,$G102),IF(OR(AR$3=$D102,AR$3=$AC102,AR$3=$AE102),"",IF(AR$3=$AD102,$F102&amp;"R",AR101))))</f>
        <v>wP</v>
      </c>
      <c r="AS102" s="11" t="str">
        <f aca="false">IF($P102=0,AS101,IF(AS$3=$E102,IF($AA102=1,$F102&amp;$AB102,$G102),IF(OR(AS$3=$D102,AS$3=$AC102,AS$3=$AE102),"",IF(AS$3=$AD102,$F102&amp;"R",AS101))))</f>
        <v>wP</v>
      </c>
      <c r="AT102" s="11" t="str">
        <f aca="false">IF($P102=0,AT101,IF(AT$3=$E102,IF($AA102=1,$F102&amp;$AB102,$G102),IF(OR(AT$3=$D102,AT$3=$AC102,AT$3=$AE102),"",IF(AT$3=$AD102,$F102&amp;"R",AT101))))</f>
        <v>wP</v>
      </c>
      <c r="AU102" s="11" t="str">
        <f aca="false">IF($P102=0,AU101,IF(AU$3=$E102,IF($AA102=1,$F102&amp;$AB102,$G102),IF(OR(AU$3=$D102,AU$3=$AC102,AU$3=$AE102),"",IF(AU$3=$AD102,$F102&amp;"R",AU101))))</f>
        <v>wP</v>
      </c>
      <c r="AV102" s="11" t="str">
        <f aca="false">IF($P102=0,AV101,IF(AV$3=$E102,IF($AA102=1,$F102&amp;$AB102,$G102),IF(OR(AV$3=$D102,AV$3=$AC102,AV$3=$AE102),"",IF(AV$3=$AD102,$F102&amp;"R",AV101))))</f>
        <v>wP</v>
      </c>
      <c r="AW102" s="11" t="str">
        <f aca="false">IF($P102=0,AW101,IF(AW$3=$E102,IF($AA102=1,$F102&amp;$AB102,$G102),IF(OR(AW$3=$D102,AW$3=$AC102,AW$3=$AE102),"",IF(AW$3=$AD102,$F102&amp;"R",AW101))))</f>
        <v>wP</v>
      </c>
      <c r="AX102" s="11" t="str">
        <f aca="false">IF($P102=0,AX101,IF(AX$3=$E102,IF($AA102=1,$F102&amp;$AB102,$G102),IF(OR(AX$3=$D102,AX$3=$AC102,AX$3=$AE102),"",IF(AX$3=$AD102,$F102&amp;"R",AX101))))</f>
        <v/>
      </c>
      <c r="AY102" s="11" t="str">
        <f aca="false">IF($P102=0,AY101,IF(AY$3=$E102,IF($AA102=1,$F102&amp;$AB102,$G102),IF(OR(AY$3=$D102,AY$3=$AC102,AY$3=$AE102),"",IF(AY$3=$AD102,$F102&amp;"R",AY101))))</f>
        <v/>
      </c>
      <c r="AZ102" s="11" t="str">
        <f aca="false">IF($P102=0,AZ101,IF(AZ$3=$E102,IF($AA102=1,$F102&amp;$AB102,$G102),IF(OR(AZ$3=$D102,AZ$3=$AC102,AZ$3=$AE102),"",IF(AZ$3=$AD102,$F102&amp;"R",AZ101))))</f>
        <v/>
      </c>
      <c r="BA102" s="11" t="str">
        <f aca="false">IF($P102=0,BA101,IF(BA$3=$E102,IF($AA102=1,$F102&amp;$AB102,$G102),IF(OR(BA$3=$D102,BA$3=$AC102,BA$3=$AE102),"",IF(BA$3=$AD102,$F102&amp;"R",BA101))))</f>
        <v/>
      </c>
      <c r="BB102" s="11" t="str">
        <f aca="false">IF($P102=0,BB101,IF(BB$3=$E102,IF($AA102=1,$F102&amp;$AB102,$G102),IF(OR(BB$3=$D102,BB$3=$AC102,BB$3=$AE102),"",IF(BB$3=$AD102,$F102&amp;"R",BB101))))</f>
        <v/>
      </c>
      <c r="BC102" s="11" t="str">
        <f aca="false">IF($P102=0,BC101,IF(BC$3=$E102,IF($AA102=1,$F102&amp;$AB102,$G102),IF(OR(BC$3=$D102,BC$3=$AC102,BC$3=$AE102),"",IF(BC$3=$AD102,$F102&amp;"R",BC101))))</f>
        <v/>
      </c>
      <c r="BD102" s="11" t="str">
        <f aca="false">IF($P102=0,BD101,IF(BD$3=$E102,IF($AA102=1,$F102&amp;$AB102,$G102),IF(OR(BD$3=$D102,BD$3=$AC102,BD$3=$AE102),"",IF(BD$3=$AD102,$F102&amp;"R",BD101))))</f>
        <v/>
      </c>
      <c r="BE102" s="11" t="str">
        <f aca="false">IF($P102=0,BE101,IF(BE$3=$E102,IF($AA102=1,$F102&amp;$AB102,$G102),IF(OR(BE$3=$D102,BE$3=$AC102,BE$3=$AE102),"",IF(BE$3=$AD102,$F102&amp;"R",BE101))))</f>
        <v/>
      </c>
      <c r="BF102" s="11" t="str">
        <f aca="false">IF($P102=0,BF101,IF(BF$3=$E102,IF($AA102=1,$F102&amp;$AB102,$G102),IF(OR(BF$3=$D102,BF$3=$AC102,BF$3=$AE102),"",IF(BF$3=$AD102,$F102&amp;"R",BF101))))</f>
        <v/>
      </c>
      <c r="BG102" s="11" t="str">
        <f aca="false">IF($P102=0,BG101,IF(BG$3=$E102,IF($AA102=1,$F102&amp;$AB102,$G102),IF(OR(BG$3=$D102,BG$3=$AC102,BG$3=$AE102),"",IF(BG$3=$AD102,$F102&amp;"R",BG101))))</f>
        <v/>
      </c>
      <c r="BH102" s="11" t="str">
        <f aca="false">IF($P102=0,BH101,IF(BH$3=$E102,IF($AA102=1,$F102&amp;$AB102,$G102),IF(OR(BH$3=$D102,BH$3=$AC102,BH$3=$AE102),"",IF(BH$3=$AD102,$F102&amp;"R",BH101))))</f>
        <v/>
      </c>
      <c r="BI102" s="11" t="str">
        <f aca="false">IF($P102=0,BI101,IF(BI$3=$E102,IF($AA102=1,$F102&amp;$AB102,$G102),IF(OR(BI$3=$D102,BI$3=$AC102,BI$3=$AE102),"",IF(BI$3=$AD102,$F102&amp;"R",BI101))))</f>
        <v/>
      </c>
      <c r="BJ102" s="11" t="str">
        <f aca="false">IF($P102=0,BJ101,IF(BJ$3=$E102,IF($AA102=1,$F102&amp;$AB102,$G102),IF(OR(BJ$3=$D102,BJ$3=$AC102,BJ$3=$AE102),"",IF(BJ$3=$AD102,$F102&amp;"R",BJ101))))</f>
        <v/>
      </c>
      <c r="BK102" s="11" t="str">
        <f aca="false">IF($P102=0,BK101,IF(BK$3=$E102,IF($AA102=1,$F102&amp;$AB102,$G102),IF(OR(BK$3=$D102,BK$3=$AC102,BK$3=$AE102),"",IF(BK$3=$AD102,$F102&amp;"R",BK101))))</f>
        <v/>
      </c>
      <c r="BL102" s="11" t="str">
        <f aca="false">IF($P102=0,BL101,IF(BL$3=$E102,IF($AA102=1,$F102&amp;$AB102,$G102),IF(OR(BL$3=$D102,BL$3=$AC102,BL$3=$AE102),"",IF(BL$3=$AD102,$F102&amp;"R",BL101))))</f>
        <v/>
      </c>
      <c r="BM102" s="11" t="str">
        <f aca="false">IF($P102=0,BM101,IF(BM$3=$E102,IF($AA102=1,$F102&amp;$AB102,$G102),IF(OR(BM$3=$D102,BM$3=$AC102,BM$3=$AE102),"",IF(BM$3=$AD102,$F102&amp;"R",BM101))))</f>
        <v/>
      </c>
      <c r="BN102" s="11" t="str">
        <f aca="false">IF($P102=0,BN101,IF(BN$3=$E102,IF($AA102=1,$F102&amp;$AB102,$G102),IF(OR(BN$3=$D102,BN$3=$AC102,BN$3=$AE102),"",IF(BN$3=$AD102,$F102&amp;"R",BN101))))</f>
        <v/>
      </c>
      <c r="BO102" s="11" t="str">
        <f aca="false">IF($P102=0,BO101,IF(BO$3=$E102,IF($AA102=1,$F102&amp;$AB102,$G102),IF(OR(BO$3=$D102,BO$3=$AC102,BO$3=$AE102),"",IF(BO$3=$AD102,$F102&amp;"R",BO101))))</f>
        <v/>
      </c>
      <c r="BP102" s="11" t="str">
        <f aca="false">IF($P102=0,BP101,IF(BP$3=$E102,IF($AA102=1,$F102&amp;$AB102,$G102),IF(OR(BP$3=$D102,BP$3=$AC102,BP$3=$AE102),"",IF(BP$3=$AD102,$F102&amp;"R",BP101))))</f>
        <v/>
      </c>
      <c r="BQ102" s="11" t="str">
        <f aca="false">IF($P102=0,BQ101,IF(BQ$3=$E102,IF($AA102=1,$F102&amp;$AB102,$G102),IF(OR(BQ$3=$D102,BQ$3=$AC102,BQ$3=$AE102),"",IF(BQ$3=$AD102,$F102&amp;"R",BQ101))))</f>
        <v/>
      </c>
      <c r="BR102" s="11" t="str">
        <f aca="false">IF($P102=0,BR101,IF(BR$3=$E102,IF($AA102=1,$F102&amp;$AB102,$G102),IF(OR(BR$3=$D102,BR$3=$AC102,BR$3=$AE102),"",IF(BR$3=$AD102,$F102&amp;"R",BR101))))</f>
        <v/>
      </c>
      <c r="BS102" s="11" t="str">
        <f aca="false">IF($P102=0,BS101,IF(BS$3=$E102,IF($AA102=1,$F102&amp;$AB102,$G102),IF(OR(BS$3=$D102,BS$3=$AC102,BS$3=$AE102),"",IF(BS$3=$AD102,$F102&amp;"R",BS101))))</f>
        <v/>
      </c>
      <c r="BT102" s="11" t="str">
        <f aca="false">IF($P102=0,BT101,IF(BT$3=$E102,IF($AA102=1,$F102&amp;$AB102,$G102),IF(OR(BT$3=$D102,BT$3=$AC102,BT$3=$AE102),"",IF(BT$3=$AD102,$F102&amp;"R",BT101))))</f>
        <v/>
      </c>
      <c r="BU102" s="11" t="str">
        <f aca="false">IF($P102=0,BU101,IF(BU$3=$E102,IF($AA102=1,$F102&amp;$AB102,$G102),IF(OR(BU$3=$D102,BU$3=$AC102,BU$3=$AE102),"",IF(BU$3=$AD102,$F102&amp;"R",BU101))))</f>
        <v/>
      </c>
      <c r="BV102" s="11" t="str">
        <f aca="false">IF($P102=0,BV101,IF(BV$3=$E102,IF($AA102=1,$F102&amp;$AB102,$G102),IF(OR(BV$3=$D102,BV$3=$AC102,BV$3=$AE102),"",IF(BV$3=$AD102,$F102&amp;"R",BV101))))</f>
        <v/>
      </c>
      <c r="BW102" s="11" t="str">
        <f aca="false">IF($P102=0,BW101,IF(BW$3=$E102,IF($AA102=1,$F102&amp;$AB102,$G102),IF(OR(BW$3=$D102,BW$3=$AC102,BW$3=$AE102),"",IF(BW$3=$AD102,$F102&amp;"R",BW101))))</f>
        <v/>
      </c>
      <c r="BX102" s="11" t="str">
        <f aca="false">IF($P102=0,BX101,IF(BX$3=$E102,IF($AA102=1,$F102&amp;$AB102,$G102),IF(OR(BX$3=$D102,BX$3=$AC102,BX$3=$AE102),"",IF(BX$3=$AD102,$F102&amp;"R",BX101))))</f>
        <v/>
      </c>
      <c r="BY102" s="11" t="str">
        <f aca="false">IF($P102=0,BY101,IF(BY$3=$E102,IF($AA102=1,$F102&amp;$AB102,$G102),IF(OR(BY$3=$D102,BY$3=$AC102,BY$3=$AE102),"",IF(BY$3=$AD102,$F102&amp;"R",BY101))))</f>
        <v/>
      </c>
      <c r="BZ102" s="11" t="str">
        <f aca="false">IF($P102=0,BZ101,IF(BZ$3=$E102,IF($AA102=1,$F102&amp;$AB102,$G102),IF(OR(BZ$3=$D102,BZ$3=$AC102,BZ$3=$AE102),"",IF(BZ$3=$AD102,$F102&amp;"R",BZ101))))</f>
        <v/>
      </c>
      <c r="CA102" s="11" t="str">
        <f aca="false">IF($P102=0,CA101,IF(CA$3=$E102,IF($AA102=1,$F102&amp;$AB102,$G102),IF(OR(CA$3=$D102,CA$3=$AC102,CA$3=$AE102),"",IF(CA$3=$AD102,$F102&amp;"R",CA101))))</f>
        <v/>
      </c>
      <c r="CB102" s="11" t="str">
        <f aca="false">IF($P102=0,CB101,IF(CB$3=$E102,IF($AA102=1,$F102&amp;$AB102,$G102),IF(OR(CB$3=$D102,CB$3=$AC102,CB$3=$AE102),"",IF(CB$3=$AD102,$F102&amp;"R",CB101))))</f>
        <v/>
      </c>
      <c r="CC102" s="11" t="str">
        <f aca="false">IF($P102=0,CC101,IF(CC$3=$E102,IF($AA102=1,$F102&amp;$AB102,$G102),IF(OR(CC$3=$D102,CC$3=$AC102,CC$3=$AE102),"",IF(CC$3=$AD102,$F102&amp;"R",CC101))))</f>
        <v/>
      </c>
      <c r="CD102" s="11" t="str">
        <f aca="false">IF($P102=0,CD101,IF(CD$3=$E102,IF($AA102=1,$F102&amp;$AB102,$G102),IF(OR(CD$3=$D102,CD$3=$AC102,CD$3=$AE102),"",IF(CD$3=$AD102,$F102&amp;"R",CD101))))</f>
        <v>bP</v>
      </c>
      <c r="CE102" s="11" t="str">
        <f aca="false">IF($P102=0,CE101,IF(CE$3=$E102,IF($AA102=1,$F102&amp;$AB102,$G102),IF(OR(CE$3=$D102,CE$3=$AC102,CE$3=$AE102),"",IF(CE$3=$AD102,$F102&amp;"R",CE101))))</f>
        <v>bP</v>
      </c>
      <c r="CF102" s="11" t="str">
        <f aca="false">IF($P102=0,CF101,IF(CF$3=$E102,IF($AA102=1,$F102&amp;$AB102,$G102),IF(OR(CF$3=$D102,CF$3=$AC102,CF$3=$AE102),"",IF(CF$3=$AD102,$F102&amp;"R",CF101))))</f>
        <v>bP</v>
      </c>
      <c r="CG102" s="11" t="str">
        <f aca="false">IF($P102=0,CG101,IF(CG$3=$E102,IF($AA102=1,$F102&amp;$AB102,$G102),IF(OR(CG$3=$D102,CG$3=$AC102,CG$3=$AE102),"",IF(CG$3=$AD102,$F102&amp;"R",CG101))))</f>
        <v>bP</v>
      </c>
      <c r="CH102" s="11" t="str">
        <f aca="false">IF($P102=0,CH101,IF(CH$3=$E102,IF($AA102=1,$F102&amp;$AB102,$G102),IF(OR(CH$3=$D102,CH$3=$AC102,CH$3=$AE102),"",IF(CH$3=$AD102,$F102&amp;"R",CH101))))</f>
        <v>bP</v>
      </c>
      <c r="CI102" s="11" t="str">
        <f aca="false">IF($P102=0,CI101,IF(CI$3=$E102,IF($AA102=1,$F102&amp;$AB102,$G102),IF(OR(CI$3=$D102,CI$3=$AC102,CI$3=$AE102),"",IF(CI$3=$AD102,$F102&amp;"R",CI101))))</f>
        <v>bP</v>
      </c>
      <c r="CJ102" s="11" t="str">
        <f aca="false">IF($P102=0,CJ101,IF(CJ$3=$E102,IF($AA102=1,$F102&amp;$AB102,$G102),IF(OR(CJ$3=$D102,CJ$3=$AC102,CJ$3=$AE102),"",IF(CJ$3=$AD102,$F102&amp;"R",CJ101))))</f>
        <v>bP</v>
      </c>
      <c r="CK102" s="11" t="str">
        <f aca="false">IF($P102=0,CK101,IF(CK$3=$E102,IF($AA102=1,$F102&amp;$AB102,$G102),IF(OR(CK$3=$D102,CK$3=$AC102,CK$3=$AE102),"",IF(CK$3=$AD102,$F102&amp;"R",CK101))))</f>
        <v>bP</v>
      </c>
      <c r="CL102" s="11" t="str">
        <f aca="false">IF($P102=0,CL101,IF(CL$3=$E102,IF($AA102=1,$F102&amp;$AB102,$G102),IF(OR(CL$3=$D102,CL$3=$AC102,CL$3=$AE102),"",IF(CL$3=$AD102,$F102&amp;"R",CL101))))</f>
        <v>bR</v>
      </c>
      <c r="CM102" s="11" t="str">
        <f aca="false">IF($P102=0,CM101,IF(CM$3=$E102,IF($AA102=1,$F102&amp;$AB102,$G102),IF(OR(CM$3=$D102,CM$3=$AC102,CM$3=$AE102),"",IF(CM$3=$AD102,$F102&amp;"R",CM101))))</f>
        <v>bN</v>
      </c>
      <c r="CN102" s="11" t="str">
        <f aca="false">IF($P102=0,CN101,IF(CN$3=$E102,IF($AA102=1,$F102&amp;$AB102,$G102),IF(OR(CN$3=$D102,CN$3=$AC102,CN$3=$AE102),"",IF(CN$3=$AD102,$F102&amp;"R",CN101))))</f>
        <v>bB</v>
      </c>
      <c r="CO102" s="11" t="str">
        <f aca="false">IF($P102=0,CO101,IF(CO$3=$E102,IF($AA102=1,$F102&amp;$AB102,$G102),IF(OR(CO$3=$D102,CO$3=$AC102,CO$3=$AE102),"",IF(CO$3=$AD102,$F102&amp;"R",CO101))))</f>
        <v>bQ</v>
      </c>
      <c r="CP102" s="11" t="str">
        <f aca="false">IF($P102=0,CP101,IF(CP$3=$E102,IF($AA102=1,$F102&amp;$AB102,$G102),IF(OR(CP$3=$D102,CP$3=$AC102,CP$3=$AE102),"",IF(CP$3=$AD102,$F102&amp;"R",CP101))))</f>
        <v>bK</v>
      </c>
      <c r="CQ102" s="11" t="str">
        <f aca="false">IF($P102=0,CQ101,IF(CQ$3=$E102,IF($AA102=1,$F102&amp;$AB102,$G102),IF(OR(CQ$3=$D102,CQ$3=$AC102,CQ$3=$AE102),"",IF(CQ$3=$AD102,$F102&amp;"R",CQ101))))</f>
        <v>bB</v>
      </c>
      <c r="CR102" s="11" t="str">
        <f aca="false">IF($P102=0,CR101,IF(CR$3=$E102,IF($AA102=1,$F102&amp;$AB102,$G102),IF(OR(CR$3=$D102,CR$3=$AC102,CR$3=$AE102),"",IF(CR$3=$AD102,$F102&amp;"R",CR101))))</f>
        <v>bN</v>
      </c>
      <c r="CS102" s="11" t="str">
        <f aca="false">IF($P102=0,CS101,IF(CS$3=$E102,IF($AA102=1,$F102&amp;$AB102,$G102),IF(OR(CS$3=$D102,CS$3=$AC102,CS$3=$AE102),"",IF(CS$3=$AD102,$F102&amp;"R",CS101))))</f>
        <v>bR</v>
      </c>
      <c r="CT102" s="11"/>
      <c r="CU102" s="11"/>
      <c r="CV102" s="11"/>
    </row>
    <row r="103" customFormat="false" ht="15" hidden="false" customHeight="false" outlineLevel="0" collapsed="false">
      <c r="A103" s="11" t="n">
        <v>98</v>
      </c>
      <c r="B103" s="11" t="str">
        <f aca="false">IF(Chess!$L$107="","",Chess!$L$107&amp;"")</f>
        <v/>
      </c>
      <c r="C103" s="11" t="str">
        <f aca="false">LOWER(SUBSTITUTE(SUBSTITUTE(SUBSTITUTE(SUBSTITUTE(TRIM($B103),"-",""),"=","")," ",""),"x",""))</f>
        <v/>
      </c>
      <c r="D103" s="11" t="n">
        <f aca="false">IF(LEN($C103)&lt;4,0,IFERROR(IF(AND(CODE(MID($C103,1,1))&gt;=97,CODE(MID($C103,1,1))&lt;=104,VALUE(MID($C103,2,1))&gt;=1,VALUE(MID($C103,2,1))&lt;=8),(VALUE(MID($C103,2,1))-1)*8+CODE(MID($C103,1,1))-96,0),0))</f>
        <v>0</v>
      </c>
      <c r="E103" s="11" t="n">
        <f aca="false">IF(LEN($C103)&lt;4,0,IFERROR(IF(AND(CODE(MID($C103,3,1))&gt;=97,CODE(MID($C103,3,1))&lt;=104,VALUE(MID($C103,4,1))&gt;=1,VALUE(MID($C103,4,1))&lt;=8),(VALUE(MID($C103,4,1))-1)*8+CODE(MID($C103,3,1))-96,0),0))</f>
        <v>0</v>
      </c>
      <c r="F103" s="11" t="str">
        <f aca="false">IF(MOD(SUM($P$5:$P102),2)=0,"w","b")</f>
        <v>w</v>
      </c>
      <c r="G103" s="11" t="str">
        <f aca="false">IF($D103=0,"",INDEX($AH102:$CS102,1,$D103)&amp;"")</f>
        <v/>
      </c>
      <c r="H103" s="11" t="str">
        <f aca="false">IF($E103=0,"",INDEX($AH102:$CS102,1,$E103)&amp;"")</f>
        <v/>
      </c>
      <c r="I103" s="11" t="n">
        <f aca="false">IF(OR($D103=0,$E103=0),0,MOD($E103-1,8)-MOD($D103-1,8))</f>
        <v>0</v>
      </c>
      <c r="J103" s="11" t="n">
        <f aca="false">IF(OR($D103=0,$E103=0),0,INT(($E103-1)/8)-INT(($D103-1)/8))</f>
        <v>0</v>
      </c>
      <c r="K103" s="11" t="str">
        <f aca="false">IF($G103="","",RIGHT($G103,1))</f>
        <v/>
      </c>
      <c r="L103" s="11" t="n">
        <f aca="false">IF(OR($D103=0,$E103=0),0,SUMPRODUCT(($AH$3:$CS$3&gt;MIN($D103,$E103))*($AH$3:$CS$3&lt;MAX($D103,$E103))*(MOD($AH$3:$CS$3-MIN($D103,$E103),MAX(1,ABS(SIGN($J103)*8+SIGN($I103))))=0)*($AH102:$CS102&lt;&gt;"")))</f>
        <v>0</v>
      </c>
      <c r="M103" s="11" t="n">
        <f aca="false">IF($K103&lt;&gt;"K",0,IFERROR(--AND($J103=0,ABS($I103)=2,$D103=IF($F103="w",5,61),IF($F103="w",$S102,$V102)=0,IF($I103=2,AND(IF($F103="w",$U102,$X102)=0,INDEX($AH102:$CS102,1,$D103+1)&amp;""="",INDEX($AH102:$CS102,1,$D103+2)&amp;""=""),AND(IF($F103="w",$T102,$W102)=0,INDEX($AH102:$CS102,1,$D103-1)&amp;""="",INDEX($AH102:$CS102,1,$D103-2)&amp;""="",INDEX($AH102:$CS102,1,$D103-3)&amp;""=""))),0))</f>
        <v>0</v>
      </c>
      <c r="N103" s="11" t="n">
        <f aca="false">IF($K103&lt;&gt;"P",0,IFERROR(--OR(AND($I103=0,$J103=IF($F103="w",1,-1),$H103=""),AND($I103=0,$J103=2*IF($F103="w",1,-1),$H103="",INT(($D103-1)/8)=IF($F103="w",1,6),INDEX($AH102:$CS102,1,MAX(1,MIN(64,$D103+8*IF($F103="w",1,-1))))&amp;""=""),AND(ABS($I103)=1,$J103=IF($F103="w",1,-1),$H103&lt;&gt;""),AND(ABS($I103)=1,$J103=IF($F103="w",1,-1),$H103="",$R102&gt;0,$E103=$R102)),0))</f>
        <v>0</v>
      </c>
      <c r="O103" s="11" t="n">
        <f aca="false">IF(OR($D103=0,$E103=0,$G103=""),0,IF($K103="N",--OR(AND(ABS($I103)=1,ABS($J103)=2),AND(ABS($I103)=2,ABS($J103)=1)),IF($K103="B",--AND(ABS($I103)=ABS($J103),$I103&lt;&gt;0,$L103=0),IF($K103="R",--AND(OR($I103=0,$J103=0),OR($I103&lt;&gt;0,$J103&lt;&gt;0),$L103=0),IF($K103="Q",--AND(OR(AND(ABS($I103)=ABS($J103),$I103&lt;&gt;0),AND(OR($I103=0,$J103=0),OR($I103&lt;&gt;0,$J103&lt;&gt;0))),$L103=0),IF($K103="K",--OR(MAX(ABS($I103),ABS($J103))=1,$M103=1),$N103))))))</f>
        <v>0</v>
      </c>
      <c r="P103" s="11" t="n">
        <f aca="false">IF($Q103="OK",1,0)</f>
        <v>0</v>
      </c>
      <c r="Q103" s="11" t="str">
        <f aca="false">IF($B103="","",IF(OR(COUNTIF($AH102:$CS102,"wK")=0,COUNTIF($AH102:$CS102,"bK")=0),"Game is over",IF(OR($D103=0,$E103=0),"Use the format e2e4",IF($G103="","No piece on that square",IF(LEFT($G103,1)&lt;&gt;$F103,"Not your piece ("&amp;IF($F103="w","White","Black")&amp;" to move)",IF($D103=$E103,"Piece must move",IF(AND($H103&lt;&gt;"",LEFT($H103,1)=$F103),"Cannot capture your own piece",IF($O103=0,"Illegal move for that piece (or path blocked)","OK"))))))))</f>
        <v/>
      </c>
      <c r="R103" s="11" t="n">
        <f aca="false">IF($P103=1,IF(AND($K103="P",ABS($J103)=2),($D103+$E103)/2,0),$R102)</f>
        <v>0</v>
      </c>
      <c r="S103" s="12" t="b">
        <f aca="false">--OR($S102=1,AND($P103=1,OR($D103=5,$E103=5)))</f>
        <v>0</v>
      </c>
      <c r="T103" s="12" t="b">
        <f aca="false">--OR($T102=1,AND($P103=1,OR($D103=1,$E103=1)))</f>
        <v>0</v>
      </c>
      <c r="U103" s="12" t="b">
        <f aca="false">--OR($U102=1,AND($P103=1,OR($D103=8,$E103=8)))</f>
        <v>0</v>
      </c>
      <c r="V103" s="12" t="b">
        <f aca="false">--OR($V102=1,AND($P103=1,OR($D103=61,$E103=61)))</f>
        <v>0</v>
      </c>
      <c r="W103" s="12" t="b">
        <f aca="false">--OR($W102=1,AND($P103=1,OR($D103=57,$E103=57)))</f>
        <v>0</v>
      </c>
      <c r="X103" s="12" t="b">
        <f aca="false">--OR($X102=1,AND($P103=1,OR($D103=64,$E103=64)))</f>
        <v>0</v>
      </c>
      <c r="Y103" s="12" t="b">
        <f aca="false">--AND($P103=1,$K103="K",ABS($I103)=2)</f>
        <v>0</v>
      </c>
      <c r="Z103" s="12" t="b">
        <f aca="false">--AND($P103=1,$K103="P",ABS($I103)=1,$H103="")</f>
        <v>0</v>
      </c>
      <c r="AA103" s="12" t="b">
        <f aca="false">--AND($P103=1,$K103="P",INT(($E103-1)/8)=IF($F103="w",7,0))</f>
        <v>0</v>
      </c>
      <c r="AB103" s="11" t="str">
        <f aca="false">IF(LEN($C103)&gt;=5,IF(ISNUMBER(FIND(MID($C103,5,1),"qrbn")),UPPER(MID($C103,5,1)),"Q"),"Q")</f>
        <v>Q</v>
      </c>
      <c r="AC103" s="11" t="n">
        <f aca="false">IF($Y103=1,IF($I103=2,$D103+3,$D103-4),0)</f>
        <v>0</v>
      </c>
      <c r="AD103" s="11" t="n">
        <f aca="false">IF($Y103=1,IF($I103=2,$D103+1,$D103-1),0)</f>
        <v>0</v>
      </c>
      <c r="AE103" s="11" t="n">
        <f aca="false">IF($Z103=1,$E103-8*IF($F103="w",1,-1),0)</f>
        <v>0</v>
      </c>
      <c r="AF103" s="11" t="str">
        <f aca="false">IF($B103="","",IF($P103=1,LOWER(INDEX($CV$2:$CV$13,MATCH($G103,$CU$2:$CU$13,0)))&amp;" "&amp;MID("abcdefgh",MOD($D103-1,8)+1,1)&amp;(INT(($D103-1)/8)+1)&amp;"→"&amp;MID("abcdefgh",MOD($E103-1,8)+1,1)&amp;(INT(($E103-1)/8)+1)&amp;IF(OR($H103&lt;&gt;"",$Z103=1)," ×","")&amp;IF($Y103=1," castles","")&amp;IF($Z103=1," e.p.","")&amp;IF($AA103=1," =" &amp;LOWER(INDEX($CV$2:$CV$13,MATCH($F103&amp;$AB103,$CU$2:$CU$13,0))),""),"X "&amp;$Q103))</f>
        <v/>
      </c>
      <c r="AG103" s="11"/>
      <c r="AH103" s="11" t="str">
        <f aca="false">IF($P103=0,AH102,IF(AH$3=$E103,IF($AA103=1,$F103&amp;$AB103,$G103),IF(OR(AH$3=$D103,AH$3=$AC103,AH$3=$AE103),"",IF(AH$3=$AD103,$F103&amp;"R",AH102))))</f>
        <v>wR</v>
      </c>
      <c r="AI103" s="11" t="str">
        <f aca="false">IF($P103=0,AI102,IF(AI$3=$E103,IF($AA103=1,$F103&amp;$AB103,$G103),IF(OR(AI$3=$D103,AI$3=$AC103,AI$3=$AE103),"",IF(AI$3=$AD103,$F103&amp;"R",AI102))))</f>
        <v>wN</v>
      </c>
      <c r="AJ103" s="11" t="str">
        <f aca="false">IF($P103=0,AJ102,IF(AJ$3=$E103,IF($AA103=1,$F103&amp;$AB103,$G103),IF(OR(AJ$3=$D103,AJ$3=$AC103,AJ$3=$AE103),"",IF(AJ$3=$AD103,$F103&amp;"R",AJ102))))</f>
        <v>wB</v>
      </c>
      <c r="AK103" s="11" t="str">
        <f aca="false">IF($P103=0,AK102,IF(AK$3=$E103,IF($AA103=1,$F103&amp;$AB103,$G103),IF(OR(AK$3=$D103,AK$3=$AC103,AK$3=$AE103),"",IF(AK$3=$AD103,$F103&amp;"R",AK102))))</f>
        <v>wQ</v>
      </c>
      <c r="AL103" s="11" t="str">
        <f aca="false">IF($P103=0,AL102,IF(AL$3=$E103,IF($AA103=1,$F103&amp;$AB103,$G103),IF(OR(AL$3=$D103,AL$3=$AC103,AL$3=$AE103),"",IF(AL$3=$AD103,$F103&amp;"R",AL102))))</f>
        <v>wK</v>
      </c>
      <c r="AM103" s="11" t="str">
        <f aca="false">IF($P103=0,AM102,IF(AM$3=$E103,IF($AA103=1,$F103&amp;$AB103,$G103),IF(OR(AM$3=$D103,AM$3=$AC103,AM$3=$AE103),"",IF(AM$3=$AD103,$F103&amp;"R",AM102))))</f>
        <v>wB</v>
      </c>
      <c r="AN103" s="11" t="str">
        <f aca="false">IF($P103=0,AN102,IF(AN$3=$E103,IF($AA103=1,$F103&amp;$AB103,$G103),IF(OR(AN$3=$D103,AN$3=$AC103,AN$3=$AE103),"",IF(AN$3=$AD103,$F103&amp;"R",AN102))))</f>
        <v>wN</v>
      </c>
      <c r="AO103" s="11" t="str">
        <f aca="false">IF($P103=0,AO102,IF(AO$3=$E103,IF($AA103=1,$F103&amp;$AB103,$G103),IF(OR(AO$3=$D103,AO$3=$AC103,AO$3=$AE103),"",IF(AO$3=$AD103,$F103&amp;"R",AO102))))</f>
        <v>wR</v>
      </c>
      <c r="AP103" s="11" t="str">
        <f aca="false">IF($P103=0,AP102,IF(AP$3=$E103,IF($AA103=1,$F103&amp;$AB103,$G103),IF(OR(AP$3=$D103,AP$3=$AC103,AP$3=$AE103),"",IF(AP$3=$AD103,$F103&amp;"R",AP102))))</f>
        <v>wP</v>
      </c>
      <c r="AQ103" s="11" t="str">
        <f aca="false">IF($P103=0,AQ102,IF(AQ$3=$E103,IF($AA103=1,$F103&amp;$AB103,$G103),IF(OR(AQ$3=$D103,AQ$3=$AC103,AQ$3=$AE103),"",IF(AQ$3=$AD103,$F103&amp;"R",AQ102))))</f>
        <v>wP</v>
      </c>
      <c r="AR103" s="11" t="str">
        <f aca="false">IF($P103=0,AR102,IF(AR$3=$E103,IF($AA103=1,$F103&amp;$AB103,$G103),IF(OR(AR$3=$D103,AR$3=$AC103,AR$3=$AE103),"",IF(AR$3=$AD103,$F103&amp;"R",AR102))))</f>
        <v>wP</v>
      </c>
      <c r="AS103" s="11" t="str">
        <f aca="false">IF($P103=0,AS102,IF(AS$3=$E103,IF($AA103=1,$F103&amp;$AB103,$G103),IF(OR(AS$3=$D103,AS$3=$AC103,AS$3=$AE103),"",IF(AS$3=$AD103,$F103&amp;"R",AS102))))</f>
        <v>wP</v>
      </c>
      <c r="AT103" s="11" t="str">
        <f aca="false">IF($P103=0,AT102,IF(AT$3=$E103,IF($AA103=1,$F103&amp;$AB103,$G103),IF(OR(AT$3=$D103,AT$3=$AC103,AT$3=$AE103),"",IF(AT$3=$AD103,$F103&amp;"R",AT102))))</f>
        <v>wP</v>
      </c>
      <c r="AU103" s="11" t="str">
        <f aca="false">IF($P103=0,AU102,IF(AU$3=$E103,IF($AA103=1,$F103&amp;$AB103,$G103),IF(OR(AU$3=$D103,AU$3=$AC103,AU$3=$AE103),"",IF(AU$3=$AD103,$F103&amp;"R",AU102))))</f>
        <v>wP</v>
      </c>
      <c r="AV103" s="11" t="str">
        <f aca="false">IF($P103=0,AV102,IF(AV$3=$E103,IF($AA103=1,$F103&amp;$AB103,$G103),IF(OR(AV$3=$D103,AV$3=$AC103,AV$3=$AE103),"",IF(AV$3=$AD103,$F103&amp;"R",AV102))))</f>
        <v>wP</v>
      </c>
      <c r="AW103" s="11" t="str">
        <f aca="false">IF($P103=0,AW102,IF(AW$3=$E103,IF($AA103=1,$F103&amp;$AB103,$G103),IF(OR(AW$3=$D103,AW$3=$AC103,AW$3=$AE103),"",IF(AW$3=$AD103,$F103&amp;"R",AW102))))</f>
        <v>wP</v>
      </c>
      <c r="AX103" s="11" t="str">
        <f aca="false">IF($P103=0,AX102,IF(AX$3=$E103,IF($AA103=1,$F103&amp;$AB103,$G103),IF(OR(AX$3=$D103,AX$3=$AC103,AX$3=$AE103),"",IF(AX$3=$AD103,$F103&amp;"R",AX102))))</f>
        <v/>
      </c>
      <c r="AY103" s="11" t="str">
        <f aca="false">IF($P103=0,AY102,IF(AY$3=$E103,IF($AA103=1,$F103&amp;$AB103,$G103),IF(OR(AY$3=$D103,AY$3=$AC103,AY$3=$AE103),"",IF(AY$3=$AD103,$F103&amp;"R",AY102))))</f>
        <v/>
      </c>
      <c r="AZ103" s="11" t="str">
        <f aca="false">IF($P103=0,AZ102,IF(AZ$3=$E103,IF($AA103=1,$F103&amp;$AB103,$G103),IF(OR(AZ$3=$D103,AZ$3=$AC103,AZ$3=$AE103),"",IF(AZ$3=$AD103,$F103&amp;"R",AZ102))))</f>
        <v/>
      </c>
      <c r="BA103" s="11" t="str">
        <f aca="false">IF($P103=0,BA102,IF(BA$3=$E103,IF($AA103=1,$F103&amp;$AB103,$G103),IF(OR(BA$3=$D103,BA$3=$AC103,BA$3=$AE103),"",IF(BA$3=$AD103,$F103&amp;"R",BA102))))</f>
        <v/>
      </c>
      <c r="BB103" s="11" t="str">
        <f aca="false">IF($P103=0,BB102,IF(BB$3=$E103,IF($AA103=1,$F103&amp;$AB103,$G103),IF(OR(BB$3=$D103,BB$3=$AC103,BB$3=$AE103),"",IF(BB$3=$AD103,$F103&amp;"R",BB102))))</f>
        <v/>
      </c>
      <c r="BC103" s="11" t="str">
        <f aca="false">IF($P103=0,BC102,IF(BC$3=$E103,IF($AA103=1,$F103&amp;$AB103,$G103),IF(OR(BC$3=$D103,BC$3=$AC103,BC$3=$AE103),"",IF(BC$3=$AD103,$F103&amp;"R",BC102))))</f>
        <v/>
      </c>
      <c r="BD103" s="11" t="str">
        <f aca="false">IF($P103=0,BD102,IF(BD$3=$E103,IF($AA103=1,$F103&amp;$AB103,$G103),IF(OR(BD$3=$D103,BD$3=$AC103,BD$3=$AE103),"",IF(BD$3=$AD103,$F103&amp;"R",BD102))))</f>
        <v/>
      </c>
      <c r="BE103" s="11" t="str">
        <f aca="false">IF($P103=0,BE102,IF(BE$3=$E103,IF($AA103=1,$F103&amp;$AB103,$G103),IF(OR(BE$3=$D103,BE$3=$AC103,BE$3=$AE103),"",IF(BE$3=$AD103,$F103&amp;"R",BE102))))</f>
        <v/>
      </c>
      <c r="BF103" s="11" t="str">
        <f aca="false">IF($P103=0,BF102,IF(BF$3=$E103,IF($AA103=1,$F103&amp;$AB103,$G103),IF(OR(BF$3=$D103,BF$3=$AC103,BF$3=$AE103),"",IF(BF$3=$AD103,$F103&amp;"R",BF102))))</f>
        <v/>
      </c>
      <c r="BG103" s="11" t="str">
        <f aca="false">IF($P103=0,BG102,IF(BG$3=$E103,IF($AA103=1,$F103&amp;$AB103,$G103),IF(OR(BG$3=$D103,BG$3=$AC103,BG$3=$AE103),"",IF(BG$3=$AD103,$F103&amp;"R",BG102))))</f>
        <v/>
      </c>
      <c r="BH103" s="11" t="str">
        <f aca="false">IF($P103=0,BH102,IF(BH$3=$E103,IF($AA103=1,$F103&amp;$AB103,$G103),IF(OR(BH$3=$D103,BH$3=$AC103,BH$3=$AE103),"",IF(BH$3=$AD103,$F103&amp;"R",BH102))))</f>
        <v/>
      </c>
      <c r="BI103" s="11" t="str">
        <f aca="false">IF($P103=0,BI102,IF(BI$3=$E103,IF($AA103=1,$F103&amp;$AB103,$G103),IF(OR(BI$3=$D103,BI$3=$AC103,BI$3=$AE103),"",IF(BI$3=$AD103,$F103&amp;"R",BI102))))</f>
        <v/>
      </c>
      <c r="BJ103" s="11" t="str">
        <f aca="false">IF($P103=0,BJ102,IF(BJ$3=$E103,IF($AA103=1,$F103&amp;$AB103,$G103),IF(OR(BJ$3=$D103,BJ$3=$AC103,BJ$3=$AE103),"",IF(BJ$3=$AD103,$F103&amp;"R",BJ102))))</f>
        <v/>
      </c>
      <c r="BK103" s="11" t="str">
        <f aca="false">IF($P103=0,BK102,IF(BK$3=$E103,IF($AA103=1,$F103&amp;$AB103,$G103),IF(OR(BK$3=$D103,BK$3=$AC103,BK$3=$AE103),"",IF(BK$3=$AD103,$F103&amp;"R",BK102))))</f>
        <v/>
      </c>
      <c r="BL103" s="11" t="str">
        <f aca="false">IF($P103=0,BL102,IF(BL$3=$E103,IF($AA103=1,$F103&amp;$AB103,$G103),IF(OR(BL$3=$D103,BL$3=$AC103,BL$3=$AE103),"",IF(BL$3=$AD103,$F103&amp;"R",BL102))))</f>
        <v/>
      </c>
      <c r="BM103" s="11" t="str">
        <f aca="false">IF($P103=0,BM102,IF(BM$3=$E103,IF($AA103=1,$F103&amp;$AB103,$G103),IF(OR(BM$3=$D103,BM$3=$AC103,BM$3=$AE103),"",IF(BM$3=$AD103,$F103&amp;"R",BM102))))</f>
        <v/>
      </c>
      <c r="BN103" s="11" t="str">
        <f aca="false">IF($P103=0,BN102,IF(BN$3=$E103,IF($AA103=1,$F103&amp;$AB103,$G103),IF(OR(BN$3=$D103,BN$3=$AC103,BN$3=$AE103),"",IF(BN$3=$AD103,$F103&amp;"R",BN102))))</f>
        <v/>
      </c>
      <c r="BO103" s="11" t="str">
        <f aca="false">IF($P103=0,BO102,IF(BO$3=$E103,IF($AA103=1,$F103&amp;$AB103,$G103),IF(OR(BO$3=$D103,BO$3=$AC103,BO$3=$AE103),"",IF(BO$3=$AD103,$F103&amp;"R",BO102))))</f>
        <v/>
      </c>
      <c r="BP103" s="11" t="str">
        <f aca="false">IF($P103=0,BP102,IF(BP$3=$E103,IF($AA103=1,$F103&amp;$AB103,$G103),IF(OR(BP$3=$D103,BP$3=$AC103,BP$3=$AE103),"",IF(BP$3=$AD103,$F103&amp;"R",BP102))))</f>
        <v/>
      </c>
      <c r="BQ103" s="11" t="str">
        <f aca="false">IF($P103=0,BQ102,IF(BQ$3=$E103,IF($AA103=1,$F103&amp;$AB103,$G103),IF(OR(BQ$3=$D103,BQ$3=$AC103,BQ$3=$AE103),"",IF(BQ$3=$AD103,$F103&amp;"R",BQ102))))</f>
        <v/>
      </c>
      <c r="BR103" s="11" t="str">
        <f aca="false">IF($P103=0,BR102,IF(BR$3=$E103,IF($AA103=1,$F103&amp;$AB103,$G103),IF(OR(BR$3=$D103,BR$3=$AC103,BR$3=$AE103),"",IF(BR$3=$AD103,$F103&amp;"R",BR102))))</f>
        <v/>
      </c>
      <c r="BS103" s="11" t="str">
        <f aca="false">IF($P103=0,BS102,IF(BS$3=$E103,IF($AA103=1,$F103&amp;$AB103,$G103),IF(OR(BS$3=$D103,BS$3=$AC103,BS$3=$AE103),"",IF(BS$3=$AD103,$F103&amp;"R",BS102))))</f>
        <v/>
      </c>
      <c r="BT103" s="11" t="str">
        <f aca="false">IF($P103=0,BT102,IF(BT$3=$E103,IF($AA103=1,$F103&amp;$AB103,$G103),IF(OR(BT$3=$D103,BT$3=$AC103,BT$3=$AE103),"",IF(BT$3=$AD103,$F103&amp;"R",BT102))))</f>
        <v/>
      </c>
      <c r="BU103" s="11" t="str">
        <f aca="false">IF($P103=0,BU102,IF(BU$3=$E103,IF($AA103=1,$F103&amp;$AB103,$G103),IF(OR(BU$3=$D103,BU$3=$AC103,BU$3=$AE103),"",IF(BU$3=$AD103,$F103&amp;"R",BU102))))</f>
        <v/>
      </c>
      <c r="BV103" s="11" t="str">
        <f aca="false">IF($P103=0,BV102,IF(BV$3=$E103,IF($AA103=1,$F103&amp;$AB103,$G103),IF(OR(BV$3=$D103,BV$3=$AC103,BV$3=$AE103),"",IF(BV$3=$AD103,$F103&amp;"R",BV102))))</f>
        <v/>
      </c>
      <c r="BW103" s="11" t="str">
        <f aca="false">IF($P103=0,BW102,IF(BW$3=$E103,IF($AA103=1,$F103&amp;$AB103,$G103),IF(OR(BW$3=$D103,BW$3=$AC103,BW$3=$AE103),"",IF(BW$3=$AD103,$F103&amp;"R",BW102))))</f>
        <v/>
      </c>
      <c r="BX103" s="11" t="str">
        <f aca="false">IF($P103=0,BX102,IF(BX$3=$E103,IF($AA103=1,$F103&amp;$AB103,$G103),IF(OR(BX$3=$D103,BX$3=$AC103,BX$3=$AE103),"",IF(BX$3=$AD103,$F103&amp;"R",BX102))))</f>
        <v/>
      </c>
      <c r="BY103" s="11" t="str">
        <f aca="false">IF($P103=0,BY102,IF(BY$3=$E103,IF($AA103=1,$F103&amp;$AB103,$G103),IF(OR(BY$3=$D103,BY$3=$AC103,BY$3=$AE103),"",IF(BY$3=$AD103,$F103&amp;"R",BY102))))</f>
        <v/>
      </c>
      <c r="BZ103" s="11" t="str">
        <f aca="false">IF($P103=0,BZ102,IF(BZ$3=$E103,IF($AA103=1,$F103&amp;$AB103,$G103),IF(OR(BZ$3=$D103,BZ$3=$AC103,BZ$3=$AE103),"",IF(BZ$3=$AD103,$F103&amp;"R",BZ102))))</f>
        <v/>
      </c>
      <c r="CA103" s="11" t="str">
        <f aca="false">IF($P103=0,CA102,IF(CA$3=$E103,IF($AA103=1,$F103&amp;$AB103,$G103),IF(OR(CA$3=$D103,CA$3=$AC103,CA$3=$AE103),"",IF(CA$3=$AD103,$F103&amp;"R",CA102))))</f>
        <v/>
      </c>
      <c r="CB103" s="11" t="str">
        <f aca="false">IF($P103=0,CB102,IF(CB$3=$E103,IF($AA103=1,$F103&amp;$AB103,$G103),IF(OR(CB$3=$D103,CB$3=$AC103,CB$3=$AE103),"",IF(CB$3=$AD103,$F103&amp;"R",CB102))))</f>
        <v/>
      </c>
      <c r="CC103" s="11" t="str">
        <f aca="false">IF($P103=0,CC102,IF(CC$3=$E103,IF($AA103=1,$F103&amp;$AB103,$G103),IF(OR(CC$3=$D103,CC$3=$AC103,CC$3=$AE103),"",IF(CC$3=$AD103,$F103&amp;"R",CC102))))</f>
        <v/>
      </c>
      <c r="CD103" s="11" t="str">
        <f aca="false">IF($P103=0,CD102,IF(CD$3=$E103,IF($AA103=1,$F103&amp;$AB103,$G103),IF(OR(CD$3=$D103,CD$3=$AC103,CD$3=$AE103),"",IF(CD$3=$AD103,$F103&amp;"R",CD102))))</f>
        <v>bP</v>
      </c>
      <c r="CE103" s="11" t="str">
        <f aca="false">IF($P103=0,CE102,IF(CE$3=$E103,IF($AA103=1,$F103&amp;$AB103,$G103),IF(OR(CE$3=$D103,CE$3=$AC103,CE$3=$AE103),"",IF(CE$3=$AD103,$F103&amp;"R",CE102))))</f>
        <v>bP</v>
      </c>
      <c r="CF103" s="11" t="str">
        <f aca="false">IF($P103=0,CF102,IF(CF$3=$E103,IF($AA103=1,$F103&amp;$AB103,$G103),IF(OR(CF$3=$D103,CF$3=$AC103,CF$3=$AE103),"",IF(CF$3=$AD103,$F103&amp;"R",CF102))))</f>
        <v>bP</v>
      </c>
      <c r="CG103" s="11" t="str">
        <f aca="false">IF($P103=0,CG102,IF(CG$3=$E103,IF($AA103=1,$F103&amp;$AB103,$G103),IF(OR(CG$3=$D103,CG$3=$AC103,CG$3=$AE103),"",IF(CG$3=$AD103,$F103&amp;"R",CG102))))</f>
        <v>bP</v>
      </c>
      <c r="CH103" s="11" t="str">
        <f aca="false">IF($P103=0,CH102,IF(CH$3=$E103,IF($AA103=1,$F103&amp;$AB103,$G103),IF(OR(CH$3=$D103,CH$3=$AC103,CH$3=$AE103),"",IF(CH$3=$AD103,$F103&amp;"R",CH102))))</f>
        <v>bP</v>
      </c>
      <c r="CI103" s="11" t="str">
        <f aca="false">IF($P103=0,CI102,IF(CI$3=$E103,IF($AA103=1,$F103&amp;$AB103,$G103),IF(OR(CI$3=$D103,CI$3=$AC103,CI$3=$AE103),"",IF(CI$3=$AD103,$F103&amp;"R",CI102))))</f>
        <v>bP</v>
      </c>
      <c r="CJ103" s="11" t="str">
        <f aca="false">IF($P103=0,CJ102,IF(CJ$3=$E103,IF($AA103=1,$F103&amp;$AB103,$G103),IF(OR(CJ$3=$D103,CJ$3=$AC103,CJ$3=$AE103),"",IF(CJ$3=$AD103,$F103&amp;"R",CJ102))))</f>
        <v>bP</v>
      </c>
      <c r="CK103" s="11" t="str">
        <f aca="false">IF($P103=0,CK102,IF(CK$3=$E103,IF($AA103=1,$F103&amp;$AB103,$G103),IF(OR(CK$3=$D103,CK$3=$AC103,CK$3=$AE103),"",IF(CK$3=$AD103,$F103&amp;"R",CK102))))</f>
        <v>bP</v>
      </c>
      <c r="CL103" s="11" t="str">
        <f aca="false">IF($P103=0,CL102,IF(CL$3=$E103,IF($AA103=1,$F103&amp;$AB103,$G103),IF(OR(CL$3=$D103,CL$3=$AC103,CL$3=$AE103),"",IF(CL$3=$AD103,$F103&amp;"R",CL102))))</f>
        <v>bR</v>
      </c>
      <c r="CM103" s="11" t="str">
        <f aca="false">IF($P103=0,CM102,IF(CM$3=$E103,IF($AA103=1,$F103&amp;$AB103,$G103),IF(OR(CM$3=$D103,CM$3=$AC103,CM$3=$AE103),"",IF(CM$3=$AD103,$F103&amp;"R",CM102))))</f>
        <v>bN</v>
      </c>
      <c r="CN103" s="11" t="str">
        <f aca="false">IF($P103=0,CN102,IF(CN$3=$E103,IF($AA103=1,$F103&amp;$AB103,$G103),IF(OR(CN$3=$D103,CN$3=$AC103,CN$3=$AE103),"",IF(CN$3=$AD103,$F103&amp;"R",CN102))))</f>
        <v>bB</v>
      </c>
      <c r="CO103" s="11" t="str">
        <f aca="false">IF($P103=0,CO102,IF(CO$3=$E103,IF($AA103=1,$F103&amp;$AB103,$G103),IF(OR(CO$3=$D103,CO$3=$AC103,CO$3=$AE103),"",IF(CO$3=$AD103,$F103&amp;"R",CO102))))</f>
        <v>bQ</v>
      </c>
      <c r="CP103" s="11" t="str">
        <f aca="false">IF($P103=0,CP102,IF(CP$3=$E103,IF($AA103=1,$F103&amp;$AB103,$G103),IF(OR(CP$3=$D103,CP$3=$AC103,CP$3=$AE103),"",IF(CP$3=$AD103,$F103&amp;"R",CP102))))</f>
        <v>bK</v>
      </c>
      <c r="CQ103" s="11" t="str">
        <f aca="false">IF($P103=0,CQ102,IF(CQ$3=$E103,IF($AA103=1,$F103&amp;$AB103,$G103),IF(OR(CQ$3=$D103,CQ$3=$AC103,CQ$3=$AE103),"",IF(CQ$3=$AD103,$F103&amp;"R",CQ102))))</f>
        <v>bB</v>
      </c>
      <c r="CR103" s="11" t="str">
        <f aca="false">IF($P103=0,CR102,IF(CR$3=$E103,IF($AA103=1,$F103&amp;$AB103,$G103),IF(OR(CR$3=$D103,CR$3=$AC103,CR$3=$AE103),"",IF(CR$3=$AD103,$F103&amp;"R",CR102))))</f>
        <v>bN</v>
      </c>
      <c r="CS103" s="11" t="str">
        <f aca="false">IF($P103=0,CS102,IF(CS$3=$E103,IF($AA103=1,$F103&amp;$AB103,$G103),IF(OR(CS$3=$D103,CS$3=$AC103,CS$3=$AE103),"",IF(CS$3=$AD103,$F103&amp;"R",CS102))))</f>
        <v>bR</v>
      </c>
      <c r="CT103" s="11"/>
      <c r="CU103" s="11"/>
      <c r="CV103" s="11"/>
    </row>
    <row r="104" customFormat="false" ht="15" hidden="false" customHeight="false" outlineLevel="0" collapsed="false">
      <c r="A104" s="11" t="n">
        <v>99</v>
      </c>
      <c r="B104" s="11" t="str">
        <f aca="false">IF(Chess!$L$108="","",Chess!$L$108&amp;"")</f>
        <v/>
      </c>
      <c r="C104" s="11" t="str">
        <f aca="false">LOWER(SUBSTITUTE(SUBSTITUTE(SUBSTITUTE(SUBSTITUTE(TRIM($B104),"-",""),"=","")," ",""),"x",""))</f>
        <v/>
      </c>
      <c r="D104" s="11" t="n">
        <f aca="false">IF(LEN($C104)&lt;4,0,IFERROR(IF(AND(CODE(MID($C104,1,1))&gt;=97,CODE(MID($C104,1,1))&lt;=104,VALUE(MID($C104,2,1))&gt;=1,VALUE(MID($C104,2,1))&lt;=8),(VALUE(MID($C104,2,1))-1)*8+CODE(MID($C104,1,1))-96,0),0))</f>
        <v>0</v>
      </c>
      <c r="E104" s="11" t="n">
        <f aca="false">IF(LEN($C104)&lt;4,0,IFERROR(IF(AND(CODE(MID($C104,3,1))&gt;=97,CODE(MID($C104,3,1))&lt;=104,VALUE(MID($C104,4,1))&gt;=1,VALUE(MID($C104,4,1))&lt;=8),(VALUE(MID($C104,4,1))-1)*8+CODE(MID($C104,3,1))-96,0),0))</f>
        <v>0</v>
      </c>
      <c r="F104" s="11" t="str">
        <f aca="false">IF(MOD(SUM($P$5:$P103),2)=0,"w","b")</f>
        <v>w</v>
      </c>
      <c r="G104" s="11" t="str">
        <f aca="false">IF($D104=0,"",INDEX($AH103:$CS103,1,$D104)&amp;"")</f>
        <v/>
      </c>
      <c r="H104" s="11" t="str">
        <f aca="false">IF($E104=0,"",INDEX($AH103:$CS103,1,$E104)&amp;"")</f>
        <v/>
      </c>
      <c r="I104" s="11" t="n">
        <f aca="false">IF(OR($D104=0,$E104=0),0,MOD($E104-1,8)-MOD($D104-1,8))</f>
        <v>0</v>
      </c>
      <c r="J104" s="11" t="n">
        <f aca="false">IF(OR($D104=0,$E104=0),0,INT(($E104-1)/8)-INT(($D104-1)/8))</f>
        <v>0</v>
      </c>
      <c r="K104" s="11" t="str">
        <f aca="false">IF($G104="","",RIGHT($G104,1))</f>
        <v/>
      </c>
      <c r="L104" s="11" t="n">
        <f aca="false">IF(OR($D104=0,$E104=0),0,SUMPRODUCT(($AH$3:$CS$3&gt;MIN($D104,$E104))*($AH$3:$CS$3&lt;MAX($D104,$E104))*(MOD($AH$3:$CS$3-MIN($D104,$E104),MAX(1,ABS(SIGN($J104)*8+SIGN($I104))))=0)*($AH103:$CS103&lt;&gt;"")))</f>
        <v>0</v>
      </c>
      <c r="M104" s="11" t="n">
        <f aca="false">IF($K104&lt;&gt;"K",0,IFERROR(--AND($J104=0,ABS($I104)=2,$D104=IF($F104="w",5,61),IF($F104="w",$S103,$V103)=0,IF($I104=2,AND(IF($F104="w",$U103,$X103)=0,INDEX($AH103:$CS103,1,$D104+1)&amp;""="",INDEX($AH103:$CS103,1,$D104+2)&amp;""=""),AND(IF($F104="w",$T103,$W103)=0,INDEX($AH103:$CS103,1,$D104-1)&amp;""="",INDEX($AH103:$CS103,1,$D104-2)&amp;""="",INDEX($AH103:$CS103,1,$D104-3)&amp;""=""))),0))</f>
        <v>0</v>
      </c>
      <c r="N104" s="11" t="n">
        <f aca="false">IF($K104&lt;&gt;"P",0,IFERROR(--OR(AND($I104=0,$J104=IF($F104="w",1,-1),$H104=""),AND($I104=0,$J104=2*IF($F104="w",1,-1),$H104="",INT(($D104-1)/8)=IF($F104="w",1,6),INDEX($AH103:$CS103,1,MAX(1,MIN(64,$D104+8*IF($F104="w",1,-1))))&amp;""=""),AND(ABS($I104)=1,$J104=IF($F104="w",1,-1),$H104&lt;&gt;""),AND(ABS($I104)=1,$J104=IF($F104="w",1,-1),$H104="",$R103&gt;0,$E104=$R103)),0))</f>
        <v>0</v>
      </c>
      <c r="O104" s="11" t="n">
        <f aca="false">IF(OR($D104=0,$E104=0,$G104=""),0,IF($K104="N",--OR(AND(ABS($I104)=1,ABS($J104)=2),AND(ABS($I104)=2,ABS($J104)=1)),IF($K104="B",--AND(ABS($I104)=ABS($J104),$I104&lt;&gt;0,$L104=0),IF($K104="R",--AND(OR($I104=0,$J104=0),OR($I104&lt;&gt;0,$J104&lt;&gt;0),$L104=0),IF($K104="Q",--AND(OR(AND(ABS($I104)=ABS($J104),$I104&lt;&gt;0),AND(OR($I104=0,$J104=0),OR($I104&lt;&gt;0,$J104&lt;&gt;0))),$L104=0),IF($K104="K",--OR(MAX(ABS($I104),ABS($J104))=1,$M104=1),$N104))))))</f>
        <v>0</v>
      </c>
      <c r="P104" s="11" t="n">
        <f aca="false">IF($Q104="OK",1,0)</f>
        <v>0</v>
      </c>
      <c r="Q104" s="11" t="str">
        <f aca="false">IF($B104="","",IF(OR(COUNTIF($AH103:$CS103,"wK")=0,COUNTIF($AH103:$CS103,"bK")=0),"Game is over",IF(OR($D104=0,$E104=0),"Use the format e2e4",IF($G104="","No piece on that square",IF(LEFT($G104,1)&lt;&gt;$F104,"Not your piece ("&amp;IF($F104="w","White","Black")&amp;" to move)",IF($D104=$E104,"Piece must move",IF(AND($H104&lt;&gt;"",LEFT($H104,1)=$F104),"Cannot capture your own piece",IF($O104=0,"Illegal move for that piece (or path blocked)","OK"))))))))</f>
        <v/>
      </c>
      <c r="R104" s="11" t="n">
        <f aca="false">IF($P104=1,IF(AND($K104="P",ABS($J104)=2),($D104+$E104)/2,0),$R103)</f>
        <v>0</v>
      </c>
      <c r="S104" s="12" t="b">
        <f aca="false">--OR($S103=1,AND($P104=1,OR($D104=5,$E104=5)))</f>
        <v>0</v>
      </c>
      <c r="T104" s="12" t="b">
        <f aca="false">--OR($T103=1,AND($P104=1,OR($D104=1,$E104=1)))</f>
        <v>0</v>
      </c>
      <c r="U104" s="12" t="b">
        <f aca="false">--OR($U103=1,AND($P104=1,OR($D104=8,$E104=8)))</f>
        <v>0</v>
      </c>
      <c r="V104" s="12" t="b">
        <f aca="false">--OR($V103=1,AND($P104=1,OR($D104=61,$E104=61)))</f>
        <v>0</v>
      </c>
      <c r="W104" s="12" t="b">
        <f aca="false">--OR($W103=1,AND($P104=1,OR($D104=57,$E104=57)))</f>
        <v>0</v>
      </c>
      <c r="X104" s="12" t="b">
        <f aca="false">--OR($X103=1,AND($P104=1,OR($D104=64,$E104=64)))</f>
        <v>0</v>
      </c>
      <c r="Y104" s="12" t="b">
        <f aca="false">--AND($P104=1,$K104="K",ABS($I104)=2)</f>
        <v>0</v>
      </c>
      <c r="Z104" s="12" t="b">
        <f aca="false">--AND($P104=1,$K104="P",ABS($I104)=1,$H104="")</f>
        <v>0</v>
      </c>
      <c r="AA104" s="12" t="b">
        <f aca="false">--AND($P104=1,$K104="P",INT(($E104-1)/8)=IF($F104="w",7,0))</f>
        <v>0</v>
      </c>
      <c r="AB104" s="11" t="str">
        <f aca="false">IF(LEN($C104)&gt;=5,IF(ISNUMBER(FIND(MID($C104,5,1),"qrbn")),UPPER(MID($C104,5,1)),"Q"),"Q")</f>
        <v>Q</v>
      </c>
      <c r="AC104" s="11" t="n">
        <f aca="false">IF($Y104=1,IF($I104=2,$D104+3,$D104-4),0)</f>
        <v>0</v>
      </c>
      <c r="AD104" s="11" t="n">
        <f aca="false">IF($Y104=1,IF($I104=2,$D104+1,$D104-1),0)</f>
        <v>0</v>
      </c>
      <c r="AE104" s="11" t="n">
        <f aca="false">IF($Z104=1,$E104-8*IF($F104="w",1,-1),0)</f>
        <v>0</v>
      </c>
      <c r="AF104" s="11" t="str">
        <f aca="false">IF($B104="","",IF($P104=1,LOWER(INDEX($CV$2:$CV$13,MATCH($G104,$CU$2:$CU$13,0)))&amp;" "&amp;MID("abcdefgh",MOD($D104-1,8)+1,1)&amp;(INT(($D104-1)/8)+1)&amp;"→"&amp;MID("abcdefgh",MOD($E104-1,8)+1,1)&amp;(INT(($E104-1)/8)+1)&amp;IF(OR($H104&lt;&gt;"",$Z104=1)," ×","")&amp;IF($Y104=1," castles","")&amp;IF($Z104=1," e.p.","")&amp;IF($AA104=1," =" &amp;LOWER(INDEX($CV$2:$CV$13,MATCH($F104&amp;$AB104,$CU$2:$CU$13,0))),""),"X "&amp;$Q104))</f>
        <v/>
      </c>
      <c r="AG104" s="11"/>
      <c r="AH104" s="11" t="str">
        <f aca="false">IF($P104=0,AH103,IF(AH$3=$E104,IF($AA104=1,$F104&amp;$AB104,$G104),IF(OR(AH$3=$D104,AH$3=$AC104,AH$3=$AE104),"",IF(AH$3=$AD104,$F104&amp;"R",AH103))))</f>
        <v>wR</v>
      </c>
      <c r="AI104" s="11" t="str">
        <f aca="false">IF($P104=0,AI103,IF(AI$3=$E104,IF($AA104=1,$F104&amp;$AB104,$G104),IF(OR(AI$3=$D104,AI$3=$AC104,AI$3=$AE104),"",IF(AI$3=$AD104,$F104&amp;"R",AI103))))</f>
        <v>wN</v>
      </c>
      <c r="AJ104" s="11" t="str">
        <f aca="false">IF($P104=0,AJ103,IF(AJ$3=$E104,IF($AA104=1,$F104&amp;$AB104,$G104),IF(OR(AJ$3=$D104,AJ$3=$AC104,AJ$3=$AE104),"",IF(AJ$3=$AD104,$F104&amp;"R",AJ103))))</f>
        <v>wB</v>
      </c>
      <c r="AK104" s="11" t="str">
        <f aca="false">IF($P104=0,AK103,IF(AK$3=$E104,IF($AA104=1,$F104&amp;$AB104,$G104),IF(OR(AK$3=$D104,AK$3=$AC104,AK$3=$AE104),"",IF(AK$3=$AD104,$F104&amp;"R",AK103))))</f>
        <v>wQ</v>
      </c>
      <c r="AL104" s="11" t="str">
        <f aca="false">IF($P104=0,AL103,IF(AL$3=$E104,IF($AA104=1,$F104&amp;$AB104,$G104),IF(OR(AL$3=$D104,AL$3=$AC104,AL$3=$AE104),"",IF(AL$3=$AD104,$F104&amp;"R",AL103))))</f>
        <v>wK</v>
      </c>
      <c r="AM104" s="11" t="str">
        <f aca="false">IF($P104=0,AM103,IF(AM$3=$E104,IF($AA104=1,$F104&amp;$AB104,$G104),IF(OR(AM$3=$D104,AM$3=$AC104,AM$3=$AE104),"",IF(AM$3=$AD104,$F104&amp;"R",AM103))))</f>
        <v>wB</v>
      </c>
      <c r="AN104" s="11" t="str">
        <f aca="false">IF($P104=0,AN103,IF(AN$3=$E104,IF($AA104=1,$F104&amp;$AB104,$G104),IF(OR(AN$3=$D104,AN$3=$AC104,AN$3=$AE104),"",IF(AN$3=$AD104,$F104&amp;"R",AN103))))</f>
        <v>wN</v>
      </c>
      <c r="AO104" s="11" t="str">
        <f aca="false">IF($P104=0,AO103,IF(AO$3=$E104,IF($AA104=1,$F104&amp;$AB104,$G104),IF(OR(AO$3=$D104,AO$3=$AC104,AO$3=$AE104),"",IF(AO$3=$AD104,$F104&amp;"R",AO103))))</f>
        <v>wR</v>
      </c>
      <c r="AP104" s="11" t="str">
        <f aca="false">IF($P104=0,AP103,IF(AP$3=$E104,IF($AA104=1,$F104&amp;$AB104,$G104),IF(OR(AP$3=$D104,AP$3=$AC104,AP$3=$AE104),"",IF(AP$3=$AD104,$F104&amp;"R",AP103))))</f>
        <v>wP</v>
      </c>
      <c r="AQ104" s="11" t="str">
        <f aca="false">IF($P104=0,AQ103,IF(AQ$3=$E104,IF($AA104=1,$F104&amp;$AB104,$G104),IF(OR(AQ$3=$D104,AQ$3=$AC104,AQ$3=$AE104),"",IF(AQ$3=$AD104,$F104&amp;"R",AQ103))))</f>
        <v>wP</v>
      </c>
      <c r="AR104" s="11" t="str">
        <f aca="false">IF($P104=0,AR103,IF(AR$3=$E104,IF($AA104=1,$F104&amp;$AB104,$G104),IF(OR(AR$3=$D104,AR$3=$AC104,AR$3=$AE104),"",IF(AR$3=$AD104,$F104&amp;"R",AR103))))</f>
        <v>wP</v>
      </c>
      <c r="AS104" s="11" t="str">
        <f aca="false">IF($P104=0,AS103,IF(AS$3=$E104,IF($AA104=1,$F104&amp;$AB104,$G104),IF(OR(AS$3=$D104,AS$3=$AC104,AS$3=$AE104),"",IF(AS$3=$AD104,$F104&amp;"R",AS103))))</f>
        <v>wP</v>
      </c>
      <c r="AT104" s="11" t="str">
        <f aca="false">IF($P104=0,AT103,IF(AT$3=$E104,IF($AA104=1,$F104&amp;$AB104,$G104),IF(OR(AT$3=$D104,AT$3=$AC104,AT$3=$AE104),"",IF(AT$3=$AD104,$F104&amp;"R",AT103))))</f>
        <v>wP</v>
      </c>
      <c r="AU104" s="11" t="str">
        <f aca="false">IF($P104=0,AU103,IF(AU$3=$E104,IF($AA104=1,$F104&amp;$AB104,$G104),IF(OR(AU$3=$D104,AU$3=$AC104,AU$3=$AE104),"",IF(AU$3=$AD104,$F104&amp;"R",AU103))))</f>
        <v>wP</v>
      </c>
      <c r="AV104" s="11" t="str">
        <f aca="false">IF($P104=0,AV103,IF(AV$3=$E104,IF($AA104=1,$F104&amp;$AB104,$G104),IF(OR(AV$3=$D104,AV$3=$AC104,AV$3=$AE104),"",IF(AV$3=$AD104,$F104&amp;"R",AV103))))</f>
        <v>wP</v>
      </c>
      <c r="AW104" s="11" t="str">
        <f aca="false">IF($P104=0,AW103,IF(AW$3=$E104,IF($AA104=1,$F104&amp;$AB104,$G104),IF(OR(AW$3=$D104,AW$3=$AC104,AW$3=$AE104),"",IF(AW$3=$AD104,$F104&amp;"R",AW103))))</f>
        <v>wP</v>
      </c>
      <c r="AX104" s="11" t="str">
        <f aca="false">IF($P104=0,AX103,IF(AX$3=$E104,IF($AA104=1,$F104&amp;$AB104,$G104),IF(OR(AX$3=$D104,AX$3=$AC104,AX$3=$AE104),"",IF(AX$3=$AD104,$F104&amp;"R",AX103))))</f>
        <v/>
      </c>
      <c r="AY104" s="11" t="str">
        <f aca="false">IF($P104=0,AY103,IF(AY$3=$E104,IF($AA104=1,$F104&amp;$AB104,$G104),IF(OR(AY$3=$D104,AY$3=$AC104,AY$3=$AE104),"",IF(AY$3=$AD104,$F104&amp;"R",AY103))))</f>
        <v/>
      </c>
      <c r="AZ104" s="11" t="str">
        <f aca="false">IF($P104=0,AZ103,IF(AZ$3=$E104,IF($AA104=1,$F104&amp;$AB104,$G104),IF(OR(AZ$3=$D104,AZ$3=$AC104,AZ$3=$AE104),"",IF(AZ$3=$AD104,$F104&amp;"R",AZ103))))</f>
        <v/>
      </c>
      <c r="BA104" s="11" t="str">
        <f aca="false">IF($P104=0,BA103,IF(BA$3=$E104,IF($AA104=1,$F104&amp;$AB104,$G104),IF(OR(BA$3=$D104,BA$3=$AC104,BA$3=$AE104),"",IF(BA$3=$AD104,$F104&amp;"R",BA103))))</f>
        <v/>
      </c>
      <c r="BB104" s="11" t="str">
        <f aca="false">IF($P104=0,BB103,IF(BB$3=$E104,IF($AA104=1,$F104&amp;$AB104,$G104),IF(OR(BB$3=$D104,BB$3=$AC104,BB$3=$AE104),"",IF(BB$3=$AD104,$F104&amp;"R",BB103))))</f>
        <v/>
      </c>
      <c r="BC104" s="11" t="str">
        <f aca="false">IF($P104=0,BC103,IF(BC$3=$E104,IF($AA104=1,$F104&amp;$AB104,$G104),IF(OR(BC$3=$D104,BC$3=$AC104,BC$3=$AE104),"",IF(BC$3=$AD104,$F104&amp;"R",BC103))))</f>
        <v/>
      </c>
      <c r="BD104" s="11" t="str">
        <f aca="false">IF($P104=0,BD103,IF(BD$3=$E104,IF($AA104=1,$F104&amp;$AB104,$G104),IF(OR(BD$3=$D104,BD$3=$AC104,BD$3=$AE104),"",IF(BD$3=$AD104,$F104&amp;"R",BD103))))</f>
        <v/>
      </c>
      <c r="BE104" s="11" t="str">
        <f aca="false">IF($P104=0,BE103,IF(BE$3=$E104,IF($AA104=1,$F104&amp;$AB104,$G104),IF(OR(BE$3=$D104,BE$3=$AC104,BE$3=$AE104),"",IF(BE$3=$AD104,$F104&amp;"R",BE103))))</f>
        <v/>
      </c>
      <c r="BF104" s="11" t="str">
        <f aca="false">IF($P104=0,BF103,IF(BF$3=$E104,IF($AA104=1,$F104&amp;$AB104,$G104),IF(OR(BF$3=$D104,BF$3=$AC104,BF$3=$AE104),"",IF(BF$3=$AD104,$F104&amp;"R",BF103))))</f>
        <v/>
      </c>
      <c r="BG104" s="11" t="str">
        <f aca="false">IF($P104=0,BG103,IF(BG$3=$E104,IF($AA104=1,$F104&amp;$AB104,$G104),IF(OR(BG$3=$D104,BG$3=$AC104,BG$3=$AE104),"",IF(BG$3=$AD104,$F104&amp;"R",BG103))))</f>
        <v/>
      </c>
      <c r="BH104" s="11" t="str">
        <f aca="false">IF($P104=0,BH103,IF(BH$3=$E104,IF($AA104=1,$F104&amp;$AB104,$G104),IF(OR(BH$3=$D104,BH$3=$AC104,BH$3=$AE104),"",IF(BH$3=$AD104,$F104&amp;"R",BH103))))</f>
        <v/>
      </c>
      <c r="BI104" s="11" t="str">
        <f aca="false">IF($P104=0,BI103,IF(BI$3=$E104,IF($AA104=1,$F104&amp;$AB104,$G104),IF(OR(BI$3=$D104,BI$3=$AC104,BI$3=$AE104),"",IF(BI$3=$AD104,$F104&amp;"R",BI103))))</f>
        <v/>
      </c>
      <c r="BJ104" s="11" t="str">
        <f aca="false">IF($P104=0,BJ103,IF(BJ$3=$E104,IF($AA104=1,$F104&amp;$AB104,$G104),IF(OR(BJ$3=$D104,BJ$3=$AC104,BJ$3=$AE104),"",IF(BJ$3=$AD104,$F104&amp;"R",BJ103))))</f>
        <v/>
      </c>
      <c r="BK104" s="11" t="str">
        <f aca="false">IF($P104=0,BK103,IF(BK$3=$E104,IF($AA104=1,$F104&amp;$AB104,$G104),IF(OR(BK$3=$D104,BK$3=$AC104,BK$3=$AE104),"",IF(BK$3=$AD104,$F104&amp;"R",BK103))))</f>
        <v/>
      </c>
      <c r="BL104" s="11" t="str">
        <f aca="false">IF($P104=0,BL103,IF(BL$3=$E104,IF($AA104=1,$F104&amp;$AB104,$G104),IF(OR(BL$3=$D104,BL$3=$AC104,BL$3=$AE104),"",IF(BL$3=$AD104,$F104&amp;"R",BL103))))</f>
        <v/>
      </c>
      <c r="BM104" s="11" t="str">
        <f aca="false">IF($P104=0,BM103,IF(BM$3=$E104,IF($AA104=1,$F104&amp;$AB104,$G104),IF(OR(BM$3=$D104,BM$3=$AC104,BM$3=$AE104),"",IF(BM$3=$AD104,$F104&amp;"R",BM103))))</f>
        <v/>
      </c>
      <c r="BN104" s="11" t="str">
        <f aca="false">IF($P104=0,BN103,IF(BN$3=$E104,IF($AA104=1,$F104&amp;$AB104,$G104),IF(OR(BN$3=$D104,BN$3=$AC104,BN$3=$AE104),"",IF(BN$3=$AD104,$F104&amp;"R",BN103))))</f>
        <v/>
      </c>
      <c r="BO104" s="11" t="str">
        <f aca="false">IF($P104=0,BO103,IF(BO$3=$E104,IF($AA104=1,$F104&amp;$AB104,$G104),IF(OR(BO$3=$D104,BO$3=$AC104,BO$3=$AE104),"",IF(BO$3=$AD104,$F104&amp;"R",BO103))))</f>
        <v/>
      </c>
      <c r="BP104" s="11" t="str">
        <f aca="false">IF($P104=0,BP103,IF(BP$3=$E104,IF($AA104=1,$F104&amp;$AB104,$G104),IF(OR(BP$3=$D104,BP$3=$AC104,BP$3=$AE104),"",IF(BP$3=$AD104,$F104&amp;"R",BP103))))</f>
        <v/>
      </c>
      <c r="BQ104" s="11" t="str">
        <f aca="false">IF($P104=0,BQ103,IF(BQ$3=$E104,IF($AA104=1,$F104&amp;$AB104,$G104),IF(OR(BQ$3=$D104,BQ$3=$AC104,BQ$3=$AE104),"",IF(BQ$3=$AD104,$F104&amp;"R",BQ103))))</f>
        <v/>
      </c>
      <c r="BR104" s="11" t="str">
        <f aca="false">IF($P104=0,BR103,IF(BR$3=$E104,IF($AA104=1,$F104&amp;$AB104,$G104),IF(OR(BR$3=$D104,BR$3=$AC104,BR$3=$AE104),"",IF(BR$3=$AD104,$F104&amp;"R",BR103))))</f>
        <v/>
      </c>
      <c r="BS104" s="11" t="str">
        <f aca="false">IF($P104=0,BS103,IF(BS$3=$E104,IF($AA104=1,$F104&amp;$AB104,$G104),IF(OR(BS$3=$D104,BS$3=$AC104,BS$3=$AE104),"",IF(BS$3=$AD104,$F104&amp;"R",BS103))))</f>
        <v/>
      </c>
      <c r="BT104" s="11" t="str">
        <f aca="false">IF($P104=0,BT103,IF(BT$3=$E104,IF($AA104=1,$F104&amp;$AB104,$G104),IF(OR(BT$3=$D104,BT$3=$AC104,BT$3=$AE104),"",IF(BT$3=$AD104,$F104&amp;"R",BT103))))</f>
        <v/>
      </c>
      <c r="BU104" s="11" t="str">
        <f aca="false">IF($P104=0,BU103,IF(BU$3=$E104,IF($AA104=1,$F104&amp;$AB104,$G104),IF(OR(BU$3=$D104,BU$3=$AC104,BU$3=$AE104),"",IF(BU$3=$AD104,$F104&amp;"R",BU103))))</f>
        <v/>
      </c>
      <c r="BV104" s="11" t="str">
        <f aca="false">IF($P104=0,BV103,IF(BV$3=$E104,IF($AA104=1,$F104&amp;$AB104,$G104),IF(OR(BV$3=$D104,BV$3=$AC104,BV$3=$AE104),"",IF(BV$3=$AD104,$F104&amp;"R",BV103))))</f>
        <v/>
      </c>
      <c r="BW104" s="11" t="str">
        <f aca="false">IF($P104=0,BW103,IF(BW$3=$E104,IF($AA104=1,$F104&amp;$AB104,$G104),IF(OR(BW$3=$D104,BW$3=$AC104,BW$3=$AE104),"",IF(BW$3=$AD104,$F104&amp;"R",BW103))))</f>
        <v/>
      </c>
      <c r="BX104" s="11" t="str">
        <f aca="false">IF($P104=0,BX103,IF(BX$3=$E104,IF($AA104=1,$F104&amp;$AB104,$G104),IF(OR(BX$3=$D104,BX$3=$AC104,BX$3=$AE104),"",IF(BX$3=$AD104,$F104&amp;"R",BX103))))</f>
        <v/>
      </c>
      <c r="BY104" s="11" t="str">
        <f aca="false">IF($P104=0,BY103,IF(BY$3=$E104,IF($AA104=1,$F104&amp;$AB104,$G104),IF(OR(BY$3=$D104,BY$3=$AC104,BY$3=$AE104),"",IF(BY$3=$AD104,$F104&amp;"R",BY103))))</f>
        <v/>
      </c>
      <c r="BZ104" s="11" t="str">
        <f aca="false">IF($P104=0,BZ103,IF(BZ$3=$E104,IF($AA104=1,$F104&amp;$AB104,$G104),IF(OR(BZ$3=$D104,BZ$3=$AC104,BZ$3=$AE104),"",IF(BZ$3=$AD104,$F104&amp;"R",BZ103))))</f>
        <v/>
      </c>
      <c r="CA104" s="11" t="str">
        <f aca="false">IF($P104=0,CA103,IF(CA$3=$E104,IF($AA104=1,$F104&amp;$AB104,$G104),IF(OR(CA$3=$D104,CA$3=$AC104,CA$3=$AE104),"",IF(CA$3=$AD104,$F104&amp;"R",CA103))))</f>
        <v/>
      </c>
      <c r="CB104" s="11" t="str">
        <f aca="false">IF($P104=0,CB103,IF(CB$3=$E104,IF($AA104=1,$F104&amp;$AB104,$G104),IF(OR(CB$3=$D104,CB$3=$AC104,CB$3=$AE104),"",IF(CB$3=$AD104,$F104&amp;"R",CB103))))</f>
        <v/>
      </c>
      <c r="CC104" s="11" t="str">
        <f aca="false">IF($P104=0,CC103,IF(CC$3=$E104,IF($AA104=1,$F104&amp;$AB104,$G104),IF(OR(CC$3=$D104,CC$3=$AC104,CC$3=$AE104),"",IF(CC$3=$AD104,$F104&amp;"R",CC103))))</f>
        <v/>
      </c>
      <c r="CD104" s="11" t="str">
        <f aca="false">IF($P104=0,CD103,IF(CD$3=$E104,IF($AA104=1,$F104&amp;$AB104,$G104),IF(OR(CD$3=$D104,CD$3=$AC104,CD$3=$AE104),"",IF(CD$3=$AD104,$F104&amp;"R",CD103))))</f>
        <v>bP</v>
      </c>
      <c r="CE104" s="11" t="str">
        <f aca="false">IF($P104=0,CE103,IF(CE$3=$E104,IF($AA104=1,$F104&amp;$AB104,$G104),IF(OR(CE$3=$D104,CE$3=$AC104,CE$3=$AE104),"",IF(CE$3=$AD104,$F104&amp;"R",CE103))))</f>
        <v>bP</v>
      </c>
      <c r="CF104" s="11" t="str">
        <f aca="false">IF($P104=0,CF103,IF(CF$3=$E104,IF($AA104=1,$F104&amp;$AB104,$G104),IF(OR(CF$3=$D104,CF$3=$AC104,CF$3=$AE104),"",IF(CF$3=$AD104,$F104&amp;"R",CF103))))</f>
        <v>bP</v>
      </c>
      <c r="CG104" s="11" t="str">
        <f aca="false">IF($P104=0,CG103,IF(CG$3=$E104,IF($AA104=1,$F104&amp;$AB104,$G104),IF(OR(CG$3=$D104,CG$3=$AC104,CG$3=$AE104),"",IF(CG$3=$AD104,$F104&amp;"R",CG103))))</f>
        <v>bP</v>
      </c>
      <c r="CH104" s="11" t="str">
        <f aca="false">IF($P104=0,CH103,IF(CH$3=$E104,IF($AA104=1,$F104&amp;$AB104,$G104),IF(OR(CH$3=$D104,CH$3=$AC104,CH$3=$AE104),"",IF(CH$3=$AD104,$F104&amp;"R",CH103))))</f>
        <v>bP</v>
      </c>
      <c r="CI104" s="11" t="str">
        <f aca="false">IF($P104=0,CI103,IF(CI$3=$E104,IF($AA104=1,$F104&amp;$AB104,$G104),IF(OR(CI$3=$D104,CI$3=$AC104,CI$3=$AE104),"",IF(CI$3=$AD104,$F104&amp;"R",CI103))))</f>
        <v>bP</v>
      </c>
      <c r="CJ104" s="11" t="str">
        <f aca="false">IF($P104=0,CJ103,IF(CJ$3=$E104,IF($AA104=1,$F104&amp;$AB104,$G104),IF(OR(CJ$3=$D104,CJ$3=$AC104,CJ$3=$AE104),"",IF(CJ$3=$AD104,$F104&amp;"R",CJ103))))</f>
        <v>bP</v>
      </c>
      <c r="CK104" s="11" t="str">
        <f aca="false">IF($P104=0,CK103,IF(CK$3=$E104,IF($AA104=1,$F104&amp;$AB104,$G104),IF(OR(CK$3=$D104,CK$3=$AC104,CK$3=$AE104),"",IF(CK$3=$AD104,$F104&amp;"R",CK103))))</f>
        <v>bP</v>
      </c>
      <c r="CL104" s="11" t="str">
        <f aca="false">IF($P104=0,CL103,IF(CL$3=$E104,IF($AA104=1,$F104&amp;$AB104,$G104),IF(OR(CL$3=$D104,CL$3=$AC104,CL$3=$AE104),"",IF(CL$3=$AD104,$F104&amp;"R",CL103))))</f>
        <v>bR</v>
      </c>
      <c r="CM104" s="11" t="str">
        <f aca="false">IF($P104=0,CM103,IF(CM$3=$E104,IF($AA104=1,$F104&amp;$AB104,$G104),IF(OR(CM$3=$D104,CM$3=$AC104,CM$3=$AE104),"",IF(CM$3=$AD104,$F104&amp;"R",CM103))))</f>
        <v>bN</v>
      </c>
      <c r="CN104" s="11" t="str">
        <f aca="false">IF($P104=0,CN103,IF(CN$3=$E104,IF($AA104=1,$F104&amp;$AB104,$G104),IF(OR(CN$3=$D104,CN$3=$AC104,CN$3=$AE104),"",IF(CN$3=$AD104,$F104&amp;"R",CN103))))</f>
        <v>bB</v>
      </c>
      <c r="CO104" s="11" t="str">
        <f aca="false">IF($P104=0,CO103,IF(CO$3=$E104,IF($AA104=1,$F104&amp;$AB104,$G104),IF(OR(CO$3=$D104,CO$3=$AC104,CO$3=$AE104),"",IF(CO$3=$AD104,$F104&amp;"R",CO103))))</f>
        <v>bQ</v>
      </c>
      <c r="CP104" s="11" t="str">
        <f aca="false">IF($P104=0,CP103,IF(CP$3=$E104,IF($AA104=1,$F104&amp;$AB104,$G104),IF(OR(CP$3=$D104,CP$3=$AC104,CP$3=$AE104),"",IF(CP$3=$AD104,$F104&amp;"R",CP103))))</f>
        <v>bK</v>
      </c>
      <c r="CQ104" s="11" t="str">
        <f aca="false">IF($P104=0,CQ103,IF(CQ$3=$E104,IF($AA104=1,$F104&amp;$AB104,$G104),IF(OR(CQ$3=$D104,CQ$3=$AC104,CQ$3=$AE104),"",IF(CQ$3=$AD104,$F104&amp;"R",CQ103))))</f>
        <v>bB</v>
      </c>
      <c r="CR104" s="11" t="str">
        <f aca="false">IF($P104=0,CR103,IF(CR$3=$E104,IF($AA104=1,$F104&amp;$AB104,$G104),IF(OR(CR$3=$D104,CR$3=$AC104,CR$3=$AE104),"",IF(CR$3=$AD104,$F104&amp;"R",CR103))))</f>
        <v>bN</v>
      </c>
      <c r="CS104" s="11" t="str">
        <f aca="false">IF($P104=0,CS103,IF(CS$3=$E104,IF($AA104=1,$F104&amp;$AB104,$G104),IF(OR(CS$3=$D104,CS$3=$AC104,CS$3=$AE104),"",IF(CS$3=$AD104,$F104&amp;"R",CS103))))</f>
        <v>bR</v>
      </c>
      <c r="CT104" s="11"/>
      <c r="CU104" s="11"/>
      <c r="CV104" s="11"/>
    </row>
    <row r="105" customFormat="false" ht="15" hidden="false" customHeight="false" outlineLevel="0" collapsed="false">
      <c r="A105" s="11" t="n">
        <v>100</v>
      </c>
      <c r="B105" s="11" t="str">
        <f aca="false">IF(Chess!$L$109="","",Chess!$L$109&amp;"")</f>
        <v/>
      </c>
      <c r="C105" s="11" t="str">
        <f aca="false">LOWER(SUBSTITUTE(SUBSTITUTE(SUBSTITUTE(SUBSTITUTE(TRIM($B105),"-",""),"=","")," ",""),"x",""))</f>
        <v/>
      </c>
      <c r="D105" s="11" t="n">
        <f aca="false">IF(LEN($C105)&lt;4,0,IFERROR(IF(AND(CODE(MID($C105,1,1))&gt;=97,CODE(MID($C105,1,1))&lt;=104,VALUE(MID($C105,2,1))&gt;=1,VALUE(MID($C105,2,1))&lt;=8),(VALUE(MID($C105,2,1))-1)*8+CODE(MID($C105,1,1))-96,0),0))</f>
        <v>0</v>
      </c>
      <c r="E105" s="11" t="n">
        <f aca="false">IF(LEN($C105)&lt;4,0,IFERROR(IF(AND(CODE(MID($C105,3,1))&gt;=97,CODE(MID($C105,3,1))&lt;=104,VALUE(MID($C105,4,1))&gt;=1,VALUE(MID($C105,4,1))&lt;=8),(VALUE(MID($C105,4,1))-1)*8+CODE(MID($C105,3,1))-96,0),0))</f>
        <v>0</v>
      </c>
      <c r="F105" s="11" t="str">
        <f aca="false">IF(MOD(SUM($P$5:$P104),2)=0,"w","b")</f>
        <v>w</v>
      </c>
      <c r="G105" s="11" t="str">
        <f aca="false">IF($D105=0,"",INDEX($AH104:$CS104,1,$D105)&amp;"")</f>
        <v/>
      </c>
      <c r="H105" s="11" t="str">
        <f aca="false">IF($E105=0,"",INDEX($AH104:$CS104,1,$E105)&amp;"")</f>
        <v/>
      </c>
      <c r="I105" s="11" t="n">
        <f aca="false">IF(OR($D105=0,$E105=0),0,MOD($E105-1,8)-MOD($D105-1,8))</f>
        <v>0</v>
      </c>
      <c r="J105" s="11" t="n">
        <f aca="false">IF(OR($D105=0,$E105=0),0,INT(($E105-1)/8)-INT(($D105-1)/8))</f>
        <v>0</v>
      </c>
      <c r="K105" s="11" t="str">
        <f aca="false">IF($G105="","",RIGHT($G105,1))</f>
        <v/>
      </c>
      <c r="L105" s="11" t="n">
        <f aca="false">IF(OR($D105=0,$E105=0),0,SUMPRODUCT(($AH$3:$CS$3&gt;MIN($D105,$E105))*($AH$3:$CS$3&lt;MAX($D105,$E105))*(MOD($AH$3:$CS$3-MIN($D105,$E105),MAX(1,ABS(SIGN($J105)*8+SIGN($I105))))=0)*($AH104:$CS104&lt;&gt;"")))</f>
        <v>0</v>
      </c>
      <c r="M105" s="11" t="n">
        <f aca="false">IF($K105&lt;&gt;"K",0,IFERROR(--AND($J105=0,ABS($I105)=2,$D105=IF($F105="w",5,61),IF($F105="w",$S104,$V104)=0,IF($I105=2,AND(IF($F105="w",$U104,$X104)=0,INDEX($AH104:$CS104,1,$D105+1)&amp;""="",INDEX($AH104:$CS104,1,$D105+2)&amp;""=""),AND(IF($F105="w",$T104,$W104)=0,INDEX($AH104:$CS104,1,$D105-1)&amp;""="",INDEX($AH104:$CS104,1,$D105-2)&amp;""="",INDEX($AH104:$CS104,1,$D105-3)&amp;""=""))),0))</f>
        <v>0</v>
      </c>
      <c r="N105" s="11" t="n">
        <f aca="false">IF($K105&lt;&gt;"P",0,IFERROR(--OR(AND($I105=0,$J105=IF($F105="w",1,-1),$H105=""),AND($I105=0,$J105=2*IF($F105="w",1,-1),$H105="",INT(($D105-1)/8)=IF($F105="w",1,6),INDEX($AH104:$CS104,1,MAX(1,MIN(64,$D105+8*IF($F105="w",1,-1))))&amp;""=""),AND(ABS($I105)=1,$J105=IF($F105="w",1,-1),$H105&lt;&gt;""),AND(ABS($I105)=1,$J105=IF($F105="w",1,-1),$H105="",$R104&gt;0,$E105=$R104)),0))</f>
        <v>0</v>
      </c>
      <c r="O105" s="11" t="n">
        <f aca="false">IF(OR($D105=0,$E105=0,$G105=""),0,IF($K105="N",--OR(AND(ABS($I105)=1,ABS($J105)=2),AND(ABS($I105)=2,ABS($J105)=1)),IF($K105="B",--AND(ABS($I105)=ABS($J105),$I105&lt;&gt;0,$L105=0),IF($K105="R",--AND(OR($I105=0,$J105=0),OR($I105&lt;&gt;0,$J105&lt;&gt;0),$L105=0),IF($K105="Q",--AND(OR(AND(ABS($I105)=ABS($J105),$I105&lt;&gt;0),AND(OR($I105=0,$J105=0),OR($I105&lt;&gt;0,$J105&lt;&gt;0))),$L105=0),IF($K105="K",--OR(MAX(ABS($I105),ABS($J105))=1,$M105=1),$N105))))))</f>
        <v>0</v>
      </c>
      <c r="P105" s="11" t="n">
        <f aca="false">IF($Q105="OK",1,0)</f>
        <v>0</v>
      </c>
      <c r="Q105" s="11" t="str">
        <f aca="false">IF($B105="","",IF(OR(COUNTIF($AH104:$CS104,"wK")=0,COUNTIF($AH104:$CS104,"bK")=0),"Game is over",IF(OR($D105=0,$E105=0),"Use the format e2e4",IF($G105="","No piece on that square",IF(LEFT($G105,1)&lt;&gt;$F105,"Not your piece ("&amp;IF($F105="w","White","Black")&amp;" to move)",IF($D105=$E105,"Piece must move",IF(AND($H105&lt;&gt;"",LEFT($H105,1)=$F105),"Cannot capture your own piece",IF($O105=0,"Illegal move for that piece (or path blocked)","OK"))))))))</f>
        <v/>
      </c>
      <c r="R105" s="11" t="n">
        <f aca="false">IF($P105=1,IF(AND($K105="P",ABS($J105)=2),($D105+$E105)/2,0),$R104)</f>
        <v>0</v>
      </c>
      <c r="S105" s="12" t="b">
        <f aca="false">--OR($S104=1,AND($P105=1,OR($D105=5,$E105=5)))</f>
        <v>0</v>
      </c>
      <c r="T105" s="12" t="b">
        <f aca="false">--OR($T104=1,AND($P105=1,OR($D105=1,$E105=1)))</f>
        <v>0</v>
      </c>
      <c r="U105" s="12" t="b">
        <f aca="false">--OR($U104=1,AND($P105=1,OR($D105=8,$E105=8)))</f>
        <v>0</v>
      </c>
      <c r="V105" s="12" t="b">
        <f aca="false">--OR($V104=1,AND($P105=1,OR($D105=61,$E105=61)))</f>
        <v>0</v>
      </c>
      <c r="W105" s="12" t="b">
        <f aca="false">--OR($W104=1,AND($P105=1,OR($D105=57,$E105=57)))</f>
        <v>0</v>
      </c>
      <c r="X105" s="12" t="b">
        <f aca="false">--OR($X104=1,AND($P105=1,OR($D105=64,$E105=64)))</f>
        <v>0</v>
      </c>
      <c r="Y105" s="12" t="b">
        <f aca="false">--AND($P105=1,$K105="K",ABS($I105)=2)</f>
        <v>0</v>
      </c>
      <c r="Z105" s="12" t="b">
        <f aca="false">--AND($P105=1,$K105="P",ABS($I105)=1,$H105="")</f>
        <v>0</v>
      </c>
      <c r="AA105" s="12" t="b">
        <f aca="false">--AND($P105=1,$K105="P",INT(($E105-1)/8)=IF($F105="w",7,0))</f>
        <v>0</v>
      </c>
      <c r="AB105" s="11" t="str">
        <f aca="false">IF(LEN($C105)&gt;=5,IF(ISNUMBER(FIND(MID($C105,5,1),"qrbn")),UPPER(MID($C105,5,1)),"Q"),"Q")</f>
        <v>Q</v>
      </c>
      <c r="AC105" s="11" t="n">
        <f aca="false">IF($Y105=1,IF($I105=2,$D105+3,$D105-4),0)</f>
        <v>0</v>
      </c>
      <c r="AD105" s="11" t="n">
        <f aca="false">IF($Y105=1,IF($I105=2,$D105+1,$D105-1),0)</f>
        <v>0</v>
      </c>
      <c r="AE105" s="11" t="n">
        <f aca="false">IF($Z105=1,$E105-8*IF($F105="w",1,-1),0)</f>
        <v>0</v>
      </c>
      <c r="AF105" s="11" t="str">
        <f aca="false">IF($B105="","",IF($P105=1,LOWER(INDEX($CV$2:$CV$13,MATCH($G105,$CU$2:$CU$13,0)))&amp;" "&amp;MID("abcdefgh",MOD($D105-1,8)+1,1)&amp;(INT(($D105-1)/8)+1)&amp;"→"&amp;MID("abcdefgh",MOD($E105-1,8)+1,1)&amp;(INT(($E105-1)/8)+1)&amp;IF(OR($H105&lt;&gt;"",$Z105=1)," ×","")&amp;IF($Y105=1," castles","")&amp;IF($Z105=1," e.p.","")&amp;IF($AA105=1," =" &amp;LOWER(INDEX($CV$2:$CV$13,MATCH($F105&amp;$AB105,$CU$2:$CU$13,0))),""),"X "&amp;$Q105))</f>
        <v/>
      </c>
      <c r="AG105" s="11"/>
      <c r="AH105" s="11" t="str">
        <f aca="false">IF($P105=0,AH104,IF(AH$3=$E105,IF($AA105=1,$F105&amp;$AB105,$G105),IF(OR(AH$3=$D105,AH$3=$AC105,AH$3=$AE105),"",IF(AH$3=$AD105,$F105&amp;"R",AH104))))</f>
        <v>wR</v>
      </c>
      <c r="AI105" s="11" t="str">
        <f aca="false">IF($P105=0,AI104,IF(AI$3=$E105,IF($AA105=1,$F105&amp;$AB105,$G105),IF(OR(AI$3=$D105,AI$3=$AC105,AI$3=$AE105),"",IF(AI$3=$AD105,$F105&amp;"R",AI104))))</f>
        <v>wN</v>
      </c>
      <c r="AJ105" s="11" t="str">
        <f aca="false">IF($P105=0,AJ104,IF(AJ$3=$E105,IF($AA105=1,$F105&amp;$AB105,$G105),IF(OR(AJ$3=$D105,AJ$3=$AC105,AJ$3=$AE105),"",IF(AJ$3=$AD105,$F105&amp;"R",AJ104))))</f>
        <v>wB</v>
      </c>
      <c r="AK105" s="11" t="str">
        <f aca="false">IF($P105=0,AK104,IF(AK$3=$E105,IF($AA105=1,$F105&amp;$AB105,$G105),IF(OR(AK$3=$D105,AK$3=$AC105,AK$3=$AE105),"",IF(AK$3=$AD105,$F105&amp;"R",AK104))))</f>
        <v>wQ</v>
      </c>
      <c r="AL105" s="11" t="str">
        <f aca="false">IF($P105=0,AL104,IF(AL$3=$E105,IF($AA105=1,$F105&amp;$AB105,$G105),IF(OR(AL$3=$D105,AL$3=$AC105,AL$3=$AE105),"",IF(AL$3=$AD105,$F105&amp;"R",AL104))))</f>
        <v>wK</v>
      </c>
      <c r="AM105" s="11" t="str">
        <f aca="false">IF($P105=0,AM104,IF(AM$3=$E105,IF($AA105=1,$F105&amp;$AB105,$G105),IF(OR(AM$3=$D105,AM$3=$AC105,AM$3=$AE105),"",IF(AM$3=$AD105,$F105&amp;"R",AM104))))</f>
        <v>wB</v>
      </c>
      <c r="AN105" s="11" t="str">
        <f aca="false">IF($P105=0,AN104,IF(AN$3=$E105,IF($AA105=1,$F105&amp;$AB105,$G105),IF(OR(AN$3=$D105,AN$3=$AC105,AN$3=$AE105),"",IF(AN$3=$AD105,$F105&amp;"R",AN104))))</f>
        <v>wN</v>
      </c>
      <c r="AO105" s="11" t="str">
        <f aca="false">IF($P105=0,AO104,IF(AO$3=$E105,IF($AA105=1,$F105&amp;$AB105,$G105),IF(OR(AO$3=$D105,AO$3=$AC105,AO$3=$AE105),"",IF(AO$3=$AD105,$F105&amp;"R",AO104))))</f>
        <v>wR</v>
      </c>
      <c r="AP105" s="11" t="str">
        <f aca="false">IF($P105=0,AP104,IF(AP$3=$E105,IF($AA105=1,$F105&amp;$AB105,$G105),IF(OR(AP$3=$D105,AP$3=$AC105,AP$3=$AE105),"",IF(AP$3=$AD105,$F105&amp;"R",AP104))))</f>
        <v>wP</v>
      </c>
      <c r="AQ105" s="11" t="str">
        <f aca="false">IF($P105=0,AQ104,IF(AQ$3=$E105,IF($AA105=1,$F105&amp;$AB105,$G105),IF(OR(AQ$3=$D105,AQ$3=$AC105,AQ$3=$AE105),"",IF(AQ$3=$AD105,$F105&amp;"R",AQ104))))</f>
        <v>wP</v>
      </c>
      <c r="AR105" s="11" t="str">
        <f aca="false">IF($P105=0,AR104,IF(AR$3=$E105,IF($AA105=1,$F105&amp;$AB105,$G105),IF(OR(AR$3=$D105,AR$3=$AC105,AR$3=$AE105),"",IF(AR$3=$AD105,$F105&amp;"R",AR104))))</f>
        <v>wP</v>
      </c>
      <c r="AS105" s="11" t="str">
        <f aca="false">IF($P105=0,AS104,IF(AS$3=$E105,IF($AA105=1,$F105&amp;$AB105,$G105),IF(OR(AS$3=$D105,AS$3=$AC105,AS$3=$AE105),"",IF(AS$3=$AD105,$F105&amp;"R",AS104))))</f>
        <v>wP</v>
      </c>
      <c r="AT105" s="11" t="str">
        <f aca="false">IF($P105=0,AT104,IF(AT$3=$E105,IF($AA105=1,$F105&amp;$AB105,$G105),IF(OR(AT$3=$D105,AT$3=$AC105,AT$3=$AE105),"",IF(AT$3=$AD105,$F105&amp;"R",AT104))))</f>
        <v>wP</v>
      </c>
      <c r="AU105" s="11" t="str">
        <f aca="false">IF($P105=0,AU104,IF(AU$3=$E105,IF($AA105=1,$F105&amp;$AB105,$G105),IF(OR(AU$3=$D105,AU$3=$AC105,AU$3=$AE105),"",IF(AU$3=$AD105,$F105&amp;"R",AU104))))</f>
        <v>wP</v>
      </c>
      <c r="AV105" s="11" t="str">
        <f aca="false">IF($P105=0,AV104,IF(AV$3=$E105,IF($AA105=1,$F105&amp;$AB105,$G105),IF(OR(AV$3=$D105,AV$3=$AC105,AV$3=$AE105),"",IF(AV$3=$AD105,$F105&amp;"R",AV104))))</f>
        <v>wP</v>
      </c>
      <c r="AW105" s="11" t="str">
        <f aca="false">IF($P105=0,AW104,IF(AW$3=$E105,IF($AA105=1,$F105&amp;$AB105,$G105),IF(OR(AW$3=$D105,AW$3=$AC105,AW$3=$AE105),"",IF(AW$3=$AD105,$F105&amp;"R",AW104))))</f>
        <v>wP</v>
      </c>
      <c r="AX105" s="11" t="str">
        <f aca="false">IF($P105=0,AX104,IF(AX$3=$E105,IF($AA105=1,$F105&amp;$AB105,$G105),IF(OR(AX$3=$D105,AX$3=$AC105,AX$3=$AE105),"",IF(AX$3=$AD105,$F105&amp;"R",AX104))))</f>
        <v/>
      </c>
      <c r="AY105" s="11" t="str">
        <f aca="false">IF($P105=0,AY104,IF(AY$3=$E105,IF($AA105=1,$F105&amp;$AB105,$G105),IF(OR(AY$3=$D105,AY$3=$AC105,AY$3=$AE105),"",IF(AY$3=$AD105,$F105&amp;"R",AY104))))</f>
        <v/>
      </c>
      <c r="AZ105" s="11" t="str">
        <f aca="false">IF($P105=0,AZ104,IF(AZ$3=$E105,IF($AA105=1,$F105&amp;$AB105,$G105),IF(OR(AZ$3=$D105,AZ$3=$AC105,AZ$3=$AE105),"",IF(AZ$3=$AD105,$F105&amp;"R",AZ104))))</f>
        <v/>
      </c>
      <c r="BA105" s="11" t="str">
        <f aca="false">IF($P105=0,BA104,IF(BA$3=$E105,IF($AA105=1,$F105&amp;$AB105,$G105),IF(OR(BA$3=$D105,BA$3=$AC105,BA$3=$AE105),"",IF(BA$3=$AD105,$F105&amp;"R",BA104))))</f>
        <v/>
      </c>
      <c r="BB105" s="11" t="str">
        <f aca="false">IF($P105=0,BB104,IF(BB$3=$E105,IF($AA105=1,$F105&amp;$AB105,$G105),IF(OR(BB$3=$D105,BB$3=$AC105,BB$3=$AE105),"",IF(BB$3=$AD105,$F105&amp;"R",BB104))))</f>
        <v/>
      </c>
      <c r="BC105" s="11" t="str">
        <f aca="false">IF($P105=0,BC104,IF(BC$3=$E105,IF($AA105=1,$F105&amp;$AB105,$G105),IF(OR(BC$3=$D105,BC$3=$AC105,BC$3=$AE105),"",IF(BC$3=$AD105,$F105&amp;"R",BC104))))</f>
        <v/>
      </c>
      <c r="BD105" s="11" t="str">
        <f aca="false">IF($P105=0,BD104,IF(BD$3=$E105,IF($AA105=1,$F105&amp;$AB105,$G105),IF(OR(BD$3=$D105,BD$3=$AC105,BD$3=$AE105),"",IF(BD$3=$AD105,$F105&amp;"R",BD104))))</f>
        <v/>
      </c>
      <c r="BE105" s="11" t="str">
        <f aca="false">IF($P105=0,BE104,IF(BE$3=$E105,IF($AA105=1,$F105&amp;$AB105,$G105),IF(OR(BE$3=$D105,BE$3=$AC105,BE$3=$AE105),"",IF(BE$3=$AD105,$F105&amp;"R",BE104))))</f>
        <v/>
      </c>
      <c r="BF105" s="11" t="str">
        <f aca="false">IF($P105=0,BF104,IF(BF$3=$E105,IF($AA105=1,$F105&amp;$AB105,$G105),IF(OR(BF$3=$D105,BF$3=$AC105,BF$3=$AE105),"",IF(BF$3=$AD105,$F105&amp;"R",BF104))))</f>
        <v/>
      </c>
      <c r="BG105" s="11" t="str">
        <f aca="false">IF($P105=0,BG104,IF(BG$3=$E105,IF($AA105=1,$F105&amp;$AB105,$G105),IF(OR(BG$3=$D105,BG$3=$AC105,BG$3=$AE105),"",IF(BG$3=$AD105,$F105&amp;"R",BG104))))</f>
        <v/>
      </c>
      <c r="BH105" s="11" t="str">
        <f aca="false">IF($P105=0,BH104,IF(BH$3=$E105,IF($AA105=1,$F105&amp;$AB105,$G105),IF(OR(BH$3=$D105,BH$3=$AC105,BH$3=$AE105),"",IF(BH$3=$AD105,$F105&amp;"R",BH104))))</f>
        <v/>
      </c>
      <c r="BI105" s="11" t="str">
        <f aca="false">IF($P105=0,BI104,IF(BI$3=$E105,IF($AA105=1,$F105&amp;$AB105,$G105),IF(OR(BI$3=$D105,BI$3=$AC105,BI$3=$AE105),"",IF(BI$3=$AD105,$F105&amp;"R",BI104))))</f>
        <v/>
      </c>
      <c r="BJ105" s="11" t="str">
        <f aca="false">IF($P105=0,BJ104,IF(BJ$3=$E105,IF($AA105=1,$F105&amp;$AB105,$G105),IF(OR(BJ$3=$D105,BJ$3=$AC105,BJ$3=$AE105),"",IF(BJ$3=$AD105,$F105&amp;"R",BJ104))))</f>
        <v/>
      </c>
      <c r="BK105" s="11" t="str">
        <f aca="false">IF($P105=0,BK104,IF(BK$3=$E105,IF($AA105=1,$F105&amp;$AB105,$G105),IF(OR(BK$3=$D105,BK$3=$AC105,BK$3=$AE105),"",IF(BK$3=$AD105,$F105&amp;"R",BK104))))</f>
        <v/>
      </c>
      <c r="BL105" s="11" t="str">
        <f aca="false">IF($P105=0,BL104,IF(BL$3=$E105,IF($AA105=1,$F105&amp;$AB105,$G105),IF(OR(BL$3=$D105,BL$3=$AC105,BL$3=$AE105),"",IF(BL$3=$AD105,$F105&amp;"R",BL104))))</f>
        <v/>
      </c>
      <c r="BM105" s="11" t="str">
        <f aca="false">IF($P105=0,BM104,IF(BM$3=$E105,IF($AA105=1,$F105&amp;$AB105,$G105),IF(OR(BM$3=$D105,BM$3=$AC105,BM$3=$AE105),"",IF(BM$3=$AD105,$F105&amp;"R",BM104))))</f>
        <v/>
      </c>
      <c r="BN105" s="11" t="str">
        <f aca="false">IF($P105=0,BN104,IF(BN$3=$E105,IF($AA105=1,$F105&amp;$AB105,$G105),IF(OR(BN$3=$D105,BN$3=$AC105,BN$3=$AE105),"",IF(BN$3=$AD105,$F105&amp;"R",BN104))))</f>
        <v/>
      </c>
      <c r="BO105" s="11" t="str">
        <f aca="false">IF($P105=0,BO104,IF(BO$3=$E105,IF($AA105=1,$F105&amp;$AB105,$G105),IF(OR(BO$3=$D105,BO$3=$AC105,BO$3=$AE105),"",IF(BO$3=$AD105,$F105&amp;"R",BO104))))</f>
        <v/>
      </c>
      <c r="BP105" s="11" t="str">
        <f aca="false">IF($P105=0,BP104,IF(BP$3=$E105,IF($AA105=1,$F105&amp;$AB105,$G105),IF(OR(BP$3=$D105,BP$3=$AC105,BP$3=$AE105),"",IF(BP$3=$AD105,$F105&amp;"R",BP104))))</f>
        <v/>
      </c>
      <c r="BQ105" s="11" t="str">
        <f aca="false">IF($P105=0,BQ104,IF(BQ$3=$E105,IF($AA105=1,$F105&amp;$AB105,$G105),IF(OR(BQ$3=$D105,BQ$3=$AC105,BQ$3=$AE105),"",IF(BQ$3=$AD105,$F105&amp;"R",BQ104))))</f>
        <v/>
      </c>
      <c r="BR105" s="11" t="str">
        <f aca="false">IF($P105=0,BR104,IF(BR$3=$E105,IF($AA105=1,$F105&amp;$AB105,$G105),IF(OR(BR$3=$D105,BR$3=$AC105,BR$3=$AE105),"",IF(BR$3=$AD105,$F105&amp;"R",BR104))))</f>
        <v/>
      </c>
      <c r="BS105" s="11" t="str">
        <f aca="false">IF($P105=0,BS104,IF(BS$3=$E105,IF($AA105=1,$F105&amp;$AB105,$G105),IF(OR(BS$3=$D105,BS$3=$AC105,BS$3=$AE105),"",IF(BS$3=$AD105,$F105&amp;"R",BS104))))</f>
        <v/>
      </c>
      <c r="BT105" s="11" t="str">
        <f aca="false">IF($P105=0,BT104,IF(BT$3=$E105,IF($AA105=1,$F105&amp;$AB105,$G105),IF(OR(BT$3=$D105,BT$3=$AC105,BT$3=$AE105),"",IF(BT$3=$AD105,$F105&amp;"R",BT104))))</f>
        <v/>
      </c>
      <c r="BU105" s="11" t="str">
        <f aca="false">IF($P105=0,BU104,IF(BU$3=$E105,IF($AA105=1,$F105&amp;$AB105,$G105),IF(OR(BU$3=$D105,BU$3=$AC105,BU$3=$AE105),"",IF(BU$3=$AD105,$F105&amp;"R",BU104))))</f>
        <v/>
      </c>
      <c r="BV105" s="11" t="str">
        <f aca="false">IF($P105=0,BV104,IF(BV$3=$E105,IF($AA105=1,$F105&amp;$AB105,$G105),IF(OR(BV$3=$D105,BV$3=$AC105,BV$3=$AE105),"",IF(BV$3=$AD105,$F105&amp;"R",BV104))))</f>
        <v/>
      </c>
      <c r="BW105" s="11" t="str">
        <f aca="false">IF($P105=0,BW104,IF(BW$3=$E105,IF($AA105=1,$F105&amp;$AB105,$G105),IF(OR(BW$3=$D105,BW$3=$AC105,BW$3=$AE105),"",IF(BW$3=$AD105,$F105&amp;"R",BW104))))</f>
        <v/>
      </c>
      <c r="BX105" s="11" t="str">
        <f aca="false">IF($P105=0,BX104,IF(BX$3=$E105,IF($AA105=1,$F105&amp;$AB105,$G105),IF(OR(BX$3=$D105,BX$3=$AC105,BX$3=$AE105),"",IF(BX$3=$AD105,$F105&amp;"R",BX104))))</f>
        <v/>
      </c>
      <c r="BY105" s="11" t="str">
        <f aca="false">IF($P105=0,BY104,IF(BY$3=$E105,IF($AA105=1,$F105&amp;$AB105,$G105),IF(OR(BY$3=$D105,BY$3=$AC105,BY$3=$AE105),"",IF(BY$3=$AD105,$F105&amp;"R",BY104))))</f>
        <v/>
      </c>
      <c r="BZ105" s="11" t="str">
        <f aca="false">IF($P105=0,BZ104,IF(BZ$3=$E105,IF($AA105=1,$F105&amp;$AB105,$G105),IF(OR(BZ$3=$D105,BZ$3=$AC105,BZ$3=$AE105),"",IF(BZ$3=$AD105,$F105&amp;"R",BZ104))))</f>
        <v/>
      </c>
      <c r="CA105" s="11" t="str">
        <f aca="false">IF($P105=0,CA104,IF(CA$3=$E105,IF($AA105=1,$F105&amp;$AB105,$G105),IF(OR(CA$3=$D105,CA$3=$AC105,CA$3=$AE105),"",IF(CA$3=$AD105,$F105&amp;"R",CA104))))</f>
        <v/>
      </c>
      <c r="CB105" s="11" t="str">
        <f aca="false">IF($P105=0,CB104,IF(CB$3=$E105,IF($AA105=1,$F105&amp;$AB105,$G105),IF(OR(CB$3=$D105,CB$3=$AC105,CB$3=$AE105),"",IF(CB$3=$AD105,$F105&amp;"R",CB104))))</f>
        <v/>
      </c>
      <c r="CC105" s="11" t="str">
        <f aca="false">IF($P105=0,CC104,IF(CC$3=$E105,IF($AA105=1,$F105&amp;$AB105,$G105),IF(OR(CC$3=$D105,CC$3=$AC105,CC$3=$AE105),"",IF(CC$3=$AD105,$F105&amp;"R",CC104))))</f>
        <v/>
      </c>
      <c r="CD105" s="11" t="str">
        <f aca="false">IF($P105=0,CD104,IF(CD$3=$E105,IF($AA105=1,$F105&amp;$AB105,$G105),IF(OR(CD$3=$D105,CD$3=$AC105,CD$3=$AE105),"",IF(CD$3=$AD105,$F105&amp;"R",CD104))))</f>
        <v>bP</v>
      </c>
      <c r="CE105" s="11" t="str">
        <f aca="false">IF($P105=0,CE104,IF(CE$3=$E105,IF($AA105=1,$F105&amp;$AB105,$G105),IF(OR(CE$3=$D105,CE$3=$AC105,CE$3=$AE105),"",IF(CE$3=$AD105,$F105&amp;"R",CE104))))</f>
        <v>bP</v>
      </c>
      <c r="CF105" s="11" t="str">
        <f aca="false">IF($P105=0,CF104,IF(CF$3=$E105,IF($AA105=1,$F105&amp;$AB105,$G105),IF(OR(CF$3=$D105,CF$3=$AC105,CF$3=$AE105),"",IF(CF$3=$AD105,$F105&amp;"R",CF104))))</f>
        <v>bP</v>
      </c>
      <c r="CG105" s="11" t="str">
        <f aca="false">IF($P105=0,CG104,IF(CG$3=$E105,IF($AA105=1,$F105&amp;$AB105,$G105),IF(OR(CG$3=$D105,CG$3=$AC105,CG$3=$AE105),"",IF(CG$3=$AD105,$F105&amp;"R",CG104))))</f>
        <v>bP</v>
      </c>
      <c r="CH105" s="11" t="str">
        <f aca="false">IF($P105=0,CH104,IF(CH$3=$E105,IF($AA105=1,$F105&amp;$AB105,$G105),IF(OR(CH$3=$D105,CH$3=$AC105,CH$3=$AE105),"",IF(CH$3=$AD105,$F105&amp;"R",CH104))))</f>
        <v>bP</v>
      </c>
      <c r="CI105" s="11" t="str">
        <f aca="false">IF($P105=0,CI104,IF(CI$3=$E105,IF($AA105=1,$F105&amp;$AB105,$G105),IF(OR(CI$3=$D105,CI$3=$AC105,CI$3=$AE105),"",IF(CI$3=$AD105,$F105&amp;"R",CI104))))</f>
        <v>bP</v>
      </c>
      <c r="CJ105" s="11" t="str">
        <f aca="false">IF($P105=0,CJ104,IF(CJ$3=$E105,IF($AA105=1,$F105&amp;$AB105,$G105),IF(OR(CJ$3=$D105,CJ$3=$AC105,CJ$3=$AE105),"",IF(CJ$3=$AD105,$F105&amp;"R",CJ104))))</f>
        <v>bP</v>
      </c>
      <c r="CK105" s="11" t="str">
        <f aca="false">IF($P105=0,CK104,IF(CK$3=$E105,IF($AA105=1,$F105&amp;$AB105,$G105),IF(OR(CK$3=$D105,CK$3=$AC105,CK$3=$AE105),"",IF(CK$3=$AD105,$F105&amp;"R",CK104))))</f>
        <v>bP</v>
      </c>
      <c r="CL105" s="11" t="str">
        <f aca="false">IF($P105=0,CL104,IF(CL$3=$E105,IF($AA105=1,$F105&amp;$AB105,$G105),IF(OR(CL$3=$D105,CL$3=$AC105,CL$3=$AE105),"",IF(CL$3=$AD105,$F105&amp;"R",CL104))))</f>
        <v>bR</v>
      </c>
      <c r="CM105" s="11" t="str">
        <f aca="false">IF($P105=0,CM104,IF(CM$3=$E105,IF($AA105=1,$F105&amp;$AB105,$G105),IF(OR(CM$3=$D105,CM$3=$AC105,CM$3=$AE105),"",IF(CM$3=$AD105,$F105&amp;"R",CM104))))</f>
        <v>bN</v>
      </c>
      <c r="CN105" s="11" t="str">
        <f aca="false">IF($P105=0,CN104,IF(CN$3=$E105,IF($AA105=1,$F105&amp;$AB105,$G105),IF(OR(CN$3=$D105,CN$3=$AC105,CN$3=$AE105),"",IF(CN$3=$AD105,$F105&amp;"R",CN104))))</f>
        <v>bB</v>
      </c>
      <c r="CO105" s="11" t="str">
        <f aca="false">IF($P105=0,CO104,IF(CO$3=$E105,IF($AA105=1,$F105&amp;$AB105,$G105),IF(OR(CO$3=$D105,CO$3=$AC105,CO$3=$AE105),"",IF(CO$3=$AD105,$F105&amp;"R",CO104))))</f>
        <v>bQ</v>
      </c>
      <c r="CP105" s="11" t="str">
        <f aca="false">IF($P105=0,CP104,IF(CP$3=$E105,IF($AA105=1,$F105&amp;$AB105,$G105),IF(OR(CP$3=$D105,CP$3=$AC105,CP$3=$AE105),"",IF(CP$3=$AD105,$F105&amp;"R",CP104))))</f>
        <v>bK</v>
      </c>
      <c r="CQ105" s="11" t="str">
        <f aca="false">IF($P105=0,CQ104,IF(CQ$3=$E105,IF($AA105=1,$F105&amp;$AB105,$G105),IF(OR(CQ$3=$D105,CQ$3=$AC105,CQ$3=$AE105),"",IF(CQ$3=$AD105,$F105&amp;"R",CQ104))))</f>
        <v>bB</v>
      </c>
      <c r="CR105" s="11" t="str">
        <f aca="false">IF($P105=0,CR104,IF(CR$3=$E105,IF($AA105=1,$F105&amp;$AB105,$G105),IF(OR(CR$3=$D105,CR$3=$AC105,CR$3=$AE105),"",IF(CR$3=$AD105,$F105&amp;"R",CR104))))</f>
        <v>bN</v>
      </c>
      <c r="CS105" s="11" t="str">
        <f aca="false">IF($P105=0,CS104,IF(CS$3=$E105,IF($AA105=1,$F105&amp;$AB105,$G105),IF(OR(CS$3=$D105,CS$3=$AC105,CS$3=$AE105),"",IF(CS$3=$AD105,$F105&amp;"R",CS104))))</f>
        <v>bR</v>
      </c>
      <c r="CT105" s="11"/>
      <c r="CU105" s="11"/>
      <c r="CV105" s="11"/>
    </row>
    <row r="106" customFormat="false" ht="15" hidden="false" customHeight="false" outlineLevel="0" collapsed="false">
      <c r="A106" s="11" t="n">
        <v>101</v>
      </c>
      <c r="B106" s="11" t="str">
        <f aca="false">IF(Chess!$L$110="","",Chess!$L$110&amp;"")</f>
        <v/>
      </c>
      <c r="C106" s="11" t="str">
        <f aca="false">LOWER(SUBSTITUTE(SUBSTITUTE(SUBSTITUTE(SUBSTITUTE(TRIM($B106),"-",""),"=","")," ",""),"x",""))</f>
        <v/>
      </c>
      <c r="D106" s="11" t="n">
        <f aca="false">IF(LEN($C106)&lt;4,0,IFERROR(IF(AND(CODE(MID($C106,1,1))&gt;=97,CODE(MID($C106,1,1))&lt;=104,VALUE(MID($C106,2,1))&gt;=1,VALUE(MID($C106,2,1))&lt;=8),(VALUE(MID($C106,2,1))-1)*8+CODE(MID($C106,1,1))-96,0),0))</f>
        <v>0</v>
      </c>
      <c r="E106" s="11" t="n">
        <f aca="false">IF(LEN($C106)&lt;4,0,IFERROR(IF(AND(CODE(MID($C106,3,1))&gt;=97,CODE(MID($C106,3,1))&lt;=104,VALUE(MID($C106,4,1))&gt;=1,VALUE(MID($C106,4,1))&lt;=8),(VALUE(MID($C106,4,1))-1)*8+CODE(MID($C106,3,1))-96,0),0))</f>
        <v>0</v>
      </c>
      <c r="F106" s="11" t="str">
        <f aca="false">IF(MOD(SUM($P$5:$P105),2)=0,"w","b")</f>
        <v>w</v>
      </c>
      <c r="G106" s="11" t="str">
        <f aca="false">IF($D106=0,"",INDEX($AH105:$CS105,1,$D106)&amp;"")</f>
        <v/>
      </c>
      <c r="H106" s="11" t="str">
        <f aca="false">IF($E106=0,"",INDEX($AH105:$CS105,1,$E106)&amp;"")</f>
        <v/>
      </c>
      <c r="I106" s="11" t="n">
        <f aca="false">IF(OR($D106=0,$E106=0),0,MOD($E106-1,8)-MOD($D106-1,8))</f>
        <v>0</v>
      </c>
      <c r="J106" s="11" t="n">
        <f aca="false">IF(OR($D106=0,$E106=0),0,INT(($E106-1)/8)-INT(($D106-1)/8))</f>
        <v>0</v>
      </c>
      <c r="K106" s="11" t="str">
        <f aca="false">IF($G106="","",RIGHT($G106,1))</f>
        <v/>
      </c>
      <c r="L106" s="11" t="n">
        <f aca="false">IF(OR($D106=0,$E106=0),0,SUMPRODUCT(($AH$3:$CS$3&gt;MIN($D106,$E106))*($AH$3:$CS$3&lt;MAX($D106,$E106))*(MOD($AH$3:$CS$3-MIN($D106,$E106),MAX(1,ABS(SIGN($J106)*8+SIGN($I106))))=0)*($AH105:$CS105&lt;&gt;"")))</f>
        <v>0</v>
      </c>
      <c r="M106" s="11" t="n">
        <f aca="false">IF($K106&lt;&gt;"K",0,IFERROR(--AND($J106=0,ABS($I106)=2,$D106=IF($F106="w",5,61),IF($F106="w",$S105,$V105)=0,IF($I106=2,AND(IF($F106="w",$U105,$X105)=0,INDEX($AH105:$CS105,1,$D106+1)&amp;""="",INDEX($AH105:$CS105,1,$D106+2)&amp;""=""),AND(IF($F106="w",$T105,$W105)=0,INDEX($AH105:$CS105,1,$D106-1)&amp;""="",INDEX($AH105:$CS105,1,$D106-2)&amp;""="",INDEX($AH105:$CS105,1,$D106-3)&amp;""=""))),0))</f>
        <v>0</v>
      </c>
      <c r="N106" s="11" t="n">
        <f aca="false">IF($K106&lt;&gt;"P",0,IFERROR(--OR(AND($I106=0,$J106=IF($F106="w",1,-1),$H106=""),AND($I106=0,$J106=2*IF($F106="w",1,-1),$H106="",INT(($D106-1)/8)=IF($F106="w",1,6),INDEX($AH105:$CS105,1,MAX(1,MIN(64,$D106+8*IF($F106="w",1,-1))))&amp;""=""),AND(ABS($I106)=1,$J106=IF($F106="w",1,-1),$H106&lt;&gt;""),AND(ABS($I106)=1,$J106=IF($F106="w",1,-1),$H106="",$R105&gt;0,$E106=$R105)),0))</f>
        <v>0</v>
      </c>
      <c r="O106" s="11" t="n">
        <f aca="false">IF(OR($D106=0,$E106=0,$G106=""),0,IF($K106="N",--OR(AND(ABS($I106)=1,ABS($J106)=2),AND(ABS($I106)=2,ABS($J106)=1)),IF($K106="B",--AND(ABS($I106)=ABS($J106),$I106&lt;&gt;0,$L106=0),IF($K106="R",--AND(OR($I106=0,$J106=0),OR($I106&lt;&gt;0,$J106&lt;&gt;0),$L106=0),IF($K106="Q",--AND(OR(AND(ABS($I106)=ABS($J106),$I106&lt;&gt;0),AND(OR($I106=0,$J106=0),OR($I106&lt;&gt;0,$J106&lt;&gt;0))),$L106=0),IF($K106="K",--OR(MAX(ABS($I106),ABS($J106))=1,$M106=1),$N106))))))</f>
        <v>0</v>
      </c>
      <c r="P106" s="11" t="n">
        <f aca="false">IF($Q106="OK",1,0)</f>
        <v>0</v>
      </c>
      <c r="Q106" s="11" t="str">
        <f aca="false">IF($B106="","",IF(OR(COUNTIF($AH105:$CS105,"wK")=0,COUNTIF($AH105:$CS105,"bK")=0),"Game is over",IF(OR($D106=0,$E106=0),"Use the format e2e4",IF($G106="","No piece on that square",IF(LEFT($G106,1)&lt;&gt;$F106,"Not your piece ("&amp;IF($F106="w","White","Black")&amp;" to move)",IF($D106=$E106,"Piece must move",IF(AND($H106&lt;&gt;"",LEFT($H106,1)=$F106),"Cannot capture your own piece",IF($O106=0,"Illegal move for that piece (or path blocked)","OK"))))))))</f>
        <v/>
      </c>
      <c r="R106" s="11" t="n">
        <f aca="false">IF($P106=1,IF(AND($K106="P",ABS($J106)=2),($D106+$E106)/2,0),$R105)</f>
        <v>0</v>
      </c>
      <c r="S106" s="12" t="b">
        <f aca="false">--OR($S105=1,AND($P106=1,OR($D106=5,$E106=5)))</f>
        <v>0</v>
      </c>
      <c r="T106" s="12" t="b">
        <f aca="false">--OR($T105=1,AND($P106=1,OR($D106=1,$E106=1)))</f>
        <v>0</v>
      </c>
      <c r="U106" s="12" t="b">
        <f aca="false">--OR($U105=1,AND($P106=1,OR($D106=8,$E106=8)))</f>
        <v>0</v>
      </c>
      <c r="V106" s="12" t="b">
        <f aca="false">--OR($V105=1,AND($P106=1,OR($D106=61,$E106=61)))</f>
        <v>0</v>
      </c>
      <c r="W106" s="12" t="b">
        <f aca="false">--OR($W105=1,AND($P106=1,OR($D106=57,$E106=57)))</f>
        <v>0</v>
      </c>
      <c r="X106" s="12" t="b">
        <f aca="false">--OR($X105=1,AND($P106=1,OR($D106=64,$E106=64)))</f>
        <v>0</v>
      </c>
      <c r="Y106" s="12" t="b">
        <f aca="false">--AND($P106=1,$K106="K",ABS($I106)=2)</f>
        <v>0</v>
      </c>
      <c r="Z106" s="12" t="b">
        <f aca="false">--AND($P106=1,$K106="P",ABS($I106)=1,$H106="")</f>
        <v>0</v>
      </c>
      <c r="AA106" s="12" t="b">
        <f aca="false">--AND($P106=1,$K106="P",INT(($E106-1)/8)=IF($F106="w",7,0))</f>
        <v>0</v>
      </c>
      <c r="AB106" s="11" t="str">
        <f aca="false">IF(LEN($C106)&gt;=5,IF(ISNUMBER(FIND(MID($C106,5,1),"qrbn")),UPPER(MID($C106,5,1)),"Q"),"Q")</f>
        <v>Q</v>
      </c>
      <c r="AC106" s="11" t="n">
        <f aca="false">IF($Y106=1,IF($I106=2,$D106+3,$D106-4),0)</f>
        <v>0</v>
      </c>
      <c r="AD106" s="11" t="n">
        <f aca="false">IF($Y106=1,IF($I106=2,$D106+1,$D106-1),0)</f>
        <v>0</v>
      </c>
      <c r="AE106" s="11" t="n">
        <f aca="false">IF($Z106=1,$E106-8*IF($F106="w",1,-1),0)</f>
        <v>0</v>
      </c>
      <c r="AF106" s="11" t="str">
        <f aca="false">IF($B106="","",IF($P106=1,LOWER(INDEX($CV$2:$CV$13,MATCH($G106,$CU$2:$CU$13,0)))&amp;" "&amp;MID("abcdefgh",MOD($D106-1,8)+1,1)&amp;(INT(($D106-1)/8)+1)&amp;"→"&amp;MID("abcdefgh",MOD($E106-1,8)+1,1)&amp;(INT(($E106-1)/8)+1)&amp;IF(OR($H106&lt;&gt;"",$Z106=1)," ×","")&amp;IF($Y106=1," castles","")&amp;IF($Z106=1," e.p.","")&amp;IF($AA106=1," =" &amp;LOWER(INDEX($CV$2:$CV$13,MATCH($F106&amp;$AB106,$CU$2:$CU$13,0))),""),"X "&amp;$Q106))</f>
        <v/>
      </c>
      <c r="AG106" s="11"/>
      <c r="AH106" s="11" t="str">
        <f aca="false">IF($P106=0,AH105,IF(AH$3=$E106,IF($AA106=1,$F106&amp;$AB106,$G106),IF(OR(AH$3=$D106,AH$3=$AC106,AH$3=$AE106),"",IF(AH$3=$AD106,$F106&amp;"R",AH105))))</f>
        <v>wR</v>
      </c>
      <c r="AI106" s="11" t="str">
        <f aca="false">IF($P106=0,AI105,IF(AI$3=$E106,IF($AA106=1,$F106&amp;$AB106,$G106),IF(OR(AI$3=$D106,AI$3=$AC106,AI$3=$AE106),"",IF(AI$3=$AD106,$F106&amp;"R",AI105))))</f>
        <v>wN</v>
      </c>
      <c r="AJ106" s="11" t="str">
        <f aca="false">IF($P106=0,AJ105,IF(AJ$3=$E106,IF($AA106=1,$F106&amp;$AB106,$G106),IF(OR(AJ$3=$D106,AJ$3=$AC106,AJ$3=$AE106),"",IF(AJ$3=$AD106,$F106&amp;"R",AJ105))))</f>
        <v>wB</v>
      </c>
      <c r="AK106" s="11" t="str">
        <f aca="false">IF($P106=0,AK105,IF(AK$3=$E106,IF($AA106=1,$F106&amp;$AB106,$G106),IF(OR(AK$3=$D106,AK$3=$AC106,AK$3=$AE106),"",IF(AK$3=$AD106,$F106&amp;"R",AK105))))</f>
        <v>wQ</v>
      </c>
      <c r="AL106" s="11" t="str">
        <f aca="false">IF($P106=0,AL105,IF(AL$3=$E106,IF($AA106=1,$F106&amp;$AB106,$G106),IF(OR(AL$3=$D106,AL$3=$AC106,AL$3=$AE106),"",IF(AL$3=$AD106,$F106&amp;"R",AL105))))</f>
        <v>wK</v>
      </c>
      <c r="AM106" s="11" t="str">
        <f aca="false">IF($P106=0,AM105,IF(AM$3=$E106,IF($AA106=1,$F106&amp;$AB106,$G106),IF(OR(AM$3=$D106,AM$3=$AC106,AM$3=$AE106),"",IF(AM$3=$AD106,$F106&amp;"R",AM105))))</f>
        <v>wB</v>
      </c>
      <c r="AN106" s="11" t="str">
        <f aca="false">IF($P106=0,AN105,IF(AN$3=$E106,IF($AA106=1,$F106&amp;$AB106,$G106),IF(OR(AN$3=$D106,AN$3=$AC106,AN$3=$AE106),"",IF(AN$3=$AD106,$F106&amp;"R",AN105))))</f>
        <v>wN</v>
      </c>
      <c r="AO106" s="11" t="str">
        <f aca="false">IF($P106=0,AO105,IF(AO$3=$E106,IF($AA106=1,$F106&amp;$AB106,$G106),IF(OR(AO$3=$D106,AO$3=$AC106,AO$3=$AE106),"",IF(AO$3=$AD106,$F106&amp;"R",AO105))))</f>
        <v>wR</v>
      </c>
      <c r="AP106" s="11" t="str">
        <f aca="false">IF($P106=0,AP105,IF(AP$3=$E106,IF($AA106=1,$F106&amp;$AB106,$G106),IF(OR(AP$3=$D106,AP$3=$AC106,AP$3=$AE106),"",IF(AP$3=$AD106,$F106&amp;"R",AP105))))</f>
        <v>wP</v>
      </c>
      <c r="AQ106" s="11" t="str">
        <f aca="false">IF($P106=0,AQ105,IF(AQ$3=$E106,IF($AA106=1,$F106&amp;$AB106,$G106),IF(OR(AQ$3=$D106,AQ$3=$AC106,AQ$3=$AE106),"",IF(AQ$3=$AD106,$F106&amp;"R",AQ105))))</f>
        <v>wP</v>
      </c>
      <c r="AR106" s="11" t="str">
        <f aca="false">IF($P106=0,AR105,IF(AR$3=$E106,IF($AA106=1,$F106&amp;$AB106,$G106),IF(OR(AR$3=$D106,AR$3=$AC106,AR$3=$AE106),"",IF(AR$3=$AD106,$F106&amp;"R",AR105))))</f>
        <v>wP</v>
      </c>
      <c r="AS106" s="11" t="str">
        <f aca="false">IF($P106=0,AS105,IF(AS$3=$E106,IF($AA106=1,$F106&amp;$AB106,$G106),IF(OR(AS$3=$D106,AS$3=$AC106,AS$3=$AE106),"",IF(AS$3=$AD106,$F106&amp;"R",AS105))))</f>
        <v>wP</v>
      </c>
      <c r="AT106" s="11" t="str">
        <f aca="false">IF($P106=0,AT105,IF(AT$3=$E106,IF($AA106=1,$F106&amp;$AB106,$G106),IF(OR(AT$3=$D106,AT$3=$AC106,AT$3=$AE106),"",IF(AT$3=$AD106,$F106&amp;"R",AT105))))</f>
        <v>wP</v>
      </c>
      <c r="AU106" s="11" t="str">
        <f aca="false">IF($P106=0,AU105,IF(AU$3=$E106,IF($AA106=1,$F106&amp;$AB106,$G106),IF(OR(AU$3=$D106,AU$3=$AC106,AU$3=$AE106),"",IF(AU$3=$AD106,$F106&amp;"R",AU105))))</f>
        <v>wP</v>
      </c>
      <c r="AV106" s="11" t="str">
        <f aca="false">IF($P106=0,AV105,IF(AV$3=$E106,IF($AA106=1,$F106&amp;$AB106,$G106),IF(OR(AV$3=$D106,AV$3=$AC106,AV$3=$AE106),"",IF(AV$3=$AD106,$F106&amp;"R",AV105))))</f>
        <v>wP</v>
      </c>
      <c r="AW106" s="11" t="str">
        <f aca="false">IF($P106=0,AW105,IF(AW$3=$E106,IF($AA106=1,$F106&amp;$AB106,$G106),IF(OR(AW$3=$D106,AW$3=$AC106,AW$3=$AE106),"",IF(AW$3=$AD106,$F106&amp;"R",AW105))))</f>
        <v>wP</v>
      </c>
      <c r="AX106" s="11" t="str">
        <f aca="false">IF($P106=0,AX105,IF(AX$3=$E106,IF($AA106=1,$F106&amp;$AB106,$G106),IF(OR(AX$3=$D106,AX$3=$AC106,AX$3=$AE106),"",IF(AX$3=$AD106,$F106&amp;"R",AX105))))</f>
        <v/>
      </c>
      <c r="AY106" s="11" t="str">
        <f aca="false">IF($P106=0,AY105,IF(AY$3=$E106,IF($AA106=1,$F106&amp;$AB106,$G106),IF(OR(AY$3=$D106,AY$3=$AC106,AY$3=$AE106),"",IF(AY$3=$AD106,$F106&amp;"R",AY105))))</f>
        <v/>
      </c>
      <c r="AZ106" s="11" t="str">
        <f aca="false">IF($P106=0,AZ105,IF(AZ$3=$E106,IF($AA106=1,$F106&amp;$AB106,$G106),IF(OR(AZ$3=$D106,AZ$3=$AC106,AZ$3=$AE106),"",IF(AZ$3=$AD106,$F106&amp;"R",AZ105))))</f>
        <v/>
      </c>
      <c r="BA106" s="11" t="str">
        <f aca="false">IF($P106=0,BA105,IF(BA$3=$E106,IF($AA106=1,$F106&amp;$AB106,$G106),IF(OR(BA$3=$D106,BA$3=$AC106,BA$3=$AE106),"",IF(BA$3=$AD106,$F106&amp;"R",BA105))))</f>
        <v/>
      </c>
      <c r="BB106" s="11" t="str">
        <f aca="false">IF($P106=0,BB105,IF(BB$3=$E106,IF($AA106=1,$F106&amp;$AB106,$G106),IF(OR(BB$3=$D106,BB$3=$AC106,BB$3=$AE106),"",IF(BB$3=$AD106,$F106&amp;"R",BB105))))</f>
        <v/>
      </c>
      <c r="BC106" s="11" t="str">
        <f aca="false">IF($P106=0,BC105,IF(BC$3=$E106,IF($AA106=1,$F106&amp;$AB106,$G106),IF(OR(BC$3=$D106,BC$3=$AC106,BC$3=$AE106),"",IF(BC$3=$AD106,$F106&amp;"R",BC105))))</f>
        <v/>
      </c>
      <c r="BD106" s="11" t="str">
        <f aca="false">IF($P106=0,BD105,IF(BD$3=$E106,IF($AA106=1,$F106&amp;$AB106,$G106),IF(OR(BD$3=$D106,BD$3=$AC106,BD$3=$AE106),"",IF(BD$3=$AD106,$F106&amp;"R",BD105))))</f>
        <v/>
      </c>
      <c r="BE106" s="11" t="str">
        <f aca="false">IF($P106=0,BE105,IF(BE$3=$E106,IF($AA106=1,$F106&amp;$AB106,$G106),IF(OR(BE$3=$D106,BE$3=$AC106,BE$3=$AE106),"",IF(BE$3=$AD106,$F106&amp;"R",BE105))))</f>
        <v/>
      </c>
      <c r="BF106" s="11" t="str">
        <f aca="false">IF($P106=0,BF105,IF(BF$3=$E106,IF($AA106=1,$F106&amp;$AB106,$G106),IF(OR(BF$3=$D106,BF$3=$AC106,BF$3=$AE106),"",IF(BF$3=$AD106,$F106&amp;"R",BF105))))</f>
        <v/>
      </c>
      <c r="BG106" s="11" t="str">
        <f aca="false">IF($P106=0,BG105,IF(BG$3=$E106,IF($AA106=1,$F106&amp;$AB106,$G106),IF(OR(BG$3=$D106,BG$3=$AC106,BG$3=$AE106),"",IF(BG$3=$AD106,$F106&amp;"R",BG105))))</f>
        <v/>
      </c>
      <c r="BH106" s="11" t="str">
        <f aca="false">IF($P106=0,BH105,IF(BH$3=$E106,IF($AA106=1,$F106&amp;$AB106,$G106),IF(OR(BH$3=$D106,BH$3=$AC106,BH$3=$AE106),"",IF(BH$3=$AD106,$F106&amp;"R",BH105))))</f>
        <v/>
      </c>
      <c r="BI106" s="11" t="str">
        <f aca="false">IF($P106=0,BI105,IF(BI$3=$E106,IF($AA106=1,$F106&amp;$AB106,$G106),IF(OR(BI$3=$D106,BI$3=$AC106,BI$3=$AE106),"",IF(BI$3=$AD106,$F106&amp;"R",BI105))))</f>
        <v/>
      </c>
      <c r="BJ106" s="11" t="str">
        <f aca="false">IF($P106=0,BJ105,IF(BJ$3=$E106,IF($AA106=1,$F106&amp;$AB106,$G106),IF(OR(BJ$3=$D106,BJ$3=$AC106,BJ$3=$AE106),"",IF(BJ$3=$AD106,$F106&amp;"R",BJ105))))</f>
        <v/>
      </c>
      <c r="BK106" s="11" t="str">
        <f aca="false">IF($P106=0,BK105,IF(BK$3=$E106,IF($AA106=1,$F106&amp;$AB106,$G106),IF(OR(BK$3=$D106,BK$3=$AC106,BK$3=$AE106),"",IF(BK$3=$AD106,$F106&amp;"R",BK105))))</f>
        <v/>
      </c>
      <c r="BL106" s="11" t="str">
        <f aca="false">IF($P106=0,BL105,IF(BL$3=$E106,IF($AA106=1,$F106&amp;$AB106,$G106),IF(OR(BL$3=$D106,BL$3=$AC106,BL$3=$AE106),"",IF(BL$3=$AD106,$F106&amp;"R",BL105))))</f>
        <v/>
      </c>
      <c r="BM106" s="11" t="str">
        <f aca="false">IF($P106=0,BM105,IF(BM$3=$E106,IF($AA106=1,$F106&amp;$AB106,$G106),IF(OR(BM$3=$D106,BM$3=$AC106,BM$3=$AE106),"",IF(BM$3=$AD106,$F106&amp;"R",BM105))))</f>
        <v/>
      </c>
      <c r="BN106" s="11" t="str">
        <f aca="false">IF($P106=0,BN105,IF(BN$3=$E106,IF($AA106=1,$F106&amp;$AB106,$G106),IF(OR(BN$3=$D106,BN$3=$AC106,BN$3=$AE106),"",IF(BN$3=$AD106,$F106&amp;"R",BN105))))</f>
        <v/>
      </c>
      <c r="BO106" s="11" t="str">
        <f aca="false">IF($P106=0,BO105,IF(BO$3=$E106,IF($AA106=1,$F106&amp;$AB106,$G106),IF(OR(BO$3=$D106,BO$3=$AC106,BO$3=$AE106),"",IF(BO$3=$AD106,$F106&amp;"R",BO105))))</f>
        <v/>
      </c>
      <c r="BP106" s="11" t="str">
        <f aca="false">IF($P106=0,BP105,IF(BP$3=$E106,IF($AA106=1,$F106&amp;$AB106,$G106),IF(OR(BP$3=$D106,BP$3=$AC106,BP$3=$AE106),"",IF(BP$3=$AD106,$F106&amp;"R",BP105))))</f>
        <v/>
      </c>
      <c r="BQ106" s="11" t="str">
        <f aca="false">IF($P106=0,BQ105,IF(BQ$3=$E106,IF($AA106=1,$F106&amp;$AB106,$G106),IF(OR(BQ$3=$D106,BQ$3=$AC106,BQ$3=$AE106),"",IF(BQ$3=$AD106,$F106&amp;"R",BQ105))))</f>
        <v/>
      </c>
      <c r="BR106" s="11" t="str">
        <f aca="false">IF($P106=0,BR105,IF(BR$3=$E106,IF($AA106=1,$F106&amp;$AB106,$G106),IF(OR(BR$3=$D106,BR$3=$AC106,BR$3=$AE106),"",IF(BR$3=$AD106,$F106&amp;"R",BR105))))</f>
        <v/>
      </c>
      <c r="BS106" s="11" t="str">
        <f aca="false">IF($P106=0,BS105,IF(BS$3=$E106,IF($AA106=1,$F106&amp;$AB106,$G106),IF(OR(BS$3=$D106,BS$3=$AC106,BS$3=$AE106),"",IF(BS$3=$AD106,$F106&amp;"R",BS105))))</f>
        <v/>
      </c>
      <c r="BT106" s="11" t="str">
        <f aca="false">IF($P106=0,BT105,IF(BT$3=$E106,IF($AA106=1,$F106&amp;$AB106,$G106),IF(OR(BT$3=$D106,BT$3=$AC106,BT$3=$AE106),"",IF(BT$3=$AD106,$F106&amp;"R",BT105))))</f>
        <v/>
      </c>
      <c r="BU106" s="11" t="str">
        <f aca="false">IF($P106=0,BU105,IF(BU$3=$E106,IF($AA106=1,$F106&amp;$AB106,$G106),IF(OR(BU$3=$D106,BU$3=$AC106,BU$3=$AE106),"",IF(BU$3=$AD106,$F106&amp;"R",BU105))))</f>
        <v/>
      </c>
      <c r="BV106" s="11" t="str">
        <f aca="false">IF($P106=0,BV105,IF(BV$3=$E106,IF($AA106=1,$F106&amp;$AB106,$G106),IF(OR(BV$3=$D106,BV$3=$AC106,BV$3=$AE106),"",IF(BV$3=$AD106,$F106&amp;"R",BV105))))</f>
        <v/>
      </c>
      <c r="BW106" s="11" t="str">
        <f aca="false">IF($P106=0,BW105,IF(BW$3=$E106,IF($AA106=1,$F106&amp;$AB106,$G106),IF(OR(BW$3=$D106,BW$3=$AC106,BW$3=$AE106),"",IF(BW$3=$AD106,$F106&amp;"R",BW105))))</f>
        <v/>
      </c>
      <c r="BX106" s="11" t="str">
        <f aca="false">IF($P106=0,BX105,IF(BX$3=$E106,IF($AA106=1,$F106&amp;$AB106,$G106),IF(OR(BX$3=$D106,BX$3=$AC106,BX$3=$AE106),"",IF(BX$3=$AD106,$F106&amp;"R",BX105))))</f>
        <v/>
      </c>
      <c r="BY106" s="11" t="str">
        <f aca="false">IF($P106=0,BY105,IF(BY$3=$E106,IF($AA106=1,$F106&amp;$AB106,$G106),IF(OR(BY$3=$D106,BY$3=$AC106,BY$3=$AE106),"",IF(BY$3=$AD106,$F106&amp;"R",BY105))))</f>
        <v/>
      </c>
      <c r="BZ106" s="11" t="str">
        <f aca="false">IF($P106=0,BZ105,IF(BZ$3=$E106,IF($AA106=1,$F106&amp;$AB106,$G106),IF(OR(BZ$3=$D106,BZ$3=$AC106,BZ$3=$AE106),"",IF(BZ$3=$AD106,$F106&amp;"R",BZ105))))</f>
        <v/>
      </c>
      <c r="CA106" s="11" t="str">
        <f aca="false">IF($P106=0,CA105,IF(CA$3=$E106,IF($AA106=1,$F106&amp;$AB106,$G106),IF(OR(CA$3=$D106,CA$3=$AC106,CA$3=$AE106),"",IF(CA$3=$AD106,$F106&amp;"R",CA105))))</f>
        <v/>
      </c>
      <c r="CB106" s="11" t="str">
        <f aca="false">IF($P106=0,CB105,IF(CB$3=$E106,IF($AA106=1,$F106&amp;$AB106,$G106),IF(OR(CB$3=$D106,CB$3=$AC106,CB$3=$AE106),"",IF(CB$3=$AD106,$F106&amp;"R",CB105))))</f>
        <v/>
      </c>
      <c r="CC106" s="11" t="str">
        <f aca="false">IF($P106=0,CC105,IF(CC$3=$E106,IF($AA106=1,$F106&amp;$AB106,$G106),IF(OR(CC$3=$D106,CC$3=$AC106,CC$3=$AE106),"",IF(CC$3=$AD106,$F106&amp;"R",CC105))))</f>
        <v/>
      </c>
      <c r="CD106" s="11" t="str">
        <f aca="false">IF($P106=0,CD105,IF(CD$3=$E106,IF($AA106=1,$F106&amp;$AB106,$G106),IF(OR(CD$3=$D106,CD$3=$AC106,CD$3=$AE106),"",IF(CD$3=$AD106,$F106&amp;"R",CD105))))</f>
        <v>bP</v>
      </c>
      <c r="CE106" s="11" t="str">
        <f aca="false">IF($P106=0,CE105,IF(CE$3=$E106,IF($AA106=1,$F106&amp;$AB106,$G106),IF(OR(CE$3=$D106,CE$3=$AC106,CE$3=$AE106),"",IF(CE$3=$AD106,$F106&amp;"R",CE105))))</f>
        <v>bP</v>
      </c>
      <c r="CF106" s="11" t="str">
        <f aca="false">IF($P106=0,CF105,IF(CF$3=$E106,IF($AA106=1,$F106&amp;$AB106,$G106),IF(OR(CF$3=$D106,CF$3=$AC106,CF$3=$AE106),"",IF(CF$3=$AD106,$F106&amp;"R",CF105))))</f>
        <v>bP</v>
      </c>
      <c r="CG106" s="11" t="str">
        <f aca="false">IF($P106=0,CG105,IF(CG$3=$E106,IF($AA106=1,$F106&amp;$AB106,$G106),IF(OR(CG$3=$D106,CG$3=$AC106,CG$3=$AE106),"",IF(CG$3=$AD106,$F106&amp;"R",CG105))))</f>
        <v>bP</v>
      </c>
      <c r="CH106" s="11" t="str">
        <f aca="false">IF($P106=0,CH105,IF(CH$3=$E106,IF($AA106=1,$F106&amp;$AB106,$G106),IF(OR(CH$3=$D106,CH$3=$AC106,CH$3=$AE106),"",IF(CH$3=$AD106,$F106&amp;"R",CH105))))</f>
        <v>bP</v>
      </c>
      <c r="CI106" s="11" t="str">
        <f aca="false">IF($P106=0,CI105,IF(CI$3=$E106,IF($AA106=1,$F106&amp;$AB106,$G106),IF(OR(CI$3=$D106,CI$3=$AC106,CI$3=$AE106),"",IF(CI$3=$AD106,$F106&amp;"R",CI105))))</f>
        <v>bP</v>
      </c>
      <c r="CJ106" s="11" t="str">
        <f aca="false">IF($P106=0,CJ105,IF(CJ$3=$E106,IF($AA106=1,$F106&amp;$AB106,$G106),IF(OR(CJ$3=$D106,CJ$3=$AC106,CJ$3=$AE106),"",IF(CJ$3=$AD106,$F106&amp;"R",CJ105))))</f>
        <v>bP</v>
      </c>
      <c r="CK106" s="11" t="str">
        <f aca="false">IF($P106=0,CK105,IF(CK$3=$E106,IF($AA106=1,$F106&amp;$AB106,$G106),IF(OR(CK$3=$D106,CK$3=$AC106,CK$3=$AE106),"",IF(CK$3=$AD106,$F106&amp;"R",CK105))))</f>
        <v>bP</v>
      </c>
      <c r="CL106" s="11" t="str">
        <f aca="false">IF($P106=0,CL105,IF(CL$3=$E106,IF($AA106=1,$F106&amp;$AB106,$G106),IF(OR(CL$3=$D106,CL$3=$AC106,CL$3=$AE106),"",IF(CL$3=$AD106,$F106&amp;"R",CL105))))</f>
        <v>bR</v>
      </c>
      <c r="CM106" s="11" t="str">
        <f aca="false">IF($P106=0,CM105,IF(CM$3=$E106,IF($AA106=1,$F106&amp;$AB106,$G106),IF(OR(CM$3=$D106,CM$3=$AC106,CM$3=$AE106),"",IF(CM$3=$AD106,$F106&amp;"R",CM105))))</f>
        <v>bN</v>
      </c>
      <c r="CN106" s="11" t="str">
        <f aca="false">IF($P106=0,CN105,IF(CN$3=$E106,IF($AA106=1,$F106&amp;$AB106,$G106),IF(OR(CN$3=$D106,CN$3=$AC106,CN$3=$AE106),"",IF(CN$3=$AD106,$F106&amp;"R",CN105))))</f>
        <v>bB</v>
      </c>
      <c r="CO106" s="11" t="str">
        <f aca="false">IF($P106=0,CO105,IF(CO$3=$E106,IF($AA106=1,$F106&amp;$AB106,$G106),IF(OR(CO$3=$D106,CO$3=$AC106,CO$3=$AE106),"",IF(CO$3=$AD106,$F106&amp;"R",CO105))))</f>
        <v>bQ</v>
      </c>
      <c r="CP106" s="11" t="str">
        <f aca="false">IF($P106=0,CP105,IF(CP$3=$E106,IF($AA106=1,$F106&amp;$AB106,$G106),IF(OR(CP$3=$D106,CP$3=$AC106,CP$3=$AE106),"",IF(CP$3=$AD106,$F106&amp;"R",CP105))))</f>
        <v>bK</v>
      </c>
      <c r="CQ106" s="11" t="str">
        <f aca="false">IF($P106=0,CQ105,IF(CQ$3=$E106,IF($AA106=1,$F106&amp;$AB106,$G106),IF(OR(CQ$3=$D106,CQ$3=$AC106,CQ$3=$AE106),"",IF(CQ$3=$AD106,$F106&amp;"R",CQ105))))</f>
        <v>bB</v>
      </c>
      <c r="CR106" s="11" t="str">
        <f aca="false">IF($P106=0,CR105,IF(CR$3=$E106,IF($AA106=1,$F106&amp;$AB106,$G106),IF(OR(CR$3=$D106,CR$3=$AC106,CR$3=$AE106),"",IF(CR$3=$AD106,$F106&amp;"R",CR105))))</f>
        <v>bN</v>
      </c>
      <c r="CS106" s="11" t="str">
        <f aca="false">IF($P106=0,CS105,IF(CS$3=$E106,IF($AA106=1,$F106&amp;$AB106,$G106),IF(OR(CS$3=$D106,CS$3=$AC106,CS$3=$AE106),"",IF(CS$3=$AD106,$F106&amp;"R",CS105))))</f>
        <v>bR</v>
      </c>
      <c r="CT106" s="11"/>
      <c r="CU106" s="11"/>
      <c r="CV106" s="11"/>
    </row>
    <row r="107" customFormat="false" ht="15" hidden="false" customHeight="false" outlineLevel="0" collapsed="false">
      <c r="A107" s="11" t="n">
        <v>102</v>
      </c>
      <c r="B107" s="11" t="str">
        <f aca="false">IF(Chess!$L$111="","",Chess!$L$111&amp;"")</f>
        <v/>
      </c>
      <c r="C107" s="11" t="str">
        <f aca="false">LOWER(SUBSTITUTE(SUBSTITUTE(SUBSTITUTE(SUBSTITUTE(TRIM($B107),"-",""),"=","")," ",""),"x",""))</f>
        <v/>
      </c>
      <c r="D107" s="11" t="n">
        <f aca="false">IF(LEN($C107)&lt;4,0,IFERROR(IF(AND(CODE(MID($C107,1,1))&gt;=97,CODE(MID($C107,1,1))&lt;=104,VALUE(MID($C107,2,1))&gt;=1,VALUE(MID($C107,2,1))&lt;=8),(VALUE(MID($C107,2,1))-1)*8+CODE(MID($C107,1,1))-96,0),0))</f>
        <v>0</v>
      </c>
      <c r="E107" s="11" t="n">
        <f aca="false">IF(LEN($C107)&lt;4,0,IFERROR(IF(AND(CODE(MID($C107,3,1))&gt;=97,CODE(MID($C107,3,1))&lt;=104,VALUE(MID($C107,4,1))&gt;=1,VALUE(MID($C107,4,1))&lt;=8),(VALUE(MID($C107,4,1))-1)*8+CODE(MID($C107,3,1))-96,0),0))</f>
        <v>0</v>
      </c>
      <c r="F107" s="11" t="str">
        <f aca="false">IF(MOD(SUM($P$5:$P106),2)=0,"w","b")</f>
        <v>w</v>
      </c>
      <c r="G107" s="11" t="str">
        <f aca="false">IF($D107=0,"",INDEX($AH106:$CS106,1,$D107)&amp;"")</f>
        <v/>
      </c>
      <c r="H107" s="11" t="str">
        <f aca="false">IF($E107=0,"",INDEX($AH106:$CS106,1,$E107)&amp;"")</f>
        <v/>
      </c>
      <c r="I107" s="11" t="n">
        <f aca="false">IF(OR($D107=0,$E107=0),0,MOD($E107-1,8)-MOD($D107-1,8))</f>
        <v>0</v>
      </c>
      <c r="J107" s="11" t="n">
        <f aca="false">IF(OR($D107=0,$E107=0),0,INT(($E107-1)/8)-INT(($D107-1)/8))</f>
        <v>0</v>
      </c>
      <c r="K107" s="11" t="str">
        <f aca="false">IF($G107="","",RIGHT($G107,1))</f>
        <v/>
      </c>
      <c r="L107" s="11" t="n">
        <f aca="false">IF(OR($D107=0,$E107=0),0,SUMPRODUCT(($AH$3:$CS$3&gt;MIN($D107,$E107))*($AH$3:$CS$3&lt;MAX($D107,$E107))*(MOD($AH$3:$CS$3-MIN($D107,$E107),MAX(1,ABS(SIGN($J107)*8+SIGN($I107))))=0)*($AH106:$CS106&lt;&gt;"")))</f>
        <v>0</v>
      </c>
      <c r="M107" s="11" t="n">
        <f aca="false">IF($K107&lt;&gt;"K",0,IFERROR(--AND($J107=0,ABS($I107)=2,$D107=IF($F107="w",5,61),IF($F107="w",$S106,$V106)=0,IF($I107=2,AND(IF($F107="w",$U106,$X106)=0,INDEX($AH106:$CS106,1,$D107+1)&amp;""="",INDEX($AH106:$CS106,1,$D107+2)&amp;""=""),AND(IF($F107="w",$T106,$W106)=0,INDEX($AH106:$CS106,1,$D107-1)&amp;""="",INDEX($AH106:$CS106,1,$D107-2)&amp;""="",INDEX($AH106:$CS106,1,$D107-3)&amp;""=""))),0))</f>
        <v>0</v>
      </c>
      <c r="N107" s="11" t="n">
        <f aca="false">IF($K107&lt;&gt;"P",0,IFERROR(--OR(AND($I107=0,$J107=IF($F107="w",1,-1),$H107=""),AND($I107=0,$J107=2*IF($F107="w",1,-1),$H107="",INT(($D107-1)/8)=IF($F107="w",1,6),INDEX($AH106:$CS106,1,MAX(1,MIN(64,$D107+8*IF($F107="w",1,-1))))&amp;""=""),AND(ABS($I107)=1,$J107=IF($F107="w",1,-1),$H107&lt;&gt;""),AND(ABS($I107)=1,$J107=IF($F107="w",1,-1),$H107="",$R106&gt;0,$E107=$R106)),0))</f>
        <v>0</v>
      </c>
      <c r="O107" s="11" t="n">
        <f aca="false">IF(OR($D107=0,$E107=0,$G107=""),0,IF($K107="N",--OR(AND(ABS($I107)=1,ABS($J107)=2),AND(ABS($I107)=2,ABS($J107)=1)),IF($K107="B",--AND(ABS($I107)=ABS($J107),$I107&lt;&gt;0,$L107=0),IF($K107="R",--AND(OR($I107=0,$J107=0),OR($I107&lt;&gt;0,$J107&lt;&gt;0),$L107=0),IF($K107="Q",--AND(OR(AND(ABS($I107)=ABS($J107),$I107&lt;&gt;0),AND(OR($I107=0,$J107=0),OR($I107&lt;&gt;0,$J107&lt;&gt;0))),$L107=0),IF($K107="K",--OR(MAX(ABS($I107),ABS($J107))=1,$M107=1),$N107))))))</f>
        <v>0</v>
      </c>
      <c r="P107" s="11" t="n">
        <f aca="false">IF($Q107="OK",1,0)</f>
        <v>0</v>
      </c>
      <c r="Q107" s="11" t="str">
        <f aca="false">IF($B107="","",IF(OR(COUNTIF($AH106:$CS106,"wK")=0,COUNTIF($AH106:$CS106,"bK")=0),"Game is over",IF(OR($D107=0,$E107=0),"Use the format e2e4",IF($G107="","No piece on that square",IF(LEFT($G107,1)&lt;&gt;$F107,"Not your piece ("&amp;IF($F107="w","White","Black")&amp;" to move)",IF($D107=$E107,"Piece must move",IF(AND($H107&lt;&gt;"",LEFT($H107,1)=$F107),"Cannot capture your own piece",IF($O107=0,"Illegal move for that piece (or path blocked)","OK"))))))))</f>
        <v/>
      </c>
      <c r="R107" s="11" t="n">
        <f aca="false">IF($P107=1,IF(AND($K107="P",ABS($J107)=2),($D107+$E107)/2,0),$R106)</f>
        <v>0</v>
      </c>
      <c r="S107" s="12" t="b">
        <f aca="false">--OR($S106=1,AND($P107=1,OR($D107=5,$E107=5)))</f>
        <v>0</v>
      </c>
      <c r="T107" s="12" t="b">
        <f aca="false">--OR($T106=1,AND($P107=1,OR($D107=1,$E107=1)))</f>
        <v>0</v>
      </c>
      <c r="U107" s="12" t="b">
        <f aca="false">--OR($U106=1,AND($P107=1,OR($D107=8,$E107=8)))</f>
        <v>0</v>
      </c>
      <c r="V107" s="12" t="b">
        <f aca="false">--OR($V106=1,AND($P107=1,OR($D107=61,$E107=61)))</f>
        <v>0</v>
      </c>
      <c r="W107" s="12" t="b">
        <f aca="false">--OR($W106=1,AND($P107=1,OR($D107=57,$E107=57)))</f>
        <v>0</v>
      </c>
      <c r="X107" s="12" t="b">
        <f aca="false">--OR($X106=1,AND($P107=1,OR($D107=64,$E107=64)))</f>
        <v>0</v>
      </c>
      <c r="Y107" s="12" t="b">
        <f aca="false">--AND($P107=1,$K107="K",ABS($I107)=2)</f>
        <v>0</v>
      </c>
      <c r="Z107" s="12" t="b">
        <f aca="false">--AND($P107=1,$K107="P",ABS($I107)=1,$H107="")</f>
        <v>0</v>
      </c>
      <c r="AA107" s="12" t="b">
        <f aca="false">--AND($P107=1,$K107="P",INT(($E107-1)/8)=IF($F107="w",7,0))</f>
        <v>0</v>
      </c>
      <c r="AB107" s="11" t="str">
        <f aca="false">IF(LEN($C107)&gt;=5,IF(ISNUMBER(FIND(MID($C107,5,1),"qrbn")),UPPER(MID($C107,5,1)),"Q"),"Q")</f>
        <v>Q</v>
      </c>
      <c r="AC107" s="11" t="n">
        <f aca="false">IF($Y107=1,IF($I107=2,$D107+3,$D107-4),0)</f>
        <v>0</v>
      </c>
      <c r="AD107" s="11" t="n">
        <f aca="false">IF($Y107=1,IF($I107=2,$D107+1,$D107-1),0)</f>
        <v>0</v>
      </c>
      <c r="AE107" s="11" t="n">
        <f aca="false">IF($Z107=1,$E107-8*IF($F107="w",1,-1),0)</f>
        <v>0</v>
      </c>
      <c r="AF107" s="11" t="str">
        <f aca="false">IF($B107="","",IF($P107=1,LOWER(INDEX($CV$2:$CV$13,MATCH($G107,$CU$2:$CU$13,0)))&amp;" "&amp;MID("abcdefgh",MOD($D107-1,8)+1,1)&amp;(INT(($D107-1)/8)+1)&amp;"→"&amp;MID("abcdefgh",MOD($E107-1,8)+1,1)&amp;(INT(($E107-1)/8)+1)&amp;IF(OR($H107&lt;&gt;"",$Z107=1)," ×","")&amp;IF($Y107=1," castles","")&amp;IF($Z107=1," e.p.","")&amp;IF($AA107=1," =" &amp;LOWER(INDEX($CV$2:$CV$13,MATCH($F107&amp;$AB107,$CU$2:$CU$13,0))),""),"X "&amp;$Q107))</f>
        <v/>
      </c>
      <c r="AG107" s="11"/>
      <c r="AH107" s="11" t="str">
        <f aca="false">IF($P107=0,AH106,IF(AH$3=$E107,IF($AA107=1,$F107&amp;$AB107,$G107),IF(OR(AH$3=$D107,AH$3=$AC107,AH$3=$AE107),"",IF(AH$3=$AD107,$F107&amp;"R",AH106))))</f>
        <v>wR</v>
      </c>
      <c r="AI107" s="11" t="str">
        <f aca="false">IF($P107=0,AI106,IF(AI$3=$E107,IF($AA107=1,$F107&amp;$AB107,$G107),IF(OR(AI$3=$D107,AI$3=$AC107,AI$3=$AE107),"",IF(AI$3=$AD107,$F107&amp;"R",AI106))))</f>
        <v>wN</v>
      </c>
      <c r="AJ107" s="11" t="str">
        <f aca="false">IF($P107=0,AJ106,IF(AJ$3=$E107,IF($AA107=1,$F107&amp;$AB107,$G107),IF(OR(AJ$3=$D107,AJ$3=$AC107,AJ$3=$AE107),"",IF(AJ$3=$AD107,$F107&amp;"R",AJ106))))</f>
        <v>wB</v>
      </c>
      <c r="AK107" s="11" t="str">
        <f aca="false">IF($P107=0,AK106,IF(AK$3=$E107,IF($AA107=1,$F107&amp;$AB107,$G107),IF(OR(AK$3=$D107,AK$3=$AC107,AK$3=$AE107),"",IF(AK$3=$AD107,$F107&amp;"R",AK106))))</f>
        <v>wQ</v>
      </c>
      <c r="AL107" s="11" t="str">
        <f aca="false">IF($P107=0,AL106,IF(AL$3=$E107,IF($AA107=1,$F107&amp;$AB107,$G107),IF(OR(AL$3=$D107,AL$3=$AC107,AL$3=$AE107),"",IF(AL$3=$AD107,$F107&amp;"R",AL106))))</f>
        <v>wK</v>
      </c>
      <c r="AM107" s="11" t="str">
        <f aca="false">IF($P107=0,AM106,IF(AM$3=$E107,IF($AA107=1,$F107&amp;$AB107,$G107),IF(OR(AM$3=$D107,AM$3=$AC107,AM$3=$AE107),"",IF(AM$3=$AD107,$F107&amp;"R",AM106))))</f>
        <v>wB</v>
      </c>
      <c r="AN107" s="11" t="str">
        <f aca="false">IF($P107=0,AN106,IF(AN$3=$E107,IF($AA107=1,$F107&amp;$AB107,$G107),IF(OR(AN$3=$D107,AN$3=$AC107,AN$3=$AE107),"",IF(AN$3=$AD107,$F107&amp;"R",AN106))))</f>
        <v>wN</v>
      </c>
      <c r="AO107" s="11" t="str">
        <f aca="false">IF($P107=0,AO106,IF(AO$3=$E107,IF($AA107=1,$F107&amp;$AB107,$G107),IF(OR(AO$3=$D107,AO$3=$AC107,AO$3=$AE107),"",IF(AO$3=$AD107,$F107&amp;"R",AO106))))</f>
        <v>wR</v>
      </c>
      <c r="AP107" s="11" t="str">
        <f aca="false">IF($P107=0,AP106,IF(AP$3=$E107,IF($AA107=1,$F107&amp;$AB107,$G107),IF(OR(AP$3=$D107,AP$3=$AC107,AP$3=$AE107),"",IF(AP$3=$AD107,$F107&amp;"R",AP106))))</f>
        <v>wP</v>
      </c>
      <c r="AQ107" s="11" t="str">
        <f aca="false">IF($P107=0,AQ106,IF(AQ$3=$E107,IF($AA107=1,$F107&amp;$AB107,$G107),IF(OR(AQ$3=$D107,AQ$3=$AC107,AQ$3=$AE107),"",IF(AQ$3=$AD107,$F107&amp;"R",AQ106))))</f>
        <v>wP</v>
      </c>
      <c r="AR107" s="11" t="str">
        <f aca="false">IF($P107=0,AR106,IF(AR$3=$E107,IF($AA107=1,$F107&amp;$AB107,$G107),IF(OR(AR$3=$D107,AR$3=$AC107,AR$3=$AE107),"",IF(AR$3=$AD107,$F107&amp;"R",AR106))))</f>
        <v>wP</v>
      </c>
      <c r="AS107" s="11" t="str">
        <f aca="false">IF($P107=0,AS106,IF(AS$3=$E107,IF($AA107=1,$F107&amp;$AB107,$G107),IF(OR(AS$3=$D107,AS$3=$AC107,AS$3=$AE107),"",IF(AS$3=$AD107,$F107&amp;"R",AS106))))</f>
        <v>wP</v>
      </c>
      <c r="AT107" s="11" t="str">
        <f aca="false">IF($P107=0,AT106,IF(AT$3=$E107,IF($AA107=1,$F107&amp;$AB107,$G107),IF(OR(AT$3=$D107,AT$3=$AC107,AT$3=$AE107),"",IF(AT$3=$AD107,$F107&amp;"R",AT106))))</f>
        <v>wP</v>
      </c>
      <c r="AU107" s="11" t="str">
        <f aca="false">IF($P107=0,AU106,IF(AU$3=$E107,IF($AA107=1,$F107&amp;$AB107,$G107),IF(OR(AU$3=$D107,AU$3=$AC107,AU$3=$AE107),"",IF(AU$3=$AD107,$F107&amp;"R",AU106))))</f>
        <v>wP</v>
      </c>
      <c r="AV107" s="11" t="str">
        <f aca="false">IF($P107=0,AV106,IF(AV$3=$E107,IF($AA107=1,$F107&amp;$AB107,$G107),IF(OR(AV$3=$D107,AV$3=$AC107,AV$3=$AE107),"",IF(AV$3=$AD107,$F107&amp;"R",AV106))))</f>
        <v>wP</v>
      </c>
      <c r="AW107" s="11" t="str">
        <f aca="false">IF($P107=0,AW106,IF(AW$3=$E107,IF($AA107=1,$F107&amp;$AB107,$G107),IF(OR(AW$3=$D107,AW$3=$AC107,AW$3=$AE107),"",IF(AW$3=$AD107,$F107&amp;"R",AW106))))</f>
        <v>wP</v>
      </c>
      <c r="AX107" s="11" t="str">
        <f aca="false">IF($P107=0,AX106,IF(AX$3=$E107,IF($AA107=1,$F107&amp;$AB107,$G107),IF(OR(AX$3=$D107,AX$3=$AC107,AX$3=$AE107),"",IF(AX$3=$AD107,$F107&amp;"R",AX106))))</f>
        <v/>
      </c>
      <c r="AY107" s="11" t="str">
        <f aca="false">IF($P107=0,AY106,IF(AY$3=$E107,IF($AA107=1,$F107&amp;$AB107,$G107),IF(OR(AY$3=$D107,AY$3=$AC107,AY$3=$AE107),"",IF(AY$3=$AD107,$F107&amp;"R",AY106))))</f>
        <v/>
      </c>
      <c r="AZ107" s="11" t="str">
        <f aca="false">IF($P107=0,AZ106,IF(AZ$3=$E107,IF($AA107=1,$F107&amp;$AB107,$G107),IF(OR(AZ$3=$D107,AZ$3=$AC107,AZ$3=$AE107),"",IF(AZ$3=$AD107,$F107&amp;"R",AZ106))))</f>
        <v/>
      </c>
      <c r="BA107" s="11" t="str">
        <f aca="false">IF($P107=0,BA106,IF(BA$3=$E107,IF($AA107=1,$F107&amp;$AB107,$G107),IF(OR(BA$3=$D107,BA$3=$AC107,BA$3=$AE107),"",IF(BA$3=$AD107,$F107&amp;"R",BA106))))</f>
        <v/>
      </c>
      <c r="BB107" s="11" t="str">
        <f aca="false">IF($P107=0,BB106,IF(BB$3=$E107,IF($AA107=1,$F107&amp;$AB107,$G107),IF(OR(BB$3=$D107,BB$3=$AC107,BB$3=$AE107),"",IF(BB$3=$AD107,$F107&amp;"R",BB106))))</f>
        <v/>
      </c>
      <c r="BC107" s="11" t="str">
        <f aca="false">IF($P107=0,BC106,IF(BC$3=$E107,IF($AA107=1,$F107&amp;$AB107,$G107),IF(OR(BC$3=$D107,BC$3=$AC107,BC$3=$AE107),"",IF(BC$3=$AD107,$F107&amp;"R",BC106))))</f>
        <v/>
      </c>
      <c r="BD107" s="11" t="str">
        <f aca="false">IF($P107=0,BD106,IF(BD$3=$E107,IF($AA107=1,$F107&amp;$AB107,$G107),IF(OR(BD$3=$D107,BD$3=$AC107,BD$3=$AE107),"",IF(BD$3=$AD107,$F107&amp;"R",BD106))))</f>
        <v/>
      </c>
      <c r="BE107" s="11" t="str">
        <f aca="false">IF($P107=0,BE106,IF(BE$3=$E107,IF($AA107=1,$F107&amp;$AB107,$G107),IF(OR(BE$3=$D107,BE$3=$AC107,BE$3=$AE107),"",IF(BE$3=$AD107,$F107&amp;"R",BE106))))</f>
        <v/>
      </c>
      <c r="BF107" s="11" t="str">
        <f aca="false">IF($P107=0,BF106,IF(BF$3=$E107,IF($AA107=1,$F107&amp;$AB107,$G107),IF(OR(BF$3=$D107,BF$3=$AC107,BF$3=$AE107),"",IF(BF$3=$AD107,$F107&amp;"R",BF106))))</f>
        <v/>
      </c>
      <c r="BG107" s="11" t="str">
        <f aca="false">IF($P107=0,BG106,IF(BG$3=$E107,IF($AA107=1,$F107&amp;$AB107,$G107),IF(OR(BG$3=$D107,BG$3=$AC107,BG$3=$AE107),"",IF(BG$3=$AD107,$F107&amp;"R",BG106))))</f>
        <v/>
      </c>
      <c r="BH107" s="11" t="str">
        <f aca="false">IF($P107=0,BH106,IF(BH$3=$E107,IF($AA107=1,$F107&amp;$AB107,$G107),IF(OR(BH$3=$D107,BH$3=$AC107,BH$3=$AE107),"",IF(BH$3=$AD107,$F107&amp;"R",BH106))))</f>
        <v/>
      </c>
      <c r="BI107" s="11" t="str">
        <f aca="false">IF($P107=0,BI106,IF(BI$3=$E107,IF($AA107=1,$F107&amp;$AB107,$G107),IF(OR(BI$3=$D107,BI$3=$AC107,BI$3=$AE107),"",IF(BI$3=$AD107,$F107&amp;"R",BI106))))</f>
        <v/>
      </c>
      <c r="BJ107" s="11" t="str">
        <f aca="false">IF($P107=0,BJ106,IF(BJ$3=$E107,IF($AA107=1,$F107&amp;$AB107,$G107),IF(OR(BJ$3=$D107,BJ$3=$AC107,BJ$3=$AE107),"",IF(BJ$3=$AD107,$F107&amp;"R",BJ106))))</f>
        <v/>
      </c>
      <c r="BK107" s="11" t="str">
        <f aca="false">IF($P107=0,BK106,IF(BK$3=$E107,IF($AA107=1,$F107&amp;$AB107,$G107),IF(OR(BK$3=$D107,BK$3=$AC107,BK$3=$AE107),"",IF(BK$3=$AD107,$F107&amp;"R",BK106))))</f>
        <v/>
      </c>
      <c r="BL107" s="11" t="str">
        <f aca="false">IF($P107=0,BL106,IF(BL$3=$E107,IF($AA107=1,$F107&amp;$AB107,$G107),IF(OR(BL$3=$D107,BL$3=$AC107,BL$3=$AE107),"",IF(BL$3=$AD107,$F107&amp;"R",BL106))))</f>
        <v/>
      </c>
      <c r="BM107" s="11" t="str">
        <f aca="false">IF($P107=0,BM106,IF(BM$3=$E107,IF($AA107=1,$F107&amp;$AB107,$G107),IF(OR(BM$3=$D107,BM$3=$AC107,BM$3=$AE107),"",IF(BM$3=$AD107,$F107&amp;"R",BM106))))</f>
        <v/>
      </c>
      <c r="BN107" s="11" t="str">
        <f aca="false">IF($P107=0,BN106,IF(BN$3=$E107,IF($AA107=1,$F107&amp;$AB107,$G107),IF(OR(BN$3=$D107,BN$3=$AC107,BN$3=$AE107),"",IF(BN$3=$AD107,$F107&amp;"R",BN106))))</f>
        <v/>
      </c>
      <c r="BO107" s="11" t="str">
        <f aca="false">IF($P107=0,BO106,IF(BO$3=$E107,IF($AA107=1,$F107&amp;$AB107,$G107),IF(OR(BO$3=$D107,BO$3=$AC107,BO$3=$AE107),"",IF(BO$3=$AD107,$F107&amp;"R",BO106))))</f>
        <v/>
      </c>
      <c r="BP107" s="11" t="str">
        <f aca="false">IF($P107=0,BP106,IF(BP$3=$E107,IF($AA107=1,$F107&amp;$AB107,$G107),IF(OR(BP$3=$D107,BP$3=$AC107,BP$3=$AE107),"",IF(BP$3=$AD107,$F107&amp;"R",BP106))))</f>
        <v/>
      </c>
      <c r="BQ107" s="11" t="str">
        <f aca="false">IF($P107=0,BQ106,IF(BQ$3=$E107,IF($AA107=1,$F107&amp;$AB107,$G107),IF(OR(BQ$3=$D107,BQ$3=$AC107,BQ$3=$AE107),"",IF(BQ$3=$AD107,$F107&amp;"R",BQ106))))</f>
        <v/>
      </c>
      <c r="BR107" s="11" t="str">
        <f aca="false">IF($P107=0,BR106,IF(BR$3=$E107,IF($AA107=1,$F107&amp;$AB107,$G107),IF(OR(BR$3=$D107,BR$3=$AC107,BR$3=$AE107),"",IF(BR$3=$AD107,$F107&amp;"R",BR106))))</f>
        <v/>
      </c>
      <c r="BS107" s="11" t="str">
        <f aca="false">IF($P107=0,BS106,IF(BS$3=$E107,IF($AA107=1,$F107&amp;$AB107,$G107),IF(OR(BS$3=$D107,BS$3=$AC107,BS$3=$AE107),"",IF(BS$3=$AD107,$F107&amp;"R",BS106))))</f>
        <v/>
      </c>
      <c r="BT107" s="11" t="str">
        <f aca="false">IF($P107=0,BT106,IF(BT$3=$E107,IF($AA107=1,$F107&amp;$AB107,$G107),IF(OR(BT$3=$D107,BT$3=$AC107,BT$3=$AE107),"",IF(BT$3=$AD107,$F107&amp;"R",BT106))))</f>
        <v/>
      </c>
      <c r="BU107" s="11" t="str">
        <f aca="false">IF($P107=0,BU106,IF(BU$3=$E107,IF($AA107=1,$F107&amp;$AB107,$G107),IF(OR(BU$3=$D107,BU$3=$AC107,BU$3=$AE107),"",IF(BU$3=$AD107,$F107&amp;"R",BU106))))</f>
        <v/>
      </c>
      <c r="BV107" s="11" t="str">
        <f aca="false">IF($P107=0,BV106,IF(BV$3=$E107,IF($AA107=1,$F107&amp;$AB107,$G107),IF(OR(BV$3=$D107,BV$3=$AC107,BV$3=$AE107),"",IF(BV$3=$AD107,$F107&amp;"R",BV106))))</f>
        <v/>
      </c>
      <c r="BW107" s="11" t="str">
        <f aca="false">IF($P107=0,BW106,IF(BW$3=$E107,IF($AA107=1,$F107&amp;$AB107,$G107),IF(OR(BW$3=$D107,BW$3=$AC107,BW$3=$AE107),"",IF(BW$3=$AD107,$F107&amp;"R",BW106))))</f>
        <v/>
      </c>
      <c r="BX107" s="11" t="str">
        <f aca="false">IF($P107=0,BX106,IF(BX$3=$E107,IF($AA107=1,$F107&amp;$AB107,$G107),IF(OR(BX$3=$D107,BX$3=$AC107,BX$3=$AE107),"",IF(BX$3=$AD107,$F107&amp;"R",BX106))))</f>
        <v/>
      </c>
      <c r="BY107" s="11" t="str">
        <f aca="false">IF($P107=0,BY106,IF(BY$3=$E107,IF($AA107=1,$F107&amp;$AB107,$G107),IF(OR(BY$3=$D107,BY$3=$AC107,BY$3=$AE107),"",IF(BY$3=$AD107,$F107&amp;"R",BY106))))</f>
        <v/>
      </c>
      <c r="BZ107" s="11" t="str">
        <f aca="false">IF($P107=0,BZ106,IF(BZ$3=$E107,IF($AA107=1,$F107&amp;$AB107,$G107),IF(OR(BZ$3=$D107,BZ$3=$AC107,BZ$3=$AE107),"",IF(BZ$3=$AD107,$F107&amp;"R",BZ106))))</f>
        <v/>
      </c>
      <c r="CA107" s="11" t="str">
        <f aca="false">IF($P107=0,CA106,IF(CA$3=$E107,IF($AA107=1,$F107&amp;$AB107,$G107),IF(OR(CA$3=$D107,CA$3=$AC107,CA$3=$AE107),"",IF(CA$3=$AD107,$F107&amp;"R",CA106))))</f>
        <v/>
      </c>
      <c r="CB107" s="11" t="str">
        <f aca="false">IF($P107=0,CB106,IF(CB$3=$E107,IF($AA107=1,$F107&amp;$AB107,$G107),IF(OR(CB$3=$D107,CB$3=$AC107,CB$3=$AE107),"",IF(CB$3=$AD107,$F107&amp;"R",CB106))))</f>
        <v/>
      </c>
      <c r="CC107" s="11" t="str">
        <f aca="false">IF($P107=0,CC106,IF(CC$3=$E107,IF($AA107=1,$F107&amp;$AB107,$G107),IF(OR(CC$3=$D107,CC$3=$AC107,CC$3=$AE107),"",IF(CC$3=$AD107,$F107&amp;"R",CC106))))</f>
        <v/>
      </c>
      <c r="CD107" s="11" t="str">
        <f aca="false">IF($P107=0,CD106,IF(CD$3=$E107,IF($AA107=1,$F107&amp;$AB107,$G107),IF(OR(CD$3=$D107,CD$3=$AC107,CD$3=$AE107),"",IF(CD$3=$AD107,$F107&amp;"R",CD106))))</f>
        <v>bP</v>
      </c>
      <c r="CE107" s="11" t="str">
        <f aca="false">IF($P107=0,CE106,IF(CE$3=$E107,IF($AA107=1,$F107&amp;$AB107,$G107),IF(OR(CE$3=$D107,CE$3=$AC107,CE$3=$AE107),"",IF(CE$3=$AD107,$F107&amp;"R",CE106))))</f>
        <v>bP</v>
      </c>
      <c r="CF107" s="11" t="str">
        <f aca="false">IF($P107=0,CF106,IF(CF$3=$E107,IF($AA107=1,$F107&amp;$AB107,$G107),IF(OR(CF$3=$D107,CF$3=$AC107,CF$3=$AE107),"",IF(CF$3=$AD107,$F107&amp;"R",CF106))))</f>
        <v>bP</v>
      </c>
      <c r="CG107" s="11" t="str">
        <f aca="false">IF($P107=0,CG106,IF(CG$3=$E107,IF($AA107=1,$F107&amp;$AB107,$G107),IF(OR(CG$3=$D107,CG$3=$AC107,CG$3=$AE107),"",IF(CG$3=$AD107,$F107&amp;"R",CG106))))</f>
        <v>bP</v>
      </c>
      <c r="CH107" s="11" t="str">
        <f aca="false">IF($P107=0,CH106,IF(CH$3=$E107,IF($AA107=1,$F107&amp;$AB107,$G107),IF(OR(CH$3=$D107,CH$3=$AC107,CH$3=$AE107),"",IF(CH$3=$AD107,$F107&amp;"R",CH106))))</f>
        <v>bP</v>
      </c>
      <c r="CI107" s="11" t="str">
        <f aca="false">IF($P107=0,CI106,IF(CI$3=$E107,IF($AA107=1,$F107&amp;$AB107,$G107),IF(OR(CI$3=$D107,CI$3=$AC107,CI$3=$AE107),"",IF(CI$3=$AD107,$F107&amp;"R",CI106))))</f>
        <v>bP</v>
      </c>
      <c r="CJ107" s="11" t="str">
        <f aca="false">IF($P107=0,CJ106,IF(CJ$3=$E107,IF($AA107=1,$F107&amp;$AB107,$G107),IF(OR(CJ$3=$D107,CJ$3=$AC107,CJ$3=$AE107),"",IF(CJ$3=$AD107,$F107&amp;"R",CJ106))))</f>
        <v>bP</v>
      </c>
      <c r="CK107" s="11" t="str">
        <f aca="false">IF($P107=0,CK106,IF(CK$3=$E107,IF($AA107=1,$F107&amp;$AB107,$G107),IF(OR(CK$3=$D107,CK$3=$AC107,CK$3=$AE107),"",IF(CK$3=$AD107,$F107&amp;"R",CK106))))</f>
        <v>bP</v>
      </c>
      <c r="CL107" s="11" t="str">
        <f aca="false">IF($P107=0,CL106,IF(CL$3=$E107,IF($AA107=1,$F107&amp;$AB107,$G107),IF(OR(CL$3=$D107,CL$3=$AC107,CL$3=$AE107),"",IF(CL$3=$AD107,$F107&amp;"R",CL106))))</f>
        <v>bR</v>
      </c>
      <c r="CM107" s="11" t="str">
        <f aca="false">IF($P107=0,CM106,IF(CM$3=$E107,IF($AA107=1,$F107&amp;$AB107,$G107),IF(OR(CM$3=$D107,CM$3=$AC107,CM$3=$AE107),"",IF(CM$3=$AD107,$F107&amp;"R",CM106))))</f>
        <v>bN</v>
      </c>
      <c r="CN107" s="11" t="str">
        <f aca="false">IF($P107=0,CN106,IF(CN$3=$E107,IF($AA107=1,$F107&amp;$AB107,$G107),IF(OR(CN$3=$D107,CN$3=$AC107,CN$3=$AE107),"",IF(CN$3=$AD107,$F107&amp;"R",CN106))))</f>
        <v>bB</v>
      </c>
      <c r="CO107" s="11" t="str">
        <f aca="false">IF($P107=0,CO106,IF(CO$3=$E107,IF($AA107=1,$F107&amp;$AB107,$G107),IF(OR(CO$3=$D107,CO$3=$AC107,CO$3=$AE107),"",IF(CO$3=$AD107,$F107&amp;"R",CO106))))</f>
        <v>bQ</v>
      </c>
      <c r="CP107" s="11" t="str">
        <f aca="false">IF($P107=0,CP106,IF(CP$3=$E107,IF($AA107=1,$F107&amp;$AB107,$G107),IF(OR(CP$3=$D107,CP$3=$AC107,CP$3=$AE107),"",IF(CP$3=$AD107,$F107&amp;"R",CP106))))</f>
        <v>bK</v>
      </c>
      <c r="CQ107" s="11" t="str">
        <f aca="false">IF($P107=0,CQ106,IF(CQ$3=$E107,IF($AA107=1,$F107&amp;$AB107,$G107),IF(OR(CQ$3=$D107,CQ$3=$AC107,CQ$3=$AE107),"",IF(CQ$3=$AD107,$F107&amp;"R",CQ106))))</f>
        <v>bB</v>
      </c>
      <c r="CR107" s="11" t="str">
        <f aca="false">IF($P107=0,CR106,IF(CR$3=$E107,IF($AA107=1,$F107&amp;$AB107,$G107),IF(OR(CR$3=$D107,CR$3=$AC107,CR$3=$AE107),"",IF(CR$3=$AD107,$F107&amp;"R",CR106))))</f>
        <v>bN</v>
      </c>
      <c r="CS107" s="11" t="str">
        <f aca="false">IF($P107=0,CS106,IF(CS$3=$E107,IF($AA107=1,$F107&amp;$AB107,$G107),IF(OR(CS$3=$D107,CS$3=$AC107,CS$3=$AE107),"",IF(CS$3=$AD107,$F107&amp;"R",CS106))))</f>
        <v>bR</v>
      </c>
      <c r="CT107" s="11"/>
      <c r="CU107" s="11"/>
      <c r="CV107" s="11"/>
    </row>
    <row r="108" customFormat="false" ht="15" hidden="false" customHeight="false" outlineLevel="0" collapsed="false">
      <c r="A108" s="11" t="n">
        <v>103</v>
      </c>
      <c r="B108" s="11" t="str">
        <f aca="false">IF(Chess!$L$112="","",Chess!$L$112&amp;"")</f>
        <v/>
      </c>
      <c r="C108" s="11" t="str">
        <f aca="false">LOWER(SUBSTITUTE(SUBSTITUTE(SUBSTITUTE(SUBSTITUTE(TRIM($B108),"-",""),"=","")," ",""),"x",""))</f>
        <v/>
      </c>
      <c r="D108" s="11" t="n">
        <f aca="false">IF(LEN($C108)&lt;4,0,IFERROR(IF(AND(CODE(MID($C108,1,1))&gt;=97,CODE(MID($C108,1,1))&lt;=104,VALUE(MID($C108,2,1))&gt;=1,VALUE(MID($C108,2,1))&lt;=8),(VALUE(MID($C108,2,1))-1)*8+CODE(MID($C108,1,1))-96,0),0))</f>
        <v>0</v>
      </c>
      <c r="E108" s="11" t="n">
        <f aca="false">IF(LEN($C108)&lt;4,0,IFERROR(IF(AND(CODE(MID($C108,3,1))&gt;=97,CODE(MID($C108,3,1))&lt;=104,VALUE(MID($C108,4,1))&gt;=1,VALUE(MID($C108,4,1))&lt;=8),(VALUE(MID($C108,4,1))-1)*8+CODE(MID($C108,3,1))-96,0),0))</f>
        <v>0</v>
      </c>
      <c r="F108" s="11" t="str">
        <f aca="false">IF(MOD(SUM($P$5:$P107),2)=0,"w","b")</f>
        <v>w</v>
      </c>
      <c r="G108" s="11" t="str">
        <f aca="false">IF($D108=0,"",INDEX($AH107:$CS107,1,$D108)&amp;"")</f>
        <v/>
      </c>
      <c r="H108" s="11" t="str">
        <f aca="false">IF($E108=0,"",INDEX($AH107:$CS107,1,$E108)&amp;"")</f>
        <v/>
      </c>
      <c r="I108" s="11" t="n">
        <f aca="false">IF(OR($D108=0,$E108=0),0,MOD($E108-1,8)-MOD($D108-1,8))</f>
        <v>0</v>
      </c>
      <c r="J108" s="11" t="n">
        <f aca="false">IF(OR($D108=0,$E108=0),0,INT(($E108-1)/8)-INT(($D108-1)/8))</f>
        <v>0</v>
      </c>
      <c r="K108" s="11" t="str">
        <f aca="false">IF($G108="","",RIGHT($G108,1))</f>
        <v/>
      </c>
      <c r="L108" s="11" t="n">
        <f aca="false">IF(OR($D108=0,$E108=0),0,SUMPRODUCT(($AH$3:$CS$3&gt;MIN($D108,$E108))*($AH$3:$CS$3&lt;MAX($D108,$E108))*(MOD($AH$3:$CS$3-MIN($D108,$E108),MAX(1,ABS(SIGN($J108)*8+SIGN($I108))))=0)*($AH107:$CS107&lt;&gt;"")))</f>
        <v>0</v>
      </c>
      <c r="M108" s="11" t="n">
        <f aca="false">IF($K108&lt;&gt;"K",0,IFERROR(--AND($J108=0,ABS($I108)=2,$D108=IF($F108="w",5,61),IF($F108="w",$S107,$V107)=0,IF($I108=2,AND(IF($F108="w",$U107,$X107)=0,INDEX($AH107:$CS107,1,$D108+1)&amp;""="",INDEX($AH107:$CS107,1,$D108+2)&amp;""=""),AND(IF($F108="w",$T107,$W107)=0,INDEX($AH107:$CS107,1,$D108-1)&amp;""="",INDEX($AH107:$CS107,1,$D108-2)&amp;""="",INDEX($AH107:$CS107,1,$D108-3)&amp;""=""))),0))</f>
        <v>0</v>
      </c>
      <c r="N108" s="11" t="n">
        <f aca="false">IF($K108&lt;&gt;"P",0,IFERROR(--OR(AND($I108=0,$J108=IF($F108="w",1,-1),$H108=""),AND($I108=0,$J108=2*IF($F108="w",1,-1),$H108="",INT(($D108-1)/8)=IF($F108="w",1,6),INDEX($AH107:$CS107,1,MAX(1,MIN(64,$D108+8*IF($F108="w",1,-1))))&amp;""=""),AND(ABS($I108)=1,$J108=IF($F108="w",1,-1),$H108&lt;&gt;""),AND(ABS($I108)=1,$J108=IF($F108="w",1,-1),$H108="",$R107&gt;0,$E108=$R107)),0))</f>
        <v>0</v>
      </c>
      <c r="O108" s="11" t="n">
        <f aca="false">IF(OR($D108=0,$E108=0,$G108=""),0,IF($K108="N",--OR(AND(ABS($I108)=1,ABS($J108)=2),AND(ABS($I108)=2,ABS($J108)=1)),IF($K108="B",--AND(ABS($I108)=ABS($J108),$I108&lt;&gt;0,$L108=0),IF($K108="R",--AND(OR($I108=0,$J108=0),OR($I108&lt;&gt;0,$J108&lt;&gt;0),$L108=0),IF($K108="Q",--AND(OR(AND(ABS($I108)=ABS($J108),$I108&lt;&gt;0),AND(OR($I108=0,$J108=0),OR($I108&lt;&gt;0,$J108&lt;&gt;0))),$L108=0),IF($K108="K",--OR(MAX(ABS($I108),ABS($J108))=1,$M108=1),$N108))))))</f>
        <v>0</v>
      </c>
      <c r="P108" s="11" t="n">
        <f aca="false">IF($Q108="OK",1,0)</f>
        <v>0</v>
      </c>
      <c r="Q108" s="11" t="str">
        <f aca="false">IF($B108="","",IF(OR(COUNTIF($AH107:$CS107,"wK")=0,COUNTIF($AH107:$CS107,"bK")=0),"Game is over",IF(OR($D108=0,$E108=0),"Use the format e2e4",IF($G108="","No piece on that square",IF(LEFT($G108,1)&lt;&gt;$F108,"Not your piece ("&amp;IF($F108="w","White","Black")&amp;" to move)",IF($D108=$E108,"Piece must move",IF(AND($H108&lt;&gt;"",LEFT($H108,1)=$F108),"Cannot capture your own piece",IF($O108=0,"Illegal move for that piece (or path blocked)","OK"))))))))</f>
        <v/>
      </c>
      <c r="R108" s="11" t="n">
        <f aca="false">IF($P108=1,IF(AND($K108="P",ABS($J108)=2),($D108+$E108)/2,0),$R107)</f>
        <v>0</v>
      </c>
      <c r="S108" s="12" t="b">
        <f aca="false">--OR($S107=1,AND($P108=1,OR($D108=5,$E108=5)))</f>
        <v>0</v>
      </c>
      <c r="T108" s="12" t="b">
        <f aca="false">--OR($T107=1,AND($P108=1,OR($D108=1,$E108=1)))</f>
        <v>0</v>
      </c>
      <c r="U108" s="12" t="b">
        <f aca="false">--OR($U107=1,AND($P108=1,OR($D108=8,$E108=8)))</f>
        <v>0</v>
      </c>
      <c r="V108" s="12" t="b">
        <f aca="false">--OR($V107=1,AND($P108=1,OR($D108=61,$E108=61)))</f>
        <v>0</v>
      </c>
      <c r="W108" s="12" t="b">
        <f aca="false">--OR($W107=1,AND($P108=1,OR($D108=57,$E108=57)))</f>
        <v>0</v>
      </c>
      <c r="X108" s="12" t="b">
        <f aca="false">--OR($X107=1,AND($P108=1,OR($D108=64,$E108=64)))</f>
        <v>0</v>
      </c>
      <c r="Y108" s="12" t="b">
        <f aca="false">--AND($P108=1,$K108="K",ABS($I108)=2)</f>
        <v>0</v>
      </c>
      <c r="Z108" s="12" t="b">
        <f aca="false">--AND($P108=1,$K108="P",ABS($I108)=1,$H108="")</f>
        <v>0</v>
      </c>
      <c r="AA108" s="12" t="b">
        <f aca="false">--AND($P108=1,$K108="P",INT(($E108-1)/8)=IF($F108="w",7,0))</f>
        <v>0</v>
      </c>
      <c r="AB108" s="11" t="str">
        <f aca="false">IF(LEN($C108)&gt;=5,IF(ISNUMBER(FIND(MID($C108,5,1),"qrbn")),UPPER(MID($C108,5,1)),"Q"),"Q")</f>
        <v>Q</v>
      </c>
      <c r="AC108" s="11" t="n">
        <f aca="false">IF($Y108=1,IF($I108=2,$D108+3,$D108-4),0)</f>
        <v>0</v>
      </c>
      <c r="AD108" s="11" t="n">
        <f aca="false">IF($Y108=1,IF($I108=2,$D108+1,$D108-1),0)</f>
        <v>0</v>
      </c>
      <c r="AE108" s="11" t="n">
        <f aca="false">IF($Z108=1,$E108-8*IF($F108="w",1,-1),0)</f>
        <v>0</v>
      </c>
      <c r="AF108" s="11" t="str">
        <f aca="false">IF($B108="","",IF($P108=1,LOWER(INDEX($CV$2:$CV$13,MATCH($G108,$CU$2:$CU$13,0)))&amp;" "&amp;MID("abcdefgh",MOD($D108-1,8)+1,1)&amp;(INT(($D108-1)/8)+1)&amp;"→"&amp;MID("abcdefgh",MOD($E108-1,8)+1,1)&amp;(INT(($E108-1)/8)+1)&amp;IF(OR($H108&lt;&gt;"",$Z108=1)," ×","")&amp;IF($Y108=1," castles","")&amp;IF($Z108=1," e.p.","")&amp;IF($AA108=1," =" &amp;LOWER(INDEX($CV$2:$CV$13,MATCH($F108&amp;$AB108,$CU$2:$CU$13,0))),""),"X "&amp;$Q108))</f>
        <v/>
      </c>
      <c r="AG108" s="11"/>
      <c r="AH108" s="11" t="str">
        <f aca="false">IF($P108=0,AH107,IF(AH$3=$E108,IF($AA108=1,$F108&amp;$AB108,$G108),IF(OR(AH$3=$D108,AH$3=$AC108,AH$3=$AE108),"",IF(AH$3=$AD108,$F108&amp;"R",AH107))))</f>
        <v>wR</v>
      </c>
      <c r="AI108" s="11" t="str">
        <f aca="false">IF($P108=0,AI107,IF(AI$3=$E108,IF($AA108=1,$F108&amp;$AB108,$G108),IF(OR(AI$3=$D108,AI$3=$AC108,AI$3=$AE108),"",IF(AI$3=$AD108,$F108&amp;"R",AI107))))</f>
        <v>wN</v>
      </c>
      <c r="AJ108" s="11" t="str">
        <f aca="false">IF($P108=0,AJ107,IF(AJ$3=$E108,IF($AA108=1,$F108&amp;$AB108,$G108),IF(OR(AJ$3=$D108,AJ$3=$AC108,AJ$3=$AE108),"",IF(AJ$3=$AD108,$F108&amp;"R",AJ107))))</f>
        <v>wB</v>
      </c>
      <c r="AK108" s="11" t="str">
        <f aca="false">IF($P108=0,AK107,IF(AK$3=$E108,IF($AA108=1,$F108&amp;$AB108,$G108),IF(OR(AK$3=$D108,AK$3=$AC108,AK$3=$AE108),"",IF(AK$3=$AD108,$F108&amp;"R",AK107))))</f>
        <v>wQ</v>
      </c>
      <c r="AL108" s="11" t="str">
        <f aca="false">IF($P108=0,AL107,IF(AL$3=$E108,IF($AA108=1,$F108&amp;$AB108,$G108),IF(OR(AL$3=$D108,AL$3=$AC108,AL$3=$AE108),"",IF(AL$3=$AD108,$F108&amp;"R",AL107))))</f>
        <v>wK</v>
      </c>
      <c r="AM108" s="11" t="str">
        <f aca="false">IF($P108=0,AM107,IF(AM$3=$E108,IF($AA108=1,$F108&amp;$AB108,$G108),IF(OR(AM$3=$D108,AM$3=$AC108,AM$3=$AE108),"",IF(AM$3=$AD108,$F108&amp;"R",AM107))))</f>
        <v>wB</v>
      </c>
      <c r="AN108" s="11" t="str">
        <f aca="false">IF($P108=0,AN107,IF(AN$3=$E108,IF($AA108=1,$F108&amp;$AB108,$G108),IF(OR(AN$3=$D108,AN$3=$AC108,AN$3=$AE108),"",IF(AN$3=$AD108,$F108&amp;"R",AN107))))</f>
        <v>wN</v>
      </c>
      <c r="AO108" s="11" t="str">
        <f aca="false">IF($P108=0,AO107,IF(AO$3=$E108,IF($AA108=1,$F108&amp;$AB108,$G108),IF(OR(AO$3=$D108,AO$3=$AC108,AO$3=$AE108),"",IF(AO$3=$AD108,$F108&amp;"R",AO107))))</f>
        <v>wR</v>
      </c>
      <c r="AP108" s="11" t="str">
        <f aca="false">IF($P108=0,AP107,IF(AP$3=$E108,IF($AA108=1,$F108&amp;$AB108,$G108),IF(OR(AP$3=$D108,AP$3=$AC108,AP$3=$AE108),"",IF(AP$3=$AD108,$F108&amp;"R",AP107))))</f>
        <v>wP</v>
      </c>
      <c r="AQ108" s="11" t="str">
        <f aca="false">IF($P108=0,AQ107,IF(AQ$3=$E108,IF($AA108=1,$F108&amp;$AB108,$G108),IF(OR(AQ$3=$D108,AQ$3=$AC108,AQ$3=$AE108),"",IF(AQ$3=$AD108,$F108&amp;"R",AQ107))))</f>
        <v>wP</v>
      </c>
      <c r="AR108" s="11" t="str">
        <f aca="false">IF($P108=0,AR107,IF(AR$3=$E108,IF($AA108=1,$F108&amp;$AB108,$G108),IF(OR(AR$3=$D108,AR$3=$AC108,AR$3=$AE108),"",IF(AR$3=$AD108,$F108&amp;"R",AR107))))</f>
        <v>wP</v>
      </c>
      <c r="AS108" s="11" t="str">
        <f aca="false">IF($P108=0,AS107,IF(AS$3=$E108,IF($AA108=1,$F108&amp;$AB108,$G108),IF(OR(AS$3=$D108,AS$3=$AC108,AS$3=$AE108),"",IF(AS$3=$AD108,$F108&amp;"R",AS107))))</f>
        <v>wP</v>
      </c>
      <c r="AT108" s="11" t="str">
        <f aca="false">IF($P108=0,AT107,IF(AT$3=$E108,IF($AA108=1,$F108&amp;$AB108,$G108),IF(OR(AT$3=$D108,AT$3=$AC108,AT$3=$AE108),"",IF(AT$3=$AD108,$F108&amp;"R",AT107))))</f>
        <v>wP</v>
      </c>
      <c r="AU108" s="11" t="str">
        <f aca="false">IF($P108=0,AU107,IF(AU$3=$E108,IF($AA108=1,$F108&amp;$AB108,$G108),IF(OR(AU$3=$D108,AU$3=$AC108,AU$3=$AE108),"",IF(AU$3=$AD108,$F108&amp;"R",AU107))))</f>
        <v>wP</v>
      </c>
      <c r="AV108" s="11" t="str">
        <f aca="false">IF($P108=0,AV107,IF(AV$3=$E108,IF($AA108=1,$F108&amp;$AB108,$G108),IF(OR(AV$3=$D108,AV$3=$AC108,AV$3=$AE108),"",IF(AV$3=$AD108,$F108&amp;"R",AV107))))</f>
        <v>wP</v>
      </c>
      <c r="AW108" s="11" t="str">
        <f aca="false">IF($P108=0,AW107,IF(AW$3=$E108,IF($AA108=1,$F108&amp;$AB108,$G108),IF(OR(AW$3=$D108,AW$3=$AC108,AW$3=$AE108),"",IF(AW$3=$AD108,$F108&amp;"R",AW107))))</f>
        <v>wP</v>
      </c>
      <c r="AX108" s="11" t="str">
        <f aca="false">IF($P108=0,AX107,IF(AX$3=$E108,IF($AA108=1,$F108&amp;$AB108,$G108),IF(OR(AX$3=$D108,AX$3=$AC108,AX$3=$AE108),"",IF(AX$3=$AD108,$F108&amp;"R",AX107))))</f>
        <v/>
      </c>
      <c r="AY108" s="11" t="str">
        <f aca="false">IF($P108=0,AY107,IF(AY$3=$E108,IF($AA108=1,$F108&amp;$AB108,$G108),IF(OR(AY$3=$D108,AY$3=$AC108,AY$3=$AE108),"",IF(AY$3=$AD108,$F108&amp;"R",AY107))))</f>
        <v/>
      </c>
      <c r="AZ108" s="11" t="str">
        <f aca="false">IF($P108=0,AZ107,IF(AZ$3=$E108,IF($AA108=1,$F108&amp;$AB108,$G108),IF(OR(AZ$3=$D108,AZ$3=$AC108,AZ$3=$AE108),"",IF(AZ$3=$AD108,$F108&amp;"R",AZ107))))</f>
        <v/>
      </c>
      <c r="BA108" s="11" t="str">
        <f aca="false">IF($P108=0,BA107,IF(BA$3=$E108,IF($AA108=1,$F108&amp;$AB108,$G108),IF(OR(BA$3=$D108,BA$3=$AC108,BA$3=$AE108),"",IF(BA$3=$AD108,$F108&amp;"R",BA107))))</f>
        <v/>
      </c>
      <c r="BB108" s="11" t="str">
        <f aca="false">IF($P108=0,BB107,IF(BB$3=$E108,IF($AA108=1,$F108&amp;$AB108,$G108),IF(OR(BB$3=$D108,BB$3=$AC108,BB$3=$AE108),"",IF(BB$3=$AD108,$F108&amp;"R",BB107))))</f>
        <v/>
      </c>
      <c r="BC108" s="11" t="str">
        <f aca="false">IF($P108=0,BC107,IF(BC$3=$E108,IF($AA108=1,$F108&amp;$AB108,$G108),IF(OR(BC$3=$D108,BC$3=$AC108,BC$3=$AE108),"",IF(BC$3=$AD108,$F108&amp;"R",BC107))))</f>
        <v/>
      </c>
      <c r="BD108" s="11" t="str">
        <f aca="false">IF($P108=0,BD107,IF(BD$3=$E108,IF($AA108=1,$F108&amp;$AB108,$G108),IF(OR(BD$3=$D108,BD$3=$AC108,BD$3=$AE108),"",IF(BD$3=$AD108,$F108&amp;"R",BD107))))</f>
        <v/>
      </c>
      <c r="BE108" s="11" t="str">
        <f aca="false">IF($P108=0,BE107,IF(BE$3=$E108,IF($AA108=1,$F108&amp;$AB108,$G108),IF(OR(BE$3=$D108,BE$3=$AC108,BE$3=$AE108),"",IF(BE$3=$AD108,$F108&amp;"R",BE107))))</f>
        <v/>
      </c>
      <c r="BF108" s="11" t="str">
        <f aca="false">IF($P108=0,BF107,IF(BF$3=$E108,IF($AA108=1,$F108&amp;$AB108,$G108),IF(OR(BF$3=$D108,BF$3=$AC108,BF$3=$AE108),"",IF(BF$3=$AD108,$F108&amp;"R",BF107))))</f>
        <v/>
      </c>
      <c r="BG108" s="11" t="str">
        <f aca="false">IF($P108=0,BG107,IF(BG$3=$E108,IF($AA108=1,$F108&amp;$AB108,$G108),IF(OR(BG$3=$D108,BG$3=$AC108,BG$3=$AE108),"",IF(BG$3=$AD108,$F108&amp;"R",BG107))))</f>
        <v/>
      </c>
      <c r="BH108" s="11" t="str">
        <f aca="false">IF($P108=0,BH107,IF(BH$3=$E108,IF($AA108=1,$F108&amp;$AB108,$G108),IF(OR(BH$3=$D108,BH$3=$AC108,BH$3=$AE108),"",IF(BH$3=$AD108,$F108&amp;"R",BH107))))</f>
        <v/>
      </c>
      <c r="BI108" s="11" t="str">
        <f aca="false">IF($P108=0,BI107,IF(BI$3=$E108,IF($AA108=1,$F108&amp;$AB108,$G108),IF(OR(BI$3=$D108,BI$3=$AC108,BI$3=$AE108),"",IF(BI$3=$AD108,$F108&amp;"R",BI107))))</f>
        <v/>
      </c>
      <c r="BJ108" s="11" t="str">
        <f aca="false">IF($P108=0,BJ107,IF(BJ$3=$E108,IF($AA108=1,$F108&amp;$AB108,$G108),IF(OR(BJ$3=$D108,BJ$3=$AC108,BJ$3=$AE108),"",IF(BJ$3=$AD108,$F108&amp;"R",BJ107))))</f>
        <v/>
      </c>
      <c r="BK108" s="11" t="str">
        <f aca="false">IF($P108=0,BK107,IF(BK$3=$E108,IF($AA108=1,$F108&amp;$AB108,$G108),IF(OR(BK$3=$D108,BK$3=$AC108,BK$3=$AE108),"",IF(BK$3=$AD108,$F108&amp;"R",BK107))))</f>
        <v/>
      </c>
      <c r="BL108" s="11" t="str">
        <f aca="false">IF($P108=0,BL107,IF(BL$3=$E108,IF($AA108=1,$F108&amp;$AB108,$G108),IF(OR(BL$3=$D108,BL$3=$AC108,BL$3=$AE108),"",IF(BL$3=$AD108,$F108&amp;"R",BL107))))</f>
        <v/>
      </c>
      <c r="BM108" s="11" t="str">
        <f aca="false">IF($P108=0,BM107,IF(BM$3=$E108,IF($AA108=1,$F108&amp;$AB108,$G108),IF(OR(BM$3=$D108,BM$3=$AC108,BM$3=$AE108),"",IF(BM$3=$AD108,$F108&amp;"R",BM107))))</f>
        <v/>
      </c>
      <c r="BN108" s="11" t="str">
        <f aca="false">IF($P108=0,BN107,IF(BN$3=$E108,IF($AA108=1,$F108&amp;$AB108,$G108),IF(OR(BN$3=$D108,BN$3=$AC108,BN$3=$AE108),"",IF(BN$3=$AD108,$F108&amp;"R",BN107))))</f>
        <v/>
      </c>
      <c r="BO108" s="11" t="str">
        <f aca="false">IF($P108=0,BO107,IF(BO$3=$E108,IF($AA108=1,$F108&amp;$AB108,$G108),IF(OR(BO$3=$D108,BO$3=$AC108,BO$3=$AE108),"",IF(BO$3=$AD108,$F108&amp;"R",BO107))))</f>
        <v/>
      </c>
      <c r="BP108" s="11" t="str">
        <f aca="false">IF($P108=0,BP107,IF(BP$3=$E108,IF($AA108=1,$F108&amp;$AB108,$G108),IF(OR(BP$3=$D108,BP$3=$AC108,BP$3=$AE108),"",IF(BP$3=$AD108,$F108&amp;"R",BP107))))</f>
        <v/>
      </c>
      <c r="BQ108" s="11" t="str">
        <f aca="false">IF($P108=0,BQ107,IF(BQ$3=$E108,IF($AA108=1,$F108&amp;$AB108,$G108),IF(OR(BQ$3=$D108,BQ$3=$AC108,BQ$3=$AE108),"",IF(BQ$3=$AD108,$F108&amp;"R",BQ107))))</f>
        <v/>
      </c>
      <c r="BR108" s="11" t="str">
        <f aca="false">IF($P108=0,BR107,IF(BR$3=$E108,IF($AA108=1,$F108&amp;$AB108,$G108),IF(OR(BR$3=$D108,BR$3=$AC108,BR$3=$AE108),"",IF(BR$3=$AD108,$F108&amp;"R",BR107))))</f>
        <v/>
      </c>
      <c r="BS108" s="11" t="str">
        <f aca="false">IF($P108=0,BS107,IF(BS$3=$E108,IF($AA108=1,$F108&amp;$AB108,$G108),IF(OR(BS$3=$D108,BS$3=$AC108,BS$3=$AE108),"",IF(BS$3=$AD108,$F108&amp;"R",BS107))))</f>
        <v/>
      </c>
      <c r="BT108" s="11" t="str">
        <f aca="false">IF($P108=0,BT107,IF(BT$3=$E108,IF($AA108=1,$F108&amp;$AB108,$G108),IF(OR(BT$3=$D108,BT$3=$AC108,BT$3=$AE108),"",IF(BT$3=$AD108,$F108&amp;"R",BT107))))</f>
        <v/>
      </c>
      <c r="BU108" s="11" t="str">
        <f aca="false">IF($P108=0,BU107,IF(BU$3=$E108,IF($AA108=1,$F108&amp;$AB108,$G108),IF(OR(BU$3=$D108,BU$3=$AC108,BU$3=$AE108),"",IF(BU$3=$AD108,$F108&amp;"R",BU107))))</f>
        <v/>
      </c>
      <c r="BV108" s="11" t="str">
        <f aca="false">IF($P108=0,BV107,IF(BV$3=$E108,IF($AA108=1,$F108&amp;$AB108,$G108),IF(OR(BV$3=$D108,BV$3=$AC108,BV$3=$AE108),"",IF(BV$3=$AD108,$F108&amp;"R",BV107))))</f>
        <v/>
      </c>
      <c r="BW108" s="11" t="str">
        <f aca="false">IF($P108=0,BW107,IF(BW$3=$E108,IF($AA108=1,$F108&amp;$AB108,$G108),IF(OR(BW$3=$D108,BW$3=$AC108,BW$3=$AE108),"",IF(BW$3=$AD108,$F108&amp;"R",BW107))))</f>
        <v/>
      </c>
      <c r="BX108" s="11" t="str">
        <f aca="false">IF($P108=0,BX107,IF(BX$3=$E108,IF($AA108=1,$F108&amp;$AB108,$G108),IF(OR(BX$3=$D108,BX$3=$AC108,BX$3=$AE108),"",IF(BX$3=$AD108,$F108&amp;"R",BX107))))</f>
        <v/>
      </c>
      <c r="BY108" s="11" t="str">
        <f aca="false">IF($P108=0,BY107,IF(BY$3=$E108,IF($AA108=1,$F108&amp;$AB108,$G108),IF(OR(BY$3=$D108,BY$3=$AC108,BY$3=$AE108),"",IF(BY$3=$AD108,$F108&amp;"R",BY107))))</f>
        <v/>
      </c>
      <c r="BZ108" s="11" t="str">
        <f aca="false">IF($P108=0,BZ107,IF(BZ$3=$E108,IF($AA108=1,$F108&amp;$AB108,$G108),IF(OR(BZ$3=$D108,BZ$3=$AC108,BZ$3=$AE108),"",IF(BZ$3=$AD108,$F108&amp;"R",BZ107))))</f>
        <v/>
      </c>
      <c r="CA108" s="11" t="str">
        <f aca="false">IF($P108=0,CA107,IF(CA$3=$E108,IF($AA108=1,$F108&amp;$AB108,$G108),IF(OR(CA$3=$D108,CA$3=$AC108,CA$3=$AE108),"",IF(CA$3=$AD108,$F108&amp;"R",CA107))))</f>
        <v/>
      </c>
      <c r="CB108" s="11" t="str">
        <f aca="false">IF($P108=0,CB107,IF(CB$3=$E108,IF($AA108=1,$F108&amp;$AB108,$G108),IF(OR(CB$3=$D108,CB$3=$AC108,CB$3=$AE108),"",IF(CB$3=$AD108,$F108&amp;"R",CB107))))</f>
        <v/>
      </c>
      <c r="CC108" s="11" t="str">
        <f aca="false">IF($P108=0,CC107,IF(CC$3=$E108,IF($AA108=1,$F108&amp;$AB108,$G108),IF(OR(CC$3=$D108,CC$3=$AC108,CC$3=$AE108),"",IF(CC$3=$AD108,$F108&amp;"R",CC107))))</f>
        <v/>
      </c>
      <c r="CD108" s="11" t="str">
        <f aca="false">IF($P108=0,CD107,IF(CD$3=$E108,IF($AA108=1,$F108&amp;$AB108,$G108),IF(OR(CD$3=$D108,CD$3=$AC108,CD$3=$AE108),"",IF(CD$3=$AD108,$F108&amp;"R",CD107))))</f>
        <v>bP</v>
      </c>
      <c r="CE108" s="11" t="str">
        <f aca="false">IF($P108=0,CE107,IF(CE$3=$E108,IF($AA108=1,$F108&amp;$AB108,$G108),IF(OR(CE$3=$D108,CE$3=$AC108,CE$3=$AE108),"",IF(CE$3=$AD108,$F108&amp;"R",CE107))))</f>
        <v>bP</v>
      </c>
      <c r="CF108" s="11" t="str">
        <f aca="false">IF($P108=0,CF107,IF(CF$3=$E108,IF($AA108=1,$F108&amp;$AB108,$G108),IF(OR(CF$3=$D108,CF$3=$AC108,CF$3=$AE108),"",IF(CF$3=$AD108,$F108&amp;"R",CF107))))</f>
        <v>bP</v>
      </c>
      <c r="CG108" s="11" t="str">
        <f aca="false">IF($P108=0,CG107,IF(CG$3=$E108,IF($AA108=1,$F108&amp;$AB108,$G108),IF(OR(CG$3=$D108,CG$3=$AC108,CG$3=$AE108),"",IF(CG$3=$AD108,$F108&amp;"R",CG107))))</f>
        <v>bP</v>
      </c>
      <c r="CH108" s="11" t="str">
        <f aca="false">IF($P108=0,CH107,IF(CH$3=$E108,IF($AA108=1,$F108&amp;$AB108,$G108),IF(OR(CH$3=$D108,CH$3=$AC108,CH$3=$AE108),"",IF(CH$3=$AD108,$F108&amp;"R",CH107))))</f>
        <v>bP</v>
      </c>
      <c r="CI108" s="11" t="str">
        <f aca="false">IF($P108=0,CI107,IF(CI$3=$E108,IF($AA108=1,$F108&amp;$AB108,$G108),IF(OR(CI$3=$D108,CI$3=$AC108,CI$3=$AE108),"",IF(CI$3=$AD108,$F108&amp;"R",CI107))))</f>
        <v>bP</v>
      </c>
      <c r="CJ108" s="11" t="str">
        <f aca="false">IF($P108=0,CJ107,IF(CJ$3=$E108,IF($AA108=1,$F108&amp;$AB108,$G108),IF(OR(CJ$3=$D108,CJ$3=$AC108,CJ$3=$AE108),"",IF(CJ$3=$AD108,$F108&amp;"R",CJ107))))</f>
        <v>bP</v>
      </c>
      <c r="CK108" s="11" t="str">
        <f aca="false">IF($P108=0,CK107,IF(CK$3=$E108,IF($AA108=1,$F108&amp;$AB108,$G108),IF(OR(CK$3=$D108,CK$3=$AC108,CK$3=$AE108),"",IF(CK$3=$AD108,$F108&amp;"R",CK107))))</f>
        <v>bP</v>
      </c>
      <c r="CL108" s="11" t="str">
        <f aca="false">IF($P108=0,CL107,IF(CL$3=$E108,IF($AA108=1,$F108&amp;$AB108,$G108),IF(OR(CL$3=$D108,CL$3=$AC108,CL$3=$AE108),"",IF(CL$3=$AD108,$F108&amp;"R",CL107))))</f>
        <v>bR</v>
      </c>
      <c r="CM108" s="11" t="str">
        <f aca="false">IF($P108=0,CM107,IF(CM$3=$E108,IF($AA108=1,$F108&amp;$AB108,$G108),IF(OR(CM$3=$D108,CM$3=$AC108,CM$3=$AE108),"",IF(CM$3=$AD108,$F108&amp;"R",CM107))))</f>
        <v>bN</v>
      </c>
      <c r="CN108" s="11" t="str">
        <f aca="false">IF($P108=0,CN107,IF(CN$3=$E108,IF($AA108=1,$F108&amp;$AB108,$G108),IF(OR(CN$3=$D108,CN$3=$AC108,CN$3=$AE108),"",IF(CN$3=$AD108,$F108&amp;"R",CN107))))</f>
        <v>bB</v>
      </c>
      <c r="CO108" s="11" t="str">
        <f aca="false">IF($P108=0,CO107,IF(CO$3=$E108,IF($AA108=1,$F108&amp;$AB108,$G108),IF(OR(CO$3=$D108,CO$3=$AC108,CO$3=$AE108),"",IF(CO$3=$AD108,$F108&amp;"R",CO107))))</f>
        <v>bQ</v>
      </c>
      <c r="CP108" s="11" t="str">
        <f aca="false">IF($P108=0,CP107,IF(CP$3=$E108,IF($AA108=1,$F108&amp;$AB108,$G108),IF(OR(CP$3=$D108,CP$3=$AC108,CP$3=$AE108),"",IF(CP$3=$AD108,$F108&amp;"R",CP107))))</f>
        <v>bK</v>
      </c>
      <c r="CQ108" s="11" t="str">
        <f aca="false">IF($P108=0,CQ107,IF(CQ$3=$E108,IF($AA108=1,$F108&amp;$AB108,$G108),IF(OR(CQ$3=$D108,CQ$3=$AC108,CQ$3=$AE108),"",IF(CQ$3=$AD108,$F108&amp;"R",CQ107))))</f>
        <v>bB</v>
      </c>
      <c r="CR108" s="11" t="str">
        <f aca="false">IF($P108=0,CR107,IF(CR$3=$E108,IF($AA108=1,$F108&amp;$AB108,$G108),IF(OR(CR$3=$D108,CR$3=$AC108,CR$3=$AE108),"",IF(CR$3=$AD108,$F108&amp;"R",CR107))))</f>
        <v>bN</v>
      </c>
      <c r="CS108" s="11" t="str">
        <f aca="false">IF($P108=0,CS107,IF(CS$3=$E108,IF($AA108=1,$F108&amp;$AB108,$G108),IF(OR(CS$3=$D108,CS$3=$AC108,CS$3=$AE108),"",IF(CS$3=$AD108,$F108&amp;"R",CS107))))</f>
        <v>bR</v>
      </c>
      <c r="CT108" s="11"/>
      <c r="CU108" s="11"/>
      <c r="CV108" s="11"/>
    </row>
    <row r="109" customFormat="false" ht="15" hidden="false" customHeight="false" outlineLevel="0" collapsed="false">
      <c r="A109" s="11" t="n">
        <v>104</v>
      </c>
      <c r="B109" s="11" t="str">
        <f aca="false">IF(Chess!$L$113="","",Chess!$L$113&amp;"")</f>
        <v/>
      </c>
      <c r="C109" s="11" t="str">
        <f aca="false">LOWER(SUBSTITUTE(SUBSTITUTE(SUBSTITUTE(SUBSTITUTE(TRIM($B109),"-",""),"=","")," ",""),"x",""))</f>
        <v/>
      </c>
      <c r="D109" s="11" t="n">
        <f aca="false">IF(LEN($C109)&lt;4,0,IFERROR(IF(AND(CODE(MID($C109,1,1))&gt;=97,CODE(MID($C109,1,1))&lt;=104,VALUE(MID($C109,2,1))&gt;=1,VALUE(MID($C109,2,1))&lt;=8),(VALUE(MID($C109,2,1))-1)*8+CODE(MID($C109,1,1))-96,0),0))</f>
        <v>0</v>
      </c>
      <c r="E109" s="11" t="n">
        <f aca="false">IF(LEN($C109)&lt;4,0,IFERROR(IF(AND(CODE(MID($C109,3,1))&gt;=97,CODE(MID($C109,3,1))&lt;=104,VALUE(MID($C109,4,1))&gt;=1,VALUE(MID($C109,4,1))&lt;=8),(VALUE(MID($C109,4,1))-1)*8+CODE(MID($C109,3,1))-96,0),0))</f>
        <v>0</v>
      </c>
      <c r="F109" s="11" t="str">
        <f aca="false">IF(MOD(SUM($P$5:$P108),2)=0,"w","b")</f>
        <v>w</v>
      </c>
      <c r="G109" s="11" t="str">
        <f aca="false">IF($D109=0,"",INDEX($AH108:$CS108,1,$D109)&amp;"")</f>
        <v/>
      </c>
      <c r="H109" s="11" t="str">
        <f aca="false">IF($E109=0,"",INDEX($AH108:$CS108,1,$E109)&amp;"")</f>
        <v/>
      </c>
      <c r="I109" s="11" t="n">
        <f aca="false">IF(OR($D109=0,$E109=0),0,MOD($E109-1,8)-MOD($D109-1,8))</f>
        <v>0</v>
      </c>
      <c r="J109" s="11" t="n">
        <f aca="false">IF(OR($D109=0,$E109=0),0,INT(($E109-1)/8)-INT(($D109-1)/8))</f>
        <v>0</v>
      </c>
      <c r="K109" s="11" t="str">
        <f aca="false">IF($G109="","",RIGHT($G109,1))</f>
        <v/>
      </c>
      <c r="L109" s="11" t="n">
        <f aca="false">IF(OR($D109=0,$E109=0),0,SUMPRODUCT(($AH$3:$CS$3&gt;MIN($D109,$E109))*($AH$3:$CS$3&lt;MAX($D109,$E109))*(MOD($AH$3:$CS$3-MIN($D109,$E109),MAX(1,ABS(SIGN($J109)*8+SIGN($I109))))=0)*($AH108:$CS108&lt;&gt;"")))</f>
        <v>0</v>
      </c>
      <c r="M109" s="11" t="n">
        <f aca="false">IF($K109&lt;&gt;"K",0,IFERROR(--AND($J109=0,ABS($I109)=2,$D109=IF($F109="w",5,61),IF($F109="w",$S108,$V108)=0,IF($I109=2,AND(IF($F109="w",$U108,$X108)=0,INDEX($AH108:$CS108,1,$D109+1)&amp;""="",INDEX($AH108:$CS108,1,$D109+2)&amp;""=""),AND(IF($F109="w",$T108,$W108)=0,INDEX($AH108:$CS108,1,$D109-1)&amp;""="",INDEX($AH108:$CS108,1,$D109-2)&amp;""="",INDEX($AH108:$CS108,1,$D109-3)&amp;""=""))),0))</f>
        <v>0</v>
      </c>
      <c r="N109" s="11" t="n">
        <f aca="false">IF($K109&lt;&gt;"P",0,IFERROR(--OR(AND($I109=0,$J109=IF($F109="w",1,-1),$H109=""),AND($I109=0,$J109=2*IF($F109="w",1,-1),$H109="",INT(($D109-1)/8)=IF($F109="w",1,6),INDEX($AH108:$CS108,1,MAX(1,MIN(64,$D109+8*IF($F109="w",1,-1))))&amp;""=""),AND(ABS($I109)=1,$J109=IF($F109="w",1,-1),$H109&lt;&gt;""),AND(ABS($I109)=1,$J109=IF($F109="w",1,-1),$H109="",$R108&gt;0,$E109=$R108)),0))</f>
        <v>0</v>
      </c>
      <c r="O109" s="11" t="n">
        <f aca="false">IF(OR($D109=0,$E109=0,$G109=""),0,IF($K109="N",--OR(AND(ABS($I109)=1,ABS($J109)=2),AND(ABS($I109)=2,ABS($J109)=1)),IF($K109="B",--AND(ABS($I109)=ABS($J109),$I109&lt;&gt;0,$L109=0),IF($K109="R",--AND(OR($I109=0,$J109=0),OR($I109&lt;&gt;0,$J109&lt;&gt;0),$L109=0),IF($K109="Q",--AND(OR(AND(ABS($I109)=ABS($J109),$I109&lt;&gt;0),AND(OR($I109=0,$J109=0),OR($I109&lt;&gt;0,$J109&lt;&gt;0))),$L109=0),IF($K109="K",--OR(MAX(ABS($I109),ABS($J109))=1,$M109=1),$N109))))))</f>
        <v>0</v>
      </c>
      <c r="P109" s="11" t="n">
        <f aca="false">IF($Q109="OK",1,0)</f>
        <v>0</v>
      </c>
      <c r="Q109" s="11" t="str">
        <f aca="false">IF($B109="","",IF(OR(COUNTIF($AH108:$CS108,"wK")=0,COUNTIF($AH108:$CS108,"bK")=0),"Game is over",IF(OR($D109=0,$E109=0),"Use the format e2e4",IF($G109="","No piece on that square",IF(LEFT($G109,1)&lt;&gt;$F109,"Not your piece ("&amp;IF($F109="w","White","Black")&amp;" to move)",IF($D109=$E109,"Piece must move",IF(AND($H109&lt;&gt;"",LEFT($H109,1)=$F109),"Cannot capture your own piece",IF($O109=0,"Illegal move for that piece (or path blocked)","OK"))))))))</f>
        <v/>
      </c>
      <c r="R109" s="11" t="n">
        <f aca="false">IF($P109=1,IF(AND($K109="P",ABS($J109)=2),($D109+$E109)/2,0),$R108)</f>
        <v>0</v>
      </c>
      <c r="S109" s="12" t="b">
        <f aca="false">--OR($S108=1,AND($P109=1,OR($D109=5,$E109=5)))</f>
        <v>0</v>
      </c>
      <c r="T109" s="12" t="b">
        <f aca="false">--OR($T108=1,AND($P109=1,OR($D109=1,$E109=1)))</f>
        <v>0</v>
      </c>
      <c r="U109" s="12" t="b">
        <f aca="false">--OR($U108=1,AND($P109=1,OR($D109=8,$E109=8)))</f>
        <v>0</v>
      </c>
      <c r="V109" s="12" t="b">
        <f aca="false">--OR($V108=1,AND($P109=1,OR($D109=61,$E109=61)))</f>
        <v>0</v>
      </c>
      <c r="W109" s="12" t="b">
        <f aca="false">--OR($W108=1,AND($P109=1,OR($D109=57,$E109=57)))</f>
        <v>0</v>
      </c>
      <c r="X109" s="12" t="b">
        <f aca="false">--OR($X108=1,AND($P109=1,OR($D109=64,$E109=64)))</f>
        <v>0</v>
      </c>
      <c r="Y109" s="12" t="b">
        <f aca="false">--AND($P109=1,$K109="K",ABS($I109)=2)</f>
        <v>0</v>
      </c>
      <c r="Z109" s="12" t="b">
        <f aca="false">--AND($P109=1,$K109="P",ABS($I109)=1,$H109="")</f>
        <v>0</v>
      </c>
      <c r="AA109" s="12" t="b">
        <f aca="false">--AND($P109=1,$K109="P",INT(($E109-1)/8)=IF($F109="w",7,0))</f>
        <v>0</v>
      </c>
      <c r="AB109" s="11" t="str">
        <f aca="false">IF(LEN($C109)&gt;=5,IF(ISNUMBER(FIND(MID($C109,5,1),"qrbn")),UPPER(MID($C109,5,1)),"Q"),"Q")</f>
        <v>Q</v>
      </c>
      <c r="AC109" s="11" t="n">
        <f aca="false">IF($Y109=1,IF($I109=2,$D109+3,$D109-4),0)</f>
        <v>0</v>
      </c>
      <c r="AD109" s="11" t="n">
        <f aca="false">IF($Y109=1,IF($I109=2,$D109+1,$D109-1),0)</f>
        <v>0</v>
      </c>
      <c r="AE109" s="11" t="n">
        <f aca="false">IF($Z109=1,$E109-8*IF($F109="w",1,-1),0)</f>
        <v>0</v>
      </c>
      <c r="AF109" s="11" t="str">
        <f aca="false">IF($B109="","",IF($P109=1,LOWER(INDEX($CV$2:$CV$13,MATCH($G109,$CU$2:$CU$13,0)))&amp;" "&amp;MID("abcdefgh",MOD($D109-1,8)+1,1)&amp;(INT(($D109-1)/8)+1)&amp;"→"&amp;MID("abcdefgh",MOD($E109-1,8)+1,1)&amp;(INT(($E109-1)/8)+1)&amp;IF(OR($H109&lt;&gt;"",$Z109=1)," ×","")&amp;IF($Y109=1," castles","")&amp;IF($Z109=1," e.p.","")&amp;IF($AA109=1," =" &amp;LOWER(INDEX($CV$2:$CV$13,MATCH($F109&amp;$AB109,$CU$2:$CU$13,0))),""),"X "&amp;$Q109))</f>
        <v/>
      </c>
      <c r="AG109" s="11"/>
      <c r="AH109" s="11" t="str">
        <f aca="false">IF($P109=0,AH108,IF(AH$3=$E109,IF($AA109=1,$F109&amp;$AB109,$G109),IF(OR(AH$3=$D109,AH$3=$AC109,AH$3=$AE109),"",IF(AH$3=$AD109,$F109&amp;"R",AH108))))</f>
        <v>wR</v>
      </c>
      <c r="AI109" s="11" t="str">
        <f aca="false">IF($P109=0,AI108,IF(AI$3=$E109,IF($AA109=1,$F109&amp;$AB109,$G109),IF(OR(AI$3=$D109,AI$3=$AC109,AI$3=$AE109),"",IF(AI$3=$AD109,$F109&amp;"R",AI108))))</f>
        <v>wN</v>
      </c>
      <c r="AJ109" s="11" t="str">
        <f aca="false">IF($P109=0,AJ108,IF(AJ$3=$E109,IF($AA109=1,$F109&amp;$AB109,$G109),IF(OR(AJ$3=$D109,AJ$3=$AC109,AJ$3=$AE109),"",IF(AJ$3=$AD109,$F109&amp;"R",AJ108))))</f>
        <v>wB</v>
      </c>
      <c r="AK109" s="11" t="str">
        <f aca="false">IF($P109=0,AK108,IF(AK$3=$E109,IF($AA109=1,$F109&amp;$AB109,$G109),IF(OR(AK$3=$D109,AK$3=$AC109,AK$3=$AE109),"",IF(AK$3=$AD109,$F109&amp;"R",AK108))))</f>
        <v>wQ</v>
      </c>
      <c r="AL109" s="11" t="str">
        <f aca="false">IF($P109=0,AL108,IF(AL$3=$E109,IF($AA109=1,$F109&amp;$AB109,$G109),IF(OR(AL$3=$D109,AL$3=$AC109,AL$3=$AE109),"",IF(AL$3=$AD109,$F109&amp;"R",AL108))))</f>
        <v>wK</v>
      </c>
      <c r="AM109" s="11" t="str">
        <f aca="false">IF($P109=0,AM108,IF(AM$3=$E109,IF($AA109=1,$F109&amp;$AB109,$G109),IF(OR(AM$3=$D109,AM$3=$AC109,AM$3=$AE109),"",IF(AM$3=$AD109,$F109&amp;"R",AM108))))</f>
        <v>wB</v>
      </c>
      <c r="AN109" s="11" t="str">
        <f aca="false">IF($P109=0,AN108,IF(AN$3=$E109,IF($AA109=1,$F109&amp;$AB109,$G109),IF(OR(AN$3=$D109,AN$3=$AC109,AN$3=$AE109),"",IF(AN$3=$AD109,$F109&amp;"R",AN108))))</f>
        <v>wN</v>
      </c>
      <c r="AO109" s="11" t="str">
        <f aca="false">IF($P109=0,AO108,IF(AO$3=$E109,IF($AA109=1,$F109&amp;$AB109,$G109),IF(OR(AO$3=$D109,AO$3=$AC109,AO$3=$AE109),"",IF(AO$3=$AD109,$F109&amp;"R",AO108))))</f>
        <v>wR</v>
      </c>
      <c r="AP109" s="11" t="str">
        <f aca="false">IF($P109=0,AP108,IF(AP$3=$E109,IF($AA109=1,$F109&amp;$AB109,$G109),IF(OR(AP$3=$D109,AP$3=$AC109,AP$3=$AE109),"",IF(AP$3=$AD109,$F109&amp;"R",AP108))))</f>
        <v>wP</v>
      </c>
      <c r="AQ109" s="11" t="str">
        <f aca="false">IF($P109=0,AQ108,IF(AQ$3=$E109,IF($AA109=1,$F109&amp;$AB109,$G109),IF(OR(AQ$3=$D109,AQ$3=$AC109,AQ$3=$AE109),"",IF(AQ$3=$AD109,$F109&amp;"R",AQ108))))</f>
        <v>wP</v>
      </c>
      <c r="AR109" s="11" t="str">
        <f aca="false">IF($P109=0,AR108,IF(AR$3=$E109,IF($AA109=1,$F109&amp;$AB109,$G109),IF(OR(AR$3=$D109,AR$3=$AC109,AR$3=$AE109),"",IF(AR$3=$AD109,$F109&amp;"R",AR108))))</f>
        <v>wP</v>
      </c>
      <c r="AS109" s="11" t="str">
        <f aca="false">IF($P109=0,AS108,IF(AS$3=$E109,IF($AA109=1,$F109&amp;$AB109,$G109),IF(OR(AS$3=$D109,AS$3=$AC109,AS$3=$AE109),"",IF(AS$3=$AD109,$F109&amp;"R",AS108))))</f>
        <v>wP</v>
      </c>
      <c r="AT109" s="11" t="str">
        <f aca="false">IF($P109=0,AT108,IF(AT$3=$E109,IF($AA109=1,$F109&amp;$AB109,$G109),IF(OR(AT$3=$D109,AT$3=$AC109,AT$3=$AE109),"",IF(AT$3=$AD109,$F109&amp;"R",AT108))))</f>
        <v>wP</v>
      </c>
      <c r="AU109" s="11" t="str">
        <f aca="false">IF($P109=0,AU108,IF(AU$3=$E109,IF($AA109=1,$F109&amp;$AB109,$G109),IF(OR(AU$3=$D109,AU$3=$AC109,AU$3=$AE109),"",IF(AU$3=$AD109,$F109&amp;"R",AU108))))</f>
        <v>wP</v>
      </c>
      <c r="AV109" s="11" t="str">
        <f aca="false">IF($P109=0,AV108,IF(AV$3=$E109,IF($AA109=1,$F109&amp;$AB109,$G109),IF(OR(AV$3=$D109,AV$3=$AC109,AV$3=$AE109),"",IF(AV$3=$AD109,$F109&amp;"R",AV108))))</f>
        <v>wP</v>
      </c>
      <c r="AW109" s="11" t="str">
        <f aca="false">IF($P109=0,AW108,IF(AW$3=$E109,IF($AA109=1,$F109&amp;$AB109,$G109),IF(OR(AW$3=$D109,AW$3=$AC109,AW$3=$AE109),"",IF(AW$3=$AD109,$F109&amp;"R",AW108))))</f>
        <v>wP</v>
      </c>
      <c r="AX109" s="11" t="str">
        <f aca="false">IF($P109=0,AX108,IF(AX$3=$E109,IF($AA109=1,$F109&amp;$AB109,$G109),IF(OR(AX$3=$D109,AX$3=$AC109,AX$3=$AE109),"",IF(AX$3=$AD109,$F109&amp;"R",AX108))))</f>
        <v/>
      </c>
      <c r="AY109" s="11" t="str">
        <f aca="false">IF($P109=0,AY108,IF(AY$3=$E109,IF($AA109=1,$F109&amp;$AB109,$G109),IF(OR(AY$3=$D109,AY$3=$AC109,AY$3=$AE109),"",IF(AY$3=$AD109,$F109&amp;"R",AY108))))</f>
        <v/>
      </c>
      <c r="AZ109" s="11" t="str">
        <f aca="false">IF($P109=0,AZ108,IF(AZ$3=$E109,IF($AA109=1,$F109&amp;$AB109,$G109),IF(OR(AZ$3=$D109,AZ$3=$AC109,AZ$3=$AE109),"",IF(AZ$3=$AD109,$F109&amp;"R",AZ108))))</f>
        <v/>
      </c>
      <c r="BA109" s="11" t="str">
        <f aca="false">IF($P109=0,BA108,IF(BA$3=$E109,IF($AA109=1,$F109&amp;$AB109,$G109),IF(OR(BA$3=$D109,BA$3=$AC109,BA$3=$AE109),"",IF(BA$3=$AD109,$F109&amp;"R",BA108))))</f>
        <v/>
      </c>
      <c r="BB109" s="11" t="str">
        <f aca="false">IF($P109=0,BB108,IF(BB$3=$E109,IF($AA109=1,$F109&amp;$AB109,$G109),IF(OR(BB$3=$D109,BB$3=$AC109,BB$3=$AE109),"",IF(BB$3=$AD109,$F109&amp;"R",BB108))))</f>
        <v/>
      </c>
      <c r="BC109" s="11" t="str">
        <f aca="false">IF($P109=0,BC108,IF(BC$3=$E109,IF($AA109=1,$F109&amp;$AB109,$G109),IF(OR(BC$3=$D109,BC$3=$AC109,BC$3=$AE109),"",IF(BC$3=$AD109,$F109&amp;"R",BC108))))</f>
        <v/>
      </c>
      <c r="BD109" s="11" t="str">
        <f aca="false">IF($P109=0,BD108,IF(BD$3=$E109,IF($AA109=1,$F109&amp;$AB109,$G109),IF(OR(BD$3=$D109,BD$3=$AC109,BD$3=$AE109),"",IF(BD$3=$AD109,$F109&amp;"R",BD108))))</f>
        <v/>
      </c>
      <c r="BE109" s="11" t="str">
        <f aca="false">IF($P109=0,BE108,IF(BE$3=$E109,IF($AA109=1,$F109&amp;$AB109,$G109),IF(OR(BE$3=$D109,BE$3=$AC109,BE$3=$AE109),"",IF(BE$3=$AD109,$F109&amp;"R",BE108))))</f>
        <v/>
      </c>
      <c r="BF109" s="11" t="str">
        <f aca="false">IF($P109=0,BF108,IF(BF$3=$E109,IF($AA109=1,$F109&amp;$AB109,$G109),IF(OR(BF$3=$D109,BF$3=$AC109,BF$3=$AE109),"",IF(BF$3=$AD109,$F109&amp;"R",BF108))))</f>
        <v/>
      </c>
      <c r="BG109" s="11" t="str">
        <f aca="false">IF($P109=0,BG108,IF(BG$3=$E109,IF($AA109=1,$F109&amp;$AB109,$G109),IF(OR(BG$3=$D109,BG$3=$AC109,BG$3=$AE109),"",IF(BG$3=$AD109,$F109&amp;"R",BG108))))</f>
        <v/>
      </c>
      <c r="BH109" s="11" t="str">
        <f aca="false">IF($P109=0,BH108,IF(BH$3=$E109,IF($AA109=1,$F109&amp;$AB109,$G109),IF(OR(BH$3=$D109,BH$3=$AC109,BH$3=$AE109),"",IF(BH$3=$AD109,$F109&amp;"R",BH108))))</f>
        <v/>
      </c>
      <c r="BI109" s="11" t="str">
        <f aca="false">IF($P109=0,BI108,IF(BI$3=$E109,IF($AA109=1,$F109&amp;$AB109,$G109),IF(OR(BI$3=$D109,BI$3=$AC109,BI$3=$AE109),"",IF(BI$3=$AD109,$F109&amp;"R",BI108))))</f>
        <v/>
      </c>
      <c r="BJ109" s="11" t="str">
        <f aca="false">IF($P109=0,BJ108,IF(BJ$3=$E109,IF($AA109=1,$F109&amp;$AB109,$G109),IF(OR(BJ$3=$D109,BJ$3=$AC109,BJ$3=$AE109),"",IF(BJ$3=$AD109,$F109&amp;"R",BJ108))))</f>
        <v/>
      </c>
      <c r="BK109" s="11" t="str">
        <f aca="false">IF($P109=0,BK108,IF(BK$3=$E109,IF($AA109=1,$F109&amp;$AB109,$G109),IF(OR(BK$3=$D109,BK$3=$AC109,BK$3=$AE109),"",IF(BK$3=$AD109,$F109&amp;"R",BK108))))</f>
        <v/>
      </c>
      <c r="BL109" s="11" t="str">
        <f aca="false">IF($P109=0,BL108,IF(BL$3=$E109,IF($AA109=1,$F109&amp;$AB109,$G109),IF(OR(BL$3=$D109,BL$3=$AC109,BL$3=$AE109),"",IF(BL$3=$AD109,$F109&amp;"R",BL108))))</f>
        <v/>
      </c>
      <c r="BM109" s="11" t="str">
        <f aca="false">IF($P109=0,BM108,IF(BM$3=$E109,IF($AA109=1,$F109&amp;$AB109,$G109),IF(OR(BM$3=$D109,BM$3=$AC109,BM$3=$AE109),"",IF(BM$3=$AD109,$F109&amp;"R",BM108))))</f>
        <v/>
      </c>
      <c r="BN109" s="11" t="str">
        <f aca="false">IF($P109=0,BN108,IF(BN$3=$E109,IF($AA109=1,$F109&amp;$AB109,$G109),IF(OR(BN$3=$D109,BN$3=$AC109,BN$3=$AE109),"",IF(BN$3=$AD109,$F109&amp;"R",BN108))))</f>
        <v/>
      </c>
      <c r="BO109" s="11" t="str">
        <f aca="false">IF($P109=0,BO108,IF(BO$3=$E109,IF($AA109=1,$F109&amp;$AB109,$G109),IF(OR(BO$3=$D109,BO$3=$AC109,BO$3=$AE109),"",IF(BO$3=$AD109,$F109&amp;"R",BO108))))</f>
        <v/>
      </c>
      <c r="BP109" s="11" t="str">
        <f aca="false">IF($P109=0,BP108,IF(BP$3=$E109,IF($AA109=1,$F109&amp;$AB109,$G109),IF(OR(BP$3=$D109,BP$3=$AC109,BP$3=$AE109),"",IF(BP$3=$AD109,$F109&amp;"R",BP108))))</f>
        <v/>
      </c>
      <c r="BQ109" s="11" t="str">
        <f aca="false">IF($P109=0,BQ108,IF(BQ$3=$E109,IF($AA109=1,$F109&amp;$AB109,$G109),IF(OR(BQ$3=$D109,BQ$3=$AC109,BQ$3=$AE109),"",IF(BQ$3=$AD109,$F109&amp;"R",BQ108))))</f>
        <v/>
      </c>
      <c r="BR109" s="11" t="str">
        <f aca="false">IF($P109=0,BR108,IF(BR$3=$E109,IF($AA109=1,$F109&amp;$AB109,$G109),IF(OR(BR$3=$D109,BR$3=$AC109,BR$3=$AE109),"",IF(BR$3=$AD109,$F109&amp;"R",BR108))))</f>
        <v/>
      </c>
      <c r="BS109" s="11" t="str">
        <f aca="false">IF($P109=0,BS108,IF(BS$3=$E109,IF($AA109=1,$F109&amp;$AB109,$G109),IF(OR(BS$3=$D109,BS$3=$AC109,BS$3=$AE109),"",IF(BS$3=$AD109,$F109&amp;"R",BS108))))</f>
        <v/>
      </c>
      <c r="BT109" s="11" t="str">
        <f aca="false">IF($P109=0,BT108,IF(BT$3=$E109,IF($AA109=1,$F109&amp;$AB109,$G109),IF(OR(BT$3=$D109,BT$3=$AC109,BT$3=$AE109),"",IF(BT$3=$AD109,$F109&amp;"R",BT108))))</f>
        <v/>
      </c>
      <c r="BU109" s="11" t="str">
        <f aca="false">IF($P109=0,BU108,IF(BU$3=$E109,IF($AA109=1,$F109&amp;$AB109,$G109),IF(OR(BU$3=$D109,BU$3=$AC109,BU$3=$AE109),"",IF(BU$3=$AD109,$F109&amp;"R",BU108))))</f>
        <v/>
      </c>
      <c r="BV109" s="11" t="str">
        <f aca="false">IF($P109=0,BV108,IF(BV$3=$E109,IF($AA109=1,$F109&amp;$AB109,$G109),IF(OR(BV$3=$D109,BV$3=$AC109,BV$3=$AE109),"",IF(BV$3=$AD109,$F109&amp;"R",BV108))))</f>
        <v/>
      </c>
      <c r="BW109" s="11" t="str">
        <f aca="false">IF($P109=0,BW108,IF(BW$3=$E109,IF($AA109=1,$F109&amp;$AB109,$G109),IF(OR(BW$3=$D109,BW$3=$AC109,BW$3=$AE109),"",IF(BW$3=$AD109,$F109&amp;"R",BW108))))</f>
        <v/>
      </c>
      <c r="BX109" s="11" t="str">
        <f aca="false">IF($P109=0,BX108,IF(BX$3=$E109,IF($AA109=1,$F109&amp;$AB109,$G109),IF(OR(BX$3=$D109,BX$3=$AC109,BX$3=$AE109),"",IF(BX$3=$AD109,$F109&amp;"R",BX108))))</f>
        <v/>
      </c>
      <c r="BY109" s="11" t="str">
        <f aca="false">IF($P109=0,BY108,IF(BY$3=$E109,IF($AA109=1,$F109&amp;$AB109,$G109),IF(OR(BY$3=$D109,BY$3=$AC109,BY$3=$AE109),"",IF(BY$3=$AD109,$F109&amp;"R",BY108))))</f>
        <v/>
      </c>
      <c r="BZ109" s="11" t="str">
        <f aca="false">IF($P109=0,BZ108,IF(BZ$3=$E109,IF($AA109=1,$F109&amp;$AB109,$G109),IF(OR(BZ$3=$D109,BZ$3=$AC109,BZ$3=$AE109),"",IF(BZ$3=$AD109,$F109&amp;"R",BZ108))))</f>
        <v/>
      </c>
      <c r="CA109" s="11" t="str">
        <f aca="false">IF($P109=0,CA108,IF(CA$3=$E109,IF($AA109=1,$F109&amp;$AB109,$G109),IF(OR(CA$3=$D109,CA$3=$AC109,CA$3=$AE109),"",IF(CA$3=$AD109,$F109&amp;"R",CA108))))</f>
        <v/>
      </c>
      <c r="CB109" s="11" t="str">
        <f aca="false">IF($P109=0,CB108,IF(CB$3=$E109,IF($AA109=1,$F109&amp;$AB109,$G109),IF(OR(CB$3=$D109,CB$3=$AC109,CB$3=$AE109),"",IF(CB$3=$AD109,$F109&amp;"R",CB108))))</f>
        <v/>
      </c>
      <c r="CC109" s="11" t="str">
        <f aca="false">IF($P109=0,CC108,IF(CC$3=$E109,IF($AA109=1,$F109&amp;$AB109,$G109),IF(OR(CC$3=$D109,CC$3=$AC109,CC$3=$AE109),"",IF(CC$3=$AD109,$F109&amp;"R",CC108))))</f>
        <v/>
      </c>
      <c r="CD109" s="11" t="str">
        <f aca="false">IF($P109=0,CD108,IF(CD$3=$E109,IF($AA109=1,$F109&amp;$AB109,$G109),IF(OR(CD$3=$D109,CD$3=$AC109,CD$3=$AE109),"",IF(CD$3=$AD109,$F109&amp;"R",CD108))))</f>
        <v>bP</v>
      </c>
      <c r="CE109" s="11" t="str">
        <f aca="false">IF($P109=0,CE108,IF(CE$3=$E109,IF($AA109=1,$F109&amp;$AB109,$G109),IF(OR(CE$3=$D109,CE$3=$AC109,CE$3=$AE109),"",IF(CE$3=$AD109,$F109&amp;"R",CE108))))</f>
        <v>bP</v>
      </c>
      <c r="CF109" s="11" t="str">
        <f aca="false">IF($P109=0,CF108,IF(CF$3=$E109,IF($AA109=1,$F109&amp;$AB109,$G109),IF(OR(CF$3=$D109,CF$3=$AC109,CF$3=$AE109),"",IF(CF$3=$AD109,$F109&amp;"R",CF108))))</f>
        <v>bP</v>
      </c>
      <c r="CG109" s="11" t="str">
        <f aca="false">IF($P109=0,CG108,IF(CG$3=$E109,IF($AA109=1,$F109&amp;$AB109,$G109),IF(OR(CG$3=$D109,CG$3=$AC109,CG$3=$AE109),"",IF(CG$3=$AD109,$F109&amp;"R",CG108))))</f>
        <v>bP</v>
      </c>
      <c r="CH109" s="11" t="str">
        <f aca="false">IF($P109=0,CH108,IF(CH$3=$E109,IF($AA109=1,$F109&amp;$AB109,$G109),IF(OR(CH$3=$D109,CH$3=$AC109,CH$3=$AE109),"",IF(CH$3=$AD109,$F109&amp;"R",CH108))))</f>
        <v>bP</v>
      </c>
      <c r="CI109" s="11" t="str">
        <f aca="false">IF($P109=0,CI108,IF(CI$3=$E109,IF($AA109=1,$F109&amp;$AB109,$G109),IF(OR(CI$3=$D109,CI$3=$AC109,CI$3=$AE109),"",IF(CI$3=$AD109,$F109&amp;"R",CI108))))</f>
        <v>bP</v>
      </c>
      <c r="CJ109" s="11" t="str">
        <f aca="false">IF($P109=0,CJ108,IF(CJ$3=$E109,IF($AA109=1,$F109&amp;$AB109,$G109),IF(OR(CJ$3=$D109,CJ$3=$AC109,CJ$3=$AE109),"",IF(CJ$3=$AD109,$F109&amp;"R",CJ108))))</f>
        <v>bP</v>
      </c>
      <c r="CK109" s="11" t="str">
        <f aca="false">IF($P109=0,CK108,IF(CK$3=$E109,IF($AA109=1,$F109&amp;$AB109,$G109),IF(OR(CK$3=$D109,CK$3=$AC109,CK$3=$AE109),"",IF(CK$3=$AD109,$F109&amp;"R",CK108))))</f>
        <v>bP</v>
      </c>
      <c r="CL109" s="11" t="str">
        <f aca="false">IF($P109=0,CL108,IF(CL$3=$E109,IF($AA109=1,$F109&amp;$AB109,$G109),IF(OR(CL$3=$D109,CL$3=$AC109,CL$3=$AE109),"",IF(CL$3=$AD109,$F109&amp;"R",CL108))))</f>
        <v>bR</v>
      </c>
      <c r="CM109" s="11" t="str">
        <f aca="false">IF($P109=0,CM108,IF(CM$3=$E109,IF($AA109=1,$F109&amp;$AB109,$G109),IF(OR(CM$3=$D109,CM$3=$AC109,CM$3=$AE109),"",IF(CM$3=$AD109,$F109&amp;"R",CM108))))</f>
        <v>bN</v>
      </c>
      <c r="CN109" s="11" t="str">
        <f aca="false">IF($P109=0,CN108,IF(CN$3=$E109,IF($AA109=1,$F109&amp;$AB109,$G109),IF(OR(CN$3=$D109,CN$3=$AC109,CN$3=$AE109),"",IF(CN$3=$AD109,$F109&amp;"R",CN108))))</f>
        <v>bB</v>
      </c>
      <c r="CO109" s="11" t="str">
        <f aca="false">IF($P109=0,CO108,IF(CO$3=$E109,IF($AA109=1,$F109&amp;$AB109,$G109),IF(OR(CO$3=$D109,CO$3=$AC109,CO$3=$AE109),"",IF(CO$3=$AD109,$F109&amp;"R",CO108))))</f>
        <v>bQ</v>
      </c>
      <c r="CP109" s="11" t="str">
        <f aca="false">IF($P109=0,CP108,IF(CP$3=$E109,IF($AA109=1,$F109&amp;$AB109,$G109),IF(OR(CP$3=$D109,CP$3=$AC109,CP$3=$AE109),"",IF(CP$3=$AD109,$F109&amp;"R",CP108))))</f>
        <v>bK</v>
      </c>
      <c r="CQ109" s="11" t="str">
        <f aca="false">IF($P109=0,CQ108,IF(CQ$3=$E109,IF($AA109=1,$F109&amp;$AB109,$G109),IF(OR(CQ$3=$D109,CQ$3=$AC109,CQ$3=$AE109),"",IF(CQ$3=$AD109,$F109&amp;"R",CQ108))))</f>
        <v>bB</v>
      </c>
      <c r="CR109" s="11" t="str">
        <f aca="false">IF($P109=0,CR108,IF(CR$3=$E109,IF($AA109=1,$F109&amp;$AB109,$G109),IF(OR(CR$3=$D109,CR$3=$AC109,CR$3=$AE109),"",IF(CR$3=$AD109,$F109&amp;"R",CR108))))</f>
        <v>bN</v>
      </c>
      <c r="CS109" s="11" t="str">
        <f aca="false">IF($P109=0,CS108,IF(CS$3=$E109,IF($AA109=1,$F109&amp;$AB109,$G109),IF(OR(CS$3=$D109,CS$3=$AC109,CS$3=$AE109),"",IF(CS$3=$AD109,$F109&amp;"R",CS108))))</f>
        <v>bR</v>
      </c>
      <c r="CT109" s="11"/>
      <c r="CU109" s="11"/>
      <c r="CV109" s="11"/>
    </row>
    <row r="110" customFormat="false" ht="15" hidden="false" customHeight="false" outlineLevel="0" collapsed="false">
      <c r="A110" s="11" t="n">
        <v>105</v>
      </c>
      <c r="B110" s="11" t="str">
        <f aca="false">IF(Chess!$L$114="","",Chess!$L$114&amp;"")</f>
        <v/>
      </c>
      <c r="C110" s="11" t="str">
        <f aca="false">LOWER(SUBSTITUTE(SUBSTITUTE(SUBSTITUTE(SUBSTITUTE(TRIM($B110),"-",""),"=","")," ",""),"x",""))</f>
        <v/>
      </c>
      <c r="D110" s="11" t="n">
        <f aca="false">IF(LEN($C110)&lt;4,0,IFERROR(IF(AND(CODE(MID($C110,1,1))&gt;=97,CODE(MID($C110,1,1))&lt;=104,VALUE(MID($C110,2,1))&gt;=1,VALUE(MID($C110,2,1))&lt;=8),(VALUE(MID($C110,2,1))-1)*8+CODE(MID($C110,1,1))-96,0),0))</f>
        <v>0</v>
      </c>
      <c r="E110" s="11" t="n">
        <f aca="false">IF(LEN($C110)&lt;4,0,IFERROR(IF(AND(CODE(MID($C110,3,1))&gt;=97,CODE(MID($C110,3,1))&lt;=104,VALUE(MID($C110,4,1))&gt;=1,VALUE(MID($C110,4,1))&lt;=8),(VALUE(MID($C110,4,1))-1)*8+CODE(MID($C110,3,1))-96,0),0))</f>
        <v>0</v>
      </c>
      <c r="F110" s="11" t="str">
        <f aca="false">IF(MOD(SUM($P$5:$P109),2)=0,"w","b")</f>
        <v>w</v>
      </c>
      <c r="G110" s="11" t="str">
        <f aca="false">IF($D110=0,"",INDEX($AH109:$CS109,1,$D110)&amp;"")</f>
        <v/>
      </c>
      <c r="H110" s="11" t="str">
        <f aca="false">IF($E110=0,"",INDEX($AH109:$CS109,1,$E110)&amp;"")</f>
        <v/>
      </c>
      <c r="I110" s="11" t="n">
        <f aca="false">IF(OR($D110=0,$E110=0),0,MOD($E110-1,8)-MOD($D110-1,8))</f>
        <v>0</v>
      </c>
      <c r="J110" s="11" t="n">
        <f aca="false">IF(OR($D110=0,$E110=0),0,INT(($E110-1)/8)-INT(($D110-1)/8))</f>
        <v>0</v>
      </c>
      <c r="K110" s="11" t="str">
        <f aca="false">IF($G110="","",RIGHT($G110,1))</f>
        <v/>
      </c>
      <c r="L110" s="11" t="n">
        <f aca="false">IF(OR($D110=0,$E110=0),0,SUMPRODUCT(($AH$3:$CS$3&gt;MIN($D110,$E110))*($AH$3:$CS$3&lt;MAX($D110,$E110))*(MOD($AH$3:$CS$3-MIN($D110,$E110),MAX(1,ABS(SIGN($J110)*8+SIGN($I110))))=0)*($AH109:$CS109&lt;&gt;"")))</f>
        <v>0</v>
      </c>
      <c r="M110" s="11" t="n">
        <f aca="false">IF($K110&lt;&gt;"K",0,IFERROR(--AND($J110=0,ABS($I110)=2,$D110=IF($F110="w",5,61),IF($F110="w",$S109,$V109)=0,IF($I110=2,AND(IF($F110="w",$U109,$X109)=0,INDEX($AH109:$CS109,1,$D110+1)&amp;""="",INDEX($AH109:$CS109,1,$D110+2)&amp;""=""),AND(IF($F110="w",$T109,$W109)=0,INDEX($AH109:$CS109,1,$D110-1)&amp;""="",INDEX($AH109:$CS109,1,$D110-2)&amp;""="",INDEX($AH109:$CS109,1,$D110-3)&amp;""=""))),0))</f>
        <v>0</v>
      </c>
      <c r="N110" s="11" t="n">
        <f aca="false">IF($K110&lt;&gt;"P",0,IFERROR(--OR(AND($I110=0,$J110=IF($F110="w",1,-1),$H110=""),AND($I110=0,$J110=2*IF($F110="w",1,-1),$H110="",INT(($D110-1)/8)=IF($F110="w",1,6),INDEX($AH109:$CS109,1,MAX(1,MIN(64,$D110+8*IF($F110="w",1,-1))))&amp;""=""),AND(ABS($I110)=1,$J110=IF($F110="w",1,-1),$H110&lt;&gt;""),AND(ABS($I110)=1,$J110=IF($F110="w",1,-1),$H110="",$R109&gt;0,$E110=$R109)),0))</f>
        <v>0</v>
      </c>
      <c r="O110" s="11" t="n">
        <f aca="false">IF(OR($D110=0,$E110=0,$G110=""),0,IF($K110="N",--OR(AND(ABS($I110)=1,ABS($J110)=2),AND(ABS($I110)=2,ABS($J110)=1)),IF($K110="B",--AND(ABS($I110)=ABS($J110),$I110&lt;&gt;0,$L110=0),IF($K110="R",--AND(OR($I110=0,$J110=0),OR($I110&lt;&gt;0,$J110&lt;&gt;0),$L110=0),IF($K110="Q",--AND(OR(AND(ABS($I110)=ABS($J110),$I110&lt;&gt;0),AND(OR($I110=0,$J110=0),OR($I110&lt;&gt;0,$J110&lt;&gt;0))),$L110=0),IF($K110="K",--OR(MAX(ABS($I110),ABS($J110))=1,$M110=1),$N110))))))</f>
        <v>0</v>
      </c>
      <c r="P110" s="11" t="n">
        <f aca="false">IF($Q110="OK",1,0)</f>
        <v>0</v>
      </c>
      <c r="Q110" s="11" t="str">
        <f aca="false">IF($B110="","",IF(OR(COUNTIF($AH109:$CS109,"wK")=0,COUNTIF($AH109:$CS109,"bK")=0),"Game is over",IF(OR($D110=0,$E110=0),"Use the format e2e4",IF($G110="","No piece on that square",IF(LEFT($G110,1)&lt;&gt;$F110,"Not your piece ("&amp;IF($F110="w","White","Black")&amp;" to move)",IF($D110=$E110,"Piece must move",IF(AND($H110&lt;&gt;"",LEFT($H110,1)=$F110),"Cannot capture your own piece",IF($O110=0,"Illegal move for that piece (or path blocked)","OK"))))))))</f>
        <v/>
      </c>
      <c r="R110" s="11" t="n">
        <f aca="false">IF($P110=1,IF(AND($K110="P",ABS($J110)=2),($D110+$E110)/2,0),$R109)</f>
        <v>0</v>
      </c>
      <c r="S110" s="12" t="b">
        <f aca="false">--OR($S109=1,AND($P110=1,OR($D110=5,$E110=5)))</f>
        <v>0</v>
      </c>
      <c r="T110" s="12" t="b">
        <f aca="false">--OR($T109=1,AND($P110=1,OR($D110=1,$E110=1)))</f>
        <v>0</v>
      </c>
      <c r="U110" s="12" t="b">
        <f aca="false">--OR($U109=1,AND($P110=1,OR($D110=8,$E110=8)))</f>
        <v>0</v>
      </c>
      <c r="V110" s="12" t="b">
        <f aca="false">--OR($V109=1,AND($P110=1,OR($D110=61,$E110=61)))</f>
        <v>0</v>
      </c>
      <c r="W110" s="12" t="b">
        <f aca="false">--OR($W109=1,AND($P110=1,OR($D110=57,$E110=57)))</f>
        <v>0</v>
      </c>
      <c r="X110" s="12" t="b">
        <f aca="false">--OR($X109=1,AND($P110=1,OR($D110=64,$E110=64)))</f>
        <v>0</v>
      </c>
      <c r="Y110" s="12" t="b">
        <f aca="false">--AND($P110=1,$K110="K",ABS($I110)=2)</f>
        <v>0</v>
      </c>
      <c r="Z110" s="12" t="b">
        <f aca="false">--AND($P110=1,$K110="P",ABS($I110)=1,$H110="")</f>
        <v>0</v>
      </c>
      <c r="AA110" s="12" t="b">
        <f aca="false">--AND($P110=1,$K110="P",INT(($E110-1)/8)=IF($F110="w",7,0))</f>
        <v>0</v>
      </c>
      <c r="AB110" s="11" t="str">
        <f aca="false">IF(LEN($C110)&gt;=5,IF(ISNUMBER(FIND(MID($C110,5,1),"qrbn")),UPPER(MID($C110,5,1)),"Q"),"Q")</f>
        <v>Q</v>
      </c>
      <c r="AC110" s="11" t="n">
        <f aca="false">IF($Y110=1,IF($I110=2,$D110+3,$D110-4),0)</f>
        <v>0</v>
      </c>
      <c r="AD110" s="11" t="n">
        <f aca="false">IF($Y110=1,IF($I110=2,$D110+1,$D110-1),0)</f>
        <v>0</v>
      </c>
      <c r="AE110" s="11" t="n">
        <f aca="false">IF($Z110=1,$E110-8*IF($F110="w",1,-1),0)</f>
        <v>0</v>
      </c>
      <c r="AF110" s="11" t="str">
        <f aca="false">IF($B110="","",IF($P110=1,LOWER(INDEX($CV$2:$CV$13,MATCH($G110,$CU$2:$CU$13,0)))&amp;" "&amp;MID("abcdefgh",MOD($D110-1,8)+1,1)&amp;(INT(($D110-1)/8)+1)&amp;"→"&amp;MID("abcdefgh",MOD($E110-1,8)+1,1)&amp;(INT(($E110-1)/8)+1)&amp;IF(OR($H110&lt;&gt;"",$Z110=1)," ×","")&amp;IF($Y110=1," castles","")&amp;IF($Z110=1," e.p.","")&amp;IF($AA110=1," =" &amp;LOWER(INDEX($CV$2:$CV$13,MATCH($F110&amp;$AB110,$CU$2:$CU$13,0))),""),"X "&amp;$Q110))</f>
        <v/>
      </c>
      <c r="AG110" s="11"/>
      <c r="AH110" s="11" t="str">
        <f aca="false">IF($P110=0,AH109,IF(AH$3=$E110,IF($AA110=1,$F110&amp;$AB110,$G110),IF(OR(AH$3=$D110,AH$3=$AC110,AH$3=$AE110),"",IF(AH$3=$AD110,$F110&amp;"R",AH109))))</f>
        <v>wR</v>
      </c>
      <c r="AI110" s="11" t="str">
        <f aca="false">IF($P110=0,AI109,IF(AI$3=$E110,IF($AA110=1,$F110&amp;$AB110,$G110),IF(OR(AI$3=$D110,AI$3=$AC110,AI$3=$AE110),"",IF(AI$3=$AD110,$F110&amp;"R",AI109))))</f>
        <v>wN</v>
      </c>
      <c r="AJ110" s="11" t="str">
        <f aca="false">IF($P110=0,AJ109,IF(AJ$3=$E110,IF($AA110=1,$F110&amp;$AB110,$G110),IF(OR(AJ$3=$D110,AJ$3=$AC110,AJ$3=$AE110),"",IF(AJ$3=$AD110,$F110&amp;"R",AJ109))))</f>
        <v>wB</v>
      </c>
      <c r="AK110" s="11" t="str">
        <f aca="false">IF($P110=0,AK109,IF(AK$3=$E110,IF($AA110=1,$F110&amp;$AB110,$G110),IF(OR(AK$3=$D110,AK$3=$AC110,AK$3=$AE110),"",IF(AK$3=$AD110,$F110&amp;"R",AK109))))</f>
        <v>wQ</v>
      </c>
      <c r="AL110" s="11" t="str">
        <f aca="false">IF($P110=0,AL109,IF(AL$3=$E110,IF($AA110=1,$F110&amp;$AB110,$G110),IF(OR(AL$3=$D110,AL$3=$AC110,AL$3=$AE110),"",IF(AL$3=$AD110,$F110&amp;"R",AL109))))</f>
        <v>wK</v>
      </c>
      <c r="AM110" s="11" t="str">
        <f aca="false">IF($P110=0,AM109,IF(AM$3=$E110,IF($AA110=1,$F110&amp;$AB110,$G110),IF(OR(AM$3=$D110,AM$3=$AC110,AM$3=$AE110),"",IF(AM$3=$AD110,$F110&amp;"R",AM109))))</f>
        <v>wB</v>
      </c>
      <c r="AN110" s="11" t="str">
        <f aca="false">IF($P110=0,AN109,IF(AN$3=$E110,IF($AA110=1,$F110&amp;$AB110,$G110),IF(OR(AN$3=$D110,AN$3=$AC110,AN$3=$AE110),"",IF(AN$3=$AD110,$F110&amp;"R",AN109))))</f>
        <v>wN</v>
      </c>
      <c r="AO110" s="11" t="str">
        <f aca="false">IF($P110=0,AO109,IF(AO$3=$E110,IF($AA110=1,$F110&amp;$AB110,$G110),IF(OR(AO$3=$D110,AO$3=$AC110,AO$3=$AE110),"",IF(AO$3=$AD110,$F110&amp;"R",AO109))))</f>
        <v>wR</v>
      </c>
      <c r="AP110" s="11" t="str">
        <f aca="false">IF($P110=0,AP109,IF(AP$3=$E110,IF($AA110=1,$F110&amp;$AB110,$G110),IF(OR(AP$3=$D110,AP$3=$AC110,AP$3=$AE110),"",IF(AP$3=$AD110,$F110&amp;"R",AP109))))</f>
        <v>wP</v>
      </c>
      <c r="AQ110" s="11" t="str">
        <f aca="false">IF($P110=0,AQ109,IF(AQ$3=$E110,IF($AA110=1,$F110&amp;$AB110,$G110),IF(OR(AQ$3=$D110,AQ$3=$AC110,AQ$3=$AE110),"",IF(AQ$3=$AD110,$F110&amp;"R",AQ109))))</f>
        <v>wP</v>
      </c>
      <c r="AR110" s="11" t="str">
        <f aca="false">IF($P110=0,AR109,IF(AR$3=$E110,IF($AA110=1,$F110&amp;$AB110,$G110),IF(OR(AR$3=$D110,AR$3=$AC110,AR$3=$AE110),"",IF(AR$3=$AD110,$F110&amp;"R",AR109))))</f>
        <v>wP</v>
      </c>
      <c r="AS110" s="11" t="str">
        <f aca="false">IF($P110=0,AS109,IF(AS$3=$E110,IF($AA110=1,$F110&amp;$AB110,$G110),IF(OR(AS$3=$D110,AS$3=$AC110,AS$3=$AE110),"",IF(AS$3=$AD110,$F110&amp;"R",AS109))))</f>
        <v>wP</v>
      </c>
      <c r="AT110" s="11" t="str">
        <f aca="false">IF($P110=0,AT109,IF(AT$3=$E110,IF($AA110=1,$F110&amp;$AB110,$G110),IF(OR(AT$3=$D110,AT$3=$AC110,AT$3=$AE110),"",IF(AT$3=$AD110,$F110&amp;"R",AT109))))</f>
        <v>wP</v>
      </c>
      <c r="AU110" s="11" t="str">
        <f aca="false">IF($P110=0,AU109,IF(AU$3=$E110,IF($AA110=1,$F110&amp;$AB110,$G110),IF(OR(AU$3=$D110,AU$3=$AC110,AU$3=$AE110),"",IF(AU$3=$AD110,$F110&amp;"R",AU109))))</f>
        <v>wP</v>
      </c>
      <c r="AV110" s="11" t="str">
        <f aca="false">IF($P110=0,AV109,IF(AV$3=$E110,IF($AA110=1,$F110&amp;$AB110,$G110),IF(OR(AV$3=$D110,AV$3=$AC110,AV$3=$AE110),"",IF(AV$3=$AD110,$F110&amp;"R",AV109))))</f>
        <v>wP</v>
      </c>
      <c r="AW110" s="11" t="str">
        <f aca="false">IF($P110=0,AW109,IF(AW$3=$E110,IF($AA110=1,$F110&amp;$AB110,$G110),IF(OR(AW$3=$D110,AW$3=$AC110,AW$3=$AE110),"",IF(AW$3=$AD110,$F110&amp;"R",AW109))))</f>
        <v>wP</v>
      </c>
      <c r="AX110" s="11" t="str">
        <f aca="false">IF($P110=0,AX109,IF(AX$3=$E110,IF($AA110=1,$F110&amp;$AB110,$G110),IF(OR(AX$3=$D110,AX$3=$AC110,AX$3=$AE110),"",IF(AX$3=$AD110,$F110&amp;"R",AX109))))</f>
        <v/>
      </c>
      <c r="AY110" s="11" t="str">
        <f aca="false">IF($P110=0,AY109,IF(AY$3=$E110,IF($AA110=1,$F110&amp;$AB110,$G110),IF(OR(AY$3=$D110,AY$3=$AC110,AY$3=$AE110),"",IF(AY$3=$AD110,$F110&amp;"R",AY109))))</f>
        <v/>
      </c>
      <c r="AZ110" s="11" t="str">
        <f aca="false">IF($P110=0,AZ109,IF(AZ$3=$E110,IF($AA110=1,$F110&amp;$AB110,$G110),IF(OR(AZ$3=$D110,AZ$3=$AC110,AZ$3=$AE110),"",IF(AZ$3=$AD110,$F110&amp;"R",AZ109))))</f>
        <v/>
      </c>
      <c r="BA110" s="11" t="str">
        <f aca="false">IF($P110=0,BA109,IF(BA$3=$E110,IF($AA110=1,$F110&amp;$AB110,$G110),IF(OR(BA$3=$D110,BA$3=$AC110,BA$3=$AE110),"",IF(BA$3=$AD110,$F110&amp;"R",BA109))))</f>
        <v/>
      </c>
      <c r="BB110" s="11" t="str">
        <f aca="false">IF($P110=0,BB109,IF(BB$3=$E110,IF($AA110=1,$F110&amp;$AB110,$G110),IF(OR(BB$3=$D110,BB$3=$AC110,BB$3=$AE110),"",IF(BB$3=$AD110,$F110&amp;"R",BB109))))</f>
        <v/>
      </c>
      <c r="BC110" s="11" t="str">
        <f aca="false">IF($P110=0,BC109,IF(BC$3=$E110,IF($AA110=1,$F110&amp;$AB110,$G110),IF(OR(BC$3=$D110,BC$3=$AC110,BC$3=$AE110),"",IF(BC$3=$AD110,$F110&amp;"R",BC109))))</f>
        <v/>
      </c>
      <c r="BD110" s="11" t="str">
        <f aca="false">IF($P110=0,BD109,IF(BD$3=$E110,IF($AA110=1,$F110&amp;$AB110,$G110),IF(OR(BD$3=$D110,BD$3=$AC110,BD$3=$AE110),"",IF(BD$3=$AD110,$F110&amp;"R",BD109))))</f>
        <v/>
      </c>
      <c r="BE110" s="11" t="str">
        <f aca="false">IF($P110=0,BE109,IF(BE$3=$E110,IF($AA110=1,$F110&amp;$AB110,$G110),IF(OR(BE$3=$D110,BE$3=$AC110,BE$3=$AE110),"",IF(BE$3=$AD110,$F110&amp;"R",BE109))))</f>
        <v/>
      </c>
      <c r="BF110" s="11" t="str">
        <f aca="false">IF($P110=0,BF109,IF(BF$3=$E110,IF($AA110=1,$F110&amp;$AB110,$G110),IF(OR(BF$3=$D110,BF$3=$AC110,BF$3=$AE110),"",IF(BF$3=$AD110,$F110&amp;"R",BF109))))</f>
        <v/>
      </c>
      <c r="BG110" s="11" t="str">
        <f aca="false">IF($P110=0,BG109,IF(BG$3=$E110,IF($AA110=1,$F110&amp;$AB110,$G110),IF(OR(BG$3=$D110,BG$3=$AC110,BG$3=$AE110),"",IF(BG$3=$AD110,$F110&amp;"R",BG109))))</f>
        <v/>
      </c>
      <c r="BH110" s="11" t="str">
        <f aca="false">IF($P110=0,BH109,IF(BH$3=$E110,IF($AA110=1,$F110&amp;$AB110,$G110),IF(OR(BH$3=$D110,BH$3=$AC110,BH$3=$AE110),"",IF(BH$3=$AD110,$F110&amp;"R",BH109))))</f>
        <v/>
      </c>
      <c r="BI110" s="11" t="str">
        <f aca="false">IF($P110=0,BI109,IF(BI$3=$E110,IF($AA110=1,$F110&amp;$AB110,$G110),IF(OR(BI$3=$D110,BI$3=$AC110,BI$3=$AE110),"",IF(BI$3=$AD110,$F110&amp;"R",BI109))))</f>
        <v/>
      </c>
      <c r="BJ110" s="11" t="str">
        <f aca="false">IF($P110=0,BJ109,IF(BJ$3=$E110,IF($AA110=1,$F110&amp;$AB110,$G110),IF(OR(BJ$3=$D110,BJ$3=$AC110,BJ$3=$AE110),"",IF(BJ$3=$AD110,$F110&amp;"R",BJ109))))</f>
        <v/>
      </c>
      <c r="BK110" s="11" t="str">
        <f aca="false">IF($P110=0,BK109,IF(BK$3=$E110,IF($AA110=1,$F110&amp;$AB110,$G110),IF(OR(BK$3=$D110,BK$3=$AC110,BK$3=$AE110),"",IF(BK$3=$AD110,$F110&amp;"R",BK109))))</f>
        <v/>
      </c>
      <c r="BL110" s="11" t="str">
        <f aca="false">IF($P110=0,BL109,IF(BL$3=$E110,IF($AA110=1,$F110&amp;$AB110,$G110),IF(OR(BL$3=$D110,BL$3=$AC110,BL$3=$AE110),"",IF(BL$3=$AD110,$F110&amp;"R",BL109))))</f>
        <v/>
      </c>
      <c r="BM110" s="11" t="str">
        <f aca="false">IF($P110=0,BM109,IF(BM$3=$E110,IF($AA110=1,$F110&amp;$AB110,$G110),IF(OR(BM$3=$D110,BM$3=$AC110,BM$3=$AE110),"",IF(BM$3=$AD110,$F110&amp;"R",BM109))))</f>
        <v/>
      </c>
      <c r="BN110" s="11" t="str">
        <f aca="false">IF($P110=0,BN109,IF(BN$3=$E110,IF($AA110=1,$F110&amp;$AB110,$G110),IF(OR(BN$3=$D110,BN$3=$AC110,BN$3=$AE110),"",IF(BN$3=$AD110,$F110&amp;"R",BN109))))</f>
        <v/>
      </c>
      <c r="BO110" s="11" t="str">
        <f aca="false">IF($P110=0,BO109,IF(BO$3=$E110,IF($AA110=1,$F110&amp;$AB110,$G110),IF(OR(BO$3=$D110,BO$3=$AC110,BO$3=$AE110),"",IF(BO$3=$AD110,$F110&amp;"R",BO109))))</f>
        <v/>
      </c>
      <c r="BP110" s="11" t="str">
        <f aca="false">IF($P110=0,BP109,IF(BP$3=$E110,IF($AA110=1,$F110&amp;$AB110,$G110),IF(OR(BP$3=$D110,BP$3=$AC110,BP$3=$AE110),"",IF(BP$3=$AD110,$F110&amp;"R",BP109))))</f>
        <v/>
      </c>
      <c r="BQ110" s="11" t="str">
        <f aca="false">IF($P110=0,BQ109,IF(BQ$3=$E110,IF($AA110=1,$F110&amp;$AB110,$G110),IF(OR(BQ$3=$D110,BQ$3=$AC110,BQ$3=$AE110),"",IF(BQ$3=$AD110,$F110&amp;"R",BQ109))))</f>
        <v/>
      </c>
      <c r="BR110" s="11" t="str">
        <f aca="false">IF($P110=0,BR109,IF(BR$3=$E110,IF($AA110=1,$F110&amp;$AB110,$G110),IF(OR(BR$3=$D110,BR$3=$AC110,BR$3=$AE110),"",IF(BR$3=$AD110,$F110&amp;"R",BR109))))</f>
        <v/>
      </c>
      <c r="BS110" s="11" t="str">
        <f aca="false">IF($P110=0,BS109,IF(BS$3=$E110,IF($AA110=1,$F110&amp;$AB110,$G110),IF(OR(BS$3=$D110,BS$3=$AC110,BS$3=$AE110),"",IF(BS$3=$AD110,$F110&amp;"R",BS109))))</f>
        <v/>
      </c>
      <c r="BT110" s="11" t="str">
        <f aca="false">IF($P110=0,BT109,IF(BT$3=$E110,IF($AA110=1,$F110&amp;$AB110,$G110),IF(OR(BT$3=$D110,BT$3=$AC110,BT$3=$AE110),"",IF(BT$3=$AD110,$F110&amp;"R",BT109))))</f>
        <v/>
      </c>
      <c r="BU110" s="11" t="str">
        <f aca="false">IF($P110=0,BU109,IF(BU$3=$E110,IF($AA110=1,$F110&amp;$AB110,$G110),IF(OR(BU$3=$D110,BU$3=$AC110,BU$3=$AE110),"",IF(BU$3=$AD110,$F110&amp;"R",BU109))))</f>
        <v/>
      </c>
      <c r="BV110" s="11" t="str">
        <f aca="false">IF($P110=0,BV109,IF(BV$3=$E110,IF($AA110=1,$F110&amp;$AB110,$G110),IF(OR(BV$3=$D110,BV$3=$AC110,BV$3=$AE110),"",IF(BV$3=$AD110,$F110&amp;"R",BV109))))</f>
        <v/>
      </c>
      <c r="BW110" s="11" t="str">
        <f aca="false">IF($P110=0,BW109,IF(BW$3=$E110,IF($AA110=1,$F110&amp;$AB110,$G110),IF(OR(BW$3=$D110,BW$3=$AC110,BW$3=$AE110),"",IF(BW$3=$AD110,$F110&amp;"R",BW109))))</f>
        <v/>
      </c>
      <c r="BX110" s="11" t="str">
        <f aca="false">IF($P110=0,BX109,IF(BX$3=$E110,IF($AA110=1,$F110&amp;$AB110,$G110),IF(OR(BX$3=$D110,BX$3=$AC110,BX$3=$AE110),"",IF(BX$3=$AD110,$F110&amp;"R",BX109))))</f>
        <v/>
      </c>
      <c r="BY110" s="11" t="str">
        <f aca="false">IF($P110=0,BY109,IF(BY$3=$E110,IF($AA110=1,$F110&amp;$AB110,$G110),IF(OR(BY$3=$D110,BY$3=$AC110,BY$3=$AE110),"",IF(BY$3=$AD110,$F110&amp;"R",BY109))))</f>
        <v/>
      </c>
      <c r="BZ110" s="11" t="str">
        <f aca="false">IF($P110=0,BZ109,IF(BZ$3=$E110,IF($AA110=1,$F110&amp;$AB110,$G110),IF(OR(BZ$3=$D110,BZ$3=$AC110,BZ$3=$AE110),"",IF(BZ$3=$AD110,$F110&amp;"R",BZ109))))</f>
        <v/>
      </c>
      <c r="CA110" s="11" t="str">
        <f aca="false">IF($P110=0,CA109,IF(CA$3=$E110,IF($AA110=1,$F110&amp;$AB110,$G110),IF(OR(CA$3=$D110,CA$3=$AC110,CA$3=$AE110),"",IF(CA$3=$AD110,$F110&amp;"R",CA109))))</f>
        <v/>
      </c>
      <c r="CB110" s="11" t="str">
        <f aca="false">IF($P110=0,CB109,IF(CB$3=$E110,IF($AA110=1,$F110&amp;$AB110,$G110),IF(OR(CB$3=$D110,CB$3=$AC110,CB$3=$AE110),"",IF(CB$3=$AD110,$F110&amp;"R",CB109))))</f>
        <v/>
      </c>
      <c r="CC110" s="11" t="str">
        <f aca="false">IF($P110=0,CC109,IF(CC$3=$E110,IF($AA110=1,$F110&amp;$AB110,$G110),IF(OR(CC$3=$D110,CC$3=$AC110,CC$3=$AE110),"",IF(CC$3=$AD110,$F110&amp;"R",CC109))))</f>
        <v/>
      </c>
      <c r="CD110" s="11" t="str">
        <f aca="false">IF($P110=0,CD109,IF(CD$3=$E110,IF($AA110=1,$F110&amp;$AB110,$G110),IF(OR(CD$3=$D110,CD$3=$AC110,CD$3=$AE110),"",IF(CD$3=$AD110,$F110&amp;"R",CD109))))</f>
        <v>bP</v>
      </c>
      <c r="CE110" s="11" t="str">
        <f aca="false">IF($P110=0,CE109,IF(CE$3=$E110,IF($AA110=1,$F110&amp;$AB110,$G110),IF(OR(CE$3=$D110,CE$3=$AC110,CE$3=$AE110),"",IF(CE$3=$AD110,$F110&amp;"R",CE109))))</f>
        <v>bP</v>
      </c>
      <c r="CF110" s="11" t="str">
        <f aca="false">IF($P110=0,CF109,IF(CF$3=$E110,IF($AA110=1,$F110&amp;$AB110,$G110),IF(OR(CF$3=$D110,CF$3=$AC110,CF$3=$AE110),"",IF(CF$3=$AD110,$F110&amp;"R",CF109))))</f>
        <v>bP</v>
      </c>
      <c r="CG110" s="11" t="str">
        <f aca="false">IF($P110=0,CG109,IF(CG$3=$E110,IF($AA110=1,$F110&amp;$AB110,$G110),IF(OR(CG$3=$D110,CG$3=$AC110,CG$3=$AE110),"",IF(CG$3=$AD110,$F110&amp;"R",CG109))))</f>
        <v>bP</v>
      </c>
      <c r="CH110" s="11" t="str">
        <f aca="false">IF($P110=0,CH109,IF(CH$3=$E110,IF($AA110=1,$F110&amp;$AB110,$G110),IF(OR(CH$3=$D110,CH$3=$AC110,CH$3=$AE110),"",IF(CH$3=$AD110,$F110&amp;"R",CH109))))</f>
        <v>bP</v>
      </c>
      <c r="CI110" s="11" t="str">
        <f aca="false">IF($P110=0,CI109,IF(CI$3=$E110,IF($AA110=1,$F110&amp;$AB110,$G110),IF(OR(CI$3=$D110,CI$3=$AC110,CI$3=$AE110),"",IF(CI$3=$AD110,$F110&amp;"R",CI109))))</f>
        <v>bP</v>
      </c>
      <c r="CJ110" s="11" t="str">
        <f aca="false">IF($P110=0,CJ109,IF(CJ$3=$E110,IF($AA110=1,$F110&amp;$AB110,$G110),IF(OR(CJ$3=$D110,CJ$3=$AC110,CJ$3=$AE110),"",IF(CJ$3=$AD110,$F110&amp;"R",CJ109))))</f>
        <v>bP</v>
      </c>
      <c r="CK110" s="11" t="str">
        <f aca="false">IF($P110=0,CK109,IF(CK$3=$E110,IF($AA110=1,$F110&amp;$AB110,$G110),IF(OR(CK$3=$D110,CK$3=$AC110,CK$3=$AE110),"",IF(CK$3=$AD110,$F110&amp;"R",CK109))))</f>
        <v>bP</v>
      </c>
      <c r="CL110" s="11" t="str">
        <f aca="false">IF($P110=0,CL109,IF(CL$3=$E110,IF($AA110=1,$F110&amp;$AB110,$G110),IF(OR(CL$3=$D110,CL$3=$AC110,CL$3=$AE110),"",IF(CL$3=$AD110,$F110&amp;"R",CL109))))</f>
        <v>bR</v>
      </c>
      <c r="CM110" s="11" t="str">
        <f aca="false">IF($P110=0,CM109,IF(CM$3=$E110,IF($AA110=1,$F110&amp;$AB110,$G110),IF(OR(CM$3=$D110,CM$3=$AC110,CM$3=$AE110),"",IF(CM$3=$AD110,$F110&amp;"R",CM109))))</f>
        <v>bN</v>
      </c>
      <c r="CN110" s="11" t="str">
        <f aca="false">IF($P110=0,CN109,IF(CN$3=$E110,IF($AA110=1,$F110&amp;$AB110,$G110),IF(OR(CN$3=$D110,CN$3=$AC110,CN$3=$AE110),"",IF(CN$3=$AD110,$F110&amp;"R",CN109))))</f>
        <v>bB</v>
      </c>
      <c r="CO110" s="11" t="str">
        <f aca="false">IF($P110=0,CO109,IF(CO$3=$E110,IF($AA110=1,$F110&amp;$AB110,$G110),IF(OR(CO$3=$D110,CO$3=$AC110,CO$3=$AE110),"",IF(CO$3=$AD110,$F110&amp;"R",CO109))))</f>
        <v>bQ</v>
      </c>
      <c r="CP110" s="11" t="str">
        <f aca="false">IF($P110=0,CP109,IF(CP$3=$E110,IF($AA110=1,$F110&amp;$AB110,$G110),IF(OR(CP$3=$D110,CP$3=$AC110,CP$3=$AE110),"",IF(CP$3=$AD110,$F110&amp;"R",CP109))))</f>
        <v>bK</v>
      </c>
      <c r="CQ110" s="11" t="str">
        <f aca="false">IF($P110=0,CQ109,IF(CQ$3=$E110,IF($AA110=1,$F110&amp;$AB110,$G110),IF(OR(CQ$3=$D110,CQ$3=$AC110,CQ$3=$AE110),"",IF(CQ$3=$AD110,$F110&amp;"R",CQ109))))</f>
        <v>bB</v>
      </c>
      <c r="CR110" s="11" t="str">
        <f aca="false">IF($P110=0,CR109,IF(CR$3=$E110,IF($AA110=1,$F110&amp;$AB110,$G110),IF(OR(CR$3=$D110,CR$3=$AC110,CR$3=$AE110),"",IF(CR$3=$AD110,$F110&amp;"R",CR109))))</f>
        <v>bN</v>
      </c>
      <c r="CS110" s="11" t="str">
        <f aca="false">IF($P110=0,CS109,IF(CS$3=$E110,IF($AA110=1,$F110&amp;$AB110,$G110),IF(OR(CS$3=$D110,CS$3=$AC110,CS$3=$AE110),"",IF(CS$3=$AD110,$F110&amp;"R",CS109))))</f>
        <v>bR</v>
      </c>
      <c r="CT110" s="11"/>
      <c r="CU110" s="11"/>
      <c r="CV110" s="11"/>
    </row>
    <row r="111" customFormat="false" ht="15" hidden="false" customHeight="false" outlineLevel="0" collapsed="false">
      <c r="A111" s="11" t="n">
        <v>106</v>
      </c>
      <c r="B111" s="11" t="str">
        <f aca="false">IF(Chess!$L$115="","",Chess!$L$115&amp;"")</f>
        <v/>
      </c>
      <c r="C111" s="11" t="str">
        <f aca="false">LOWER(SUBSTITUTE(SUBSTITUTE(SUBSTITUTE(SUBSTITUTE(TRIM($B111),"-",""),"=","")," ",""),"x",""))</f>
        <v/>
      </c>
      <c r="D111" s="11" t="n">
        <f aca="false">IF(LEN($C111)&lt;4,0,IFERROR(IF(AND(CODE(MID($C111,1,1))&gt;=97,CODE(MID($C111,1,1))&lt;=104,VALUE(MID($C111,2,1))&gt;=1,VALUE(MID($C111,2,1))&lt;=8),(VALUE(MID($C111,2,1))-1)*8+CODE(MID($C111,1,1))-96,0),0))</f>
        <v>0</v>
      </c>
      <c r="E111" s="11" t="n">
        <f aca="false">IF(LEN($C111)&lt;4,0,IFERROR(IF(AND(CODE(MID($C111,3,1))&gt;=97,CODE(MID($C111,3,1))&lt;=104,VALUE(MID($C111,4,1))&gt;=1,VALUE(MID($C111,4,1))&lt;=8),(VALUE(MID($C111,4,1))-1)*8+CODE(MID($C111,3,1))-96,0),0))</f>
        <v>0</v>
      </c>
      <c r="F111" s="11" t="str">
        <f aca="false">IF(MOD(SUM($P$5:$P110),2)=0,"w","b")</f>
        <v>w</v>
      </c>
      <c r="G111" s="11" t="str">
        <f aca="false">IF($D111=0,"",INDEX($AH110:$CS110,1,$D111)&amp;"")</f>
        <v/>
      </c>
      <c r="H111" s="11" t="str">
        <f aca="false">IF($E111=0,"",INDEX($AH110:$CS110,1,$E111)&amp;"")</f>
        <v/>
      </c>
      <c r="I111" s="11" t="n">
        <f aca="false">IF(OR($D111=0,$E111=0),0,MOD($E111-1,8)-MOD($D111-1,8))</f>
        <v>0</v>
      </c>
      <c r="J111" s="11" t="n">
        <f aca="false">IF(OR($D111=0,$E111=0),0,INT(($E111-1)/8)-INT(($D111-1)/8))</f>
        <v>0</v>
      </c>
      <c r="K111" s="11" t="str">
        <f aca="false">IF($G111="","",RIGHT($G111,1))</f>
        <v/>
      </c>
      <c r="L111" s="11" t="n">
        <f aca="false">IF(OR($D111=0,$E111=0),0,SUMPRODUCT(($AH$3:$CS$3&gt;MIN($D111,$E111))*($AH$3:$CS$3&lt;MAX($D111,$E111))*(MOD($AH$3:$CS$3-MIN($D111,$E111),MAX(1,ABS(SIGN($J111)*8+SIGN($I111))))=0)*($AH110:$CS110&lt;&gt;"")))</f>
        <v>0</v>
      </c>
      <c r="M111" s="11" t="n">
        <f aca="false">IF($K111&lt;&gt;"K",0,IFERROR(--AND($J111=0,ABS($I111)=2,$D111=IF($F111="w",5,61),IF($F111="w",$S110,$V110)=0,IF($I111=2,AND(IF($F111="w",$U110,$X110)=0,INDEX($AH110:$CS110,1,$D111+1)&amp;""="",INDEX($AH110:$CS110,1,$D111+2)&amp;""=""),AND(IF($F111="w",$T110,$W110)=0,INDEX($AH110:$CS110,1,$D111-1)&amp;""="",INDEX($AH110:$CS110,1,$D111-2)&amp;""="",INDEX($AH110:$CS110,1,$D111-3)&amp;""=""))),0))</f>
        <v>0</v>
      </c>
      <c r="N111" s="11" t="n">
        <f aca="false">IF($K111&lt;&gt;"P",0,IFERROR(--OR(AND($I111=0,$J111=IF($F111="w",1,-1),$H111=""),AND($I111=0,$J111=2*IF($F111="w",1,-1),$H111="",INT(($D111-1)/8)=IF($F111="w",1,6),INDEX($AH110:$CS110,1,MAX(1,MIN(64,$D111+8*IF($F111="w",1,-1))))&amp;""=""),AND(ABS($I111)=1,$J111=IF($F111="w",1,-1),$H111&lt;&gt;""),AND(ABS($I111)=1,$J111=IF($F111="w",1,-1),$H111="",$R110&gt;0,$E111=$R110)),0))</f>
        <v>0</v>
      </c>
      <c r="O111" s="11" t="n">
        <f aca="false">IF(OR($D111=0,$E111=0,$G111=""),0,IF($K111="N",--OR(AND(ABS($I111)=1,ABS($J111)=2),AND(ABS($I111)=2,ABS($J111)=1)),IF($K111="B",--AND(ABS($I111)=ABS($J111),$I111&lt;&gt;0,$L111=0),IF($K111="R",--AND(OR($I111=0,$J111=0),OR($I111&lt;&gt;0,$J111&lt;&gt;0),$L111=0),IF($K111="Q",--AND(OR(AND(ABS($I111)=ABS($J111),$I111&lt;&gt;0),AND(OR($I111=0,$J111=0),OR($I111&lt;&gt;0,$J111&lt;&gt;0))),$L111=0),IF($K111="K",--OR(MAX(ABS($I111),ABS($J111))=1,$M111=1),$N111))))))</f>
        <v>0</v>
      </c>
      <c r="P111" s="11" t="n">
        <f aca="false">IF($Q111="OK",1,0)</f>
        <v>0</v>
      </c>
      <c r="Q111" s="11" t="str">
        <f aca="false">IF($B111="","",IF(OR(COUNTIF($AH110:$CS110,"wK")=0,COUNTIF($AH110:$CS110,"bK")=0),"Game is over",IF(OR($D111=0,$E111=0),"Use the format e2e4",IF($G111="","No piece on that square",IF(LEFT($G111,1)&lt;&gt;$F111,"Not your piece ("&amp;IF($F111="w","White","Black")&amp;" to move)",IF($D111=$E111,"Piece must move",IF(AND($H111&lt;&gt;"",LEFT($H111,1)=$F111),"Cannot capture your own piece",IF($O111=0,"Illegal move for that piece (or path blocked)","OK"))))))))</f>
        <v/>
      </c>
      <c r="R111" s="11" t="n">
        <f aca="false">IF($P111=1,IF(AND($K111="P",ABS($J111)=2),($D111+$E111)/2,0),$R110)</f>
        <v>0</v>
      </c>
      <c r="S111" s="12" t="b">
        <f aca="false">--OR($S110=1,AND($P111=1,OR($D111=5,$E111=5)))</f>
        <v>0</v>
      </c>
      <c r="T111" s="12" t="b">
        <f aca="false">--OR($T110=1,AND($P111=1,OR($D111=1,$E111=1)))</f>
        <v>0</v>
      </c>
      <c r="U111" s="12" t="b">
        <f aca="false">--OR($U110=1,AND($P111=1,OR($D111=8,$E111=8)))</f>
        <v>0</v>
      </c>
      <c r="V111" s="12" t="b">
        <f aca="false">--OR($V110=1,AND($P111=1,OR($D111=61,$E111=61)))</f>
        <v>0</v>
      </c>
      <c r="W111" s="12" t="b">
        <f aca="false">--OR($W110=1,AND($P111=1,OR($D111=57,$E111=57)))</f>
        <v>0</v>
      </c>
      <c r="X111" s="12" t="b">
        <f aca="false">--OR($X110=1,AND($P111=1,OR($D111=64,$E111=64)))</f>
        <v>0</v>
      </c>
      <c r="Y111" s="12" t="b">
        <f aca="false">--AND($P111=1,$K111="K",ABS($I111)=2)</f>
        <v>0</v>
      </c>
      <c r="Z111" s="12" t="b">
        <f aca="false">--AND($P111=1,$K111="P",ABS($I111)=1,$H111="")</f>
        <v>0</v>
      </c>
      <c r="AA111" s="12" t="b">
        <f aca="false">--AND($P111=1,$K111="P",INT(($E111-1)/8)=IF($F111="w",7,0))</f>
        <v>0</v>
      </c>
      <c r="AB111" s="11" t="str">
        <f aca="false">IF(LEN($C111)&gt;=5,IF(ISNUMBER(FIND(MID($C111,5,1),"qrbn")),UPPER(MID($C111,5,1)),"Q"),"Q")</f>
        <v>Q</v>
      </c>
      <c r="AC111" s="11" t="n">
        <f aca="false">IF($Y111=1,IF($I111=2,$D111+3,$D111-4),0)</f>
        <v>0</v>
      </c>
      <c r="AD111" s="11" t="n">
        <f aca="false">IF($Y111=1,IF($I111=2,$D111+1,$D111-1),0)</f>
        <v>0</v>
      </c>
      <c r="AE111" s="11" t="n">
        <f aca="false">IF($Z111=1,$E111-8*IF($F111="w",1,-1),0)</f>
        <v>0</v>
      </c>
      <c r="AF111" s="11" t="str">
        <f aca="false">IF($B111="","",IF($P111=1,LOWER(INDEX($CV$2:$CV$13,MATCH($G111,$CU$2:$CU$13,0)))&amp;" "&amp;MID("abcdefgh",MOD($D111-1,8)+1,1)&amp;(INT(($D111-1)/8)+1)&amp;"→"&amp;MID("abcdefgh",MOD($E111-1,8)+1,1)&amp;(INT(($E111-1)/8)+1)&amp;IF(OR($H111&lt;&gt;"",$Z111=1)," ×","")&amp;IF($Y111=1," castles","")&amp;IF($Z111=1," e.p.","")&amp;IF($AA111=1," =" &amp;LOWER(INDEX($CV$2:$CV$13,MATCH($F111&amp;$AB111,$CU$2:$CU$13,0))),""),"X "&amp;$Q111))</f>
        <v/>
      </c>
      <c r="AG111" s="11"/>
      <c r="AH111" s="11" t="str">
        <f aca="false">IF($P111=0,AH110,IF(AH$3=$E111,IF($AA111=1,$F111&amp;$AB111,$G111),IF(OR(AH$3=$D111,AH$3=$AC111,AH$3=$AE111),"",IF(AH$3=$AD111,$F111&amp;"R",AH110))))</f>
        <v>wR</v>
      </c>
      <c r="AI111" s="11" t="str">
        <f aca="false">IF($P111=0,AI110,IF(AI$3=$E111,IF($AA111=1,$F111&amp;$AB111,$G111),IF(OR(AI$3=$D111,AI$3=$AC111,AI$3=$AE111),"",IF(AI$3=$AD111,$F111&amp;"R",AI110))))</f>
        <v>wN</v>
      </c>
      <c r="AJ111" s="11" t="str">
        <f aca="false">IF($P111=0,AJ110,IF(AJ$3=$E111,IF($AA111=1,$F111&amp;$AB111,$G111),IF(OR(AJ$3=$D111,AJ$3=$AC111,AJ$3=$AE111),"",IF(AJ$3=$AD111,$F111&amp;"R",AJ110))))</f>
        <v>wB</v>
      </c>
      <c r="AK111" s="11" t="str">
        <f aca="false">IF($P111=0,AK110,IF(AK$3=$E111,IF($AA111=1,$F111&amp;$AB111,$G111),IF(OR(AK$3=$D111,AK$3=$AC111,AK$3=$AE111),"",IF(AK$3=$AD111,$F111&amp;"R",AK110))))</f>
        <v>wQ</v>
      </c>
      <c r="AL111" s="11" t="str">
        <f aca="false">IF($P111=0,AL110,IF(AL$3=$E111,IF($AA111=1,$F111&amp;$AB111,$G111),IF(OR(AL$3=$D111,AL$3=$AC111,AL$3=$AE111),"",IF(AL$3=$AD111,$F111&amp;"R",AL110))))</f>
        <v>wK</v>
      </c>
      <c r="AM111" s="11" t="str">
        <f aca="false">IF($P111=0,AM110,IF(AM$3=$E111,IF($AA111=1,$F111&amp;$AB111,$G111),IF(OR(AM$3=$D111,AM$3=$AC111,AM$3=$AE111),"",IF(AM$3=$AD111,$F111&amp;"R",AM110))))</f>
        <v>wB</v>
      </c>
      <c r="AN111" s="11" t="str">
        <f aca="false">IF($P111=0,AN110,IF(AN$3=$E111,IF($AA111=1,$F111&amp;$AB111,$G111),IF(OR(AN$3=$D111,AN$3=$AC111,AN$3=$AE111),"",IF(AN$3=$AD111,$F111&amp;"R",AN110))))</f>
        <v>wN</v>
      </c>
      <c r="AO111" s="11" t="str">
        <f aca="false">IF($P111=0,AO110,IF(AO$3=$E111,IF($AA111=1,$F111&amp;$AB111,$G111),IF(OR(AO$3=$D111,AO$3=$AC111,AO$3=$AE111),"",IF(AO$3=$AD111,$F111&amp;"R",AO110))))</f>
        <v>wR</v>
      </c>
      <c r="AP111" s="11" t="str">
        <f aca="false">IF($P111=0,AP110,IF(AP$3=$E111,IF($AA111=1,$F111&amp;$AB111,$G111),IF(OR(AP$3=$D111,AP$3=$AC111,AP$3=$AE111),"",IF(AP$3=$AD111,$F111&amp;"R",AP110))))</f>
        <v>wP</v>
      </c>
      <c r="AQ111" s="11" t="str">
        <f aca="false">IF($P111=0,AQ110,IF(AQ$3=$E111,IF($AA111=1,$F111&amp;$AB111,$G111),IF(OR(AQ$3=$D111,AQ$3=$AC111,AQ$3=$AE111),"",IF(AQ$3=$AD111,$F111&amp;"R",AQ110))))</f>
        <v>wP</v>
      </c>
      <c r="AR111" s="11" t="str">
        <f aca="false">IF($P111=0,AR110,IF(AR$3=$E111,IF($AA111=1,$F111&amp;$AB111,$G111),IF(OR(AR$3=$D111,AR$3=$AC111,AR$3=$AE111),"",IF(AR$3=$AD111,$F111&amp;"R",AR110))))</f>
        <v>wP</v>
      </c>
      <c r="AS111" s="11" t="str">
        <f aca="false">IF($P111=0,AS110,IF(AS$3=$E111,IF($AA111=1,$F111&amp;$AB111,$G111),IF(OR(AS$3=$D111,AS$3=$AC111,AS$3=$AE111),"",IF(AS$3=$AD111,$F111&amp;"R",AS110))))</f>
        <v>wP</v>
      </c>
      <c r="AT111" s="11" t="str">
        <f aca="false">IF($P111=0,AT110,IF(AT$3=$E111,IF($AA111=1,$F111&amp;$AB111,$G111),IF(OR(AT$3=$D111,AT$3=$AC111,AT$3=$AE111),"",IF(AT$3=$AD111,$F111&amp;"R",AT110))))</f>
        <v>wP</v>
      </c>
      <c r="AU111" s="11" t="str">
        <f aca="false">IF($P111=0,AU110,IF(AU$3=$E111,IF($AA111=1,$F111&amp;$AB111,$G111),IF(OR(AU$3=$D111,AU$3=$AC111,AU$3=$AE111),"",IF(AU$3=$AD111,$F111&amp;"R",AU110))))</f>
        <v>wP</v>
      </c>
      <c r="AV111" s="11" t="str">
        <f aca="false">IF($P111=0,AV110,IF(AV$3=$E111,IF($AA111=1,$F111&amp;$AB111,$G111),IF(OR(AV$3=$D111,AV$3=$AC111,AV$3=$AE111),"",IF(AV$3=$AD111,$F111&amp;"R",AV110))))</f>
        <v>wP</v>
      </c>
      <c r="AW111" s="11" t="str">
        <f aca="false">IF($P111=0,AW110,IF(AW$3=$E111,IF($AA111=1,$F111&amp;$AB111,$G111),IF(OR(AW$3=$D111,AW$3=$AC111,AW$3=$AE111),"",IF(AW$3=$AD111,$F111&amp;"R",AW110))))</f>
        <v>wP</v>
      </c>
      <c r="AX111" s="11" t="str">
        <f aca="false">IF($P111=0,AX110,IF(AX$3=$E111,IF($AA111=1,$F111&amp;$AB111,$G111),IF(OR(AX$3=$D111,AX$3=$AC111,AX$3=$AE111),"",IF(AX$3=$AD111,$F111&amp;"R",AX110))))</f>
        <v/>
      </c>
      <c r="AY111" s="11" t="str">
        <f aca="false">IF($P111=0,AY110,IF(AY$3=$E111,IF($AA111=1,$F111&amp;$AB111,$G111),IF(OR(AY$3=$D111,AY$3=$AC111,AY$3=$AE111),"",IF(AY$3=$AD111,$F111&amp;"R",AY110))))</f>
        <v/>
      </c>
      <c r="AZ111" s="11" t="str">
        <f aca="false">IF($P111=0,AZ110,IF(AZ$3=$E111,IF($AA111=1,$F111&amp;$AB111,$G111),IF(OR(AZ$3=$D111,AZ$3=$AC111,AZ$3=$AE111),"",IF(AZ$3=$AD111,$F111&amp;"R",AZ110))))</f>
        <v/>
      </c>
      <c r="BA111" s="11" t="str">
        <f aca="false">IF($P111=0,BA110,IF(BA$3=$E111,IF($AA111=1,$F111&amp;$AB111,$G111),IF(OR(BA$3=$D111,BA$3=$AC111,BA$3=$AE111),"",IF(BA$3=$AD111,$F111&amp;"R",BA110))))</f>
        <v/>
      </c>
      <c r="BB111" s="11" t="str">
        <f aca="false">IF($P111=0,BB110,IF(BB$3=$E111,IF($AA111=1,$F111&amp;$AB111,$G111),IF(OR(BB$3=$D111,BB$3=$AC111,BB$3=$AE111),"",IF(BB$3=$AD111,$F111&amp;"R",BB110))))</f>
        <v/>
      </c>
      <c r="BC111" s="11" t="str">
        <f aca="false">IF($P111=0,BC110,IF(BC$3=$E111,IF($AA111=1,$F111&amp;$AB111,$G111),IF(OR(BC$3=$D111,BC$3=$AC111,BC$3=$AE111),"",IF(BC$3=$AD111,$F111&amp;"R",BC110))))</f>
        <v/>
      </c>
      <c r="BD111" s="11" t="str">
        <f aca="false">IF($P111=0,BD110,IF(BD$3=$E111,IF($AA111=1,$F111&amp;$AB111,$G111),IF(OR(BD$3=$D111,BD$3=$AC111,BD$3=$AE111),"",IF(BD$3=$AD111,$F111&amp;"R",BD110))))</f>
        <v/>
      </c>
      <c r="BE111" s="11" t="str">
        <f aca="false">IF($P111=0,BE110,IF(BE$3=$E111,IF($AA111=1,$F111&amp;$AB111,$G111),IF(OR(BE$3=$D111,BE$3=$AC111,BE$3=$AE111),"",IF(BE$3=$AD111,$F111&amp;"R",BE110))))</f>
        <v/>
      </c>
      <c r="BF111" s="11" t="str">
        <f aca="false">IF($P111=0,BF110,IF(BF$3=$E111,IF($AA111=1,$F111&amp;$AB111,$G111),IF(OR(BF$3=$D111,BF$3=$AC111,BF$3=$AE111),"",IF(BF$3=$AD111,$F111&amp;"R",BF110))))</f>
        <v/>
      </c>
      <c r="BG111" s="11" t="str">
        <f aca="false">IF($P111=0,BG110,IF(BG$3=$E111,IF($AA111=1,$F111&amp;$AB111,$G111),IF(OR(BG$3=$D111,BG$3=$AC111,BG$3=$AE111),"",IF(BG$3=$AD111,$F111&amp;"R",BG110))))</f>
        <v/>
      </c>
      <c r="BH111" s="11" t="str">
        <f aca="false">IF($P111=0,BH110,IF(BH$3=$E111,IF($AA111=1,$F111&amp;$AB111,$G111),IF(OR(BH$3=$D111,BH$3=$AC111,BH$3=$AE111),"",IF(BH$3=$AD111,$F111&amp;"R",BH110))))</f>
        <v/>
      </c>
      <c r="BI111" s="11" t="str">
        <f aca="false">IF($P111=0,BI110,IF(BI$3=$E111,IF($AA111=1,$F111&amp;$AB111,$G111),IF(OR(BI$3=$D111,BI$3=$AC111,BI$3=$AE111),"",IF(BI$3=$AD111,$F111&amp;"R",BI110))))</f>
        <v/>
      </c>
      <c r="BJ111" s="11" t="str">
        <f aca="false">IF($P111=0,BJ110,IF(BJ$3=$E111,IF($AA111=1,$F111&amp;$AB111,$G111),IF(OR(BJ$3=$D111,BJ$3=$AC111,BJ$3=$AE111),"",IF(BJ$3=$AD111,$F111&amp;"R",BJ110))))</f>
        <v/>
      </c>
      <c r="BK111" s="11" t="str">
        <f aca="false">IF($P111=0,BK110,IF(BK$3=$E111,IF($AA111=1,$F111&amp;$AB111,$G111),IF(OR(BK$3=$D111,BK$3=$AC111,BK$3=$AE111),"",IF(BK$3=$AD111,$F111&amp;"R",BK110))))</f>
        <v/>
      </c>
      <c r="BL111" s="11" t="str">
        <f aca="false">IF($P111=0,BL110,IF(BL$3=$E111,IF($AA111=1,$F111&amp;$AB111,$G111),IF(OR(BL$3=$D111,BL$3=$AC111,BL$3=$AE111),"",IF(BL$3=$AD111,$F111&amp;"R",BL110))))</f>
        <v/>
      </c>
      <c r="BM111" s="11" t="str">
        <f aca="false">IF($P111=0,BM110,IF(BM$3=$E111,IF($AA111=1,$F111&amp;$AB111,$G111),IF(OR(BM$3=$D111,BM$3=$AC111,BM$3=$AE111),"",IF(BM$3=$AD111,$F111&amp;"R",BM110))))</f>
        <v/>
      </c>
      <c r="BN111" s="11" t="str">
        <f aca="false">IF($P111=0,BN110,IF(BN$3=$E111,IF($AA111=1,$F111&amp;$AB111,$G111),IF(OR(BN$3=$D111,BN$3=$AC111,BN$3=$AE111),"",IF(BN$3=$AD111,$F111&amp;"R",BN110))))</f>
        <v/>
      </c>
      <c r="BO111" s="11" t="str">
        <f aca="false">IF($P111=0,BO110,IF(BO$3=$E111,IF($AA111=1,$F111&amp;$AB111,$G111),IF(OR(BO$3=$D111,BO$3=$AC111,BO$3=$AE111),"",IF(BO$3=$AD111,$F111&amp;"R",BO110))))</f>
        <v/>
      </c>
      <c r="BP111" s="11" t="str">
        <f aca="false">IF($P111=0,BP110,IF(BP$3=$E111,IF($AA111=1,$F111&amp;$AB111,$G111),IF(OR(BP$3=$D111,BP$3=$AC111,BP$3=$AE111),"",IF(BP$3=$AD111,$F111&amp;"R",BP110))))</f>
        <v/>
      </c>
      <c r="BQ111" s="11" t="str">
        <f aca="false">IF($P111=0,BQ110,IF(BQ$3=$E111,IF($AA111=1,$F111&amp;$AB111,$G111),IF(OR(BQ$3=$D111,BQ$3=$AC111,BQ$3=$AE111),"",IF(BQ$3=$AD111,$F111&amp;"R",BQ110))))</f>
        <v/>
      </c>
      <c r="BR111" s="11" t="str">
        <f aca="false">IF($P111=0,BR110,IF(BR$3=$E111,IF($AA111=1,$F111&amp;$AB111,$G111),IF(OR(BR$3=$D111,BR$3=$AC111,BR$3=$AE111),"",IF(BR$3=$AD111,$F111&amp;"R",BR110))))</f>
        <v/>
      </c>
      <c r="BS111" s="11" t="str">
        <f aca="false">IF($P111=0,BS110,IF(BS$3=$E111,IF($AA111=1,$F111&amp;$AB111,$G111),IF(OR(BS$3=$D111,BS$3=$AC111,BS$3=$AE111),"",IF(BS$3=$AD111,$F111&amp;"R",BS110))))</f>
        <v/>
      </c>
      <c r="BT111" s="11" t="str">
        <f aca="false">IF($P111=0,BT110,IF(BT$3=$E111,IF($AA111=1,$F111&amp;$AB111,$G111),IF(OR(BT$3=$D111,BT$3=$AC111,BT$3=$AE111),"",IF(BT$3=$AD111,$F111&amp;"R",BT110))))</f>
        <v/>
      </c>
      <c r="BU111" s="11" t="str">
        <f aca="false">IF($P111=0,BU110,IF(BU$3=$E111,IF($AA111=1,$F111&amp;$AB111,$G111),IF(OR(BU$3=$D111,BU$3=$AC111,BU$3=$AE111),"",IF(BU$3=$AD111,$F111&amp;"R",BU110))))</f>
        <v/>
      </c>
      <c r="BV111" s="11" t="str">
        <f aca="false">IF($P111=0,BV110,IF(BV$3=$E111,IF($AA111=1,$F111&amp;$AB111,$G111),IF(OR(BV$3=$D111,BV$3=$AC111,BV$3=$AE111),"",IF(BV$3=$AD111,$F111&amp;"R",BV110))))</f>
        <v/>
      </c>
      <c r="BW111" s="11" t="str">
        <f aca="false">IF($P111=0,BW110,IF(BW$3=$E111,IF($AA111=1,$F111&amp;$AB111,$G111),IF(OR(BW$3=$D111,BW$3=$AC111,BW$3=$AE111),"",IF(BW$3=$AD111,$F111&amp;"R",BW110))))</f>
        <v/>
      </c>
      <c r="BX111" s="11" t="str">
        <f aca="false">IF($P111=0,BX110,IF(BX$3=$E111,IF($AA111=1,$F111&amp;$AB111,$G111),IF(OR(BX$3=$D111,BX$3=$AC111,BX$3=$AE111),"",IF(BX$3=$AD111,$F111&amp;"R",BX110))))</f>
        <v/>
      </c>
      <c r="BY111" s="11" t="str">
        <f aca="false">IF($P111=0,BY110,IF(BY$3=$E111,IF($AA111=1,$F111&amp;$AB111,$G111),IF(OR(BY$3=$D111,BY$3=$AC111,BY$3=$AE111),"",IF(BY$3=$AD111,$F111&amp;"R",BY110))))</f>
        <v/>
      </c>
      <c r="BZ111" s="11" t="str">
        <f aca="false">IF($P111=0,BZ110,IF(BZ$3=$E111,IF($AA111=1,$F111&amp;$AB111,$G111),IF(OR(BZ$3=$D111,BZ$3=$AC111,BZ$3=$AE111),"",IF(BZ$3=$AD111,$F111&amp;"R",BZ110))))</f>
        <v/>
      </c>
      <c r="CA111" s="11" t="str">
        <f aca="false">IF($P111=0,CA110,IF(CA$3=$E111,IF($AA111=1,$F111&amp;$AB111,$G111),IF(OR(CA$3=$D111,CA$3=$AC111,CA$3=$AE111),"",IF(CA$3=$AD111,$F111&amp;"R",CA110))))</f>
        <v/>
      </c>
      <c r="CB111" s="11" t="str">
        <f aca="false">IF($P111=0,CB110,IF(CB$3=$E111,IF($AA111=1,$F111&amp;$AB111,$G111),IF(OR(CB$3=$D111,CB$3=$AC111,CB$3=$AE111),"",IF(CB$3=$AD111,$F111&amp;"R",CB110))))</f>
        <v/>
      </c>
      <c r="CC111" s="11" t="str">
        <f aca="false">IF($P111=0,CC110,IF(CC$3=$E111,IF($AA111=1,$F111&amp;$AB111,$G111),IF(OR(CC$3=$D111,CC$3=$AC111,CC$3=$AE111),"",IF(CC$3=$AD111,$F111&amp;"R",CC110))))</f>
        <v/>
      </c>
      <c r="CD111" s="11" t="str">
        <f aca="false">IF($P111=0,CD110,IF(CD$3=$E111,IF($AA111=1,$F111&amp;$AB111,$G111),IF(OR(CD$3=$D111,CD$3=$AC111,CD$3=$AE111),"",IF(CD$3=$AD111,$F111&amp;"R",CD110))))</f>
        <v>bP</v>
      </c>
      <c r="CE111" s="11" t="str">
        <f aca="false">IF($P111=0,CE110,IF(CE$3=$E111,IF($AA111=1,$F111&amp;$AB111,$G111),IF(OR(CE$3=$D111,CE$3=$AC111,CE$3=$AE111),"",IF(CE$3=$AD111,$F111&amp;"R",CE110))))</f>
        <v>bP</v>
      </c>
      <c r="CF111" s="11" t="str">
        <f aca="false">IF($P111=0,CF110,IF(CF$3=$E111,IF($AA111=1,$F111&amp;$AB111,$G111),IF(OR(CF$3=$D111,CF$3=$AC111,CF$3=$AE111),"",IF(CF$3=$AD111,$F111&amp;"R",CF110))))</f>
        <v>bP</v>
      </c>
      <c r="CG111" s="11" t="str">
        <f aca="false">IF($P111=0,CG110,IF(CG$3=$E111,IF($AA111=1,$F111&amp;$AB111,$G111),IF(OR(CG$3=$D111,CG$3=$AC111,CG$3=$AE111),"",IF(CG$3=$AD111,$F111&amp;"R",CG110))))</f>
        <v>bP</v>
      </c>
      <c r="CH111" s="11" t="str">
        <f aca="false">IF($P111=0,CH110,IF(CH$3=$E111,IF($AA111=1,$F111&amp;$AB111,$G111),IF(OR(CH$3=$D111,CH$3=$AC111,CH$3=$AE111),"",IF(CH$3=$AD111,$F111&amp;"R",CH110))))</f>
        <v>bP</v>
      </c>
      <c r="CI111" s="11" t="str">
        <f aca="false">IF($P111=0,CI110,IF(CI$3=$E111,IF($AA111=1,$F111&amp;$AB111,$G111),IF(OR(CI$3=$D111,CI$3=$AC111,CI$3=$AE111),"",IF(CI$3=$AD111,$F111&amp;"R",CI110))))</f>
        <v>bP</v>
      </c>
      <c r="CJ111" s="11" t="str">
        <f aca="false">IF($P111=0,CJ110,IF(CJ$3=$E111,IF($AA111=1,$F111&amp;$AB111,$G111),IF(OR(CJ$3=$D111,CJ$3=$AC111,CJ$3=$AE111),"",IF(CJ$3=$AD111,$F111&amp;"R",CJ110))))</f>
        <v>bP</v>
      </c>
      <c r="CK111" s="11" t="str">
        <f aca="false">IF($P111=0,CK110,IF(CK$3=$E111,IF($AA111=1,$F111&amp;$AB111,$G111),IF(OR(CK$3=$D111,CK$3=$AC111,CK$3=$AE111),"",IF(CK$3=$AD111,$F111&amp;"R",CK110))))</f>
        <v>bP</v>
      </c>
      <c r="CL111" s="11" t="str">
        <f aca="false">IF($P111=0,CL110,IF(CL$3=$E111,IF($AA111=1,$F111&amp;$AB111,$G111),IF(OR(CL$3=$D111,CL$3=$AC111,CL$3=$AE111),"",IF(CL$3=$AD111,$F111&amp;"R",CL110))))</f>
        <v>bR</v>
      </c>
      <c r="CM111" s="11" t="str">
        <f aca="false">IF($P111=0,CM110,IF(CM$3=$E111,IF($AA111=1,$F111&amp;$AB111,$G111),IF(OR(CM$3=$D111,CM$3=$AC111,CM$3=$AE111),"",IF(CM$3=$AD111,$F111&amp;"R",CM110))))</f>
        <v>bN</v>
      </c>
      <c r="CN111" s="11" t="str">
        <f aca="false">IF($P111=0,CN110,IF(CN$3=$E111,IF($AA111=1,$F111&amp;$AB111,$G111),IF(OR(CN$3=$D111,CN$3=$AC111,CN$3=$AE111),"",IF(CN$3=$AD111,$F111&amp;"R",CN110))))</f>
        <v>bB</v>
      </c>
      <c r="CO111" s="11" t="str">
        <f aca="false">IF($P111=0,CO110,IF(CO$3=$E111,IF($AA111=1,$F111&amp;$AB111,$G111),IF(OR(CO$3=$D111,CO$3=$AC111,CO$3=$AE111),"",IF(CO$3=$AD111,$F111&amp;"R",CO110))))</f>
        <v>bQ</v>
      </c>
      <c r="CP111" s="11" t="str">
        <f aca="false">IF($P111=0,CP110,IF(CP$3=$E111,IF($AA111=1,$F111&amp;$AB111,$G111),IF(OR(CP$3=$D111,CP$3=$AC111,CP$3=$AE111),"",IF(CP$3=$AD111,$F111&amp;"R",CP110))))</f>
        <v>bK</v>
      </c>
      <c r="CQ111" s="11" t="str">
        <f aca="false">IF($P111=0,CQ110,IF(CQ$3=$E111,IF($AA111=1,$F111&amp;$AB111,$G111),IF(OR(CQ$3=$D111,CQ$3=$AC111,CQ$3=$AE111),"",IF(CQ$3=$AD111,$F111&amp;"R",CQ110))))</f>
        <v>bB</v>
      </c>
      <c r="CR111" s="11" t="str">
        <f aca="false">IF($P111=0,CR110,IF(CR$3=$E111,IF($AA111=1,$F111&amp;$AB111,$G111),IF(OR(CR$3=$D111,CR$3=$AC111,CR$3=$AE111),"",IF(CR$3=$AD111,$F111&amp;"R",CR110))))</f>
        <v>bN</v>
      </c>
      <c r="CS111" s="11" t="str">
        <f aca="false">IF($P111=0,CS110,IF(CS$3=$E111,IF($AA111=1,$F111&amp;$AB111,$G111),IF(OR(CS$3=$D111,CS$3=$AC111,CS$3=$AE111),"",IF(CS$3=$AD111,$F111&amp;"R",CS110))))</f>
        <v>bR</v>
      </c>
      <c r="CT111" s="11"/>
      <c r="CU111" s="11"/>
      <c r="CV111" s="11"/>
    </row>
    <row r="112" customFormat="false" ht="15" hidden="false" customHeight="false" outlineLevel="0" collapsed="false">
      <c r="A112" s="11" t="n">
        <v>107</v>
      </c>
      <c r="B112" s="11" t="str">
        <f aca="false">IF(Chess!$L$116="","",Chess!$L$116&amp;"")</f>
        <v/>
      </c>
      <c r="C112" s="11" t="str">
        <f aca="false">LOWER(SUBSTITUTE(SUBSTITUTE(SUBSTITUTE(SUBSTITUTE(TRIM($B112),"-",""),"=","")," ",""),"x",""))</f>
        <v/>
      </c>
      <c r="D112" s="11" t="n">
        <f aca="false">IF(LEN($C112)&lt;4,0,IFERROR(IF(AND(CODE(MID($C112,1,1))&gt;=97,CODE(MID($C112,1,1))&lt;=104,VALUE(MID($C112,2,1))&gt;=1,VALUE(MID($C112,2,1))&lt;=8),(VALUE(MID($C112,2,1))-1)*8+CODE(MID($C112,1,1))-96,0),0))</f>
        <v>0</v>
      </c>
      <c r="E112" s="11" t="n">
        <f aca="false">IF(LEN($C112)&lt;4,0,IFERROR(IF(AND(CODE(MID($C112,3,1))&gt;=97,CODE(MID($C112,3,1))&lt;=104,VALUE(MID($C112,4,1))&gt;=1,VALUE(MID($C112,4,1))&lt;=8),(VALUE(MID($C112,4,1))-1)*8+CODE(MID($C112,3,1))-96,0),0))</f>
        <v>0</v>
      </c>
      <c r="F112" s="11" t="str">
        <f aca="false">IF(MOD(SUM($P$5:$P111),2)=0,"w","b")</f>
        <v>w</v>
      </c>
      <c r="G112" s="11" t="str">
        <f aca="false">IF($D112=0,"",INDEX($AH111:$CS111,1,$D112)&amp;"")</f>
        <v/>
      </c>
      <c r="H112" s="11" t="str">
        <f aca="false">IF($E112=0,"",INDEX($AH111:$CS111,1,$E112)&amp;"")</f>
        <v/>
      </c>
      <c r="I112" s="11" t="n">
        <f aca="false">IF(OR($D112=0,$E112=0),0,MOD($E112-1,8)-MOD($D112-1,8))</f>
        <v>0</v>
      </c>
      <c r="J112" s="11" t="n">
        <f aca="false">IF(OR($D112=0,$E112=0),0,INT(($E112-1)/8)-INT(($D112-1)/8))</f>
        <v>0</v>
      </c>
      <c r="K112" s="11" t="str">
        <f aca="false">IF($G112="","",RIGHT($G112,1))</f>
        <v/>
      </c>
      <c r="L112" s="11" t="n">
        <f aca="false">IF(OR($D112=0,$E112=0),0,SUMPRODUCT(($AH$3:$CS$3&gt;MIN($D112,$E112))*($AH$3:$CS$3&lt;MAX($D112,$E112))*(MOD($AH$3:$CS$3-MIN($D112,$E112),MAX(1,ABS(SIGN($J112)*8+SIGN($I112))))=0)*($AH111:$CS111&lt;&gt;"")))</f>
        <v>0</v>
      </c>
      <c r="M112" s="11" t="n">
        <f aca="false">IF($K112&lt;&gt;"K",0,IFERROR(--AND($J112=0,ABS($I112)=2,$D112=IF($F112="w",5,61),IF($F112="w",$S111,$V111)=0,IF($I112=2,AND(IF($F112="w",$U111,$X111)=0,INDEX($AH111:$CS111,1,$D112+1)&amp;""="",INDEX($AH111:$CS111,1,$D112+2)&amp;""=""),AND(IF($F112="w",$T111,$W111)=0,INDEX($AH111:$CS111,1,$D112-1)&amp;""="",INDEX($AH111:$CS111,1,$D112-2)&amp;""="",INDEX($AH111:$CS111,1,$D112-3)&amp;""=""))),0))</f>
        <v>0</v>
      </c>
      <c r="N112" s="11" t="n">
        <f aca="false">IF($K112&lt;&gt;"P",0,IFERROR(--OR(AND($I112=0,$J112=IF($F112="w",1,-1),$H112=""),AND($I112=0,$J112=2*IF($F112="w",1,-1),$H112="",INT(($D112-1)/8)=IF($F112="w",1,6),INDEX($AH111:$CS111,1,MAX(1,MIN(64,$D112+8*IF($F112="w",1,-1))))&amp;""=""),AND(ABS($I112)=1,$J112=IF($F112="w",1,-1),$H112&lt;&gt;""),AND(ABS($I112)=1,$J112=IF($F112="w",1,-1),$H112="",$R111&gt;0,$E112=$R111)),0))</f>
        <v>0</v>
      </c>
      <c r="O112" s="11" t="n">
        <f aca="false">IF(OR($D112=0,$E112=0,$G112=""),0,IF($K112="N",--OR(AND(ABS($I112)=1,ABS($J112)=2),AND(ABS($I112)=2,ABS($J112)=1)),IF($K112="B",--AND(ABS($I112)=ABS($J112),$I112&lt;&gt;0,$L112=0),IF($K112="R",--AND(OR($I112=0,$J112=0),OR($I112&lt;&gt;0,$J112&lt;&gt;0),$L112=0),IF($K112="Q",--AND(OR(AND(ABS($I112)=ABS($J112),$I112&lt;&gt;0),AND(OR($I112=0,$J112=0),OR($I112&lt;&gt;0,$J112&lt;&gt;0))),$L112=0),IF($K112="K",--OR(MAX(ABS($I112),ABS($J112))=1,$M112=1),$N112))))))</f>
        <v>0</v>
      </c>
      <c r="P112" s="11" t="n">
        <f aca="false">IF($Q112="OK",1,0)</f>
        <v>0</v>
      </c>
      <c r="Q112" s="11" t="str">
        <f aca="false">IF($B112="","",IF(OR(COUNTIF($AH111:$CS111,"wK")=0,COUNTIF($AH111:$CS111,"bK")=0),"Game is over",IF(OR($D112=0,$E112=0),"Use the format e2e4",IF($G112="","No piece on that square",IF(LEFT($G112,1)&lt;&gt;$F112,"Not your piece ("&amp;IF($F112="w","White","Black")&amp;" to move)",IF($D112=$E112,"Piece must move",IF(AND($H112&lt;&gt;"",LEFT($H112,1)=$F112),"Cannot capture your own piece",IF($O112=0,"Illegal move for that piece (or path blocked)","OK"))))))))</f>
        <v/>
      </c>
      <c r="R112" s="11" t="n">
        <f aca="false">IF($P112=1,IF(AND($K112="P",ABS($J112)=2),($D112+$E112)/2,0),$R111)</f>
        <v>0</v>
      </c>
      <c r="S112" s="12" t="b">
        <f aca="false">--OR($S111=1,AND($P112=1,OR($D112=5,$E112=5)))</f>
        <v>0</v>
      </c>
      <c r="T112" s="12" t="b">
        <f aca="false">--OR($T111=1,AND($P112=1,OR($D112=1,$E112=1)))</f>
        <v>0</v>
      </c>
      <c r="U112" s="12" t="b">
        <f aca="false">--OR($U111=1,AND($P112=1,OR($D112=8,$E112=8)))</f>
        <v>0</v>
      </c>
      <c r="V112" s="12" t="b">
        <f aca="false">--OR($V111=1,AND($P112=1,OR($D112=61,$E112=61)))</f>
        <v>0</v>
      </c>
      <c r="W112" s="12" t="b">
        <f aca="false">--OR($W111=1,AND($P112=1,OR($D112=57,$E112=57)))</f>
        <v>0</v>
      </c>
      <c r="X112" s="12" t="b">
        <f aca="false">--OR($X111=1,AND($P112=1,OR($D112=64,$E112=64)))</f>
        <v>0</v>
      </c>
      <c r="Y112" s="12" t="b">
        <f aca="false">--AND($P112=1,$K112="K",ABS($I112)=2)</f>
        <v>0</v>
      </c>
      <c r="Z112" s="12" t="b">
        <f aca="false">--AND($P112=1,$K112="P",ABS($I112)=1,$H112="")</f>
        <v>0</v>
      </c>
      <c r="AA112" s="12" t="b">
        <f aca="false">--AND($P112=1,$K112="P",INT(($E112-1)/8)=IF($F112="w",7,0))</f>
        <v>0</v>
      </c>
      <c r="AB112" s="11" t="str">
        <f aca="false">IF(LEN($C112)&gt;=5,IF(ISNUMBER(FIND(MID($C112,5,1),"qrbn")),UPPER(MID($C112,5,1)),"Q"),"Q")</f>
        <v>Q</v>
      </c>
      <c r="AC112" s="11" t="n">
        <f aca="false">IF($Y112=1,IF($I112=2,$D112+3,$D112-4),0)</f>
        <v>0</v>
      </c>
      <c r="AD112" s="11" t="n">
        <f aca="false">IF($Y112=1,IF($I112=2,$D112+1,$D112-1),0)</f>
        <v>0</v>
      </c>
      <c r="AE112" s="11" t="n">
        <f aca="false">IF($Z112=1,$E112-8*IF($F112="w",1,-1),0)</f>
        <v>0</v>
      </c>
      <c r="AF112" s="11" t="str">
        <f aca="false">IF($B112="","",IF($P112=1,LOWER(INDEX($CV$2:$CV$13,MATCH($G112,$CU$2:$CU$13,0)))&amp;" "&amp;MID("abcdefgh",MOD($D112-1,8)+1,1)&amp;(INT(($D112-1)/8)+1)&amp;"→"&amp;MID("abcdefgh",MOD($E112-1,8)+1,1)&amp;(INT(($E112-1)/8)+1)&amp;IF(OR($H112&lt;&gt;"",$Z112=1)," ×","")&amp;IF($Y112=1," castles","")&amp;IF($Z112=1," e.p.","")&amp;IF($AA112=1," =" &amp;LOWER(INDEX($CV$2:$CV$13,MATCH($F112&amp;$AB112,$CU$2:$CU$13,0))),""),"X "&amp;$Q112))</f>
        <v/>
      </c>
      <c r="AG112" s="11"/>
      <c r="AH112" s="11" t="str">
        <f aca="false">IF($P112=0,AH111,IF(AH$3=$E112,IF($AA112=1,$F112&amp;$AB112,$G112),IF(OR(AH$3=$D112,AH$3=$AC112,AH$3=$AE112),"",IF(AH$3=$AD112,$F112&amp;"R",AH111))))</f>
        <v>wR</v>
      </c>
      <c r="AI112" s="11" t="str">
        <f aca="false">IF($P112=0,AI111,IF(AI$3=$E112,IF($AA112=1,$F112&amp;$AB112,$G112),IF(OR(AI$3=$D112,AI$3=$AC112,AI$3=$AE112),"",IF(AI$3=$AD112,$F112&amp;"R",AI111))))</f>
        <v>wN</v>
      </c>
      <c r="AJ112" s="11" t="str">
        <f aca="false">IF($P112=0,AJ111,IF(AJ$3=$E112,IF($AA112=1,$F112&amp;$AB112,$G112),IF(OR(AJ$3=$D112,AJ$3=$AC112,AJ$3=$AE112),"",IF(AJ$3=$AD112,$F112&amp;"R",AJ111))))</f>
        <v>wB</v>
      </c>
      <c r="AK112" s="11" t="str">
        <f aca="false">IF($P112=0,AK111,IF(AK$3=$E112,IF($AA112=1,$F112&amp;$AB112,$G112),IF(OR(AK$3=$D112,AK$3=$AC112,AK$3=$AE112),"",IF(AK$3=$AD112,$F112&amp;"R",AK111))))</f>
        <v>wQ</v>
      </c>
      <c r="AL112" s="11" t="str">
        <f aca="false">IF($P112=0,AL111,IF(AL$3=$E112,IF($AA112=1,$F112&amp;$AB112,$G112),IF(OR(AL$3=$D112,AL$3=$AC112,AL$3=$AE112),"",IF(AL$3=$AD112,$F112&amp;"R",AL111))))</f>
        <v>wK</v>
      </c>
      <c r="AM112" s="11" t="str">
        <f aca="false">IF($P112=0,AM111,IF(AM$3=$E112,IF($AA112=1,$F112&amp;$AB112,$G112),IF(OR(AM$3=$D112,AM$3=$AC112,AM$3=$AE112),"",IF(AM$3=$AD112,$F112&amp;"R",AM111))))</f>
        <v>wB</v>
      </c>
      <c r="AN112" s="11" t="str">
        <f aca="false">IF($P112=0,AN111,IF(AN$3=$E112,IF($AA112=1,$F112&amp;$AB112,$G112),IF(OR(AN$3=$D112,AN$3=$AC112,AN$3=$AE112),"",IF(AN$3=$AD112,$F112&amp;"R",AN111))))</f>
        <v>wN</v>
      </c>
      <c r="AO112" s="11" t="str">
        <f aca="false">IF($P112=0,AO111,IF(AO$3=$E112,IF($AA112=1,$F112&amp;$AB112,$G112),IF(OR(AO$3=$D112,AO$3=$AC112,AO$3=$AE112),"",IF(AO$3=$AD112,$F112&amp;"R",AO111))))</f>
        <v>wR</v>
      </c>
      <c r="AP112" s="11" t="str">
        <f aca="false">IF($P112=0,AP111,IF(AP$3=$E112,IF($AA112=1,$F112&amp;$AB112,$G112),IF(OR(AP$3=$D112,AP$3=$AC112,AP$3=$AE112),"",IF(AP$3=$AD112,$F112&amp;"R",AP111))))</f>
        <v>wP</v>
      </c>
      <c r="AQ112" s="11" t="str">
        <f aca="false">IF($P112=0,AQ111,IF(AQ$3=$E112,IF($AA112=1,$F112&amp;$AB112,$G112),IF(OR(AQ$3=$D112,AQ$3=$AC112,AQ$3=$AE112),"",IF(AQ$3=$AD112,$F112&amp;"R",AQ111))))</f>
        <v>wP</v>
      </c>
      <c r="AR112" s="11" t="str">
        <f aca="false">IF($P112=0,AR111,IF(AR$3=$E112,IF($AA112=1,$F112&amp;$AB112,$G112),IF(OR(AR$3=$D112,AR$3=$AC112,AR$3=$AE112),"",IF(AR$3=$AD112,$F112&amp;"R",AR111))))</f>
        <v>wP</v>
      </c>
      <c r="AS112" s="11" t="str">
        <f aca="false">IF($P112=0,AS111,IF(AS$3=$E112,IF($AA112=1,$F112&amp;$AB112,$G112),IF(OR(AS$3=$D112,AS$3=$AC112,AS$3=$AE112),"",IF(AS$3=$AD112,$F112&amp;"R",AS111))))</f>
        <v>wP</v>
      </c>
      <c r="AT112" s="11" t="str">
        <f aca="false">IF($P112=0,AT111,IF(AT$3=$E112,IF($AA112=1,$F112&amp;$AB112,$G112),IF(OR(AT$3=$D112,AT$3=$AC112,AT$3=$AE112),"",IF(AT$3=$AD112,$F112&amp;"R",AT111))))</f>
        <v>wP</v>
      </c>
      <c r="AU112" s="11" t="str">
        <f aca="false">IF($P112=0,AU111,IF(AU$3=$E112,IF($AA112=1,$F112&amp;$AB112,$G112),IF(OR(AU$3=$D112,AU$3=$AC112,AU$3=$AE112),"",IF(AU$3=$AD112,$F112&amp;"R",AU111))))</f>
        <v>wP</v>
      </c>
      <c r="AV112" s="11" t="str">
        <f aca="false">IF($P112=0,AV111,IF(AV$3=$E112,IF($AA112=1,$F112&amp;$AB112,$G112),IF(OR(AV$3=$D112,AV$3=$AC112,AV$3=$AE112),"",IF(AV$3=$AD112,$F112&amp;"R",AV111))))</f>
        <v>wP</v>
      </c>
      <c r="AW112" s="11" t="str">
        <f aca="false">IF($P112=0,AW111,IF(AW$3=$E112,IF($AA112=1,$F112&amp;$AB112,$G112),IF(OR(AW$3=$D112,AW$3=$AC112,AW$3=$AE112),"",IF(AW$3=$AD112,$F112&amp;"R",AW111))))</f>
        <v>wP</v>
      </c>
      <c r="AX112" s="11" t="str">
        <f aca="false">IF($P112=0,AX111,IF(AX$3=$E112,IF($AA112=1,$F112&amp;$AB112,$G112),IF(OR(AX$3=$D112,AX$3=$AC112,AX$3=$AE112),"",IF(AX$3=$AD112,$F112&amp;"R",AX111))))</f>
        <v/>
      </c>
      <c r="AY112" s="11" t="str">
        <f aca="false">IF($P112=0,AY111,IF(AY$3=$E112,IF($AA112=1,$F112&amp;$AB112,$G112),IF(OR(AY$3=$D112,AY$3=$AC112,AY$3=$AE112),"",IF(AY$3=$AD112,$F112&amp;"R",AY111))))</f>
        <v/>
      </c>
      <c r="AZ112" s="11" t="str">
        <f aca="false">IF($P112=0,AZ111,IF(AZ$3=$E112,IF($AA112=1,$F112&amp;$AB112,$G112),IF(OR(AZ$3=$D112,AZ$3=$AC112,AZ$3=$AE112),"",IF(AZ$3=$AD112,$F112&amp;"R",AZ111))))</f>
        <v/>
      </c>
      <c r="BA112" s="11" t="str">
        <f aca="false">IF($P112=0,BA111,IF(BA$3=$E112,IF($AA112=1,$F112&amp;$AB112,$G112),IF(OR(BA$3=$D112,BA$3=$AC112,BA$3=$AE112),"",IF(BA$3=$AD112,$F112&amp;"R",BA111))))</f>
        <v/>
      </c>
      <c r="BB112" s="11" t="str">
        <f aca="false">IF($P112=0,BB111,IF(BB$3=$E112,IF($AA112=1,$F112&amp;$AB112,$G112),IF(OR(BB$3=$D112,BB$3=$AC112,BB$3=$AE112),"",IF(BB$3=$AD112,$F112&amp;"R",BB111))))</f>
        <v/>
      </c>
      <c r="BC112" s="11" t="str">
        <f aca="false">IF($P112=0,BC111,IF(BC$3=$E112,IF($AA112=1,$F112&amp;$AB112,$G112),IF(OR(BC$3=$D112,BC$3=$AC112,BC$3=$AE112),"",IF(BC$3=$AD112,$F112&amp;"R",BC111))))</f>
        <v/>
      </c>
      <c r="BD112" s="11" t="str">
        <f aca="false">IF($P112=0,BD111,IF(BD$3=$E112,IF($AA112=1,$F112&amp;$AB112,$G112),IF(OR(BD$3=$D112,BD$3=$AC112,BD$3=$AE112),"",IF(BD$3=$AD112,$F112&amp;"R",BD111))))</f>
        <v/>
      </c>
      <c r="BE112" s="11" t="str">
        <f aca="false">IF($P112=0,BE111,IF(BE$3=$E112,IF($AA112=1,$F112&amp;$AB112,$G112),IF(OR(BE$3=$D112,BE$3=$AC112,BE$3=$AE112),"",IF(BE$3=$AD112,$F112&amp;"R",BE111))))</f>
        <v/>
      </c>
      <c r="BF112" s="11" t="str">
        <f aca="false">IF($P112=0,BF111,IF(BF$3=$E112,IF($AA112=1,$F112&amp;$AB112,$G112),IF(OR(BF$3=$D112,BF$3=$AC112,BF$3=$AE112),"",IF(BF$3=$AD112,$F112&amp;"R",BF111))))</f>
        <v/>
      </c>
      <c r="BG112" s="11" t="str">
        <f aca="false">IF($P112=0,BG111,IF(BG$3=$E112,IF($AA112=1,$F112&amp;$AB112,$G112),IF(OR(BG$3=$D112,BG$3=$AC112,BG$3=$AE112),"",IF(BG$3=$AD112,$F112&amp;"R",BG111))))</f>
        <v/>
      </c>
      <c r="BH112" s="11" t="str">
        <f aca="false">IF($P112=0,BH111,IF(BH$3=$E112,IF($AA112=1,$F112&amp;$AB112,$G112),IF(OR(BH$3=$D112,BH$3=$AC112,BH$3=$AE112),"",IF(BH$3=$AD112,$F112&amp;"R",BH111))))</f>
        <v/>
      </c>
      <c r="BI112" s="11" t="str">
        <f aca="false">IF($P112=0,BI111,IF(BI$3=$E112,IF($AA112=1,$F112&amp;$AB112,$G112),IF(OR(BI$3=$D112,BI$3=$AC112,BI$3=$AE112),"",IF(BI$3=$AD112,$F112&amp;"R",BI111))))</f>
        <v/>
      </c>
      <c r="BJ112" s="11" t="str">
        <f aca="false">IF($P112=0,BJ111,IF(BJ$3=$E112,IF($AA112=1,$F112&amp;$AB112,$G112),IF(OR(BJ$3=$D112,BJ$3=$AC112,BJ$3=$AE112),"",IF(BJ$3=$AD112,$F112&amp;"R",BJ111))))</f>
        <v/>
      </c>
      <c r="BK112" s="11" t="str">
        <f aca="false">IF($P112=0,BK111,IF(BK$3=$E112,IF($AA112=1,$F112&amp;$AB112,$G112),IF(OR(BK$3=$D112,BK$3=$AC112,BK$3=$AE112),"",IF(BK$3=$AD112,$F112&amp;"R",BK111))))</f>
        <v/>
      </c>
      <c r="BL112" s="11" t="str">
        <f aca="false">IF($P112=0,BL111,IF(BL$3=$E112,IF($AA112=1,$F112&amp;$AB112,$G112),IF(OR(BL$3=$D112,BL$3=$AC112,BL$3=$AE112),"",IF(BL$3=$AD112,$F112&amp;"R",BL111))))</f>
        <v/>
      </c>
      <c r="BM112" s="11" t="str">
        <f aca="false">IF($P112=0,BM111,IF(BM$3=$E112,IF($AA112=1,$F112&amp;$AB112,$G112),IF(OR(BM$3=$D112,BM$3=$AC112,BM$3=$AE112),"",IF(BM$3=$AD112,$F112&amp;"R",BM111))))</f>
        <v/>
      </c>
      <c r="BN112" s="11" t="str">
        <f aca="false">IF($P112=0,BN111,IF(BN$3=$E112,IF($AA112=1,$F112&amp;$AB112,$G112),IF(OR(BN$3=$D112,BN$3=$AC112,BN$3=$AE112),"",IF(BN$3=$AD112,$F112&amp;"R",BN111))))</f>
        <v/>
      </c>
      <c r="BO112" s="11" t="str">
        <f aca="false">IF($P112=0,BO111,IF(BO$3=$E112,IF($AA112=1,$F112&amp;$AB112,$G112),IF(OR(BO$3=$D112,BO$3=$AC112,BO$3=$AE112),"",IF(BO$3=$AD112,$F112&amp;"R",BO111))))</f>
        <v/>
      </c>
      <c r="BP112" s="11" t="str">
        <f aca="false">IF($P112=0,BP111,IF(BP$3=$E112,IF($AA112=1,$F112&amp;$AB112,$G112),IF(OR(BP$3=$D112,BP$3=$AC112,BP$3=$AE112),"",IF(BP$3=$AD112,$F112&amp;"R",BP111))))</f>
        <v/>
      </c>
      <c r="BQ112" s="11" t="str">
        <f aca="false">IF($P112=0,BQ111,IF(BQ$3=$E112,IF($AA112=1,$F112&amp;$AB112,$G112),IF(OR(BQ$3=$D112,BQ$3=$AC112,BQ$3=$AE112),"",IF(BQ$3=$AD112,$F112&amp;"R",BQ111))))</f>
        <v/>
      </c>
      <c r="BR112" s="11" t="str">
        <f aca="false">IF($P112=0,BR111,IF(BR$3=$E112,IF($AA112=1,$F112&amp;$AB112,$G112),IF(OR(BR$3=$D112,BR$3=$AC112,BR$3=$AE112),"",IF(BR$3=$AD112,$F112&amp;"R",BR111))))</f>
        <v/>
      </c>
      <c r="BS112" s="11" t="str">
        <f aca="false">IF($P112=0,BS111,IF(BS$3=$E112,IF($AA112=1,$F112&amp;$AB112,$G112),IF(OR(BS$3=$D112,BS$3=$AC112,BS$3=$AE112),"",IF(BS$3=$AD112,$F112&amp;"R",BS111))))</f>
        <v/>
      </c>
      <c r="BT112" s="11" t="str">
        <f aca="false">IF($P112=0,BT111,IF(BT$3=$E112,IF($AA112=1,$F112&amp;$AB112,$G112),IF(OR(BT$3=$D112,BT$3=$AC112,BT$3=$AE112),"",IF(BT$3=$AD112,$F112&amp;"R",BT111))))</f>
        <v/>
      </c>
      <c r="BU112" s="11" t="str">
        <f aca="false">IF($P112=0,BU111,IF(BU$3=$E112,IF($AA112=1,$F112&amp;$AB112,$G112),IF(OR(BU$3=$D112,BU$3=$AC112,BU$3=$AE112),"",IF(BU$3=$AD112,$F112&amp;"R",BU111))))</f>
        <v/>
      </c>
      <c r="BV112" s="11" t="str">
        <f aca="false">IF($P112=0,BV111,IF(BV$3=$E112,IF($AA112=1,$F112&amp;$AB112,$G112),IF(OR(BV$3=$D112,BV$3=$AC112,BV$3=$AE112),"",IF(BV$3=$AD112,$F112&amp;"R",BV111))))</f>
        <v/>
      </c>
      <c r="BW112" s="11" t="str">
        <f aca="false">IF($P112=0,BW111,IF(BW$3=$E112,IF($AA112=1,$F112&amp;$AB112,$G112),IF(OR(BW$3=$D112,BW$3=$AC112,BW$3=$AE112),"",IF(BW$3=$AD112,$F112&amp;"R",BW111))))</f>
        <v/>
      </c>
      <c r="BX112" s="11" t="str">
        <f aca="false">IF($P112=0,BX111,IF(BX$3=$E112,IF($AA112=1,$F112&amp;$AB112,$G112),IF(OR(BX$3=$D112,BX$3=$AC112,BX$3=$AE112),"",IF(BX$3=$AD112,$F112&amp;"R",BX111))))</f>
        <v/>
      </c>
      <c r="BY112" s="11" t="str">
        <f aca="false">IF($P112=0,BY111,IF(BY$3=$E112,IF($AA112=1,$F112&amp;$AB112,$G112),IF(OR(BY$3=$D112,BY$3=$AC112,BY$3=$AE112),"",IF(BY$3=$AD112,$F112&amp;"R",BY111))))</f>
        <v/>
      </c>
      <c r="BZ112" s="11" t="str">
        <f aca="false">IF($P112=0,BZ111,IF(BZ$3=$E112,IF($AA112=1,$F112&amp;$AB112,$G112),IF(OR(BZ$3=$D112,BZ$3=$AC112,BZ$3=$AE112),"",IF(BZ$3=$AD112,$F112&amp;"R",BZ111))))</f>
        <v/>
      </c>
      <c r="CA112" s="11" t="str">
        <f aca="false">IF($P112=0,CA111,IF(CA$3=$E112,IF($AA112=1,$F112&amp;$AB112,$G112),IF(OR(CA$3=$D112,CA$3=$AC112,CA$3=$AE112),"",IF(CA$3=$AD112,$F112&amp;"R",CA111))))</f>
        <v/>
      </c>
      <c r="CB112" s="11" t="str">
        <f aca="false">IF($P112=0,CB111,IF(CB$3=$E112,IF($AA112=1,$F112&amp;$AB112,$G112),IF(OR(CB$3=$D112,CB$3=$AC112,CB$3=$AE112),"",IF(CB$3=$AD112,$F112&amp;"R",CB111))))</f>
        <v/>
      </c>
      <c r="CC112" s="11" t="str">
        <f aca="false">IF($P112=0,CC111,IF(CC$3=$E112,IF($AA112=1,$F112&amp;$AB112,$G112),IF(OR(CC$3=$D112,CC$3=$AC112,CC$3=$AE112),"",IF(CC$3=$AD112,$F112&amp;"R",CC111))))</f>
        <v/>
      </c>
      <c r="CD112" s="11" t="str">
        <f aca="false">IF($P112=0,CD111,IF(CD$3=$E112,IF($AA112=1,$F112&amp;$AB112,$G112),IF(OR(CD$3=$D112,CD$3=$AC112,CD$3=$AE112),"",IF(CD$3=$AD112,$F112&amp;"R",CD111))))</f>
        <v>bP</v>
      </c>
      <c r="CE112" s="11" t="str">
        <f aca="false">IF($P112=0,CE111,IF(CE$3=$E112,IF($AA112=1,$F112&amp;$AB112,$G112),IF(OR(CE$3=$D112,CE$3=$AC112,CE$3=$AE112),"",IF(CE$3=$AD112,$F112&amp;"R",CE111))))</f>
        <v>bP</v>
      </c>
      <c r="CF112" s="11" t="str">
        <f aca="false">IF($P112=0,CF111,IF(CF$3=$E112,IF($AA112=1,$F112&amp;$AB112,$G112),IF(OR(CF$3=$D112,CF$3=$AC112,CF$3=$AE112),"",IF(CF$3=$AD112,$F112&amp;"R",CF111))))</f>
        <v>bP</v>
      </c>
      <c r="CG112" s="11" t="str">
        <f aca="false">IF($P112=0,CG111,IF(CG$3=$E112,IF($AA112=1,$F112&amp;$AB112,$G112),IF(OR(CG$3=$D112,CG$3=$AC112,CG$3=$AE112),"",IF(CG$3=$AD112,$F112&amp;"R",CG111))))</f>
        <v>bP</v>
      </c>
      <c r="CH112" s="11" t="str">
        <f aca="false">IF($P112=0,CH111,IF(CH$3=$E112,IF($AA112=1,$F112&amp;$AB112,$G112),IF(OR(CH$3=$D112,CH$3=$AC112,CH$3=$AE112),"",IF(CH$3=$AD112,$F112&amp;"R",CH111))))</f>
        <v>bP</v>
      </c>
      <c r="CI112" s="11" t="str">
        <f aca="false">IF($P112=0,CI111,IF(CI$3=$E112,IF($AA112=1,$F112&amp;$AB112,$G112),IF(OR(CI$3=$D112,CI$3=$AC112,CI$3=$AE112),"",IF(CI$3=$AD112,$F112&amp;"R",CI111))))</f>
        <v>bP</v>
      </c>
      <c r="CJ112" s="11" t="str">
        <f aca="false">IF($P112=0,CJ111,IF(CJ$3=$E112,IF($AA112=1,$F112&amp;$AB112,$G112),IF(OR(CJ$3=$D112,CJ$3=$AC112,CJ$3=$AE112),"",IF(CJ$3=$AD112,$F112&amp;"R",CJ111))))</f>
        <v>bP</v>
      </c>
      <c r="CK112" s="11" t="str">
        <f aca="false">IF($P112=0,CK111,IF(CK$3=$E112,IF($AA112=1,$F112&amp;$AB112,$G112),IF(OR(CK$3=$D112,CK$3=$AC112,CK$3=$AE112),"",IF(CK$3=$AD112,$F112&amp;"R",CK111))))</f>
        <v>bP</v>
      </c>
      <c r="CL112" s="11" t="str">
        <f aca="false">IF($P112=0,CL111,IF(CL$3=$E112,IF($AA112=1,$F112&amp;$AB112,$G112),IF(OR(CL$3=$D112,CL$3=$AC112,CL$3=$AE112),"",IF(CL$3=$AD112,$F112&amp;"R",CL111))))</f>
        <v>bR</v>
      </c>
      <c r="CM112" s="11" t="str">
        <f aca="false">IF($P112=0,CM111,IF(CM$3=$E112,IF($AA112=1,$F112&amp;$AB112,$G112),IF(OR(CM$3=$D112,CM$3=$AC112,CM$3=$AE112),"",IF(CM$3=$AD112,$F112&amp;"R",CM111))))</f>
        <v>bN</v>
      </c>
      <c r="CN112" s="11" t="str">
        <f aca="false">IF($P112=0,CN111,IF(CN$3=$E112,IF($AA112=1,$F112&amp;$AB112,$G112),IF(OR(CN$3=$D112,CN$3=$AC112,CN$3=$AE112),"",IF(CN$3=$AD112,$F112&amp;"R",CN111))))</f>
        <v>bB</v>
      </c>
      <c r="CO112" s="11" t="str">
        <f aca="false">IF($P112=0,CO111,IF(CO$3=$E112,IF($AA112=1,$F112&amp;$AB112,$G112),IF(OR(CO$3=$D112,CO$3=$AC112,CO$3=$AE112),"",IF(CO$3=$AD112,$F112&amp;"R",CO111))))</f>
        <v>bQ</v>
      </c>
      <c r="CP112" s="11" t="str">
        <f aca="false">IF($P112=0,CP111,IF(CP$3=$E112,IF($AA112=1,$F112&amp;$AB112,$G112),IF(OR(CP$3=$D112,CP$3=$AC112,CP$3=$AE112),"",IF(CP$3=$AD112,$F112&amp;"R",CP111))))</f>
        <v>bK</v>
      </c>
      <c r="CQ112" s="11" t="str">
        <f aca="false">IF($P112=0,CQ111,IF(CQ$3=$E112,IF($AA112=1,$F112&amp;$AB112,$G112),IF(OR(CQ$3=$D112,CQ$3=$AC112,CQ$3=$AE112),"",IF(CQ$3=$AD112,$F112&amp;"R",CQ111))))</f>
        <v>bB</v>
      </c>
      <c r="CR112" s="11" t="str">
        <f aca="false">IF($P112=0,CR111,IF(CR$3=$E112,IF($AA112=1,$F112&amp;$AB112,$G112),IF(OR(CR$3=$D112,CR$3=$AC112,CR$3=$AE112),"",IF(CR$3=$AD112,$F112&amp;"R",CR111))))</f>
        <v>bN</v>
      </c>
      <c r="CS112" s="11" t="str">
        <f aca="false">IF($P112=0,CS111,IF(CS$3=$E112,IF($AA112=1,$F112&amp;$AB112,$G112),IF(OR(CS$3=$D112,CS$3=$AC112,CS$3=$AE112),"",IF(CS$3=$AD112,$F112&amp;"R",CS111))))</f>
        <v>bR</v>
      </c>
      <c r="CT112" s="11"/>
      <c r="CU112" s="11"/>
      <c r="CV112" s="11"/>
    </row>
    <row r="113" customFormat="false" ht="15" hidden="false" customHeight="false" outlineLevel="0" collapsed="false">
      <c r="A113" s="11" t="n">
        <v>108</v>
      </c>
      <c r="B113" s="11" t="str">
        <f aca="false">IF(Chess!$L$117="","",Chess!$L$117&amp;"")</f>
        <v/>
      </c>
      <c r="C113" s="11" t="str">
        <f aca="false">LOWER(SUBSTITUTE(SUBSTITUTE(SUBSTITUTE(SUBSTITUTE(TRIM($B113),"-",""),"=","")," ",""),"x",""))</f>
        <v/>
      </c>
      <c r="D113" s="11" t="n">
        <f aca="false">IF(LEN($C113)&lt;4,0,IFERROR(IF(AND(CODE(MID($C113,1,1))&gt;=97,CODE(MID($C113,1,1))&lt;=104,VALUE(MID($C113,2,1))&gt;=1,VALUE(MID($C113,2,1))&lt;=8),(VALUE(MID($C113,2,1))-1)*8+CODE(MID($C113,1,1))-96,0),0))</f>
        <v>0</v>
      </c>
      <c r="E113" s="11" t="n">
        <f aca="false">IF(LEN($C113)&lt;4,0,IFERROR(IF(AND(CODE(MID($C113,3,1))&gt;=97,CODE(MID($C113,3,1))&lt;=104,VALUE(MID($C113,4,1))&gt;=1,VALUE(MID($C113,4,1))&lt;=8),(VALUE(MID($C113,4,1))-1)*8+CODE(MID($C113,3,1))-96,0),0))</f>
        <v>0</v>
      </c>
      <c r="F113" s="11" t="str">
        <f aca="false">IF(MOD(SUM($P$5:$P112),2)=0,"w","b")</f>
        <v>w</v>
      </c>
      <c r="G113" s="11" t="str">
        <f aca="false">IF($D113=0,"",INDEX($AH112:$CS112,1,$D113)&amp;"")</f>
        <v/>
      </c>
      <c r="H113" s="11" t="str">
        <f aca="false">IF($E113=0,"",INDEX($AH112:$CS112,1,$E113)&amp;"")</f>
        <v/>
      </c>
      <c r="I113" s="11" t="n">
        <f aca="false">IF(OR($D113=0,$E113=0),0,MOD($E113-1,8)-MOD($D113-1,8))</f>
        <v>0</v>
      </c>
      <c r="J113" s="11" t="n">
        <f aca="false">IF(OR($D113=0,$E113=0),0,INT(($E113-1)/8)-INT(($D113-1)/8))</f>
        <v>0</v>
      </c>
      <c r="K113" s="11" t="str">
        <f aca="false">IF($G113="","",RIGHT($G113,1))</f>
        <v/>
      </c>
      <c r="L113" s="11" t="n">
        <f aca="false">IF(OR($D113=0,$E113=0),0,SUMPRODUCT(($AH$3:$CS$3&gt;MIN($D113,$E113))*($AH$3:$CS$3&lt;MAX($D113,$E113))*(MOD($AH$3:$CS$3-MIN($D113,$E113),MAX(1,ABS(SIGN($J113)*8+SIGN($I113))))=0)*($AH112:$CS112&lt;&gt;"")))</f>
        <v>0</v>
      </c>
      <c r="M113" s="11" t="n">
        <f aca="false">IF($K113&lt;&gt;"K",0,IFERROR(--AND($J113=0,ABS($I113)=2,$D113=IF($F113="w",5,61),IF($F113="w",$S112,$V112)=0,IF($I113=2,AND(IF($F113="w",$U112,$X112)=0,INDEX($AH112:$CS112,1,$D113+1)&amp;""="",INDEX($AH112:$CS112,1,$D113+2)&amp;""=""),AND(IF($F113="w",$T112,$W112)=0,INDEX($AH112:$CS112,1,$D113-1)&amp;""="",INDEX($AH112:$CS112,1,$D113-2)&amp;""="",INDEX($AH112:$CS112,1,$D113-3)&amp;""=""))),0))</f>
        <v>0</v>
      </c>
      <c r="N113" s="11" t="n">
        <f aca="false">IF($K113&lt;&gt;"P",0,IFERROR(--OR(AND($I113=0,$J113=IF($F113="w",1,-1),$H113=""),AND($I113=0,$J113=2*IF($F113="w",1,-1),$H113="",INT(($D113-1)/8)=IF($F113="w",1,6),INDEX($AH112:$CS112,1,MAX(1,MIN(64,$D113+8*IF($F113="w",1,-1))))&amp;""=""),AND(ABS($I113)=1,$J113=IF($F113="w",1,-1),$H113&lt;&gt;""),AND(ABS($I113)=1,$J113=IF($F113="w",1,-1),$H113="",$R112&gt;0,$E113=$R112)),0))</f>
        <v>0</v>
      </c>
      <c r="O113" s="11" t="n">
        <f aca="false">IF(OR($D113=0,$E113=0,$G113=""),0,IF($K113="N",--OR(AND(ABS($I113)=1,ABS($J113)=2),AND(ABS($I113)=2,ABS($J113)=1)),IF($K113="B",--AND(ABS($I113)=ABS($J113),$I113&lt;&gt;0,$L113=0),IF($K113="R",--AND(OR($I113=0,$J113=0),OR($I113&lt;&gt;0,$J113&lt;&gt;0),$L113=0),IF($K113="Q",--AND(OR(AND(ABS($I113)=ABS($J113),$I113&lt;&gt;0),AND(OR($I113=0,$J113=0),OR($I113&lt;&gt;0,$J113&lt;&gt;0))),$L113=0),IF($K113="K",--OR(MAX(ABS($I113),ABS($J113))=1,$M113=1),$N113))))))</f>
        <v>0</v>
      </c>
      <c r="P113" s="11" t="n">
        <f aca="false">IF($Q113="OK",1,0)</f>
        <v>0</v>
      </c>
      <c r="Q113" s="11" t="str">
        <f aca="false">IF($B113="","",IF(OR(COUNTIF($AH112:$CS112,"wK")=0,COUNTIF($AH112:$CS112,"bK")=0),"Game is over",IF(OR($D113=0,$E113=0),"Use the format e2e4",IF($G113="","No piece on that square",IF(LEFT($G113,1)&lt;&gt;$F113,"Not your piece ("&amp;IF($F113="w","White","Black")&amp;" to move)",IF($D113=$E113,"Piece must move",IF(AND($H113&lt;&gt;"",LEFT($H113,1)=$F113),"Cannot capture your own piece",IF($O113=0,"Illegal move for that piece (or path blocked)","OK"))))))))</f>
        <v/>
      </c>
      <c r="R113" s="11" t="n">
        <f aca="false">IF($P113=1,IF(AND($K113="P",ABS($J113)=2),($D113+$E113)/2,0),$R112)</f>
        <v>0</v>
      </c>
      <c r="S113" s="12" t="b">
        <f aca="false">--OR($S112=1,AND($P113=1,OR($D113=5,$E113=5)))</f>
        <v>0</v>
      </c>
      <c r="T113" s="12" t="b">
        <f aca="false">--OR($T112=1,AND($P113=1,OR($D113=1,$E113=1)))</f>
        <v>0</v>
      </c>
      <c r="U113" s="12" t="b">
        <f aca="false">--OR($U112=1,AND($P113=1,OR($D113=8,$E113=8)))</f>
        <v>0</v>
      </c>
      <c r="V113" s="12" t="b">
        <f aca="false">--OR($V112=1,AND($P113=1,OR($D113=61,$E113=61)))</f>
        <v>0</v>
      </c>
      <c r="W113" s="12" t="b">
        <f aca="false">--OR($W112=1,AND($P113=1,OR($D113=57,$E113=57)))</f>
        <v>0</v>
      </c>
      <c r="X113" s="12" t="b">
        <f aca="false">--OR($X112=1,AND($P113=1,OR($D113=64,$E113=64)))</f>
        <v>0</v>
      </c>
      <c r="Y113" s="12" t="b">
        <f aca="false">--AND($P113=1,$K113="K",ABS($I113)=2)</f>
        <v>0</v>
      </c>
      <c r="Z113" s="12" t="b">
        <f aca="false">--AND($P113=1,$K113="P",ABS($I113)=1,$H113="")</f>
        <v>0</v>
      </c>
      <c r="AA113" s="12" t="b">
        <f aca="false">--AND($P113=1,$K113="P",INT(($E113-1)/8)=IF($F113="w",7,0))</f>
        <v>0</v>
      </c>
      <c r="AB113" s="11" t="str">
        <f aca="false">IF(LEN($C113)&gt;=5,IF(ISNUMBER(FIND(MID($C113,5,1),"qrbn")),UPPER(MID($C113,5,1)),"Q"),"Q")</f>
        <v>Q</v>
      </c>
      <c r="AC113" s="11" t="n">
        <f aca="false">IF($Y113=1,IF($I113=2,$D113+3,$D113-4),0)</f>
        <v>0</v>
      </c>
      <c r="AD113" s="11" t="n">
        <f aca="false">IF($Y113=1,IF($I113=2,$D113+1,$D113-1),0)</f>
        <v>0</v>
      </c>
      <c r="AE113" s="11" t="n">
        <f aca="false">IF($Z113=1,$E113-8*IF($F113="w",1,-1),0)</f>
        <v>0</v>
      </c>
      <c r="AF113" s="11" t="str">
        <f aca="false">IF($B113="","",IF($P113=1,LOWER(INDEX($CV$2:$CV$13,MATCH($G113,$CU$2:$CU$13,0)))&amp;" "&amp;MID("abcdefgh",MOD($D113-1,8)+1,1)&amp;(INT(($D113-1)/8)+1)&amp;"→"&amp;MID("abcdefgh",MOD($E113-1,8)+1,1)&amp;(INT(($E113-1)/8)+1)&amp;IF(OR($H113&lt;&gt;"",$Z113=1)," ×","")&amp;IF($Y113=1," castles","")&amp;IF($Z113=1," e.p.","")&amp;IF($AA113=1," =" &amp;LOWER(INDEX($CV$2:$CV$13,MATCH($F113&amp;$AB113,$CU$2:$CU$13,0))),""),"X "&amp;$Q113))</f>
        <v/>
      </c>
      <c r="AG113" s="11"/>
      <c r="AH113" s="11" t="str">
        <f aca="false">IF($P113=0,AH112,IF(AH$3=$E113,IF($AA113=1,$F113&amp;$AB113,$G113),IF(OR(AH$3=$D113,AH$3=$AC113,AH$3=$AE113),"",IF(AH$3=$AD113,$F113&amp;"R",AH112))))</f>
        <v>wR</v>
      </c>
      <c r="AI113" s="11" t="str">
        <f aca="false">IF($P113=0,AI112,IF(AI$3=$E113,IF($AA113=1,$F113&amp;$AB113,$G113),IF(OR(AI$3=$D113,AI$3=$AC113,AI$3=$AE113),"",IF(AI$3=$AD113,$F113&amp;"R",AI112))))</f>
        <v>wN</v>
      </c>
      <c r="AJ113" s="11" t="str">
        <f aca="false">IF($P113=0,AJ112,IF(AJ$3=$E113,IF($AA113=1,$F113&amp;$AB113,$G113),IF(OR(AJ$3=$D113,AJ$3=$AC113,AJ$3=$AE113),"",IF(AJ$3=$AD113,$F113&amp;"R",AJ112))))</f>
        <v>wB</v>
      </c>
      <c r="AK113" s="11" t="str">
        <f aca="false">IF($P113=0,AK112,IF(AK$3=$E113,IF($AA113=1,$F113&amp;$AB113,$G113),IF(OR(AK$3=$D113,AK$3=$AC113,AK$3=$AE113),"",IF(AK$3=$AD113,$F113&amp;"R",AK112))))</f>
        <v>wQ</v>
      </c>
      <c r="AL113" s="11" t="str">
        <f aca="false">IF($P113=0,AL112,IF(AL$3=$E113,IF($AA113=1,$F113&amp;$AB113,$G113),IF(OR(AL$3=$D113,AL$3=$AC113,AL$3=$AE113),"",IF(AL$3=$AD113,$F113&amp;"R",AL112))))</f>
        <v>wK</v>
      </c>
      <c r="AM113" s="11" t="str">
        <f aca="false">IF($P113=0,AM112,IF(AM$3=$E113,IF($AA113=1,$F113&amp;$AB113,$G113),IF(OR(AM$3=$D113,AM$3=$AC113,AM$3=$AE113),"",IF(AM$3=$AD113,$F113&amp;"R",AM112))))</f>
        <v>wB</v>
      </c>
      <c r="AN113" s="11" t="str">
        <f aca="false">IF($P113=0,AN112,IF(AN$3=$E113,IF($AA113=1,$F113&amp;$AB113,$G113),IF(OR(AN$3=$D113,AN$3=$AC113,AN$3=$AE113),"",IF(AN$3=$AD113,$F113&amp;"R",AN112))))</f>
        <v>wN</v>
      </c>
      <c r="AO113" s="11" t="str">
        <f aca="false">IF($P113=0,AO112,IF(AO$3=$E113,IF($AA113=1,$F113&amp;$AB113,$G113),IF(OR(AO$3=$D113,AO$3=$AC113,AO$3=$AE113),"",IF(AO$3=$AD113,$F113&amp;"R",AO112))))</f>
        <v>wR</v>
      </c>
      <c r="AP113" s="11" t="str">
        <f aca="false">IF($P113=0,AP112,IF(AP$3=$E113,IF($AA113=1,$F113&amp;$AB113,$G113),IF(OR(AP$3=$D113,AP$3=$AC113,AP$3=$AE113),"",IF(AP$3=$AD113,$F113&amp;"R",AP112))))</f>
        <v>wP</v>
      </c>
      <c r="AQ113" s="11" t="str">
        <f aca="false">IF($P113=0,AQ112,IF(AQ$3=$E113,IF($AA113=1,$F113&amp;$AB113,$G113),IF(OR(AQ$3=$D113,AQ$3=$AC113,AQ$3=$AE113),"",IF(AQ$3=$AD113,$F113&amp;"R",AQ112))))</f>
        <v>wP</v>
      </c>
      <c r="AR113" s="11" t="str">
        <f aca="false">IF($P113=0,AR112,IF(AR$3=$E113,IF($AA113=1,$F113&amp;$AB113,$G113),IF(OR(AR$3=$D113,AR$3=$AC113,AR$3=$AE113),"",IF(AR$3=$AD113,$F113&amp;"R",AR112))))</f>
        <v>wP</v>
      </c>
      <c r="AS113" s="11" t="str">
        <f aca="false">IF($P113=0,AS112,IF(AS$3=$E113,IF($AA113=1,$F113&amp;$AB113,$G113),IF(OR(AS$3=$D113,AS$3=$AC113,AS$3=$AE113),"",IF(AS$3=$AD113,$F113&amp;"R",AS112))))</f>
        <v>wP</v>
      </c>
      <c r="AT113" s="11" t="str">
        <f aca="false">IF($P113=0,AT112,IF(AT$3=$E113,IF($AA113=1,$F113&amp;$AB113,$G113),IF(OR(AT$3=$D113,AT$3=$AC113,AT$3=$AE113),"",IF(AT$3=$AD113,$F113&amp;"R",AT112))))</f>
        <v>wP</v>
      </c>
      <c r="AU113" s="11" t="str">
        <f aca="false">IF($P113=0,AU112,IF(AU$3=$E113,IF($AA113=1,$F113&amp;$AB113,$G113),IF(OR(AU$3=$D113,AU$3=$AC113,AU$3=$AE113),"",IF(AU$3=$AD113,$F113&amp;"R",AU112))))</f>
        <v>wP</v>
      </c>
      <c r="AV113" s="11" t="str">
        <f aca="false">IF($P113=0,AV112,IF(AV$3=$E113,IF($AA113=1,$F113&amp;$AB113,$G113),IF(OR(AV$3=$D113,AV$3=$AC113,AV$3=$AE113),"",IF(AV$3=$AD113,$F113&amp;"R",AV112))))</f>
        <v>wP</v>
      </c>
      <c r="AW113" s="11" t="str">
        <f aca="false">IF($P113=0,AW112,IF(AW$3=$E113,IF($AA113=1,$F113&amp;$AB113,$G113),IF(OR(AW$3=$D113,AW$3=$AC113,AW$3=$AE113),"",IF(AW$3=$AD113,$F113&amp;"R",AW112))))</f>
        <v>wP</v>
      </c>
      <c r="AX113" s="11" t="str">
        <f aca="false">IF($P113=0,AX112,IF(AX$3=$E113,IF($AA113=1,$F113&amp;$AB113,$G113),IF(OR(AX$3=$D113,AX$3=$AC113,AX$3=$AE113),"",IF(AX$3=$AD113,$F113&amp;"R",AX112))))</f>
        <v/>
      </c>
      <c r="AY113" s="11" t="str">
        <f aca="false">IF($P113=0,AY112,IF(AY$3=$E113,IF($AA113=1,$F113&amp;$AB113,$G113),IF(OR(AY$3=$D113,AY$3=$AC113,AY$3=$AE113),"",IF(AY$3=$AD113,$F113&amp;"R",AY112))))</f>
        <v/>
      </c>
      <c r="AZ113" s="11" t="str">
        <f aca="false">IF($P113=0,AZ112,IF(AZ$3=$E113,IF($AA113=1,$F113&amp;$AB113,$G113),IF(OR(AZ$3=$D113,AZ$3=$AC113,AZ$3=$AE113),"",IF(AZ$3=$AD113,$F113&amp;"R",AZ112))))</f>
        <v/>
      </c>
      <c r="BA113" s="11" t="str">
        <f aca="false">IF($P113=0,BA112,IF(BA$3=$E113,IF($AA113=1,$F113&amp;$AB113,$G113),IF(OR(BA$3=$D113,BA$3=$AC113,BA$3=$AE113),"",IF(BA$3=$AD113,$F113&amp;"R",BA112))))</f>
        <v/>
      </c>
      <c r="BB113" s="11" t="str">
        <f aca="false">IF($P113=0,BB112,IF(BB$3=$E113,IF($AA113=1,$F113&amp;$AB113,$G113),IF(OR(BB$3=$D113,BB$3=$AC113,BB$3=$AE113),"",IF(BB$3=$AD113,$F113&amp;"R",BB112))))</f>
        <v/>
      </c>
      <c r="BC113" s="11" t="str">
        <f aca="false">IF($P113=0,BC112,IF(BC$3=$E113,IF($AA113=1,$F113&amp;$AB113,$G113),IF(OR(BC$3=$D113,BC$3=$AC113,BC$3=$AE113),"",IF(BC$3=$AD113,$F113&amp;"R",BC112))))</f>
        <v/>
      </c>
      <c r="BD113" s="11" t="str">
        <f aca="false">IF($P113=0,BD112,IF(BD$3=$E113,IF($AA113=1,$F113&amp;$AB113,$G113),IF(OR(BD$3=$D113,BD$3=$AC113,BD$3=$AE113),"",IF(BD$3=$AD113,$F113&amp;"R",BD112))))</f>
        <v/>
      </c>
      <c r="BE113" s="11" t="str">
        <f aca="false">IF($P113=0,BE112,IF(BE$3=$E113,IF($AA113=1,$F113&amp;$AB113,$G113),IF(OR(BE$3=$D113,BE$3=$AC113,BE$3=$AE113),"",IF(BE$3=$AD113,$F113&amp;"R",BE112))))</f>
        <v/>
      </c>
      <c r="BF113" s="11" t="str">
        <f aca="false">IF($P113=0,BF112,IF(BF$3=$E113,IF($AA113=1,$F113&amp;$AB113,$G113),IF(OR(BF$3=$D113,BF$3=$AC113,BF$3=$AE113),"",IF(BF$3=$AD113,$F113&amp;"R",BF112))))</f>
        <v/>
      </c>
      <c r="BG113" s="11" t="str">
        <f aca="false">IF($P113=0,BG112,IF(BG$3=$E113,IF($AA113=1,$F113&amp;$AB113,$G113),IF(OR(BG$3=$D113,BG$3=$AC113,BG$3=$AE113),"",IF(BG$3=$AD113,$F113&amp;"R",BG112))))</f>
        <v/>
      </c>
      <c r="BH113" s="11" t="str">
        <f aca="false">IF($P113=0,BH112,IF(BH$3=$E113,IF($AA113=1,$F113&amp;$AB113,$G113),IF(OR(BH$3=$D113,BH$3=$AC113,BH$3=$AE113),"",IF(BH$3=$AD113,$F113&amp;"R",BH112))))</f>
        <v/>
      </c>
      <c r="BI113" s="11" t="str">
        <f aca="false">IF($P113=0,BI112,IF(BI$3=$E113,IF($AA113=1,$F113&amp;$AB113,$G113),IF(OR(BI$3=$D113,BI$3=$AC113,BI$3=$AE113),"",IF(BI$3=$AD113,$F113&amp;"R",BI112))))</f>
        <v/>
      </c>
      <c r="BJ113" s="11" t="str">
        <f aca="false">IF($P113=0,BJ112,IF(BJ$3=$E113,IF($AA113=1,$F113&amp;$AB113,$G113),IF(OR(BJ$3=$D113,BJ$3=$AC113,BJ$3=$AE113),"",IF(BJ$3=$AD113,$F113&amp;"R",BJ112))))</f>
        <v/>
      </c>
      <c r="BK113" s="11" t="str">
        <f aca="false">IF($P113=0,BK112,IF(BK$3=$E113,IF($AA113=1,$F113&amp;$AB113,$G113),IF(OR(BK$3=$D113,BK$3=$AC113,BK$3=$AE113),"",IF(BK$3=$AD113,$F113&amp;"R",BK112))))</f>
        <v/>
      </c>
      <c r="BL113" s="11" t="str">
        <f aca="false">IF($P113=0,BL112,IF(BL$3=$E113,IF($AA113=1,$F113&amp;$AB113,$G113),IF(OR(BL$3=$D113,BL$3=$AC113,BL$3=$AE113),"",IF(BL$3=$AD113,$F113&amp;"R",BL112))))</f>
        <v/>
      </c>
      <c r="BM113" s="11" t="str">
        <f aca="false">IF($P113=0,BM112,IF(BM$3=$E113,IF($AA113=1,$F113&amp;$AB113,$G113),IF(OR(BM$3=$D113,BM$3=$AC113,BM$3=$AE113),"",IF(BM$3=$AD113,$F113&amp;"R",BM112))))</f>
        <v/>
      </c>
      <c r="BN113" s="11" t="str">
        <f aca="false">IF($P113=0,BN112,IF(BN$3=$E113,IF($AA113=1,$F113&amp;$AB113,$G113),IF(OR(BN$3=$D113,BN$3=$AC113,BN$3=$AE113),"",IF(BN$3=$AD113,$F113&amp;"R",BN112))))</f>
        <v/>
      </c>
      <c r="BO113" s="11" t="str">
        <f aca="false">IF($P113=0,BO112,IF(BO$3=$E113,IF($AA113=1,$F113&amp;$AB113,$G113),IF(OR(BO$3=$D113,BO$3=$AC113,BO$3=$AE113),"",IF(BO$3=$AD113,$F113&amp;"R",BO112))))</f>
        <v/>
      </c>
      <c r="BP113" s="11" t="str">
        <f aca="false">IF($P113=0,BP112,IF(BP$3=$E113,IF($AA113=1,$F113&amp;$AB113,$G113),IF(OR(BP$3=$D113,BP$3=$AC113,BP$3=$AE113),"",IF(BP$3=$AD113,$F113&amp;"R",BP112))))</f>
        <v/>
      </c>
      <c r="BQ113" s="11" t="str">
        <f aca="false">IF($P113=0,BQ112,IF(BQ$3=$E113,IF($AA113=1,$F113&amp;$AB113,$G113),IF(OR(BQ$3=$D113,BQ$3=$AC113,BQ$3=$AE113),"",IF(BQ$3=$AD113,$F113&amp;"R",BQ112))))</f>
        <v/>
      </c>
      <c r="BR113" s="11" t="str">
        <f aca="false">IF($P113=0,BR112,IF(BR$3=$E113,IF($AA113=1,$F113&amp;$AB113,$G113),IF(OR(BR$3=$D113,BR$3=$AC113,BR$3=$AE113),"",IF(BR$3=$AD113,$F113&amp;"R",BR112))))</f>
        <v/>
      </c>
      <c r="BS113" s="11" t="str">
        <f aca="false">IF($P113=0,BS112,IF(BS$3=$E113,IF($AA113=1,$F113&amp;$AB113,$G113),IF(OR(BS$3=$D113,BS$3=$AC113,BS$3=$AE113),"",IF(BS$3=$AD113,$F113&amp;"R",BS112))))</f>
        <v/>
      </c>
      <c r="BT113" s="11" t="str">
        <f aca="false">IF($P113=0,BT112,IF(BT$3=$E113,IF($AA113=1,$F113&amp;$AB113,$G113),IF(OR(BT$3=$D113,BT$3=$AC113,BT$3=$AE113),"",IF(BT$3=$AD113,$F113&amp;"R",BT112))))</f>
        <v/>
      </c>
      <c r="BU113" s="11" t="str">
        <f aca="false">IF($P113=0,BU112,IF(BU$3=$E113,IF($AA113=1,$F113&amp;$AB113,$G113),IF(OR(BU$3=$D113,BU$3=$AC113,BU$3=$AE113),"",IF(BU$3=$AD113,$F113&amp;"R",BU112))))</f>
        <v/>
      </c>
      <c r="BV113" s="11" t="str">
        <f aca="false">IF($P113=0,BV112,IF(BV$3=$E113,IF($AA113=1,$F113&amp;$AB113,$G113),IF(OR(BV$3=$D113,BV$3=$AC113,BV$3=$AE113),"",IF(BV$3=$AD113,$F113&amp;"R",BV112))))</f>
        <v/>
      </c>
      <c r="BW113" s="11" t="str">
        <f aca="false">IF($P113=0,BW112,IF(BW$3=$E113,IF($AA113=1,$F113&amp;$AB113,$G113),IF(OR(BW$3=$D113,BW$3=$AC113,BW$3=$AE113),"",IF(BW$3=$AD113,$F113&amp;"R",BW112))))</f>
        <v/>
      </c>
      <c r="BX113" s="11" t="str">
        <f aca="false">IF($P113=0,BX112,IF(BX$3=$E113,IF($AA113=1,$F113&amp;$AB113,$G113),IF(OR(BX$3=$D113,BX$3=$AC113,BX$3=$AE113),"",IF(BX$3=$AD113,$F113&amp;"R",BX112))))</f>
        <v/>
      </c>
      <c r="BY113" s="11" t="str">
        <f aca="false">IF($P113=0,BY112,IF(BY$3=$E113,IF($AA113=1,$F113&amp;$AB113,$G113),IF(OR(BY$3=$D113,BY$3=$AC113,BY$3=$AE113),"",IF(BY$3=$AD113,$F113&amp;"R",BY112))))</f>
        <v/>
      </c>
      <c r="BZ113" s="11" t="str">
        <f aca="false">IF($P113=0,BZ112,IF(BZ$3=$E113,IF($AA113=1,$F113&amp;$AB113,$G113),IF(OR(BZ$3=$D113,BZ$3=$AC113,BZ$3=$AE113),"",IF(BZ$3=$AD113,$F113&amp;"R",BZ112))))</f>
        <v/>
      </c>
      <c r="CA113" s="11" t="str">
        <f aca="false">IF($P113=0,CA112,IF(CA$3=$E113,IF($AA113=1,$F113&amp;$AB113,$G113),IF(OR(CA$3=$D113,CA$3=$AC113,CA$3=$AE113),"",IF(CA$3=$AD113,$F113&amp;"R",CA112))))</f>
        <v/>
      </c>
      <c r="CB113" s="11" t="str">
        <f aca="false">IF($P113=0,CB112,IF(CB$3=$E113,IF($AA113=1,$F113&amp;$AB113,$G113),IF(OR(CB$3=$D113,CB$3=$AC113,CB$3=$AE113),"",IF(CB$3=$AD113,$F113&amp;"R",CB112))))</f>
        <v/>
      </c>
      <c r="CC113" s="11" t="str">
        <f aca="false">IF($P113=0,CC112,IF(CC$3=$E113,IF($AA113=1,$F113&amp;$AB113,$G113),IF(OR(CC$3=$D113,CC$3=$AC113,CC$3=$AE113),"",IF(CC$3=$AD113,$F113&amp;"R",CC112))))</f>
        <v/>
      </c>
      <c r="CD113" s="11" t="str">
        <f aca="false">IF($P113=0,CD112,IF(CD$3=$E113,IF($AA113=1,$F113&amp;$AB113,$G113),IF(OR(CD$3=$D113,CD$3=$AC113,CD$3=$AE113),"",IF(CD$3=$AD113,$F113&amp;"R",CD112))))</f>
        <v>bP</v>
      </c>
      <c r="CE113" s="11" t="str">
        <f aca="false">IF($P113=0,CE112,IF(CE$3=$E113,IF($AA113=1,$F113&amp;$AB113,$G113),IF(OR(CE$3=$D113,CE$3=$AC113,CE$3=$AE113),"",IF(CE$3=$AD113,$F113&amp;"R",CE112))))</f>
        <v>bP</v>
      </c>
      <c r="CF113" s="11" t="str">
        <f aca="false">IF($P113=0,CF112,IF(CF$3=$E113,IF($AA113=1,$F113&amp;$AB113,$G113),IF(OR(CF$3=$D113,CF$3=$AC113,CF$3=$AE113),"",IF(CF$3=$AD113,$F113&amp;"R",CF112))))</f>
        <v>bP</v>
      </c>
      <c r="CG113" s="11" t="str">
        <f aca="false">IF($P113=0,CG112,IF(CG$3=$E113,IF($AA113=1,$F113&amp;$AB113,$G113),IF(OR(CG$3=$D113,CG$3=$AC113,CG$3=$AE113),"",IF(CG$3=$AD113,$F113&amp;"R",CG112))))</f>
        <v>bP</v>
      </c>
      <c r="CH113" s="11" t="str">
        <f aca="false">IF($P113=0,CH112,IF(CH$3=$E113,IF($AA113=1,$F113&amp;$AB113,$G113),IF(OR(CH$3=$D113,CH$3=$AC113,CH$3=$AE113),"",IF(CH$3=$AD113,$F113&amp;"R",CH112))))</f>
        <v>bP</v>
      </c>
      <c r="CI113" s="11" t="str">
        <f aca="false">IF($P113=0,CI112,IF(CI$3=$E113,IF($AA113=1,$F113&amp;$AB113,$G113),IF(OR(CI$3=$D113,CI$3=$AC113,CI$3=$AE113),"",IF(CI$3=$AD113,$F113&amp;"R",CI112))))</f>
        <v>bP</v>
      </c>
      <c r="CJ113" s="11" t="str">
        <f aca="false">IF($P113=0,CJ112,IF(CJ$3=$E113,IF($AA113=1,$F113&amp;$AB113,$G113),IF(OR(CJ$3=$D113,CJ$3=$AC113,CJ$3=$AE113),"",IF(CJ$3=$AD113,$F113&amp;"R",CJ112))))</f>
        <v>bP</v>
      </c>
      <c r="CK113" s="11" t="str">
        <f aca="false">IF($P113=0,CK112,IF(CK$3=$E113,IF($AA113=1,$F113&amp;$AB113,$G113),IF(OR(CK$3=$D113,CK$3=$AC113,CK$3=$AE113),"",IF(CK$3=$AD113,$F113&amp;"R",CK112))))</f>
        <v>bP</v>
      </c>
      <c r="CL113" s="11" t="str">
        <f aca="false">IF($P113=0,CL112,IF(CL$3=$E113,IF($AA113=1,$F113&amp;$AB113,$G113),IF(OR(CL$3=$D113,CL$3=$AC113,CL$3=$AE113),"",IF(CL$3=$AD113,$F113&amp;"R",CL112))))</f>
        <v>bR</v>
      </c>
      <c r="CM113" s="11" t="str">
        <f aca="false">IF($P113=0,CM112,IF(CM$3=$E113,IF($AA113=1,$F113&amp;$AB113,$G113),IF(OR(CM$3=$D113,CM$3=$AC113,CM$3=$AE113),"",IF(CM$3=$AD113,$F113&amp;"R",CM112))))</f>
        <v>bN</v>
      </c>
      <c r="CN113" s="11" t="str">
        <f aca="false">IF($P113=0,CN112,IF(CN$3=$E113,IF($AA113=1,$F113&amp;$AB113,$G113),IF(OR(CN$3=$D113,CN$3=$AC113,CN$3=$AE113),"",IF(CN$3=$AD113,$F113&amp;"R",CN112))))</f>
        <v>bB</v>
      </c>
      <c r="CO113" s="11" t="str">
        <f aca="false">IF($P113=0,CO112,IF(CO$3=$E113,IF($AA113=1,$F113&amp;$AB113,$G113),IF(OR(CO$3=$D113,CO$3=$AC113,CO$3=$AE113),"",IF(CO$3=$AD113,$F113&amp;"R",CO112))))</f>
        <v>bQ</v>
      </c>
      <c r="CP113" s="11" t="str">
        <f aca="false">IF($P113=0,CP112,IF(CP$3=$E113,IF($AA113=1,$F113&amp;$AB113,$G113),IF(OR(CP$3=$D113,CP$3=$AC113,CP$3=$AE113),"",IF(CP$3=$AD113,$F113&amp;"R",CP112))))</f>
        <v>bK</v>
      </c>
      <c r="CQ113" s="11" t="str">
        <f aca="false">IF($P113=0,CQ112,IF(CQ$3=$E113,IF($AA113=1,$F113&amp;$AB113,$G113),IF(OR(CQ$3=$D113,CQ$3=$AC113,CQ$3=$AE113),"",IF(CQ$3=$AD113,$F113&amp;"R",CQ112))))</f>
        <v>bB</v>
      </c>
      <c r="CR113" s="11" t="str">
        <f aca="false">IF($P113=0,CR112,IF(CR$3=$E113,IF($AA113=1,$F113&amp;$AB113,$G113),IF(OR(CR$3=$D113,CR$3=$AC113,CR$3=$AE113),"",IF(CR$3=$AD113,$F113&amp;"R",CR112))))</f>
        <v>bN</v>
      </c>
      <c r="CS113" s="11" t="str">
        <f aca="false">IF($P113=0,CS112,IF(CS$3=$E113,IF($AA113=1,$F113&amp;$AB113,$G113),IF(OR(CS$3=$D113,CS$3=$AC113,CS$3=$AE113),"",IF(CS$3=$AD113,$F113&amp;"R",CS112))))</f>
        <v>bR</v>
      </c>
      <c r="CT113" s="11"/>
      <c r="CU113" s="11"/>
      <c r="CV113" s="11"/>
    </row>
    <row r="114" customFormat="false" ht="15" hidden="false" customHeight="false" outlineLevel="0" collapsed="false">
      <c r="A114" s="11" t="n">
        <v>109</v>
      </c>
      <c r="B114" s="11" t="str">
        <f aca="false">IF(Chess!$L$118="","",Chess!$L$118&amp;"")</f>
        <v/>
      </c>
      <c r="C114" s="11" t="str">
        <f aca="false">LOWER(SUBSTITUTE(SUBSTITUTE(SUBSTITUTE(SUBSTITUTE(TRIM($B114),"-",""),"=","")," ",""),"x",""))</f>
        <v/>
      </c>
      <c r="D114" s="11" t="n">
        <f aca="false">IF(LEN($C114)&lt;4,0,IFERROR(IF(AND(CODE(MID($C114,1,1))&gt;=97,CODE(MID($C114,1,1))&lt;=104,VALUE(MID($C114,2,1))&gt;=1,VALUE(MID($C114,2,1))&lt;=8),(VALUE(MID($C114,2,1))-1)*8+CODE(MID($C114,1,1))-96,0),0))</f>
        <v>0</v>
      </c>
      <c r="E114" s="11" t="n">
        <f aca="false">IF(LEN($C114)&lt;4,0,IFERROR(IF(AND(CODE(MID($C114,3,1))&gt;=97,CODE(MID($C114,3,1))&lt;=104,VALUE(MID($C114,4,1))&gt;=1,VALUE(MID($C114,4,1))&lt;=8),(VALUE(MID($C114,4,1))-1)*8+CODE(MID($C114,3,1))-96,0),0))</f>
        <v>0</v>
      </c>
      <c r="F114" s="11" t="str">
        <f aca="false">IF(MOD(SUM($P$5:$P113),2)=0,"w","b")</f>
        <v>w</v>
      </c>
      <c r="G114" s="11" t="str">
        <f aca="false">IF($D114=0,"",INDEX($AH113:$CS113,1,$D114)&amp;"")</f>
        <v/>
      </c>
      <c r="H114" s="11" t="str">
        <f aca="false">IF($E114=0,"",INDEX($AH113:$CS113,1,$E114)&amp;"")</f>
        <v/>
      </c>
      <c r="I114" s="11" t="n">
        <f aca="false">IF(OR($D114=0,$E114=0),0,MOD($E114-1,8)-MOD($D114-1,8))</f>
        <v>0</v>
      </c>
      <c r="J114" s="11" t="n">
        <f aca="false">IF(OR($D114=0,$E114=0),0,INT(($E114-1)/8)-INT(($D114-1)/8))</f>
        <v>0</v>
      </c>
      <c r="K114" s="11" t="str">
        <f aca="false">IF($G114="","",RIGHT($G114,1))</f>
        <v/>
      </c>
      <c r="L114" s="11" t="n">
        <f aca="false">IF(OR($D114=0,$E114=0),0,SUMPRODUCT(($AH$3:$CS$3&gt;MIN($D114,$E114))*($AH$3:$CS$3&lt;MAX($D114,$E114))*(MOD($AH$3:$CS$3-MIN($D114,$E114),MAX(1,ABS(SIGN($J114)*8+SIGN($I114))))=0)*($AH113:$CS113&lt;&gt;"")))</f>
        <v>0</v>
      </c>
      <c r="M114" s="11" t="n">
        <f aca="false">IF($K114&lt;&gt;"K",0,IFERROR(--AND($J114=0,ABS($I114)=2,$D114=IF($F114="w",5,61),IF($F114="w",$S113,$V113)=0,IF($I114=2,AND(IF($F114="w",$U113,$X113)=0,INDEX($AH113:$CS113,1,$D114+1)&amp;""="",INDEX($AH113:$CS113,1,$D114+2)&amp;""=""),AND(IF($F114="w",$T113,$W113)=0,INDEX($AH113:$CS113,1,$D114-1)&amp;""="",INDEX($AH113:$CS113,1,$D114-2)&amp;""="",INDEX($AH113:$CS113,1,$D114-3)&amp;""=""))),0))</f>
        <v>0</v>
      </c>
      <c r="N114" s="11" t="n">
        <f aca="false">IF($K114&lt;&gt;"P",0,IFERROR(--OR(AND($I114=0,$J114=IF($F114="w",1,-1),$H114=""),AND($I114=0,$J114=2*IF($F114="w",1,-1),$H114="",INT(($D114-1)/8)=IF($F114="w",1,6),INDEX($AH113:$CS113,1,MAX(1,MIN(64,$D114+8*IF($F114="w",1,-1))))&amp;""=""),AND(ABS($I114)=1,$J114=IF($F114="w",1,-1),$H114&lt;&gt;""),AND(ABS($I114)=1,$J114=IF($F114="w",1,-1),$H114="",$R113&gt;0,$E114=$R113)),0))</f>
        <v>0</v>
      </c>
      <c r="O114" s="11" t="n">
        <f aca="false">IF(OR($D114=0,$E114=0,$G114=""),0,IF($K114="N",--OR(AND(ABS($I114)=1,ABS($J114)=2),AND(ABS($I114)=2,ABS($J114)=1)),IF($K114="B",--AND(ABS($I114)=ABS($J114),$I114&lt;&gt;0,$L114=0),IF($K114="R",--AND(OR($I114=0,$J114=0),OR($I114&lt;&gt;0,$J114&lt;&gt;0),$L114=0),IF($K114="Q",--AND(OR(AND(ABS($I114)=ABS($J114),$I114&lt;&gt;0),AND(OR($I114=0,$J114=0),OR($I114&lt;&gt;0,$J114&lt;&gt;0))),$L114=0),IF($K114="K",--OR(MAX(ABS($I114),ABS($J114))=1,$M114=1),$N114))))))</f>
        <v>0</v>
      </c>
      <c r="P114" s="11" t="n">
        <f aca="false">IF($Q114="OK",1,0)</f>
        <v>0</v>
      </c>
      <c r="Q114" s="11" t="str">
        <f aca="false">IF($B114="","",IF(OR(COUNTIF($AH113:$CS113,"wK")=0,COUNTIF($AH113:$CS113,"bK")=0),"Game is over",IF(OR($D114=0,$E114=0),"Use the format e2e4",IF($G114="","No piece on that square",IF(LEFT($G114,1)&lt;&gt;$F114,"Not your piece ("&amp;IF($F114="w","White","Black")&amp;" to move)",IF($D114=$E114,"Piece must move",IF(AND($H114&lt;&gt;"",LEFT($H114,1)=$F114),"Cannot capture your own piece",IF($O114=0,"Illegal move for that piece (or path blocked)","OK"))))))))</f>
        <v/>
      </c>
      <c r="R114" s="11" t="n">
        <f aca="false">IF($P114=1,IF(AND($K114="P",ABS($J114)=2),($D114+$E114)/2,0),$R113)</f>
        <v>0</v>
      </c>
      <c r="S114" s="12" t="b">
        <f aca="false">--OR($S113=1,AND($P114=1,OR($D114=5,$E114=5)))</f>
        <v>0</v>
      </c>
      <c r="T114" s="12" t="b">
        <f aca="false">--OR($T113=1,AND($P114=1,OR($D114=1,$E114=1)))</f>
        <v>0</v>
      </c>
      <c r="U114" s="12" t="b">
        <f aca="false">--OR($U113=1,AND($P114=1,OR($D114=8,$E114=8)))</f>
        <v>0</v>
      </c>
      <c r="V114" s="12" t="b">
        <f aca="false">--OR($V113=1,AND($P114=1,OR($D114=61,$E114=61)))</f>
        <v>0</v>
      </c>
      <c r="W114" s="12" t="b">
        <f aca="false">--OR($W113=1,AND($P114=1,OR($D114=57,$E114=57)))</f>
        <v>0</v>
      </c>
      <c r="X114" s="12" t="b">
        <f aca="false">--OR($X113=1,AND($P114=1,OR($D114=64,$E114=64)))</f>
        <v>0</v>
      </c>
      <c r="Y114" s="12" t="b">
        <f aca="false">--AND($P114=1,$K114="K",ABS($I114)=2)</f>
        <v>0</v>
      </c>
      <c r="Z114" s="12" t="b">
        <f aca="false">--AND($P114=1,$K114="P",ABS($I114)=1,$H114="")</f>
        <v>0</v>
      </c>
      <c r="AA114" s="12" t="b">
        <f aca="false">--AND($P114=1,$K114="P",INT(($E114-1)/8)=IF($F114="w",7,0))</f>
        <v>0</v>
      </c>
      <c r="AB114" s="11" t="str">
        <f aca="false">IF(LEN($C114)&gt;=5,IF(ISNUMBER(FIND(MID($C114,5,1),"qrbn")),UPPER(MID($C114,5,1)),"Q"),"Q")</f>
        <v>Q</v>
      </c>
      <c r="AC114" s="11" t="n">
        <f aca="false">IF($Y114=1,IF($I114=2,$D114+3,$D114-4),0)</f>
        <v>0</v>
      </c>
      <c r="AD114" s="11" t="n">
        <f aca="false">IF($Y114=1,IF($I114=2,$D114+1,$D114-1),0)</f>
        <v>0</v>
      </c>
      <c r="AE114" s="11" t="n">
        <f aca="false">IF($Z114=1,$E114-8*IF($F114="w",1,-1),0)</f>
        <v>0</v>
      </c>
      <c r="AF114" s="11" t="str">
        <f aca="false">IF($B114="","",IF($P114=1,LOWER(INDEX($CV$2:$CV$13,MATCH($G114,$CU$2:$CU$13,0)))&amp;" "&amp;MID("abcdefgh",MOD($D114-1,8)+1,1)&amp;(INT(($D114-1)/8)+1)&amp;"→"&amp;MID("abcdefgh",MOD($E114-1,8)+1,1)&amp;(INT(($E114-1)/8)+1)&amp;IF(OR($H114&lt;&gt;"",$Z114=1)," ×","")&amp;IF($Y114=1," castles","")&amp;IF($Z114=1," e.p.","")&amp;IF($AA114=1," =" &amp;LOWER(INDEX($CV$2:$CV$13,MATCH($F114&amp;$AB114,$CU$2:$CU$13,0))),""),"X "&amp;$Q114))</f>
        <v/>
      </c>
      <c r="AG114" s="11"/>
      <c r="AH114" s="11" t="str">
        <f aca="false">IF($P114=0,AH113,IF(AH$3=$E114,IF($AA114=1,$F114&amp;$AB114,$G114),IF(OR(AH$3=$D114,AH$3=$AC114,AH$3=$AE114),"",IF(AH$3=$AD114,$F114&amp;"R",AH113))))</f>
        <v>wR</v>
      </c>
      <c r="AI114" s="11" t="str">
        <f aca="false">IF($P114=0,AI113,IF(AI$3=$E114,IF($AA114=1,$F114&amp;$AB114,$G114),IF(OR(AI$3=$D114,AI$3=$AC114,AI$3=$AE114),"",IF(AI$3=$AD114,$F114&amp;"R",AI113))))</f>
        <v>wN</v>
      </c>
      <c r="AJ114" s="11" t="str">
        <f aca="false">IF($P114=0,AJ113,IF(AJ$3=$E114,IF($AA114=1,$F114&amp;$AB114,$G114),IF(OR(AJ$3=$D114,AJ$3=$AC114,AJ$3=$AE114),"",IF(AJ$3=$AD114,$F114&amp;"R",AJ113))))</f>
        <v>wB</v>
      </c>
      <c r="AK114" s="11" t="str">
        <f aca="false">IF($P114=0,AK113,IF(AK$3=$E114,IF($AA114=1,$F114&amp;$AB114,$G114),IF(OR(AK$3=$D114,AK$3=$AC114,AK$3=$AE114),"",IF(AK$3=$AD114,$F114&amp;"R",AK113))))</f>
        <v>wQ</v>
      </c>
      <c r="AL114" s="11" t="str">
        <f aca="false">IF($P114=0,AL113,IF(AL$3=$E114,IF($AA114=1,$F114&amp;$AB114,$G114),IF(OR(AL$3=$D114,AL$3=$AC114,AL$3=$AE114),"",IF(AL$3=$AD114,$F114&amp;"R",AL113))))</f>
        <v>wK</v>
      </c>
      <c r="AM114" s="11" t="str">
        <f aca="false">IF($P114=0,AM113,IF(AM$3=$E114,IF($AA114=1,$F114&amp;$AB114,$G114),IF(OR(AM$3=$D114,AM$3=$AC114,AM$3=$AE114),"",IF(AM$3=$AD114,$F114&amp;"R",AM113))))</f>
        <v>wB</v>
      </c>
      <c r="AN114" s="11" t="str">
        <f aca="false">IF($P114=0,AN113,IF(AN$3=$E114,IF($AA114=1,$F114&amp;$AB114,$G114),IF(OR(AN$3=$D114,AN$3=$AC114,AN$3=$AE114),"",IF(AN$3=$AD114,$F114&amp;"R",AN113))))</f>
        <v>wN</v>
      </c>
      <c r="AO114" s="11" t="str">
        <f aca="false">IF($P114=0,AO113,IF(AO$3=$E114,IF($AA114=1,$F114&amp;$AB114,$G114),IF(OR(AO$3=$D114,AO$3=$AC114,AO$3=$AE114),"",IF(AO$3=$AD114,$F114&amp;"R",AO113))))</f>
        <v>wR</v>
      </c>
      <c r="AP114" s="11" t="str">
        <f aca="false">IF($P114=0,AP113,IF(AP$3=$E114,IF($AA114=1,$F114&amp;$AB114,$G114),IF(OR(AP$3=$D114,AP$3=$AC114,AP$3=$AE114),"",IF(AP$3=$AD114,$F114&amp;"R",AP113))))</f>
        <v>wP</v>
      </c>
      <c r="AQ114" s="11" t="str">
        <f aca="false">IF($P114=0,AQ113,IF(AQ$3=$E114,IF($AA114=1,$F114&amp;$AB114,$G114),IF(OR(AQ$3=$D114,AQ$3=$AC114,AQ$3=$AE114),"",IF(AQ$3=$AD114,$F114&amp;"R",AQ113))))</f>
        <v>wP</v>
      </c>
      <c r="AR114" s="11" t="str">
        <f aca="false">IF($P114=0,AR113,IF(AR$3=$E114,IF($AA114=1,$F114&amp;$AB114,$G114),IF(OR(AR$3=$D114,AR$3=$AC114,AR$3=$AE114),"",IF(AR$3=$AD114,$F114&amp;"R",AR113))))</f>
        <v>wP</v>
      </c>
      <c r="AS114" s="11" t="str">
        <f aca="false">IF($P114=0,AS113,IF(AS$3=$E114,IF($AA114=1,$F114&amp;$AB114,$G114),IF(OR(AS$3=$D114,AS$3=$AC114,AS$3=$AE114),"",IF(AS$3=$AD114,$F114&amp;"R",AS113))))</f>
        <v>wP</v>
      </c>
      <c r="AT114" s="11" t="str">
        <f aca="false">IF($P114=0,AT113,IF(AT$3=$E114,IF($AA114=1,$F114&amp;$AB114,$G114),IF(OR(AT$3=$D114,AT$3=$AC114,AT$3=$AE114),"",IF(AT$3=$AD114,$F114&amp;"R",AT113))))</f>
        <v>wP</v>
      </c>
      <c r="AU114" s="11" t="str">
        <f aca="false">IF($P114=0,AU113,IF(AU$3=$E114,IF($AA114=1,$F114&amp;$AB114,$G114),IF(OR(AU$3=$D114,AU$3=$AC114,AU$3=$AE114),"",IF(AU$3=$AD114,$F114&amp;"R",AU113))))</f>
        <v>wP</v>
      </c>
      <c r="AV114" s="11" t="str">
        <f aca="false">IF($P114=0,AV113,IF(AV$3=$E114,IF($AA114=1,$F114&amp;$AB114,$G114),IF(OR(AV$3=$D114,AV$3=$AC114,AV$3=$AE114),"",IF(AV$3=$AD114,$F114&amp;"R",AV113))))</f>
        <v>wP</v>
      </c>
      <c r="AW114" s="11" t="str">
        <f aca="false">IF($P114=0,AW113,IF(AW$3=$E114,IF($AA114=1,$F114&amp;$AB114,$G114),IF(OR(AW$3=$D114,AW$3=$AC114,AW$3=$AE114),"",IF(AW$3=$AD114,$F114&amp;"R",AW113))))</f>
        <v>wP</v>
      </c>
      <c r="AX114" s="11" t="str">
        <f aca="false">IF($P114=0,AX113,IF(AX$3=$E114,IF($AA114=1,$F114&amp;$AB114,$G114),IF(OR(AX$3=$D114,AX$3=$AC114,AX$3=$AE114),"",IF(AX$3=$AD114,$F114&amp;"R",AX113))))</f>
        <v/>
      </c>
      <c r="AY114" s="11" t="str">
        <f aca="false">IF($P114=0,AY113,IF(AY$3=$E114,IF($AA114=1,$F114&amp;$AB114,$G114),IF(OR(AY$3=$D114,AY$3=$AC114,AY$3=$AE114),"",IF(AY$3=$AD114,$F114&amp;"R",AY113))))</f>
        <v/>
      </c>
      <c r="AZ114" s="11" t="str">
        <f aca="false">IF($P114=0,AZ113,IF(AZ$3=$E114,IF($AA114=1,$F114&amp;$AB114,$G114),IF(OR(AZ$3=$D114,AZ$3=$AC114,AZ$3=$AE114),"",IF(AZ$3=$AD114,$F114&amp;"R",AZ113))))</f>
        <v/>
      </c>
      <c r="BA114" s="11" t="str">
        <f aca="false">IF($P114=0,BA113,IF(BA$3=$E114,IF($AA114=1,$F114&amp;$AB114,$G114),IF(OR(BA$3=$D114,BA$3=$AC114,BA$3=$AE114),"",IF(BA$3=$AD114,$F114&amp;"R",BA113))))</f>
        <v/>
      </c>
      <c r="BB114" s="11" t="str">
        <f aca="false">IF($P114=0,BB113,IF(BB$3=$E114,IF($AA114=1,$F114&amp;$AB114,$G114),IF(OR(BB$3=$D114,BB$3=$AC114,BB$3=$AE114),"",IF(BB$3=$AD114,$F114&amp;"R",BB113))))</f>
        <v/>
      </c>
      <c r="BC114" s="11" t="str">
        <f aca="false">IF($P114=0,BC113,IF(BC$3=$E114,IF($AA114=1,$F114&amp;$AB114,$G114),IF(OR(BC$3=$D114,BC$3=$AC114,BC$3=$AE114),"",IF(BC$3=$AD114,$F114&amp;"R",BC113))))</f>
        <v/>
      </c>
      <c r="BD114" s="11" t="str">
        <f aca="false">IF($P114=0,BD113,IF(BD$3=$E114,IF($AA114=1,$F114&amp;$AB114,$G114),IF(OR(BD$3=$D114,BD$3=$AC114,BD$3=$AE114),"",IF(BD$3=$AD114,$F114&amp;"R",BD113))))</f>
        <v/>
      </c>
      <c r="BE114" s="11" t="str">
        <f aca="false">IF($P114=0,BE113,IF(BE$3=$E114,IF($AA114=1,$F114&amp;$AB114,$G114),IF(OR(BE$3=$D114,BE$3=$AC114,BE$3=$AE114),"",IF(BE$3=$AD114,$F114&amp;"R",BE113))))</f>
        <v/>
      </c>
      <c r="BF114" s="11" t="str">
        <f aca="false">IF($P114=0,BF113,IF(BF$3=$E114,IF($AA114=1,$F114&amp;$AB114,$G114),IF(OR(BF$3=$D114,BF$3=$AC114,BF$3=$AE114),"",IF(BF$3=$AD114,$F114&amp;"R",BF113))))</f>
        <v/>
      </c>
      <c r="BG114" s="11" t="str">
        <f aca="false">IF($P114=0,BG113,IF(BG$3=$E114,IF($AA114=1,$F114&amp;$AB114,$G114),IF(OR(BG$3=$D114,BG$3=$AC114,BG$3=$AE114),"",IF(BG$3=$AD114,$F114&amp;"R",BG113))))</f>
        <v/>
      </c>
      <c r="BH114" s="11" t="str">
        <f aca="false">IF($P114=0,BH113,IF(BH$3=$E114,IF($AA114=1,$F114&amp;$AB114,$G114),IF(OR(BH$3=$D114,BH$3=$AC114,BH$3=$AE114),"",IF(BH$3=$AD114,$F114&amp;"R",BH113))))</f>
        <v/>
      </c>
      <c r="BI114" s="11" t="str">
        <f aca="false">IF($P114=0,BI113,IF(BI$3=$E114,IF($AA114=1,$F114&amp;$AB114,$G114),IF(OR(BI$3=$D114,BI$3=$AC114,BI$3=$AE114),"",IF(BI$3=$AD114,$F114&amp;"R",BI113))))</f>
        <v/>
      </c>
      <c r="BJ114" s="11" t="str">
        <f aca="false">IF($P114=0,BJ113,IF(BJ$3=$E114,IF($AA114=1,$F114&amp;$AB114,$G114),IF(OR(BJ$3=$D114,BJ$3=$AC114,BJ$3=$AE114),"",IF(BJ$3=$AD114,$F114&amp;"R",BJ113))))</f>
        <v/>
      </c>
      <c r="BK114" s="11" t="str">
        <f aca="false">IF($P114=0,BK113,IF(BK$3=$E114,IF($AA114=1,$F114&amp;$AB114,$G114),IF(OR(BK$3=$D114,BK$3=$AC114,BK$3=$AE114),"",IF(BK$3=$AD114,$F114&amp;"R",BK113))))</f>
        <v/>
      </c>
      <c r="BL114" s="11" t="str">
        <f aca="false">IF($P114=0,BL113,IF(BL$3=$E114,IF($AA114=1,$F114&amp;$AB114,$G114),IF(OR(BL$3=$D114,BL$3=$AC114,BL$3=$AE114),"",IF(BL$3=$AD114,$F114&amp;"R",BL113))))</f>
        <v/>
      </c>
      <c r="BM114" s="11" t="str">
        <f aca="false">IF($P114=0,BM113,IF(BM$3=$E114,IF($AA114=1,$F114&amp;$AB114,$G114),IF(OR(BM$3=$D114,BM$3=$AC114,BM$3=$AE114),"",IF(BM$3=$AD114,$F114&amp;"R",BM113))))</f>
        <v/>
      </c>
      <c r="BN114" s="11" t="str">
        <f aca="false">IF($P114=0,BN113,IF(BN$3=$E114,IF($AA114=1,$F114&amp;$AB114,$G114),IF(OR(BN$3=$D114,BN$3=$AC114,BN$3=$AE114),"",IF(BN$3=$AD114,$F114&amp;"R",BN113))))</f>
        <v/>
      </c>
      <c r="BO114" s="11" t="str">
        <f aca="false">IF($P114=0,BO113,IF(BO$3=$E114,IF($AA114=1,$F114&amp;$AB114,$G114),IF(OR(BO$3=$D114,BO$3=$AC114,BO$3=$AE114),"",IF(BO$3=$AD114,$F114&amp;"R",BO113))))</f>
        <v/>
      </c>
      <c r="BP114" s="11" t="str">
        <f aca="false">IF($P114=0,BP113,IF(BP$3=$E114,IF($AA114=1,$F114&amp;$AB114,$G114),IF(OR(BP$3=$D114,BP$3=$AC114,BP$3=$AE114),"",IF(BP$3=$AD114,$F114&amp;"R",BP113))))</f>
        <v/>
      </c>
      <c r="BQ114" s="11" t="str">
        <f aca="false">IF($P114=0,BQ113,IF(BQ$3=$E114,IF($AA114=1,$F114&amp;$AB114,$G114),IF(OR(BQ$3=$D114,BQ$3=$AC114,BQ$3=$AE114),"",IF(BQ$3=$AD114,$F114&amp;"R",BQ113))))</f>
        <v/>
      </c>
      <c r="BR114" s="11" t="str">
        <f aca="false">IF($P114=0,BR113,IF(BR$3=$E114,IF($AA114=1,$F114&amp;$AB114,$G114),IF(OR(BR$3=$D114,BR$3=$AC114,BR$3=$AE114),"",IF(BR$3=$AD114,$F114&amp;"R",BR113))))</f>
        <v/>
      </c>
      <c r="BS114" s="11" t="str">
        <f aca="false">IF($P114=0,BS113,IF(BS$3=$E114,IF($AA114=1,$F114&amp;$AB114,$G114),IF(OR(BS$3=$D114,BS$3=$AC114,BS$3=$AE114),"",IF(BS$3=$AD114,$F114&amp;"R",BS113))))</f>
        <v/>
      </c>
      <c r="BT114" s="11" t="str">
        <f aca="false">IF($P114=0,BT113,IF(BT$3=$E114,IF($AA114=1,$F114&amp;$AB114,$G114),IF(OR(BT$3=$D114,BT$3=$AC114,BT$3=$AE114),"",IF(BT$3=$AD114,$F114&amp;"R",BT113))))</f>
        <v/>
      </c>
      <c r="BU114" s="11" t="str">
        <f aca="false">IF($P114=0,BU113,IF(BU$3=$E114,IF($AA114=1,$F114&amp;$AB114,$G114),IF(OR(BU$3=$D114,BU$3=$AC114,BU$3=$AE114),"",IF(BU$3=$AD114,$F114&amp;"R",BU113))))</f>
        <v/>
      </c>
      <c r="BV114" s="11" t="str">
        <f aca="false">IF($P114=0,BV113,IF(BV$3=$E114,IF($AA114=1,$F114&amp;$AB114,$G114),IF(OR(BV$3=$D114,BV$3=$AC114,BV$3=$AE114),"",IF(BV$3=$AD114,$F114&amp;"R",BV113))))</f>
        <v/>
      </c>
      <c r="BW114" s="11" t="str">
        <f aca="false">IF($P114=0,BW113,IF(BW$3=$E114,IF($AA114=1,$F114&amp;$AB114,$G114),IF(OR(BW$3=$D114,BW$3=$AC114,BW$3=$AE114),"",IF(BW$3=$AD114,$F114&amp;"R",BW113))))</f>
        <v/>
      </c>
      <c r="BX114" s="11" t="str">
        <f aca="false">IF($P114=0,BX113,IF(BX$3=$E114,IF($AA114=1,$F114&amp;$AB114,$G114),IF(OR(BX$3=$D114,BX$3=$AC114,BX$3=$AE114),"",IF(BX$3=$AD114,$F114&amp;"R",BX113))))</f>
        <v/>
      </c>
      <c r="BY114" s="11" t="str">
        <f aca="false">IF($P114=0,BY113,IF(BY$3=$E114,IF($AA114=1,$F114&amp;$AB114,$G114),IF(OR(BY$3=$D114,BY$3=$AC114,BY$3=$AE114),"",IF(BY$3=$AD114,$F114&amp;"R",BY113))))</f>
        <v/>
      </c>
      <c r="BZ114" s="11" t="str">
        <f aca="false">IF($P114=0,BZ113,IF(BZ$3=$E114,IF($AA114=1,$F114&amp;$AB114,$G114),IF(OR(BZ$3=$D114,BZ$3=$AC114,BZ$3=$AE114),"",IF(BZ$3=$AD114,$F114&amp;"R",BZ113))))</f>
        <v/>
      </c>
      <c r="CA114" s="11" t="str">
        <f aca="false">IF($P114=0,CA113,IF(CA$3=$E114,IF($AA114=1,$F114&amp;$AB114,$G114),IF(OR(CA$3=$D114,CA$3=$AC114,CA$3=$AE114),"",IF(CA$3=$AD114,$F114&amp;"R",CA113))))</f>
        <v/>
      </c>
      <c r="CB114" s="11" t="str">
        <f aca="false">IF($P114=0,CB113,IF(CB$3=$E114,IF($AA114=1,$F114&amp;$AB114,$G114),IF(OR(CB$3=$D114,CB$3=$AC114,CB$3=$AE114),"",IF(CB$3=$AD114,$F114&amp;"R",CB113))))</f>
        <v/>
      </c>
      <c r="CC114" s="11" t="str">
        <f aca="false">IF($P114=0,CC113,IF(CC$3=$E114,IF($AA114=1,$F114&amp;$AB114,$G114),IF(OR(CC$3=$D114,CC$3=$AC114,CC$3=$AE114),"",IF(CC$3=$AD114,$F114&amp;"R",CC113))))</f>
        <v/>
      </c>
      <c r="CD114" s="11" t="str">
        <f aca="false">IF($P114=0,CD113,IF(CD$3=$E114,IF($AA114=1,$F114&amp;$AB114,$G114),IF(OR(CD$3=$D114,CD$3=$AC114,CD$3=$AE114),"",IF(CD$3=$AD114,$F114&amp;"R",CD113))))</f>
        <v>bP</v>
      </c>
      <c r="CE114" s="11" t="str">
        <f aca="false">IF($P114=0,CE113,IF(CE$3=$E114,IF($AA114=1,$F114&amp;$AB114,$G114),IF(OR(CE$3=$D114,CE$3=$AC114,CE$3=$AE114),"",IF(CE$3=$AD114,$F114&amp;"R",CE113))))</f>
        <v>bP</v>
      </c>
      <c r="CF114" s="11" t="str">
        <f aca="false">IF($P114=0,CF113,IF(CF$3=$E114,IF($AA114=1,$F114&amp;$AB114,$G114),IF(OR(CF$3=$D114,CF$3=$AC114,CF$3=$AE114),"",IF(CF$3=$AD114,$F114&amp;"R",CF113))))</f>
        <v>bP</v>
      </c>
      <c r="CG114" s="11" t="str">
        <f aca="false">IF($P114=0,CG113,IF(CG$3=$E114,IF($AA114=1,$F114&amp;$AB114,$G114),IF(OR(CG$3=$D114,CG$3=$AC114,CG$3=$AE114),"",IF(CG$3=$AD114,$F114&amp;"R",CG113))))</f>
        <v>bP</v>
      </c>
      <c r="CH114" s="11" t="str">
        <f aca="false">IF($P114=0,CH113,IF(CH$3=$E114,IF($AA114=1,$F114&amp;$AB114,$G114),IF(OR(CH$3=$D114,CH$3=$AC114,CH$3=$AE114),"",IF(CH$3=$AD114,$F114&amp;"R",CH113))))</f>
        <v>bP</v>
      </c>
      <c r="CI114" s="11" t="str">
        <f aca="false">IF($P114=0,CI113,IF(CI$3=$E114,IF($AA114=1,$F114&amp;$AB114,$G114),IF(OR(CI$3=$D114,CI$3=$AC114,CI$3=$AE114),"",IF(CI$3=$AD114,$F114&amp;"R",CI113))))</f>
        <v>bP</v>
      </c>
      <c r="CJ114" s="11" t="str">
        <f aca="false">IF($P114=0,CJ113,IF(CJ$3=$E114,IF($AA114=1,$F114&amp;$AB114,$G114),IF(OR(CJ$3=$D114,CJ$3=$AC114,CJ$3=$AE114),"",IF(CJ$3=$AD114,$F114&amp;"R",CJ113))))</f>
        <v>bP</v>
      </c>
      <c r="CK114" s="11" t="str">
        <f aca="false">IF($P114=0,CK113,IF(CK$3=$E114,IF($AA114=1,$F114&amp;$AB114,$G114),IF(OR(CK$3=$D114,CK$3=$AC114,CK$3=$AE114),"",IF(CK$3=$AD114,$F114&amp;"R",CK113))))</f>
        <v>bP</v>
      </c>
      <c r="CL114" s="11" t="str">
        <f aca="false">IF($P114=0,CL113,IF(CL$3=$E114,IF($AA114=1,$F114&amp;$AB114,$G114),IF(OR(CL$3=$D114,CL$3=$AC114,CL$3=$AE114),"",IF(CL$3=$AD114,$F114&amp;"R",CL113))))</f>
        <v>bR</v>
      </c>
      <c r="CM114" s="11" t="str">
        <f aca="false">IF($P114=0,CM113,IF(CM$3=$E114,IF($AA114=1,$F114&amp;$AB114,$G114),IF(OR(CM$3=$D114,CM$3=$AC114,CM$3=$AE114),"",IF(CM$3=$AD114,$F114&amp;"R",CM113))))</f>
        <v>bN</v>
      </c>
      <c r="CN114" s="11" t="str">
        <f aca="false">IF($P114=0,CN113,IF(CN$3=$E114,IF($AA114=1,$F114&amp;$AB114,$G114),IF(OR(CN$3=$D114,CN$3=$AC114,CN$3=$AE114),"",IF(CN$3=$AD114,$F114&amp;"R",CN113))))</f>
        <v>bB</v>
      </c>
      <c r="CO114" s="11" t="str">
        <f aca="false">IF($P114=0,CO113,IF(CO$3=$E114,IF($AA114=1,$F114&amp;$AB114,$G114),IF(OR(CO$3=$D114,CO$3=$AC114,CO$3=$AE114),"",IF(CO$3=$AD114,$F114&amp;"R",CO113))))</f>
        <v>bQ</v>
      </c>
      <c r="CP114" s="11" t="str">
        <f aca="false">IF($P114=0,CP113,IF(CP$3=$E114,IF($AA114=1,$F114&amp;$AB114,$G114),IF(OR(CP$3=$D114,CP$3=$AC114,CP$3=$AE114),"",IF(CP$3=$AD114,$F114&amp;"R",CP113))))</f>
        <v>bK</v>
      </c>
      <c r="CQ114" s="11" t="str">
        <f aca="false">IF($P114=0,CQ113,IF(CQ$3=$E114,IF($AA114=1,$F114&amp;$AB114,$G114),IF(OR(CQ$3=$D114,CQ$3=$AC114,CQ$3=$AE114),"",IF(CQ$3=$AD114,$F114&amp;"R",CQ113))))</f>
        <v>bB</v>
      </c>
      <c r="CR114" s="11" t="str">
        <f aca="false">IF($P114=0,CR113,IF(CR$3=$E114,IF($AA114=1,$F114&amp;$AB114,$G114),IF(OR(CR$3=$D114,CR$3=$AC114,CR$3=$AE114),"",IF(CR$3=$AD114,$F114&amp;"R",CR113))))</f>
        <v>bN</v>
      </c>
      <c r="CS114" s="11" t="str">
        <f aca="false">IF($P114=0,CS113,IF(CS$3=$E114,IF($AA114=1,$F114&amp;$AB114,$G114),IF(OR(CS$3=$D114,CS$3=$AC114,CS$3=$AE114),"",IF(CS$3=$AD114,$F114&amp;"R",CS113))))</f>
        <v>bR</v>
      </c>
      <c r="CT114" s="11"/>
      <c r="CU114" s="11"/>
      <c r="CV114" s="11"/>
    </row>
    <row r="115" customFormat="false" ht="15" hidden="false" customHeight="false" outlineLevel="0" collapsed="false">
      <c r="A115" s="11" t="n">
        <v>110</v>
      </c>
      <c r="B115" s="11" t="str">
        <f aca="false">IF(Chess!$L$119="","",Chess!$L$119&amp;"")</f>
        <v/>
      </c>
      <c r="C115" s="11" t="str">
        <f aca="false">LOWER(SUBSTITUTE(SUBSTITUTE(SUBSTITUTE(SUBSTITUTE(TRIM($B115),"-",""),"=","")," ",""),"x",""))</f>
        <v/>
      </c>
      <c r="D115" s="11" t="n">
        <f aca="false">IF(LEN($C115)&lt;4,0,IFERROR(IF(AND(CODE(MID($C115,1,1))&gt;=97,CODE(MID($C115,1,1))&lt;=104,VALUE(MID($C115,2,1))&gt;=1,VALUE(MID($C115,2,1))&lt;=8),(VALUE(MID($C115,2,1))-1)*8+CODE(MID($C115,1,1))-96,0),0))</f>
        <v>0</v>
      </c>
      <c r="E115" s="11" t="n">
        <f aca="false">IF(LEN($C115)&lt;4,0,IFERROR(IF(AND(CODE(MID($C115,3,1))&gt;=97,CODE(MID($C115,3,1))&lt;=104,VALUE(MID($C115,4,1))&gt;=1,VALUE(MID($C115,4,1))&lt;=8),(VALUE(MID($C115,4,1))-1)*8+CODE(MID($C115,3,1))-96,0),0))</f>
        <v>0</v>
      </c>
      <c r="F115" s="11" t="str">
        <f aca="false">IF(MOD(SUM($P$5:$P114),2)=0,"w","b")</f>
        <v>w</v>
      </c>
      <c r="G115" s="11" t="str">
        <f aca="false">IF($D115=0,"",INDEX($AH114:$CS114,1,$D115)&amp;"")</f>
        <v/>
      </c>
      <c r="H115" s="11" t="str">
        <f aca="false">IF($E115=0,"",INDEX($AH114:$CS114,1,$E115)&amp;"")</f>
        <v/>
      </c>
      <c r="I115" s="11" t="n">
        <f aca="false">IF(OR($D115=0,$E115=0),0,MOD($E115-1,8)-MOD($D115-1,8))</f>
        <v>0</v>
      </c>
      <c r="J115" s="11" t="n">
        <f aca="false">IF(OR($D115=0,$E115=0),0,INT(($E115-1)/8)-INT(($D115-1)/8))</f>
        <v>0</v>
      </c>
      <c r="K115" s="11" t="str">
        <f aca="false">IF($G115="","",RIGHT($G115,1))</f>
        <v/>
      </c>
      <c r="L115" s="11" t="n">
        <f aca="false">IF(OR($D115=0,$E115=0),0,SUMPRODUCT(($AH$3:$CS$3&gt;MIN($D115,$E115))*($AH$3:$CS$3&lt;MAX($D115,$E115))*(MOD($AH$3:$CS$3-MIN($D115,$E115),MAX(1,ABS(SIGN($J115)*8+SIGN($I115))))=0)*($AH114:$CS114&lt;&gt;"")))</f>
        <v>0</v>
      </c>
      <c r="M115" s="11" t="n">
        <f aca="false">IF($K115&lt;&gt;"K",0,IFERROR(--AND($J115=0,ABS($I115)=2,$D115=IF($F115="w",5,61),IF($F115="w",$S114,$V114)=0,IF($I115=2,AND(IF($F115="w",$U114,$X114)=0,INDEX($AH114:$CS114,1,$D115+1)&amp;""="",INDEX($AH114:$CS114,1,$D115+2)&amp;""=""),AND(IF($F115="w",$T114,$W114)=0,INDEX($AH114:$CS114,1,$D115-1)&amp;""="",INDEX($AH114:$CS114,1,$D115-2)&amp;""="",INDEX($AH114:$CS114,1,$D115-3)&amp;""=""))),0))</f>
        <v>0</v>
      </c>
      <c r="N115" s="11" t="n">
        <f aca="false">IF($K115&lt;&gt;"P",0,IFERROR(--OR(AND($I115=0,$J115=IF($F115="w",1,-1),$H115=""),AND($I115=0,$J115=2*IF($F115="w",1,-1),$H115="",INT(($D115-1)/8)=IF($F115="w",1,6),INDEX($AH114:$CS114,1,MAX(1,MIN(64,$D115+8*IF($F115="w",1,-1))))&amp;""=""),AND(ABS($I115)=1,$J115=IF($F115="w",1,-1),$H115&lt;&gt;""),AND(ABS($I115)=1,$J115=IF($F115="w",1,-1),$H115="",$R114&gt;0,$E115=$R114)),0))</f>
        <v>0</v>
      </c>
      <c r="O115" s="11" t="n">
        <f aca="false">IF(OR($D115=0,$E115=0,$G115=""),0,IF($K115="N",--OR(AND(ABS($I115)=1,ABS($J115)=2),AND(ABS($I115)=2,ABS($J115)=1)),IF($K115="B",--AND(ABS($I115)=ABS($J115),$I115&lt;&gt;0,$L115=0),IF($K115="R",--AND(OR($I115=0,$J115=0),OR($I115&lt;&gt;0,$J115&lt;&gt;0),$L115=0),IF($K115="Q",--AND(OR(AND(ABS($I115)=ABS($J115),$I115&lt;&gt;0),AND(OR($I115=0,$J115=0),OR($I115&lt;&gt;0,$J115&lt;&gt;0))),$L115=0),IF($K115="K",--OR(MAX(ABS($I115),ABS($J115))=1,$M115=1),$N115))))))</f>
        <v>0</v>
      </c>
      <c r="P115" s="11" t="n">
        <f aca="false">IF($Q115="OK",1,0)</f>
        <v>0</v>
      </c>
      <c r="Q115" s="11" t="str">
        <f aca="false">IF($B115="","",IF(OR(COUNTIF($AH114:$CS114,"wK")=0,COUNTIF($AH114:$CS114,"bK")=0),"Game is over",IF(OR($D115=0,$E115=0),"Use the format e2e4",IF($G115="","No piece on that square",IF(LEFT($G115,1)&lt;&gt;$F115,"Not your piece ("&amp;IF($F115="w","White","Black")&amp;" to move)",IF($D115=$E115,"Piece must move",IF(AND($H115&lt;&gt;"",LEFT($H115,1)=$F115),"Cannot capture your own piece",IF($O115=0,"Illegal move for that piece (or path blocked)","OK"))))))))</f>
        <v/>
      </c>
      <c r="R115" s="11" t="n">
        <f aca="false">IF($P115=1,IF(AND($K115="P",ABS($J115)=2),($D115+$E115)/2,0),$R114)</f>
        <v>0</v>
      </c>
      <c r="S115" s="12" t="b">
        <f aca="false">--OR($S114=1,AND($P115=1,OR($D115=5,$E115=5)))</f>
        <v>0</v>
      </c>
      <c r="T115" s="12" t="b">
        <f aca="false">--OR($T114=1,AND($P115=1,OR($D115=1,$E115=1)))</f>
        <v>0</v>
      </c>
      <c r="U115" s="12" t="b">
        <f aca="false">--OR($U114=1,AND($P115=1,OR($D115=8,$E115=8)))</f>
        <v>0</v>
      </c>
      <c r="V115" s="12" t="b">
        <f aca="false">--OR($V114=1,AND($P115=1,OR($D115=61,$E115=61)))</f>
        <v>0</v>
      </c>
      <c r="W115" s="12" t="b">
        <f aca="false">--OR($W114=1,AND($P115=1,OR($D115=57,$E115=57)))</f>
        <v>0</v>
      </c>
      <c r="X115" s="12" t="b">
        <f aca="false">--OR($X114=1,AND($P115=1,OR($D115=64,$E115=64)))</f>
        <v>0</v>
      </c>
      <c r="Y115" s="12" t="b">
        <f aca="false">--AND($P115=1,$K115="K",ABS($I115)=2)</f>
        <v>0</v>
      </c>
      <c r="Z115" s="12" t="b">
        <f aca="false">--AND($P115=1,$K115="P",ABS($I115)=1,$H115="")</f>
        <v>0</v>
      </c>
      <c r="AA115" s="12" t="b">
        <f aca="false">--AND($P115=1,$K115="P",INT(($E115-1)/8)=IF($F115="w",7,0))</f>
        <v>0</v>
      </c>
      <c r="AB115" s="11" t="str">
        <f aca="false">IF(LEN($C115)&gt;=5,IF(ISNUMBER(FIND(MID($C115,5,1),"qrbn")),UPPER(MID($C115,5,1)),"Q"),"Q")</f>
        <v>Q</v>
      </c>
      <c r="AC115" s="11" t="n">
        <f aca="false">IF($Y115=1,IF($I115=2,$D115+3,$D115-4),0)</f>
        <v>0</v>
      </c>
      <c r="AD115" s="11" t="n">
        <f aca="false">IF($Y115=1,IF($I115=2,$D115+1,$D115-1),0)</f>
        <v>0</v>
      </c>
      <c r="AE115" s="11" t="n">
        <f aca="false">IF($Z115=1,$E115-8*IF($F115="w",1,-1),0)</f>
        <v>0</v>
      </c>
      <c r="AF115" s="11" t="str">
        <f aca="false">IF($B115="","",IF($P115=1,LOWER(INDEX($CV$2:$CV$13,MATCH($G115,$CU$2:$CU$13,0)))&amp;" "&amp;MID("abcdefgh",MOD($D115-1,8)+1,1)&amp;(INT(($D115-1)/8)+1)&amp;"→"&amp;MID("abcdefgh",MOD($E115-1,8)+1,1)&amp;(INT(($E115-1)/8)+1)&amp;IF(OR($H115&lt;&gt;"",$Z115=1)," ×","")&amp;IF($Y115=1," castles","")&amp;IF($Z115=1," e.p.","")&amp;IF($AA115=1," =" &amp;LOWER(INDEX($CV$2:$CV$13,MATCH($F115&amp;$AB115,$CU$2:$CU$13,0))),""),"X "&amp;$Q115))</f>
        <v/>
      </c>
      <c r="AG115" s="11"/>
      <c r="AH115" s="11" t="str">
        <f aca="false">IF($P115=0,AH114,IF(AH$3=$E115,IF($AA115=1,$F115&amp;$AB115,$G115),IF(OR(AH$3=$D115,AH$3=$AC115,AH$3=$AE115),"",IF(AH$3=$AD115,$F115&amp;"R",AH114))))</f>
        <v>wR</v>
      </c>
      <c r="AI115" s="11" t="str">
        <f aca="false">IF($P115=0,AI114,IF(AI$3=$E115,IF($AA115=1,$F115&amp;$AB115,$G115),IF(OR(AI$3=$D115,AI$3=$AC115,AI$3=$AE115),"",IF(AI$3=$AD115,$F115&amp;"R",AI114))))</f>
        <v>wN</v>
      </c>
      <c r="AJ115" s="11" t="str">
        <f aca="false">IF($P115=0,AJ114,IF(AJ$3=$E115,IF($AA115=1,$F115&amp;$AB115,$G115),IF(OR(AJ$3=$D115,AJ$3=$AC115,AJ$3=$AE115),"",IF(AJ$3=$AD115,$F115&amp;"R",AJ114))))</f>
        <v>wB</v>
      </c>
      <c r="AK115" s="11" t="str">
        <f aca="false">IF($P115=0,AK114,IF(AK$3=$E115,IF($AA115=1,$F115&amp;$AB115,$G115),IF(OR(AK$3=$D115,AK$3=$AC115,AK$3=$AE115),"",IF(AK$3=$AD115,$F115&amp;"R",AK114))))</f>
        <v>wQ</v>
      </c>
      <c r="AL115" s="11" t="str">
        <f aca="false">IF($P115=0,AL114,IF(AL$3=$E115,IF($AA115=1,$F115&amp;$AB115,$G115),IF(OR(AL$3=$D115,AL$3=$AC115,AL$3=$AE115),"",IF(AL$3=$AD115,$F115&amp;"R",AL114))))</f>
        <v>wK</v>
      </c>
      <c r="AM115" s="11" t="str">
        <f aca="false">IF($P115=0,AM114,IF(AM$3=$E115,IF($AA115=1,$F115&amp;$AB115,$G115),IF(OR(AM$3=$D115,AM$3=$AC115,AM$3=$AE115),"",IF(AM$3=$AD115,$F115&amp;"R",AM114))))</f>
        <v>wB</v>
      </c>
      <c r="AN115" s="11" t="str">
        <f aca="false">IF($P115=0,AN114,IF(AN$3=$E115,IF($AA115=1,$F115&amp;$AB115,$G115),IF(OR(AN$3=$D115,AN$3=$AC115,AN$3=$AE115),"",IF(AN$3=$AD115,$F115&amp;"R",AN114))))</f>
        <v>wN</v>
      </c>
      <c r="AO115" s="11" t="str">
        <f aca="false">IF($P115=0,AO114,IF(AO$3=$E115,IF($AA115=1,$F115&amp;$AB115,$G115),IF(OR(AO$3=$D115,AO$3=$AC115,AO$3=$AE115),"",IF(AO$3=$AD115,$F115&amp;"R",AO114))))</f>
        <v>wR</v>
      </c>
      <c r="AP115" s="11" t="str">
        <f aca="false">IF($P115=0,AP114,IF(AP$3=$E115,IF($AA115=1,$F115&amp;$AB115,$G115),IF(OR(AP$3=$D115,AP$3=$AC115,AP$3=$AE115),"",IF(AP$3=$AD115,$F115&amp;"R",AP114))))</f>
        <v>wP</v>
      </c>
      <c r="AQ115" s="11" t="str">
        <f aca="false">IF($P115=0,AQ114,IF(AQ$3=$E115,IF($AA115=1,$F115&amp;$AB115,$G115),IF(OR(AQ$3=$D115,AQ$3=$AC115,AQ$3=$AE115),"",IF(AQ$3=$AD115,$F115&amp;"R",AQ114))))</f>
        <v>wP</v>
      </c>
      <c r="AR115" s="11" t="str">
        <f aca="false">IF($P115=0,AR114,IF(AR$3=$E115,IF($AA115=1,$F115&amp;$AB115,$G115),IF(OR(AR$3=$D115,AR$3=$AC115,AR$3=$AE115),"",IF(AR$3=$AD115,$F115&amp;"R",AR114))))</f>
        <v>wP</v>
      </c>
      <c r="AS115" s="11" t="str">
        <f aca="false">IF($P115=0,AS114,IF(AS$3=$E115,IF($AA115=1,$F115&amp;$AB115,$G115),IF(OR(AS$3=$D115,AS$3=$AC115,AS$3=$AE115),"",IF(AS$3=$AD115,$F115&amp;"R",AS114))))</f>
        <v>wP</v>
      </c>
      <c r="AT115" s="11" t="str">
        <f aca="false">IF($P115=0,AT114,IF(AT$3=$E115,IF($AA115=1,$F115&amp;$AB115,$G115),IF(OR(AT$3=$D115,AT$3=$AC115,AT$3=$AE115),"",IF(AT$3=$AD115,$F115&amp;"R",AT114))))</f>
        <v>wP</v>
      </c>
      <c r="AU115" s="11" t="str">
        <f aca="false">IF($P115=0,AU114,IF(AU$3=$E115,IF($AA115=1,$F115&amp;$AB115,$G115),IF(OR(AU$3=$D115,AU$3=$AC115,AU$3=$AE115),"",IF(AU$3=$AD115,$F115&amp;"R",AU114))))</f>
        <v>wP</v>
      </c>
      <c r="AV115" s="11" t="str">
        <f aca="false">IF($P115=0,AV114,IF(AV$3=$E115,IF($AA115=1,$F115&amp;$AB115,$G115),IF(OR(AV$3=$D115,AV$3=$AC115,AV$3=$AE115),"",IF(AV$3=$AD115,$F115&amp;"R",AV114))))</f>
        <v>wP</v>
      </c>
      <c r="AW115" s="11" t="str">
        <f aca="false">IF($P115=0,AW114,IF(AW$3=$E115,IF($AA115=1,$F115&amp;$AB115,$G115),IF(OR(AW$3=$D115,AW$3=$AC115,AW$3=$AE115),"",IF(AW$3=$AD115,$F115&amp;"R",AW114))))</f>
        <v>wP</v>
      </c>
      <c r="AX115" s="11" t="str">
        <f aca="false">IF($P115=0,AX114,IF(AX$3=$E115,IF($AA115=1,$F115&amp;$AB115,$G115),IF(OR(AX$3=$D115,AX$3=$AC115,AX$3=$AE115),"",IF(AX$3=$AD115,$F115&amp;"R",AX114))))</f>
        <v/>
      </c>
      <c r="AY115" s="11" t="str">
        <f aca="false">IF($P115=0,AY114,IF(AY$3=$E115,IF($AA115=1,$F115&amp;$AB115,$G115),IF(OR(AY$3=$D115,AY$3=$AC115,AY$3=$AE115),"",IF(AY$3=$AD115,$F115&amp;"R",AY114))))</f>
        <v/>
      </c>
      <c r="AZ115" s="11" t="str">
        <f aca="false">IF($P115=0,AZ114,IF(AZ$3=$E115,IF($AA115=1,$F115&amp;$AB115,$G115),IF(OR(AZ$3=$D115,AZ$3=$AC115,AZ$3=$AE115),"",IF(AZ$3=$AD115,$F115&amp;"R",AZ114))))</f>
        <v/>
      </c>
      <c r="BA115" s="11" t="str">
        <f aca="false">IF($P115=0,BA114,IF(BA$3=$E115,IF($AA115=1,$F115&amp;$AB115,$G115),IF(OR(BA$3=$D115,BA$3=$AC115,BA$3=$AE115),"",IF(BA$3=$AD115,$F115&amp;"R",BA114))))</f>
        <v/>
      </c>
      <c r="BB115" s="11" t="str">
        <f aca="false">IF($P115=0,BB114,IF(BB$3=$E115,IF($AA115=1,$F115&amp;$AB115,$G115),IF(OR(BB$3=$D115,BB$3=$AC115,BB$3=$AE115),"",IF(BB$3=$AD115,$F115&amp;"R",BB114))))</f>
        <v/>
      </c>
      <c r="BC115" s="11" t="str">
        <f aca="false">IF($P115=0,BC114,IF(BC$3=$E115,IF($AA115=1,$F115&amp;$AB115,$G115),IF(OR(BC$3=$D115,BC$3=$AC115,BC$3=$AE115),"",IF(BC$3=$AD115,$F115&amp;"R",BC114))))</f>
        <v/>
      </c>
      <c r="BD115" s="11" t="str">
        <f aca="false">IF($P115=0,BD114,IF(BD$3=$E115,IF($AA115=1,$F115&amp;$AB115,$G115),IF(OR(BD$3=$D115,BD$3=$AC115,BD$3=$AE115),"",IF(BD$3=$AD115,$F115&amp;"R",BD114))))</f>
        <v/>
      </c>
      <c r="BE115" s="11" t="str">
        <f aca="false">IF($P115=0,BE114,IF(BE$3=$E115,IF($AA115=1,$F115&amp;$AB115,$G115),IF(OR(BE$3=$D115,BE$3=$AC115,BE$3=$AE115),"",IF(BE$3=$AD115,$F115&amp;"R",BE114))))</f>
        <v/>
      </c>
      <c r="BF115" s="11" t="str">
        <f aca="false">IF($P115=0,BF114,IF(BF$3=$E115,IF($AA115=1,$F115&amp;$AB115,$G115),IF(OR(BF$3=$D115,BF$3=$AC115,BF$3=$AE115),"",IF(BF$3=$AD115,$F115&amp;"R",BF114))))</f>
        <v/>
      </c>
      <c r="BG115" s="11" t="str">
        <f aca="false">IF($P115=0,BG114,IF(BG$3=$E115,IF($AA115=1,$F115&amp;$AB115,$G115),IF(OR(BG$3=$D115,BG$3=$AC115,BG$3=$AE115),"",IF(BG$3=$AD115,$F115&amp;"R",BG114))))</f>
        <v/>
      </c>
      <c r="BH115" s="11" t="str">
        <f aca="false">IF($P115=0,BH114,IF(BH$3=$E115,IF($AA115=1,$F115&amp;$AB115,$G115),IF(OR(BH$3=$D115,BH$3=$AC115,BH$3=$AE115),"",IF(BH$3=$AD115,$F115&amp;"R",BH114))))</f>
        <v/>
      </c>
      <c r="BI115" s="11" t="str">
        <f aca="false">IF($P115=0,BI114,IF(BI$3=$E115,IF($AA115=1,$F115&amp;$AB115,$G115),IF(OR(BI$3=$D115,BI$3=$AC115,BI$3=$AE115),"",IF(BI$3=$AD115,$F115&amp;"R",BI114))))</f>
        <v/>
      </c>
      <c r="BJ115" s="11" t="str">
        <f aca="false">IF($P115=0,BJ114,IF(BJ$3=$E115,IF($AA115=1,$F115&amp;$AB115,$G115),IF(OR(BJ$3=$D115,BJ$3=$AC115,BJ$3=$AE115),"",IF(BJ$3=$AD115,$F115&amp;"R",BJ114))))</f>
        <v/>
      </c>
      <c r="BK115" s="11" t="str">
        <f aca="false">IF($P115=0,BK114,IF(BK$3=$E115,IF($AA115=1,$F115&amp;$AB115,$G115),IF(OR(BK$3=$D115,BK$3=$AC115,BK$3=$AE115),"",IF(BK$3=$AD115,$F115&amp;"R",BK114))))</f>
        <v/>
      </c>
      <c r="BL115" s="11" t="str">
        <f aca="false">IF($P115=0,BL114,IF(BL$3=$E115,IF($AA115=1,$F115&amp;$AB115,$G115),IF(OR(BL$3=$D115,BL$3=$AC115,BL$3=$AE115),"",IF(BL$3=$AD115,$F115&amp;"R",BL114))))</f>
        <v/>
      </c>
      <c r="BM115" s="11" t="str">
        <f aca="false">IF($P115=0,BM114,IF(BM$3=$E115,IF($AA115=1,$F115&amp;$AB115,$G115),IF(OR(BM$3=$D115,BM$3=$AC115,BM$3=$AE115),"",IF(BM$3=$AD115,$F115&amp;"R",BM114))))</f>
        <v/>
      </c>
      <c r="BN115" s="11" t="str">
        <f aca="false">IF($P115=0,BN114,IF(BN$3=$E115,IF($AA115=1,$F115&amp;$AB115,$G115),IF(OR(BN$3=$D115,BN$3=$AC115,BN$3=$AE115),"",IF(BN$3=$AD115,$F115&amp;"R",BN114))))</f>
        <v/>
      </c>
      <c r="BO115" s="11" t="str">
        <f aca="false">IF($P115=0,BO114,IF(BO$3=$E115,IF($AA115=1,$F115&amp;$AB115,$G115),IF(OR(BO$3=$D115,BO$3=$AC115,BO$3=$AE115),"",IF(BO$3=$AD115,$F115&amp;"R",BO114))))</f>
        <v/>
      </c>
      <c r="BP115" s="11" t="str">
        <f aca="false">IF($P115=0,BP114,IF(BP$3=$E115,IF($AA115=1,$F115&amp;$AB115,$G115),IF(OR(BP$3=$D115,BP$3=$AC115,BP$3=$AE115),"",IF(BP$3=$AD115,$F115&amp;"R",BP114))))</f>
        <v/>
      </c>
      <c r="BQ115" s="11" t="str">
        <f aca="false">IF($P115=0,BQ114,IF(BQ$3=$E115,IF($AA115=1,$F115&amp;$AB115,$G115),IF(OR(BQ$3=$D115,BQ$3=$AC115,BQ$3=$AE115),"",IF(BQ$3=$AD115,$F115&amp;"R",BQ114))))</f>
        <v/>
      </c>
      <c r="BR115" s="11" t="str">
        <f aca="false">IF($P115=0,BR114,IF(BR$3=$E115,IF($AA115=1,$F115&amp;$AB115,$G115),IF(OR(BR$3=$D115,BR$3=$AC115,BR$3=$AE115),"",IF(BR$3=$AD115,$F115&amp;"R",BR114))))</f>
        <v/>
      </c>
      <c r="BS115" s="11" t="str">
        <f aca="false">IF($P115=0,BS114,IF(BS$3=$E115,IF($AA115=1,$F115&amp;$AB115,$G115),IF(OR(BS$3=$D115,BS$3=$AC115,BS$3=$AE115),"",IF(BS$3=$AD115,$F115&amp;"R",BS114))))</f>
        <v/>
      </c>
      <c r="BT115" s="11" t="str">
        <f aca="false">IF($P115=0,BT114,IF(BT$3=$E115,IF($AA115=1,$F115&amp;$AB115,$G115),IF(OR(BT$3=$D115,BT$3=$AC115,BT$3=$AE115),"",IF(BT$3=$AD115,$F115&amp;"R",BT114))))</f>
        <v/>
      </c>
      <c r="BU115" s="11" t="str">
        <f aca="false">IF($P115=0,BU114,IF(BU$3=$E115,IF($AA115=1,$F115&amp;$AB115,$G115),IF(OR(BU$3=$D115,BU$3=$AC115,BU$3=$AE115),"",IF(BU$3=$AD115,$F115&amp;"R",BU114))))</f>
        <v/>
      </c>
      <c r="BV115" s="11" t="str">
        <f aca="false">IF($P115=0,BV114,IF(BV$3=$E115,IF($AA115=1,$F115&amp;$AB115,$G115),IF(OR(BV$3=$D115,BV$3=$AC115,BV$3=$AE115),"",IF(BV$3=$AD115,$F115&amp;"R",BV114))))</f>
        <v/>
      </c>
      <c r="BW115" s="11" t="str">
        <f aca="false">IF($P115=0,BW114,IF(BW$3=$E115,IF($AA115=1,$F115&amp;$AB115,$G115),IF(OR(BW$3=$D115,BW$3=$AC115,BW$3=$AE115),"",IF(BW$3=$AD115,$F115&amp;"R",BW114))))</f>
        <v/>
      </c>
      <c r="BX115" s="11" t="str">
        <f aca="false">IF($P115=0,BX114,IF(BX$3=$E115,IF($AA115=1,$F115&amp;$AB115,$G115),IF(OR(BX$3=$D115,BX$3=$AC115,BX$3=$AE115),"",IF(BX$3=$AD115,$F115&amp;"R",BX114))))</f>
        <v/>
      </c>
      <c r="BY115" s="11" t="str">
        <f aca="false">IF($P115=0,BY114,IF(BY$3=$E115,IF($AA115=1,$F115&amp;$AB115,$G115),IF(OR(BY$3=$D115,BY$3=$AC115,BY$3=$AE115),"",IF(BY$3=$AD115,$F115&amp;"R",BY114))))</f>
        <v/>
      </c>
      <c r="BZ115" s="11" t="str">
        <f aca="false">IF($P115=0,BZ114,IF(BZ$3=$E115,IF($AA115=1,$F115&amp;$AB115,$G115),IF(OR(BZ$3=$D115,BZ$3=$AC115,BZ$3=$AE115),"",IF(BZ$3=$AD115,$F115&amp;"R",BZ114))))</f>
        <v/>
      </c>
      <c r="CA115" s="11" t="str">
        <f aca="false">IF($P115=0,CA114,IF(CA$3=$E115,IF($AA115=1,$F115&amp;$AB115,$G115),IF(OR(CA$3=$D115,CA$3=$AC115,CA$3=$AE115),"",IF(CA$3=$AD115,$F115&amp;"R",CA114))))</f>
        <v/>
      </c>
      <c r="CB115" s="11" t="str">
        <f aca="false">IF($P115=0,CB114,IF(CB$3=$E115,IF($AA115=1,$F115&amp;$AB115,$G115),IF(OR(CB$3=$D115,CB$3=$AC115,CB$3=$AE115),"",IF(CB$3=$AD115,$F115&amp;"R",CB114))))</f>
        <v/>
      </c>
      <c r="CC115" s="11" t="str">
        <f aca="false">IF($P115=0,CC114,IF(CC$3=$E115,IF($AA115=1,$F115&amp;$AB115,$G115),IF(OR(CC$3=$D115,CC$3=$AC115,CC$3=$AE115),"",IF(CC$3=$AD115,$F115&amp;"R",CC114))))</f>
        <v/>
      </c>
      <c r="CD115" s="11" t="str">
        <f aca="false">IF($P115=0,CD114,IF(CD$3=$E115,IF($AA115=1,$F115&amp;$AB115,$G115),IF(OR(CD$3=$D115,CD$3=$AC115,CD$3=$AE115),"",IF(CD$3=$AD115,$F115&amp;"R",CD114))))</f>
        <v>bP</v>
      </c>
      <c r="CE115" s="11" t="str">
        <f aca="false">IF($P115=0,CE114,IF(CE$3=$E115,IF($AA115=1,$F115&amp;$AB115,$G115),IF(OR(CE$3=$D115,CE$3=$AC115,CE$3=$AE115),"",IF(CE$3=$AD115,$F115&amp;"R",CE114))))</f>
        <v>bP</v>
      </c>
      <c r="CF115" s="11" t="str">
        <f aca="false">IF($P115=0,CF114,IF(CF$3=$E115,IF($AA115=1,$F115&amp;$AB115,$G115),IF(OR(CF$3=$D115,CF$3=$AC115,CF$3=$AE115),"",IF(CF$3=$AD115,$F115&amp;"R",CF114))))</f>
        <v>bP</v>
      </c>
      <c r="CG115" s="11" t="str">
        <f aca="false">IF($P115=0,CG114,IF(CG$3=$E115,IF($AA115=1,$F115&amp;$AB115,$G115),IF(OR(CG$3=$D115,CG$3=$AC115,CG$3=$AE115),"",IF(CG$3=$AD115,$F115&amp;"R",CG114))))</f>
        <v>bP</v>
      </c>
      <c r="CH115" s="11" t="str">
        <f aca="false">IF($P115=0,CH114,IF(CH$3=$E115,IF($AA115=1,$F115&amp;$AB115,$G115),IF(OR(CH$3=$D115,CH$3=$AC115,CH$3=$AE115),"",IF(CH$3=$AD115,$F115&amp;"R",CH114))))</f>
        <v>bP</v>
      </c>
      <c r="CI115" s="11" t="str">
        <f aca="false">IF($P115=0,CI114,IF(CI$3=$E115,IF($AA115=1,$F115&amp;$AB115,$G115),IF(OR(CI$3=$D115,CI$3=$AC115,CI$3=$AE115),"",IF(CI$3=$AD115,$F115&amp;"R",CI114))))</f>
        <v>bP</v>
      </c>
      <c r="CJ115" s="11" t="str">
        <f aca="false">IF($P115=0,CJ114,IF(CJ$3=$E115,IF($AA115=1,$F115&amp;$AB115,$G115),IF(OR(CJ$3=$D115,CJ$3=$AC115,CJ$3=$AE115),"",IF(CJ$3=$AD115,$F115&amp;"R",CJ114))))</f>
        <v>bP</v>
      </c>
      <c r="CK115" s="11" t="str">
        <f aca="false">IF($P115=0,CK114,IF(CK$3=$E115,IF($AA115=1,$F115&amp;$AB115,$G115),IF(OR(CK$3=$D115,CK$3=$AC115,CK$3=$AE115),"",IF(CK$3=$AD115,$F115&amp;"R",CK114))))</f>
        <v>bP</v>
      </c>
      <c r="CL115" s="11" t="str">
        <f aca="false">IF($P115=0,CL114,IF(CL$3=$E115,IF($AA115=1,$F115&amp;$AB115,$G115),IF(OR(CL$3=$D115,CL$3=$AC115,CL$3=$AE115),"",IF(CL$3=$AD115,$F115&amp;"R",CL114))))</f>
        <v>bR</v>
      </c>
      <c r="CM115" s="11" t="str">
        <f aca="false">IF($P115=0,CM114,IF(CM$3=$E115,IF($AA115=1,$F115&amp;$AB115,$G115),IF(OR(CM$3=$D115,CM$3=$AC115,CM$3=$AE115),"",IF(CM$3=$AD115,$F115&amp;"R",CM114))))</f>
        <v>bN</v>
      </c>
      <c r="CN115" s="11" t="str">
        <f aca="false">IF($P115=0,CN114,IF(CN$3=$E115,IF($AA115=1,$F115&amp;$AB115,$G115),IF(OR(CN$3=$D115,CN$3=$AC115,CN$3=$AE115),"",IF(CN$3=$AD115,$F115&amp;"R",CN114))))</f>
        <v>bB</v>
      </c>
      <c r="CO115" s="11" t="str">
        <f aca="false">IF($P115=0,CO114,IF(CO$3=$E115,IF($AA115=1,$F115&amp;$AB115,$G115),IF(OR(CO$3=$D115,CO$3=$AC115,CO$3=$AE115),"",IF(CO$3=$AD115,$F115&amp;"R",CO114))))</f>
        <v>bQ</v>
      </c>
      <c r="CP115" s="11" t="str">
        <f aca="false">IF($P115=0,CP114,IF(CP$3=$E115,IF($AA115=1,$F115&amp;$AB115,$G115),IF(OR(CP$3=$D115,CP$3=$AC115,CP$3=$AE115),"",IF(CP$3=$AD115,$F115&amp;"R",CP114))))</f>
        <v>bK</v>
      </c>
      <c r="CQ115" s="11" t="str">
        <f aca="false">IF($P115=0,CQ114,IF(CQ$3=$E115,IF($AA115=1,$F115&amp;$AB115,$G115),IF(OR(CQ$3=$D115,CQ$3=$AC115,CQ$3=$AE115),"",IF(CQ$3=$AD115,$F115&amp;"R",CQ114))))</f>
        <v>bB</v>
      </c>
      <c r="CR115" s="11" t="str">
        <f aca="false">IF($P115=0,CR114,IF(CR$3=$E115,IF($AA115=1,$F115&amp;$AB115,$G115),IF(OR(CR$3=$D115,CR$3=$AC115,CR$3=$AE115),"",IF(CR$3=$AD115,$F115&amp;"R",CR114))))</f>
        <v>bN</v>
      </c>
      <c r="CS115" s="11" t="str">
        <f aca="false">IF($P115=0,CS114,IF(CS$3=$E115,IF($AA115=1,$F115&amp;$AB115,$G115),IF(OR(CS$3=$D115,CS$3=$AC115,CS$3=$AE115),"",IF(CS$3=$AD115,$F115&amp;"R",CS114))))</f>
        <v>bR</v>
      </c>
      <c r="CT115" s="11"/>
      <c r="CU115" s="11"/>
      <c r="CV115" s="11"/>
    </row>
    <row r="116" customFormat="false" ht="15" hidden="false" customHeight="false" outlineLevel="0" collapsed="false">
      <c r="A116" s="11" t="n">
        <v>111</v>
      </c>
      <c r="B116" s="11" t="str">
        <f aca="false">IF(Chess!$L$120="","",Chess!$L$120&amp;"")</f>
        <v/>
      </c>
      <c r="C116" s="11" t="str">
        <f aca="false">LOWER(SUBSTITUTE(SUBSTITUTE(SUBSTITUTE(SUBSTITUTE(TRIM($B116),"-",""),"=","")," ",""),"x",""))</f>
        <v/>
      </c>
      <c r="D116" s="11" t="n">
        <f aca="false">IF(LEN($C116)&lt;4,0,IFERROR(IF(AND(CODE(MID($C116,1,1))&gt;=97,CODE(MID($C116,1,1))&lt;=104,VALUE(MID($C116,2,1))&gt;=1,VALUE(MID($C116,2,1))&lt;=8),(VALUE(MID($C116,2,1))-1)*8+CODE(MID($C116,1,1))-96,0),0))</f>
        <v>0</v>
      </c>
      <c r="E116" s="11" t="n">
        <f aca="false">IF(LEN($C116)&lt;4,0,IFERROR(IF(AND(CODE(MID($C116,3,1))&gt;=97,CODE(MID($C116,3,1))&lt;=104,VALUE(MID($C116,4,1))&gt;=1,VALUE(MID($C116,4,1))&lt;=8),(VALUE(MID($C116,4,1))-1)*8+CODE(MID($C116,3,1))-96,0),0))</f>
        <v>0</v>
      </c>
      <c r="F116" s="11" t="str">
        <f aca="false">IF(MOD(SUM($P$5:$P115),2)=0,"w","b")</f>
        <v>w</v>
      </c>
      <c r="G116" s="11" t="str">
        <f aca="false">IF($D116=0,"",INDEX($AH115:$CS115,1,$D116)&amp;"")</f>
        <v/>
      </c>
      <c r="H116" s="11" t="str">
        <f aca="false">IF($E116=0,"",INDEX($AH115:$CS115,1,$E116)&amp;"")</f>
        <v/>
      </c>
      <c r="I116" s="11" t="n">
        <f aca="false">IF(OR($D116=0,$E116=0),0,MOD($E116-1,8)-MOD($D116-1,8))</f>
        <v>0</v>
      </c>
      <c r="J116" s="11" t="n">
        <f aca="false">IF(OR($D116=0,$E116=0),0,INT(($E116-1)/8)-INT(($D116-1)/8))</f>
        <v>0</v>
      </c>
      <c r="K116" s="11" t="str">
        <f aca="false">IF($G116="","",RIGHT($G116,1))</f>
        <v/>
      </c>
      <c r="L116" s="11" t="n">
        <f aca="false">IF(OR($D116=0,$E116=0),0,SUMPRODUCT(($AH$3:$CS$3&gt;MIN($D116,$E116))*($AH$3:$CS$3&lt;MAX($D116,$E116))*(MOD($AH$3:$CS$3-MIN($D116,$E116),MAX(1,ABS(SIGN($J116)*8+SIGN($I116))))=0)*($AH115:$CS115&lt;&gt;"")))</f>
        <v>0</v>
      </c>
      <c r="M116" s="11" t="n">
        <f aca="false">IF($K116&lt;&gt;"K",0,IFERROR(--AND($J116=0,ABS($I116)=2,$D116=IF($F116="w",5,61),IF($F116="w",$S115,$V115)=0,IF($I116=2,AND(IF($F116="w",$U115,$X115)=0,INDEX($AH115:$CS115,1,$D116+1)&amp;""="",INDEX($AH115:$CS115,1,$D116+2)&amp;""=""),AND(IF($F116="w",$T115,$W115)=0,INDEX($AH115:$CS115,1,$D116-1)&amp;""="",INDEX($AH115:$CS115,1,$D116-2)&amp;""="",INDEX($AH115:$CS115,1,$D116-3)&amp;""=""))),0))</f>
        <v>0</v>
      </c>
      <c r="N116" s="11" t="n">
        <f aca="false">IF($K116&lt;&gt;"P",0,IFERROR(--OR(AND($I116=0,$J116=IF($F116="w",1,-1),$H116=""),AND($I116=0,$J116=2*IF($F116="w",1,-1),$H116="",INT(($D116-1)/8)=IF($F116="w",1,6),INDEX($AH115:$CS115,1,MAX(1,MIN(64,$D116+8*IF($F116="w",1,-1))))&amp;""=""),AND(ABS($I116)=1,$J116=IF($F116="w",1,-1),$H116&lt;&gt;""),AND(ABS($I116)=1,$J116=IF($F116="w",1,-1),$H116="",$R115&gt;0,$E116=$R115)),0))</f>
        <v>0</v>
      </c>
      <c r="O116" s="11" t="n">
        <f aca="false">IF(OR($D116=0,$E116=0,$G116=""),0,IF($K116="N",--OR(AND(ABS($I116)=1,ABS($J116)=2),AND(ABS($I116)=2,ABS($J116)=1)),IF($K116="B",--AND(ABS($I116)=ABS($J116),$I116&lt;&gt;0,$L116=0),IF($K116="R",--AND(OR($I116=0,$J116=0),OR($I116&lt;&gt;0,$J116&lt;&gt;0),$L116=0),IF($K116="Q",--AND(OR(AND(ABS($I116)=ABS($J116),$I116&lt;&gt;0),AND(OR($I116=0,$J116=0),OR($I116&lt;&gt;0,$J116&lt;&gt;0))),$L116=0),IF($K116="K",--OR(MAX(ABS($I116),ABS($J116))=1,$M116=1),$N116))))))</f>
        <v>0</v>
      </c>
      <c r="P116" s="11" t="n">
        <f aca="false">IF($Q116="OK",1,0)</f>
        <v>0</v>
      </c>
      <c r="Q116" s="11" t="str">
        <f aca="false">IF($B116="","",IF(OR(COUNTIF($AH115:$CS115,"wK")=0,COUNTIF($AH115:$CS115,"bK")=0),"Game is over",IF(OR($D116=0,$E116=0),"Use the format e2e4",IF($G116="","No piece on that square",IF(LEFT($G116,1)&lt;&gt;$F116,"Not your piece ("&amp;IF($F116="w","White","Black")&amp;" to move)",IF($D116=$E116,"Piece must move",IF(AND($H116&lt;&gt;"",LEFT($H116,1)=$F116),"Cannot capture your own piece",IF($O116=0,"Illegal move for that piece (or path blocked)","OK"))))))))</f>
        <v/>
      </c>
      <c r="R116" s="11" t="n">
        <f aca="false">IF($P116=1,IF(AND($K116="P",ABS($J116)=2),($D116+$E116)/2,0),$R115)</f>
        <v>0</v>
      </c>
      <c r="S116" s="12" t="b">
        <f aca="false">--OR($S115=1,AND($P116=1,OR($D116=5,$E116=5)))</f>
        <v>0</v>
      </c>
      <c r="T116" s="12" t="b">
        <f aca="false">--OR($T115=1,AND($P116=1,OR($D116=1,$E116=1)))</f>
        <v>0</v>
      </c>
      <c r="U116" s="12" t="b">
        <f aca="false">--OR($U115=1,AND($P116=1,OR($D116=8,$E116=8)))</f>
        <v>0</v>
      </c>
      <c r="V116" s="12" t="b">
        <f aca="false">--OR($V115=1,AND($P116=1,OR($D116=61,$E116=61)))</f>
        <v>0</v>
      </c>
      <c r="W116" s="12" t="b">
        <f aca="false">--OR($W115=1,AND($P116=1,OR($D116=57,$E116=57)))</f>
        <v>0</v>
      </c>
      <c r="X116" s="12" t="b">
        <f aca="false">--OR($X115=1,AND($P116=1,OR($D116=64,$E116=64)))</f>
        <v>0</v>
      </c>
      <c r="Y116" s="12" t="b">
        <f aca="false">--AND($P116=1,$K116="K",ABS($I116)=2)</f>
        <v>0</v>
      </c>
      <c r="Z116" s="12" t="b">
        <f aca="false">--AND($P116=1,$K116="P",ABS($I116)=1,$H116="")</f>
        <v>0</v>
      </c>
      <c r="AA116" s="12" t="b">
        <f aca="false">--AND($P116=1,$K116="P",INT(($E116-1)/8)=IF($F116="w",7,0))</f>
        <v>0</v>
      </c>
      <c r="AB116" s="11" t="str">
        <f aca="false">IF(LEN($C116)&gt;=5,IF(ISNUMBER(FIND(MID($C116,5,1),"qrbn")),UPPER(MID($C116,5,1)),"Q"),"Q")</f>
        <v>Q</v>
      </c>
      <c r="AC116" s="11" t="n">
        <f aca="false">IF($Y116=1,IF($I116=2,$D116+3,$D116-4),0)</f>
        <v>0</v>
      </c>
      <c r="AD116" s="11" t="n">
        <f aca="false">IF($Y116=1,IF($I116=2,$D116+1,$D116-1),0)</f>
        <v>0</v>
      </c>
      <c r="AE116" s="11" t="n">
        <f aca="false">IF($Z116=1,$E116-8*IF($F116="w",1,-1),0)</f>
        <v>0</v>
      </c>
      <c r="AF116" s="11" t="str">
        <f aca="false">IF($B116="","",IF($P116=1,LOWER(INDEX($CV$2:$CV$13,MATCH($G116,$CU$2:$CU$13,0)))&amp;" "&amp;MID("abcdefgh",MOD($D116-1,8)+1,1)&amp;(INT(($D116-1)/8)+1)&amp;"→"&amp;MID("abcdefgh",MOD($E116-1,8)+1,1)&amp;(INT(($E116-1)/8)+1)&amp;IF(OR($H116&lt;&gt;"",$Z116=1)," ×","")&amp;IF($Y116=1," castles","")&amp;IF($Z116=1," e.p.","")&amp;IF($AA116=1," =" &amp;LOWER(INDEX($CV$2:$CV$13,MATCH($F116&amp;$AB116,$CU$2:$CU$13,0))),""),"X "&amp;$Q116))</f>
        <v/>
      </c>
      <c r="AG116" s="11"/>
      <c r="AH116" s="11" t="str">
        <f aca="false">IF($P116=0,AH115,IF(AH$3=$E116,IF($AA116=1,$F116&amp;$AB116,$G116),IF(OR(AH$3=$D116,AH$3=$AC116,AH$3=$AE116),"",IF(AH$3=$AD116,$F116&amp;"R",AH115))))</f>
        <v>wR</v>
      </c>
      <c r="AI116" s="11" t="str">
        <f aca="false">IF($P116=0,AI115,IF(AI$3=$E116,IF($AA116=1,$F116&amp;$AB116,$G116),IF(OR(AI$3=$D116,AI$3=$AC116,AI$3=$AE116),"",IF(AI$3=$AD116,$F116&amp;"R",AI115))))</f>
        <v>wN</v>
      </c>
      <c r="AJ116" s="11" t="str">
        <f aca="false">IF($P116=0,AJ115,IF(AJ$3=$E116,IF($AA116=1,$F116&amp;$AB116,$G116),IF(OR(AJ$3=$D116,AJ$3=$AC116,AJ$3=$AE116),"",IF(AJ$3=$AD116,$F116&amp;"R",AJ115))))</f>
        <v>wB</v>
      </c>
      <c r="AK116" s="11" t="str">
        <f aca="false">IF($P116=0,AK115,IF(AK$3=$E116,IF($AA116=1,$F116&amp;$AB116,$G116),IF(OR(AK$3=$D116,AK$3=$AC116,AK$3=$AE116),"",IF(AK$3=$AD116,$F116&amp;"R",AK115))))</f>
        <v>wQ</v>
      </c>
      <c r="AL116" s="11" t="str">
        <f aca="false">IF($P116=0,AL115,IF(AL$3=$E116,IF($AA116=1,$F116&amp;$AB116,$G116),IF(OR(AL$3=$D116,AL$3=$AC116,AL$3=$AE116),"",IF(AL$3=$AD116,$F116&amp;"R",AL115))))</f>
        <v>wK</v>
      </c>
      <c r="AM116" s="11" t="str">
        <f aca="false">IF($P116=0,AM115,IF(AM$3=$E116,IF($AA116=1,$F116&amp;$AB116,$G116),IF(OR(AM$3=$D116,AM$3=$AC116,AM$3=$AE116),"",IF(AM$3=$AD116,$F116&amp;"R",AM115))))</f>
        <v>wB</v>
      </c>
      <c r="AN116" s="11" t="str">
        <f aca="false">IF($P116=0,AN115,IF(AN$3=$E116,IF($AA116=1,$F116&amp;$AB116,$G116),IF(OR(AN$3=$D116,AN$3=$AC116,AN$3=$AE116),"",IF(AN$3=$AD116,$F116&amp;"R",AN115))))</f>
        <v>wN</v>
      </c>
      <c r="AO116" s="11" t="str">
        <f aca="false">IF($P116=0,AO115,IF(AO$3=$E116,IF($AA116=1,$F116&amp;$AB116,$G116),IF(OR(AO$3=$D116,AO$3=$AC116,AO$3=$AE116),"",IF(AO$3=$AD116,$F116&amp;"R",AO115))))</f>
        <v>wR</v>
      </c>
      <c r="AP116" s="11" t="str">
        <f aca="false">IF($P116=0,AP115,IF(AP$3=$E116,IF($AA116=1,$F116&amp;$AB116,$G116),IF(OR(AP$3=$D116,AP$3=$AC116,AP$3=$AE116),"",IF(AP$3=$AD116,$F116&amp;"R",AP115))))</f>
        <v>wP</v>
      </c>
      <c r="AQ116" s="11" t="str">
        <f aca="false">IF($P116=0,AQ115,IF(AQ$3=$E116,IF($AA116=1,$F116&amp;$AB116,$G116),IF(OR(AQ$3=$D116,AQ$3=$AC116,AQ$3=$AE116),"",IF(AQ$3=$AD116,$F116&amp;"R",AQ115))))</f>
        <v>wP</v>
      </c>
      <c r="AR116" s="11" t="str">
        <f aca="false">IF($P116=0,AR115,IF(AR$3=$E116,IF($AA116=1,$F116&amp;$AB116,$G116),IF(OR(AR$3=$D116,AR$3=$AC116,AR$3=$AE116),"",IF(AR$3=$AD116,$F116&amp;"R",AR115))))</f>
        <v>wP</v>
      </c>
      <c r="AS116" s="11" t="str">
        <f aca="false">IF($P116=0,AS115,IF(AS$3=$E116,IF($AA116=1,$F116&amp;$AB116,$G116),IF(OR(AS$3=$D116,AS$3=$AC116,AS$3=$AE116),"",IF(AS$3=$AD116,$F116&amp;"R",AS115))))</f>
        <v>wP</v>
      </c>
      <c r="AT116" s="11" t="str">
        <f aca="false">IF($P116=0,AT115,IF(AT$3=$E116,IF($AA116=1,$F116&amp;$AB116,$G116),IF(OR(AT$3=$D116,AT$3=$AC116,AT$3=$AE116),"",IF(AT$3=$AD116,$F116&amp;"R",AT115))))</f>
        <v>wP</v>
      </c>
      <c r="AU116" s="11" t="str">
        <f aca="false">IF($P116=0,AU115,IF(AU$3=$E116,IF($AA116=1,$F116&amp;$AB116,$G116),IF(OR(AU$3=$D116,AU$3=$AC116,AU$3=$AE116),"",IF(AU$3=$AD116,$F116&amp;"R",AU115))))</f>
        <v>wP</v>
      </c>
      <c r="AV116" s="11" t="str">
        <f aca="false">IF($P116=0,AV115,IF(AV$3=$E116,IF($AA116=1,$F116&amp;$AB116,$G116),IF(OR(AV$3=$D116,AV$3=$AC116,AV$3=$AE116),"",IF(AV$3=$AD116,$F116&amp;"R",AV115))))</f>
        <v>wP</v>
      </c>
      <c r="AW116" s="11" t="str">
        <f aca="false">IF($P116=0,AW115,IF(AW$3=$E116,IF($AA116=1,$F116&amp;$AB116,$G116),IF(OR(AW$3=$D116,AW$3=$AC116,AW$3=$AE116),"",IF(AW$3=$AD116,$F116&amp;"R",AW115))))</f>
        <v>wP</v>
      </c>
      <c r="AX116" s="11" t="str">
        <f aca="false">IF($P116=0,AX115,IF(AX$3=$E116,IF($AA116=1,$F116&amp;$AB116,$G116),IF(OR(AX$3=$D116,AX$3=$AC116,AX$3=$AE116),"",IF(AX$3=$AD116,$F116&amp;"R",AX115))))</f>
        <v/>
      </c>
      <c r="AY116" s="11" t="str">
        <f aca="false">IF($P116=0,AY115,IF(AY$3=$E116,IF($AA116=1,$F116&amp;$AB116,$G116),IF(OR(AY$3=$D116,AY$3=$AC116,AY$3=$AE116),"",IF(AY$3=$AD116,$F116&amp;"R",AY115))))</f>
        <v/>
      </c>
      <c r="AZ116" s="11" t="str">
        <f aca="false">IF($P116=0,AZ115,IF(AZ$3=$E116,IF($AA116=1,$F116&amp;$AB116,$G116),IF(OR(AZ$3=$D116,AZ$3=$AC116,AZ$3=$AE116),"",IF(AZ$3=$AD116,$F116&amp;"R",AZ115))))</f>
        <v/>
      </c>
      <c r="BA116" s="11" t="str">
        <f aca="false">IF($P116=0,BA115,IF(BA$3=$E116,IF($AA116=1,$F116&amp;$AB116,$G116),IF(OR(BA$3=$D116,BA$3=$AC116,BA$3=$AE116),"",IF(BA$3=$AD116,$F116&amp;"R",BA115))))</f>
        <v/>
      </c>
      <c r="BB116" s="11" t="str">
        <f aca="false">IF($P116=0,BB115,IF(BB$3=$E116,IF($AA116=1,$F116&amp;$AB116,$G116),IF(OR(BB$3=$D116,BB$3=$AC116,BB$3=$AE116),"",IF(BB$3=$AD116,$F116&amp;"R",BB115))))</f>
        <v/>
      </c>
      <c r="BC116" s="11" t="str">
        <f aca="false">IF($P116=0,BC115,IF(BC$3=$E116,IF($AA116=1,$F116&amp;$AB116,$G116),IF(OR(BC$3=$D116,BC$3=$AC116,BC$3=$AE116),"",IF(BC$3=$AD116,$F116&amp;"R",BC115))))</f>
        <v/>
      </c>
      <c r="BD116" s="11" t="str">
        <f aca="false">IF($P116=0,BD115,IF(BD$3=$E116,IF($AA116=1,$F116&amp;$AB116,$G116),IF(OR(BD$3=$D116,BD$3=$AC116,BD$3=$AE116),"",IF(BD$3=$AD116,$F116&amp;"R",BD115))))</f>
        <v/>
      </c>
      <c r="BE116" s="11" t="str">
        <f aca="false">IF($P116=0,BE115,IF(BE$3=$E116,IF($AA116=1,$F116&amp;$AB116,$G116),IF(OR(BE$3=$D116,BE$3=$AC116,BE$3=$AE116),"",IF(BE$3=$AD116,$F116&amp;"R",BE115))))</f>
        <v/>
      </c>
      <c r="BF116" s="11" t="str">
        <f aca="false">IF($P116=0,BF115,IF(BF$3=$E116,IF($AA116=1,$F116&amp;$AB116,$G116),IF(OR(BF$3=$D116,BF$3=$AC116,BF$3=$AE116),"",IF(BF$3=$AD116,$F116&amp;"R",BF115))))</f>
        <v/>
      </c>
      <c r="BG116" s="11" t="str">
        <f aca="false">IF($P116=0,BG115,IF(BG$3=$E116,IF($AA116=1,$F116&amp;$AB116,$G116),IF(OR(BG$3=$D116,BG$3=$AC116,BG$3=$AE116),"",IF(BG$3=$AD116,$F116&amp;"R",BG115))))</f>
        <v/>
      </c>
      <c r="BH116" s="11" t="str">
        <f aca="false">IF($P116=0,BH115,IF(BH$3=$E116,IF($AA116=1,$F116&amp;$AB116,$G116),IF(OR(BH$3=$D116,BH$3=$AC116,BH$3=$AE116),"",IF(BH$3=$AD116,$F116&amp;"R",BH115))))</f>
        <v/>
      </c>
      <c r="BI116" s="11" t="str">
        <f aca="false">IF($P116=0,BI115,IF(BI$3=$E116,IF($AA116=1,$F116&amp;$AB116,$G116),IF(OR(BI$3=$D116,BI$3=$AC116,BI$3=$AE116),"",IF(BI$3=$AD116,$F116&amp;"R",BI115))))</f>
        <v/>
      </c>
      <c r="BJ116" s="11" t="str">
        <f aca="false">IF($P116=0,BJ115,IF(BJ$3=$E116,IF($AA116=1,$F116&amp;$AB116,$G116),IF(OR(BJ$3=$D116,BJ$3=$AC116,BJ$3=$AE116),"",IF(BJ$3=$AD116,$F116&amp;"R",BJ115))))</f>
        <v/>
      </c>
      <c r="BK116" s="11" t="str">
        <f aca="false">IF($P116=0,BK115,IF(BK$3=$E116,IF($AA116=1,$F116&amp;$AB116,$G116),IF(OR(BK$3=$D116,BK$3=$AC116,BK$3=$AE116),"",IF(BK$3=$AD116,$F116&amp;"R",BK115))))</f>
        <v/>
      </c>
      <c r="BL116" s="11" t="str">
        <f aca="false">IF($P116=0,BL115,IF(BL$3=$E116,IF($AA116=1,$F116&amp;$AB116,$G116),IF(OR(BL$3=$D116,BL$3=$AC116,BL$3=$AE116),"",IF(BL$3=$AD116,$F116&amp;"R",BL115))))</f>
        <v/>
      </c>
      <c r="BM116" s="11" t="str">
        <f aca="false">IF($P116=0,BM115,IF(BM$3=$E116,IF($AA116=1,$F116&amp;$AB116,$G116),IF(OR(BM$3=$D116,BM$3=$AC116,BM$3=$AE116),"",IF(BM$3=$AD116,$F116&amp;"R",BM115))))</f>
        <v/>
      </c>
      <c r="BN116" s="11" t="str">
        <f aca="false">IF($P116=0,BN115,IF(BN$3=$E116,IF($AA116=1,$F116&amp;$AB116,$G116),IF(OR(BN$3=$D116,BN$3=$AC116,BN$3=$AE116),"",IF(BN$3=$AD116,$F116&amp;"R",BN115))))</f>
        <v/>
      </c>
      <c r="BO116" s="11" t="str">
        <f aca="false">IF($P116=0,BO115,IF(BO$3=$E116,IF($AA116=1,$F116&amp;$AB116,$G116),IF(OR(BO$3=$D116,BO$3=$AC116,BO$3=$AE116),"",IF(BO$3=$AD116,$F116&amp;"R",BO115))))</f>
        <v/>
      </c>
      <c r="BP116" s="11" t="str">
        <f aca="false">IF($P116=0,BP115,IF(BP$3=$E116,IF($AA116=1,$F116&amp;$AB116,$G116),IF(OR(BP$3=$D116,BP$3=$AC116,BP$3=$AE116),"",IF(BP$3=$AD116,$F116&amp;"R",BP115))))</f>
        <v/>
      </c>
      <c r="BQ116" s="11" t="str">
        <f aca="false">IF($P116=0,BQ115,IF(BQ$3=$E116,IF($AA116=1,$F116&amp;$AB116,$G116),IF(OR(BQ$3=$D116,BQ$3=$AC116,BQ$3=$AE116),"",IF(BQ$3=$AD116,$F116&amp;"R",BQ115))))</f>
        <v/>
      </c>
      <c r="BR116" s="11" t="str">
        <f aca="false">IF($P116=0,BR115,IF(BR$3=$E116,IF($AA116=1,$F116&amp;$AB116,$G116),IF(OR(BR$3=$D116,BR$3=$AC116,BR$3=$AE116),"",IF(BR$3=$AD116,$F116&amp;"R",BR115))))</f>
        <v/>
      </c>
      <c r="BS116" s="11" t="str">
        <f aca="false">IF($P116=0,BS115,IF(BS$3=$E116,IF($AA116=1,$F116&amp;$AB116,$G116),IF(OR(BS$3=$D116,BS$3=$AC116,BS$3=$AE116),"",IF(BS$3=$AD116,$F116&amp;"R",BS115))))</f>
        <v/>
      </c>
      <c r="BT116" s="11" t="str">
        <f aca="false">IF($P116=0,BT115,IF(BT$3=$E116,IF($AA116=1,$F116&amp;$AB116,$G116),IF(OR(BT$3=$D116,BT$3=$AC116,BT$3=$AE116),"",IF(BT$3=$AD116,$F116&amp;"R",BT115))))</f>
        <v/>
      </c>
      <c r="BU116" s="11" t="str">
        <f aca="false">IF($P116=0,BU115,IF(BU$3=$E116,IF($AA116=1,$F116&amp;$AB116,$G116),IF(OR(BU$3=$D116,BU$3=$AC116,BU$3=$AE116),"",IF(BU$3=$AD116,$F116&amp;"R",BU115))))</f>
        <v/>
      </c>
      <c r="BV116" s="11" t="str">
        <f aca="false">IF($P116=0,BV115,IF(BV$3=$E116,IF($AA116=1,$F116&amp;$AB116,$G116),IF(OR(BV$3=$D116,BV$3=$AC116,BV$3=$AE116),"",IF(BV$3=$AD116,$F116&amp;"R",BV115))))</f>
        <v/>
      </c>
      <c r="BW116" s="11" t="str">
        <f aca="false">IF($P116=0,BW115,IF(BW$3=$E116,IF($AA116=1,$F116&amp;$AB116,$G116),IF(OR(BW$3=$D116,BW$3=$AC116,BW$3=$AE116),"",IF(BW$3=$AD116,$F116&amp;"R",BW115))))</f>
        <v/>
      </c>
      <c r="BX116" s="11" t="str">
        <f aca="false">IF($P116=0,BX115,IF(BX$3=$E116,IF($AA116=1,$F116&amp;$AB116,$G116),IF(OR(BX$3=$D116,BX$3=$AC116,BX$3=$AE116),"",IF(BX$3=$AD116,$F116&amp;"R",BX115))))</f>
        <v/>
      </c>
      <c r="BY116" s="11" t="str">
        <f aca="false">IF($P116=0,BY115,IF(BY$3=$E116,IF($AA116=1,$F116&amp;$AB116,$G116),IF(OR(BY$3=$D116,BY$3=$AC116,BY$3=$AE116),"",IF(BY$3=$AD116,$F116&amp;"R",BY115))))</f>
        <v/>
      </c>
      <c r="BZ116" s="11" t="str">
        <f aca="false">IF($P116=0,BZ115,IF(BZ$3=$E116,IF($AA116=1,$F116&amp;$AB116,$G116),IF(OR(BZ$3=$D116,BZ$3=$AC116,BZ$3=$AE116),"",IF(BZ$3=$AD116,$F116&amp;"R",BZ115))))</f>
        <v/>
      </c>
      <c r="CA116" s="11" t="str">
        <f aca="false">IF($P116=0,CA115,IF(CA$3=$E116,IF($AA116=1,$F116&amp;$AB116,$G116),IF(OR(CA$3=$D116,CA$3=$AC116,CA$3=$AE116),"",IF(CA$3=$AD116,$F116&amp;"R",CA115))))</f>
        <v/>
      </c>
      <c r="CB116" s="11" t="str">
        <f aca="false">IF($P116=0,CB115,IF(CB$3=$E116,IF($AA116=1,$F116&amp;$AB116,$G116),IF(OR(CB$3=$D116,CB$3=$AC116,CB$3=$AE116),"",IF(CB$3=$AD116,$F116&amp;"R",CB115))))</f>
        <v/>
      </c>
      <c r="CC116" s="11" t="str">
        <f aca="false">IF($P116=0,CC115,IF(CC$3=$E116,IF($AA116=1,$F116&amp;$AB116,$G116),IF(OR(CC$3=$D116,CC$3=$AC116,CC$3=$AE116),"",IF(CC$3=$AD116,$F116&amp;"R",CC115))))</f>
        <v/>
      </c>
      <c r="CD116" s="11" t="str">
        <f aca="false">IF($P116=0,CD115,IF(CD$3=$E116,IF($AA116=1,$F116&amp;$AB116,$G116),IF(OR(CD$3=$D116,CD$3=$AC116,CD$3=$AE116),"",IF(CD$3=$AD116,$F116&amp;"R",CD115))))</f>
        <v>bP</v>
      </c>
      <c r="CE116" s="11" t="str">
        <f aca="false">IF($P116=0,CE115,IF(CE$3=$E116,IF($AA116=1,$F116&amp;$AB116,$G116),IF(OR(CE$3=$D116,CE$3=$AC116,CE$3=$AE116),"",IF(CE$3=$AD116,$F116&amp;"R",CE115))))</f>
        <v>bP</v>
      </c>
      <c r="CF116" s="11" t="str">
        <f aca="false">IF($P116=0,CF115,IF(CF$3=$E116,IF($AA116=1,$F116&amp;$AB116,$G116),IF(OR(CF$3=$D116,CF$3=$AC116,CF$3=$AE116),"",IF(CF$3=$AD116,$F116&amp;"R",CF115))))</f>
        <v>bP</v>
      </c>
      <c r="CG116" s="11" t="str">
        <f aca="false">IF($P116=0,CG115,IF(CG$3=$E116,IF($AA116=1,$F116&amp;$AB116,$G116),IF(OR(CG$3=$D116,CG$3=$AC116,CG$3=$AE116),"",IF(CG$3=$AD116,$F116&amp;"R",CG115))))</f>
        <v>bP</v>
      </c>
      <c r="CH116" s="11" t="str">
        <f aca="false">IF($P116=0,CH115,IF(CH$3=$E116,IF($AA116=1,$F116&amp;$AB116,$G116),IF(OR(CH$3=$D116,CH$3=$AC116,CH$3=$AE116),"",IF(CH$3=$AD116,$F116&amp;"R",CH115))))</f>
        <v>bP</v>
      </c>
      <c r="CI116" s="11" t="str">
        <f aca="false">IF($P116=0,CI115,IF(CI$3=$E116,IF($AA116=1,$F116&amp;$AB116,$G116),IF(OR(CI$3=$D116,CI$3=$AC116,CI$3=$AE116),"",IF(CI$3=$AD116,$F116&amp;"R",CI115))))</f>
        <v>bP</v>
      </c>
      <c r="CJ116" s="11" t="str">
        <f aca="false">IF($P116=0,CJ115,IF(CJ$3=$E116,IF($AA116=1,$F116&amp;$AB116,$G116),IF(OR(CJ$3=$D116,CJ$3=$AC116,CJ$3=$AE116),"",IF(CJ$3=$AD116,$F116&amp;"R",CJ115))))</f>
        <v>bP</v>
      </c>
      <c r="CK116" s="11" t="str">
        <f aca="false">IF($P116=0,CK115,IF(CK$3=$E116,IF($AA116=1,$F116&amp;$AB116,$G116),IF(OR(CK$3=$D116,CK$3=$AC116,CK$3=$AE116),"",IF(CK$3=$AD116,$F116&amp;"R",CK115))))</f>
        <v>bP</v>
      </c>
      <c r="CL116" s="11" t="str">
        <f aca="false">IF($P116=0,CL115,IF(CL$3=$E116,IF($AA116=1,$F116&amp;$AB116,$G116),IF(OR(CL$3=$D116,CL$3=$AC116,CL$3=$AE116),"",IF(CL$3=$AD116,$F116&amp;"R",CL115))))</f>
        <v>bR</v>
      </c>
      <c r="CM116" s="11" t="str">
        <f aca="false">IF($P116=0,CM115,IF(CM$3=$E116,IF($AA116=1,$F116&amp;$AB116,$G116),IF(OR(CM$3=$D116,CM$3=$AC116,CM$3=$AE116),"",IF(CM$3=$AD116,$F116&amp;"R",CM115))))</f>
        <v>bN</v>
      </c>
      <c r="CN116" s="11" t="str">
        <f aca="false">IF($P116=0,CN115,IF(CN$3=$E116,IF($AA116=1,$F116&amp;$AB116,$G116),IF(OR(CN$3=$D116,CN$3=$AC116,CN$3=$AE116),"",IF(CN$3=$AD116,$F116&amp;"R",CN115))))</f>
        <v>bB</v>
      </c>
      <c r="CO116" s="11" t="str">
        <f aca="false">IF($P116=0,CO115,IF(CO$3=$E116,IF($AA116=1,$F116&amp;$AB116,$G116),IF(OR(CO$3=$D116,CO$3=$AC116,CO$3=$AE116),"",IF(CO$3=$AD116,$F116&amp;"R",CO115))))</f>
        <v>bQ</v>
      </c>
      <c r="CP116" s="11" t="str">
        <f aca="false">IF($P116=0,CP115,IF(CP$3=$E116,IF($AA116=1,$F116&amp;$AB116,$G116),IF(OR(CP$3=$D116,CP$3=$AC116,CP$3=$AE116),"",IF(CP$3=$AD116,$F116&amp;"R",CP115))))</f>
        <v>bK</v>
      </c>
      <c r="CQ116" s="11" t="str">
        <f aca="false">IF($P116=0,CQ115,IF(CQ$3=$E116,IF($AA116=1,$F116&amp;$AB116,$G116),IF(OR(CQ$3=$D116,CQ$3=$AC116,CQ$3=$AE116),"",IF(CQ$3=$AD116,$F116&amp;"R",CQ115))))</f>
        <v>bB</v>
      </c>
      <c r="CR116" s="11" t="str">
        <f aca="false">IF($P116=0,CR115,IF(CR$3=$E116,IF($AA116=1,$F116&amp;$AB116,$G116),IF(OR(CR$3=$D116,CR$3=$AC116,CR$3=$AE116),"",IF(CR$3=$AD116,$F116&amp;"R",CR115))))</f>
        <v>bN</v>
      </c>
      <c r="CS116" s="11" t="str">
        <f aca="false">IF($P116=0,CS115,IF(CS$3=$E116,IF($AA116=1,$F116&amp;$AB116,$G116),IF(OR(CS$3=$D116,CS$3=$AC116,CS$3=$AE116),"",IF(CS$3=$AD116,$F116&amp;"R",CS115))))</f>
        <v>bR</v>
      </c>
      <c r="CT116" s="11"/>
      <c r="CU116" s="11"/>
      <c r="CV116" s="11"/>
    </row>
    <row r="117" customFormat="false" ht="15" hidden="false" customHeight="false" outlineLevel="0" collapsed="false">
      <c r="A117" s="11" t="n">
        <v>112</v>
      </c>
      <c r="B117" s="11" t="str">
        <f aca="false">IF(Chess!$L$121="","",Chess!$L$121&amp;"")</f>
        <v/>
      </c>
      <c r="C117" s="11" t="str">
        <f aca="false">LOWER(SUBSTITUTE(SUBSTITUTE(SUBSTITUTE(SUBSTITUTE(TRIM($B117),"-",""),"=","")," ",""),"x",""))</f>
        <v/>
      </c>
      <c r="D117" s="11" t="n">
        <f aca="false">IF(LEN($C117)&lt;4,0,IFERROR(IF(AND(CODE(MID($C117,1,1))&gt;=97,CODE(MID($C117,1,1))&lt;=104,VALUE(MID($C117,2,1))&gt;=1,VALUE(MID($C117,2,1))&lt;=8),(VALUE(MID($C117,2,1))-1)*8+CODE(MID($C117,1,1))-96,0),0))</f>
        <v>0</v>
      </c>
      <c r="E117" s="11" t="n">
        <f aca="false">IF(LEN($C117)&lt;4,0,IFERROR(IF(AND(CODE(MID($C117,3,1))&gt;=97,CODE(MID($C117,3,1))&lt;=104,VALUE(MID($C117,4,1))&gt;=1,VALUE(MID($C117,4,1))&lt;=8),(VALUE(MID($C117,4,1))-1)*8+CODE(MID($C117,3,1))-96,0),0))</f>
        <v>0</v>
      </c>
      <c r="F117" s="11" t="str">
        <f aca="false">IF(MOD(SUM($P$5:$P116),2)=0,"w","b")</f>
        <v>w</v>
      </c>
      <c r="G117" s="11" t="str">
        <f aca="false">IF($D117=0,"",INDEX($AH116:$CS116,1,$D117)&amp;"")</f>
        <v/>
      </c>
      <c r="H117" s="11" t="str">
        <f aca="false">IF($E117=0,"",INDEX($AH116:$CS116,1,$E117)&amp;"")</f>
        <v/>
      </c>
      <c r="I117" s="11" t="n">
        <f aca="false">IF(OR($D117=0,$E117=0),0,MOD($E117-1,8)-MOD($D117-1,8))</f>
        <v>0</v>
      </c>
      <c r="J117" s="11" t="n">
        <f aca="false">IF(OR($D117=0,$E117=0),0,INT(($E117-1)/8)-INT(($D117-1)/8))</f>
        <v>0</v>
      </c>
      <c r="K117" s="11" t="str">
        <f aca="false">IF($G117="","",RIGHT($G117,1))</f>
        <v/>
      </c>
      <c r="L117" s="11" t="n">
        <f aca="false">IF(OR($D117=0,$E117=0),0,SUMPRODUCT(($AH$3:$CS$3&gt;MIN($D117,$E117))*($AH$3:$CS$3&lt;MAX($D117,$E117))*(MOD($AH$3:$CS$3-MIN($D117,$E117),MAX(1,ABS(SIGN($J117)*8+SIGN($I117))))=0)*($AH116:$CS116&lt;&gt;"")))</f>
        <v>0</v>
      </c>
      <c r="M117" s="11" t="n">
        <f aca="false">IF($K117&lt;&gt;"K",0,IFERROR(--AND($J117=0,ABS($I117)=2,$D117=IF($F117="w",5,61),IF($F117="w",$S116,$V116)=0,IF($I117=2,AND(IF($F117="w",$U116,$X116)=0,INDEX($AH116:$CS116,1,$D117+1)&amp;""="",INDEX($AH116:$CS116,1,$D117+2)&amp;""=""),AND(IF($F117="w",$T116,$W116)=0,INDEX($AH116:$CS116,1,$D117-1)&amp;""="",INDEX($AH116:$CS116,1,$D117-2)&amp;""="",INDEX($AH116:$CS116,1,$D117-3)&amp;""=""))),0))</f>
        <v>0</v>
      </c>
      <c r="N117" s="11" t="n">
        <f aca="false">IF($K117&lt;&gt;"P",0,IFERROR(--OR(AND($I117=0,$J117=IF($F117="w",1,-1),$H117=""),AND($I117=0,$J117=2*IF($F117="w",1,-1),$H117="",INT(($D117-1)/8)=IF($F117="w",1,6),INDEX($AH116:$CS116,1,MAX(1,MIN(64,$D117+8*IF($F117="w",1,-1))))&amp;""=""),AND(ABS($I117)=1,$J117=IF($F117="w",1,-1),$H117&lt;&gt;""),AND(ABS($I117)=1,$J117=IF($F117="w",1,-1),$H117="",$R116&gt;0,$E117=$R116)),0))</f>
        <v>0</v>
      </c>
      <c r="O117" s="11" t="n">
        <f aca="false">IF(OR($D117=0,$E117=0,$G117=""),0,IF($K117="N",--OR(AND(ABS($I117)=1,ABS($J117)=2),AND(ABS($I117)=2,ABS($J117)=1)),IF($K117="B",--AND(ABS($I117)=ABS($J117),$I117&lt;&gt;0,$L117=0),IF($K117="R",--AND(OR($I117=0,$J117=0),OR($I117&lt;&gt;0,$J117&lt;&gt;0),$L117=0),IF($K117="Q",--AND(OR(AND(ABS($I117)=ABS($J117),$I117&lt;&gt;0),AND(OR($I117=0,$J117=0),OR($I117&lt;&gt;0,$J117&lt;&gt;0))),$L117=0),IF($K117="K",--OR(MAX(ABS($I117),ABS($J117))=1,$M117=1),$N117))))))</f>
        <v>0</v>
      </c>
      <c r="P117" s="11" t="n">
        <f aca="false">IF($Q117="OK",1,0)</f>
        <v>0</v>
      </c>
      <c r="Q117" s="11" t="str">
        <f aca="false">IF($B117="","",IF(OR(COUNTIF($AH116:$CS116,"wK")=0,COUNTIF($AH116:$CS116,"bK")=0),"Game is over",IF(OR($D117=0,$E117=0),"Use the format e2e4",IF($G117="","No piece on that square",IF(LEFT($G117,1)&lt;&gt;$F117,"Not your piece ("&amp;IF($F117="w","White","Black")&amp;" to move)",IF($D117=$E117,"Piece must move",IF(AND($H117&lt;&gt;"",LEFT($H117,1)=$F117),"Cannot capture your own piece",IF($O117=0,"Illegal move for that piece (or path blocked)","OK"))))))))</f>
        <v/>
      </c>
      <c r="R117" s="11" t="n">
        <f aca="false">IF($P117=1,IF(AND($K117="P",ABS($J117)=2),($D117+$E117)/2,0),$R116)</f>
        <v>0</v>
      </c>
      <c r="S117" s="12" t="b">
        <f aca="false">--OR($S116=1,AND($P117=1,OR($D117=5,$E117=5)))</f>
        <v>0</v>
      </c>
      <c r="T117" s="12" t="b">
        <f aca="false">--OR($T116=1,AND($P117=1,OR($D117=1,$E117=1)))</f>
        <v>0</v>
      </c>
      <c r="U117" s="12" t="b">
        <f aca="false">--OR($U116=1,AND($P117=1,OR($D117=8,$E117=8)))</f>
        <v>0</v>
      </c>
      <c r="V117" s="12" t="b">
        <f aca="false">--OR($V116=1,AND($P117=1,OR($D117=61,$E117=61)))</f>
        <v>0</v>
      </c>
      <c r="W117" s="12" t="b">
        <f aca="false">--OR($W116=1,AND($P117=1,OR($D117=57,$E117=57)))</f>
        <v>0</v>
      </c>
      <c r="X117" s="12" t="b">
        <f aca="false">--OR($X116=1,AND($P117=1,OR($D117=64,$E117=64)))</f>
        <v>0</v>
      </c>
      <c r="Y117" s="12" t="b">
        <f aca="false">--AND($P117=1,$K117="K",ABS($I117)=2)</f>
        <v>0</v>
      </c>
      <c r="Z117" s="12" t="b">
        <f aca="false">--AND($P117=1,$K117="P",ABS($I117)=1,$H117="")</f>
        <v>0</v>
      </c>
      <c r="AA117" s="12" t="b">
        <f aca="false">--AND($P117=1,$K117="P",INT(($E117-1)/8)=IF($F117="w",7,0))</f>
        <v>0</v>
      </c>
      <c r="AB117" s="11" t="str">
        <f aca="false">IF(LEN($C117)&gt;=5,IF(ISNUMBER(FIND(MID($C117,5,1),"qrbn")),UPPER(MID($C117,5,1)),"Q"),"Q")</f>
        <v>Q</v>
      </c>
      <c r="AC117" s="11" t="n">
        <f aca="false">IF($Y117=1,IF($I117=2,$D117+3,$D117-4),0)</f>
        <v>0</v>
      </c>
      <c r="AD117" s="11" t="n">
        <f aca="false">IF($Y117=1,IF($I117=2,$D117+1,$D117-1),0)</f>
        <v>0</v>
      </c>
      <c r="AE117" s="11" t="n">
        <f aca="false">IF($Z117=1,$E117-8*IF($F117="w",1,-1),0)</f>
        <v>0</v>
      </c>
      <c r="AF117" s="11" t="str">
        <f aca="false">IF($B117="","",IF($P117=1,LOWER(INDEX($CV$2:$CV$13,MATCH($G117,$CU$2:$CU$13,0)))&amp;" "&amp;MID("abcdefgh",MOD($D117-1,8)+1,1)&amp;(INT(($D117-1)/8)+1)&amp;"→"&amp;MID("abcdefgh",MOD($E117-1,8)+1,1)&amp;(INT(($E117-1)/8)+1)&amp;IF(OR($H117&lt;&gt;"",$Z117=1)," ×","")&amp;IF($Y117=1," castles","")&amp;IF($Z117=1," e.p.","")&amp;IF($AA117=1," =" &amp;LOWER(INDEX($CV$2:$CV$13,MATCH($F117&amp;$AB117,$CU$2:$CU$13,0))),""),"X "&amp;$Q117))</f>
        <v/>
      </c>
      <c r="AG117" s="11"/>
      <c r="AH117" s="11" t="str">
        <f aca="false">IF($P117=0,AH116,IF(AH$3=$E117,IF($AA117=1,$F117&amp;$AB117,$G117),IF(OR(AH$3=$D117,AH$3=$AC117,AH$3=$AE117),"",IF(AH$3=$AD117,$F117&amp;"R",AH116))))</f>
        <v>wR</v>
      </c>
      <c r="AI117" s="11" t="str">
        <f aca="false">IF($P117=0,AI116,IF(AI$3=$E117,IF($AA117=1,$F117&amp;$AB117,$G117),IF(OR(AI$3=$D117,AI$3=$AC117,AI$3=$AE117),"",IF(AI$3=$AD117,$F117&amp;"R",AI116))))</f>
        <v>wN</v>
      </c>
      <c r="AJ117" s="11" t="str">
        <f aca="false">IF($P117=0,AJ116,IF(AJ$3=$E117,IF($AA117=1,$F117&amp;$AB117,$G117),IF(OR(AJ$3=$D117,AJ$3=$AC117,AJ$3=$AE117),"",IF(AJ$3=$AD117,$F117&amp;"R",AJ116))))</f>
        <v>wB</v>
      </c>
      <c r="AK117" s="11" t="str">
        <f aca="false">IF($P117=0,AK116,IF(AK$3=$E117,IF($AA117=1,$F117&amp;$AB117,$G117),IF(OR(AK$3=$D117,AK$3=$AC117,AK$3=$AE117),"",IF(AK$3=$AD117,$F117&amp;"R",AK116))))</f>
        <v>wQ</v>
      </c>
      <c r="AL117" s="11" t="str">
        <f aca="false">IF($P117=0,AL116,IF(AL$3=$E117,IF($AA117=1,$F117&amp;$AB117,$G117),IF(OR(AL$3=$D117,AL$3=$AC117,AL$3=$AE117),"",IF(AL$3=$AD117,$F117&amp;"R",AL116))))</f>
        <v>wK</v>
      </c>
      <c r="AM117" s="11" t="str">
        <f aca="false">IF($P117=0,AM116,IF(AM$3=$E117,IF($AA117=1,$F117&amp;$AB117,$G117),IF(OR(AM$3=$D117,AM$3=$AC117,AM$3=$AE117),"",IF(AM$3=$AD117,$F117&amp;"R",AM116))))</f>
        <v>wB</v>
      </c>
      <c r="AN117" s="11" t="str">
        <f aca="false">IF($P117=0,AN116,IF(AN$3=$E117,IF($AA117=1,$F117&amp;$AB117,$G117),IF(OR(AN$3=$D117,AN$3=$AC117,AN$3=$AE117),"",IF(AN$3=$AD117,$F117&amp;"R",AN116))))</f>
        <v>wN</v>
      </c>
      <c r="AO117" s="11" t="str">
        <f aca="false">IF($P117=0,AO116,IF(AO$3=$E117,IF($AA117=1,$F117&amp;$AB117,$G117),IF(OR(AO$3=$D117,AO$3=$AC117,AO$3=$AE117),"",IF(AO$3=$AD117,$F117&amp;"R",AO116))))</f>
        <v>wR</v>
      </c>
      <c r="AP117" s="11" t="str">
        <f aca="false">IF($P117=0,AP116,IF(AP$3=$E117,IF($AA117=1,$F117&amp;$AB117,$G117),IF(OR(AP$3=$D117,AP$3=$AC117,AP$3=$AE117),"",IF(AP$3=$AD117,$F117&amp;"R",AP116))))</f>
        <v>wP</v>
      </c>
      <c r="AQ117" s="11" t="str">
        <f aca="false">IF($P117=0,AQ116,IF(AQ$3=$E117,IF($AA117=1,$F117&amp;$AB117,$G117),IF(OR(AQ$3=$D117,AQ$3=$AC117,AQ$3=$AE117),"",IF(AQ$3=$AD117,$F117&amp;"R",AQ116))))</f>
        <v>wP</v>
      </c>
      <c r="AR117" s="11" t="str">
        <f aca="false">IF($P117=0,AR116,IF(AR$3=$E117,IF($AA117=1,$F117&amp;$AB117,$G117),IF(OR(AR$3=$D117,AR$3=$AC117,AR$3=$AE117),"",IF(AR$3=$AD117,$F117&amp;"R",AR116))))</f>
        <v>wP</v>
      </c>
      <c r="AS117" s="11" t="str">
        <f aca="false">IF($P117=0,AS116,IF(AS$3=$E117,IF($AA117=1,$F117&amp;$AB117,$G117),IF(OR(AS$3=$D117,AS$3=$AC117,AS$3=$AE117),"",IF(AS$3=$AD117,$F117&amp;"R",AS116))))</f>
        <v>wP</v>
      </c>
      <c r="AT117" s="11" t="str">
        <f aca="false">IF($P117=0,AT116,IF(AT$3=$E117,IF($AA117=1,$F117&amp;$AB117,$G117),IF(OR(AT$3=$D117,AT$3=$AC117,AT$3=$AE117),"",IF(AT$3=$AD117,$F117&amp;"R",AT116))))</f>
        <v>wP</v>
      </c>
      <c r="AU117" s="11" t="str">
        <f aca="false">IF($P117=0,AU116,IF(AU$3=$E117,IF($AA117=1,$F117&amp;$AB117,$G117),IF(OR(AU$3=$D117,AU$3=$AC117,AU$3=$AE117),"",IF(AU$3=$AD117,$F117&amp;"R",AU116))))</f>
        <v>wP</v>
      </c>
      <c r="AV117" s="11" t="str">
        <f aca="false">IF($P117=0,AV116,IF(AV$3=$E117,IF($AA117=1,$F117&amp;$AB117,$G117),IF(OR(AV$3=$D117,AV$3=$AC117,AV$3=$AE117),"",IF(AV$3=$AD117,$F117&amp;"R",AV116))))</f>
        <v>wP</v>
      </c>
      <c r="AW117" s="11" t="str">
        <f aca="false">IF($P117=0,AW116,IF(AW$3=$E117,IF($AA117=1,$F117&amp;$AB117,$G117),IF(OR(AW$3=$D117,AW$3=$AC117,AW$3=$AE117),"",IF(AW$3=$AD117,$F117&amp;"R",AW116))))</f>
        <v>wP</v>
      </c>
      <c r="AX117" s="11" t="str">
        <f aca="false">IF($P117=0,AX116,IF(AX$3=$E117,IF($AA117=1,$F117&amp;$AB117,$G117),IF(OR(AX$3=$D117,AX$3=$AC117,AX$3=$AE117),"",IF(AX$3=$AD117,$F117&amp;"R",AX116))))</f>
        <v/>
      </c>
      <c r="AY117" s="11" t="str">
        <f aca="false">IF($P117=0,AY116,IF(AY$3=$E117,IF($AA117=1,$F117&amp;$AB117,$G117),IF(OR(AY$3=$D117,AY$3=$AC117,AY$3=$AE117),"",IF(AY$3=$AD117,$F117&amp;"R",AY116))))</f>
        <v/>
      </c>
      <c r="AZ117" s="11" t="str">
        <f aca="false">IF($P117=0,AZ116,IF(AZ$3=$E117,IF($AA117=1,$F117&amp;$AB117,$G117),IF(OR(AZ$3=$D117,AZ$3=$AC117,AZ$3=$AE117),"",IF(AZ$3=$AD117,$F117&amp;"R",AZ116))))</f>
        <v/>
      </c>
      <c r="BA117" s="11" t="str">
        <f aca="false">IF($P117=0,BA116,IF(BA$3=$E117,IF($AA117=1,$F117&amp;$AB117,$G117),IF(OR(BA$3=$D117,BA$3=$AC117,BA$3=$AE117),"",IF(BA$3=$AD117,$F117&amp;"R",BA116))))</f>
        <v/>
      </c>
      <c r="BB117" s="11" t="str">
        <f aca="false">IF($P117=0,BB116,IF(BB$3=$E117,IF($AA117=1,$F117&amp;$AB117,$G117),IF(OR(BB$3=$D117,BB$3=$AC117,BB$3=$AE117),"",IF(BB$3=$AD117,$F117&amp;"R",BB116))))</f>
        <v/>
      </c>
      <c r="BC117" s="11" t="str">
        <f aca="false">IF($P117=0,BC116,IF(BC$3=$E117,IF($AA117=1,$F117&amp;$AB117,$G117),IF(OR(BC$3=$D117,BC$3=$AC117,BC$3=$AE117),"",IF(BC$3=$AD117,$F117&amp;"R",BC116))))</f>
        <v/>
      </c>
      <c r="BD117" s="11" t="str">
        <f aca="false">IF($P117=0,BD116,IF(BD$3=$E117,IF($AA117=1,$F117&amp;$AB117,$G117),IF(OR(BD$3=$D117,BD$3=$AC117,BD$3=$AE117),"",IF(BD$3=$AD117,$F117&amp;"R",BD116))))</f>
        <v/>
      </c>
      <c r="BE117" s="11" t="str">
        <f aca="false">IF($P117=0,BE116,IF(BE$3=$E117,IF($AA117=1,$F117&amp;$AB117,$G117),IF(OR(BE$3=$D117,BE$3=$AC117,BE$3=$AE117),"",IF(BE$3=$AD117,$F117&amp;"R",BE116))))</f>
        <v/>
      </c>
      <c r="BF117" s="11" t="str">
        <f aca="false">IF($P117=0,BF116,IF(BF$3=$E117,IF($AA117=1,$F117&amp;$AB117,$G117),IF(OR(BF$3=$D117,BF$3=$AC117,BF$3=$AE117),"",IF(BF$3=$AD117,$F117&amp;"R",BF116))))</f>
        <v/>
      </c>
      <c r="BG117" s="11" t="str">
        <f aca="false">IF($P117=0,BG116,IF(BG$3=$E117,IF($AA117=1,$F117&amp;$AB117,$G117),IF(OR(BG$3=$D117,BG$3=$AC117,BG$3=$AE117),"",IF(BG$3=$AD117,$F117&amp;"R",BG116))))</f>
        <v/>
      </c>
      <c r="BH117" s="11" t="str">
        <f aca="false">IF($P117=0,BH116,IF(BH$3=$E117,IF($AA117=1,$F117&amp;$AB117,$G117),IF(OR(BH$3=$D117,BH$3=$AC117,BH$3=$AE117),"",IF(BH$3=$AD117,$F117&amp;"R",BH116))))</f>
        <v/>
      </c>
      <c r="BI117" s="11" t="str">
        <f aca="false">IF($P117=0,BI116,IF(BI$3=$E117,IF($AA117=1,$F117&amp;$AB117,$G117),IF(OR(BI$3=$D117,BI$3=$AC117,BI$3=$AE117),"",IF(BI$3=$AD117,$F117&amp;"R",BI116))))</f>
        <v/>
      </c>
      <c r="BJ117" s="11" t="str">
        <f aca="false">IF($P117=0,BJ116,IF(BJ$3=$E117,IF($AA117=1,$F117&amp;$AB117,$G117),IF(OR(BJ$3=$D117,BJ$3=$AC117,BJ$3=$AE117),"",IF(BJ$3=$AD117,$F117&amp;"R",BJ116))))</f>
        <v/>
      </c>
      <c r="BK117" s="11" t="str">
        <f aca="false">IF($P117=0,BK116,IF(BK$3=$E117,IF($AA117=1,$F117&amp;$AB117,$G117),IF(OR(BK$3=$D117,BK$3=$AC117,BK$3=$AE117),"",IF(BK$3=$AD117,$F117&amp;"R",BK116))))</f>
        <v/>
      </c>
      <c r="BL117" s="11" t="str">
        <f aca="false">IF($P117=0,BL116,IF(BL$3=$E117,IF($AA117=1,$F117&amp;$AB117,$G117),IF(OR(BL$3=$D117,BL$3=$AC117,BL$3=$AE117),"",IF(BL$3=$AD117,$F117&amp;"R",BL116))))</f>
        <v/>
      </c>
      <c r="BM117" s="11" t="str">
        <f aca="false">IF($P117=0,BM116,IF(BM$3=$E117,IF($AA117=1,$F117&amp;$AB117,$G117),IF(OR(BM$3=$D117,BM$3=$AC117,BM$3=$AE117),"",IF(BM$3=$AD117,$F117&amp;"R",BM116))))</f>
        <v/>
      </c>
      <c r="BN117" s="11" t="str">
        <f aca="false">IF($P117=0,BN116,IF(BN$3=$E117,IF($AA117=1,$F117&amp;$AB117,$G117),IF(OR(BN$3=$D117,BN$3=$AC117,BN$3=$AE117),"",IF(BN$3=$AD117,$F117&amp;"R",BN116))))</f>
        <v/>
      </c>
      <c r="BO117" s="11" t="str">
        <f aca="false">IF($P117=0,BO116,IF(BO$3=$E117,IF($AA117=1,$F117&amp;$AB117,$G117),IF(OR(BO$3=$D117,BO$3=$AC117,BO$3=$AE117),"",IF(BO$3=$AD117,$F117&amp;"R",BO116))))</f>
        <v/>
      </c>
      <c r="BP117" s="11" t="str">
        <f aca="false">IF($P117=0,BP116,IF(BP$3=$E117,IF($AA117=1,$F117&amp;$AB117,$G117),IF(OR(BP$3=$D117,BP$3=$AC117,BP$3=$AE117),"",IF(BP$3=$AD117,$F117&amp;"R",BP116))))</f>
        <v/>
      </c>
      <c r="BQ117" s="11" t="str">
        <f aca="false">IF($P117=0,BQ116,IF(BQ$3=$E117,IF($AA117=1,$F117&amp;$AB117,$G117),IF(OR(BQ$3=$D117,BQ$3=$AC117,BQ$3=$AE117),"",IF(BQ$3=$AD117,$F117&amp;"R",BQ116))))</f>
        <v/>
      </c>
      <c r="BR117" s="11" t="str">
        <f aca="false">IF($P117=0,BR116,IF(BR$3=$E117,IF($AA117=1,$F117&amp;$AB117,$G117),IF(OR(BR$3=$D117,BR$3=$AC117,BR$3=$AE117),"",IF(BR$3=$AD117,$F117&amp;"R",BR116))))</f>
        <v/>
      </c>
      <c r="BS117" s="11" t="str">
        <f aca="false">IF($P117=0,BS116,IF(BS$3=$E117,IF($AA117=1,$F117&amp;$AB117,$G117),IF(OR(BS$3=$D117,BS$3=$AC117,BS$3=$AE117),"",IF(BS$3=$AD117,$F117&amp;"R",BS116))))</f>
        <v/>
      </c>
      <c r="BT117" s="11" t="str">
        <f aca="false">IF($P117=0,BT116,IF(BT$3=$E117,IF($AA117=1,$F117&amp;$AB117,$G117),IF(OR(BT$3=$D117,BT$3=$AC117,BT$3=$AE117),"",IF(BT$3=$AD117,$F117&amp;"R",BT116))))</f>
        <v/>
      </c>
      <c r="BU117" s="11" t="str">
        <f aca="false">IF($P117=0,BU116,IF(BU$3=$E117,IF($AA117=1,$F117&amp;$AB117,$G117),IF(OR(BU$3=$D117,BU$3=$AC117,BU$3=$AE117),"",IF(BU$3=$AD117,$F117&amp;"R",BU116))))</f>
        <v/>
      </c>
      <c r="BV117" s="11" t="str">
        <f aca="false">IF($P117=0,BV116,IF(BV$3=$E117,IF($AA117=1,$F117&amp;$AB117,$G117),IF(OR(BV$3=$D117,BV$3=$AC117,BV$3=$AE117),"",IF(BV$3=$AD117,$F117&amp;"R",BV116))))</f>
        <v/>
      </c>
      <c r="BW117" s="11" t="str">
        <f aca="false">IF($P117=0,BW116,IF(BW$3=$E117,IF($AA117=1,$F117&amp;$AB117,$G117),IF(OR(BW$3=$D117,BW$3=$AC117,BW$3=$AE117),"",IF(BW$3=$AD117,$F117&amp;"R",BW116))))</f>
        <v/>
      </c>
      <c r="BX117" s="11" t="str">
        <f aca="false">IF($P117=0,BX116,IF(BX$3=$E117,IF($AA117=1,$F117&amp;$AB117,$G117),IF(OR(BX$3=$D117,BX$3=$AC117,BX$3=$AE117),"",IF(BX$3=$AD117,$F117&amp;"R",BX116))))</f>
        <v/>
      </c>
      <c r="BY117" s="11" t="str">
        <f aca="false">IF($P117=0,BY116,IF(BY$3=$E117,IF($AA117=1,$F117&amp;$AB117,$G117),IF(OR(BY$3=$D117,BY$3=$AC117,BY$3=$AE117),"",IF(BY$3=$AD117,$F117&amp;"R",BY116))))</f>
        <v/>
      </c>
      <c r="BZ117" s="11" t="str">
        <f aca="false">IF($P117=0,BZ116,IF(BZ$3=$E117,IF($AA117=1,$F117&amp;$AB117,$G117),IF(OR(BZ$3=$D117,BZ$3=$AC117,BZ$3=$AE117),"",IF(BZ$3=$AD117,$F117&amp;"R",BZ116))))</f>
        <v/>
      </c>
      <c r="CA117" s="11" t="str">
        <f aca="false">IF($P117=0,CA116,IF(CA$3=$E117,IF($AA117=1,$F117&amp;$AB117,$G117),IF(OR(CA$3=$D117,CA$3=$AC117,CA$3=$AE117),"",IF(CA$3=$AD117,$F117&amp;"R",CA116))))</f>
        <v/>
      </c>
      <c r="CB117" s="11" t="str">
        <f aca="false">IF($P117=0,CB116,IF(CB$3=$E117,IF($AA117=1,$F117&amp;$AB117,$G117),IF(OR(CB$3=$D117,CB$3=$AC117,CB$3=$AE117),"",IF(CB$3=$AD117,$F117&amp;"R",CB116))))</f>
        <v/>
      </c>
      <c r="CC117" s="11" t="str">
        <f aca="false">IF($P117=0,CC116,IF(CC$3=$E117,IF($AA117=1,$F117&amp;$AB117,$G117),IF(OR(CC$3=$D117,CC$3=$AC117,CC$3=$AE117),"",IF(CC$3=$AD117,$F117&amp;"R",CC116))))</f>
        <v/>
      </c>
      <c r="CD117" s="11" t="str">
        <f aca="false">IF($P117=0,CD116,IF(CD$3=$E117,IF($AA117=1,$F117&amp;$AB117,$G117),IF(OR(CD$3=$D117,CD$3=$AC117,CD$3=$AE117),"",IF(CD$3=$AD117,$F117&amp;"R",CD116))))</f>
        <v>bP</v>
      </c>
      <c r="CE117" s="11" t="str">
        <f aca="false">IF($P117=0,CE116,IF(CE$3=$E117,IF($AA117=1,$F117&amp;$AB117,$G117),IF(OR(CE$3=$D117,CE$3=$AC117,CE$3=$AE117),"",IF(CE$3=$AD117,$F117&amp;"R",CE116))))</f>
        <v>bP</v>
      </c>
      <c r="CF117" s="11" t="str">
        <f aca="false">IF($P117=0,CF116,IF(CF$3=$E117,IF($AA117=1,$F117&amp;$AB117,$G117),IF(OR(CF$3=$D117,CF$3=$AC117,CF$3=$AE117),"",IF(CF$3=$AD117,$F117&amp;"R",CF116))))</f>
        <v>bP</v>
      </c>
      <c r="CG117" s="11" t="str">
        <f aca="false">IF($P117=0,CG116,IF(CG$3=$E117,IF($AA117=1,$F117&amp;$AB117,$G117),IF(OR(CG$3=$D117,CG$3=$AC117,CG$3=$AE117),"",IF(CG$3=$AD117,$F117&amp;"R",CG116))))</f>
        <v>bP</v>
      </c>
      <c r="CH117" s="11" t="str">
        <f aca="false">IF($P117=0,CH116,IF(CH$3=$E117,IF($AA117=1,$F117&amp;$AB117,$G117),IF(OR(CH$3=$D117,CH$3=$AC117,CH$3=$AE117),"",IF(CH$3=$AD117,$F117&amp;"R",CH116))))</f>
        <v>bP</v>
      </c>
      <c r="CI117" s="11" t="str">
        <f aca="false">IF($P117=0,CI116,IF(CI$3=$E117,IF($AA117=1,$F117&amp;$AB117,$G117),IF(OR(CI$3=$D117,CI$3=$AC117,CI$3=$AE117),"",IF(CI$3=$AD117,$F117&amp;"R",CI116))))</f>
        <v>bP</v>
      </c>
      <c r="CJ117" s="11" t="str">
        <f aca="false">IF($P117=0,CJ116,IF(CJ$3=$E117,IF($AA117=1,$F117&amp;$AB117,$G117),IF(OR(CJ$3=$D117,CJ$3=$AC117,CJ$3=$AE117),"",IF(CJ$3=$AD117,$F117&amp;"R",CJ116))))</f>
        <v>bP</v>
      </c>
      <c r="CK117" s="11" t="str">
        <f aca="false">IF($P117=0,CK116,IF(CK$3=$E117,IF($AA117=1,$F117&amp;$AB117,$G117),IF(OR(CK$3=$D117,CK$3=$AC117,CK$3=$AE117),"",IF(CK$3=$AD117,$F117&amp;"R",CK116))))</f>
        <v>bP</v>
      </c>
      <c r="CL117" s="11" t="str">
        <f aca="false">IF($P117=0,CL116,IF(CL$3=$E117,IF($AA117=1,$F117&amp;$AB117,$G117),IF(OR(CL$3=$D117,CL$3=$AC117,CL$3=$AE117),"",IF(CL$3=$AD117,$F117&amp;"R",CL116))))</f>
        <v>bR</v>
      </c>
      <c r="CM117" s="11" t="str">
        <f aca="false">IF($P117=0,CM116,IF(CM$3=$E117,IF($AA117=1,$F117&amp;$AB117,$G117),IF(OR(CM$3=$D117,CM$3=$AC117,CM$3=$AE117),"",IF(CM$3=$AD117,$F117&amp;"R",CM116))))</f>
        <v>bN</v>
      </c>
      <c r="CN117" s="11" t="str">
        <f aca="false">IF($P117=0,CN116,IF(CN$3=$E117,IF($AA117=1,$F117&amp;$AB117,$G117),IF(OR(CN$3=$D117,CN$3=$AC117,CN$3=$AE117),"",IF(CN$3=$AD117,$F117&amp;"R",CN116))))</f>
        <v>bB</v>
      </c>
      <c r="CO117" s="11" t="str">
        <f aca="false">IF($P117=0,CO116,IF(CO$3=$E117,IF($AA117=1,$F117&amp;$AB117,$G117),IF(OR(CO$3=$D117,CO$3=$AC117,CO$3=$AE117),"",IF(CO$3=$AD117,$F117&amp;"R",CO116))))</f>
        <v>bQ</v>
      </c>
      <c r="CP117" s="11" t="str">
        <f aca="false">IF($P117=0,CP116,IF(CP$3=$E117,IF($AA117=1,$F117&amp;$AB117,$G117),IF(OR(CP$3=$D117,CP$3=$AC117,CP$3=$AE117),"",IF(CP$3=$AD117,$F117&amp;"R",CP116))))</f>
        <v>bK</v>
      </c>
      <c r="CQ117" s="11" t="str">
        <f aca="false">IF($P117=0,CQ116,IF(CQ$3=$E117,IF($AA117=1,$F117&amp;$AB117,$G117),IF(OR(CQ$3=$D117,CQ$3=$AC117,CQ$3=$AE117),"",IF(CQ$3=$AD117,$F117&amp;"R",CQ116))))</f>
        <v>bB</v>
      </c>
      <c r="CR117" s="11" t="str">
        <f aca="false">IF($P117=0,CR116,IF(CR$3=$E117,IF($AA117=1,$F117&amp;$AB117,$G117),IF(OR(CR$3=$D117,CR$3=$AC117,CR$3=$AE117),"",IF(CR$3=$AD117,$F117&amp;"R",CR116))))</f>
        <v>bN</v>
      </c>
      <c r="CS117" s="11" t="str">
        <f aca="false">IF($P117=0,CS116,IF(CS$3=$E117,IF($AA117=1,$F117&amp;$AB117,$G117),IF(OR(CS$3=$D117,CS$3=$AC117,CS$3=$AE117),"",IF(CS$3=$AD117,$F117&amp;"R",CS116))))</f>
        <v>bR</v>
      </c>
      <c r="CT117" s="11"/>
      <c r="CU117" s="11"/>
      <c r="CV117" s="11"/>
    </row>
    <row r="118" customFormat="false" ht="15" hidden="false" customHeight="false" outlineLevel="0" collapsed="false">
      <c r="A118" s="11" t="n">
        <v>113</v>
      </c>
      <c r="B118" s="11" t="str">
        <f aca="false">IF(Chess!$L$122="","",Chess!$L$122&amp;"")</f>
        <v/>
      </c>
      <c r="C118" s="11" t="str">
        <f aca="false">LOWER(SUBSTITUTE(SUBSTITUTE(SUBSTITUTE(SUBSTITUTE(TRIM($B118),"-",""),"=","")," ",""),"x",""))</f>
        <v/>
      </c>
      <c r="D118" s="11" t="n">
        <f aca="false">IF(LEN($C118)&lt;4,0,IFERROR(IF(AND(CODE(MID($C118,1,1))&gt;=97,CODE(MID($C118,1,1))&lt;=104,VALUE(MID($C118,2,1))&gt;=1,VALUE(MID($C118,2,1))&lt;=8),(VALUE(MID($C118,2,1))-1)*8+CODE(MID($C118,1,1))-96,0),0))</f>
        <v>0</v>
      </c>
      <c r="E118" s="11" t="n">
        <f aca="false">IF(LEN($C118)&lt;4,0,IFERROR(IF(AND(CODE(MID($C118,3,1))&gt;=97,CODE(MID($C118,3,1))&lt;=104,VALUE(MID($C118,4,1))&gt;=1,VALUE(MID($C118,4,1))&lt;=8),(VALUE(MID($C118,4,1))-1)*8+CODE(MID($C118,3,1))-96,0),0))</f>
        <v>0</v>
      </c>
      <c r="F118" s="11" t="str">
        <f aca="false">IF(MOD(SUM($P$5:$P117),2)=0,"w","b")</f>
        <v>w</v>
      </c>
      <c r="G118" s="11" t="str">
        <f aca="false">IF($D118=0,"",INDEX($AH117:$CS117,1,$D118)&amp;"")</f>
        <v/>
      </c>
      <c r="H118" s="11" t="str">
        <f aca="false">IF($E118=0,"",INDEX($AH117:$CS117,1,$E118)&amp;"")</f>
        <v/>
      </c>
      <c r="I118" s="11" t="n">
        <f aca="false">IF(OR($D118=0,$E118=0),0,MOD($E118-1,8)-MOD($D118-1,8))</f>
        <v>0</v>
      </c>
      <c r="J118" s="11" t="n">
        <f aca="false">IF(OR($D118=0,$E118=0),0,INT(($E118-1)/8)-INT(($D118-1)/8))</f>
        <v>0</v>
      </c>
      <c r="K118" s="11" t="str">
        <f aca="false">IF($G118="","",RIGHT($G118,1))</f>
        <v/>
      </c>
      <c r="L118" s="11" t="n">
        <f aca="false">IF(OR($D118=0,$E118=0),0,SUMPRODUCT(($AH$3:$CS$3&gt;MIN($D118,$E118))*($AH$3:$CS$3&lt;MAX($D118,$E118))*(MOD($AH$3:$CS$3-MIN($D118,$E118),MAX(1,ABS(SIGN($J118)*8+SIGN($I118))))=0)*($AH117:$CS117&lt;&gt;"")))</f>
        <v>0</v>
      </c>
      <c r="M118" s="11" t="n">
        <f aca="false">IF($K118&lt;&gt;"K",0,IFERROR(--AND($J118=0,ABS($I118)=2,$D118=IF($F118="w",5,61),IF($F118="w",$S117,$V117)=0,IF($I118=2,AND(IF($F118="w",$U117,$X117)=0,INDEX($AH117:$CS117,1,$D118+1)&amp;""="",INDEX($AH117:$CS117,1,$D118+2)&amp;""=""),AND(IF($F118="w",$T117,$W117)=0,INDEX($AH117:$CS117,1,$D118-1)&amp;""="",INDEX($AH117:$CS117,1,$D118-2)&amp;""="",INDEX($AH117:$CS117,1,$D118-3)&amp;""=""))),0))</f>
        <v>0</v>
      </c>
      <c r="N118" s="11" t="n">
        <f aca="false">IF($K118&lt;&gt;"P",0,IFERROR(--OR(AND($I118=0,$J118=IF($F118="w",1,-1),$H118=""),AND($I118=0,$J118=2*IF($F118="w",1,-1),$H118="",INT(($D118-1)/8)=IF($F118="w",1,6),INDEX($AH117:$CS117,1,MAX(1,MIN(64,$D118+8*IF($F118="w",1,-1))))&amp;""=""),AND(ABS($I118)=1,$J118=IF($F118="w",1,-1),$H118&lt;&gt;""),AND(ABS($I118)=1,$J118=IF($F118="w",1,-1),$H118="",$R117&gt;0,$E118=$R117)),0))</f>
        <v>0</v>
      </c>
      <c r="O118" s="11" t="n">
        <f aca="false">IF(OR($D118=0,$E118=0,$G118=""),0,IF($K118="N",--OR(AND(ABS($I118)=1,ABS($J118)=2),AND(ABS($I118)=2,ABS($J118)=1)),IF($K118="B",--AND(ABS($I118)=ABS($J118),$I118&lt;&gt;0,$L118=0),IF($K118="R",--AND(OR($I118=0,$J118=0),OR($I118&lt;&gt;0,$J118&lt;&gt;0),$L118=0),IF($K118="Q",--AND(OR(AND(ABS($I118)=ABS($J118),$I118&lt;&gt;0),AND(OR($I118=0,$J118=0),OR($I118&lt;&gt;0,$J118&lt;&gt;0))),$L118=0),IF($K118="K",--OR(MAX(ABS($I118),ABS($J118))=1,$M118=1),$N118))))))</f>
        <v>0</v>
      </c>
      <c r="P118" s="11" t="n">
        <f aca="false">IF($Q118="OK",1,0)</f>
        <v>0</v>
      </c>
      <c r="Q118" s="11" t="str">
        <f aca="false">IF($B118="","",IF(OR(COUNTIF($AH117:$CS117,"wK")=0,COUNTIF($AH117:$CS117,"bK")=0),"Game is over",IF(OR($D118=0,$E118=0),"Use the format e2e4",IF($G118="","No piece on that square",IF(LEFT($G118,1)&lt;&gt;$F118,"Not your piece ("&amp;IF($F118="w","White","Black")&amp;" to move)",IF($D118=$E118,"Piece must move",IF(AND($H118&lt;&gt;"",LEFT($H118,1)=$F118),"Cannot capture your own piece",IF($O118=0,"Illegal move for that piece (or path blocked)","OK"))))))))</f>
        <v/>
      </c>
      <c r="R118" s="11" t="n">
        <f aca="false">IF($P118=1,IF(AND($K118="P",ABS($J118)=2),($D118+$E118)/2,0),$R117)</f>
        <v>0</v>
      </c>
      <c r="S118" s="12" t="b">
        <f aca="false">--OR($S117=1,AND($P118=1,OR($D118=5,$E118=5)))</f>
        <v>0</v>
      </c>
      <c r="T118" s="12" t="b">
        <f aca="false">--OR($T117=1,AND($P118=1,OR($D118=1,$E118=1)))</f>
        <v>0</v>
      </c>
      <c r="U118" s="12" t="b">
        <f aca="false">--OR($U117=1,AND($P118=1,OR($D118=8,$E118=8)))</f>
        <v>0</v>
      </c>
      <c r="V118" s="12" t="b">
        <f aca="false">--OR($V117=1,AND($P118=1,OR($D118=61,$E118=61)))</f>
        <v>0</v>
      </c>
      <c r="W118" s="12" t="b">
        <f aca="false">--OR($W117=1,AND($P118=1,OR($D118=57,$E118=57)))</f>
        <v>0</v>
      </c>
      <c r="X118" s="12" t="b">
        <f aca="false">--OR($X117=1,AND($P118=1,OR($D118=64,$E118=64)))</f>
        <v>0</v>
      </c>
      <c r="Y118" s="12" t="b">
        <f aca="false">--AND($P118=1,$K118="K",ABS($I118)=2)</f>
        <v>0</v>
      </c>
      <c r="Z118" s="12" t="b">
        <f aca="false">--AND($P118=1,$K118="P",ABS($I118)=1,$H118="")</f>
        <v>0</v>
      </c>
      <c r="AA118" s="12" t="b">
        <f aca="false">--AND($P118=1,$K118="P",INT(($E118-1)/8)=IF($F118="w",7,0))</f>
        <v>0</v>
      </c>
      <c r="AB118" s="11" t="str">
        <f aca="false">IF(LEN($C118)&gt;=5,IF(ISNUMBER(FIND(MID($C118,5,1),"qrbn")),UPPER(MID($C118,5,1)),"Q"),"Q")</f>
        <v>Q</v>
      </c>
      <c r="AC118" s="11" t="n">
        <f aca="false">IF($Y118=1,IF($I118=2,$D118+3,$D118-4),0)</f>
        <v>0</v>
      </c>
      <c r="AD118" s="11" t="n">
        <f aca="false">IF($Y118=1,IF($I118=2,$D118+1,$D118-1),0)</f>
        <v>0</v>
      </c>
      <c r="AE118" s="11" t="n">
        <f aca="false">IF($Z118=1,$E118-8*IF($F118="w",1,-1),0)</f>
        <v>0</v>
      </c>
      <c r="AF118" s="11" t="str">
        <f aca="false">IF($B118="","",IF($P118=1,LOWER(INDEX($CV$2:$CV$13,MATCH($G118,$CU$2:$CU$13,0)))&amp;" "&amp;MID("abcdefgh",MOD($D118-1,8)+1,1)&amp;(INT(($D118-1)/8)+1)&amp;"→"&amp;MID("abcdefgh",MOD($E118-1,8)+1,1)&amp;(INT(($E118-1)/8)+1)&amp;IF(OR($H118&lt;&gt;"",$Z118=1)," ×","")&amp;IF($Y118=1," castles","")&amp;IF($Z118=1," e.p.","")&amp;IF($AA118=1," =" &amp;LOWER(INDEX($CV$2:$CV$13,MATCH($F118&amp;$AB118,$CU$2:$CU$13,0))),""),"X "&amp;$Q118))</f>
        <v/>
      </c>
      <c r="AG118" s="11"/>
      <c r="AH118" s="11" t="str">
        <f aca="false">IF($P118=0,AH117,IF(AH$3=$E118,IF($AA118=1,$F118&amp;$AB118,$G118),IF(OR(AH$3=$D118,AH$3=$AC118,AH$3=$AE118),"",IF(AH$3=$AD118,$F118&amp;"R",AH117))))</f>
        <v>wR</v>
      </c>
      <c r="AI118" s="11" t="str">
        <f aca="false">IF($P118=0,AI117,IF(AI$3=$E118,IF($AA118=1,$F118&amp;$AB118,$G118),IF(OR(AI$3=$D118,AI$3=$AC118,AI$3=$AE118),"",IF(AI$3=$AD118,$F118&amp;"R",AI117))))</f>
        <v>wN</v>
      </c>
      <c r="AJ118" s="11" t="str">
        <f aca="false">IF($P118=0,AJ117,IF(AJ$3=$E118,IF($AA118=1,$F118&amp;$AB118,$G118),IF(OR(AJ$3=$D118,AJ$3=$AC118,AJ$3=$AE118),"",IF(AJ$3=$AD118,$F118&amp;"R",AJ117))))</f>
        <v>wB</v>
      </c>
      <c r="AK118" s="11" t="str">
        <f aca="false">IF($P118=0,AK117,IF(AK$3=$E118,IF($AA118=1,$F118&amp;$AB118,$G118),IF(OR(AK$3=$D118,AK$3=$AC118,AK$3=$AE118),"",IF(AK$3=$AD118,$F118&amp;"R",AK117))))</f>
        <v>wQ</v>
      </c>
      <c r="AL118" s="11" t="str">
        <f aca="false">IF($P118=0,AL117,IF(AL$3=$E118,IF($AA118=1,$F118&amp;$AB118,$G118),IF(OR(AL$3=$D118,AL$3=$AC118,AL$3=$AE118),"",IF(AL$3=$AD118,$F118&amp;"R",AL117))))</f>
        <v>wK</v>
      </c>
      <c r="AM118" s="11" t="str">
        <f aca="false">IF($P118=0,AM117,IF(AM$3=$E118,IF($AA118=1,$F118&amp;$AB118,$G118),IF(OR(AM$3=$D118,AM$3=$AC118,AM$3=$AE118),"",IF(AM$3=$AD118,$F118&amp;"R",AM117))))</f>
        <v>wB</v>
      </c>
      <c r="AN118" s="11" t="str">
        <f aca="false">IF($P118=0,AN117,IF(AN$3=$E118,IF($AA118=1,$F118&amp;$AB118,$G118),IF(OR(AN$3=$D118,AN$3=$AC118,AN$3=$AE118),"",IF(AN$3=$AD118,$F118&amp;"R",AN117))))</f>
        <v>wN</v>
      </c>
      <c r="AO118" s="11" t="str">
        <f aca="false">IF($P118=0,AO117,IF(AO$3=$E118,IF($AA118=1,$F118&amp;$AB118,$G118),IF(OR(AO$3=$D118,AO$3=$AC118,AO$3=$AE118),"",IF(AO$3=$AD118,$F118&amp;"R",AO117))))</f>
        <v>wR</v>
      </c>
      <c r="AP118" s="11" t="str">
        <f aca="false">IF($P118=0,AP117,IF(AP$3=$E118,IF($AA118=1,$F118&amp;$AB118,$G118),IF(OR(AP$3=$D118,AP$3=$AC118,AP$3=$AE118),"",IF(AP$3=$AD118,$F118&amp;"R",AP117))))</f>
        <v>wP</v>
      </c>
      <c r="AQ118" s="11" t="str">
        <f aca="false">IF($P118=0,AQ117,IF(AQ$3=$E118,IF($AA118=1,$F118&amp;$AB118,$G118),IF(OR(AQ$3=$D118,AQ$3=$AC118,AQ$3=$AE118),"",IF(AQ$3=$AD118,$F118&amp;"R",AQ117))))</f>
        <v>wP</v>
      </c>
      <c r="AR118" s="11" t="str">
        <f aca="false">IF($P118=0,AR117,IF(AR$3=$E118,IF($AA118=1,$F118&amp;$AB118,$G118),IF(OR(AR$3=$D118,AR$3=$AC118,AR$3=$AE118),"",IF(AR$3=$AD118,$F118&amp;"R",AR117))))</f>
        <v>wP</v>
      </c>
      <c r="AS118" s="11" t="str">
        <f aca="false">IF($P118=0,AS117,IF(AS$3=$E118,IF($AA118=1,$F118&amp;$AB118,$G118),IF(OR(AS$3=$D118,AS$3=$AC118,AS$3=$AE118),"",IF(AS$3=$AD118,$F118&amp;"R",AS117))))</f>
        <v>wP</v>
      </c>
      <c r="AT118" s="11" t="str">
        <f aca="false">IF($P118=0,AT117,IF(AT$3=$E118,IF($AA118=1,$F118&amp;$AB118,$G118),IF(OR(AT$3=$D118,AT$3=$AC118,AT$3=$AE118),"",IF(AT$3=$AD118,$F118&amp;"R",AT117))))</f>
        <v>wP</v>
      </c>
      <c r="AU118" s="11" t="str">
        <f aca="false">IF($P118=0,AU117,IF(AU$3=$E118,IF($AA118=1,$F118&amp;$AB118,$G118),IF(OR(AU$3=$D118,AU$3=$AC118,AU$3=$AE118),"",IF(AU$3=$AD118,$F118&amp;"R",AU117))))</f>
        <v>wP</v>
      </c>
      <c r="AV118" s="11" t="str">
        <f aca="false">IF($P118=0,AV117,IF(AV$3=$E118,IF($AA118=1,$F118&amp;$AB118,$G118),IF(OR(AV$3=$D118,AV$3=$AC118,AV$3=$AE118),"",IF(AV$3=$AD118,$F118&amp;"R",AV117))))</f>
        <v>wP</v>
      </c>
      <c r="AW118" s="11" t="str">
        <f aca="false">IF($P118=0,AW117,IF(AW$3=$E118,IF($AA118=1,$F118&amp;$AB118,$G118),IF(OR(AW$3=$D118,AW$3=$AC118,AW$3=$AE118),"",IF(AW$3=$AD118,$F118&amp;"R",AW117))))</f>
        <v>wP</v>
      </c>
      <c r="AX118" s="11" t="str">
        <f aca="false">IF($P118=0,AX117,IF(AX$3=$E118,IF($AA118=1,$F118&amp;$AB118,$G118),IF(OR(AX$3=$D118,AX$3=$AC118,AX$3=$AE118),"",IF(AX$3=$AD118,$F118&amp;"R",AX117))))</f>
        <v/>
      </c>
      <c r="AY118" s="11" t="str">
        <f aca="false">IF($P118=0,AY117,IF(AY$3=$E118,IF($AA118=1,$F118&amp;$AB118,$G118),IF(OR(AY$3=$D118,AY$3=$AC118,AY$3=$AE118),"",IF(AY$3=$AD118,$F118&amp;"R",AY117))))</f>
        <v/>
      </c>
      <c r="AZ118" s="11" t="str">
        <f aca="false">IF($P118=0,AZ117,IF(AZ$3=$E118,IF($AA118=1,$F118&amp;$AB118,$G118),IF(OR(AZ$3=$D118,AZ$3=$AC118,AZ$3=$AE118),"",IF(AZ$3=$AD118,$F118&amp;"R",AZ117))))</f>
        <v/>
      </c>
      <c r="BA118" s="11" t="str">
        <f aca="false">IF($P118=0,BA117,IF(BA$3=$E118,IF($AA118=1,$F118&amp;$AB118,$G118),IF(OR(BA$3=$D118,BA$3=$AC118,BA$3=$AE118),"",IF(BA$3=$AD118,$F118&amp;"R",BA117))))</f>
        <v/>
      </c>
      <c r="BB118" s="11" t="str">
        <f aca="false">IF($P118=0,BB117,IF(BB$3=$E118,IF($AA118=1,$F118&amp;$AB118,$G118),IF(OR(BB$3=$D118,BB$3=$AC118,BB$3=$AE118),"",IF(BB$3=$AD118,$F118&amp;"R",BB117))))</f>
        <v/>
      </c>
      <c r="BC118" s="11" t="str">
        <f aca="false">IF($P118=0,BC117,IF(BC$3=$E118,IF($AA118=1,$F118&amp;$AB118,$G118),IF(OR(BC$3=$D118,BC$3=$AC118,BC$3=$AE118),"",IF(BC$3=$AD118,$F118&amp;"R",BC117))))</f>
        <v/>
      </c>
      <c r="BD118" s="11" t="str">
        <f aca="false">IF($P118=0,BD117,IF(BD$3=$E118,IF($AA118=1,$F118&amp;$AB118,$G118),IF(OR(BD$3=$D118,BD$3=$AC118,BD$3=$AE118),"",IF(BD$3=$AD118,$F118&amp;"R",BD117))))</f>
        <v/>
      </c>
      <c r="BE118" s="11" t="str">
        <f aca="false">IF($P118=0,BE117,IF(BE$3=$E118,IF($AA118=1,$F118&amp;$AB118,$G118),IF(OR(BE$3=$D118,BE$3=$AC118,BE$3=$AE118),"",IF(BE$3=$AD118,$F118&amp;"R",BE117))))</f>
        <v/>
      </c>
      <c r="BF118" s="11" t="str">
        <f aca="false">IF($P118=0,BF117,IF(BF$3=$E118,IF($AA118=1,$F118&amp;$AB118,$G118),IF(OR(BF$3=$D118,BF$3=$AC118,BF$3=$AE118),"",IF(BF$3=$AD118,$F118&amp;"R",BF117))))</f>
        <v/>
      </c>
      <c r="BG118" s="11" t="str">
        <f aca="false">IF($P118=0,BG117,IF(BG$3=$E118,IF($AA118=1,$F118&amp;$AB118,$G118),IF(OR(BG$3=$D118,BG$3=$AC118,BG$3=$AE118),"",IF(BG$3=$AD118,$F118&amp;"R",BG117))))</f>
        <v/>
      </c>
      <c r="BH118" s="11" t="str">
        <f aca="false">IF($P118=0,BH117,IF(BH$3=$E118,IF($AA118=1,$F118&amp;$AB118,$G118),IF(OR(BH$3=$D118,BH$3=$AC118,BH$3=$AE118),"",IF(BH$3=$AD118,$F118&amp;"R",BH117))))</f>
        <v/>
      </c>
      <c r="BI118" s="11" t="str">
        <f aca="false">IF($P118=0,BI117,IF(BI$3=$E118,IF($AA118=1,$F118&amp;$AB118,$G118),IF(OR(BI$3=$D118,BI$3=$AC118,BI$3=$AE118),"",IF(BI$3=$AD118,$F118&amp;"R",BI117))))</f>
        <v/>
      </c>
      <c r="BJ118" s="11" t="str">
        <f aca="false">IF($P118=0,BJ117,IF(BJ$3=$E118,IF($AA118=1,$F118&amp;$AB118,$G118),IF(OR(BJ$3=$D118,BJ$3=$AC118,BJ$3=$AE118),"",IF(BJ$3=$AD118,$F118&amp;"R",BJ117))))</f>
        <v/>
      </c>
      <c r="BK118" s="11" t="str">
        <f aca="false">IF($P118=0,BK117,IF(BK$3=$E118,IF($AA118=1,$F118&amp;$AB118,$G118),IF(OR(BK$3=$D118,BK$3=$AC118,BK$3=$AE118),"",IF(BK$3=$AD118,$F118&amp;"R",BK117))))</f>
        <v/>
      </c>
      <c r="BL118" s="11" t="str">
        <f aca="false">IF($P118=0,BL117,IF(BL$3=$E118,IF($AA118=1,$F118&amp;$AB118,$G118),IF(OR(BL$3=$D118,BL$3=$AC118,BL$3=$AE118),"",IF(BL$3=$AD118,$F118&amp;"R",BL117))))</f>
        <v/>
      </c>
      <c r="BM118" s="11" t="str">
        <f aca="false">IF($P118=0,BM117,IF(BM$3=$E118,IF($AA118=1,$F118&amp;$AB118,$G118),IF(OR(BM$3=$D118,BM$3=$AC118,BM$3=$AE118),"",IF(BM$3=$AD118,$F118&amp;"R",BM117))))</f>
        <v/>
      </c>
      <c r="BN118" s="11" t="str">
        <f aca="false">IF($P118=0,BN117,IF(BN$3=$E118,IF($AA118=1,$F118&amp;$AB118,$G118),IF(OR(BN$3=$D118,BN$3=$AC118,BN$3=$AE118),"",IF(BN$3=$AD118,$F118&amp;"R",BN117))))</f>
        <v/>
      </c>
      <c r="BO118" s="11" t="str">
        <f aca="false">IF($P118=0,BO117,IF(BO$3=$E118,IF($AA118=1,$F118&amp;$AB118,$G118),IF(OR(BO$3=$D118,BO$3=$AC118,BO$3=$AE118),"",IF(BO$3=$AD118,$F118&amp;"R",BO117))))</f>
        <v/>
      </c>
      <c r="BP118" s="11" t="str">
        <f aca="false">IF($P118=0,BP117,IF(BP$3=$E118,IF($AA118=1,$F118&amp;$AB118,$G118),IF(OR(BP$3=$D118,BP$3=$AC118,BP$3=$AE118),"",IF(BP$3=$AD118,$F118&amp;"R",BP117))))</f>
        <v/>
      </c>
      <c r="BQ118" s="11" t="str">
        <f aca="false">IF($P118=0,BQ117,IF(BQ$3=$E118,IF($AA118=1,$F118&amp;$AB118,$G118),IF(OR(BQ$3=$D118,BQ$3=$AC118,BQ$3=$AE118),"",IF(BQ$3=$AD118,$F118&amp;"R",BQ117))))</f>
        <v/>
      </c>
      <c r="BR118" s="11" t="str">
        <f aca="false">IF($P118=0,BR117,IF(BR$3=$E118,IF($AA118=1,$F118&amp;$AB118,$G118),IF(OR(BR$3=$D118,BR$3=$AC118,BR$3=$AE118),"",IF(BR$3=$AD118,$F118&amp;"R",BR117))))</f>
        <v/>
      </c>
      <c r="BS118" s="11" t="str">
        <f aca="false">IF($P118=0,BS117,IF(BS$3=$E118,IF($AA118=1,$F118&amp;$AB118,$G118),IF(OR(BS$3=$D118,BS$3=$AC118,BS$3=$AE118),"",IF(BS$3=$AD118,$F118&amp;"R",BS117))))</f>
        <v/>
      </c>
      <c r="BT118" s="11" t="str">
        <f aca="false">IF($P118=0,BT117,IF(BT$3=$E118,IF($AA118=1,$F118&amp;$AB118,$G118),IF(OR(BT$3=$D118,BT$3=$AC118,BT$3=$AE118),"",IF(BT$3=$AD118,$F118&amp;"R",BT117))))</f>
        <v/>
      </c>
      <c r="BU118" s="11" t="str">
        <f aca="false">IF($P118=0,BU117,IF(BU$3=$E118,IF($AA118=1,$F118&amp;$AB118,$G118),IF(OR(BU$3=$D118,BU$3=$AC118,BU$3=$AE118),"",IF(BU$3=$AD118,$F118&amp;"R",BU117))))</f>
        <v/>
      </c>
      <c r="BV118" s="11" t="str">
        <f aca="false">IF($P118=0,BV117,IF(BV$3=$E118,IF($AA118=1,$F118&amp;$AB118,$G118),IF(OR(BV$3=$D118,BV$3=$AC118,BV$3=$AE118),"",IF(BV$3=$AD118,$F118&amp;"R",BV117))))</f>
        <v/>
      </c>
      <c r="BW118" s="11" t="str">
        <f aca="false">IF($P118=0,BW117,IF(BW$3=$E118,IF($AA118=1,$F118&amp;$AB118,$G118),IF(OR(BW$3=$D118,BW$3=$AC118,BW$3=$AE118),"",IF(BW$3=$AD118,$F118&amp;"R",BW117))))</f>
        <v/>
      </c>
      <c r="BX118" s="11" t="str">
        <f aca="false">IF($P118=0,BX117,IF(BX$3=$E118,IF($AA118=1,$F118&amp;$AB118,$G118),IF(OR(BX$3=$D118,BX$3=$AC118,BX$3=$AE118),"",IF(BX$3=$AD118,$F118&amp;"R",BX117))))</f>
        <v/>
      </c>
      <c r="BY118" s="11" t="str">
        <f aca="false">IF($P118=0,BY117,IF(BY$3=$E118,IF($AA118=1,$F118&amp;$AB118,$G118),IF(OR(BY$3=$D118,BY$3=$AC118,BY$3=$AE118),"",IF(BY$3=$AD118,$F118&amp;"R",BY117))))</f>
        <v/>
      </c>
      <c r="BZ118" s="11" t="str">
        <f aca="false">IF($P118=0,BZ117,IF(BZ$3=$E118,IF($AA118=1,$F118&amp;$AB118,$G118),IF(OR(BZ$3=$D118,BZ$3=$AC118,BZ$3=$AE118),"",IF(BZ$3=$AD118,$F118&amp;"R",BZ117))))</f>
        <v/>
      </c>
      <c r="CA118" s="11" t="str">
        <f aca="false">IF($P118=0,CA117,IF(CA$3=$E118,IF($AA118=1,$F118&amp;$AB118,$G118),IF(OR(CA$3=$D118,CA$3=$AC118,CA$3=$AE118),"",IF(CA$3=$AD118,$F118&amp;"R",CA117))))</f>
        <v/>
      </c>
      <c r="CB118" s="11" t="str">
        <f aca="false">IF($P118=0,CB117,IF(CB$3=$E118,IF($AA118=1,$F118&amp;$AB118,$G118),IF(OR(CB$3=$D118,CB$3=$AC118,CB$3=$AE118),"",IF(CB$3=$AD118,$F118&amp;"R",CB117))))</f>
        <v/>
      </c>
      <c r="CC118" s="11" t="str">
        <f aca="false">IF($P118=0,CC117,IF(CC$3=$E118,IF($AA118=1,$F118&amp;$AB118,$G118),IF(OR(CC$3=$D118,CC$3=$AC118,CC$3=$AE118),"",IF(CC$3=$AD118,$F118&amp;"R",CC117))))</f>
        <v/>
      </c>
      <c r="CD118" s="11" t="str">
        <f aca="false">IF($P118=0,CD117,IF(CD$3=$E118,IF($AA118=1,$F118&amp;$AB118,$G118),IF(OR(CD$3=$D118,CD$3=$AC118,CD$3=$AE118),"",IF(CD$3=$AD118,$F118&amp;"R",CD117))))</f>
        <v>bP</v>
      </c>
      <c r="CE118" s="11" t="str">
        <f aca="false">IF($P118=0,CE117,IF(CE$3=$E118,IF($AA118=1,$F118&amp;$AB118,$G118),IF(OR(CE$3=$D118,CE$3=$AC118,CE$3=$AE118),"",IF(CE$3=$AD118,$F118&amp;"R",CE117))))</f>
        <v>bP</v>
      </c>
      <c r="CF118" s="11" t="str">
        <f aca="false">IF($P118=0,CF117,IF(CF$3=$E118,IF($AA118=1,$F118&amp;$AB118,$G118),IF(OR(CF$3=$D118,CF$3=$AC118,CF$3=$AE118),"",IF(CF$3=$AD118,$F118&amp;"R",CF117))))</f>
        <v>bP</v>
      </c>
      <c r="CG118" s="11" t="str">
        <f aca="false">IF($P118=0,CG117,IF(CG$3=$E118,IF($AA118=1,$F118&amp;$AB118,$G118),IF(OR(CG$3=$D118,CG$3=$AC118,CG$3=$AE118),"",IF(CG$3=$AD118,$F118&amp;"R",CG117))))</f>
        <v>bP</v>
      </c>
      <c r="CH118" s="11" t="str">
        <f aca="false">IF($P118=0,CH117,IF(CH$3=$E118,IF($AA118=1,$F118&amp;$AB118,$G118),IF(OR(CH$3=$D118,CH$3=$AC118,CH$3=$AE118),"",IF(CH$3=$AD118,$F118&amp;"R",CH117))))</f>
        <v>bP</v>
      </c>
      <c r="CI118" s="11" t="str">
        <f aca="false">IF($P118=0,CI117,IF(CI$3=$E118,IF($AA118=1,$F118&amp;$AB118,$G118),IF(OR(CI$3=$D118,CI$3=$AC118,CI$3=$AE118),"",IF(CI$3=$AD118,$F118&amp;"R",CI117))))</f>
        <v>bP</v>
      </c>
      <c r="CJ118" s="11" t="str">
        <f aca="false">IF($P118=0,CJ117,IF(CJ$3=$E118,IF($AA118=1,$F118&amp;$AB118,$G118),IF(OR(CJ$3=$D118,CJ$3=$AC118,CJ$3=$AE118),"",IF(CJ$3=$AD118,$F118&amp;"R",CJ117))))</f>
        <v>bP</v>
      </c>
      <c r="CK118" s="11" t="str">
        <f aca="false">IF($P118=0,CK117,IF(CK$3=$E118,IF($AA118=1,$F118&amp;$AB118,$G118),IF(OR(CK$3=$D118,CK$3=$AC118,CK$3=$AE118),"",IF(CK$3=$AD118,$F118&amp;"R",CK117))))</f>
        <v>bP</v>
      </c>
      <c r="CL118" s="11" t="str">
        <f aca="false">IF($P118=0,CL117,IF(CL$3=$E118,IF($AA118=1,$F118&amp;$AB118,$G118),IF(OR(CL$3=$D118,CL$3=$AC118,CL$3=$AE118),"",IF(CL$3=$AD118,$F118&amp;"R",CL117))))</f>
        <v>bR</v>
      </c>
      <c r="CM118" s="11" t="str">
        <f aca="false">IF($P118=0,CM117,IF(CM$3=$E118,IF($AA118=1,$F118&amp;$AB118,$G118),IF(OR(CM$3=$D118,CM$3=$AC118,CM$3=$AE118),"",IF(CM$3=$AD118,$F118&amp;"R",CM117))))</f>
        <v>bN</v>
      </c>
      <c r="CN118" s="11" t="str">
        <f aca="false">IF($P118=0,CN117,IF(CN$3=$E118,IF($AA118=1,$F118&amp;$AB118,$G118),IF(OR(CN$3=$D118,CN$3=$AC118,CN$3=$AE118),"",IF(CN$3=$AD118,$F118&amp;"R",CN117))))</f>
        <v>bB</v>
      </c>
      <c r="CO118" s="11" t="str">
        <f aca="false">IF($P118=0,CO117,IF(CO$3=$E118,IF($AA118=1,$F118&amp;$AB118,$G118),IF(OR(CO$3=$D118,CO$3=$AC118,CO$3=$AE118),"",IF(CO$3=$AD118,$F118&amp;"R",CO117))))</f>
        <v>bQ</v>
      </c>
      <c r="CP118" s="11" t="str">
        <f aca="false">IF($P118=0,CP117,IF(CP$3=$E118,IF($AA118=1,$F118&amp;$AB118,$G118),IF(OR(CP$3=$D118,CP$3=$AC118,CP$3=$AE118),"",IF(CP$3=$AD118,$F118&amp;"R",CP117))))</f>
        <v>bK</v>
      </c>
      <c r="CQ118" s="11" t="str">
        <f aca="false">IF($P118=0,CQ117,IF(CQ$3=$E118,IF($AA118=1,$F118&amp;$AB118,$G118),IF(OR(CQ$3=$D118,CQ$3=$AC118,CQ$3=$AE118),"",IF(CQ$3=$AD118,$F118&amp;"R",CQ117))))</f>
        <v>bB</v>
      </c>
      <c r="CR118" s="11" t="str">
        <f aca="false">IF($P118=0,CR117,IF(CR$3=$E118,IF($AA118=1,$F118&amp;$AB118,$G118),IF(OR(CR$3=$D118,CR$3=$AC118,CR$3=$AE118),"",IF(CR$3=$AD118,$F118&amp;"R",CR117))))</f>
        <v>bN</v>
      </c>
      <c r="CS118" s="11" t="str">
        <f aca="false">IF($P118=0,CS117,IF(CS$3=$E118,IF($AA118=1,$F118&amp;$AB118,$G118),IF(OR(CS$3=$D118,CS$3=$AC118,CS$3=$AE118),"",IF(CS$3=$AD118,$F118&amp;"R",CS117))))</f>
        <v>bR</v>
      </c>
      <c r="CT118" s="11"/>
      <c r="CU118" s="11"/>
      <c r="CV118" s="11"/>
    </row>
    <row r="119" customFormat="false" ht="15" hidden="false" customHeight="false" outlineLevel="0" collapsed="false">
      <c r="A119" s="11" t="n">
        <v>114</v>
      </c>
      <c r="B119" s="11" t="str">
        <f aca="false">IF(Chess!$L$123="","",Chess!$L$123&amp;"")</f>
        <v/>
      </c>
      <c r="C119" s="11" t="str">
        <f aca="false">LOWER(SUBSTITUTE(SUBSTITUTE(SUBSTITUTE(SUBSTITUTE(TRIM($B119),"-",""),"=","")," ",""),"x",""))</f>
        <v/>
      </c>
      <c r="D119" s="11" t="n">
        <f aca="false">IF(LEN($C119)&lt;4,0,IFERROR(IF(AND(CODE(MID($C119,1,1))&gt;=97,CODE(MID($C119,1,1))&lt;=104,VALUE(MID($C119,2,1))&gt;=1,VALUE(MID($C119,2,1))&lt;=8),(VALUE(MID($C119,2,1))-1)*8+CODE(MID($C119,1,1))-96,0),0))</f>
        <v>0</v>
      </c>
      <c r="E119" s="11" t="n">
        <f aca="false">IF(LEN($C119)&lt;4,0,IFERROR(IF(AND(CODE(MID($C119,3,1))&gt;=97,CODE(MID($C119,3,1))&lt;=104,VALUE(MID($C119,4,1))&gt;=1,VALUE(MID($C119,4,1))&lt;=8),(VALUE(MID($C119,4,1))-1)*8+CODE(MID($C119,3,1))-96,0),0))</f>
        <v>0</v>
      </c>
      <c r="F119" s="11" t="str">
        <f aca="false">IF(MOD(SUM($P$5:$P118),2)=0,"w","b")</f>
        <v>w</v>
      </c>
      <c r="G119" s="11" t="str">
        <f aca="false">IF($D119=0,"",INDEX($AH118:$CS118,1,$D119)&amp;"")</f>
        <v/>
      </c>
      <c r="H119" s="11" t="str">
        <f aca="false">IF($E119=0,"",INDEX($AH118:$CS118,1,$E119)&amp;"")</f>
        <v/>
      </c>
      <c r="I119" s="11" t="n">
        <f aca="false">IF(OR($D119=0,$E119=0),0,MOD($E119-1,8)-MOD($D119-1,8))</f>
        <v>0</v>
      </c>
      <c r="J119" s="11" t="n">
        <f aca="false">IF(OR($D119=0,$E119=0),0,INT(($E119-1)/8)-INT(($D119-1)/8))</f>
        <v>0</v>
      </c>
      <c r="K119" s="11" t="str">
        <f aca="false">IF($G119="","",RIGHT($G119,1))</f>
        <v/>
      </c>
      <c r="L119" s="11" t="n">
        <f aca="false">IF(OR($D119=0,$E119=0),0,SUMPRODUCT(($AH$3:$CS$3&gt;MIN($D119,$E119))*($AH$3:$CS$3&lt;MAX($D119,$E119))*(MOD($AH$3:$CS$3-MIN($D119,$E119),MAX(1,ABS(SIGN($J119)*8+SIGN($I119))))=0)*($AH118:$CS118&lt;&gt;"")))</f>
        <v>0</v>
      </c>
      <c r="M119" s="11" t="n">
        <f aca="false">IF($K119&lt;&gt;"K",0,IFERROR(--AND($J119=0,ABS($I119)=2,$D119=IF($F119="w",5,61),IF($F119="w",$S118,$V118)=0,IF($I119=2,AND(IF($F119="w",$U118,$X118)=0,INDEX($AH118:$CS118,1,$D119+1)&amp;""="",INDEX($AH118:$CS118,1,$D119+2)&amp;""=""),AND(IF($F119="w",$T118,$W118)=0,INDEX($AH118:$CS118,1,$D119-1)&amp;""="",INDEX($AH118:$CS118,1,$D119-2)&amp;""="",INDEX($AH118:$CS118,1,$D119-3)&amp;""=""))),0))</f>
        <v>0</v>
      </c>
      <c r="N119" s="11" t="n">
        <f aca="false">IF($K119&lt;&gt;"P",0,IFERROR(--OR(AND($I119=0,$J119=IF($F119="w",1,-1),$H119=""),AND($I119=0,$J119=2*IF($F119="w",1,-1),$H119="",INT(($D119-1)/8)=IF($F119="w",1,6),INDEX($AH118:$CS118,1,MAX(1,MIN(64,$D119+8*IF($F119="w",1,-1))))&amp;""=""),AND(ABS($I119)=1,$J119=IF($F119="w",1,-1),$H119&lt;&gt;""),AND(ABS($I119)=1,$J119=IF($F119="w",1,-1),$H119="",$R118&gt;0,$E119=$R118)),0))</f>
        <v>0</v>
      </c>
      <c r="O119" s="11" t="n">
        <f aca="false">IF(OR($D119=0,$E119=0,$G119=""),0,IF($K119="N",--OR(AND(ABS($I119)=1,ABS($J119)=2),AND(ABS($I119)=2,ABS($J119)=1)),IF($K119="B",--AND(ABS($I119)=ABS($J119),$I119&lt;&gt;0,$L119=0),IF($K119="R",--AND(OR($I119=0,$J119=0),OR($I119&lt;&gt;0,$J119&lt;&gt;0),$L119=0),IF($K119="Q",--AND(OR(AND(ABS($I119)=ABS($J119),$I119&lt;&gt;0),AND(OR($I119=0,$J119=0),OR($I119&lt;&gt;0,$J119&lt;&gt;0))),$L119=0),IF($K119="K",--OR(MAX(ABS($I119),ABS($J119))=1,$M119=1),$N119))))))</f>
        <v>0</v>
      </c>
      <c r="P119" s="11" t="n">
        <f aca="false">IF($Q119="OK",1,0)</f>
        <v>0</v>
      </c>
      <c r="Q119" s="11" t="str">
        <f aca="false">IF($B119="","",IF(OR(COUNTIF($AH118:$CS118,"wK")=0,COUNTIF($AH118:$CS118,"bK")=0),"Game is over",IF(OR($D119=0,$E119=0),"Use the format e2e4",IF($G119="","No piece on that square",IF(LEFT($G119,1)&lt;&gt;$F119,"Not your piece ("&amp;IF($F119="w","White","Black")&amp;" to move)",IF($D119=$E119,"Piece must move",IF(AND($H119&lt;&gt;"",LEFT($H119,1)=$F119),"Cannot capture your own piece",IF($O119=0,"Illegal move for that piece (or path blocked)","OK"))))))))</f>
        <v/>
      </c>
      <c r="R119" s="11" t="n">
        <f aca="false">IF($P119=1,IF(AND($K119="P",ABS($J119)=2),($D119+$E119)/2,0),$R118)</f>
        <v>0</v>
      </c>
      <c r="S119" s="12" t="b">
        <f aca="false">--OR($S118=1,AND($P119=1,OR($D119=5,$E119=5)))</f>
        <v>0</v>
      </c>
      <c r="T119" s="12" t="b">
        <f aca="false">--OR($T118=1,AND($P119=1,OR($D119=1,$E119=1)))</f>
        <v>0</v>
      </c>
      <c r="U119" s="12" t="b">
        <f aca="false">--OR($U118=1,AND($P119=1,OR($D119=8,$E119=8)))</f>
        <v>0</v>
      </c>
      <c r="V119" s="12" t="b">
        <f aca="false">--OR($V118=1,AND($P119=1,OR($D119=61,$E119=61)))</f>
        <v>0</v>
      </c>
      <c r="W119" s="12" t="b">
        <f aca="false">--OR($W118=1,AND($P119=1,OR($D119=57,$E119=57)))</f>
        <v>0</v>
      </c>
      <c r="X119" s="12" t="b">
        <f aca="false">--OR($X118=1,AND($P119=1,OR($D119=64,$E119=64)))</f>
        <v>0</v>
      </c>
      <c r="Y119" s="12" t="b">
        <f aca="false">--AND($P119=1,$K119="K",ABS($I119)=2)</f>
        <v>0</v>
      </c>
      <c r="Z119" s="12" t="b">
        <f aca="false">--AND($P119=1,$K119="P",ABS($I119)=1,$H119="")</f>
        <v>0</v>
      </c>
      <c r="AA119" s="12" t="b">
        <f aca="false">--AND($P119=1,$K119="P",INT(($E119-1)/8)=IF($F119="w",7,0))</f>
        <v>0</v>
      </c>
      <c r="AB119" s="11" t="str">
        <f aca="false">IF(LEN($C119)&gt;=5,IF(ISNUMBER(FIND(MID($C119,5,1),"qrbn")),UPPER(MID($C119,5,1)),"Q"),"Q")</f>
        <v>Q</v>
      </c>
      <c r="AC119" s="11" t="n">
        <f aca="false">IF($Y119=1,IF($I119=2,$D119+3,$D119-4),0)</f>
        <v>0</v>
      </c>
      <c r="AD119" s="11" t="n">
        <f aca="false">IF($Y119=1,IF($I119=2,$D119+1,$D119-1),0)</f>
        <v>0</v>
      </c>
      <c r="AE119" s="11" t="n">
        <f aca="false">IF($Z119=1,$E119-8*IF($F119="w",1,-1),0)</f>
        <v>0</v>
      </c>
      <c r="AF119" s="11" t="str">
        <f aca="false">IF($B119="","",IF($P119=1,LOWER(INDEX($CV$2:$CV$13,MATCH($G119,$CU$2:$CU$13,0)))&amp;" "&amp;MID("abcdefgh",MOD($D119-1,8)+1,1)&amp;(INT(($D119-1)/8)+1)&amp;"→"&amp;MID("abcdefgh",MOD($E119-1,8)+1,1)&amp;(INT(($E119-1)/8)+1)&amp;IF(OR($H119&lt;&gt;"",$Z119=1)," ×","")&amp;IF($Y119=1," castles","")&amp;IF($Z119=1," e.p.","")&amp;IF($AA119=1," =" &amp;LOWER(INDEX($CV$2:$CV$13,MATCH($F119&amp;$AB119,$CU$2:$CU$13,0))),""),"X "&amp;$Q119))</f>
        <v/>
      </c>
      <c r="AG119" s="11"/>
      <c r="AH119" s="11" t="str">
        <f aca="false">IF($P119=0,AH118,IF(AH$3=$E119,IF($AA119=1,$F119&amp;$AB119,$G119),IF(OR(AH$3=$D119,AH$3=$AC119,AH$3=$AE119),"",IF(AH$3=$AD119,$F119&amp;"R",AH118))))</f>
        <v>wR</v>
      </c>
      <c r="AI119" s="11" t="str">
        <f aca="false">IF($P119=0,AI118,IF(AI$3=$E119,IF($AA119=1,$F119&amp;$AB119,$G119),IF(OR(AI$3=$D119,AI$3=$AC119,AI$3=$AE119),"",IF(AI$3=$AD119,$F119&amp;"R",AI118))))</f>
        <v>wN</v>
      </c>
      <c r="AJ119" s="11" t="str">
        <f aca="false">IF($P119=0,AJ118,IF(AJ$3=$E119,IF($AA119=1,$F119&amp;$AB119,$G119),IF(OR(AJ$3=$D119,AJ$3=$AC119,AJ$3=$AE119),"",IF(AJ$3=$AD119,$F119&amp;"R",AJ118))))</f>
        <v>wB</v>
      </c>
      <c r="AK119" s="11" t="str">
        <f aca="false">IF($P119=0,AK118,IF(AK$3=$E119,IF($AA119=1,$F119&amp;$AB119,$G119),IF(OR(AK$3=$D119,AK$3=$AC119,AK$3=$AE119),"",IF(AK$3=$AD119,$F119&amp;"R",AK118))))</f>
        <v>wQ</v>
      </c>
      <c r="AL119" s="11" t="str">
        <f aca="false">IF($P119=0,AL118,IF(AL$3=$E119,IF($AA119=1,$F119&amp;$AB119,$G119),IF(OR(AL$3=$D119,AL$3=$AC119,AL$3=$AE119),"",IF(AL$3=$AD119,$F119&amp;"R",AL118))))</f>
        <v>wK</v>
      </c>
      <c r="AM119" s="11" t="str">
        <f aca="false">IF($P119=0,AM118,IF(AM$3=$E119,IF($AA119=1,$F119&amp;$AB119,$G119),IF(OR(AM$3=$D119,AM$3=$AC119,AM$3=$AE119),"",IF(AM$3=$AD119,$F119&amp;"R",AM118))))</f>
        <v>wB</v>
      </c>
      <c r="AN119" s="11" t="str">
        <f aca="false">IF($P119=0,AN118,IF(AN$3=$E119,IF($AA119=1,$F119&amp;$AB119,$G119),IF(OR(AN$3=$D119,AN$3=$AC119,AN$3=$AE119),"",IF(AN$3=$AD119,$F119&amp;"R",AN118))))</f>
        <v>wN</v>
      </c>
      <c r="AO119" s="11" t="str">
        <f aca="false">IF($P119=0,AO118,IF(AO$3=$E119,IF($AA119=1,$F119&amp;$AB119,$G119),IF(OR(AO$3=$D119,AO$3=$AC119,AO$3=$AE119),"",IF(AO$3=$AD119,$F119&amp;"R",AO118))))</f>
        <v>wR</v>
      </c>
      <c r="AP119" s="11" t="str">
        <f aca="false">IF($P119=0,AP118,IF(AP$3=$E119,IF($AA119=1,$F119&amp;$AB119,$G119),IF(OR(AP$3=$D119,AP$3=$AC119,AP$3=$AE119),"",IF(AP$3=$AD119,$F119&amp;"R",AP118))))</f>
        <v>wP</v>
      </c>
      <c r="AQ119" s="11" t="str">
        <f aca="false">IF($P119=0,AQ118,IF(AQ$3=$E119,IF($AA119=1,$F119&amp;$AB119,$G119),IF(OR(AQ$3=$D119,AQ$3=$AC119,AQ$3=$AE119),"",IF(AQ$3=$AD119,$F119&amp;"R",AQ118))))</f>
        <v>wP</v>
      </c>
      <c r="AR119" s="11" t="str">
        <f aca="false">IF($P119=0,AR118,IF(AR$3=$E119,IF($AA119=1,$F119&amp;$AB119,$G119),IF(OR(AR$3=$D119,AR$3=$AC119,AR$3=$AE119),"",IF(AR$3=$AD119,$F119&amp;"R",AR118))))</f>
        <v>wP</v>
      </c>
      <c r="AS119" s="11" t="str">
        <f aca="false">IF($P119=0,AS118,IF(AS$3=$E119,IF($AA119=1,$F119&amp;$AB119,$G119),IF(OR(AS$3=$D119,AS$3=$AC119,AS$3=$AE119),"",IF(AS$3=$AD119,$F119&amp;"R",AS118))))</f>
        <v>wP</v>
      </c>
      <c r="AT119" s="11" t="str">
        <f aca="false">IF($P119=0,AT118,IF(AT$3=$E119,IF($AA119=1,$F119&amp;$AB119,$G119),IF(OR(AT$3=$D119,AT$3=$AC119,AT$3=$AE119),"",IF(AT$3=$AD119,$F119&amp;"R",AT118))))</f>
        <v>wP</v>
      </c>
      <c r="AU119" s="11" t="str">
        <f aca="false">IF($P119=0,AU118,IF(AU$3=$E119,IF($AA119=1,$F119&amp;$AB119,$G119),IF(OR(AU$3=$D119,AU$3=$AC119,AU$3=$AE119),"",IF(AU$3=$AD119,$F119&amp;"R",AU118))))</f>
        <v>wP</v>
      </c>
      <c r="AV119" s="11" t="str">
        <f aca="false">IF($P119=0,AV118,IF(AV$3=$E119,IF($AA119=1,$F119&amp;$AB119,$G119),IF(OR(AV$3=$D119,AV$3=$AC119,AV$3=$AE119),"",IF(AV$3=$AD119,$F119&amp;"R",AV118))))</f>
        <v>wP</v>
      </c>
      <c r="AW119" s="11" t="str">
        <f aca="false">IF($P119=0,AW118,IF(AW$3=$E119,IF($AA119=1,$F119&amp;$AB119,$G119),IF(OR(AW$3=$D119,AW$3=$AC119,AW$3=$AE119),"",IF(AW$3=$AD119,$F119&amp;"R",AW118))))</f>
        <v>wP</v>
      </c>
      <c r="AX119" s="11" t="str">
        <f aca="false">IF($P119=0,AX118,IF(AX$3=$E119,IF($AA119=1,$F119&amp;$AB119,$G119),IF(OR(AX$3=$D119,AX$3=$AC119,AX$3=$AE119),"",IF(AX$3=$AD119,$F119&amp;"R",AX118))))</f>
        <v/>
      </c>
      <c r="AY119" s="11" t="str">
        <f aca="false">IF($P119=0,AY118,IF(AY$3=$E119,IF($AA119=1,$F119&amp;$AB119,$G119),IF(OR(AY$3=$D119,AY$3=$AC119,AY$3=$AE119),"",IF(AY$3=$AD119,$F119&amp;"R",AY118))))</f>
        <v/>
      </c>
      <c r="AZ119" s="11" t="str">
        <f aca="false">IF($P119=0,AZ118,IF(AZ$3=$E119,IF($AA119=1,$F119&amp;$AB119,$G119),IF(OR(AZ$3=$D119,AZ$3=$AC119,AZ$3=$AE119),"",IF(AZ$3=$AD119,$F119&amp;"R",AZ118))))</f>
        <v/>
      </c>
      <c r="BA119" s="11" t="str">
        <f aca="false">IF($P119=0,BA118,IF(BA$3=$E119,IF($AA119=1,$F119&amp;$AB119,$G119),IF(OR(BA$3=$D119,BA$3=$AC119,BA$3=$AE119),"",IF(BA$3=$AD119,$F119&amp;"R",BA118))))</f>
        <v/>
      </c>
      <c r="BB119" s="11" t="str">
        <f aca="false">IF($P119=0,BB118,IF(BB$3=$E119,IF($AA119=1,$F119&amp;$AB119,$G119),IF(OR(BB$3=$D119,BB$3=$AC119,BB$3=$AE119),"",IF(BB$3=$AD119,$F119&amp;"R",BB118))))</f>
        <v/>
      </c>
      <c r="BC119" s="11" t="str">
        <f aca="false">IF($P119=0,BC118,IF(BC$3=$E119,IF($AA119=1,$F119&amp;$AB119,$G119),IF(OR(BC$3=$D119,BC$3=$AC119,BC$3=$AE119),"",IF(BC$3=$AD119,$F119&amp;"R",BC118))))</f>
        <v/>
      </c>
      <c r="BD119" s="11" t="str">
        <f aca="false">IF($P119=0,BD118,IF(BD$3=$E119,IF($AA119=1,$F119&amp;$AB119,$G119),IF(OR(BD$3=$D119,BD$3=$AC119,BD$3=$AE119),"",IF(BD$3=$AD119,$F119&amp;"R",BD118))))</f>
        <v/>
      </c>
      <c r="BE119" s="11" t="str">
        <f aca="false">IF($P119=0,BE118,IF(BE$3=$E119,IF($AA119=1,$F119&amp;$AB119,$G119),IF(OR(BE$3=$D119,BE$3=$AC119,BE$3=$AE119),"",IF(BE$3=$AD119,$F119&amp;"R",BE118))))</f>
        <v/>
      </c>
      <c r="BF119" s="11" t="str">
        <f aca="false">IF($P119=0,BF118,IF(BF$3=$E119,IF($AA119=1,$F119&amp;$AB119,$G119),IF(OR(BF$3=$D119,BF$3=$AC119,BF$3=$AE119),"",IF(BF$3=$AD119,$F119&amp;"R",BF118))))</f>
        <v/>
      </c>
      <c r="BG119" s="11" t="str">
        <f aca="false">IF($P119=0,BG118,IF(BG$3=$E119,IF($AA119=1,$F119&amp;$AB119,$G119),IF(OR(BG$3=$D119,BG$3=$AC119,BG$3=$AE119),"",IF(BG$3=$AD119,$F119&amp;"R",BG118))))</f>
        <v/>
      </c>
      <c r="BH119" s="11" t="str">
        <f aca="false">IF($P119=0,BH118,IF(BH$3=$E119,IF($AA119=1,$F119&amp;$AB119,$G119),IF(OR(BH$3=$D119,BH$3=$AC119,BH$3=$AE119),"",IF(BH$3=$AD119,$F119&amp;"R",BH118))))</f>
        <v/>
      </c>
      <c r="BI119" s="11" t="str">
        <f aca="false">IF($P119=0,BI118,IF(BI$3=$E119,IF($AA119=1,$F119&amp;$AB119,$G119),IF(OR(BI$3=$D119,BI$3=$AC119,BI$3=$AE119),"",IF(BI$3=$AD119,$F119&amp;"R",BI118))))</f>
        <v/>
      </c>
      <c r="BJ119" s="11" t="str">
        <f aca="false">IF($P119=0,BJ118,IF(BJ$3=$E119,IF($AA119=1,$F119&amp;$AB119,$G119),IF(OR(BJ$3=$D119,BJ$3=$AC119,BJ$3=$AE119),"",IF(BJ$3=$AD119,$F119&amp;"R",BJ118))))</f>
        <v/>
      </c>
      <c r="BK119" s="11" t="str">
        <f aca="false">IF($P119=0,BK118,IF(BK$3=$E119,IF($AA119=1,$F119&amp;$AB119,$G119),IF(OR(BK$3=$D119,BK$3=$AC119,BK$3=$AE119),"",IF(BK$3=$AD119,$F119&amp;"R",BK118))))</f>
        <v/>
      </c>
      <c r="BL119" s="11" t="str">
        <f aca="false">IF($P119=0,BL118,IF(BL$3=$E119,IF($AA119=1,$F119&amp;$AB119,$G119),IF(OR(BL$3=$D119,BL$3=$AC119,BL$3=$AE119),"",IF(BL$3=$AD119,$F119&amp;"R",BL118))))</f>
        <v/>
      </c>
      <c r="BM119" s="11" t="str">
        <f aca="false">IF($P119=0,BM118,IF(BM$3=$E119,IF($AA119=1,$F119&amp;$AB119,$G119),IF(OR(BM$3=$D119,BM$3=$AC119,BM$3=$AE119),"",IF(BM$3=$AD119,$F119&amp;"R",BM118))))</f>
        <v/>
      </c>
      <c r="BN119" s="11" t="str">
        <f aca="false">IF($P119=0,BN118,IF(BN$3=$E119,IF($AA119=1,$F119&amp;$AB119,$G119),IF(OR(BN$3=$D119,BN$3=$AC119,BN$3=$AE119),"",IF(BN$3=$AD119,$F119&amp;"R",BN118))))</f>
        <v/>
      </c>
      <c r="BO119" s="11" t="str">
        <f aca="false">IF($P119=0,BO118,IF(BO$3=$E119,IF($AA119=1,$F119&amp;$AB119,$G119),IF(OR(BO$3=$D119,BO$3=$AC119,BO$3=$AE119),"",IF(BO$3=$AD119,$F119&amp;"R",BO118))))</f>
        <v/>
      </c>
      <c r="BP119" s="11" t="str">
        <f aca="false">IF($P119=0,BP118,IF(BP$3=$E119,IF($AA119=1,$F119&amp;$AB119,$G119),IF(OR(BP$3=$D119,BP$3=$AC119,BP$3=$AE119),"",IF(BP$3=$AD119,$F119&amp;"R",BP118))))</f>
        <v/>
      </c>
      <c r="BQ119" s="11" t="str">
        <f aca="false">IF($P119=0,BQ118,IF(BQ$3=$E119,IF($AA119=1,$F119&amp;$AB119,$G119),IF(OR(BQ$3=$D119,BQ$3=$AC119,BQ$3=$AE119),"",IF(BQ$3=$AD119,$F119&amp;"R",BQ118))))</f>
        <v/>
      </c>
      <c r="BR119" s="11" t="str">
        <f aca="false">IF($P119=0,BR118,IF(BR$3=$E119,IF($AA119=1,$F119&amp;$AB119,$G119),IF(OR(BR$3=$D119,BR$3=$AC119,BR$3=$AE119),"",IF(BR$3=$AD119,$F119&amp;"R",BR118))))</f>
        <v/>
      </c>
      <c r="BS119" s="11" t="str">
        <f aca="false">IF($P119=0,BS118,IF(BS$3=$E119,IF($AA119=1,$F119&amp;$AB119,$G119),IF(OR(BS$3=$D119,BS$3=$AC119,BS$3=$AE119),"",IF(BS$3=$AD119,$F119&amp;"R",BS118))))</f>
        <v/>
      </c>
      <c r="BT119" s="11" t="str">
        <f aca="false">IF($P119=0,BT118,IF(BT$3=$E119,IF($AA119=1,$F119&amp;$AB119,$G119),IF(OR(BT$3=$D119,BT$3=$AC119,BT$3=$AE119),"",IF(BT$3=$AD119,$F119&amp;"R",BT118))))</f>
        <v/>
      </c>
      <c r="BU119" s="11" t="str">
        <f aca="false">IF($P119=0,BU118,IF(BU$3=$E119,IF($AA119=1,$F119&amp;$AB119,$G119),IF(OR(BU$3=$D119,BU$3=$AC119,BU$3=$AE119),"",IF(BU$3=$AD119,$F119&amp;"R",BU118))))</f>
        <v/>
      </c>
      <c r="BV119" s="11" t="str">
        <f aca="false">IF($P119=0,BV118,IF(BV$3=$E119,IF($AA119=1,$F119&amp;$AB119,$G119),IF(OR(BV$3=$D119,BV$3=$AC119,BV$3=$AE119),"",IF(BV$3=$AD119,$F119&amp;"R",BV118))))</f>
        <v/>
      </c>
      <c r="BW119" s="11" t="str">
        <f aca="false">IF($P119=0,BW118,IF(BW$3=$E119,IF($AA119=1,$F119&amp;$AB119,$G119),IF(OR(BW$3=$D119,BW$3=$AC119,BW$3=$AE119),"",IF(BW$3=$AD119,$F119&amp;"R",BW118))))</f>
        <v/>
      </c>
      <c r="BX119" s="11" t="str">
        <f aca="false">IF($P119=0,BX118,IF(BX$3=$E119,IF($AA119=1,$F119&amp;$AB119,$G119),IF(OR(BX$3=$D119,BX$3=$AC119,BX$3=$AE119),"",IF(BX$3=$AD119,$F119&amp;"R",BX118))))</f>
        <v/>
      </c>
      <c r="BY119" s="11" t="str">
        <f aca="false">IF($P119=0,BY118,IF(BY$3=$E119,IF($AA119=1,$F119&amp;$AB119,$G119),IF(OR(BY$3=$D119,BY$3=$AC119,BY$3=$AE119),"",IF(BY$3=$AD119,$F119&amp;"R",BY118))))</f>
        <v/>
      </c>
      <c r="BZ119" s="11" t="str">
        <f aca="false">IF($P119=0,BZ118,IF(BZ$3=$E119,IF($AA119=1,$F119&amp;$AB119,$G119),IF(OR(BZ$3=$D119,BZ$3=$AC119,BZ$3=$AE119),"",IF(BZ$3=$AD119,$F119&amp;"R",BZ118))))</f>
        <v/>
      </c>
      <c r="CA119" s="11" t="str">
        <f aca="false">IF($P119=0,CA118,IF(CA$3=$E119,IF($AA119=1,$F119&amp;$AB119,$G119),IF(OR(CA$3=$D119,CA$3=$AC119,CA$3=$AE119),"",IF(CA$3=$AD119,$F119&amp;"R",CA118))))</f>
        <v/>
      </c>
      <c r="CB119" s="11" t="str">
        <f aca="false">IF($P119=0,CB118,IF(CB$3=$E119,IF($AA119=1,$F119&amp;$AB119,$G119),IF(OR(CB$3=$D119,CB$3=$AC119,CB$3=$AE119),"",IF(CB$3=$AD119,$F119&amp;"R",CB118))))</f>
        <v/>
      </c>
      <c r="CC119" s="11" t="str">
        <f aca="false">IF($P119=0,CC118,IF(CC$3=$E119,IF($AA119=1,$F119&amp;$AB119,$G119),IF(OR(CC$3=$D119,CC$3=$AC119,CC$3=$AE119),"",IF(CC$3=$AD119,$F119&amp;"R",CC118))))</f>
        <v/>
      </c>
      <c r="CD119" s="11" t="str">
        <f aca="false">IF($P119=0,CD118,IF(CD$3=$E119,IF($AA119=1,$F119&amp;$AB119,$G119),IF(OR(CD$3=$D119,CD$3=$AC119,CD$3=$AE119),"",IF(CD$3=$AD119,$F119&amp;"R",CD118))))</f>
        <v>bP</v>
      </c>
      <c r="CE119" s="11" t="str">
        <f aca="false">IF($P119=0,CE118,IF(CE$3=$E119,IF($AA119=1,$F119&amp;$AB119,$G119),IF(OR(CE$3=$D119,CE$3=$AC119,CE$3=$AE119),"",IF(CE$3=$AD119,$F119&amp;"R",CE118))))</f>
        <v>bP</v>
      </c>
      <c r="CF119" s="11" t="str">
        <f aca="false">IF($P119=0,CF118,IF(CF$3=$E119,IF($AA119=1,$F119&amp;$AB119,$G119),IF(OR(CF$3=$D119,CF$3=$AC119,CF$3=$AE119),"",IF(CF$3=$AD119,$F119&amp;"R",CF118))))</f>
        <v>bP</v>
      </c>
      <c r="CG119" s="11" t="str">
        <f aca="false">IF($P119=0,CG118,IF(CG$3=$E119,IF($AA119=1,$F119&amp;$AB119,$G119),IF(OR(CG$3=$D119,CG$3=$AC119,CG$3=$AE119),"",IF(CG$3=$AD119,$F119&amp;"R",CG118))))</f>
        <v>bP</v>
      </c>
      <c r="CH119" s="11" t="str">
        <f aca="false">IF($P119=0,CH118,IF(CH$3=$E119,IF($AA119=1,$F119&amp;$AB119,$G119),IF(OR(CH$3=$D119,CH$3=$AC119,CH$3=$AE119),"",IF(CH$3=$AD119,$F119&amp;"R",CH118))))</f>
        <v>bP</v>
      </c>
      <c r="CI119" s="11" t="str">
        <f aca="false">IF($P119=0,CI118,IF(CI$3=$E119,IF($AA119=1,$F119&amp;$AB119,$G119),IF(OR(CI$3=$D119,CI$3=$AC119,CI$3=$AE119),"",IF(CI$3=$AD119,$F119&amp;"R",CI118))))</f>
        <v>bP</v>
      </c>
      <c r="CJ119" s="11" t="str">
        <f aca="false">IF($P119=0,CJ118,IF(CJ$3=$E119,IF($AA119=1,$F119&amp;$AB119,$G119),IF(OR(CJ$3=$D119,CJ$3=$AC119,CJ$3=$AE119),"",IF(CJ$3=$AD119,$F119&amp;"R",CJ118))))</f>
        <v>bP</v>
      </c>
      <c r="CK119" s="11" t="str">
        <f aca="false">IF($P119=0,CK118,IF(CK$3=$E119,IF($AA119=1,$F119&amp;$AB119,$G119),IF(OR(CK$3=$D119,CK$3=$AC119,CK$3=$AE119),"",IF(CK$3=$AD119,$F119&amp;"R",CK118))))</f>
        <v>bP</v>
      </c>
      <c r="CL119" s="11" t="str">
        <f aca="false">IF($P119=0,CL118,IF(CL$3=$E119,IF($AA119=1,$F119&amp;$AB119,$G119),IF(OR(CL$3=$D119,CL$3=$AC119,CL$3=$AE119),"",IF(CL$3=$AD119,$F119&amp;"R",CL118))))</f>
        <v>bR</v>
      </c>
      <c r="CM119" s="11" t="str">
        <f aca="false">IF($P119=0,CM118,IF(CM$3=$E119,IF($AA119=1,$F119&amp;$AB119,$G119),IF(OR(CM$3=$D119,CM$3=$AC119,CM$3=$AE119),"",IF(CM$3=$AD119,$F119&amp;"R",CM118))))</f>
        <v>bN</v>
      </c>
      <c r="CN119" s="11" t="str">
        <f aca="false">IF($P119=0,CN118,IF(CN$3=$E119,IF($AA119=1,$F119&amp;$AB119,$G119),IF(OR(CN$3=$D119,CN$3=$AC119,CN$3=$AE119),"",IF(CN$3=$AD119,$F119&amp;"R",CN118))))</f>
        <v>bB</v>
      </c>
      <c r="CO119" s="11" t="str">
        <f aca="false">IF($P119=0,CO118,IF(CO$3=$E119,IF($AA119=1,$F119&amp;$AB119,$G119),IF(OR(CO$3=$D119,CO$3=$AC119,CO$3=$AE119),"",IF(CO$3=$AD119,$F119&amp;"R",CO118))))</f>
        <v>bQ</v>
      </c>
      <c r="CP119" s="11" t="str">
        <f aca="false">IF($P119=0,CP118,IF(CP$3=$E119,IF($AA119=1,$F119&amp;$AB119,$G119),IF(OR(CP$3=$D119,CP$3=$AC119,CP$3=$AE119),"",IF(CP$3=$AD119,$F119&amp;"R",CP118))))</f>
        <v>bK</v>
      </c>
      <c r="CQ119" s="11" t="str">
        <f aca="false">IF($P119=0,CQ118,IF(CQ$3=$E119,IF($AA119=1,$F119&amp;$AB119,$G119),IF(OR(CQ$3=$D119,CQ$3=$AC119,CQ$3=$AE119),"",IF(CQ$3=$AD119,$F119&amp;"R",CQ118))))</f>
        <v>bB</v>
      </c>
      <c r="CR119" s="11" t="str">
        <f aca="false">IF($P119=0,CR118,IF(CR$3=$E119,IF($AA119=1,$F119&amp;$AB119,$G119),IF(OR(CR$3=$D119,CR$3=$AC119,CR$3=$AE119),"",IF(CR$3=$AD119,$F119&amp;"R",CR118))))</f>
        <v>bN</v>
      </c>
      <c r="CS119" s="11" t="str">
        <f aca="false">IF($P119=0,CS118,IF(CS$3=$E119,IF($AA119=1,$F119&amp;$AB119,$G119),IF(OR(CS$3=$D119,CS$3=$AC119,CS$3=$AE119),"",IF(CS$3=$AD119,$F119&amp;"R",CS118))))</f>
        <v>bR</v>
      </c>
      <c r="CT119" s="11"/>
      <c r="CU119" s="11"/>
      <c r="CV119" s="11"/>
    </row>
    <row r="120" customFormat="false" ht="15" hidden="false" customHeight="false" outlineLevel="0" collapsed="false">
      <c r="A120" s="11" t="n">
        <v>115</v>
      </c>
      <c r="B120" s="11" t="str">
        <f aca="false">IF(Chess!$L$124="","",Chess!$L$124&amp;"")</f>
        <v/>
      </c>
      <c r="C120" s="11" t="str">
        <f aca="false">LOWER(SUBSTITUTE(SUBSTITUTE(SUBSTITUTE(SUBSTITUTE(TRIM($B120),"-",""),"=","")," ",""),"x",""))</f>
        <v/>
      </c>
      <c r="D120" s="11" t="n">
        <f aca="false">IF(LEN($C120)&lt;4,0,IFERROR(IF(AND(CODE(MID($C120,1,1))&gt;=97,CODE(MID($C120,1,1))&lt;=104,VALUE(MID($C120,2,1))&gt;=1,VALUE(MID($C120,2,1))&lt;=8),(VALUE(MID($C120,2,1))-1)*8+CODE(MID($C120,1,1))-96,0),0))</f>
        <v>0</v>
      </c>
      <c r="E120" s="11" t="n">
        <f aca="false">IF(LEN($C120)&lt;4,0,IFERROR(IF(AND(CODE(MID($C120,3,1))&gt;=97,CODE(MID($C120,3,1))&lt;=104,VALUE(MID($C120,4,1))&gt;=1,VALUE(MID($C120,4,1))&lt;=8),(VALUE(MID($C120,4,1))-1)*8+CODE(MID($C120,3,1))-96,0),0))</f>
        <v>0</v>
      </c>
      <c r="F120" s="11" t="str">
        <f aca="false">IF(MOD(SUM($P$5:$P119),2)=0,"w","b")</f>
        <v>w</v>
      </c>
      <c r="G120" s="11" t="str">
        <f aca="false">IF($D120=0,"",INDEX($AH119:$CS119,1,$D120)&amp;"")</f>
        <v/>
      </c>
      <c r="H120" s="11" t="str">
        <f aca="false">IF($E120=0,"",INDEX($AH119:$CS119,1,$E120)&amp;"")</f>
        <v/>
      </c>
      <c r="I120" s="11" t="n">
        <f aca="false">IF(OR($D120=0,$E120=0),0,MOD($E120-1,8)-MOD($D120-1,8))</f>
        <v>0</v>
      </c>
      <c r="J120" s="11" t="n">
        <f aca="false">IF(OR($D120=0,$E120=0),0,INT(($E120-1)/8)-INT(($D120-1)/8))</f>
        <v>0</v>
      </c>
      <c r="K120" s="11" t="str">
        <f aca="false">IF($G120="","",RIGHT($G120,1))</f>
        <v/>
      </c>
      <c r="L120" s="11" t="n">
        <f aca="false">IF(OR($D120=0,$E120=0),0,SUMPRODUCT(($AH$3:$CS$3&gt;MIN($D120,$E120))*($AH$3:$CS$3&lt;MAX($D120,$E120))*(MOD($AH$3:$CS$3-MIN($D120,$E120),MAX(1,ABS(SIGN($J120)*8+SIGN($I120))))=0)*($AH119:$CS119&lt;&gt;"")))</f>
        <v>0</v>
      </c>
      <c r="M120" s="11" t="n">
        <f aca="false">IF($K120&lt;&gt;"K",0,IFERROR(--AND($J120=0,ABS($I120)=2,$D120=IF($F120="w",5,61),IF($F120="w",$S119,$V119)=0,IF($I120=2,AND(IF($F120="w",$U119,$X119)=0,INDEX($AH119:$CS119,1,$D120+1)&amp;""="",INDEX($AH119:$CS119,1,$D120+2)&amp;""=""),AND(IF($F120="w",$T119,$W119)=0,INDEX($AH119:$CS119,1,$D120-1)&amp;""="",INDEX($AH119:$CS119,1,$D120-2)&amp;""="",INDEX($AH119:$CS119,1,$D120-3)&amp;""=""))),0))</f>
        <v>0</v>
      </c>
      <c r="N120" s="11" t="n">
        <f aca="false">IF($K120&lt;&gt;"P",0,IFERROR(--OR(AND($I120=0,$J120=IF($F120="w",1,-1),$H120=""),AND($I120=0,$J120=2*IF($F120="w",1,-1),$H120="",INT(($D120-1)/8)=IF($F120="w",1,6),INDEX($AH119:$CS119,1,MAX(1,MIN(64,$D120+8*IF($F120="w",1,-1))))&amp;""=""),AND(ABS($I120)=1,$J120=IF($F120="w",1,-1),$H120&lt;&gt;""),AND(ABS($I120)=1,$J120=IF($F120="w",1,-1),$H120="",$R119&gt;0,$E120=$R119)),0))</f>
        <v>0</v>
      </c>
      <c r="O120" s="11" t="n">
        <f aca="false">IF(OR($D120=0,$E120=0,$G120=""),0,IF($K120="N",--OR(AND(ABS($I120)=1,ABS($J120)=2),AND(ABS($I120)=2,ABS($J120)=1)),IF($K120="B",--AND(ABS($I120)=ABS($J120),$I120&lt;&gt;0,$L120=0),IF($K120="R",--AND(OR($I120=0,$J120=0),OR($I120&lt;&gt;0,$J120&lt;&gt;0),$L120=0),IF($K120="Q",--AND(OR(AND(ABS($I120)=ABS($J120),$I120&lt;&gt;0),AND(OR($I120=0,$J120=0),OR($I120&lt;&gt;0,$J120&lt;&gt;0))),$L120=0),IF($K120="K",--OR(MAX(ABS($I120),ABS($J120))=1,$M120=1),$N120))))))</f>
        <v>0</v>
      </c>
      <c r="P120" s="11" t="n">
        <f aca="false">IF($Q120="OK",1,0)</f>
        <v>0</v>
      </c>
      <c r="Q120" s="11" t="str">
        <f aca="false">IF($B120="","",IF(OR(COUNTIF($AH119:$CS119,"wK")=0,COUNTIF($AH119:$CS119,"bK")=0),"Game is over",IF(OR($D120=0,$E120=0),"Use the format e2e4",IF($G120="","No piece on that square",IF(LEFT($G120,1)&lt;&gt;$F120,"Not your piece ("&amp;IF($F120="w","White","Black")&amp;" to move)",IF($D120=$E120,"Piece must move",IF(AND($H120&lt;&gt;"",LEFT($H120,1)=$F120),"Cannot capture your own piece",IF($O120=0,"Illegal move for that piece (or path blocked)","OK"))))))))</f>
        <v/>
      </c>
      <c r="R120" s="11" t="n">
        <f aca="false">IF($P120=1,IF(AND($K120="P",ABS($J120)=2),($D120+$E120)/2,0),$R119)</f>
        <v>0</v>
      </c>
      <c r="S120" s="12" t="b">
        <f aca="false">--OR($S119=1,AND($P120=1,OR($D120=5,$E120=5)))</f>
        <v>0</v>
      </c>
      <c r="T120" s="12" t="b">
        <f aca="false">--OR($T119=1,AND($P120=1,OR($D120=1,$E120=1)))</f>
        <v>0</v>
      </c>
      <c r="U120" s="12" t="b">
        <f aca="false">--OR($U119=1,AND($P120=1,OR($D120=8,$E120=8)))</f>
        <v>0</v>
      </c>
      <c r="V120" s="12" t="b">
        <f aca="false">--OR($V119=1,AND($P120=1,OR($D120=61,$E120=61)))</f>
        <v>0</v>
      </c>
      <c r="W120" s="12" t="b">
        <f aca="false">--OR($W119=1,AND($P120=1,OR($D120=57,$E120=57)))</f>
        <v>0</v>
      </c>
      <c r="X120" s="12" t="b">
        <f aca="false">--OR($X119=1,AND($P120=1,OR($D120=64,$E120=64)))</f>
        <v>0</v>
      </c>
      <c r="Y120" s="12" t="b">
        <f aca="false">--AND($P120=1,$K120="K",ABS($I120)=2)</f>
        <v>0</v>
      </c>
      <c r="Z120" s="12" t="b">
        <f aca="false">--AND($P120=1,$K120="P",ABS($I120)=1,$H120="")</f>
        <v>0</v>
      </c>
      <c r="AA120" s="12" t="b">
        <f aca="false">--AND($P120=1,$K120="P",INT(($E120-1)/8)=IF($F120="w",7,0))</f>
        <v>0</v>
      </c>
      <c r="AB120" s="11" t="str">
        <f aca="false">IF(LEN($C120)&gt;=5,IF(ISNUMBER(FIND(MID($C120,5,1),"qrbn")),UPPER(MID($C120,5,1)),"Q"),"Q")</f>
        <v>Q</v>
      </c>
      <c r="AC120" s="11" t="n">
        <f aca="false">IF($Y120=1,IF($I120=2,$D120+3,$D120-4),0)</f>
        <v>0</v>
      </c>
      <c r="AD120" s="11" t="n">
        <f aca="false">IF($Y120=1,IF($I120=2,$D120+1,$D120-1),0)</f>
        <v>0</v>
      </c>
      <c r="AE120" s="11" t="n">
        <f aca="false">IF($Z120=1,$E120-8*IF($F120="w",1,-1),0)</f>
        <v>0</v>
      </c>
      <c r="AF120" s="11" t="str">
        <f aca="false">IF($B120="","",IF($P120=1,LOWER(INDEX($CV$2:$CV$13,MATCH($G120,$CU$2:$CU$13,0)))&amp;" "&amp;MID("abcdefgh",MOD($D120-1,8)+1,1)&amp;(INT(($D120-1)/8)+1)&amp;"→"&amp;MID("abcdefgh",MOD($E120-1,8)+1,1)&amp;(INT(($E120-1)/8)+1)&amp;IF(OR($H120&lt;&gt;"",$Z120=1)," ×","")&amp;IF($Y120=1," castles","")&amp;IF($Z120=1," e.p.","")&amp;IF($AA120=1," =" &amp;LOWER(INDEX($CV$2:$CV$13,MATCH($F120&amp;$AB120,$CU$2:$CU$13,0))),""),"X "&amp;$Q120))</f>
        <v/>
      </c>
      <c r="AG120" s="11"/>
      <c r="AH120" s="11" t="str">
        <f aca="false">IF($P120=0,AH119,IF(AH$3=$E120,IF($AA120=1,$F120&amp;$AB120,$G120),IF(OR(AH$3=$D120,AH$3=$AC120,AH$3=$AE120),"",IF(AH$3=$AD120,$F120&amp;"R",AH119))))</f>
        <v>wR</v>
      </c>
      <c r="AI120" s="11" t="str">
        <f aca="false">IF($P120=0,AI119,IF(AI$3=$E120,IF($AA120=1,$F120&amp;$AB120,$G120),IF(OR(AI$3=$D120,AI$3=$AC120,AI$3=$AE120),"",IF(AI$3=$AD120,$F120&amp;"R",AI119))))</f>
        <v>wN</v>
      </c>
      <c r="AJ120" s="11" t="str">
        <f aca="false">IF($P120=0,AJ119,IF(AJ$3=$E120,IF($AA120=1,$F120&amp;$AB120,$G120),IF(OR(AJ$3=$D120,AJ$3=$AC120,AJ$3=$AE120),"",IF(AJ$3=$AD120,$F120&amp;"R",AJ119))))</f>
        <v>wB</v>
      </c>
      <c r="AK120" s="11" t="str">
        <f aca="false">IF($P120=0,AK119,IF(AK$3=$E120,IF($AA120=1,$F120&amp;$AB120,$G120),IF(OR(AK$3=$D120,AK$3=$AC120,AK$3=$AE120),"",IF(AK$3=$AD120,$F120&amp;"R",AK119))))</f>
        <v>wQ</v>
      </c>
      <c r="AL120" s="11" t="str">
        <f aca="false">IF($P120=0,AL119,IF(AL$3=$E120,IF($AA120=1,$F120&amp;$AB120,$G120),IF(OR(AL$3=$D120,AL$3=$AC120,AL$3=$AE120),"",IF(AL$3=$AD120,$F120&amp;"R",AL119))))</f>
        <v>wK</v>
      </c>
      <c r="AM120" s="11" t="str">
        <f aca="false">IF($P120=0,AM119,IF(AM$3=$E120,IF($AA120=1,$F120&amp;$AB120,$G120),IF(OR(AM$3=$D120,AM$3=$AC120,AM$3=$AE120),"",IF(AM$3=$AD120,$F120&amp;"R",AM119))))</f>
        <v>wB</v>
      </c>
      <c r="AN120" s="11" t="str">
        <f aca="false">IF($P120=0,AN119,IF(AN$3=$E120,IF($AA120=1,$F120&amp;$AB120,$G120),IF(OR(AN$3=$D120,AN$3=$AC120,AN$3=$AE120),"",IF(AN$3=$AD120,$F120&amp;"R",AN119))))</f>
        <v>wN</v>
      </c>
      <c r="AO120" s="11" t="str">
        <f aca="false">IF($P120=0,AO119,IF(AO$3=$E120,IF($AA120=1,$F120&amp;$AB120,$G120),IF(OR(AO$3=$D120,AO$3=$AC120,AO$3=$AE120),"",IF(AO$3=$AD120,$F120&amp;"R",AO119))))</f>
        <v>wR</v>
      </c>
      <c r="AP120" s="11" t="str">
        <f aca="false">IF($P120=0,AP119,IF(AP$3=$E120,IF($AA120=1,$F120&amp;$AB120,$G120),IF(OR(AP$3=$D120,AP$3=$AC120,AP$3=$AE120),"",IF(AP$3=$AD120,$F120&amp;"R",AP119))))</f>
        <v>wP</v>
      </c>
      <c r="AQ120" s="11" t="str">
        <f aca="false">IF($P120=0,AQ119,IF(AQ$3=$E120,IF($AA120=1,$F120&amp;$AB120,$G120),IF(OR(AQ$3=$D120,AQ$3=$AC120,AQ$3=$AE120),"",IF(AQ$3=$AD120,$F120&amp;"R",AQ119))))</f>
        <v>wP</v>
      </c>
      <c r="AR120" s="11" t="str">
        <f aca="false">IF($P120=0,AR119,IF(AR$3=$E120,IF($AA120=1,$F120&amp;$AB120,$G120),IF(OR(AR$3=$D120,AR$3=$AC120,AR$3=$AE120),"",IF(AR$3=$AD120,$F120&amp;"R",AR119))))</f>
        <v>wP</v>
      </c>
      <c r="AS120" s="11" t="str">
        <f aca="false">IF($P120=0,AS119,IF(AS$3=$E120,IF($AA120=1,$F120&amp;$AB120,$G120),IF(OR(AS$3=$D120,AS$3=$AC120,AS$3=$AE120),"",IF(AS$3=$AD120,$F120&amp;"R",AS119))))</f>
        <v>wP</v>
      </c>
      <c r="AT120" s="11" t="str">
        <f aca="false">IF($P120=0,AT119,IF(AT$3=$E120,IF($AA120=1,$F120&amp;$AB120,$G120),IF(OR(AT$3=$D120,AT$3=$AC120,AT$3=$AE120),"",IF(AT$3=$AD120,$F120&amp;"R",AT119))))</f>
        <v>wP</v>
      </c>
      <c r="AU120" s="11" t="str">
        <f aca="false">IF($P120=0,AU119,IF(AU$3=$E120,IF($AA120=1,$F120&amp;$AB120,$G120),IF(OR(AU$3=$D120,AU$3=$AC120,AU$3=$AE120),"",IF(AU$3=$AD120,$F120&amp;"R",AU119))))</f>
        <v>wP</v>
      </c>
      <c r="AV120" s="11" t="str">
        <f aca="false">IF($P120=0,AV119,IF(AV$3=$E120,IF($AA120=1,$F120&amp;$AB120,$G120),IF(OR(AV$3=$D120,AV$3=$AC120,AV$3=$AE120),"",IF(AV$3=$AD120,$F120&amp;"R",AV119))))</f>
        <v>wP</v>
      </c>
      <c r="AW120" s="11" t="str">
        <f aca="false">IF($P120=0,AW119,IF(AW$3=$E120,IF($AA120=1,$F120&amp;$AB120,$G120),IF(OR(AW$3=$D120,AW$3=$AC120,AW$3=$AE120),"",IF(AW$3=$AD120,$F120&amp;"R",AW119))))</f>
        <v>wP</v>
      </c>
      <c r="AX120" s="11" t="str">
        <f aca="false">IF($P120=0,AX119,IF(AX$3=$E120,IF($AA120=1,$F120&amp;$AB120,$G120),IF(OR(AX$3=$D120,AX$3=$AC120,AX$3=$AE120),"",IF(AX$3=$AD120,$F120&amp;"R",AX119))))</f>
        <v/>
      </c>
      <c r="AY120" s="11" t="str">
        <f aca="false">IF($P120=0,AY119,IF(AY$3=$E120,IF($AA120=1,$F120&amp;$AB120,$G120),IF(OR(AY$3=$D120,AY$3=$AC120,AY$3=$AE120),"",IF(AY$3=$AD120,$F120&amp;"R",AY119))))</f>
        <v/>
      </c>
      <c r="AZ120" s="11" t="str">
        <f aca="false">IF($P120=0,AZ119,IF(AZ$3=$E120,IF($AA120=1,$F120&amp;$AB120,$G120),IF(OR(AZ$3=$D120,AZ$3=$AC120,AZ$3=$AE120),"",IF(AZ$3=$AD120,$F120&amp;"R",AZ119))))</f>
        <v/>
      </c>
      <c r="BA120" s="11" t="str">
        <f aca="false">IF($P120=0,BA119,IF(BA$3=$E120,IF($AA120=1,$F120&amp;$AB120,$G120),IF(OR(BA$3=$D120,BA$3=$AC120,BA$3=$AE120),"",IF(BA$3=$AD120,$F120&amp;"R",BA119))))</f>
        <v/>
      </c>
      <c r="BB120" s="11" t="str">
        <f aca="false">IF($P120=0,BB119,IF(BB$3=$E120,IF($AA120=1,$F120&amp;$AB120,$G120),IF(OR(BB$3=$D120,BB$3=$AC120,BB$3=$AE120),"",IF(BB$3=$AD120,$F120&amp;"R",BB119))))</f>
        <v/>
      </c>
      <c r="BC120" s="11" t="str">
        <f aca="false">IF($P120=0,BC119,IF(BC$3=$E120,IF($AA120=1,$F120&amp;$AB120,$G120),IF(OR(BC$3=$D120,BC$3=$AC120,BC$3=$AE120),"",IF(BC$3=$AD120,$F120&amp;"R",BC119))))</f>
        <v/>
      </c>
      <c r="BD120" s="11" t="str">
        <f aca="false">IF($P120=0,BD119,IF(BD$3=$E120,IF($AA120=1,$F120&amp;$AB120,$G120),IF(OR(BD$3=$D120,BD$3=$AC120,BD$3=$AE120),"",IF(BD$3=$AD120,$F120&amp;"R",BD119))))</f>
        <v/>
      </c>
      <c r="BE120" s="11" t="str">
        <f aca="false">IF($P120=0,BE119,IF(BE$3=$E120,IF($AA120=1,$F120&amp;$AB120,$G120),IF(OR(BE$3=$D120,BE$3=$AC120,BE$3=$AE120),"",IF(BE$3=$AD120,$F120&amp;"R",BE119))))</f>
        <v/>
      </c>
      <c r="BF120" s="11" t="str">
        <f aca="false">IF($P120=0,BF119,IF(BF$3=$E120,IF($AA120=1,$F120&amp;$AB120,$G120),IF(OR(BF$3=$D120,BF$3=$AC120,BF$3=$AE120),"",IF(BF$3=$AD120,$F120&amp;"R",BF119))))</f>
        <v/>
      </c>
      <c r="BG120" s="11" t="str">
        <f aca="false">IF($P120=0,BG119,IF(BG$3=$E120,IF($AA120=1,$F120&amp;$AB120,$G120),IF(OR(BG$3=$D120,BG$3=$AC120,BG$3=$AE120),"",IF(BG$3=$AD120,$F120&amp;"R",BG119))))</f>
        <v/>
      </c>
      <c r="BH120" s="11" t="str">
        <f aca="false">IF($P120=0,BH119,IF(BH$3=$E120,IF($AA120=1,$F120&amp;$AB120,$G120),IF(OR(BH$3=$D120,BH$3=$AC120,BH$3=$AE120),"",IF(BH$3=$AD120,$F120&amp;"R",BH119))))</f>
        <v/>
      </c>
      <c r="BI120" s="11" t="str">
        <f aca="false">IF($P120=0,BI119,IF(BI$3=$E120,IF($AA120=1,$F120&amp;$AB120,$G120),IF(OR(BI$3=$D120,BI$3=$AC120,BI$3=$AE120),"",IF(BI$3=$AD120,$F120&amp;"R",BI119))))</f>
        <v/>
      </c>
      <c r="BJ120" s="11" t="str">
        <f aca="false">IF($P120=0,BJ119,IF(BJ$3=$E120,IF($AA120=1,$F120&amp;$AB120,$G120),IF(OR(BJ$3=$D120,BJ$3=$AC120,BJ$3=$AE120),"",IF(BJ$3=$AD120,$F120&amp;"R",BJ119))))</f>
        <v/>
      </c>
      <c r="BK120" s="11" t="str">
        <f aca="false">IF($P120=0,BK119,IF(BK$3=$E120,IF($AA120=1,$F120&amp;$AB120,$G120),IF(OR(BK$3=$D120,BK$3=$AC120,BK$3=$AE120),"",IF(BK$3=$AD120,$F120&amp;"R",BK119))))</f>
        <v/>
      </c>
      <c r="BL120" s="11" t="str">
        <f aca="false">IF($P120=0,BL119,IF(BL$3=$E120,IF($AA120=1,$F120&amp;$AB120,$G120),IF(OR(BL$3=$D120,BL$3=$AC120,BL$3=$AE120),"",IF(BL$3=$AD120,$F120&amp;"R",BL119))))</f>
        <v/>
      </c>
      <c r="BM120" s="11" t="str">
        <f aca="false">IF($P120=0,BM119,IF(BM$3=$E120,IF($AA120=1,$F120&amp;$AB120,$G120),IF(OR(BM$3=$D120,BM$3=$AC120,BM$3=$AE120),"",IF(BM$3=$AD120,$F120&amp;"R",BM119))))</f>
        <v/>
      </c>
      <c r="BN120" s="11" t="str">
        <f aca="false">IF($P120=0,BN119,IF(BN$3=$E120,IF($AA120=1,$F120&amp;$AB120,$G120),IF(OR(BN$3=$D120,BN$3=$AC120,BN$3=$AE120),"",IF(BN$3=$AD120,$F120&amp;"R",BN119))))</f>
        <v/>
      </c>
      <c r="BO120" s="11" t="str">
        <f aca="false">IF($P120=0,BO119,IF(BO$3=$E120,IF($AA120=1,$F120&amp;$AB120,$G120),IF(OR(BO$3=$D120,BO$3=$AC120,BO$3=$AE120),"",IF(BO$3=$AD120,$F120&amp;"R",BO119))))</f>
        <v/>
      </c>
      <c r="BP120" s="11" t="str">
        <f aca="false">IF($P120=0,BP119,IF(BP$3=$E120,IF($AA120=1,$F120&amp;$AB120,$G120),IF(OR(BP$3=$D120,BP$3=$AC120,BP$3=$AE120),"",IF(BP$3=$AD120,$F120&amp;"R",BP119))))</f>
        <v/>
      </c>
      <c r="BQ120" s="11" t="str">
        <f aca="false">IF($P120=0,BQ119,IF(BQ$3=$E120,IF($AA120=1,$F120&amp;$AB120,$G120),IF(OR(BQ$3=$D120,BQ$3=$AC120,BQ$3=$AE120),"",IF(BQ$3=$AD120,$F120&amp;"R",BQ119))))</f>
        <v/>
      </c>
      <c r="BR120" s="11" t="str">
        <f aca="false">IF($P120=0,BR119,IF(BR$3=$E120,IF($AA120=1,$F120&amp;$AB120,$G120),IF(OR(BR$3=$D120,BR$3=$AC120,BR$3=$AE120),"",IF(BR$3=$AD120,$F120&amp;"R",BR119))))</f>
        <v/>
      </c>
      <c r="BS120" s="11" t="str">
        <f aca="false">IF($P120=0,BS119,IF(BS$3=$E120,IF($AA120=1,$F120&amp;$AB120,$G120),IF(OR(BS$3=$D120,BS$3=$AC120,BS$3=$AE120),"",IF(BS$3=$AD120,$F120&amp;"R",BS119))))</f>
        <v/>
      </c>
      <c r="BT120" s="11" t="str">
        <f aca="false">IF($P120=0,BT119,IF(BT$3=$E120,IF($AA120=1,$F120&amp;$AB120,$G120),IF(OR(BT$3=$D120,BT$3=$AC120,BT$3=$AE120),"",IF(BT$3=$AD120,$F120&amp;"R",BT119))))</f>
        <v/>
      </c>
      <c r="BU120" s="11" t="str">
        <f aca="false">IF($P120=0,BU119,IF(BU$3=$E120,IF($AA120=1,$F120&amp;$AB120,$G120),IF(OR(BU$3=$D120,BU$3=$AC120,BU$3=$AE120),"",IF(BU$3=$AD120,$F120&amp;"R",BU119))))</f>
        <v/>
      </c>
      <c r="BV120" s="11" t="str">
        <f aca="false">IF($P120=0,BV119,IF(BV$3=$E120,IF($AA120=1,$F120&amp;$AB120,$G120),IF(OR(BV$3=$D120,BV$3=$AC120,BV$3=$AE120),"",IF(BV$3=$AD120,$F120&amp;"R",BV119))))</f>
        <v/>
      </c>
      <c r="BW120" s="11" t="str">
        <f aca="false">IF($P120=0,BW119,IF(BW$3=$E120,IF($AA120=1,$F120&amp;$AB120,$G120),IF(OR(BW$3=$D120,BW$3=$AC120,BW$3=$AE120),"",IF(BW$3=$AD120,$F120&amp;"R",BW119))))</f>
        <v/>
      </c>
      <c r="BX120" s="11" t="str">
        <f aca="false">IF($P120=0,BX119,IF(BX$3=$E120,IF($AA120=1,$F120&amp;$AB120,$G120),IF(OR(BX$3=$D120,BX$3=$AC120,BX$3=$AE120),"",IF(BX$3=$AD120,$F120&amp;"R",BX119))))</f>
        <v/>
      </c>
      <c r="BY120" s="11" t="str">
        <f aca="false">IF($P120=0,BY119,IF(BY$3=$E120,IF($AA120=1,$F120&amp;$AB120,$G120),IF(OR(BY$3=$D120,BY$3=$AC120,BY$3=$AE120),"",IF(BY$3=$AD120,$F120&amp;"R",BY119))))</f>
        <v/>
      </c>
      <c r="BZ120" s="11" t="str">
        <f aca="false">IF($P120=0,BZ119,IF(BZ$3=$E120,IF($AA120=1,$F120&amp;$AB120,$G120),IF(OR(BZ$3=$D120,BZ$3=$AC120,BZ$3=$AE120),"",IF(BZ$3=$AD120,$F120&amp;"R",BZ119))))</f>
        <v/>
      </c>
      <c r="CA120" s="11" t="str">
        <f aca="false">IF($P120=0,CA119,IF(CA$3=$E120,IF($AA120=1,$F120&amp;$AB120,$G120),IF(OR(CA$3=$D120,CA$3=$AC120,CA$3=$AE120),"",IF(CA$3=$AD120,$F120&amp;"R",CA119))))</f>
        <v/>
      </c>
      <c r="CB120" s="11" t="str">
        <f aca="false">IF($P120=0,CB119,IF(CB$3=$E120,IF($AA120=1,$F120&amp;$AB120,$G120),IF(OR(CB$3=$D120,CB$3=$AC120,CB$3=$AE120),"",IF(CB$3=$AD120,$F120&amp;"R",CB119))))</f>
        <v/>
      </c>
      <c r="CC120" s="11" t="str">
        <f aca="false">IF($P120=0,CC119,IF(CC$3=$E120,IF($AA120=1,$F120&amp;$AB120,$G120),IF(OR(CC$3=$D120,CC$3=$AC120,CC$3=$AE120),"",IF(CC$3=$AD120,$F120&amp;"R",CC119))))</f>
        <v/>
      </c>
      <c r="CD120" s="11" t="str">
        <f aca="false">IF($P120=0,CD119,IF(CD$3=$E120,IF($AA120=1,$F120&amp;$AB120,$G120),IF(OR(CD$3=$D120,CD$3=$AC120,CD$3=$AE120),"",IF(CD$3=$AD120,$F120&amp;"R",CD119))))</f>
        <v>bP</v>
      </c>
      <c r="CE120" s="11" t="str">
        <f aca="false">IF($P120=0,CE119,IF(CE$3=$E120,IF($AA120=1,$F120&amp;$AB120,$G120),IF(OR(CE$3=$D120,CE$3=$AC120,CE$3=$AE120),"",IF(CE$3=$AD120,$F120&amp;"R",CE119))))</f>
        <v>bP</v>
      </c>
      <c r="CF120" s="11" t="str">
        <f aca="false">IF($P120=0,CF119,IF(CF$3=$E120,IF($AA120=1,$F120&amp;$AB120,$G120),IF(OR(CF$3=$D120,CF$3=$AC120,CF$3=$AE120),"",IF(CF$3=$AD120,$F120&amp;"R",CF119))))</f>
        <v>bP</v>
      </c>
      <c r="CG120" s="11" t="str">
        <f aca="false">IF($P120=0,CG119,IF(CG$3=$E120,IF($AA120=1,$F120&amp;$AB120,$G120),IF(OR(CG$3=$D120,CG$3=$AC120,CG$3=$AE120),"",IF(CG$3=$AD120,$F120&amp;"R",CG119))))</f>
        <v>bP</v>
      </c>
      <c r="CH120" s="11" t="str">
        <f aca="false">IF($P120=0,CH119,IF(CH$3=$E120,IF($AA120=1,$F120&amp;$AB120,$G120),IF(OR(CH$3=$D120,CH$3=$AC120,CH$3=$AE120),"",IF(CH$3=$AD120,$F120&amp;"R",CH119))))</f>
        <v>bP</v>
      </c>
      <c r="CI120" s="11" t="str">
        <f aca="false">IF($P120=0,CI119,IF(CI$3=$E120,IF($AA120=1,$F120&amp;$AB120,$G120),IF(OR(CI$3=$D120,CI$3=$AC120,CI$3=$AE120),"",IF(CI$3=$AD120,$F120&amp;"R",CI119))))</f>
        <v>bP</v>
      </c>
      <c r="CJ120" s="11" t="str">
        <f aca="false">IF($P120=0,CJ119,IF(CJ$3=$E120,IF($AA120=1,$F120&amp;$AB120,$G120),IF(OR(CJ$3=$D120,CJ$3=$AC120,CJ$3=$AE120),"",IF(CJ$3=$AD120,$F120&amp;"R",CJ119))))</f>
        <v>bP</v>
      </c>
      <c r="CK120" s="11" t="str">
        <f aca="false">IF($P120=0,CK119,IF(CK$3=$E120,IF($AA120=1,$F120&amp;$AB120,$G120),IF(OR(CK$3=$D120,CK$3=$AC120,CK$3=$AE120),"",IF(CK$3=$AD120,$F120&amp;"R",CK119))))</f>
        <v>bP</v>
      </c>
      <c r="CL120" s="11" t="str">
        <f aca="false">IF($P120=0,CL119,IF(CL$3=$E120,IF($AA120=1,$F120&amp;$AB120,$G120),IF(OR(CL$3=$D120,CL$3=$AC120,CL$3=$AE120),"",IF(CL$3=$AD120,$F120&amp;"R",CL119))))</f>
        <v>bR</v>
      </c>
      <c r="CM120" s="11" t="str">
        <f aca="false">IF($P120=0,CM119,IF(CM$3=$E120,IF($AA120=1,$F120&amp;$AB120,$G120),IF(OR(CM$3=$D120,CM$3=$AC120,CM$3=$AE120),"",IF(CM$3=$AD120,$F120&amp;"R",CM119))))</f>
        <v>bN</v>
      </c>
      <c r="CN120" s="11" t="str">
        <f aca="false">IF($P120=0,CN119,IF(CN$3=$E120,IF($AA120=1,$F120&amp;$AB120,$G120),IF(OR(CN$3=$D120,CN$3=$AC120,CN$3=$AE120),"",IF(CN$3=$AD120,$F120&amp;"R",CN119))))</f>
        <v>bB</v>
      </c>
      <c r="CO120" s="11" t="str">
        <f aca="false">IF($P120=0,CO119,IF(CO$3=$E120,IF($AA120=1,$F120&amp;$AB120,$G120),IF(OR(CO$3=$D120,CO$3=$AC120,CO$3=$AE120),"",IF(CO$3=$AD120,$F120&amp;"R",CO119))))</f>
        <v>bQ</v>
      </c>
      <c r="CP120" s="11" t="str">
        <f aca="false">IF($P120=0,CP119,IF(CP$3=$E120,IF($AA120=1,$F120&amp;$AB120,$G120),IF(OR(CP$3=$D120,CP$3=$AC120,CP$3=$AE120),"",IF(CP$3=$AD120,$F120&amp;"R",CP119))))</f>
        <v>bK</v>
      </c>
      <c r="CQ120" s="11" t="str">
        <f aca="false">IF($P120=0,CQ119,IF(CQ$3=$E120,IF($AA120=1,$F120&amp;$AB120,$G120),IF(OR(CQ$3=$D120,CQ$3=$AC120,CQ$3=$AE120),"",IF(CQ$3=$AD120,$F120&amp;"R",CQ119))))</f>
        <v>bB</v>
      </c>
      <c r="CR120" s="11" t="str">
        <f aca="false">IF($P120=0,CR119,IF(CR$3=$E120,IF($AA120=1,$F120&amp;$AB120,$G120),IF(OR(CR$3=$D120,CR$3=$AC120,CR$3=$AE120),"",IF(CR$3=$AD120,$F120&amp;"R",CR119))))</f>
        <v>bN</v>
      </c>
      <c r="CS120" s="11" t="str">
        <f aca="false">IF($P120=0,CS119,IF(CS$3=$E120,IF($AA120=1,$F120&amp;$AB120,$G120),IF(OR(CS$3=$D120,CS$3=$AC120,CS$3=$AE120),"",IF(CS$3=$AD120,$F120&amp;"R",CS119))))</f>
        <v>bR</v>
      </c>
      <c r="CT120" s="11"/>
      <c r="CU120" s="11"/>
      <c r="CV120" s="11"/>
    </row>
    <row r="121" customFormat="false" ht="15" hidden="false" customHeight="false" outlineLevel="0" collapsed="false">
      <c r="A121" s="11" t="n">
        <v>116</v>
      </c>
      <c r="B121" s="11" t="str">
        <f aca="false">IF(Chess!$L$125="","",Chess!$L$125&amp;"")</f>
        <v/>
      </c>
      <c r="C121" s="11" t="str">
        <f aca="false">LOWER(SUBSTITUTE(SUBSTITUTE(SUBSTITUTE(SUBSTITUTE(TRIM($B121),"-",""),"=","")," ",""),"x",""))</f>
        <v/>
      </c>
      <c r="D121" s="11" t="n">
        <f aca="false">IF(LEN($C121)&lt;4,0,IFERROR(IF(AND(CODE(MID($C121,1,1))&gt;=97,CODE(MID($C121,1,1))&lt;=104,VALUE(MID($C121,2,1))&gt;=1,VALUE(MID($C121,2,1))&lt;=8),(VALUE(MID($C121,2,1))-1)*8+CODE(MID($C121,1,1))-96,0),0))</f>
        <v>0</v>
      </c>
      <c r="E121" s="11" t="n">
        <f aca="false">IF(LEN($C121)&lt;4,0,IFERROR(IF(AND(CODE(MID($C121,3,1))&gt;=97,CODE(MID($C121,3,1))&lt;=104,VALUE(MID($C121,4,1))&gt;=1,VALUE(MID($C121,4,1))&lt;=8),(VALUE(MID($C121,4,1))-1)*8+CODE(MID($C121,3,1))-96,0),0))</f>
        <v>0</v>
      </c>
      <c r="F121" s="11" t="str">
        <f aca="false">IF(MOD(SUM($P$5:$P120),2)=0,"w","b")</f>
        <v>w</v>
      </c>
      <c r="G121" s="11" t="str">
        <f aca="false">IF($D121=0,"",INDEX($AH120:$CS120,1,$D121)&amp;"")</f>
        <v/>
      </c>
      <c r="H121" s="11" t="str">
        <f aca="false">IF($E121=0,"",INDEX($AH120:$CS120,1,$E121)&amp;"")</f>
        <v/>
      </c>
      <c r="I121" s="11" t="n">
        <f aca="false">IF(OR($D121=0,$E121=0),0,MOD($E121-1,8)-MOD($D121-1,8))</f>
        <v>0</v>
      </c>
      <c r="J121" s="11" t="n">
        <f aca="false">IF(OR($D121=0,$E121=0),0,INT(($E121-1)/8)-INT(($D121-1)/8))</f>
        <v>0</v>
      </c>
      <c r="K121" s="11" t="str">
        <f aca="false">IF($G121="","",RIGHT($G121,1))</f>
        <v/>
      </c>
      <c r="L121" s="11" t="n">
        <f aca="false">IF(OR($D121=0,$E121=0),0,SUMPRODUCT(($AH$3:$CS$3&gt;MIN($D121,$E121))*($AH$3:$CS$3&lt;MAX($D121,$E121))*(MOD($AH$3:$CS$3-MIN($D121,$E121),MAX(1,ABS(SIGN($J121)*8+SIGN($I121))))=0)*($AH120:$CS120&lt;&gt;"")))</f>
        <v>0</v>
      </c>
      <c r="M121" s="11" t="n">
        <f aca="false">IF($K121&lt;&gt;"K",0,IFERROR(--AND($J121=0,ABS($I121)=2,$D121=IF($F121="w",5,61),IF($F121="w",$S120,$V120)=0,IF($I121=2,AND(IF($F121="w",$U120,$X120)=0,INDEX($AH120:$CS120,1,$D121+1)&amp;""="",INDEX($AH120:$CS120,1,$D121+2)&amp;""=""),AND(IF($F121="w",$T120,$W120)=0,INDEX($AH120:$CS120,1,$D121-1)&amp;""="",INDEX($AH120:$CS120,1,$D121-2)&amp;""="",INDEX($AH120:$CS120,1,$D121-3)&amp;""=""))),0))</f>
        <v>0</v>
      </c>
      <c r="N121" s="11" t="n">
        <f aca="false">IF($K121&lt;&gt;"P",0,IFERROR(--OR(AND($I121=0,$J121=IF($F121="w",1,-1),$H121=""),AND($I121=0,$J121=2*IF($F121="w",1,-1),$H121="",INT(($D121-1)/8)=IF($F121="w",1,6),INDEX($AH120:$CS120,1,MAX(1,MIN(64,$D121+8*IF($F121="w",1,-1))))&amp;""=""),AND(ABS($I121)=1,$J121=IF($F121="w",1,-1),$H121&lt;&gt;""),AND(ABS($I121)=1,$J121=IF($F121="w",1,-1),$H121="",$R120&gt;0,$E121=$R120)),0))</f>
        <v>0</v>
      </c>
      <c r="O121" s="11" t="n">
        <f aca="false">IF(OR($D121=0,$E121=0,$G121=""),0,IF($K121="N",--OR(AND(ABS($I121)=1,ABS($J121)=2),AND(ABS($I121)=2,ABS($J121)=1)),IF($K121="B",--AND(ABS($I121)=ABS($J121),$I121&lt;&gt;0,$L121=0),IF($K121="R",--AND(OR($I121=0,$J121=0),OR($I121&lt;&gt;0,$J121&lt;&gt;0),$L121=0),IF($K121="Q",--AND(OR(AND(ABS($I121)=ABS($J121),$I121&lt;&gt;0),AND(OR($I121=0,$J121=0),OR($I121&lt;&gt;0,$J121&lt;&gt;0))),$L121=0),IF($K121="K",--OR(MAX(ABS($I121),ABS($J121))=1,$M121=1),$N121))))))</f>
        <v>0</v>
      </c>
      <c r="P121" s="11" t="n">
        <f aca="false">IF($Q121="OK",1,0)</f>
        <v>0</v>
      </c>
      <c r="Q121" s="11" t="str">
        <f aca="false">IF($B121="","",IF(OR(COUNTIF($AH120:$CS120,"wK")=0,COUNTIF($AH120:$CS120,"bK")=0),"Game is over",IF(OR($D121=0,$E121=0),"Use the format e2e4",IF($G121="","No piece on that square",IF(LEFT($G121,1)&lt;&gt;$F121,"Not your piece ("&amp;IF($F121="w","White","Black")&amp;" to move)",IF($D121=$E121,"Piece must move",IF(AND($H121&lt;&gt;"",LEFT($H121,1)=$F121),"Cannot capture your own piece",IF($O121=0,"Illegal move for that piece (or path blocked)","OK"))))))))</f>
        <v/>
      </c>
      <c r="R121" s="11" t="n">
        <f aca="false">IF($P121=1,IF(AND($K121="P",ABS($J121)=2),($D121+$E121)/2,0),$R120)</f>
        <v>0</v>
      </c>
      <c r="S121" s="12" t="b">
        <f aca="false">--OR($S120=1,AND($P121=1,OR($D121=5,$E121=5)))</f>
        <v>0</v>
      </c>
      <c r="T121" s="12" t="b">
        <f aca="false">--OR($T120=1,AND($P121=1,OR($D121=1,$E121=1)))</f>
        <v>0</v>
      </c>
      <c r="U121" s="12" t="b">
        <f aca="false">--OR($U120=1,AND($P121=1,OR($D121=8,$E121=8)))</f>
        <v>0</v>
      </c>
      <c r="V121" s="12" t="b">
        <f aca="false">--OR($V120=1,AND($P121=1,OR($D121=61,$E121=61)))</f>
        <v>0</v>
      </c>
      <c r="W121" s="12" t="b">
        <f aca="false">--OR($W120=1,AND($P121=1,OR($D121=57,$E121=57)))</f>
        <v>0</v>
      </c>
      <c r="X121" s="12" t="b">
        <f aca="false">--OR($X120=1,AND($P121=1,OR($D121=64,$E121=64)))</f>
        <v>0</v>
      </c>
      <c r="Y121" s="12" t="b">
        <f aca="false">--AND($P121=1,$K121="K",ABS($I121)=2)</f>
        <v>0</v>
      </c>
      <c r="Z121" s="12" t="b">
        <f aca="false">--AND($P121=1,$K121="P",ABS($I121)=1,$H121="")</f>
        <v>0</v>
      </c>
      <c r="AA121" s="12" t="b">
        <f aca="false">--AND($P121=1,$K121="P",INT(($E121-1)/8)=IF($F121="w",7,0))</f>
        <v>0</v>
      </c>
      <c r="AB121" s="11" t="str">
        <f aca="false">IF(LEN($C121)&gt;=5,IF(ISNUMBER(FIND(MID($C121,5,1),"qrbn")),UPPER(MID($C121,5,1)),"Q"),"Q")</f>
        <v>Q</v>
      </c>
      <c r="AC121" s="11" t="n">
        <f aca="false">IF($Y121=1,IF($I121=2,$D121+3,$D121-4),0)</f>
        <v>0</v>
      </c>
      <c r="AD121" s="11" t="n">
        <f aca="false">IF($Y121=1,IF($I121=2,$D121+1,$D121-1),0)</f>
        <v>0</v>
      </c>
      <c r="AE121" s="11" t="n">
        <f aca="false">IF($Z121=1,$E121-8*IF($F121="w",1,-1),0)</f>
        <v>0</v>
      </c>
      <c r="AF121" s="11" t="str">
        <f aca="false">IF($B121="","",IF($P121=1,LOWER(INDEX($CV$2:$CV$13,MATCH($G121,$CU$2:$CU$13,0)))&amp;" "&amp;MID("abcdefgh",MOD($D121-1,8)+1,1)&amp;(INT(($D121-1)/8)+1)&amp;"→"&amp;MID("abcdefgh",MOD($E121-1,8)+1,1)&amp;(INT(($E121-1)/8)+1)&amp;IF(OR($H121&lt;&gt;"",$Z121=1)," ×","")&amp;IF($Y121=1," castles","")&amp;IF($Z121=1," e.p.","")&amp;IF($AA121=1," =" &amp;LOWER(INDEX($CV$2:$CV$13,MATCH($F121&amp;$AB121,$CU$2:$CU$13,0))),""),"X "&amp;$Q121))</f>
        <v/>
      </c>
      <c r="AG121" s="11"/>
      <c r="AH121" s="11" t="str">
        <f aca="false">IF($P121=0,AH120,IF(AH$3=$E121,IF($AA121=1,$F121&amp;$AB121,$G121),IF(OR(AH$3=$D121,AH$3=$AC121,AH$3=$AE121),"",IF(AH$3=$AD121,$F121&amp;"R",AH120))))</f>
        <v>wR</v>
      </c>
      <c r="AI121" s="11" t="str">
        <f aca="false">IF($P121=0,AI120,IF(AI$3=$E121,IF($AA121=1,$F121&amp;$AB121,$G121),IF(OR(AI$3=$D121,AI$3=$AC121,AI$3=$AE121),"",IF(AI$3=$AD121,$F121&amp;"R",AI120))))</f>
        <v>wN</v>
      </c>
      <c r="AJ121" s="11" t="str">
        <f aca="false">IF($P121=0,AJ120,IF(AJ$3=$E121,IF($AA121=1,$F121&amp;$AB121,$G121),IF(OR(AJ$3=$D121,AJ$3=$AC121,AJ$3=$AE121),"",IF(AJ$3=$AD121,$F121&amp;"R",AJ120))))</f>
        <v>wB</v>
      </c>
      <c r="AK121" s="11" t="str">
        <f aca="false">IF($P121=0,AK120,IF(AK$3=$E121,IF($AA121=1,$F121&amp;$AB121,$G121),IF(OR(AK$3=$D121,AK$3=$AC121,AK$3=$AE121),"",IF(AK$3=$AD121,$F121&amp;"R",AK120))))</f>
        <v>wQ</v>
      </c>
      <c r="AL121" s="11" t="str">
        <f aca="false">IF($P121=0,AL120,IF(AL$3=$E121,IF($AA121=1,$F121&amp;$AB121,$G121),IF(OR(AL$3=$D121,AL$3=$AC121,AL$3=$AE121),"",IF(AL$3=$AD121,$F121&amp;"R",AL120))))</f>
        <v>wK</v>
      </c>
      <c r="AM121" s="11" t="str">
        <f aca="false">IF($P121=0,AM120,IF(AM$3=$E121,IF($AA121=1,$F121&amp;$AB121,$G121),IF(OR(AM$3=$D121,AM$3=$AC121,AM$3=$AE121),"",IF(AM$3=$AD121,$F121&amp;"R",AM120))))</f>
        <v>wB</v>
      </c>
      <c r="AN121" s="11" t="str">
        <f aca="false">IF($P121=0,AN120,IF(AN$3=$E121,IF($AA121=1,$F121&amp;$AB121,$G121),IF(OR(AN$3=$D121,AN$3=$AC121,AN$3=$AE121),"",IF(AN$3=$AD121,$F121&amp;"R",AN120))))</f>
        <v>wN</v>
      </c>
      <c r="AO121" s="11" t="str">
        <f aca="false">IF($P121=0,AO120,IF(AO$3=$E121,IF($AA121=1,$F121&amp;$AB121,$G121),IF(OR(AO$3=$D121,AO$3=$AC121,AO$3=$AE121),"",IF(AO$3=$AD121,$F121&amp;"R",AO120))))</f>
        <v>wR</v>
      </c>
      <c r="AP121" s="11" t="str">
        <f aca="false">IF($P121=0,AP120,IF(AP$3=$E121,IF($AA121=1,$F121&amp;$AB121,$G121),IF(OR(AP$3=$D121,AP$3=$AC121,AP$3=$AE121),"",IF(AP$3=$AD121,$F121&amp;"R",AP120))))</f>
        <v>wP</v>
      </c>
      <c r="AQ121" s="11" t="str">
        <f aca="false">IF($P121=0,AQ120,IF(AQ$3=$E121,IF($AA121=1,$F121&amp;$AB121,$G121),IF(OR(AQ$3=$D121,AQ$3=$AC121,AQ$3=$AE121),"",IF(AQ$3=$AD121,$F121&amp;"R",AQ120))))</f>
        <v>wP</v>
      </c>
      <c r="AR121" s="11" t="str">
        <f aca="false">IF($P121=0,AR120,IF(AR$3=$E121,IF($AA121=1,$F121&amp;$AB121,$G121),IF(OR(AR$3=$D121,AR$3=$AC121,AR$3=$AE121),"",IF(AR$3=$AD121,$F121&amp;"R",AR120))))</f>
        <v>wP</v>
      </c>
      <c r="AS121" s="11" t="str">
        <f aca="false">IF($P121=0,AS120,IF(AS$3=$E121,IF($AA121=1,$F121&amp;$AB121,$G121),IF(OR(AS$3=$D121,AS$3=$AC121,AS$3=$AE121),"",IF(AS$3=$AD121,$F121&amp;"R",AS120))))</f>
        <v>wP</v>
      </c>
      <c r="AT121" s="11" t="str">
        <f aca="false">IF($P121=0,AT120,IF(AT$3=$E121,IF($AA121=1,$F121&amp;$AB121,$G121),IF(OR(AT$3=$D121,AT$3=$AC121,AT$3=$AE121),"",IF(AT$3=$AD121,$F121&amp;"R",AT120))))</f>
        <v>wP</v>
      </c>
      <c r="AU121" s="11" t="str">
        <f aca="false">IF($P121=0,AU120,IF(AU$3=$E121,IF($AA121=1,$F121&amp;$AB121,$G121),IF(OR(AU$3=$D121,AU$3=$AC121,AU$3=$AE121),"",IF(AU$3=$AD121,$F121&amp;"R",AU120))))</f>
        <v>wP</v>
      </c>
      <c r="AV121" s="11" t="str">
        <f aca="false">IF($P121=0,AV120,IF(AV$3=$E121,IF($AA121=1,$F121&amp;$AB121,$G121),IF(OR(AV$3=$D121,AV$3=$AC121,AV$3=$AE121),"",IF(AV$3=$AD121,$F121&amp;"R",AV120))))</f>
        <v>wP</v>
      </c>
      <c r="AW121" s="11" t="str">
        <f aca="false">IF($P121=0,AW120,IF(AW$3=$E121,IF($AA121=1,$F121&amp;$AB121,$G121),IF(OR(AW$3=$D121,AW$3=$AC121,AW$3=$AE121),"",IF(AW$3=$AD121,$F121&amp;"R",AW120))))</f>
        <v>wP</v>
      </c>
      <c r="AX121" s="11" t="str">
        <f aca="false">IF($P121=0,AX120,IF(AX$3=$E121,IF($AA121=1,$F121&amp;$AB121,$G121),IF(OR(AX$3=$D121,AX$3=$AC121,AX$3=$AE121),"",IF(AX$3=$AD121,$F121&amp;"R",AX120))))</f>
        <v/>
      </c>
      <c r="AY121" s="11" t="str">
        <f aca="false">IF($P121=0,AY120,IF(AY$3=$E121,IF($AA121=1,$F121&amp;$AB121,$G121),IF(OR(AY$3=$D121,AY$3=$AC121,AY$3=$AE121),"",IF(AY$3=$AD121,$F121&amp;"R",AY120))))</f>
        <v/>
      </c>
      <c r="AZ121" s="11" t="str">
        <f aca="false">IF($P121=0,AZ120,IF(AZ$3=$E121,IF($AA121=1,$F121&amp;$AB121,$G121),IF(OR(AZ$3=$D121,AZ$3=$AC121,AZ$3=$AE121),"",IF(AZ$3=$AD121,$F121&amp;"R",AZ120))))</f>
        <v/>
      </c>
      <c r="BA121" s="11" t="str">
        <f aca="false">IF($P121=0,BA120,IF(BA$3=$E121,IF($AA121=1,$F121&amp;$AB121,$G121),IF(OR(BA$3=$D121,BA$3=$AC121,BA$3=$AE121),"",IF(BA$3=$AD121,$F121&amp;"R",BA120))))</f>
        <v/>
      </c>
      <c r="BB121" s="11" t="str">
        <f aca="false">IF($P121=0,BB120,IF(BB$3=$E121,IF($AA121=1,$F121&amp;$AB121,$G121),IF(OR(BB$3=$D121,BB$3=$AC121,BB$3=$AE121),"",IF(BB$3=$AD121,$F121&amp;"R",BB120))))</f>
        <v/>
      </c>
      <c r="BC121" s="11" t="str">
        <f aca="false">IF($P121=0,BC120,IF(BC$3=$E121,IF($AA121=1,$F121&amp;$AB121,$G121),IF(OR(BC$3=$D121,BC$3=$AC121,BC$3=$AE121),"",IF(BC$3=$AD121,$F121&amp;"R",BC120))))</f>
        <v/>
      </c>
      <c r="BD121" s="11" t="str">
        <f aca="false">IF($P121=0,BD120,IF(BD$3=$E121,IF($AA121=1,$F121&amp;$AB121,$G121),IF(OR(BD$3=$D121,BD$3=$AC121,BD$3=$AE121),"",IF(BD$3=$AD121,$F121&amp;"R",BD120))))</f>
        <v/>
      </c>
      <c r="BE121" s="11" t="str">
        <f aca="false">IF($P121=0,BE120,IF(BE$3=$E121,IF($AA121=1,$F121&amp;$AB121,$G121),IF(OR(BE$3=$D121,BE$3=$AC121,BE$3=$AE121),"",IF(BE$3=$AD121,$F121&amp;"R",BE120))))</f>
        <v/>
      </c>
      <c r="BF121" s="11" t="str">
        <f aca="false">IF($P121=0,BF120,IF(BF$3=$E121,IF($AA121=1,$F121&amp;$AB121,$G121),IF(OR(BF$3=$D121,BF$3=$AC121,BF$3=$AE121),"",IF(BF$3=$AD121,$F121&amp;"R",BF120))))</f>
        <v/>
      </c>
      <c r="BG121" s="11" t="str">
        <f aca="false">IF($P121=0,BG120,IF(BG$3=$E121,IF($AA121=1,$F121&amp;$AB121,$G121),IF(OR(BG$3=$D121,BG$3=$AC121,BG$3=$AE121),"",IF(BG$3=$AD121,$F121&amp;"R",BG120))))</f>
        <v/>
      </c>
      <c r="BH121" s="11" t="str">
        <f aca="false">IF($P121=0,BH120,IF(BH$3=$E121,IF($AA121=1,$F121&amp;$AB121,$G121),IF(OR(BH$3=$D121,BH$3=$AC121,BH$3=$AE121),"",IF(BH$3=$AD121,$F121&amp;"R",BH120))))</f>
        <v/>
      </c>
      <c r="BI121" s="11" t="str">
        <f aca="false">IF($P121=0,BI120,IF(BI$3=$E121,IF($AA121=1,$F121&amp;$AB121,$G121),IF(OR(BI$3=$D121,BI$3=$AC121,BI$3=$AE121),"",IF(BI$3=$AD121,$F121&amp;"R",BI120))))</f>
        <v/>
      </c>
      <c r="BJ121" s="11" t="str">
        <f aca="false">IF($P121=0,BJ120,IF(BJ$3=$E121,IF($AA121=1,$F121&amp;$AB121,$G121),IF(OR(BJ$3=$D121,BJ$3=$AC121,BJ$3=$AE121),"",IF(BJ$3=$AD121,$F121&amp;"R",BJ120))))</f>
        <v/>
      </c>
      <c r="BK121" s="11" t="str">
        <f aca="false">IF($P121=0,BK120,IF(BK$3=$E121,IF($AA121=1,$F121&amp;$AB121,$G121),IF(OR(BK$3=$D121,BK$3=$AC121,BK$3=$AE121),"",IF(BK$3=$AD121,$F121&amp;"R",BK120))))</f>
        <v/>
      </c>
      <c r="BL121" s="11" t="str">
        <f aca="false">IF($P121=0,BL120,IF(BL$3=$E121,IF($AA121=1,$F121&amp;$AB121,$G121),IF(OR(BL$3=$D121,BL$3=$AC121,BL$3=$AE121),"",IF(BL$3=$AD121,$F121&amp;"R",BL120))))</f>
        <v/>
      </c>
      <c r="BM121" s="11" t="str">
        <f aca="false">IF($P121=0,BM120,IF(BM$3=$E121,IF($AA121=1,$F121&amp;$AB121,$G121),IF(OR(BM$3=$D121,BM$3=$AC121,BM$3=$AE121),"",IF(BM$3=$AD121,$F121&amp;"R",BM120))))</f>
        <v/>
      </c>
      <c r="BN121" s="11" t="str">
        <f aca="false">IF($P121=0,BN120,IF(BN$3=$E121,IF($AA121=1,$F121&amp;$AB121,$G121),IF(OR(BN$3=$D121,BN$3=$AC121,BN$3=$AE121),"",IF(BN$3=$AD121,$F121&amp;"R",BN120))))</f>
        <v/>
      </c>
      <c r="BO121" s="11" t="str">
        <f aca="false">IF($P121=0,BO120,IF(BO$3=$E121,IF($AA121=1,$F121&amp;$AB121,$G121),IF(OR(BO$3=$D121,BO$3=$AC121,BO$3=$AE121),"",IF(BO$3=$AD121,$F121&amp;"R",BO120))))</f>
        <v/>
      </c>
      <c r="BP121" s="11" t="str">
        <f aca="false">IF($P121=0,BP120,IF(BP$3=$E121,IF($AA121=1,$F121&amp;$AB121,$G121),IF(OR(BP$3=$D121,BP$3=$AC121,BP$3=$AE121),"",IF(BP$3=$AD121,$F121&amp;"R",BP120))))</f>
        <v/>
      </c>
      <c r="BQ121" s="11" t="str">
        <f aca="false">IF($P121=0,BQ120,IF(BQ$3=$E121,IF($AA121=1,$F121&amp;$AB121,$G121),IF(OR(BQ$3=$D121,BQ$3=$AC121,BQ$3=$AE121),"",IF(BQ$3=$AD121,$F121&amp;"R",BQ120))))</f>
        <v/>
      </c>
      <c r="BR121" s="11" t="str">
        <f aca="false">IF($P121=0,BR120,IF(BR$3=$E121,IF($AA121=1,$F121&amp;$AB121,$G121),IF(OR(BR$3=$D121,BR$3=$AC121,BR$3=$AE121),"",IF(BR$3=$AD121,$F121&amp;"R",BR120))))</f>
        <v/>
      </c>
      <c r="BS121" s="11" t="str">
        <f aca="false">IF($P121=0,BS120,IF(BS$3=$E121,IF($AA121=1,$F121&amp;$AB121,$G121),IF(OR(BS$3=$D121,BS$3=$AC121,BS$3=$AE121),"",IF(BS$3=$AD121,$F121&amp;"R",BS120))))</f>
        <v/>
      </c>
      <c r="BT121" s="11" t="str">
        <f aca="false">IF($P121=0,BT120,IF(BT$3=$E121,IF($AA121=1,$F121&amp;$AB121,$G121),IF(OR(BT$3=$D121,BT$3=$AC121,BT$3=$AE121),"",IF(BT$3=$AD121,$F121&amp;"R",BT120))))</f>
        <v/>
      </c>
      <c r="BU121" s="11" t="str">
        <f aca="false">IF($P121=0,BU120,IF(BU$3=$E121,IF($AA121=1,$F121&amp;$AB121,$G121),IF(OR(BU$3=$D121,BU$3=$AC121,BU$3=$AE121),"",IF(BU$3=$AD121,$F121&amp;"R",BU120))))</f>
        <v/>
      </c>
      <c r="BV121" s="11" t="str">
        <f aca="false">IF($P121=0,BV120,IF(BV$3=$E121,IF($AA121=1,$F121&amp;$AB121,$G121),IF(OR(BV$3=$D121,BV$3=$AC121,BV$3=$AE121),"",IF(BV$3=$AD121,$F121&amp;"R",BV120))))</f>
        <v/>
      </c>
      <c r="BW121" s="11" t="str">
        <f aca="false">IF($P121=0,BW120,IF(BW$3=$E121,IF($AA121=1,$F121&amp;$AB121,$G121),IF(OR(BW$3=$D121,BW$3=$AC121,BW$3=$AE121),"",IF(BW$3=$AD121,$F121&amp;"R",BW120))))</f>
        <v/>
      </c>
      <c r="BX121" s="11" t="str">
        <f aca="false">IF($P121=0,BX120,IF(BX$3=$E121,IF($AA121=1,$F121&amp;$AB121,$G121),IF(OR(BX$3=$D121,BX$3=$AC121,BX$3=$AE121),"",IF(BX$3=$AD121,$F121&amp;"R",BX120))))</f>
        <v/>
      </c>
      <c r="BY121" s="11" t="str">
        <f aca="false">IF($P121=0,BY120,IF(BY$3=$E121,IF($AA121=1,$F121&amp;$AB121,$G121),IF(OR(BY$3=$D121,BY$3=$AC121,BY$3=$AE121),"",IF(BY$3=$AD121,$F121&amp;"R",BY120))))</f>
        <v/>
      </c>
      <c r="BZ121" s="11" t="str">
        <f aca="false">IF($P121=0,BZ120,IF(BZ$3=$E121,IF($AA121=1,$F121&amp;$AB121,$G121),IF(OR(BZ$3=$D121,BZ$3=$AC121,BZ$3=$AE121),"",IF(BZ$3=$AD121,$F121&amp;"R",BZ120))))</f>
        <v/>
      </c>
      <c r="CA121" s="11" t="str">
        <f aca="false">IF($P121=0,CA120,IF(CA$3=$E121,IF($AA121=1,$F121&amp;$AB121,$G121),IF(OR(CA$3=$D121,CA$3=$AC121,CA$3=$AE121),"",IF(CA$3=$AD121,$F121&amp;"R",CA120))))</f>
        <v/>
      </c>
      <c r="CB121" s="11" t="str">
        <f aca="false">IF($P121=0,CB120,IF(CB$3=$E121,IF($AA121=1,$F121&amp;$AB121,$G121),IF(OR(CB$3=$D121,CB$3=$AC121,CB$3=$AE121),"",IF(CB$3=$AD121,$F121&amp;"R",CB120))))</f>
        <v/>
      </c>
      <c r="CC121" s="11" t="str">
        <f aca="false">IF($P121=0,CC120,IF(CC$3=$E121,IF($AA121=1,$F121&amp;$AB121,$G121),IF(OR(CC$3=$D121,CC$3=$AC121,CC$3=$AE121),"",IF(CC$3=$AD121,$F121&amp;"R",CC120))))</f>
        <v/>
      </c>
      <c r="CD121" s="11" t="str">
        <f aca="false">IF($P121=0,CD120,IF(CD$3=$E121,IF($AA121=1,$F121&amp;$AB121,$G121),IF(OR(CD$3=$D121,CD$3=$AC121,CD$3=$AE121),"",IF(CD$3=$AD121,$F121&amp;"R",CD120))))</f>
        <v>bP</v>
      </c>
      <c r="CE121" s="11" t="str">
        <f aca="false">IF($P121=0,CE120,IF(CE$3=$E121,IF($AA121=1,$F121&amp;$AB121,$G121),IF(OR(CE$3=$D121,CE$3=$AC121,CE$3=$AE121),"",IF(CE$3=$AD121,$F121&amp;"R",CE120))))</f>
        <v>bP</v>
      </c>
      <c r="CF121" s="11" t="str">
        <f aca="false">IF($P121=0,CF120,IF(CF$3=$E121,IF($AA121=1,$F121&amp;$AB121,$G121),IF(OR(CF$3=$D121,CF$3=$AC121,CF$3=$AE121),"",IF(CF$3=$AD121,$F121&amp;"R",CF120))))</f>
        <v>bP</v>
      </c>
      <c r="CG121" s="11" t="str">
        <f aca="false">IF($P121=0,CG120,IF(CG$3=$E121,IF($AA121=1,$F121&amp;$AB121,$G121),IF(OR(CG$3=$D121,CG$3=$AC121,CG$3=$AE121),"",IF(CG$3=$AD121,$F121&amp;"R",CG120))))</f>
        <v>bP</v>
      </c>
      <c r="CH121" s="11" t="str">
        <f aca="false">IF($P121=0,CH120,IF(CH$3=$E121,IF($AA121=1,$F121&amp;$AB121,$G121),IF(OR(CH$3=$D121,CH$3=$AC121,CH$3=$AE121),"",IF(CH$3=$AD121,$F121&amp;"R",CH120))))</f>
        <v>bP</v>
      </c>
      <c r="CI121" s="11" t="str">
        <f aca="false">IF($P121=0,CI120,IF(CI$3=$E121,IF($AA121=1,$F121&amp;$AB121,$G121),IF(OR(CI$3=$D121,CI$3=$AC121,CI$3=$AE121),"",IF(CI$3=$AD121,$F121&amp;"R",CI120))))</f>
        <v>bP</v>
      </c>
      <c r="CJ121" s="11" t="str">
        <f aca="false">IF($P121=0,CJ120,IF(CJ$3=$E121,IF($AA121=1,$F121&amp;$AB121,$G121),IF(OR(CJ$3=$D121,CJ$3=$AC121,CJ$3=$AE121),"",IF(CJ$3=$AD121,$F121&amp;"R",CJ120))))</f>
        <v>bP</v>
      </c>
      <c r="CK121" s="11" t="str">
        <f aca="false">IF($P121=0,CK120,IF(CK$3=$E121,IF($AA121=1,$F121&amp;$AB121,$G121),IF(OR(CK$3=$D121,CK$3=$AC121,CK$3=$AE121),"",IF(CK$3=$AD121,$F121&amp;"R",CK120))))</f>
        <v>bP</v>
      </c>
      <c r="CL121" s="11" t="str">
        <f aca="false">IF($P121=0,CL120,IF(CL$3=$E121,IF($AA121=1,$F121&amp;$AB121,$G121),IF(OR(CL$3=$D121,CL$3=$AC121,CL$3=$AE121),"",IF(CL$3=$AD121,$F121&amp;"R",CL120))))</f>
        <v>bR</v>
      </c>
      <c r="CM121" s="11" t="str">
        <f aca="false">IF($P121=0,CM120,IF(CM$3=$E121,IF($AA121=1,$F121&amp;$AB121,$G121),IF(OR(CM$3=$D121,CM$3=$AC121,CM$3=$AE121),"",IF(CM$3=$AD121,$F121&amp;"R",CM120))))</f>
        <v>bN</v>
      </c>
      <c r="CN121" s="11" t="str">
        <f aca="false">IF($P121=0,CN120,IF(CN$3=$E121,IF($AA121=1,$F121&amp;$AB121,$G121),IF(OR(CN$3=$D121,CN$3=$AC121,CN$3=$AE121),"",IF(CN$3=$AD121,$F121&amp;"R",CN120))))</f>
        <v>bB</v>
      </c>
      <c r="CO121" s="11" t="str">
        <f aca="false">IF($P121=0,CO120,IF(CO$3=$E121,IF($AA121=1,$F121&amp;$AB121,$G121),IF(OR(CO$3=$D121,CO$3=$AC121,CO$3=$AE121),"",IF(CO$3=$AD121,$F121&amp;"R",CO120))))</f>
        <v>bQ</v>
      </c>
      <c r="CP121" s="11" t="str">
        <f aca="false">IF($P121=0,CP120,IF(CP$3=$E121,IF($AA121=1,$F121&amp;$AB121,$G121),IF(OR(CP$3=$D121,CP$3=$AC121,CP$3=$AE121),"",IF(CP$3=$AD121,$F121&amp;"R",CP120))))</f>
        <v>bK</v>
      </c>
      <c r="CQ121" s="11" t="str">
        <f aca="false">IF($P121=0,CQ120,IF(CQ$3=$E121,IF($AA121=1,$F121&amp;$AB121,$G121),IF(OR(CQ$3=$D121,CQ$3=$AC121,CQ$3=$AE121),"",IF(CQ$3=$AD121,$F121&amp;"R",CQ120))))</f>
        <v>bB</v>
      </c>
      <c r="CR121" s="11" t="str">
        <f aca="false">IF($P121=0,CR120,IF(CR$3=$E121,IF($AA121=1,$F121&amp;$AB121,$G121),IF(OR(CR$3=$D121,CR$3=$AC121,CR$3=$AE121),"",IF(CR$3=$AD121,$F121&amp;"R",CR120))))</f>
        <v>bN</v>
      </c>
      <c r="CS121" s="11" t="str">
        <f aca="false">IF($P121=0,CS120,IF(CS$3=$E121,IF($AA121=1,$F121&amp;$AB121,$G121),IF(OR(CS$3=$D121,CS$3=$AC121,CS$3=$AE121),"",IF(CS$3=$AD121,$F121&amp;"R",CS120))))</f>
        <v>bR</v>
      </c>
      <c r="CT121" s="11"/>
      <c r="CU121" s="11"/>
      <c r="CV121" s="11"/>
    </row>
    <row r="122" customFormat="false" ht="15" hidden="false" customHeight="false" outlineLevel="0" collapsed="false">
      <c r="A122" s="11" t="n">
        <v>117</v>
      </c>
      <c r="B122" s="11" t="str">
        <f aca="false">IF(Chess!$L$126="","",Chess!$L$126&amp;"")</f>
        <v/>
      </c>
      <c r="C122" s="11" t="str">
        <f aca="false">LOWER(SUBSTITUTE(SUBSTITUTE(SUBSTITUTE(SUBSTITUTE(TRIM($B122),"-",""),"=","")," ",""),"x",""))</f>
        <v/>
      </c>
      <c r="D122" s="11" t="n">
        <f aca="false">IF(LEN($C122)&lt;4,0,IFERROR(IF(AND(CODE(MID($C122,1,1))&gt;=97,CODE(MID($C122,1,1))&lt;=104,VALUE(MID($C122,2,1))&gt;=1,VALUE(MID($C122,2,1))&lt;=8),(VALUE(MID($C122,2,1))-1)*8+CODE(MID($C122,1,1))-96,0),0))</f>
        <v>0</v>
      </c>
      <c r="E122" s="11" t="n">
        <f aca="false">IF(LEN($C122)&lt;4,0,IFERROR(IF(AND(CODE(MID($C122,3,1))&gt;=97,CODE(MID($C122,3,1))&lt;=104,VALUE(MID($C122,4,1))&gt;=1,VALUE(MID($C122,4,1))&lt;=8),(VALUE(MID($C122,4,1))-1)*8+CODE(MID($C122,3,1))-96,0),0))</f>
        <v>0</v>
      </c>
      <c r="F122" s="11" t="str">
        <f aca="false">IF(MOD(SUM($P$5:$P121),2)=0,"w","b")</f>
        <v>w</v>
      </c>
      <c r="G122" s="11" t="str">
        <f aca="false">IF($D122=0,"",INDEX($AH121:$CS121,1,$D122)&amp;"")</f>
        <v/>
      </c>
      <c r="H122" s="11" t="str">
        <f aca="false">IF($E122=0,"",INDEX($AH121:$CS121,1,$E122)&amp;"")</f>
        <v/>
      </c>
      <c r="I122" s="11" t="n">
        <f aca="false">IF(OR($D122=0,$E122=0),0,MOD($E122-1,8)-MOD($D122-1,8))</f>
        <v>0</v>
      </c>
      <c r="J122" s="11" t="n">
        <f aca="false">IF(OR($D122=0,$E122=0),0,INT(($E122-1)/8)-INT(($D122-1)/8))</f>
        <v>0</v>
      </c>
      <c r="K122" s="11" t="str">
        <f aca="false">IF($G122="","",RIGHT($G122,1))</f>
        <v/>
      </c>
      <c r="L122" s="11" t="n">
        <f aca="false">IF(OR($D122=0,$E122=0),0,SUMPRODUCT(($AH$3:$CS$3&gt;MIN($D122,$E122))*($AH$3:$CS$3&lt;MAX($D122,$E122))*(MOD($AH$3:$CS$3-MIN($D122,$E122),MAX(1,ABS(SIGN($J122)*8+SIGN($I122))))=0)*($AH121:$CS121&lt;&gt;"")))</f>
        <v>0</v>
      </c>
      <c r="M122" s="11" t="n">
        <f aca="false">IF($K122&lt;&gt;"K",0,IFERROR(--AND($J122=0,ABS($I122)=2,$D122=IF($F122="w",5,61),IF($F122="w",$S121,$V121)=0,IF($I122=2,AND(IF($F122="w",$U121,$X121)=0,INDEX($AH121:$CS121,1,$D122+1)&amp;""="",INDEX($AH121:$CS121,1,$D122+2)&amp;""=""),AND(IF($F122="w",$T121,$W121)=0,INDEX($AH121:$CS121,1,$D122-1)&amp;""="",INDEX($AH121:$CS121,1,$D122-2)&amp;""="",INDEX($AH121:$CS121,1,$D122-3)&amp;""=""))),0))</f>
        <v>0</v>
      </c>
      <c r="N122" s="11" t="n">
        <f aca="false">IF($K122&lt;&gt;"P",0,IFERROR(--OR(AND($I122=0,$J122=IF($F122="w",1,-1),$H122=""),AND($I122=0,$J122=2*IF($F122="w",1,-1),$H122="",INT(($D122-1)/8)=IF($F122="w",1,6),INDEX($AH121:$CS121,1,MAX(1,MIN(64,$D122+8*IF($F122="w",1,-1))))&amp;""=""),AND(ABS($I122)=1,$J122=IF($F122="w",1,-1),$H122&lt;&gt;""),AND(ABS($I122)=1,$J122=IF($F122="w",1,-1),$H122="",$R121&gt;0,$E122=$R121)),0))</f>
        <v>0</v>
      </c>
      <c r="O122" s="11" t="n">
        <f aca="false">IF(OR($D122=0,$E122=0,$G122=""),0,IF($K122="N",--OR(AND(ABS($I122)=1,ABS($J122)=2),AND(ABS($I122)=2,ABS($J122)=1)),IF($K122="B",--AND(ABS($I122)=ABS($J122),$I122&lt;&gt;0,$L122=0),IF($K122="R",--AND(OR($I122=0,$J122=0),OR($I122&lt;&gt;0,$J122&lt;&gt;0),$L122=0),IF($K122="Q",--AND(OR(AND(ABS($I122)=ABS($J122),$I122&lt;&gt;0),AND(OR($I122=0,$J122=0),OR($I122&lt;&gt;0,$J122&lt;&gt;0))),$L122=0),IF($K122="K",--OR(MAX(ABS($I122),ABS($J122))=1,$M122=1),$N122))))))</f>
        <v>0</v>
      </c>
      <c r="P122" s="11" t="n">
        <f aca="false">IF($Q122="OK",1,0)</f>
        <v>0</v>
      </c>
      <c r="Q122" s="11" t="str">
        <f aca="false">IF($B122="","",IF(OR(COUNTIF($AH121:$CS121,"wK")=0,COUNTIF($AH121:$CS121,"bK")=0),"Game is over",IF(OR($D122=0,$E122=0),"Use the format e2e4",IF($G122="","No piece on that square",IF(LEFT($G122,1)&lt;&gt;$F122,"Not your piece ("&amp;IF($F122="w","White","Black")&amp;" to move)",IF($D122=$E122,"Piece must move",IF(AND($H122&lt;&gt;"",LEFT($H122,1)=$F122),"Cannot capture your own piece",IF($O122=0,"Illegal move for that piece (or path blocked)","OK"))))))))</f>
        <v/>
      </c>
      <c r="R122" s="11" t="n">
        <f aca="false">IF($P122=1,IF(AND($K122="P",ABS($J122)=2),($D122+$E122)/2,0),$R121)</f>
        <v>0</v>
      </c>
      <c r="S122" s="12" t="b">
        <f aca="false">--OR($S121=1,AND($P122=1,OR($D122=5,$E122=5)))</f>
        <v>0</v>
      </c>
      <c r="T122" s="12" t="b">
        <f aca="false">--OR($T121=1,AND($P122=1,OR($D122=1,$E122=1)))</f>
        <v>0</v>
      </c>
      <c r="U122" s="12" t="b">
        <f aca="false">--OR($U121=1,AND($P122=1,OR($D122=8,$E122=8)))</f>
        <v>0</v>
      </c>
      <c r="V122" s="12" t="b">
        <f aca="false">--OR($V121=1,AND($P122=1,OR($D122=61,$E122=61)))</f>
        <v>0</v>
      </c>
      <c r="W122" s="12" t="b">
        <f aca="false">--OR($W121=1,AND($P122=1,OR($D122=57,$E122=57)))</f>
        <v>0</v>
      </c>
      <c r="X122" s="12" t="b">
        <f aca="false">--OR($X121=1,AND($P122=1,OR($D122=64,$E122=64)))</f>
        <v>0</v>
      </c>
      <c r="Y122" s="12" t="b">
        <f aca="false">--AND($P122=1,$K122="K",ABS($I122)=2)</f>
        <v>0</v>
      </c>
      <c r="Z122" s="12" t="b">
        <f aca="false">--AND($P122=1,$K122="P",ABS($I122)=1,$H122="")</f>
        <v>0</v>
      </c>
      <c r="AA122" s="12" t="b">
        <f aca="false">--AND($P122=1,$K122="P",INT(($E122-1)/8)=IF($F122="w",7,0))</f>
        <v>0</v>
      </c>
      <c r="AB122" s="11" t="str">
        <f aca="false">IF(LEN($C122)&gt;=5,IF(ISNUMBER(FIND(MID($C122,5,1),"qrbn")),UPPER(MID($C122,5,1)),"Q"),"Q")</f>
        <v>Q</v>
      </c>
      <c r="AC122" s="11" t="n">
        <f aca="false">IF($Y122=1,IF($I122=2,$D122+3,$D122-4),0)</f>
        <v>0</v>
      </c>
      <c r="AD122" s="11" t="n">
        <f aca="false">IF($Y122=1,IF($I122=2,$D122+1,$D122-1),0)</f>
        <v>0</v>
      </c>
      <c r="AE122" s="11" t="n">
        <f aca="false">IF($Z122=1,$E122-8*IF($F122="w",1,-1),0)</f>
        <v>0</v>
      </c>
      <c r="AF122" s="11" t="str">
        <f aca="false">IF($B122="","",IF($P122=1,LOWER(INDEX($CV$2:$CV$13,MATCH($G122,$CU$2:$CU$13,0)))&amp;" "&amp;MID("abcdefgh",MOD($D122-1,8)+1,1)&amp;(INT(($D122-1)/8)+1)&amp;"→"&amp;MID("abcdefgh",MOD($E122-1,8)+1,1)&amp;(INT(($E122-1)/8)+1)&amp;IF(OR($H122&lt;&gt;"",$Z122=1)," ×","")&amp;IF($Y122=1," castles","")&amp;IF($Z122=1," e.p.","")&amp;IF($AA122=1," =" &amp;LOWER(INDEX($CV$2:$CV$13,MATCH($F122&amp;$AB122,$CU$2:$CU$13,0))),""),"X "&amp;$Q122))</f>
        <v/>
      </c>
      <c r="AG122" s="11"/>
      <c r="AH122" s="11" t="str">
        <f aca="false">IF($P122=0,AH121,IF(AH$3=$E122,IF($AA122=1,$F122&amp;$AB122,$G122),IF(OR(AH$3=$D122,AH$3=$AC122,AH$3=$AE122),"",IF(AH$3=$AD122,$F122&amp;"R",AH121))))</f>
        <v>wR</v>
      </c>
      <c r="AI122" s="11" t="str">
        <f aca="false">IF($P122=0,AI121,IF(AI$3=$E122,IF($AA122=1,$F122&amp;$AB122,$G122),IF(OR(AI$3=$D122,AI$3=$AC122,AI$3=$AE122),"",IF(AI$3=$AD122,$F122&amp;"R",AI121))))</f>
        <v>wN</v>
      </c>
      <c r="AJ122" s="11" t="str">
        <f aca="false">IF($P122=0,AJ121,IF(AJ$3=$E122,IF($AA122=1,$F122&amp;$AB122,$G122),IF(OR(AJ$3=$D122,AJ$3=$AC122,AJ$3=$AE122),"",IF(AJ$3=$AD122,$F122&amp;"R",AJ121))))</f>
        <v>wB</v>
      </c>
      <c r="AK122" s="11" t="str">
        <f aca="false">IF($P122=0,AK121,IF(AK$3=$E122,IF($AA122=1,$F122&amp;$AB122,$G122),IF(OR(AK$3=$D122,AK$3=$AC122,AK$3=$AE122),"",IF(AK$3=$AD122,$F122&amp;"R",AK121))))</f>
        <v>wQ</v>
      </c>
      <c r="AL122" s="11" t="str">
        <f aca="false">IF($P122=0,AL121,IF(AL$3=$E122,IF($AA122=1,$F122&amp;$AB122,$G122),IF(OR(AL$3=$D122,AL$3=$AC122,AL$3=$AE122),"",IF(AL$3=$AD122,$F122&amp;"R",AL121))))</f>
        <v>wK</v>
      </c>
      <c r="AM122" s="11" t="str">
        <f aca="false">IF($P122=0,AM121,IF(AM$3=$E122,IF($AA122=1,$F122&amp;$AB122,$G122),IF(OR(AM$3=$D122,AM$3=$AC122,AM$3=$AE122),"",IF(AM$3=$AD122,$F122&amp;"R",AM121))))</f>
        <v>wB</v>
      </c>
      <c r="AN122" s="11" t="str">
        <f aca="false">IF($P122=0,AN121,IF(AN$3=$E122,IF($AA122=1,$F122&amp;$AB122,$G122),IF(OR(AN$3=$D122,AN$3=$AC122,AN$3=$AE122),"",IF(AN$3=$AD122,$F122&amp;"R",AN121))))</f>
        <v>wN</v>
      </c>
      <c r="AO122" s="11" t="str">
        <f aca="false">IF($P122=0,AO121,IF(AO$3=$E122,IF($AA122=1,$F122&amp;$AB122,$G122),IF(OR(AO$3=$D122,AO$3=$AC122,AO$3=$AE122),"",IF(AO$3=$AD122,$F122&amp;"R",AO121))))</f>
        <v>wR</v>
      </c>
      <c r="AP122" s="11" t="str">
        <f aca="false">IF($P122=0,AP121,IF(AP$3=$E122,IF($AA122=1,$F122&amp;$AB122,$G122),IF(OR(AP$3=$D122,AP$3=$AC122,AP$3=$AE122),"",IF(AP$3=$AD122,$F122&amp;"R",AP121))))</f>
        <v>wP</v>
      </c>
      <c r="AQ122" s="11" t="str">
        <f aca="false">IF($P122=0,AQ121,IF(AQ$3=$E122,IF($AA122=1,$F122&amp;$AB122,$G122),IF(OR(AQ$3=$D122,AQ$3=$AC122,AQ$3=$AE122),"",IF(AQ$3=$AD122,$F122&amp;"R",AQ121))))</f>
        <v>wP</v>
      </c>
      <c r="AR122" s="11" t="str">
        <f aca="false">IF($P122=0,AR121,IF(AR$3=$E122,IF($AA122=1,$F122&amp;$AB122,$G122),IF(OR(AR$3=$D122,AR$3=$AC122,AR$3=$AE122),"",IF(AR$3=$AD122,$F122&amp;"R",AR121))))</f>
        <v>wP</v>
      </c>
      <c r="AS122" s="11" t="str">
        <f aca="false">IF($P122=0,AS121,IF(AS$3=$E122,IF($AA122=1,$F122&amp;$AB122,$G122),IF(OR(AS$3=$D122,AS$3=$AC122,AS$3=$AE122),"",IF(AS$3=$AD122,$F122&amp;"R",AS121))))</f>
        <v>wP</v>
      </c>
      <c r="AT122" s="11" t="str">
        <f aca="false">IF($P122=0,AT121,IF(AT$3=$E122,IF($AA122=1,$F122&amp;$AB122,$G122),IF(OR(AT$3=$D122,AT$3=$AC122,AT$3=$AE122),"",IF(AT$3=$AD122,$F122&amp;"R",AT121))))</f>
        <v>wP</v>
      </c>
      <c r="AU122" s="11" t="str">
        <f aca="false">IF($P122=0,AU121,IF(AU$3=$E122,IF($AA122=1,$F122&amp;$AB122,$G122),IF(OR(AU$3=$D122,AU$3=$AC122,AU$3=$AE122),"",IF(AU$3=$AD122,$F122&amp;"R",AU121))))</f>
        <v>wP</v>
      </c>
      <c r="AV122" s="11" t="str">
        <f aca="false">IF($P122=0,AV121,IF(AV$3=$E122,IF($AA122=1,$F122&amp;$AB122,$G122),IF(OR(AV$3=$D122,AV$3=$AC122,AV$3=$AE122),"",IF(AV$3=$AD122,$F122&amp;"R",AV121))))</f>
        <v>wP</v>
      </c>
      <c r="AW122" s="11" t="str">
        <f aca="false">IF($P122=0,AW121,IF(AW$3=$E122,IF($AA122=1,$F122&amp;$AB122,$G122),IF(OR(AW$3=$D122,AW$3=$AC122,AW$3=$AE122),"",IF(AW$3=$AD122,$F122&amp;"R",AW121))))</f>
        <v>wP</v>
      </c>
      <c r="AX122" s="11" t="str">
        <f aca="false">IF($P122=0,AX121,IF(AX$3=$E122,IF($AA122=1,$F122&amp;$AB122,$G122),IF(OR(AX$3=$D122,AX$3=$AC122,AX$3=$AE122),"",IF(AX$3=$AD122,$F122&amp;"R",AX121))))</f>
        <v/>
      </c>
      <c r="AY122" s="11" t="str">
        <f aca="false">IF($P122=0,AY121,IF(AY$3=$E122,IF($AA122=1,$F122&amp;$AB122,$G122),IF(OR(AY$3=$D122,AY$3=$AC122,AY$3=$AE122),"",IF(AY$3=$AD122,$F122&amp;"R",AY121))))</f>
        <v/>
      </c>
      <c r="AZ122" s="11" t="str">
        <f aca="false">IF($P122=0,AZ121,IF(AZ$3=$E122,IF($AA122=1,$F122&amp;$AB122,$G122),IF(OR(AZ$3=$D122,AZ$3=$AC122,AZ$3=$AE122),"",IF(AZ$3=$AD122,$F122&amp;"R",AZ121))))</f>
        <v/>
      </c>
      <c r="BA122" s="11" t="str">
        <f aca="false">IF($P122=0,BA121,IF(BA$3=$E122,IF($AA122=1,$F122&amp;$AB122,$G122),IF(OR(BA$3=$D122,BA$3=$AC122,BA$3=$AE122),"",IF(BA$3=$AD122,$F122&amp;"R",BA121))))</f>
        <v/>
      </c>
      <c r="BB122" s="11" t="str">
        <f aca="false">IF($P122=0,BB121,IF(BB$3=$E122,IF($AA122=1,$F122&amp;$AB122,$G122),IF(OR(BB$3=$D122,BB$3=$AC122,BB$3=$AE122),"",IF(BB$3=$AD122,$F122&amp;"R",BB121))))</f>
        <v/>
      </c>
      <c r="BC122" s="11" t="str">
        <f aca="false">IF($P122=0,BC121,IF(BC$3=$E122,IF($AA122=1,$F122&amp;$AB122,$G122),IF(OR(BC$3=$D122,BC$3=$AC122,BC$3=$AE122),"",IF(BC$3=$AD122,$F122&amp;"R",BC121))))</f>
        <v/>
      </c>
      <c r="BD122" s="11" t="str">
        <f aca="false">IF($P122=0,BD121,IF(BD$3=$E122,IF($AA122=1,$F122&amp;$AB122,$G122),IF(OR(BD$3=$D122,BD$3=$AC122,BD$3=$AE122),"",IF(BD$3=$AD122,$F122&amp;"R",BD121))))</f>
        <v/>
      </c>
      <c r="BE122" s="11" t="str">
        <f aca="false">IF($P122=0,BE121,IF(BE$3=$E122,IF($AA122=1,$F122&amp;$AB122,$G122),IF(OR(BE$3=$D122,BE$3=$AC122,BE$3=$AE122),"",IF(BE$3=$AD122,$F122&amp;"R",BE121))))</f>
        <v/>
      </c>
      <c r="BF122" s="11" t="str">
        <f aca="false">IF($P122=0,BF121,IF(BF$3=$E122,IF($AA122=1,$F122&amp;$AB122,$G122),IF(OR(BF$3=$D122,BF$3=$AC122,BF$3=$AE122),"",IF(BF$3=$AD122,$F122&amp;"R",BF121))))</f>
        <v/>
      </c>
      <c r="BG122" s="11" t="str">
        <f aca="false">IF($P122=0,BG121,IF(BG$3=$E122,IF($AA122=1,$F122&amp;$AB122,$G122),IF(OR(BG$3=$D122,BG$3=$AC122,BG$3=$AE122),"",IF(BG$3=$AD122,$F122&amp;"R",BG121))))</f>
        <v/>
      </c>
      <c r="BH122" s="11" t="str">
        <f aca="false">IF($P122=0,BH121,IF(BH$3=$E122,IF($AA122=1,$F122&amp;$AB122,$G122),IF(OR(BH$3=$D122,BH$3=$AC122,BH$3=$AE122),"",IF(BH$3=$AD122,$F122&amp;"R",BH121))))</f>
        <v/>
      </c>
      <c r="BI122" s="11" t="str">
        <f aca="false">IF($P122=0,BI121,IF(BI$3=$E122,IF($AA122=1,$F122&amp;$AB122,$G122),IF(OR(BI$3=$D122,BI$3=$AC122,BI$3=$AE122),"",IF(BI$3=$AD122,$F122&amp;"R",BI121))))</f>
        <v/>
      </c>
      <c r="BJ122" s="11" t="str">
        <f aca="false">IF($P122=0,BJ121,IF(BJ$3=$E122,IF($AA122=1,$F122&amp;$AB122,$G122),IF(OR(BJ$3=$D122,BJ$3=$AC122,BJ$3=$AE122),"",IF(BJ$3=$AD122,$F122&amp;"R",BJ121))))</f>
        <v/>
      </c>
      <c r="BK122" s="11" t="str">
        <f aca="false">IF($P122=0,BK121,IF(BK$3=$E122,IF($AA122=1,$F122&amp;$AB122,$G122),IF(OR(BK$3=$D122,BK$3=$AC122,BK$3=$AE122),"",IF(BK$3=$AD122,$F122&amp;"R",BK121))))</f>
        <v/>
      </c>
      <c r="BL122" s="11" t="str">
        <f aca="false">IF($P122=0,BL121,IF(BL$3=$E122,IF($AA122=1,$F122&amp;$AB122,$G122),IF(OR(BL$3=$D122,BL$3=$AC122,BL$3=$AE122),"",IF(BL$3=$AD122,$F122&amp;"R",BL121))))</f>
        <v/>
      </c>
      <c r="BM122" s="11" t="str">
        <f aca="false">IF($P122=0,BM121,IF(BM$3=$E122,IF($AA122=1,$F122&amp;$AB122,$G122),IF(OR(BM$3=$D122,BM$3=$AC122,BM$3=$AE122),"",IF(BM$3=$AD122,$F122&amp;"R",BM121))))</f>
        <v/>
      </c>
      <c r="BN122" s="11" t="str">
        <f aca="false">IF($P122=0,BN121,IF(BN$3=$E122,IF($AA122=1,$F122&amp;$AB122,$G122),IF(OR(BN$3=$D122,BN$3=$AC122,BN$3=$AE122),"",IF(BN$3=$AD122,$F122&amp;"R",BN121))))</f>
        <v/>
      </c>
      <c r="BO122" s="11" t="str">
        <f aca="false">IF($P122=0,BO121,IF(BO$3=$E122,IF($AA122=1,$F122&amp;$AB122,$G122),IF(OR(BO$3=$D122,BO$3=$AC122,BO$3=$AE122),"",IF(BO$3=$AD122,$F122&amp;"R",BO121))))</f>
        <v/>
      </c>
      <c r="BP122" s="11" t="str">
        <f aca="false">IF($P122=0,BP121,IF(BP$3=$E122,IF($AA122=1,$F122&amp;$AB122,$G122),IF(OR(BP$3=$D122,BP$3=$AC122,BP$3=$AE122),"",IF(BP$3=$AD122,$F122&amp;"R",BP121))))</f>
        <v/>
      </c>
      <c r="BQ122" s="11" t="str">
        <f aca="false">IF($P122=0,BQ121,IF(BQ$3=$E122,IF($AA122=1,$F122&amp;$AB122,$G122),IF(OR(BQ$3=$D122,BQ$3=$AC122,BQ$3=$AE122),"",IF(BQ$3=$AD122,$F122&amp;"R",BQ121))))</f>
        <v/>
      </c>
      <c r="BR122" s="11" t="str">
        <f aca="false">IF($P122=0,BR121,IF(BR$3=$E122,IF($AA122=1,$F122&amp;$AB122,$G122),IF(OR(BR$3=$D122,BR$3=$AC122,BR$3=$AE122),"",IF(BR$3=$AD122,$F122&amp;"R",BR121))))</f>
        <v/>
      </c>
      <c r="BS122" s="11" t="str">
        <f aca="false">IF($P122=0,BS121,IF(BS$3=$E122,IF($AA122=1,$F122&amp;$AB122,$G122),IF(OR(BS$3=$D122,BS$3=$AC122,BS$3=$AE122),"",IF(BS$3=$AD122,$F122&amp;"R",BS121))))</f>
        <v/>
      </c>
      <c r="BT122" s="11" t="str">
        <f aca="false">IF($P122=0,BT121,IF(BT$3=$E122,IF($AA122=1,$F122&amp;$AB122,$G122),IF(OR(BT$3=$D122,BT$3=$AC122,BT$3=$AE122),"",IF(BT$3=$AD122,$F122&amp;"R",BT121))))</f>
        <v/>
      </c>
      <c r="BU122" s="11" t="str">
        <f aca="false">IF($P122=0,BU121,IF(BU$3=$E122,IF($AA122=1,$F122&amp;$AB122,$G122),IF(OR(BU$3=$D122,BU$3=$AC122,BU$3=$AE122),"",IF(BU$3=$AD122,$F122&amp;"R",BU121))))</f>
        <v/>
      </c>
      <c r="BV122" s="11" t="str">
        <f aca="false">IF($P122=0,BV121,IF(BV$3=$E122,IF($AA122=1,$F122&amp;$AB122,$G122),IF(OR(BV$3=$D122,BV$3=$AC122,BV$3=$AE122),"",IF(BV$3=$AD122,$F122&amp;"R",BV121))))</f>
        <v/>
      </c>
      <c r="BW122" s="11" t="str">
        <f aca="false">IF($P122=0,BW121,IF(BW$3=$E122,IF($AA122=1,$F122&amp;$AB122,$G122),IF(OR(BW$3=$D122,BW$3=$AC122,BW$3=$AE122),"",IF(BW$3=$AD122,$F122&amp;"R",BW121))))</f>
        <v/>
      </c>
      <c r="BX122" s="11" t="str">
        <f aca="false">IF($P122=0,BX121,IF(BX$3=$E122,IF($AA122=1,$F122&amp;$AB122,$G122),IF(OR(BX$3=$D122,BX$3=$AC122,BX$3=$AE122),"",IF(BX$3=$AD122,$F122&amp;"R",BX121))))</f>
        <v/>
      </c>
      <c r="BY122" s="11" t="str">
        <f aca="false">IF($P122=0,BY121,IF(BY$3=$E122,IF($AA122=1,$F122&amp;$AB122,$G122),IF(OR(BY$3=$D122,BY$3=$AC122,BY$3=$AE122),"",IF(BY$3=$AD122,$F122&amp;"R",BY121))))</f>
        <v/>
      </c>
      <c r="BZ122" s="11" t="str">
        <f aca="false">IF($P122=0,BZ121,IF(BZ$3=$E122,IF($AA122=1,$F122&amp;$AB122,$G122),IF(OR(BZ$3=$D122,BZ$3=$AC122,BZ$3=$AE122),"",IF(BZ$3=$AD122,$F122&amp;"R",BZ121))))</f>
        <v/>
      </c>
      <c r="CA122" s="11" t="str">
        <f aca="false">IF($P122=0,CA121,IF(CA$3=$E122,IF($AA122=1,$F122&amp;$AB122,$G122),IF(OR(CA$3=$D122,CA$3=$AC122,CA$3=$AE122),"",IF(CA$3=$AD122,$F122&amp;"R",CA121))))</f>
        <v/>
      </c>
      <c r="CB122" s="11" t="str">
        <f aca="false">IF($P122=0,CB121,IF(CB$3=$E122,IF($AA122=1,$F122&amp;$AB122,$G122),IF(OR(CB$3=$D122,CB$3=$AC122,CB$3=$AE122),"",IF(CB$3=$AD122,$F122&amp;"R",CB121))))</f>
        <v/>
      </c>
      <c r="CC122" s="11" t="str">
        <f aca="false">IF($P122=0,CC121,IF(CC$3=$E122,IF($AA122=1,$F122&amp;$AB122,$G122),IF(OR(CC$3=$D122,CC$3=$AC122,CC$3=$AE122),"",IF(CC$3=$AD122,$F122&amp;"R",CC121))))</f>
        <v/>
      </c>
      <c r="CD122" s="11" t="str">
        <f aca="false">IF($P122=0,CD121,IF(CD$3=$E122,IF($AA122=1,$F122&amp;$AB122,$G122),IF(OR(CD$3=$D122,CD$3=$AC122,CD$3=$AE122),"",IF(CD$3=$AD122,$F122&amp;"R",CD121))))</f>
        <v>bP</v>
      </c>
      <c r="CE122" s="11" t="str">
        <f aca="false">IF($P122=0,CE121,IF(CE$3=$E122,IF($AA122=1,$F122&amp;$AB122,$G122),IF(OR(CE$3=$D122,CE$3=$AC122,CE$3=$AE122),"",IF(CE$3=$AD122,$F122&amp;"R",CE121))))</f>
        <v>bP</v>
      </c>
      <c r="CF122" s="11" t="str">
        <f aca="false">IF($P122=0,CF121,IF(CF$3=$E122,IF($AA122=1,$F122&amp;$AB122,$G122),IF(OR(CF$3=$D122,CF$3=$AC122,CF$3=$AE122),"",IF(CF$3=$AD122,$F122&amp;"R",CF121))))</f>
        <v>bP</v>
      </c>
      <c r="CG122" s="11" t="str">
        <f aca="false">IF($P122=0,CG121,IF(CG$3=$E122,IF($AA122=1,$F122&amp;$AB122,$G122),IF(OR(CG$3=$D122,CG$3=$AC122,CG$3=$AE122),"",IF(CG$3=$AD122,$F122&amp;"R",CG121))))</f>
        <v>bP</v>
      </c>
      <c r="CH122" s="11" t="str">
        <f aca="false">IF($P122=0,CH121,IF(CH$3=$E122,IF($AA122=1,$F122&amp;$AB122,$G122),IF(OR(CH$3=$D122,CH$3=$AC122,CH$3=$AE122),"",IF(CH$3=$AD122,$F122&amp;"R",CH121))))</f>
        <v>bP</v>
      </c>
      <c r="CI122" s="11" t="str">
        <f aca="false">IF($P122=0,CI121,IF(CI$3=$E122,IF($AA122=1,$F122&amp;$AB122,$G122),IF(OR(CI$3=$D122,CI$3=$AC122,CI$3=$AE122),"",IF(CI$3=$AD122,$F122&amp;"R",CI121))))</f>
        <v>bP</v>
      </c>
      <c r="CJ122" s="11" t="str">
        <f aca="false">IF($P122=0,CJ121,IF(CJ$3=$E122,IF($AA122=1,$F122&amp;$AB122,$G122),IF(OR(CJ$3=$D122,CJ$3=$AC122,CJ$3=$AE122),"",IF(CJ$3=$AD122,$F122&amp;"R",CJ121))))</f>
        <v>bP</v>
      </c>
      <c r="CK122" s="11" t="str">
        <f aca="false">IF($P122=0,CK121,IF(CK$3=$E122,IF($AA122=1,$F122&amp;$AB122,$G122),IF(OR(CK$3=$D122,CK$3=$AC122,CK$3=$AE122),"",IF(CK$3=$AD122,$F122&amp;"R",CK121))))</f>
        <v>bP</v>
      </c>
      <c r="CL122" s="11" t="str">
        <f aca="false">IF($P122=0,CL121,IF(CL$3=$E122,IF($AA122=1,$F122&amp;$AB122,$G122),IF(OR(CL$3=$D122,CL$3=$AC122,CL$3=$AE122),"",IF(CL$3=$AD122,$F122&amp;"R",CL121))))</f>
        <v>bR</v>
      </c>
      <c r="CM122" s="11" t="str">
        <f aca="false">IF($P122=0,CM121,IF(CM$3=$E122,IF($AA122=1,$F122&amp;$AB122,$G122),IF(OR(CM$3=$D122,CM$3=$AC122,CM$3=$AE122),"",IF(CM$3=$AD122,$F122&amp;"R",CM121))))</f>
        <v>bN</v>
      </c>
      <c r="CN122" s="11" t="str">
        <f aca="false">IF($P122=0,CN121,IF(CN$3=$E122,IF($AA122=1,$F122&amp;$AB122,$G122),IF(OR(CN$3=$D122,CN$3=$AC122,CN$3=$AE122),"",IF(CN$3=$AD122,$F122&amp;"R",CN121))))</f>
        <v>bB</v>
      </c>
      <c r="CO122" s="11" t="str">
        <f aca="false">IF($P122=0,CO121,IF(CO$3=$E122,IF($AA122=1,$F122&amp;$AB122,$G122),IF(OR(CO$3=$D122,CO$3=$AC122,CO$3=$AE122),"",IF(CO$3=$AD122,$F122&amp;"R",CO121))))</f>
        <v>bQ</v>
      </c>
      <c r="CP122" s="11" t="str">
        <f aca="false">IF($P122=0,CP121,IF(CP$3=$E122,IF($AA122=1,$F122&amp;$AB122,$G122),IF(OR(CP$3=$D122,CP$3=$AC122,CP$3=$AE122),"",IF(CP$3=$AD122,$F122&amp;"R",CP121))))</f>
        <v>bK</v>
      </c>
      <c r="CQ122" s="11" t="str">
        <f aca="false">IF($P122=0,CQ121,IF(CQ$3=$E122,IF($AA122=1,$F122&amp;$AB122,$G122),IF(OR(CQ$3=$D122,CQ$3=$AC122,CQ$3=$AE122),"",IF(CQ$3=$AD122,$F122&amp;"R",CQ121))))</f>
        <v>bB</v>
      </c>
      <c r="CR122" s="11" t="str">
        <f aca="false">IF($P122=0,CR121,IF(CR$3=$E122,IF($AA122=1,$F122&amp;$AB122,$G122),IF(OR(CR$3=$D122,CR$3=$AC122,CR$3=$AE122),"",IF(CR$3=$AD122,$F122&amp;"R",CR121))))</f>
        <v>bN</v>
      </c>
      <c r="CS122" s="11" t="str">
        <f aca="false">IF($P122=0,CS121,IF(CS$3=$E122,IF($AA122=1,$F122&amp;$AB122,$G122),IF(OR(CS$3=$D122,CS$3=$AC122,CS$3=$AE122),"",IF(CS$3=$AD122,$F122&amp;"R",CS121))))</f>
        <v>bR</v>
      </c>
      <c r="CT122" s="11"/>
      <c r="CU122" s="11"/>
      <c r="CV122" s="11"/>
    </row>
    <row r="123" customFormat="false" ht="15" hidden="false" customHeight="false" outlineLevel="0" collapsed="false">
      <c r="A123" s="11" t="n">
        <v>118</v>
      </c>
      <c r="B123" s="11" t="str">
        <f aca="false">IF(Chess!$L$127="","",Chess!$L$127&amp;"")</f>
        <v/>
      </c>
      <c r="C123" s="11" t="str">
        <f aca="false">LOWER(SUBSTITUTE(SUBSTITUTE(SUBSTITUTE(SUBSTITUTE(TRIM($B123),"-",""),"=","")," ",""),"x",""))</f>
        <v/>
      </c>
      <c r="D123" s="11" t="n">
        <f aca="false">IF(LEN($C123)&lt;4,0,IFERROR(IF(AND(CODE(MID($C123,1,1))&gt;=97,CODE(MID($C123,1,1))&lt;=104,VALUE(MID($C123,2,1))&gt;=1,VALUE(MID($C123,2,1))&lt;=8),(VALUE(MID($C123,2,1))-1)*8+CODE(MID($C123,1,1))-96,0),0))</f>
        <v>0</v>
      </c>
      <c r="E123" s="11" t="n">
        <f aca="false">IF(LEN($C123)&lt;4,0,IFERROR(IF(AND(CODE(MID($C123,3,1))&gt;=97,CODE(MID($C123,3,1))&lt;=104,VALUE(MID($C123,4,1))&gt;=1,VALUE(MID($C123,4,1))&lt;=8),(VALUE(MID($C123,4,1))-1)*8+CODE(MID($C123,3,1))-96,0),0))</f>
        <v>0</v>
      </c>
      <c r="F123" s="11" t="str">
        <f aca="false">IF(MOD(SUM($P$5:$P122),2)=0,"w","b")</f>
        <v>w</v>
      </c>
      <c r="G123" s="11" t="str">
        <f aca="false">IF($D123=0,"",INDEX($AH122:$CS122,1,$D123)&amp;"")</f>
        <v/>
      </c>
      <c r="H123" s="11" t="str">
        <f aca="false">IF($E123=0,"",INDEX($AH122:$CS122,1,$E123)&amp;"")</f>
        <v/>
      </c>
      <c r="I123" s="11" t="n">
        <f aca="false">IF(OR($D123=0,$E123=0),0,MOD($E123-1,8)-MOD($D123-1,8))</f>
        <v>0</v>
      </c>
      <c r="J123" s="11" t="n">
        <f aca="false">IF(OR($D123=0,$E123=0),0,INT(($E123-1)/8)-INT(($D123-1)/8))</f>
        <v>0</v>
      </c>
      <c r="K123" s="11" t="str">
        <f aca="false">IF($G123="","",RIGHT($G123,1))</f>
        <v/>
      </c>
      <c r="L123" s="11" t="n">
        <f aca="false">IF(OR($D123=0,$E123=0),0,SUMPRODUCT(($AH$3:$CS$3&gt;MIN($D123,$E123))*($AH$3:$CS$3&lt;MAX($D123,$E123))*(MOD($AH$3:$CS$3-MIN($D123,$E123),MAX(1,ABS(SIGN($J123)*8+SIGN($I123))))=0)*($AH122:$CS122&lt;&gt;"")))</f>
        <v>0</v>
      </c>
      <c r="M123" s="11" t="n">
        <f aca="false">IF($K123&lt;&gt;"K",0,IFERROR(--AND($J123=0,ABS($I123)=2,$D123=IF($F123="w",5,61),IF($F123="w",$S122,$V122)=0,IF($I123=2,AND(IF($F123="w",$U122,$X122)=0,INDEX($AH122:$CS122,1,$D123+1)&amp;""="",INDEX($AH122:$CS122,1,$D123+2)&amp;""=""),AND(IF($F123="w",$T122,$W122)=0,INDEX($AH122:$CS122,1,$D123-1)&amp;""="",INDEX($AH122:$CS122,1,$D123-2)&amp;""="",INDEX($AH122:$CS122,1,$D123-3)&amp;""=""))),0))</f>
        <v>0</v>
      </c>
      <c r="N123" s="11" t="n">
        <f aca="false">IF($K123&lt;&gt;"P",0,IFERROR(--OR(AND($I123=0,$J123=IF($F123="w",1,-1),$H123=""),AND($I123=0,$J123=2*IF($F123="w",1,-1),$H123="",INT(($D123-1)/8)=IF($F123="w",1,6),INDEX($AH122:$CS122,1,MAX(1,MIN(64,$D123+8*IF($F123="w",1,-1))))&amp;""=""),AND(ABS($I123)=1,$J123=IF($F123="w",1,-1),$H123&lt;&gt;""),AND(ABS($I123)=1,$J123=IF($F123="w",1,-1),$H123="",$R122&gt;0,$E123=$R122)),0))</f>
        <v>0</v>
      </c>
      <c r="O123" s="11" t="n">
        <f aca="false">IF(OR($D123=0,$E123=0,$G123=""),0,IF($K123="N",--OR(AND(ABS($I123)=1,ABS($J123)=2),AND(ABS($I123)=2,ABS($J123)=1)),IF($K123="B",--AND(ABS($I123)=ABS($J123),$I123&lt;&gt;0,$L123=0),IF($K123="R",--AND(OR($I123=0,$J123=0),OR($I123&lt;&gt;0,$J123&lt;&gt;0),$L123=0),IF($K123="Q",--AND(OR(AND(ABS($I123)=ABS($J123),$I123&lt;&gt;0),AND(OR($I123=0,$J123=0),OR($I123&lt;&gt;0,$J123&lt;&gt;0))),$L123=0),IF($K123="K",--OR(MAX(ABS($I123),ABS($J123))=1,$M123=1),$N123))))))</f>
        <v>0</v>
      </c>
      <c r="P123" s="11" t="n">
        <f aca="false">IF($Q123="OK",1,0)</f>
        <v>0</v>
      </c>
      <c r="Q123" s="11" t="str">
        <f aca="false">IF($B123="","",IF(OR(COUNTIF($AH122:$CS122,"wK")=0,COUNTIF($AH122:$CS122,"bK")=0),"Game is over",IF(OR($D123=0,$E123=0),"Use the format e2e4",IF($G123="","No piece on that square",IF(LEFT($G123,1)&lt;&gt;$F123,"Not your piece ("&amp;IF($F123="w","White","Black")&amp;" to move)",IF($D123=$E123,"Piece must move",IF(AND($H123&lt;&gt;"",LEFT($H123,1)=$F123),"Cannot capture your own piece",IF($O123=0,"Illegal move for that piece (or path blocked)","OK"))))))))</f>
        <v/>
      </c>
      <c r="R123" s="11" t="n">
        <f aca="false">IF($P123=1,IF(AND($K123="P",ABS($J123)=2),($D123+$E123)/2,0),$R122)</f>
        <v>0</v>
      </c>
      <c r="S123" s="12" t="b">
        <f aca="false">--OR($S122=1,AND($P123=1,OR($D123=5,$E123=5)))</f>
        <v>0</v>
      </c>
      <c r="T123" s="12" t="b">
        <f aca="false">--OR($T122=1,AND($P123=1,OR($D123=1,$E123=1)))</f>
        <v>0</v>
      </c>
      <c r="U123" s="12" t="b">
        <f aca="false">--OR($U122=1,AND($P123=1,OR($D123=8,$E123=8)))</f>
        <v>0</v>
      </c>
      <c r="V123" s="12" t="b">
        <f aca="false">--OR($V122=1,AND($P123=1,OR($D123=61,$E123=61)))</f>
        <v>0</v>
      </c>
      <c r="W123" s="12" t="b">
        <f aca="false">--OR($W122=1,AND($P123=1,OR($D123=57,$E123=57)))</f>
        <v>0</v>
      </c>
      <c r="X123" s="12" t="b">
        <f aca="false">--OR($X122=1,AND($P123=1,OR($D123=64,$E123=64)))</f>
        <v>0</v>
      </c>
      <c r="Y123" s="12" t="b">
        <f aca="false">--AND($P123=1,$K123="K",ABS($I123)=2)</f>
        <v>0</v>
      </c>
      <c r="Z123" s="12" t="b">
        <f aca="false">--AND($P123=1,$K123="P",ABS($I123)=1,$H123="")</f>
        <v>0</v>
      </c>
      <c r="AA123" s="12" t="b">
        <f aca="false">--AND($P123=1,$K123="P",INT(($E123-1)/8)=IF($F123="w",7,0))</f>
        <v>0</v>
      </c>
      <c r="AB123" s="11" t="str">
        <f aca="false">IF(LEN($C123)&gt;=5,IF(ISNUMBER(FIND(MID($C123,5,1),"qrbn")),UPPER(MID($C123,5,1)),"Q"),"Q")</f>
        <v>Q</v>
      </c>
      <c r="AC123" s="11" t="n">
        <f aca="false">IF($Y123=1,IF($I123=2,$D123+3,$D123-4),0)</f>
        <v>0</v>
      </c>
      <c r="AD123" s="11" t="n">
        <f aca="false">IF($Y123=1,IF($I123=2,$D123+1,$D123-1),0)</f>
        <v>0</v>
      </c>
      <c r="AE123" s="11" t="n">
        <f aca="false">IF($Z123=1,$E123-8*IF($F123="w",1,-1),0)</f>
        <v>0</v>
      </c>
      <c r="AF123" s="11" t="str">
        <f aca="false">IF($B123="","",IF($P123=1,LOWER(INDEX($CV$2:$CV$13,MATCH($G123,$CU$2:$CU$13,0)))&amp;" "&amp;MID("abcdefgh",MOD($D123-1,8)+1,1)&amp;(INT(($D123-1)/8)+1)&amp;"→"&amp;MID("abcdefgh",MOD($E123-1,8)+1,1)&amp;(INT(($E123-1)/8)+1)&amp;IF(OR($H123&lt;&gt;"",$Z123=1)," ×","")&amp;IF($Y123=1," castles","")&amp;IF($Z123=1," e.p.","")&amp;IF($AA123=1," =" &amp;LOWER(INDEX($CV$2:$CV$13,MATCH($F123&amp;$AB123,$CU$2:$CU$13,0))),""),"X "&amp;$Q123))</f>
        <v/>
      </c>
      <c r="AG123" s="11"/>
      <c r="AH123" s="11" t="str">
        <f aca="false">IF($P123=0,AH122,IF(AH$3=$E123,IF($AA123=1,$F123&amp;$AB123,$G123),IF(OR(AH$3=$D123,AH$3=$AC123,AH$3=$AE123),"",IF(AH$3=$AD123,$F123&amp;"R",AH122))))</f>
        <v>wR</v>
      </c>
      <c r="AI123" s="11" t="str">
        <f aca="false">IF($P123=0,AI122,IF(AI$3=$E123,IF($AA123=1,$F123&amp;$AB123,$G123),IF(OR(AI$3=$D123,AI$3=$AC123,AI$3=$AE123),"",IF(AI$3=$AD123,$F123&amp;"R",AI122))))</f>
        <v>wN</v>
      </c>
      <c r="AJ123" s="11" t="str">
        <f aca="false">IF($P123=0,AJ122,IF(AJ$3=$E123,IF($AA123=1,$F123&amp;$AB123,$G123),IF(OR(AJ$3=$D123,AJ$3=$AC123,AJ$3=$AE123),"",IF(AJ$3=$AD123,$F123&amp;"R",AJ122))))</f>
        <v>wB</v>
      </c>
      <c r="AK123" s="11" t="str">
        <f aca="false">IF($P123=0,AK122,IF(AK$3=$E123,IF($AA123=1,$F123&amp;$AB123,$G123),IF(OR(AK$3=$D123,AK$3=$AC123,AK$3=$AE123),"",IF(AK$3=$AD123,$F123&amp;"R",AK122))))</f>
        <v>wQ</v>
      </c>
      <c r="AL123" s="11" t="str">
        <f aca="false">IF($P123=0,AL122,IF(AL$3=$E123,IF($AA123=1,$F123&amp;$AB123,$G123),IF(OR(AL$3=$D123,AL$3=$AC123,AL$3=$AE123),"",IF(AL$3=$AD123,$F123&amp;"R",AL122))))</f>
        <v>wK</v>
      </c>
      <c r="AM123" s="11" t="str">
        <f aca="false">IF($P123=0,AM122,IF(AM$3=$E123,IF($AA123=1,$F123&amp;$AB123,$G123),IF(OR(AM$3=$D123,AM$3=$AC123,AM$3=$AE123),"",IF(AM$3=$AD123,$F123&amp;"R",AM122))))</f>
        <v>wB</v>
      </c>
      <c r="AN123" s="11" t="str">
        <f aca="false">IF($P123=0,AN122,IF(AN$3=$E123,IF($AA123=1,$F123&amp;$AB123,$G123),IF(OR(AN$3=$D123,AN$3=$AC123,AN$3=$AE123),"",IF(AN$3=$AD123,$F123&amp;"R",AN122))))</f>
        <v>wN</v>
      </c>
      <c r="AO123" s="11" t="str">
        <f aca="false">IF($P123=0,AO122,IF(AO$3=$E123,IF($AA123=1,$F123&amp;$AB123,$G123),IF(OR(AO$3=$D123,AO$3=$AC123,AO$3=$AE123),"",IF(AO$3=$AD123,$F123&amp;"R",AO122))))</f>
        <v>wR</v>
      </c>
      <c r="AP123" s="11" t="str">
        <f aca="false">IF($P123=0,AP122,IF(AP$3=$E123,IF($AA123=1,$F123&amp;$AB123,$G123),IF(OR(AP$3=$D123,AP$3=$AC123,AP$3=$AE123),"",IF(AP$3=$AD123,$F123&amp;"R",AP122))))</f>
        <v>wP</v>
      </c>
      <c r="AQ123" s="11" t="str">
        <f aca="false">IF($P123=0,AQ122,IF(AQ$3=$E123,IF($AA123=1,$F123&amp;$AB123,$G123),IF(OR(AQ$3=$D123,AQ$3=$AC123,AQ$3=$AE123),"",IF(AQ$3=$AD123,$F123&amp;"R",AQ122))))</f>
        <v>wP</v>
      </c>
      <c r="AR123" s="11" t="str">
        <f aca="false">IF($P123=0,AR122,IF(AR$3=$E123,IF($AA123=1,$F123&amp;$AB123,$G123),IF(OR(AR$3=$D123,AR$3=$AC123,AR$3=$AE123),"",IF(AR$3=$AD123,$F123&amp;"R",AR122))))</f>
        <v>wP</v>
      </c>
      <c r="AS123" s="11" t="str">
        <f aca="false">IF($P123=0,AS122,IF(AS$3=$E123,IF($AA123=1,$F123&amp;$AB123,$G123),IF(OR(AS$3=$D123,AS$3=$AC123,AS$3=$AE123),"",IF(AS$3=$AD123,$F123&amp;"R",AS122))))</f>
        <v>wP</v>
      </c>
      <c r="AT123" s="11" t="str">
        <f aca="false">IF($P123=0,AT122,IF(AT$3=$E123,IF($AA123=1,$F123&amp;$AB123,$G123),IF(OR(AT$3=$D123,AT$3=$AC123,AT$3=$AE123),"",IF(AT$3=$AD123,$F123&amp;"R",AT122))))</f>
        <v>wP</v>
      </c>
      <c r="AU123" s="11" t="str">
        <f aca="false">IF($P123=0,AU122,IF(AU$3=$E123,IF($AA123=1,$F123&amp;$AB123,$G123),IF(OR(AU$3=$D123,AU$3=$AC123,AU$3=$AE123),"",IF(AU$3=$AD123,$F123&amp;"R",AU122))))</f>
        <v>wP</v>
      </c>
      <c r="AV123" s="11" t="str">
        <f aca="false">IF($P123=0,AV122,IF(AV$3=$E123,IF($AA123=1,$F123&amp;$AB123,$G123),IF(OR(AV$3=$D123,AV$3=$AC123,AV$3=$AE123),"",IF(AV$3=$AD123,$F123&amp;"R",AV122))))</f>
        <v>wP</v>
      </c>
      <c r="AW123" s="11" t="str">
        <f aca="false">IF($P123=0,AW122,IF(AW$3=$E123,IF($AA123=1,$F123&amp;$AB123,$G123),IF(OR(AW$3=$D123,AW$3=$AC123,AW$3=$AE123),"",IF(AW$3=$AD123,$F123&amp;"R",AW122))))</f>
        <v>wP</v>
      </c>
      <c r="AX123" s="11" t="str">
        <f aca="false">IF($P123=0,AX122,IF(AX$3=$E123,IF($AA123=1,$F123&amp;$AB123,$G123),IF(OR(AX$3=$D123,AX$3=$AC123,AX$3=$AE123),"",IF(AX$3=$AD123,$F123&amp;"R",AX122))))</f>
        <v/>
      </c>
      <c r="AY123" s="11" t="str">
        <f aca="false">IF($P123=0,AY122,IF(AY$3=$E123,IF($AA123=1,$F123&amp;$AB123,$G123),IF(OR(AY$3=$D123,AY$3=$AC123,AY$3=$AE123),"",IF(AY$3=$AD123,$F123&amp;"R",AY122))))</f>
        <v/>
      </c>
      <c r="AZ123" s="11" t="str">
        <f aca="false">IF($P123=0,AZ122,IF(AZ$3=$E123,IF($AA123=1,$F123&amp;$AB123,$G123),IF(OR(AZ$3=$D123,AZ$3=$AC123,AZ$3=$AE123),"",IF(AZ$3=$AD123,$F123&amp;"R",AZ122))))</f>
        <v/>
      </c>
      <c r="BA123" s="11" t="str">
        <f aca="false">IF($P123=0,BA122,IF(BA$3=$E123,IF($AA123=1,$F123&amp;$AB123,$G123),IF(OR(BA$3=$D123,BA$3=$AC123,BA$3=$AE123),"",IF(BA$3=$AD123,$F123&amp;"R",BA122))))</f>
        <v/>
      </c>
      <c r="BB123" s="11" t="str">
        <f aca="false">IF($P123=0,BB122,IF(BB$3=$E123,IF($AA123=1,$F123&amp;$AB123,$G123),IF(OR(BB$3=$D123,BB$3=$AC123,BB$3=$AE123),"",IF(BB$3=$AD123,$F123&amp;"R",BB122))))</f>
        <v/>
      </c>
      <c r="BC123" s="11" t="str">
        <f aca="false">IF($P123=0,BC122,IF(BC$3=$E123,IF($AA123=1,$F123&amp;$AB123,$G123),IF(OR(BC$3=$D123,BC$3=$AC123,BC$3=$AE123),"",IF(BC$3=$AD123,$F123&amp;"R",BC122))))</f>
        <v/>
      </c>
      <c r="BD123" s="11" t="str">
        <f aca="false">IF($P123=0,BD122,IF(BD$3=$E123,IF($AA123=1,$F123&amp;$AB123,$G123),IF(OR(BD$3=$D123,BD$3=$AC123,BD$3=$AE123),"",IF(BD$3=$AD123,$F123&amp;"R",BD122))))</f>
        <v/>
      </c>
      <c r="BE123" s="11" t="str">
        <f aca="false">IF($P123=0,BE122,IF(BE$3=$E123,IF($AA123=1,$F123&amp;$AB123,$G123),IF(OR(BE$3=$D123,BE$3=$AC123,BE$3=$AE123),"",IF(BE$3=$AD123,$F123&amp;"R",BE122))))</f>
        <v/>
      </c>
      <c r="BF123" s="11" t="str">
        <f aca="false">IF($P123=0,BF122,IF(BF$3=$E123,IF($AA123=1,$F123&amp;$AB123,$G123),IF(OR(BF$3=$D123,BF$3=$AC123,BF$3=$AE123),"",IF(BF$3=$AD123,$F123&amp;"R",BF122))))</f>
        <v/>
      </c>
      <c r="BG123" s="11" t="str">
        <f aca="false">IF($P123=0,BG122,IF(BG$3=$E123,IF($AA123=1,$F123&amp;$AB123,$G123),IF(OR(BG$3=$D123,BG$3=$AC123,BG$3=$AE123),"",IF(BG$3=$AD123,$F123&amp;"R",BG122))))</f>
        <v/>
      </c>
      <c r="BH123" s="11" t="str">
        <f aca="false">IF($P123=0,BH122,IF(BH$3=$E123,IF($AA123=1,$F123&amp;$AB123,$G123),IF(OR(BH$3=$D123,BH$3=$AC123,BH$3=$AE123),"",IF(BH$3=$AD123,$F123&amp;"R",BH122))))</f>
        <v/>
      </c>
      <c r="BI123" s="11" t="str">
        <f aca="false">IF($P123=0,BI122,IF(BI$3=$E123,IF($AA123=1,$F123&amp;$AB123,$G123),IF(OR(BI$3=$D123,BI$3=$AC123,BI$3=$AE123),"",IF(BI$3=$AD123,$F123&amp;"R",BI122))))</f>
        <v/>
      </c>
      <c r="BJ123" s="11" t="str">
        <f aca="false">IF($P123=0,BJ122,IF(BJ$3=$E123,IF($AA123=1,$F123&amp;$AB123,$G123),IF(OR(BJ$3=$D123,BJ$3=$AC123,BJ$3=$AE123),"",IF(BJ$3=$AD123,$F123&amp;"R",BJ122))))</f>
        <v/>
      </c>
      <c r="BK123" s="11" t="str">
        <f aca="false">IF($P123=0,BK122,IF(BK$3=$E123,IF($AA123=1,$F123&amp;$AB123,$G123),IF(OR(BK$3=$D123,BK$3=$AC123,BK$3=$AE123),"",IF(BK$3=$AD123,$F123&amp;"R",BK122))))</f>
        <v/>
      </c>
      <c r="BL123" s="11" t="str">
        <f aca="false">IF($P123=0,BL122,IF(BL$3=$E123,IF($AA123=1,$F123&amp;$AB123,$G123),IF(OR(BL$3=$D123,BL$3=$AC123,BL$3=$AE123),"",IF(BL$3=$AD123,$F123&amp;"R",BL122))))</f>
        <v/>
      </c>
      <c r="BM123" s="11" t="str">
        <f aca="false">IF($P123=0,BM122,IF(BM$3=$E123,IF($AA123=1,$F123&amp;$AB123,$G123),IF(OR(BM$3=$D123,BM$3=$AC123,BM$3=$AE123),"",IF(BM$3=$AD123,$F123&amp;"R",BM122))))</f>
        <v/>
      </c>
      <c r="BN123" s="11" t="str">
        <f aca="false">IF($P123=0,BN122,IF(BN$3=$E123,IF($AA123=1,$F123&amp;$AB123,$G123),IF(OR(BN$3=$D123,BN$3=$AC123,BN$3=$AE123),"",IF(BN$3=$AD123,$F123&amp;"R",BN122))))</f>
        <v/>
      </c>
      <c r="BO123" s="11" t="str">
        <f aca="false">IF($P123=0,BO122,IF(BO$3=$E123,IF($AA123=1,$F123&amp;$AB123,$G123),IF(OR(BO$3=$D123,BO$3=$AC123,BO$3=$AE123),"",IF(BO$3=$AD123,$F123&amp;"R",BO122))))</f>
        <v/>
      </c>
      <c r="BP123" s="11" t="str">
        <f aca="false">IF($P123=0,BP122,IF(BP$3=$E123,IF($AA123=1,$F123&amp;$AB123,$G123),IF(OR(BP$3=$D123,BP$3=$AC123,BP$3=$AE123),"",IF(BP$3=$AD123,$F123&amp;"R",BP122))))</f>
        <v/>
      </c>
      <c r="BQ123" s="11" t="str">
        <f aca="false">IF($P123=0,BQ122,IF(BQ$3=$E123,IF($AA123=1,$F123&amp;$AB123,$G123),IF(OR(BQ$3=$D123,BQ$3=$AC123,BQ$3=$AE123),"",IF(BQ$3=$AD123,$F123&amp;"R",BQ122))))</f>
        <v/>
      </c>
      <c r="BR123" s="11" t="str">
        <f aca="false">IF($P123=0,BR122,IF(BR$3=$E123,IF($AA123=1,$F123&amp;$AB123,$G123),IF(OR(BR$3=$D123,BR$3=$AC123,BR$3=$AE123),"",IF(BR$3=$AD123,$F123&amp;"R",BR122))))</f>
        <v/>
      </c>
      <c r="BS123" s="11" t="str">
        <f aca="false">IF($P123=0,BS122,IF(BS$3=$E123,IF($AA123=1,$F123&amp;$AB123,$G123),IF(OR(BS$3=$D123,BS$3=$AC123,BS$3=$AE123),"",IF(BS$3=$AD123,$F123&amp;"R",BS122))))</f>
        <v/>
      </c>
      <c r="BT123" s="11" t="str">
        <f aca="false">IF($P123=0,BT122,IF(BT$3=$E123,IF($AA123=1,$F123&amp;$AB123,$G123),IF(OR(BT$3=$D123,BT$3=$AC123,BT$3=$AE123),"",IF(BT$3=$AD123,$F123&amp;"R",BT122))))</f>
        <v/>
      </c>
      <c r="BU123" s="11" t="str">
        <f aca="false">IF($P123=0,BU122,IF(BU$3=$E123,IF($AA123=1,$F123&amp;$AB123,$G123),IF(OR(BU$3=$D123,BU$3=$AC123,BU$3=$AE123),"",IF(BU$3=$AD123,$F123&amp;"R",BU122))))</f>
        <v/>
      </c>
      <c r="BV123" s="11" t="str">
        <f aca="false">IF($P123=0,BV122,IF(BV$3=$E123,IF($AA123=1,$F123&amp;$AB123,$G123),IF(OR(BV$3=$D123,BV$3=$AC123,BV$3=$AE123),"",IF(BV$3=$AD123,$F123&amp;"R",BV122))))</f>
        <v/>
      </c>
      <c r="BW123" s="11" t="str">
        <f aca="false">IF($P123=0,BW122,IF(BW$3=$E123,IF($AA123=1,$F123&amp;$AB123,$G123),IF(OR(BW$3=$D123,BW$3=$AC123,BW$3=$AE123),"",IF(BW$3=$AD123,$F123&amp;"R",BW122))))</f>
        <v/>
      </c>
      <c r="BX123" s="11" t="str">
        <f aca="false">IF($P123=0,BX122,IF(BX$3=$E123,IF($AA123=1,$F123&amp;$AB123,$G123),IF(OR(BX$3=$D123,BX$3=$AC123,BX$3=$AE123),"",IF(BX$3=$AD123,$F123&amp;"R",BX122))))</f>
        <v/>
      </c>
      <c r="BY123" s="11" t="str">
        <f aca="false">IF($P123=0,BY122,IF(BY$3=$E123,IF($AA123=1,$F123&amp;$AB123,$G123),IF(OR(BY$3=$D123,BY$3=$AC123,BY$3=$AE123),"",IF(BY$3=$AD123,$F123&amp;"R",BY122))))</f>
        <v/>
      </c>
      <c r="BZ123" s="11" t="str">
        <f aca="false">IF($P123=0,BZ122,IF(BZ$3=$E123,IF($AA123=1,$F123&amp;$AB123,$G123),IF(OR(BZ$3=$D123,BZ$3=$AC123,BZ$3=$AE123),"",IF(BZ$3=$AD123,$F123&amp;"R",BZ122))))</f>
        <v/>
      </c>
      <c r="CA123" s="11" t="str">
        <f aca="false">IF($P123=0,CA122,IF(CA$3=$E123,IF($AA123=1,$F123&amp;$AB123,$G123),IF(OR(CA$3=$D123,CA$3=$AC123,CA$3=$AE123),"",IF(CA$3=$AD123,$F123&amp;"R",CA122))))</f>
        <v/>
      </c>
      <c r="CB123" s="11" t="str">
        <f aca="false">IF($P123=0,CB122,IF(CB$3=$E123,IF($AA123=1,$F123&amp;$AB123,$G123),IF(OR(CB$3=$D123,CB$3=$AC123,CB$3=$AE123),"",IF(CB$3=$AD123,$F123&amp;"R",CB122))))</f>
        <v/>
      </c>
      <c r="CC123" s="11" t="str">
        <f aca="false">IF($P123=0,CC122,IF(CC$3=$E123,IF($AA123=1,$F123&amp;$AB123,$G123),IF(OR(CC$3=$D123,CC$3=$AC123,CC$3=$AE123),"",IF(CC$3=$AD123,$F123&amp;"R",CC122))))</f>
        <v/>
      </c>
      <c r="CD123" s="11" t="str">
        <f aca="false">IF($P123=0,CD122,IF(CD$3=$E123,IF($AA123=1,$F123&amp;$AB123,$G123),IF(OR(CD$3=$D123,CD$3=$AC123,CD$3=$AE123),"",IF(CD$3=$AD123,$F123&amp;"R",CD122))))</f>
        <v>bP</v>
      </c>
      <c r="CE123" s="11" t="str">
        <f aca="false">IF($P123=0,CE122,IF(CE$3=$E123,IF($AA123=1,$F123&amp;$AB123,$G123),IF(OR(CE$3=$D123,CE$3=$AC123,CE$3=$AE123),"",IF(CE$3=$AD123,$F123&amp;"R",CE122))))</f>
        <v>bP</v>
      </c>
      <c r="CF123" s="11" t="str">
        <f aca="false">IF($P123=0,CF122,IF(CF$3=$E123,IF($AA123=1,$F123&amp;$AB123,$G123),IF(OR(CF$3=$D123,CF$3=$AC123,CF$3=$AE123),"",IF(CF$3=$AD123,$F123&amp;"R",CF122))))</f>
        <v>bP</v>
      </c>
      <c r="CG123" s="11" t="str">
        <f aca="false">IF($P123=0,CG122,IF(CG$3=$E123,IF($AA123=1,$F123&amp;$AB123,$G123),IF(OR(CG$3=$D123,CG$3=$AC123,CG$3=$AE123),"",IF(CG$3=$AD123,$F123&amp;"R",CG122))))</f>
        <v>bP</v>
      </c>
      <c r="CH123" s="11" t="str">
        <f aca="false">IF($P123=0,CH122,IF(CH$3=$E123,IF($AA123=1,$F123&amp;$AB123,$G123),IF(OR(CH$3=$D123,CH$3=$AC123,CH$3=$AE123),"",IF(CH$3=$AD123,$F123&amp;"R",CH122))))</f>
        <v>bP</v>
      </c>
      <c r="CI123" s="11" t="str">
        <f aca="false">IF($P123=0,CI122,IF(CI$3=$E123,IF($AA123=1,$F123&amp;$AB123,$G123),IF(OR(CI$3=$D123,CI$3=$AC123,CI$3=$AE123),"",IF(CI$3=$AD123,$F123&amp;"R",CI122))))</f>
        <v>bP</v>
      </c>
      <c r="CJ123" s="11" t="str">
        <f aca="false">IF($P123=0,CJ122,IF(CJ$3=$E123,IF($AA123=1,$F123&amp;$AB123,$G123),IF(OR(CJ$3=$D123,CJ$3=$AC123,CJ$3=$AE123),"",IF(CJ$3=$AD123,$F123&amp;"R",CJ122))))</f>
        <v>bP</v>
      </c>
      <c r="CK123" s="11" t="str">
        <f aca="false">IF($P123=0,CK122,IF(CK$3=$E123,IF($AA123=1,$F123&amp;$AB123,$G123),IF(OR(CK$3=$D123,CK$3=$AC123,CK$3=$AE123),"",IF(CK$3=$AD123,$F123&amp;"R",CK122))))</f>
        <v>bP</v>
      </c>
      <c r="CL123" s="11" t="str">
        <f aca="false">IF($P123=0,CL122,IF(CL$3=$E123,IF($AA123=1,$F123&amp;$AB123,$G123),IF(OR(CL$3=$D123,CL$3=$AC123,CL$3=$AE123),"",IF(CL$3=$AD123,$F123&amp;"R",CL122))))</f>
        <v>bR</v>
      </c>
      <c r="CM123" s="11" t="str">
        <f aca="false">IF($P123=0,CM122,IF(CM$3=$E123,IF($AA123=1,$F123&amp;$AB123,$G123),IF(OR(CM$3=$D123,CM$3=$AC123,CM$3=$AE123),"",IF(CM$3=$AD123,$F123&amp;"R",CM122))))</f>
        <v>bN</v>
      </c>
      <c r="CN123" s="11" t="str">
        <f aca="false">IF($P123=0,CN122,IF(CN$3=$E123,IF($AA123=1,$F123&amp;$AB123,$G123),IF(OR(CN$3=$D123,CN$3=$AC123,CN$3=$AE123),"",IF(CN$3=$AD123,$F123&amp;"R",CN122))))</f>
        <v>bB</v>
      </c>
      <c r="CO123" s="11" t="str">
        <f aca="false">IF($P123=0,CO122,IF(CO$3=$E123,IF($AA123=1,$F123&amp;$AB123,$G123),IF(OR(CO$3=$D123,CO$3=$AC123,CO$3=$AE123),"",IF(CO$3=$AD123,$F123&amp;"R",CO122))))</f>
        <v>bQ</v>
      </c>
      <c r="CP123" s="11" t="str">
        <f aca="false">IF($P123=0,CP122,IF(CP$3=$E123,IF($AA123=1,$F123&amp;$AB123,$G123),IF(OR(CP$3=$D123,CP$3=$AC123,CP$3=$AE123),"",IF(CP$3=$AD123,$F123&amp;"R",CP122))))</f>
        <v>bK</v>
      </c>
      <c r="CQ123" s="11" t="str">
        <f aca="false">IF($P123=0,CQ122,IF(CQ$3=$E123,IF($AA123=1,$F123&amp;$AB123,$G123),IF(OR(CQ$3=$D123,CQ$3=$AC123,CQ$3=$AE123),"",IF(CQ$3=$AD123,$F123&amp;"R",CQ122))))</f>
        <v>bB</v>
      </c>
      <c r="CR123" s="11" t="str">
        <f aca="false">IF($P123=0,CR122,IF(CR$3=$E123,IF($AA123=1,$F123&amp;$AB123,$G123),IF(OR(CR$3=$D123,CR$3=$AC123,CR$3=$AE123),"",IF(CR$3=$AD123,$F123&amp;"R",CR122))))</f>
        <v>bN</v>
      </c>
      <c r="CS123" s="11" t="str">
        <f aca="false">IF($P123=0,CS122,IF(CS$3=$E123,IF($AA123=1,$F123&amp;$AB123,$G123),IF(OR(CS$3=$D123,CS$3=$AC123,CS$3=$AE123),"",IF(CS$3=$AD123,$F123&amp;"R",CS122))))</f>
        <v>bR</v>
      </c>
      <c r="CT123" s="11"/>
      <c r="CU123" s="11"/>
      <c r="CV123" s="11"/>
    </row>
    <row r="124" customFormat="false" ht="15" hidden="false" customHeight="false" outlineLevel="0" collapsed="false">
      <c r="A124" s="11" t="n">
        <v>119</v>
      </c>
      <c r="B124" s="11" t="str">
        <f aca="false">IF(Chess!$L$128="","",Chess!$L$128&amp;"")</f>
        <v/>
      </c>
      <c r="C124" s="11" t="str">
        <f aca="false">LOWER(SUBSTITUTE(SUBSTITUTE(SUBSTITUTE(SUBSTITUTE(TRIM($B124),"-",""),"=","")," ",""),"x",""))</f>
        <v/>
      </c>
      <c r="D124" s="11" t="n">
        <f aca="false">IF(LEN($C124)&lt;4,0,IFERROR(IF(AND(CODE(MID($C124,1,1))&gt;=97,CODE(MID($C124,1,1))&lt;=104,VALUE(MID($C124,2,1))&gt;=1,VALUE(MID($C124,2,1))&lt;=8),(VALUE(MID($C124,2,1))-1)*8+CODE(MID($C124,1,1))-96,0),0))</f>
        <v>0</v>
      </c>
      <c r="E124" s="11" t="n">
        <f aca="false">IF(LEN($C124)&lt;4,0,IFERROR(IF(AND(CODE(MID($C124,3,1))&gt;=97,CODE(MID($C124,3,1))&lt;=104,VALUE(MID($C124,4,1))&gt;=1,VALUE(MID($C124,4,1))&lt;=8),(VALUE(MID($C124,4,1))-1)*8+CODE(MID($C124,3,1))-96,0),0))</f>
        <v>0</v>
      </c>
      <c r="F124" s="11" t="str">
        <f aca="false">IF(MOD(SUM($P$5:$P123),2)=0,"w","b")</f>
        <v>w</v>
      </c>
      <c r="G124" s="11" t="str">
        <f aca="false">IF($D124=0,"",INDEX($AH123:$CS123,1,$D124)&amp;"")</f>
        <v/>
      </c>
      <c r="H124" s="11" t="str">
        <f aca="false">IF($E124=0,"",INDEX($AH123:$CS123,1,$E124)&amp;"")</f>
        <v/>
      </c>
      <c r="I124" s="11" t="n">
        <f aca="false">IF(OR($D124=0,$E124=0),0,MOD($E124-1,8)-MOD($D124-1,8))</f>
        <v>0</v>
      </c>
      <c r="J124" s="11" t="n">
        <f aca="false">IF(OR($D124=0,$E124=0),0,INT(($E124-1)/8)-INT(($D124-1)/8))</f>
        <v>0</v>
      </c>
      <c r="K124" s="11" t="str">
        <f aca="false">IF($G124="","",RIGHT($G124,1))</f>
        <v/>
      </c>
      <c r="L124" s="11" t="n">
        <f aca="false">IF(OR($D124=0,$E124=0),0,SUMPRODUCT(($AH$3:$CS$3&gt;MIN($D124,$E124))*($AH$3:$CS$3&lt;MAX($D124,$E124))*(MOD($AH$3:$CS$3-MIN($D124,$E124),MAX(1,ABS(SIGN($J124)*8+SIGN($I124))))=0)*($AH123:$CS123&lt;&gt;"")))</f>
        <v>0</v>
      </c>
      <c r="M124" s="11" t="n">
        <f aca="false">IF($K124&lt;&gt;"K",0,IFERROR(--AND($J124=0,ABS($I124)=2,$D124=IF($F124="w",5,61),IF($F124="w",$S123,$V123)=0,IF($I124=2,AND(IF($F124="w",$U123,$X123)=0,INDEX($AH123:$CS123,1,$D124+1)&amp;""="",INDEX($AH123:$CS123,1,$D124+2)&amp;""=""),AND(IF($F124="w",$T123,$W123)=0,INDEX($AH123:$CS123,1,$D124-1)&amp;""="",INDEX($AH123:$CS123,1,$D124-2)&amp;""="",INDEX($AH123:$CS123,1,$D124-3)&amp;""=""))),0))</f>
        <v>0</v>
      </c>
      <c r="N124" s="11" t="n">
        <f aca="false">IF($K124&lt;&gt;"P",0,IFERROR(--OR(AND($I124=0,$J124=IF($F124="w",1,-1),$H124=""),AND($I124=0,$J124=2*IF($F124="w",1,-1),$H124="",INT(($D124-1)/8)=IF($F124="w",1,6),INDEX($AH123:$CS123,1,MAX(1,MIN(64,$D124+8*IF($F124="w",1,-1))))&amp;""=""),AND(ABS($I124)=1,$J124=IF($F124="w",1,-1),$H124&lt;&gt;""),AND(ABS($I124)=1,$J124=IF($F124="w",1,-1),$H124="",$R123&gt;0,$E124=$R123)),0))</f>
        <v>0</v>
      </c>
      <c r="O124" s="11" t="n">
        <f aca="false">IF(OR($D124=0,$E124=0,$G124=""),0,IF($K124="N",--OR(AND(ABS($I124)=1,ABS($J124)=2),AND(ABS($I124)=2,ABS($J124)=1)),IF($K124="B",--AND(ABS($I124)=ABS($J124),$I124&lt;&gt;0,$L124=0),IF($K124="R",--AND(OR($I124=0,$J124=0),OR($I124&lt;&gt;0,$J124&lt;&gt;0),$L124=0),IF($K124="Q",--AND(OR(AND(ABS($I124)=ABS($J124),$I124&lt;&gt;0),AND(OR($I124=0,$J124=0),OR($I124&lt;&gt;0,$J124&lt;&gt;0))),$L124=0),IF($K124="K",--OR(MAX(ABS($I124),ABS($J124))=1,$M124=1),$N124))))))</f>
        <v>0</v>
      </c>
      <c r="P124" s="11" t="n">
        <f aca="false">IF($Q124="OK",1,0)</f>
        <v>0</v>
      </c>
      <c r="Q124" s="11" t="str">
        <f aca="false">IF($B124="","",IF(OR(COUNTIF($AH123:$CS123,"wK")=0,COUNTIF($AH123:$CS123,"bK")=0),"Game is over",IF(OR($D124=0,$E124=0),"Use the format e2e4",IF($G124="","No piece on that square",IF(LEFT($G124,1)&lt;&gt;$F124,"Not your piece ("&amp;IF($F124="w","White","Black")&amp;" to move)",IF($D124=$E124,"Piece must move",IF(AND($H124&lt;&gt;"",LEFT($H124,1)=$F124),"Cannot capture your own piece",IF($O124=0,"Illegal move for that piece (or path blocked)","OK"))))))))</f>
        <v/>
      </c>
      <c r="R124" s="11" t="n">
        <f aca="false">IF($P124=1,IF(AND($K124="P",ABS($J124)=2),($D124+$E124)/2,0),$R123)</f>
        <v>0</v>
      </c>
      <c r="S124" s="12" t="b">
        <f aca="false">--OR($S123=1,AND($P124=1,OR($D124=5,$E124=5)))</f>
        <v>0</v>
      </c>
      <c r="T124" s="12" t="b">
        <f aca="false">--OR($T123=1,AND($P124=1,OR($D124=1,$E124=1)))</f>
        <v>0</v>
      </c>
      <c r="U124" s="12" t="b">
        <f aca="false">--OR($U123=1,AND($P124=1,OR($D124=8,$E124=8)))</f>
        <v>0</v>
      </c>
      <c r="V124" s="12" t="b">
        <f aca="false">--OR($V123=1,AND($P124=1,OR($D124=61,$E124=61)))</f>
        <v>0</v>
      </c>
      <c r="W124" s="12" t="b">
        <f aca="false">--OR($W123=1,AND($P124=1,OR($D124=57,$E124=57)))</f>
        <v>0</v>
      </c>
      <c r="X124" s="12" t="b">
        <f aca="false">--OR($X123=1,AND($P124=1,OR($D124=64,$E124=64)))</f>
        <v>0</v>
      </c>
      <c r="Y124" s="12" t="b">
        <f aca="false">--AND($P124=1,$K124="K",ABS($I124)=2)</f>
        <v>0</v>
      </c>
      <c r="Z124" s="12" t="b">
        <f aca="false">--AND($P124=1,$K124="P",ABS($I124)=1,$H124="")</f>
        <v>0</v>
      </c>
      <c r="AA124" s="12" t="b">
        <f aca="false">--AND($P124=1,$K124="P",INT(($E124-1)/8)=IF($F124="w",7,0))</f>
        <v>0</v>
      </c>
      <c r="AB124" s="11" t="str">
        <f aca="false">IF(LEN($C124)&gt;=5,IF(ISNUMBER(FIND(MID($C124,5,1),"qrbn")),UPPER(MID($C124,5,1)),"Q"),"Q")</f>
        <v>Q</v>
      </c>
      <c r="AC124" s="11" t="n">
        <f aca="false">IF($Y124=1,IF($I124=2,$D124+3,$D124-4),0)</f>
        <v>0</v>
      </c>
      <c r="AD124" s="11" t="n">
        <f aca="false">IF($Y124=1,IF($I124=2,$D124+1,$D124-1),0)</f>
        <v>0</v>
      </c>
      <c r="AE124" s="11" t="n">
        <f aca="false">IF($Z124=1,$E124-8*IF($F124="w",1,-1),0)</f>
        <v>0</v>
      </c>
      <c r="AF124" s="11" t="str">
        <f aca="false">IF($B124="","",IF($P124=1,LOWER(INDEX($CV$2:$CV$13,MATCH($G124,$CU$2:$CU$13,0)))&amp;" "&amp;MID("abcdefgh",MOD($D124-1,8)+1,1)&amp;(INT(($D124-1)/8)+1)&amp;"→"&amp;MID("abcdefgh",MOD($E124-1,8)+1,1)&amp;(INT(($E124-1)/8)+1)&amp;IF(OR($H124&lt;&gt;"",$Z124=1)," ×","")&amp;IF($Y124=1," castles","")&amp;IF($Z124=1," e.p.","")&amp;IF($AA124=1," =" &amp;LOWER(INDEX($CV$2:$CV$13,MATCH($F124&amp;$AB124,$CU$2:$CU$13,0))),""),"X "&amp;$Q124))</f>
        <v/>
      </c>
      <c r="AG124" s="11"/>
      <c r="AH124" s="11" t="str">
        <f aca="false">IF($P124=0,AH123,IF(AH$3=$E124,IF($AA124=1,$F124&amp;$AB124,$G124),IF(OR(AH$3=$D124,AH$3=$AC124,AH$3=$AE124),"",IF(AH$3=$AD124,$F124&amp;"R",AH123))))</f>
        <v>wR</v>
      </c>
      <c r="AI124" s="11" t="str">
        <f aca="false">IF($P124=0,AI123,IF(AI$3=$E124,IF($AA124=1,$F124&amp;$AB124,$G124),IF(OR(AI$3=$D124,AI$3=$AC124,AI$3=$AE124),"",IF(AI$3=$AD124,$F124&amp;"R",AI123))))</f>
        <v>wN</v>
      </c>
      <c r="AJ124" s="11" t="str">
        <f aca="false">IF($P124=0,AJ123,IF(AJ$3=$E124,IF($AA124=1,$F124&amp;$AB124,$G124),IF(OR(AJ$3=$D124,AJ$3=$AC124,AJ$3=$AE124),"",IF(AJ$3=$AD124,$F124&amp;"R",AJ123))))</f>
        <v>wB</v>
      </c>
      <c r="AK124" s="11" t="str">
        <f aca="false">IF($P124=0,AK123,IF(AK$3=$E124,IF($AA124=1,$F124&amp;$AB124,$G124),IF(OR(AK$3=$D124,AK$3=$AC124,AK$3=$AE124),"",IF(AK$3=$AD124,$F124&amp;"R",AK123))))</f>
        <v>wQ</v>
      </c>
      <c r="AL124" s="11" t="str">
        <f aca="false">IF($P124=0,AL123,IF(AL$3=$E124,IF($AA124=1,$F124&amp;$AB124,$G124),IF(OR(AL$3=$D124,AL$3=$AC124,AL$3=$AE124),"",IF(AL$3=$AD124,$F124&amp;"R",AL123))))</f>
        <v>wK</v>
      </c>
      <c r="AM124" s="11" t="str">
        <f aca="false">IF($P124=0,AM123,IF(AM$3=$E124,IF($AA124=1,$F124&amp;$AB124,$G124),IF(OR(AM$3=$D124,AM$3=$AC124,AM$3=$AE124),"",IF(AM$3=$AD124,$F124&amp;"R",AM123))))</f>
        <v>wB</v>
      </c>
      <c r="AN124" s="11" t="str">
        <f aca="false">IF($P124=0,AN123,IF(AN$3=$E124,IF($AA124=1,$F124&amp;$AB124,$G124),IF(OR(AN$3=$D124,AN$3=$AC124,AN$3=$AE124),"",IF(AN$3=$AD124,$F124&amp;"R",AN123))))</f>
        <v>wN</v>
      </c>
      <c r="AO124" s="11" t="str">
        <f aca="false">IF($P124=0,AO123,IF(AO$3=$E124,IF($AA124=1,$F124&amp;$AB124,$G124),IF(OR(AO$3=$D124,AO$3=$AC124,AO$3=$AE124),"",IF(AO$3=$AD124,$F124&amp;"R",AO123))))</f>
        <v>wR</v>
      </c>
      <c r="AP124" s="11" t="str">
        <f aca="false">IF($P124=0,AP123,IF(AP$3=$E124,IF($AA124=1,$F124&amp;$AB124,$G124),IF(OR(AP$3=$D124,AP$3=$AC124,AP$3=$AE124),"",IF(AP$3=$AD124,$F124&amp;"R",AP123))))</f>
        <v>wP</v>
      </c>
      <c r="AQ124" s="11" t="str">
        <f aca="false">IF($P124=0,AQ123,IF(AQ$3=$E124,IF($AA124=1,$F124&amp;$AB124,$G124),IF(OR(AQ$3=$D124,AQ$3=$AC124,AQ$3=$AE124),"",IF(AQ$3=$AD124,$F124&amp;"R",AQ123))))</f>
        <v>wP</v>
      </c>
      <c r="AR124" s="11" t="str">
        <f aca="false">IF($P124=0,AR123,IF(AR$3=$E124,IF($AA124=1,$F124&amp;$AB124,$G124),IF(OR(AR$3=$D124,AR$3=$AC124,AR$3=$AE124),"",IF(AR$3=$AD124,$F124&amp;"R",AR123))))</f>
        <v>wP</v>
      </c>
      <c r="AS124" s="11" t="str">
        <f aca="false">IF($P124=0,AS123,IF(AS$3=$E124,IF($AA124=1,$F124&amp;$AB124,$G124),IF(OR(AS$3=$D124,AS$3=$AC124,AS$3=$AE124),"",IF(AS$3=$AD124,$F124&amp;"R",AS123))))</f>
        <v>wP</v>
      </c>
      <c r="AT124" s="11" t="str">
        <f aca="false">IF($P124=0,AT123,IF(AT$3=$E124,IF($AA124=1,$F124&amp;$AB124,$G124),IF(OR(AT$3=$D124,AT$3=$AC124,AT$3=$AE124),"",IF(AT$3=$AD124,$F124&amp;"R",AT123))))</f>
        <v>wP</v>
      </c>
      <c r="AU124" s="11" t="str">
        <f aca="false">IF($P124=0,AU123,IF(AU$3=$E124,IF($AA124=1,$F124&amp;$AB124,$G124),IF(OR(AU$3=$D124,AU$3=$AC124,AU$3=$AE124),"",IF(AU$3=$AD124,$F124&amp;"R",AU123))))</f>
        <v>wP</v>
      </c>
      <c r="AV124" s="11" t="str">
        <f aca="false">IF($P124=0,AV123,IF(AV$3=$E124,IF($AA124=1,$F124&amp;$AB124,$G124),IF(OR(AV$3=$D124,AV$3=$AC124,AV$3=$AE124),"",IF(AV$3=$AD124,$F124&amp;"R",AV123))))</f>
        <v>wP</v>
      </c>
      <c r="AW124" s="11" t="str">
        <f aca="false">IF($P124=0,AW123,IF(AW$3=$E124,IF($AA124=1,$F124&amp;$AB124,$G124),IF(OR(AW$3=$D124,AW$3=$AC124,AW$3=$AE124),"",IF(AW$3=$AD124,$F124&amp;"R",AW123))))</f>
        <v>wP</v>
      </c>
      <c r="AX124" s="11" t="str">
        <f aca="false">IF($P124=0,AX123,IF(AX$3=$E124,IF($AA124=1,$F124&amp;$AB124,$G124),IF(OR(AX$3=$D124,AX$3=$AC124,AX$3=$AE124),"",IF(AX$3=$AD124,$F124&amp;"R",AX123))))</f>
        <v/>
      </c>
      <c r="AY124" s="11" t="str">
        <f aca="false">IF($P124=0,AY123,IF(AY$3=$E124,IF($AA124=1,$F124&amp;$AB124,$G124),IF(OR(AY$3=$D124,AY$3=$AC124,AY$3=$AE124),"",IF(AY$3=$AD124,$F124&amp;"R",AY123))))</f>
        <v/>
      </c>
      <c r="AZ124" s="11" t="str">
        <f aca="false">IF($P124=0,AZ123,IF(AZ$3=$E124,IF($AA124=1,$F124&amp;$AB124,$G124),IF(OR(AZ$3=$D124,AZ$3=$AC124,AZ$3=$AE124),"",IF(AZ$3=$AD124,$F124&amp;"R",AZ123))))</f>
        <v/>
      </c>
      <c r="BA124" s="11" t="str">
        <f aca="false">IF($P124=0,BA123,IF(BA$3=$E124,IF($AA124=1,$F124&amp;$AB124,$G124),IF(OR(BA$3=$D124,BA$3=$AC124,BA$3=$AE124),"",IF(BA$3=$AD124,$F124&amp;"R",BA123))))</f>
        <v/>
      </c>
      <c r="BB124" s="11" t="str">
        <f aca="false">IF($P124=0,BB123,IF(BB$3=$E124,IF($AA124=1,$F124&amp;$AB124,$G124),IF(OR(BB$3=$D124,BB$3=$AC124,BB$3=$AE124),"",IF(BB$3=$AD124,$F124&amp;"R",BB123))))</f>
        <v/>
      </c>
      <c r="BC124" s="11" t="str">
        <f aca="false">IF($P124=0,BC123,IF(BC$3=$E124,IF($AA124=1,$F124&amp;$AB124,$G124),IF(OR(BC$3=$D124,BC$3=$AC124,BC$3=$AE124),"",IF(BC$3=$AD124,$F124&amp;"R",BC123))))</f>
        <v/>
      </c>
      <c r="BD124" s="11" t="str">
        <f aca="false">IF($P124=0,BD123,IF(BD$3=$E124,IF($AA124=1,$F124&amp;$AB124,$G124),IF(OR(BD$3=$D124,BD$3=$AC124,BD$3=$AE124),"",IF(BD$3=$AD124,$F124&amp;"R",BD123))))</f>
        <v/>
      </c>
      <c r="BE124" s="11" t="str">
        <f aca="false">IF($P124=0,BE123,IF(BE$3=$E124,IF($AA124=1,$F124&amp;$AB124,$G124),IF(OR(BE$3=$D124,BE$3=$AC124,BE$3=$AE124),"",IF(BE$3=$AD124,$F124&amp;"R",BE123))))</f>
        <v/>
      </c>
      <c r="BF124" s="11" t="str">
        <f aca="false">IF($P124=0,BF123,IF(BF$3=$E124,IF($AA124=1,$F124&amp;$AB124,$G124),IF(OR(BF$3=$D124,BF$3=$AC124,BF$3=$AE124),"",IF(BF$3=$AD124,$F124&amp;"R",BF123))))</f>
        <v/>
      </c>
      <c r="BG124" s="11" t="str">
        <f aca="false">IF($P124=0,BG123,IF(BG$3=$E124,IF($AA124=1,$F124&amp;$AB124,$G124),IF(OR(BG$3=$D124,BG$3=$AC124,BG$3=$AE124),"",IF(BG$3=$AD124,$F124&amp;"R",BG123))))</f>
        <v/>
      </c>
      <c r="BH124" s="11" t="str">
        <f aca="false">IF($P124=0,BH123,IF(BH$3=$E124,IF($AA124=1,$F124&amp;$AB124,$G124),IF(OR(BH$3=$D124,BH$3=$AC124,BH$3=$AE124),"",IF(BH$3=$AD124,$F124&amp;"R",BH123))))</f>
        <v/>
      </c>
      <c r="BI124" s="11" t="str">
        <f aca="false">IF($P124=0,BI123,IF(BI$3=$E124,IF($AA124=1,$F124&amp;$AB124,$G124),IF(OR(BI$3=$D124,BI$3=$AC124,BI$3=$AE124),"",IF(BI$3=$AD124,$F124&amp;"R",BI123))))</f>
        <v/>
      </c>
      <c r="BJ124" s="11" t="str">
        <f aca="false">IF($P124=0,BJ123,IF(BJ$3=$E124,IF($AA124=1,$F124&amp;$AB124,$G124),IF(OR(BJ$3=$D124,BJ$3=$AC124,BJ$3=$AE124),"",IF(BJ$3=$AD124,$F124&amp;"R",BJ123))))</f>
        <v/>
      </c>
      <c r="BK124" s="11" t="str">
        <f aca="false">IF($P124=0,BK123,IF(BK$3=$E124,IF($AA124=1,$F124&amp;$AB124,$G124),IF(OR(BK$3=$D124,BK$3=$AC124,BK$3=$AE124),"",IF(BK$3=$AD124,$F124&amp;"R",BK123))))</f>
        <v/>
      </c>
      <c r="BL124" s="11" t="str">
        <f aca="false">IF($P124=0,BL123,IF(BL$3=$E124,IF($AA124=1,$F124&amp;$AB124,$G124),IF(OR(BL$3=$D124,BL$3=$AC124,BL$3=$AE124),"",IF(BL$3=$AD124,$F124&amp;"R",BL123))))</f>
        <v/>
      </c>
      <c r="BM124" s="11" t="str">
        <f aca="false">IF($P124=0,BM123,IF(BM$3=$E124,IF($AA124=1,$F124&amp;$AB124,$G124),IF(OR(BM$3=$D124,BM$3=$AC124,BM$3=$AE124),"",IF(BM$3=$AD124,$F124&amp;"R",BM123))))</f>
        <v/>
      </c>
      <c r="BN124" s="11" t="str">
        <f aca="false">IF($P124=0,BN123,IF(BN$3=$E124,IF($AA124=1,$F124&amp;$AB124,$G124),IF(OR(BN$3=$D124,BN$3=$AC124,BN$3=$AE124),"",IF(BN$3=$AD124,$F124&amp;"R",BN123))))</f>
        <v/>
      </c>
      <c r="BO124" s="11" t="str">
        <f aca="false">IF($P124=0,BO123,IF(BO$3=$E124,IF($AA124=1,$F124&amp;$AB124,$G124),IF(OR(BO$3=$D124,BO$3=$AC124,BO$3=$AE124),"",IF(BO$3=$AD124,$F124&amp;"R",BO123))))</f>
        <v/>
      </c>
      <c r="BP124" s="11" t="str">
        <f aca="false">IF($P124=0,BP123,IF(BP$3=$E124,IF($AA124=1,$F124&amp;$AB124,$G124),IF(OR(BP$3=$D124,BP$3=$AC124,BP$3=$AE124),"",IF(BP$3=$AD124,$F124&amp;"R",BP123))))</f>
        <v/>
      </c>
      <c r="BQ124" s="11" t="str">
        <f aca="false">IF($P124=0,BQ123,IF(BQ$3=$E124,IF($AA124=1,$F124&amp;$AB124,$G124),IF(OR(BQ$3=$D124,BQ$3=$AC124,BQ$3=$AE124),"",IF(BQ$3=$AD124,$F124&amp;"R",BQ123))))</f>
        <v/>
      </c>
      <c r="BR124" s="11" t="str">
        <f aca="false">IF($P124=0,BR123,IF(BR$3=$E124,IF($AA124=1,$F124&amp;$AB124,$G124),IF(OR(BR$3=$D124,BR$3=$AC124,BR$3=$AE124),"",IF(BR$3=$AD124,$F124&amp;"R",BR123))))</f>
        <v/>
      </c>
      <c r="BS124" s="11" t="str">
        <f aca="false">IF($P124=0,BS123,IF(BS$3=$E124,IF($AA124=1,$F124&amp;$AB124,$G124),IF(OR(BS$3=$D124,BS$3=$AC124,BS$3=$AE124),"",IF(BS$3=$AD124,$F124&amp;"R",BS123))))</f>
        <v/>
      </c>
      <c r="BT124" s="11" t="str">
        <f aca="false">IF($P124=0,BT123,IF(BT$3=$E124,IF($AA124=1,$F124&amp;$AB124,$G124),IF(OR(BT$3=$D124,BT$3=$AC124,BT$3=$AE124),"",IF(BT$3=$AD124,$F124&amp;"R",BT123))))</f>
        <v/>
      </c>
      <c r="BU124" s="11" t="str">
        <f aca="false">IF($P124=0,BU123,IF(BU$3=$E124,IF($AA124=1,$F124&amp;$AB124,$G124),IF(OR(BU$3=$D124,BU$3=$AC124,BU$3=$AE124),"",IF(BU$3=$AD124,$F124&amp;"R",BU123))))</f>
        <v/>
      </c>
      <c r="BV124" s="11" t="str">
        <f aca="false">IF($P124=0,BV123,IF(BV$3=$E124,IF($AA124=1,$F124&amp;$AB124,$G124),IF(OR(BV$3=$D124,BV$3=$AC124,BV$3=$AE124),"",IF(BV$3=$AD124,$F124&amp;"R",BV123))))</f>
        <v/>
      </c>
      <c r="BW124" s="11" t="str">
        <f aca="false">IF($P124=0,BW123,IF(BW$3=$E124,IF($AA124=1,$F124&amp;$AB124,$G124),IF(OR(BW$3=$D124,BW$3=$AC124,BW$3=$AE124),"",IF(BW$3=$AD124,$F124&amp;"R",BW123))))</f>
        <v/>
      </c>
      <c r="BX124" s="11" t="str">
        <f aca="false">IF($P124=0,BX123,IF(BX$3=$E124,IF($AA124=1,$F124&amp;$AB124,$G124),IF(OR(BX$3=$D124,BX$3=$AC124,BX$3=$AE124),"",IF(BX$3=$AD124,$F124&amp;"R",BX123))))</f>
        <v/>
      </c>
      <c r="BY124" s="11" t="str">
        <f aca="false">IF($P124=0,BY123,IF(BY$3=$E124,IF($AA124=1,$F124&amp;$AB124,$G124),IF(OR(BY$3=$D124,BY$3=$AC124,BY$3=$AE124),"",IF(BY$3=$AD124,$F124&amp;"R",BY123))))</f>
        <v/>
      </c>
      <c r="BZ124" s="11" t="str">
        <f aca="false">IF($P124=0,BZ123,IF(BZ$3=$E124,IF($AA124=1,$F124&amp;$AB124,$G124),IF(OR(BZ$3=$D124,BZ$3=$AC124,BZ$3=$AE124),"",IF(BZ$3=$AD124,$F124&amp;"R",BZ123))))</f>
        <v/>
      </c>
      <c r="CA124" s="11" t="str">
        <f aca="false">IF($P124=0,CA123,IF(CA$3=$E124,IF($AA124=1,$F124&amp;$AB124,$G124),IF(OR(CA$3=$D124,CA$3=$AC124,CA$3=$AE124),"",IF(CA$3=$AD124,$F124&amp;"R",CA123))))</f>
        <v/>
      </c>
      <c r="CB124" s="11" t="str">
        <f aca="false">IF($P124=0,CB123,IF(CB$3=$E124,IF($AA124=1,$F124&amp;$AB124,$G124),IF(OR(CB$3=$D124,CB$3=$AC124,CB$3=$AE124),"",IF(CB$3=$AD124,$F124&amp;"R",CB123))))</f>
        <v/>
      </c>
      <c r="CC124" s="11" t="str">
        <f aca="false">IF($P124=0,CC123,IF(CC$3=$E124,IF($AA124=1,$F124&amp;$AB124,$G124),IF(OR(CC$3=$D124,CC$3=$AC124,CC$3=$AE124),"",IF(CC$3=$AD124,$F124&amp;"R",CC123))))</f>
        <v/>
      </c>
      <c r="CD124" s="11" t="str">
        <f aca="false">IF($P124=0,CD123,IF(CD$3=$E124,IF($AA124=1,$F124&amp;$AB124,$G124),IF(OR(CD$3=$D124,CD$3=$AC124,CD$3=$AE124),"",IF(CD$3=$AD124,$F124&amp;"R",CD123))))</f>
        <v>bP</v>
      </c>
      <c r="CE124" s="11" t="str">
        <f aca="false">IF($P124=0,CE123,IF(CE$3=$E124,IF($AA124=1,$F124&amp;$AB124,$G124),IF(OR(CE$3=$D124,CE$3=$AC124,CE$3=$AE124),"",IF(CE$3=$AD124,$F124&amp;"R",CE123))))</f>
        <v>bP</v>
      </c>
      <c r="CF124" s="11" t="str">
        <f aca="false">IF($P124=0,CF123,IF(CF$3=$E124,IF($AA124=1,$F124&amp;$AB124,$G124),IF(OR(CF$3=$D124,CF$3=$AC124,CF$3=$AE124),"",IF(CF$3=$AD124,$F124&amp;"R",CF123))))</f>
        <v>bP</v>
      </c>
      <c r="CG124" s="11" t="str">
        <f aca="false">IF($P124=0,CG123,IF(CG$3=$E124,IF($AA124=1,$F124&amp;$AB124,$G124),IF(OR(CG$3=$D124,CG$3=$AC124,CG$3=$AE124),"",IF(CG$3=$AD124,$F124&amp;"R",CG123))))</f>
        <v>bP</v>
      </c>
      <c r="CH124" s="11" t="str">
        <f aca="false">IF($P124=0,CH123,IF(CH$3=$E124,IF($AA124=1,$F124&amp;$AB124,$G124),IF(OR(CH$3=$D124,CH$3=$AC124,CH$3=$AE124),"",IF(CH$3=$AD124,$F124&amp;"R",CH123))))</f>
        <v>bP</v>
      </c>
      <c r="CI124" s="11" t="str">
        <f aca="false">IF($P124=0,CI123,IF(CI$3=$E124,IF($AA124=1,$F124&amp;$AB124,$G124),IF(OR(CI$3=$D124,CI$3=$AC124,CI$3=$AE124),"",IF(CI$3=$AD124,$F124&amp;"R",CI123))))</f>
        <v>bP</v>
      </c>
      <c r="CJ124" s="11" t="str">
        <f aca="false">IF($P124=0,CJ123,IF(CJ$3=$E124,IF($AA124=1,$F124&amp;$AB124,$G124),IF(OR(CJ$3=$D124,CJ$3=$AC124,CJ$3=$AE124),"",IF(CJ$3=$AD124,$F124&amp;"R",CJ123))))</f>
        <v>bP</v>
      </c>
      <c r="CK124" s="11" t="str">
        <f aca="false">IF($P124=0,CK123,IF(CK$3=$E124,IF($AA124=1,$F124&amp;$AB124,$G124),IF(OR(CK$3=$D124,CK$3=$AC124,CK$3=$AE124),"",IF(CK$3=$AD124,$F124&amp;"R",CK123))))</f>
        <v>bP</v>
      </c>
      <c r="CL124" s="11" t="str">
        <f aca="false">IF($P124=0,CL123,IF(CL$3=$E124,IF($AA124=1,$F124&amp;$AB124,$G124),IF(OR(CL$3=$D124,CL$3=$AC124,CL$3=$AE124),"",IF(CL$3=$AD124,$F124&amp;"R",CL123))))</f>
        <v>bR</v>
      </c>
      <c r="CM124" s="11" t="str">
        <f aca="false">IF($P124=0,CM123,IF(CM$3=$E124,IF($AA124=1,$F124&amp;$AB124,$G124),IF(OR(CM$3=$D124,CM$3=$AC124,CM$3=$AE124),"",IF(CM$3=$AD124,$F124&amp;"R",CM123))))</f>
        <v>bN</v>
      </c>
      <c r="CN124" s="11" t="str">
        <f aca="false">IF($P124=0,CN123,IF(CN$3=$E124,IF($AA124=1,$F124&amp;$AB124,$G124),IF(OR(CN$3=$D124,CN$3=$AC124,CN$3=$AE124),"",IF(CN$3=$AD124,$F124&amp;"R",CN123))))</f>
        <v>bB</v>
      </c>
      <c r="CO124" s="11" t="str">
        <f aca="false">IF($P124=0,CO123,IF(CO$3=$E124,IF($AA124=1,$F124&amp;$AB124,$G124),IF(OR(CO$3=$D124,CO$3=$AC124,CO$3=$AE124),"",IF(CO$3=$AD124,$F124&amp;"R",CO123))))</f>
        <v>bQ</v>
      </c>
      <c r="CP124" s="11" t="str">
        <f aca="false">IF($P124=0,CP123,IF(CP$3=$E124,IF($AA124=1,$F124&amp;$AB124,$G124),IF(OR(CP$3=$D124,CP$3=$AC124,CP$3=$AE124),"",IF(CP$3=$AD124,$F124&amp;"R",CP123))))</f>
        <v>bK</v>
      </c>
      <c r="CQ124" s="11" t="str">
        <f aca="false">IF($P124=0,CQ123,IF(CQ$3=$E124,IF($AA124=1,$F124&amp;$AB124,$G124),IF(OR(CQ$3=$D124,CQ$3=$AC124,CQ$3=$AE124),"",IF(CQ$3=$AD124,$F124&amp;"R",CQ123))))</f>
        <v>bB</v>
      </c>
      <c r="CR124" s="11" t="str">
        <f aca="false">IF($P124=0,CR123,IF(CR$3=$E124,IF($AA124=1,$F124&amp;$AB124,$G124),IF(OR(CR$3=$D124,CR$3=$AC124,CR$3=$AE124),"",IF(CR$3=$AD124,$F124&amp;"R",CR123))))</f>
        <v>bN</v>
      </c>
      <c r="CS124" s="11" t="str">
        <f aca="false">IF($P124=0,CS123,IF(CS$3=$E124,IF($AA124=1,$F124&amp;$AB124,$G124),IF(OR(CS$3=$D124,CS$3=$AC124,CS$3=$AE124),"",IF(CS$3=$AD124,$F124&amp;"R",CS123))))</f>
        <v>bR</v>
      </c>
      <c r="CT124" s="11"/>
      <c r="CU124" s="11"/>
      <c r="CV124" s="11"/>
    </row>
    <row r="125" customFormat="false" ht="15" hidden="false" customHeight="false" outlineLevel="0" collapsed="false">
      <c r="A125" s="11" t="n">
        <v>120</v>
      </c>
      <c r="B125" s="11" t="str">
        <f aca="false">IF(Chess!$L$129="","",Chess!$L$129&amp;"")</f>
        <v/>
      </c>
      <c r="C125" s="11" t="str">
        <f aca="false">LOWER(SUBSTITUTE(SUBSTITUTE(SUBSTITUTE(SUBSTITUTE(TRIM($B125),"-",""),"=","")," ",""),"x",""))</f>
        <v/>
      </c>
      <c r="D125" s="11" t="n">
        <f aca="false">IF(LEN($C125)&lt;4,0,IFERROR(IF(AND(CODE(MID($C125,1,1))&gt;=97,CODE(MID($C125,1,1))&lt;=104,VALUE(MID($C125,2,1))&gt;=1,VALUE(MID($C125,2,1))&lt;=8),(VALUE(MID($C125,2,1))-1)*8+CODE(MID($C125,1,1))-96,0),0))</f>
        <v>0</v>
      </c>
      <c r="E125" s="11" t="n">
        <f aca="false">IF(LEN($C125)&lt;4,0,IFERROR(IF(AND(CODE(MID($C125,3,1))&gt;=97,CODE(MID($C125,3,1))&lt;=104,VALUE(MID($C125,4,1))&gt;=1,VALUE(MID($C125,4,1))&lt;=8),(VALUE(MID($C125,4,1))-1)*8+CODE(MID($C125,3,1))-96,0),0))</f>
        <v>0</v>
      </c>
      <c r="F125" s="11" t="str">
        <f aca="false">IF(MOD(SUM($P$5:$P124),2)=0,"w","b")</f>
        <v>w</v>
      </c>
      <c r="G125" s="11" t="str">
        <f aca="false">IF($D125=0,"",INDEX($AH124:$CS124,1,$D125)&amp;"")</f>
        <v/>
      </c>
      <c r="H125" s="11" t="str">
        <f aca="false">IF($E125=0,"",INDEX($AH124:$CS124,1,$E125)&amp;"")</f>
        <v/>
      </c>
      <c r="I125" s="11" t="n">
        <f aca="false">IF(OR($D125=0,$E125=0),0,MOD($E125-1,8)-MOD($D125-1,8))</f>
        <v>0</v>
      </c>
      <c r="J125" s="11" t="n">
        <f aca="false">IF(OR($D125=0,$E125=0),0,INT(($E125-1)/8)-INT(($D125-1)/8))</f>
        <v>0</v>
      </c>
      <c r="K125" s="11" t="str">
        <f aca="false">IF($G125="","",RIGHT($G125,1))</f>
        <v/>
      </c>
      <c r="L125" s="11" t="n">
        <f aca="false">IF(OR($D125=0,$E125=0),0,SUMPRODUCT(($AH$3:$CS$3&gt;MIN($D125,$E125))*($AH$3:$CS$3&lt;MAX($D125,$E125))*(MOD($AH$3:$CS$3-MIN($D125,$E125),MAX(1,ABS(SIGN($J125)*8+SIGN($I125))))=0)*($AH124:$CS124&lt;&gt;"")))</f>
        <v>0</v>
      </c>
      <c r="M125" s="11" t="n">
        <f aca="false">IF($K125&lt;&gt;"K",0,IFERROR(--AND($J125=0,ABS($I125)=2,$D125=IF($F125="w",5,61),IF($F125="w",$S124,$V124)=0,IF($I125=2,AND(IF($F125="w",$U124,$X124)=0,INDEX($AH124:$CS124,1,$D125+1)&amp;""="",INDEX($AH124:$CS124,1,$D125+2)&amp;""=""),AND(IF($F125="w",$T124,$W124)=0,INDEX($AH124:$CS124,1,$D125-1)&amp;""="",INDEX($AH124:$CS124,1,$D125-2)&amp;""="",INDEX($AH124:$CS124,1,$D125-3)&amp;""=""))),0))</f>
        <v>0</v>
      </c>
      <c r="N125" s="11" t="n">
        <f aca="false">IF($K125&lt;&gt;"P",0,IFERROR(--OR(AND($I125=0,$J125=IF($F125="w",1,-1),$H125=""),AND($I125=0,$J125=2*IF($F125="w",1,-1),$H125="",INT(($D125-1)/8)=IF($F125="w",1,6),INDEX($AH124:$CS124,1,MAX(1,MIN(64,$D125+8*IF($F125="w",1,-1))))&amp;""=""),AND(ABS($I125)=1,$J125=IF($F125="w",1,-1),$H125&lt;&gt;""),AND(ABS($I125)=1,$J125=IF($F125="w",1,-1),$H125="",$R124&gt;0,$E125=$R124)),0))</f>
        <v>0</v>
      </c>
      <c r="O125" s="11" t="n">
        <f aca="false">IF(OR($D125=0,$E125=0,$G125=""),0,IF($K125="N",--OR(AND(ABS($I125)=1,ABS($J125)=2),AND(ABS($I125)=2,ABS($J125)=1)),IF($K125="B",--AND(ABS($I125)=ABS($J125),$I125&lt;&gt;0,$L125=0),IF($K125="R",--AND(OR($I125=0,$J125=0),OR($I125&lt;&gt;0,$J125&lt;&gt;0),$L125=0),IF($K125="Q",--AND(OR(AND(ABS($I125)=ABS($J125),$I125&lt;&gt;0),AND(OR($I125=0,$J125=0),OR($I125&lt;&gt;0,$J125&lt;&gt;0))),$L125=0),IF($K125="K",--OR(MAX(ABS($I125),ABS($J125))=1,$M125=1),$N125))))))</f>
        <v>0</v>
      </c>
      <c r="P125" s="11" t="n">
        <f aca="false">IF($Q125="OK",1,0)</f>
        <v>0</v>
      </c>
      <c r="Q125" s="11" t="str">
        <f aca="false">IF($B125="","",IF(OR(COUNTIF($AH124:$CS124,"wK")=0,COUNTIF($AH124:$CS124,"bK")=0),"Game is over",IF(OR($D125=0,$E125=0),"Use the format e2e4",IF($G125="","No piece on that square",IF(LEFT($G125,1)&lt;&gt;$F125,"Not your piece ("&amp;IF($F125="w","White","Black")&amp;" to move)",IF($D125=$E125,"Piece must move",IF(AND($H125&lt;&gt;"",LEFT($H125,1)=$F125),"Cannot capture your own piece",IF($O125=0,"Illegal move for that piece (or path blocked)","OK"))))))))</f>
        <v/>
      </c>
      <c r="R125" s="11" t="n">
        <f aca="false">IF($P125=1,IF(AND($K125="P",ABS($J125)=2),($D125+$E125)/2,0),$R124)</f>
        <v>0</v>
      </c>
      <c r="S125" s="12" t="b">
        <f aca="false">--OR($S124=1,AND($P125=1,OR($D125=5,$E125=5)))</f>
        <v>0</v>
      </c>
      <c r="T125" s="12" t="b">
        <f aca="false">--OR($T124=1,AND($P125=1,OR($D125=1,$E125=1)))</f>
        <v>0</v>
      </c>
      <c r="U125" s="12" t="b">
        <f aca="false">--OR($U124=1,AND($P125=1,OR($D125=8,$E125=8)))</f>
        <v>0</v>
      </c>
      <c r="V125" s="12" t="b">
        <f aca="false">--OR($V124=1,AND($P125=1,OR($D125=61,$E125=61)))</f>
        <v>0</v>
      </c>
      <c r="W125" s="12" t="b">
        <f aca="false">--OR($W124=1,AND($P125=1,OR($D125=57,$E125=57)))</f>
        <v>0</v>
      </c>
      <c r="X125" s="12" t="b">
        <f aca="false">--OR($X124=1,AND($P125=1,OR($D125=64,$E125=64)))</f>
        <v>0</v>
      </c>
      <c r="Y125" s="12" t="b">
        <f aca="false">--AND($P125=1,$K125="K",ABS($I125)=2)</f>
        <v>0</v>
      </c>
      <c r="Z125" s="12" t="b">
        <f aca="false">--AND($P125=1,$K125="P",ABS($I125)=1,$H125="")</f>
        <v>0</v>
      </c>
      <c r="AA125" s="12" t="b">
        <f aca="false">--AND($P125=1,$K125="P",INT(($E125-1)/8)=IF($F125="w",7,0))</f>
        <v>0</v>
      </c>
      <c r="AB125" s="11" t="str">
        <f aca="false">IF(LEN($C125)&gt;=5,IF(ISNUMBER(FIND(MID($C125,5,1),"qrbn")),UPPER(MID($C125,5,1)),"Q"),"Q")</f>
        <v>Q</v>
      </c>
      <c r="AC125" s="11" t="n">
        <f aca="false">IF($Y125=1,IF($I125=2,$D125+3,$D125-4),0)</f>
        <v>0</v>
      </c>
      <c r="AD125" s="11" t="n">
        <f aca="false">IF($Y125=1,IF($I125=2,$D125+1,$D125-1),0)</f>
        <v>0</v>
      </c>
      <c r="AE125" s="11" t="n">
        <f aca="false">IF($Z125=1,$E125-8*IF($F125="w",1,-1),0)</f>
        <v>0</v>
      </c>
      <c r="AF125" s="11" t="str">
        <f aca="false">IF($B125="","",IF($P125=1,LOWER(INDEX($CV$2:$CV$13,MATCH($G125,$CU$2:$CU$13,0)))&amp;" "&amp;MID("abcdefgh",MOD($D125-1,8)+1,1)&amp;(INT(($D125-1)/8)+1)&amp;"→"&amp;MID("abcdefgh",MOD($E125-1,8)+1,1)&amp;(INT(($E125-1)/8)+1)&amp;IF(OR($H125&lt;&gt;"",$Z125=1)," ×","")&amp;IF($Y125=1," castles","")&amp;IF($Z125=1," e.p.","")&amp;IF($AA125=1," =" &amp;LOWER(INDEX($CV$2:$CV$13,MATCH($F125&amp;$AB125,$CU$2:$CU$13,0))),""),"X "&amp;$Q125))</f>
        <v/>
      </c>
      <c r="AG125" s="11"/>
      <c r="AH125" s="11" t="str">
        <f aca="false">IF($P125=0,AH124,IF(AH$3=$E125,IF($AA125=1,$F125&amp;$AB125,$G125),IF(OR(AH$3=$D125,AH$3=$AC125,AH$3=$AE125),"",IF(AH$3=$AD125,$F125&amp;"R",AH124))))</f>
        <v>wR</v>
      </c>
      <c r="AI125" s="11" t="str">
        <f aca="false">IF($P125=0,AI124,IF(AI$3=$E125,IF($AA125=1,$F125&amp;$AB125,$G125),IF(OR(AI$3=$D125,AI$3=$AC125,AI$3=$AE125),"",IF(AI$3=$AD125,$F125&amp;"R",AI124))))</f>
        <v>wN</v>
      </c>
      <c r="AJ125" s="11" t="str">
        <f aca="false">IF($P125=0,AJ124,IF(AJ$3=$E125,IF($AA125=1,$F125&amp;$AB125,$G125),IF(OR(AJ$3=$D125,AJ$3=$AC125,AJ$3=$AE125),"",IF(AJ$3=$AD125,$F125&amp;"R",AJ124))))</f>
        <v>wB</v>
      </c>
      <c r="AK125" s="11" t="str">
        <f aca="false">IF($P125=0,AK124,IF(AK$3=$E125,IF($AA125=1,$F125&amp;$AB125,$G125),IF(OR(AK$3=$D125,AK$3=$AC125,AK$3=$AE125),"",IF(AK$3=$AD125,$F125&amp;"R",AK124))))</f>
        <v>wQ</v>
      </c>
      <c r="AL125" s="11" t="str">
        <f aca="false">IF($P125=0,AL124,IF(AL$3=$E125,IF($AA125=1,$F125&amp;$AB125,$G125),IF(OR(AL$3=$D125,AL$3=$AC125,AL$3=$AE125),"",IF(AL$3=$AD125,$F125&amp;"R",AL124))))</f>
        <v>wK</v>
      </c>
      <c r="AM125" s="11" t="str">
        <f aca="false">IF($P125=0,AM124,IF(AM$3=$E125,IF($AA125=1,$F125&amp;$AB125,$G125),IF(OR(AM$3=$D125,AM$3=$AC125,AM$3=$AE125),"",IF(AM$3=$AD125,$F125&amp;"R",AM124))))</f>
        <v>wB</v>
      </c>
      <c r="AN125" s="11" t="str">
        <f aca="false">IF($P125=0,AN124,IF(AN$3=$E125,IF($AA125=1,$F125&amp;$AB125,$G125),IF(OR(AN$3=$D125,AN$3=$AC125,AN$3=$AE125),"",IF(AN$3=$AD125,$F125&amp;"R",AN124))))</f>
        <v>wN</v>
      </c>
      <c r="AO125" s="11" t="str">
        <f aca="false">IF($P125=0,AO124,IF(AO$3=$E125,IF($AA125=1,$F125&amp;$AB125,$G125),IF(OR(AO$3=$D125,AO$3=$AC125,AO$3=$AE125),"",IF(AO$3=$AD125,$F125&amp;"R",AO124))))</f>
        <v>wR</v>
      </c>
      <c r="AP125" s="11" t="str">
        <f aca="false">IF($P125=0,AP124,IF(AP$3=$E125,IF($AA125=1,$F125&amp;$AB125,$G125),IF(OR(AP$3=$D125,AP$3=$AC125,AP$3=$AE125),"",IF(AP$3=$AD125,$F125&amp;"R",AP124))))</f>
        <v>wP</v>
      </c>
      <c r="AQ125" s="11" t="str">
        <f aca="false">IF($P125=0,AQ124,IF(AQ$3=$E125,IF($AA125=1,$F125&amp;$AB125,$G125),IF(OR(AQ$3=$D125,AQ$3=$AC125,AQ$3=$AE125),"",IF(AQ$3=$AD125,$F125&amp;"R",AQ124))))</f>
        <v>wP</v>
      </c>
      <c r="AR125" s="11" t="str">
        <f aca="false">IF($P125=0,AR124,IF(AR$3=$E125,IF($AA125=1,$F125&amp;$AB125,$G125),IF(OR(AR$3=$D125,AR$3=$AC125,AR$3=$AE125),"",IF(AR$3=$AD125,$F125&amp;"R",AR124))))</f>
        <v>wP</v>
      </c>
      <c r="AS125" s="11" t="str">
        <f aca="false">IF($P125=0,AS124,IF(AS$3=$E125,IF($AA125=1,$F125&amp;$AB125,$G125),IF(OR(AS$3=$D125,AS$3=$AC125,AS$3=$AE125),"",IF(AS$3=$AD125,$F125&amp;"R",AS124))))</f>
        <v>wP</v>
      </c>
      <c r="AT125" s="11" t="str">
        <f aca="false">IF($P125=0,AT124,IF(AT$3=$E125,IF($AA125=1,$F125&amp;$AB125,$G125),IF(OR(AT$3=$D125,AT$3=$AC125,AT$3=$AE125),"",IF(AT$3=$AD125,$F125&amp;"R",AT124))))</f>
        <v>wP</v>
      </c>
      <c r="AU125" s="11" t="str">
        <f aca="false">IF($P125=0,AU124,IF(AU$3=$E125,IF($AA125=1,$F125&amp;$AB125,$G125),IF(OR(AU$3=$D125,AU$3=$AC125,AU$3=$AE125),"",IF(AU$3=$AD125,$F125&amp;"R",AU124))))</f>
        <v>wP</v>
      </c>
      <c r="AV125" s="11" t="str">
        <f aca="false">IF($P125=0,AV124,IF(AV$3=$E125,IF($AA125=1,$F125&amp;$AB125,$G125),IF(OR(AV$3=$D125,AV$3=$AC125,AV$3=$AE125),"",IF(AV$3=$AD125,$F125&amp;"R",AV124))))</f>
        <v>wP</v>
      </c>
      <c r="AW125" s="11" t="str">
        <f aca="false">IF($P125=0,AW124,IF(AW$3=$E125,IF($AA125=1,$F125&amp;$AB125,$G125),IF(OR(AW$3=$D125,AW$3=$AC125,AW$3=$AE125),"",IF(AW$3=$AD125,$F125&amp;"R",AW124))))</f>
        <v>wP</v>
      </c>
      <c r="AX125" s="11" t="str">
        <f aca="false">IF($P125=0,AX124,IF(AX$3=$E125,IF($AA125=1,$F125&amp;$AB125,$G125),IF(OR(AX$3=$D125,AX$3=$AC125,AX$3=$AE125),"",IF(AX$3=$AD125,$F125&amp;"R",AX124))))</f>
        <v/>
      </c>
      <c r="AY125" s="11" t="str">
        <f aca="false">IF($P125=0,AY124,IF(AY$3=$E125,IF($AA125=1,$F125&amp;$AB125,$G125),IF(OR(AY$3=$D125,AY$3=$AC125,AY$3=$AE125),"",IF(AY$3=$AD125,$F125&amp;"R",AY124))))</f>
        <v/>
      </c>
      <c r="AZ125" s="11" t="str">
        <f aca="false">IF($P125=0,AZ124,IF(AZ$3=$E125,IF($AA125=1,$F125&amp;$AB125,$G125),IF(OR(AZ$3=$D125,AZ$3=$AC125,AZ$3=$AE125),"",IF(AZ$3=$AD125,$F125&amp;"R",AZ124))))</f>
        <v/>
      </c>
      <c r="BA125" s="11" t="str">
        <f aca="false">IF($P125=0,BA124,IF(BA$3=$E125,IF($AA125=1,$F125&amp;$AB125,$G125),IF(OR(BA$3=$D125,BA$3=$AC125,BA$3=$AE125),"",IF(BA$3=$AD125,$F125&amp;"R",BA124))))</f>
        <v/>
      </c>
      <c r="BB125" s="11" t="str">
        <f aca="false">IF($P125=0,BB124,IF(BB$3=$E125,IF($AA125=1,$F125&amp;$AB125,$G125),IF(OR(BB$3=$D125,BB$3=$AC125,BB$3=$AE125),"",IF(BB$3=$AD125,$F125&amp;"R",BB124))))</f>
        <v/>
      </c>
      <c r="BC125" s="11" t="str">
        <f aca="false">IF($P125=0,BC124,IF(BC$3=$E125,IF($AA125=1,$F125&amp;$AB125,$G125),IF(OR(BC$3=$D125,BC$3=$AC125,BC$3=$AE125),"",IF(BC$3=$AD125,$F125&amp;"R",BC124))))</f>
        <v/>
      </c>
      <c r="BD125" s="11" t="str">
        <f aca="false">IF($P125=0,BD124,IF(BD$3=$E125,IF($AA125=1,$F125&amp;$AB125,$G125),IF(OR(BD$3=$D125,BD$3=$AC125,BD$3=$AE125),"",IF(BD$3=$AD125,$F125&amp;"R",BD124))))</f>
        <v/>
      </c>
      <c r="BE125" s="11" t="str">
        <f aca="false">IF($P125=0,BE124,IF(BE$3=$E125,IF($AA125=1,$F125&amp;$AB125,$G125),IF(OR(BE$3=$D125,BE$3=$AC125,BE$3=$AE125),"",IF(BE$3=$AD125,$F125&amp;"R",BE124))))</f>
        <v/>
      </c>
      <c r="BF125" s="11" t="str">
        <f aca="false">IF($P125=0,BF124,IF(BF$3=$E125,IF($AA125=1,$F125&amp;$AB125,$G125),IF(OR(BF$3=$D125,BF$3=$AC125,BF$3=$AE125),"",IF(BF$3=$AD125,$F125&amp;"R",BF124))))</f>
        <v/>
      </c>
      <c r="BG125" s="11" t="str">
        <f aca="false">IF($P125=0,BG124,IF(BG$3=$E125,IF($AA125=1,$F125&amp;$AB125,$G125),IF(OR(BG$3=$D125,BG$3=$AC125,BG$3=$AE125),"",IF(BG$3=$AD125,$F125&amp;"R",BG124))))</f>
        <v/>
      </c>
      <c r="BH125" s="11" t="str">
        <f aca="false">IF($P125=0,BH124,IF(BH$3=$E125,IF($AA125=1,$F125&amp;$AB125,$G125),IF(OR(BH$3=$D125,BH$3=$AC125,BH$3=$AE125),"",IF(BH$3=$AD125,$F125&amp;"R",BH124))))</f>
        <v/>
      </c>
      <c r="BI125" s="11" t="str">
        <f aca="false">IF($P125=0,BI124,IF(BI$3=$E125,IF($AA125=1,$F125&amp;$AB125,$G125),IF(OR(BI$3=$D125,BI$3=$AC125,BI$3=$AE125),"",IF(BI$3=$AD125,$F125&amp;"R",BI124))))</f>
        <v/>
      </c>
      <c r="BJ125" s="11" t="str">
        <f aca="false">IF($P125=0,BJ124,IF(BJ$3=$E125,IF($AA125=1,$F125&amp;$AB125,$G125),IF(OR(BJ$3=$D125,BJ$3=$AC125,BJ$3=$AE125),"",IF(BJ$3=$AD125,$F125&amp;"R",BJ124))))</f>
        <v/>
      </c>
      <c r="BK125" s="11" t="str">
        <f aca="false">IF($P125=0,BK124,IF(BK$3=$E125,IF($AA125=1,$F125&amp;$AB125,$G125),IF(OR(BK$3=$D125,BK$3=$AC125,BK$3=$AE125),"",IF(BK$3=$AD125,$F125&amp;"R",BK124))))</f>
        <v/>
      </c>
      <c r="BL125" s="11" t="str">
        <f aca="false">IF($P125=0,BL124,IF(BL$3=$E125,IF($AA125=1,$F125&amp;$AB125,$G125),IF(OR(BL$3=$D125,BL$3=$AC125,BL$3=$AE125),"",IF(BL$3=$AD125,$F125&amp;"R",BL124))))</f>
        <v/>
      </c>
      <c r="BM125" s="11" t="str">
        <f aca="false">IF($P125=0,BM124,IF(BM$3=$E125,IF($AA125=1,$F125&amp;$AB125,$G125),IF(OR(BM$3=$D125,BM$3=$AC125,BM$3=$AE125),"",IF(BM$3=$AD125,$F125&amp;"R",BM124))))</f>
        <v/>
      </c>
      <c r="BN125" s="11" t="str">
        <f aca="false">IF($P125=0,BN124,IF(BN$3=$E125,IF($AA125=1,$F125&amp;$AB125,$G125),IF(OR(BN$3=$D125,BN$3=$AC125,BN$3=$AE125),"",IF(BN$3=$AD125,$F125&amp;"R",BN124))))</f>
        <v/>
      </c>
      <c r="BO125" s="11" t="str">
        <f aca="false">IF($P125=0,BO124,IF(BO$3=$E125,IF($AA125=1,$F125&amp;$AB125,$G125),IF(OR(BO$3=$D125,BO$3=$AC125,BO$3=$AE125),"",IF(BO$3=$AD125,$F125&amp;"R",BO124))))</f>
        <v/>
      </c>
      <c r="BP125" s="11" t="str">
        <f aca="false">IF($P125=0,BP124,IF(BP$3=$E125,IF($AA125=1,$F125&amp;$AB125,$G125),IF(OR(BP$3=$D125,BP$3=$AC125,BP$3=$AE125),"",IF(BP$3=$AD125,$F125&amp;"R",BP124))))</f>
        <v/>
      </c>
      <c r="BQ125" s="11" t="str">
        <f aca="false">IF($P125=0,BQ124,IF(BQ$3=$E125,IF($AA125=1,$F125&amp;$AB125,$G125),IF(OR(BQ$3=$D125,BQ$3=$AC125,BQ$3=$AE125),"",IF(BQ$3=$AD125,$F125&amp;"R",BQ124))))</f>
        <v/>
      </c>
      <c r="BR125" s="11" t="str">
        <f aca="false">IF($P125=0,BR124,IF(BR$3=$E125,IF($AA125=1,$F125&amp;$AB125,$G125),IF(OR(BR$3=$D125,BR$3=$AC125,BR$3=$AE125),"",IF(BR$3=$AD125,$F125&amp;"R",BR124))))</f>
        <v/>
      </c>
      <c r="BS125" s="11" t="str">
        <f aca="false">IF($P125=0,BS124,IF(BS$3=$E125,IF($AA125=1,$F125&amp;$AB125,$G125),IF(OR(BS$3=$D125,BS$3=$AC125,BS$3=$AE125),"",IF(BS$3=$AD125,$F125&amp;"R",BS124))))</f>
        <v/>
      </c>
      <c r="BT125" s="11" t="str">
        <f aca="false">IF($P125=0,BT124,IF(BT$3=$E125,IF($AA125=1,$F125&amp;$AB125,$G125),IF(OR(BT$3=$D125,BT$3=$AC125,BT$3=$AE125),"",IF(BT$3=$AD125,$F125&amp;"R",BT124))))</f>
        <v/>
      </c>
      <c r="BU125" s="11" t="str">
        <f aca="false">IF($P125=0,BU124,IF(BU$3=$E125,IF($AA125=1,$F125&amp;$AB125,$G125),IF(OR(BU$3=$D125,BU$3=$AC125,BU$3=$AE125),"",IF(BU$3=$AD125,$F125&amp;"R",BU124))))</f>
        <v/>
      </c>
      <c r="BV125" s="11" t="str">
        <f aca="false">IF($P125=0,BV124,IF(BV$3=$E125,IF($AA125=1,$F125&amp;$AB125,$G125),IF(OR(BV$3=$D125,BV$3=$AC125,BV$3=$AE125),"",IF(BV$3=$AD125,$F125&amp;"R",BV124))))</f>
        <v/>
      </c>
      <c r="BW125" s="11" t="str">
        <f aca="false">IF($P125=0,BW124,IF(BW$3=$E125,IF($AA125=1,$F125&amp;$AB125,$G125),IF(OR(BW$3=$D125,BW$3=$AC125,BW$3=$AE125),"",IF(BW$3=$AD125,$F125&amp;"R",BW124))))</f>
        <v/>
      </c>
      <c r="BX125" s="11" t="str">
        <f aca="false">IF($P125=0,BX124,IF(BX$3=$E125,IF($AA125=1,$F125&amp;$AB125,$G125),IF(OR(BX$3=$D125,BX$3=$AC125,BX$3=$AE125),"",IF(BX$3=$AD125,$F125&amp;"R",BX124))))</f>
        <v/>
      </c>
      <c r="BY125" s="11" t="str">
        <f aca="false">IF($P125=0,BY124,IF(BY$3=$E125,IF($AA125=1,$F125&amp;$AB125,$G125),IF(OR(BY$3=$D125,BY$3=$AC125,BY$3=$AE125),"",IF(BY$3=$AD125,$F125&amp;"R",BY124))))</f>
        <v/>
      </c>
      <c r="BZ125" s="11" t="str">
        <f aca="false">IF($P125=0,BZ124,IF(BZ$3=$E125,IF($AA125=1,$F125&amp;$AB125,$G125),IF(OR(BZ$3=$D125,BZ$3=$AC125,BZ$3=$AE125),"",IF(BZ$3=$AD125,$F125&amp;"R",BZ124))))</f>
        <v/>
      </c>
      <c r="CA125" s="11" t="str">
        <f aca="false">IF($P125=0,CA124,IF(CA$3=$E125,IF($AA125=1,$F125&amp;$AB125,$G125),IF(OR(CA$3=$D125,CA$3=$AC125,CA$3=$AE125),"",IF(CA$3=$AD125,$F125&amp;"R",CA124))))</f>
        <v/>
      </c>
      <c r="CB125" s="11" t="str">
        <f aca="false">IF($P125=0,CB124,IF(CB$3=$E125,IF($AA125=1,$F125&amp;$AB125,$G125),IF(OR(CB$3=$D125,CB$3=$AC125,CB$3=$AE125),"",IF(CB$3=$AD125,$F125&amp;"R",CB124))))</f>
        <v/>
      </c>
      <c r="CC125" s="11" t="str">
        <f aca="false">IF($P125=0,CC124,IF(CC$3=$E125,IF($AA125=1,$F125&amp;$AB125,$G125),IF(OR(CC$3=$D125,CC$3=$AC125,CC$3=$AE125),"",IF(CC$3=$AD125,$F125&amp;"R",CC124))))</f>
        <v/>
      </c>
      <c r="CD125" s="11" t="str">
        <f aca="false">IF($P125=0,CD124,IF(CD$3=$E125,IF($AA125=1,$F125&amp;$AB125,$G125),IF(OR(CD$3=$D125,CD$3=$AC125,CD$3=$AE125),"",IF(CD$3=$AD125,$F125&amp;"R",CD124))))</f>
        <v>bP</v>
      </c>
      <c r="CE125" s="11" t="str">
        <f aca="false">IF($P125=0,CE124,IF(CE$3=$E125,IF($AA125=1,$F125&amp;$AB125,$G125),IF(OR(CE$3=$D125,CE$3=$AC125,CE$3=$AE125),"",IF(CE$3=$AD125,$F125&amp;"R",CE124))))</f>
        <v>bP</v>
      </c>
      <c r="CF125" s="11" t="str">
        <f aca="false">IF($P125=0,CF124,IF(CF$3=$E125,IF($AA125=1,$F125&amp;$AB125,$G125),IF(OR(CF$3=$D125,CF$3=$AC125,CF$3=$AE125),"",IF(CF$3=$AD125,$F125&amp;"R",CF124))))</f>
        <v>bP</v>
      </c>
      <c r="CG125" s="11" t="str">
        <f aca="false">IF($P125=0,CG124,IF(CG$3=$E125,IF($AA125=1,$F125&amp;$AB125,$G125),IF(OR(CG$3=$D125,CG$3=$AC125,CG$3=$AE125),"",IF(CG$3=$AD125,$F125&amp;"R",CG124))))</f>
        <v>bP</v>
      </c>
      <c r="CH125" s="11" t="str">
        <f aca="false">IF($P125=0,CH124,IF(CH$3=$E125,IF($AA125=1,$F125&amp;$AB125,$G125),IF(OR(CH$3=$D125,CH$3=$AC125,CH$3=$AE125),"",IF(CH$3=$AD125,$F125&amp;"R",CH124))))</f>
        <v>bP</v>
      </c>
      <c r="CI125" s="11" t="str">
        <f aca="false">IF($P125=0,CI124,IF(CI$3=$E125,IF($AA125=1,$F125&amp;$AB125,$G125),IF(OR(CI$3=$D125,CI$3=$AC125,CI$3=$AE125),"",IF(CI$3=$AD125,$F125&amp;"R",CI124))))</f>
        <v>bP</v>
      </c>
      <c r="CJ125" s="11" t="str">
        <f aca="false">IF($P125=0,CJ124,IF(CJ$3=$E125,IF($AA125=1,$F125&amp;$AB125,$G125),IF(OR(CJ$3=$D125,CJ$3=$AC125,CJ$3=$AE125),"",IF(CJ$3=$AD125,$F125&amp;"R",CJ124))))</f>
        <v>bP</v>
      </c>
      <c r="CK125" s="11" t="str">
        <f aca="false">IF($P125=0,CK124,IF(CK$3=$E125,IF($AA125=1,$F125&amp;$AB125,$G125),IF(OR(CK$3=$D125,CK$3=$AC125,CK$3=$AE125),"",IF(CK$3=$AD125,$F125&amp;"R",CK124))))</f>
        <v>bP</v>
      </c>
      <c r="CL125" s="11" t="str">
        <f aca="false">IF($P125=0,CL124,IF(CL$3=$E125,IF($AA125=1,$F125&amp;$AB125,$G125),IF(OR(CL$3=$D125,CL$3=$AC125,CL$3=$AE125),"",IF(CL$3=$AD125,$F125&amp;"R",CL124))))</f>
        <v>bR</v>
      </c>
      <c r="CM125" s="11" t="str">
        <f aca="false">IF($P125=0,CM124,IF(CM$3=$E125,IF($AA125=1,$F125&amp;$AB125,$G125),IF(OR(CM$3=$D125,CM$3=$AC125,CM$3=$AE125),"",IF(CM$3=$AD125,$F125&amp;"R",CM124))))</f>
        <v>bN</v>
      </c>
      <c r="CN125" s="11" t="str">
        <f aca="false">IF($P125=0,CN124,IF(CN$3=$E125,IF($AA125=1,$F125&amp;$AB125,$G125),IF(OR(CN$3=$D125,CN$3=$AC125,CN$3=$AE125),"",IF(CN$3=$AD125,$F125&amp;"R",CN124))))</f>
        <v>bB</v>
      </c>
      <c r="CO125" s="11" t="str">
        <f aca="false">IF($P125=0,CO124,IF(CO$3=$E125,IF($AA125=1,$F125&amp;$AB125,$G125),IF(OR(CO$3=$D125,CO$3=$AC125,CO$3=$AE125),"",IF(CO$3=$AD125,$F125&amp;"R",CO124))))</f>
        <v>bQ</v>
      </c>
      <c r="CP125" s="11" t="str">
        <f aca="false">IF($P125=0,CP124,IF(CP$3=$E125,IF($AA125=1,$F125&amp;$AB125,$G125),IF(OR(CP$3=$D125,CP$3=$AC125,CP$3=$AE125),"",IF(CP$3=$AD125,$F125&amp;"R",CP124))))</f>
        <v>bK</v>
      </c>
      <c r="CQ125" s="11" t="str">
        <f aca="false">IF($P125=0,CQ124,IF(CQ$3=$E125,IF($AA125=1,$F125&amp;$AB125,$G125),IF(OR(CQ$3=$D125,CQ$3=$AC125,CQ$3=$AE125),"",IF(CQ$3=$AD125,$F125&amp;"R",CQ124))))</f>
        <v>bB</v>
      </c>
      <c r="CR125" s="11" t="str">
        <f aca="false">IF($P125=0,CR124,IF(CR$3=$E125,IF($AA125=1,$F125&amp;$AB125,$G125),IF(OR(CR$3=$D125,CR$3=$AC125,CR$3=$AE125),"",IF(CR$3=$AD125,$F125&amp;"R",CR124))))</f>
        <v>bN</v>
      </c>
      <c r="CS125" s="11" t="str">
        <f aca="false">IF($P125=0,CS124,IF(CS$3=$E125,IF($AA125=1,$F125&amp;$AB125,$G125),IF(OR(CS$3=$D125,CS$3=$AC125,CS$3=$AE125),"",IF(CS$3=$AD125,$F125&amp;"R",CS124))))</f>
        <v>bR</v>
      </c>
      <c r="CT125" s="11"/>
      <c r="CU125" s="11"/>
      <c r="CV125" s="11"/>
    </row>
    <row r="126" customFormat="false" ht="15" hidden="false" customHeight="false" outlineLevel="0" collapsed="false">
      <c r="A126" s="11" t="n">
        <v>121</v>
      </c>
      <c r="B126" s="11" t="str">
        <f aca="false">IF(Chess!$L$130="","",Chess!$L$130&amp;"")</f>
        <v/>
      </c>
      <c r="C126" s="11" t="str">
        <f aca="false">LOWER(SUBSTITUTE(SUBSTITUTE(SUBSTITUTE(SUBSTITUTE(TRIM($B126),"-",""),"=","")," ",""),"x",""))</f>
        <v/>
      </c>
      <c r="D126" s="11" t="n">
        <f aca="false">IF(LEN($C126)&lt;4,0,IFERROR(IF(AND(CODE(MID($C126,1,1))&gt;=97,CODE(MID($C126,1,1))&lt;=104,VALUE(MID($C126,2,1))&gt;=1,VALUE(MID($C126,2,1))&lt;=8),(VALUE(MID($C126,2,1))-1)*8+CODE(MID($C126,1,1))-96,0),0))</f>
        <v>0</v>
      </c>
      <c r="E126" s="11" t="n">
        <f aca="false">IF(LEN($C126)&lt;4,0,IFERROR(IF(AND(CODE(MID($C126,3,1))&gt;=97,CODE(MID($C126,3,1))&lt;=104,VALUE(MID($C126,4,1))&gt;=1,VALUE(MID($C126,4,1))&lt;=8),(VALUE(MID($C126,4,1))-1)*8+CODE(MID($C126,3,1))-96,0),0))</f>
        <v>0</v>
      </c>
      <c r="F126" s="11" t="str">
        <f aca="false">IF(MOD(SUM($P$5:$P125),2)=0,"w","b")</f>
        <v>w</v>
      </c>
      <c r="G126" s="11" t="str">
        <f aca="false">IF($D126=0,"",INDEX($AH125:$CS125,1,$D126)&amp;"")</f>
        <v/>
      </c>
      <c r="H126" s="11" t="str">
        <f aca="false">IF($E126=0,"",INDEX($AH125:$CS125,1,$E126)&amp;"")</f>
        <v/>
      </c>
      <c r="I126" s="11" t="n">
        <f aca="false">IF(OR($D126=0,$E126=0),0,MOD($E126-1,8)-MOD($D126-1,8))</f>
        <v>0</v>
      </c>
      <c r="J126" s="11" t="n">
        <f aca="false">IF(OR($D126=0,$E126=0),0,INT(($E126-1)/8)-INT(($D126-1)/8))</f>
        <v>0</v>
      </c>
      <c r="K126" s="11" t="str">
        <f aca="false">IF($G126="","",RIGHT($G126,1))</f>
        <v/>
      </c>
      <c r="L126" s="11" t="n">
        <f aca="false">IF(OR($D126=0,$E126=0),0,SUMPRODUCT(($AH$3:$CS$3&gt;MIN($D126,$E126))*($AH$3:$CS$3&lt;MAX($D126,$E126))*(MOD($AH$3:$CS$3-MIN($D126,$E126),MAX(1,ABS(SIGN($J126)*8+SIGN($I126))))=0)*($AH125:$CS125&lt;&gt;"")))</f>
        <v>0</v>
      </c>
      <c r="M126" s="11" t="n">
        <f aca="false">IF($K126&lt;&gt;"K",0,IFERROR(--AND($J126=0,ABS($I126)=2,$D126=IF($F126="w",5,61),IF($F126="w",$S125,$V125)=0,IF($I126=2,AND(IF($F126="w",$U125,$X125)=0,INDEX($AH125:$CS125,1,$D126+1)&amp;""="",INDEX($AH125:$CS125,1,$D126+2)&amp;""=""),AND(IF($F126="w",$T125,$W125)=0,INDEX($AH125:$CS125,1,$D126-1)&amp;""="",INDEX($AH125:$CS125,1,$D126-2)&amp;""="",INDEX($AH125:$CS125,1,$D126-3)&amp;""=""))),0))</f>
        <v>0</v>
      </c>
      <c r="N126" s="11" t="n">
        <f aca="false">IF($K126&lt;&gt;"P",0,IFERROR(--OR(AND($I126=0,$J126=IF($F126="w",1,-1),$H126=""),AND($I126=0,$J126=2*IF($F126="w",1,-1),$H126="",INT(($D126-1)/8)=IF($F126="w",1,6),INDEX($AH125:$CS125,1,MAX(1,MIN(64,$D126+8*IF($F126="w",1,-1))))&amp;""=""),AND(ABS($I126)=1,$J126=IF($F126="w",1,-1),$H126&lt;&gt;""),AND(ABS($I126)=1,$J126=IF($F126="w",1,-1),$H126="",$R125&gt;0,$E126=$R125)),0))</f>
        <v>0</v>
      </c>
      <c r="O126" s="11" t="n">
        <f aca="false">IF(OR($D126=0,$E126=0,$G126=""),0,IF($K126="N",--OR(AND(ABS($I126)=1,ABS($J126)=2),AND(ABS($I126)=2,ABS($J126)=1)),IF($K126="B",--AND(ABS($I126)=ABS($J126),$I126&lt;&gt;0,$L126=0),IF($K126="R",--AND(OR($I126=0,$J126=0),OR($I126&lt;&gt;0,$J126&lt;&gt;0),$L126=0),IF($K126="Q",--AND(OR(AND(ABS($I126)=ABS($J126),$I126&lt;&gt;0),AND(OR($I126=0,$J126=0),OR($I126&lt;&gt;0,$J126&lt;&gt;0))),$L126=0),IF($K126="K",--OR(MAX(ABS($I126),ABS($J126))=1,$M126=1),$N126))))))</f>
        <v>0</v>
      </c>
      <c r="P126" s="11" t="n">
        <f aca="false">IF($Q126="OK",1,0)</f>
        <v>0</v>
      </c>
      <c r="Q126" s="11" t="str">
        <f aca="false">IF($B126="","",IF(OR(COUNTIF($AH125:$CS125,"wK")=0,COUNTIF($AH125:$CS125,"bK")=0),"Game is over",IF(OR($D126=0,$E126=0),"Use the format e2e4",IF($G126="","No piece on that square",IF(LEFT($G126,1)&lt;&gt;$F126,"Not your piece ("&amp;IF($F126="w","White","Black")&amp;" to move)",IF($D126=$E126,"Piece must move",IF(AND($H126&lt;&gt;"",LEFT($H126,1)=$F126),"Cannot capture your own piece",IF($O126=0,"Illegal move for that piece (or path blocked)","OK"))))))))</f>
        <v/>
      </c>
      <c r="R126" s="11" t="n">
        <f aca="false">IF($P126=1,IF(AND($K126="P",ABS($J126)=2),($D126+$E126)/2,0),$R125)</f>
        <v>0</v>
      </c>
      <c r="S126" s="12" t="b">
        <f aca="false">--OR($S125=1,AND($P126=1,OR($D126=5,$E126=5)))</f>
        <v>0</v>
      </c>
      <c r="T126" s="12" t="b">
        <f aca="false">--OR($T125=1,AND($P126=1,OR($D126=1,$E126=1)))</f>
        <v>0</v>
      </c>
      <c r="U126" s="12" t="b">
        <f aca="false">--OR($U125=1,AND($P126=1,OR($D126=8,$E126=8)))</f>
        <v>0</v>
      </c>
      <c r="V126" s="12" t="b">
        <f aca="false">--OR($V125=1,AND($P126=1,OR($D126=61,$E126=61)))</f>
        <v>0</v>
      </c>
      <c r="W126" s="12" t="b">
        <f aca="false">--OR($W125=1,AND($P126=1,OR($D126=57,$E126=57)))</f>
        <v>0</v>
      </c>
      <c r="X126" s="12" t="b">
        <f aca="false">--OR($X125=1,AND($P126=1,OR($D126=64,$E126=64)))</f>
        <v>0</v>
      </c>
      <c r="Y126" s="12" t="b">
        <f aca="false">--AND($P126=1,$K126="K",ABS($I126)=2)</f>
        <v>0</v>
      </c>
      <c r="Z126" s="12" t="b">
        <f aca="false">--AND($P126=1,$K126="P",ABS($I126)=1,$H126="")</f>
        <v>0</v>
      </c>
      <c r="AA126" s="12" t="b">
        <f aca="false">--AND($P126=1,$K126="P",INT(($E126-1)/8)=IF($F126="w",7,0))</f>
        <v>0</v>
      </c>
      <c r="AB126" s="11" t="str">
        <f aca="false">IF(LEN($C126)&gt;=5,IF(ISNUMBER(FIND(MID($C126,5,1),"qrbn")),UPPER(MID($C126,5,1)),"Q"),"Q")</f>
        <v>Q</v>
      </c>
      <c r="AC126" s="11" t="n">
        <f aca="false">IF($Y126=1,IF($I126=2,$D126+3,$D126-4),0)</f>
        <v>0</v>
      </c>
      <c r="AD126" s="11" t="n">
        <f aca="false">IF($Y126=1,IF($I126=2,$D126+1,$D126-1),0)</f>
        <v>0</v>
      </c>
      <c r="AE126" s="11" t="n">
        <f aca="false">IF($Z126=1,$E126-8*IF($F126="w",1,-1),0)</f>
        <v>0</v>
      </c>
      <c r="AF126" s="11" t="str">
        <f aca="false">IF($B126="","",IF($P126=1,LOWER(INDEX($CV$2:$CV$13,MATCH($G126,$CU$2:$CU$13,0)))&amp;" "&amp;MID("abcdefgh",MOD($D126-1,8)+1,1)&amp;(INT(($D126-1)/8)+1)&amp;"→"&amp;MID("abcdefgh",MOD($E126-1,8)+1,1)&amp;(INT(($E126-1)/8)+1)&amp;IF(OR($H126&lt;&gt;"",$Z126=1)," ×","")&amp;IF($Y126=1," castles","")&amp;IF($Z126=1," e.p.","")&amp;IF($AA126=1," =" &amp;LOWER(INDEX($CV$2:$CV$13,MATCH($F126&amp;$AB126,$CU$2:$CU$13,0))),""),"X "&amp;$Q126))</f>
        <v/>
      </c>
      <c r="AG126" s="11"/>
      <c r="AH126" s="11" t="str">
        <f aca="false">IF($P126=0,AH125,IF(AH$3=$E126,IF($AA126=1,$F126&amp;$AB126,$G126),IF(OR(AH$3=$D126,AH$3=$AC126,AH$3=$AE126),"",IF(AH$3=$AD126,$F126&amp;"R",AH125))))</f>
        <v>wR</v>
      </c>
      <c r="AI126" s="11" t="str">
        <f aca="false">IF($P126=0,AI125,IF(AI$3=$E126,IF($AA126=1,$F126&amp;$AB126,$G126),IF(OR(AI$3=$D126,AI$3=$AC126,AI$3=$AE126),"",IF(AI$3=$AD126,$F126&amp;"R",AI125))))</f>
        <v>wN</v>
      </c>
      <c r="AJ126" s="11" t="str">
        <f aca="false">IF($P126=0,AJ125,IF(AJ$3=$E126,IF($AA126=1,$F126&amp;$AB126,$G126),IF(OR(AJ$3=$D126,AJ$3=$AC126,AJ$3=$AE126),"",IF(AJ$3=$AD126,$F126&amp;"R",AJ125))))</f>
        <v>wB</v>
      </c>
      <c r="AK126" s="11" t="str">
        <f aca="false">IF($P126=0,AK125,IF(AK$3=$E126,IF($AA126=1,$F126&amp;$AB126,$G126),IF(OR(AK$3=$D126,AK$3=$AC126,AK$3=$AE126),"",IF(AK$3=$AD126,$F126&amp;"R",AK125))))</f>
        <v>wQ</v>
      </c>
      <c r="AL126" s="11" t="str">
        <f aca="false">IF($P126=0,AL125,IF(AL$3=$E126,IF($AA126=1,$F126&amp;$AB126,$G126),IF(OR(AL$3=$D126,AL$3=$AC126,AL$3=$AE126),"",IF(AL$3=$AD126,$F126&amp;"R",AL125))))</f>
        <v>wK</v>
      </c>
      <c r="AM126" s="11" t="str">
        <f aca="false">IF($P126=0,AM125,IF(AM$3=$E126,IF($AA126=1,$F126&amp;$AB126,$G126),IF(OR(AM$3=$D126,AM$3=$AC126,AM$3=$AE126),"",IF(AM$3=$AD126,$F126&amp;"R",AM125))))</f>
        <v>wB</v>
      </c>
      <c r="AN126" s="11" t="str">
        <f aca="false">IF($P126=0,AN125,IF(AN$3=$E126,IF($AA126=1,$F126&amp;$AB126,$G126),IF(OR(AN$3=$D126,AN$3=$AC126,AN$3=$AE126),"",IF(AN$3=$AD126,$F126&amp;"R",AN125))))</f>
        <v>wN</v>
      </c>
      <c r="AO126" s="11" t="str">
        <f aca="false">IF($P126=0,AO125,IF(AO$3=$E126,IF($AA126=1,$F126&amp;$AB126,$G126),IF(OR(AO$3=$D126,AO$3=$AC126,AO$3=$AE126),"",IF(AO$3=$AD126,$F126&amp;"R",AO125))))</f>
        <v>wR</v>
      </c>
      <c r="AP126" s="11" t="str">
        <f aca="false">IF($P126=0,AP125,IF(AP$3=$E126,IF($AA126=1,$F126&amp;$AB126,$G126),IF(OR(AP$3=$D126,AP$3=$AC126,AP$3=$AE126),"",IF(AP$3=$AD126,$F126&amp;"R",AP125))))</f>
        <v>wP</v>
      </c>
      <c r="AQ126" s="11" t="str">
        <f aca="false">IF($P126=0,AQ125,IF(AQ$3=$E126,IF($AA126=1,$F126&amp;$AB126,$G126),IF(OR(AQ$3=$D126,AQ$3=$AC126,AQ$3=$AE126),"",IF(AQ$3=$AD126,$F126&amp;"R",AQ125))))</f>
        <v>wP</v>
      </c>
      <c r="AR126" s="11" t="str">
        <f aca="false">IF($P126=0,AR125,IF(AR$3=$E126,IF($AA126=1,$F126&amp;$AB126,$G126),IF(OR(AR$3=$D126,AR$3=$AC126,AR$3=$AE126),"",IF(AR$3=$AD126,$F126&amp;"R",AR125))))</f>
        <v>wP</v>
      </c>
      <c r="AS126" s="11" t="str">
        <f aca="false">IF($P126=0,AS125,IF(AS$3=$E126,IF($AA126=1,$F126&amp;$AB126,$G126),IF(OR(AS$3=$D126,AS$3=$AC126,AS$3=$AE126),"",IF(AS$3=$AD126,$F126&amp;"R",AS125))))</f>
        <v>wP</v>
      </c>
      <c r="AT126" s="11" t="str">
        <f aca="false">IF($P126=0,AT125,IF(AT$3=$E126,IF($AA126=1,$F126&amp;$AB126,$G126),IF(OR(AT$3=$D126,AT$3=$AC126,AT$3=$AE126),"",IF(AT$3=$AD126,$F126&amp;"R",AT125))))</f>
        <v>wP</v>
      </c>
      <c r="AU126" s="11" t="str">
        <f aca="false">IF($P126=0,AU125,IF(AU$3=$E126,IF($AA126=1,$F126&amp;$AB126,$G126),IF(OR(AU$3=$D126,AU$3=$AC126,AU$3=$AE126),"",IF(AU$3=$AD126,$F126&amp;"R",AU125))))</f>
        <v>wP</v>
      </c>
      <c r="AV126" s="11" t="str">
        <f aca="false">IF($P126=0,AV125,IF(AV$3=$E126,IF($AA126=1,$F126&amp;$AB126,$G126),IF(OR(AV$3=$D126,AV$3=$AC126,AV$3=$AE126),"",IF(AV$3=$AD126,$F126&amp;"R",AV125))))</f>
        <v>wP</v>
      </c>
      <c r="AW126" s="11" t="str">
        <f aca="false">IF($P126=0,AW125,IF(AW$3=$E126,IF($AA126=1,$F126&amp;$AB126,$G126),IF(OR(AW$3=$D126,AW$3=$AC126,AW$3=$AE126),"",IF(AW$3=$AD126,$F126&amp;"R",AW125))))</f>
        <v>wP</v>
      </c>
      <c r="AX126" s="11" t="str">
        <f aca="false">IF($P126=0,AX125,IF(AX$3=$E126,IF($AA126=1,$F126&amp;$AB126,$G126),IF(OR(AX$3=$D126,AX$3=$AC126,AX$3=$AE126),"",IF(AX$3=$AD126,$F126&amp;"R",AX125))))</f>
        <v/>
      </c>
      <c r="AY126" s="11" t="str">
        <f aca="false">IF($P126=0,AY125,IF(AY$3=$E126,IF($AA126=1,$F126&amp;$AB126,$G126),IF(OR(AY$3=$D126,AY$3=$AC126,AY$3=$AE126),"",IF(AY$3=$AD126,$F126&amp;"R",AY125))))</f>
        <v/>
      </c>
      <c r="AZ126" s="11" t="str">
        <f aca="false">IF($P126=0,AZ125,IF(AZ$3=$E126,IF($AA126=1,$F126&amp;$AB126,$G126),IF(OR(AZ$3=$D126,AZ$3=$AC126,AZ$3=$AE126),"",IF(AZ$3=$AD126,$F126&amp;"R",AZ125))))</f>
        <v/>
      </c>
      <c r="BA126" s="11" t="str">
        <f aca="false">IF($P126=0,BA125,IF(BA$3=$E126,IF($AA126=1,$F126&amp;$AB126,$G126),IF(OR(BA$3=$D126,BA$3=$AC126,BA$3=$AE126),"",IF(BA$3=$AD126,$F126&amp;"R",BA125))))</f>
        <v/>
      </c>
      <c r="BB126" s="11" t="str">
        <f aca="false">IF($P126=0,BB125,IF(BB$3=$E126,IF($AA126=1,$F126&amp;$AB126,$G126),IF(OR(BB$3=$D126,BB$3=$AC126,BB$3=$AE126),"",IF(BB$3=$AD126,$F126&amp;"R",BB125))))</f>
        <v/>
      </c>
      <c r="BC126" s="11" t="str">
        <f aca="false">IF($P126=0,BC125,IF(BC$3=$E126,IF($AA126=1,$F126&amp;$AB126,$G126),IF(OR(BC$3=$D126,BC$3=$AC126,BC$3=$AE126),"",IF(BC$3=$AD126,$F126&amp;"R",BC125))))</f>
        <v/>
      </c>
      <c r="BD126" s="11" t="str">
        <f aca="false">IF($P126=0,BD125,IF(BD$3=$E126,IF($AA126=1,$F126&amp;$AB126,$G126),IF(OR(BD$3=$D126,BD$3=$AC126,BD$3=$AE126),"",IF(BD$3=$AD126,$F126&amp;"R",BD125))))</f>
        <v/>
      </c>
      <c r="BE126" s="11" t="str">
        <f aca="false">IF($P126=0,BE125,IF(BE$3=$E126,IF($AA126=1,$F126&amp;$AB126,$G126),IF(OR(BE$3=$D126,BE$3=$AC126,BE$3=$AE126),"",IF(BE$3=$AD126,$F126&amp;"R",BE125))))</f>
        <v/>
      </c>
      <c r="BF126" s="11" t="str">
        <f aca="false">IF($P126=0,BF125,IF(BF$3=$E126,IF($AA126=1,$F126&amp;$AB126,$G126),IF(OR(BF$3=$D126,BF$3=$AC126,BF$3=$AE126),"",IF(BF$3=$AD126,$F126&amp;"R",BF125))))</f>
        <v/>
      </c>
      <c r="BG126" s="11" t="str">
        <f aca="false">IF($P126=0,BG125,IF(BG$3=$E126,IF($AA126=1,$F126&amp;$AB126,$G126),IF(OR(BG$3=$D126,BG$3=$AC126,BG$3=$AE126),"",IF(BG$3=$AD126,$F126&amp;"R",BG125))))</f>
        <v/>
      </c>
      <c r="BH126" s="11" t="str">
        <f aca="false">IF($P126=0,BH125,IF(BH$3=$E126,IF($AA126=1,$F126&amp;$AB126,$G126),IF(OR(BH$3=$D126,BH$3=$AC126,BH$3=$AE126),"",IF(BH$3=$AD126,$F126&amp;"R",BH125))))</f>
        <v/>
      </c>
      <c r="BI126" s="11" t="str">
        <f aca="false">IF($P126=0,BI125,IF(BI$3=$E126,IF($AA126=1,$F126&amp;$AB126,$G126),IF(OR(BI$3=$D126,BI$3=$AC126,BI$3=$AE126),"",IF(BI$3=$AD126,$F126&amp;"R",BI125))))</f>
        <v/>
      </c>
      <c r="BJ126" s="11" t="str">
        <f aca="false">IF($P126=0,BJ125,IF(BJ$3=$E126,IF($AA126=1,$F126&amp;$AB126,$G126),IF(OR(BJ$3=$D126,BJ$3=$AC126,BJ$3=$AE126),"",IF(BJ$3=$AD126,$F126&amp;"R",BJ125))))</f>
        <v/>
      </c>
      <c r="BK126" s="11" t="str">
        <f aca="false">IF($P126=0,BK125,IF(BK$3=$E126,IF($AA126=1,$F126&amp;$AB126,$G126),IF(OR(BK$3=$D126,BK$3=$AC126,BK$3=$AE126),"",IF(BK$3=$AD126,$F126&amp;"R",BK125))))</f>
        <v/>
      </c>
      <c r="BL126" s="11" t="str">
        <f aca="false">IF($P126=0,BL125,IF(BL$3=$E126,IF($AA126=1,$F126&amp;$AB126,$G126),IF(OR(BL$3=$D126,BL$3=$AC126,BL$3=$AE126),"",IF(BL$3=$AD126,$F126&amp;"R",BL125))))</f>
        <v/>
      </c>
      <c r="BM126" s="11" t="str">
        <f aca="false">IF($P126=0,BM125,IF(BM$3=$E126,IF($AA126=1,$F126&amp;$AB126,$G126),IF(OR(BM$3=$D126,BM$3=$AC126,BM$3=$AE126),"",IF(BM$3=$AD126,$F126&amp;"R",BM125))))</f>
        <v/>
      </c>
      <c r="BN126" s="11" t="str">
        <f aca="false">IF($P126=0,BN125,IF(BN$3=$E126,IF($AA126=1,$F126&amp;$AB126,$G126),IF(OR(BN$3=$D126,BN$3=$AC126,BN$3=$AE126),"",IF(BN$3=$AD126,$F126&amp;"R",BN125))))</f>
        <v/>
      </c>
      <c r="BO126" s="11" t="str">
        <f aca="false">IF($P126=0,BO125,IF(BO$3=$E126,IF($AA126=1,$F126&amp;$AB126,$G126),IF(OR(BO$3=$D126,BO$3=$AC126,BO$3=$AE126),"",IF(BO$3=$AD126,$F126&amp;"R",BO125))))</f>
        <v/>
      </c>
      <c r="BP126" s="11" t="str">
        <f aca="false">IF($P126=0,BP125,IF(BP$3=$E126,IF($AA126=1,$F126&amp;$AB126,$G126),IF(OR(BP$3=$D126,BP$3=$AC126,BP$3=$AE126),"",IF(BP$3=$AD126,$F126&amp;"R",BP125))))</f>
        <v/>
      </c>
      <c r="BQ126" s="11" t="str">
        <f aca="false">IF($P126=0,BQ125,IF(BQ$3=$E126,IF($AA126=1,$F126&amp;$AB126,$G126),IF(OR(BQ$3=$D126,BQ$3=$AC126,BQ$3=$AE126),"",IF(BQ$3=$AD126,$F126&amp;"R",BQ125))))</f>
        <v/>
      </c>
      <c r="BR126" s="11" t="str">
        <f aca="false">IF($P126=0,BR125,IF(BR$3=$E126,IF($AA126=1,$F126&amp;$AB126,$G126),IF(OR(BR$3=$D126,BR$3=$AC126,BR$3=$AE126),"",IF(BR$3=$AD126,$F126&amp;"R",BR125))))</f>
        <v/>
      </c>
      <c r="BS126" s="11" t="str">
        <f aca="false">IF($P126=0,BS125,IF(BS$3=$E126,IF($AA126=1,$F126&amp;$AB126,$G126),IF(OR(BS$3=$D126,BS$3=$AC126,BS$3=$AE126),"",IF(BS$3=$AD126,$F126&amp;"R",BS125))))</f>
        <v/>
      </c>
      <c r="BT126" s="11" t="str">
        <f aca="false">IF($P126=0,BT125,IF(BT$3=$E126,IF($AA126=1,$F126&amp;$AB126,$G126),IF(OR(BT$3=$D126,BT$3=$AC126,BT$3=$AE126),"",IF(BT$3=$AD126,$F126&amp;"R",BT125))))</f>
        <v/>
      </c>
      <c r="BU126" s="11" t="str">
        <f aca="false">IF($P126=0,BU125,IF(BU$3=$E126,IF($AA126=1,$F126&amp;$AB126,$G126),IF(OR(BU$3=$D126,BU$3=$AC126,BU$3=$AE126),"",IF(BU$3=$AD126,$F126&amp;"R",BU125))))</f>
        <v/>
      </c>
      <c r="BV126" s="11" t="str">
        <f aca="false">IF($P126=0,BV125,IF(BV$3=$E126,IF($AA126=1,$F126&amp;$AB126,$G126),IF(OR(BV$3=$D126,BV$3=$AC126,BV$3=$AE126),"",IF(BV$3=$AD126,$F126&amp;"R",BV125))))</f>
        <v/>
      </c>
      <c r="BW126" s="11" t="str">
        <f aca="false">IF($P126=0,BW125,IF(BW$3=$E126,IF($AA126=1,$F126&amp;$AB126,$G126),IF(OR(BW$3=$D126,BW$3=$AC126,BW$3=$AE126),"",IF(BW$3=$AD126,$F126&amp;"R",BW125))))</f>
        <v/>
      </c>
      <c r="BX126" s="11" t="str">
        <f aca="false">IF($P126=0,BX125,IF(BX$3=$E126,IF($AA126=1,$F126&amp;$AB126,$G126),IF(OR(BX$3=$D126,BX$3=$AC126,BX$3=$AE126),"",IF(BX$3=$AD126,$F126&amp;"R",BX125))))</f>
        <v/>
      </c>
      <c r="BY126" s="11" t="str">
        <f aca="false">IF($P126=0,BY125,IF(BY$3=$E126,IF($AA126=1,$F126&amp;$AB126,$G126),IF(OR(BY$3=$D126,BY$3=$AC126,BY$3=$AE126),"",IF(BY$3=$AD126,$F126&amp;"R",BY125))))</f>
        <v/>
      </c>
      <c r="BZ126" s="11" t="str">
        <f aca="false">IF($P126=0,BZ125,IF(BZ$3=$E126,IF($AA126=1,$F126&amp;$AB126,$G126),IF(OR(BZ$3=$D126,BZ$3=$AC126,BZ$3=$AE126),"",IF(BZ$3=$AD126,$F126&amp;"R",BZ125))))</f>
        <v/>
      </c>
      <c r="CA126" s="11" t="str">
        <f aca="false">IF($P126=0,CA125,IF(CA$3=$E126,IF($AA126=1,$F126&amp;$AB126,$G126),IF(OR(CA$3=$D126,CA$3=$AC126,CA$3=$AE126),"",IF(CA$3=$AD126,$F126&amp;"R",CA125))))</f>
        <v/>
      </c>
      <c r="CB126" s="11" t="str">
        <f aca="false">IF($P126=0,CB125,IF(CB$3=$E126,IF($AA126=1,$F126&amp;$AB126,$G126),IF(OR(CB$3=$D126,CB$3=$AC126,CB$3=$AE126),"",IF(CB$3=$AD126,$F126&amp;"R",CB125))))</f>
        <v/>
      </c>
      <c r="CC126" s="11" t="str">
        <f aca="false">IF($P126=0,CC125,IF(CC$3=$E126,IF($AA126=1,$F126&amp;$AB126,$G126),IF(OR(CC$3=$D126,CC$3=$AC126,CC$3=$AE126),"",IF(CC$3=$AD126,$F126&amp;"R",CC125))))</f>
        <v/>
      </c>
      <c r="CD126" s="11" t="str">
        <f aca="false">IF($P126=0,CD125,IF(CD$3=$E126,IF($AA126=1,$F126&amp;$AB126,$G126),IF(OR(CD$3=$D126,CD$3=$AC126,CD$3=$AE126),"",IF(CD$3=$AD126,$F126&amp;"R",CD125))))</f>
        <v>bP</v>
      </c>
      <c r="CE126" s="11" t="str">
        <f aca="false">IF($P126=0,CE125,IF(CE$3=$E126,IF($AA126=1,$F126&amp;$AB126,$G126),IF(OR(CE$3=$D126,CE$3=$AC126,CE$3=$AE126),"",IF(CE$3=$AD126,$F126&amp;"R",CE125))))</f>
        <v>bP</v>
      </c>
      <c r="CF126" s="11" t="str">
        <f aca="false">IF($P126=0,CF125,IF(CF$3=$E126,IF($AA126=1,$F126&amp;$AB126,$G126),IF(OR(CF$3=$D126,CF$3=$AC126,CF$3=$AE126),"",IF(CF$3=$AD126,$F126&amp;"R",CF125))))</f>
        <v>bP</v>
      </c>
      <c r="CG126" s="11" t="str">
        <f aca="false">IF($P126=0,CG125,IF(CG$3=$E126,IF($AA126=1,$F126&amp;$AB126,$G126),IF(OR(CG$3=$D126,CG$3=$AC126,CG$3=$AE126),"",IF(CG$3=$AD126,$F126&amp;"R",CG125))))</f>
        <v>bP</v>
      </c>
      <c r="CH126" s="11" t="str">
        <f aca="false">IF($P126=0,CH125,IF(CH$3=$E126,IF($AA126=1,$F126&amp;$AB126,$G126),IF(OR(CH$3=$D126,CH$3=$AC126,CH$3=$AE126),"",IF(CH$3=$AD126,$F126&amp;"R",CH125))))</f>
        <v>bP</v>
      </c>
      <c r="CI126" s="11" t="str">
        <f aca="false">IF($P126=0,CI125,IF(CI$3=$E126,IF($AA126=1,$F126&amp;$AB126,$G126),IF(OR(CI$3=$D126,CI$3=$AC126,CI$3=$AE126),"",IF(CI$3=$AD126,$F126&amp;"R",CI125))))</f>
        <v>bP</v>
      </c>
      <c r="CJ126" s="11" t="str">
        <f aca="false">IF($P126=0,CJ125,IF(CJ$3=$E126,IF($AA126=1,$F126&amp;$AB126,$G126),IF(OR(CJ$3=$D126,CJ$3=$AC126,CJ$3=$AE126),"",IF(CJ$3=$AD126,$F126&amp;"R",CJ125))))</f>
        <v>bP</v>
      </c>
      <c r="CK126" s="11" t="str">
        <f aca="false">IF($P126=0,CK125,IF(CK$3=$E126,IF($AA126=1,$F126&amp;$AB126,$G126),IF(OR(CK$3=$D126,CK$3=$AC126,CK$3=$AE126),"",IF(CK$3=$AD126,$F126&amp;"R",CK125))))</f>
        <v>bP</v>
      </c>
      <c r="CL126" s="11" t="str">
        <f aca="false">IF($P126=0,CL125,IF(CL$3=$E126,IF($AA126=1,$F126&amp;$AB126,$G126),IF(OR(CL$3=$D126,CL$3=$AC126,CL$3=$AE126),"",IF(CL$3=$AD126,$F126&amp;"R",CL125))))</f>
        <v>bR</v>
      </c>
      <c r="CM126" s="11" t="str">
        <f aca="false">IF($P126=0,CM125,IF(CM$3=$E126,IF($AA126=1,$F126&amp;$AB126,$G126),IF(OR(CM$3=$D126,CM$3=$AC126,CM$3=$AE126),"",IF(CM$3=$AD126,$F126&amp;"R",CM125))))</f>
        <v>bN</v>
      </c>
      <c r="CN126" s="11" t="str">
        <f aca="false">IF($P126=0,CN125,IF(CN$3=$E126,IF($AA126=1,$F126&amp;$AB126,$G126),IF(OR(CN$3=$D126,CN$3=$AC126,CN$3=$AE126),"",IF(CN$3=$AD126,$F126&amp;"R",CN125))))</f>
        <v>bB</v>
      </c>
      <c r="CO126" s="11" t="str">
        <f aca="false">IF($P126=0,CO125,IF(CO$3=$E126,IF($AA126=1,$F126&amp;$AB126,$G126),IF(OR(CO$3=$D126,CO$3=$AC126,CO$3=$AE126),"",IF(CO$3=$AD126,$F126&amp;"R",CO125))))</f>
        <v>bQ</v>
      </c>
      <c r="CP126" s="11" t="str">
        <f aca="false">IF($P126=0,CP125,IF(CP$3=$E126,IF($AA126=1,$F126&amp;$AB126,$G126),IF(OR(CP$3=$D126,CP$3=$AC126,CP$3=$AE126),"",IF(CP$3=$AD126,$F126&amp;"R",CP125))))</f>
        <v>bK</v>
      </c>
      <c r="CQ126" s="11" t="str">
        <f aca="false">IF($P126=0,CQ125,IF(CQ$3=$E126,IF($AA126=1,$F126&amp;$AB126,$G126),IF(OR(CQ$3=$D126,CQ$3=$AC126,CQ$3=$AE126),"",IF(CQ$3=$AD126,$F126&amp;"R",CQ125))))</f>
        <v>bB</v>
      </c>
      <c r="CR126" s="11" t="str">
        <f aca="false">IF($P126=0,CR125,IF(CR$3=$E126,IF($AA126=1,$F126&amp;$AB126,$G126),IF(OR(CR$3=$D126,CR$3=$AC126,CR$3=$AE126),"",IF(CR$3=$AD126,$F126&amp;"R",CR125))))</f>
        <v>bN</v>
      </c>
      <c r="CS126" s="11" t="str">
        <f aca="false">IF($P126=0,CS125,IF(CS$3=$E126,IF($AA126=1,$F126&amp;$AB126,$G126),IF(OR(CS$3=$D126,CS$3=$AC126,CS$3=$AE126),"",IF(CS$3=$AD126,$F126&amp;"R",CS125))))</f>
        <v>bR</v>
      </c>
      <c r="CT126" s="11"/>
      <c r="CU126" s="11"/>
      <c r="CV126" s="11"/>
    </row>
    <row r="127" customFormat="false" ht="15" hidden="false" customHeight="false" outlineLevel="0" collapsed="false">
      <c r="A127" s="11" t="n">
        <v>122</v>
      </c>
      <c r="B127" s="11" t="str">
        <f aca="false">IF(Chess!$L$131="","",Chess!$L$131&amp;"")</f>
        <v/>
      </c>
      <c r="C127" s="11" t="str">
        <f aca="false">LOWER(SUBSTITUTE(SUBSTITUTE(SUBSTITUTE(SUBSTITUTE(TRIM($B127),"-",""),"=","")," ",""),"x",""))</f>
        <v/>
      </c>
      <c r="D127" s="11" t="n">
        <f aca="false">IF(LEN($C127)&lt;4,0,IFERROR(IF(AND(CODE(MID($C127,1,1))&gt;=97,CODE(MID($C127,1,1))&lt;=104,VALUE(MID($C127,2,1))&gt;=1,VALUE(MID($C127,2,1))&lt;=8),(VALUE(MID($C127,2,1))-1)*8+CODE(MID($C127,1,1))-96,0),0))</f>
        <v>0</v>
      </c>
      <c r="E127" s="11" t="n">
        <f aca="false">IF(LEN($C127)&lt;4,0,IFERROR(IF(AND(CODE(MID($C127,3,1))&gt;=97,CODE(MID($C127,3,1))&lt;=104,VALUE(MID($C127,4,1))&gt;=1,VALUE(MID($C127,4,1))&lt;=8),(VALUE(MID($C127,4,1))-1)*8+CODE(MID($C127,3,1))-96,0),0))</f>
        <v>0</v>
      </c>
      <c r="F127" s="11" t="str">
        <f aca="false">IF(MOD(SUM($P$5:$P126),2)=0,"w","b")</f>
        <v>w</v>
      </c>
      <c r="G127" s="11" t="str">
        <f aca="false">IF($D127=0,"",INDEX($AH126:$CS126,1,$D127)&amp;"")</f>
        <v/>
      </c>
      <c r="H127" s="11" t="str">
        <f aca="false">IF($E127=0,"",INDEX($AH126:$CS126,1,$E127)&amp;"")</f>
        <v/>
      </c>
      <c r="I127" s="11" t="n">
        <f aca="false">IF(OR($D127=0,$E127=0),0,MOD($E127-1,8)-MOD($D127-1,8))</f>
        <v>0</v>
      </c>
      <c r="J127" s="11" t="n">
        <f aca="false">IF(OR($D127=0,$E127=0),0,INT(($E127-1)/8)-INT(($D127-1)/8))</f>
        <v>0</v>
      </c>
      <c r="K127" s="11" t="str">
        <f aca="false">IF($G127="","",RIGHT($G127,1))</f>
        <v/>
      </c>
      <c r="L127" s="11" t="n">
        <f aca="false">IF(OR($D127=0,$E127=0),0,SUMPRODUCT(($AH$3:$CS$3&gt;MIN($D127,$E127))*($AH$3:$CS$3&lt;MAX($D127,$E127))*(MOD($AH$3:$CS$3-MIN($D127,$E127),MAX(1,ABS(SIGN($J127)*8+SIGN($I127))))=0)*($AH126:$CS126&lt;&gt;"")))</f>
        <v>0</v>
      </c>
      <c r="M127" s="11" t="n">
        <f aca="false">IF($K127&lt;&gt;"K",0,IFERROR(--AND($J127=0,ABS($I127)=2,$D127=IF($F127="w",5,61),IF($F127="w",$S126,$V126)=0,IF($I127=2,AND(IF($F127="w",$U126,$X126)=0,INDEX($AH126:$CS126,1,$D127+1)&amp;""="",INDEX($AH126:$CS126,1,$D127+2)&amp;""=""),AND(IF($F127="w",$T126,$W126)=0,INDEX($AH126:$CS126,1,$D127-1)&amp;""="",INDEX($AH126:$CS126,1,$D127-2)&amp;""="",INDEX($AH126:$CS126,1,$D127-3)&amp;""=""))),0))</f>
        <v>0</v>
      </c>
      <c r="N127" s="11" t="n">
        <f aca="false">IF($K127&lt;&gt;"P",0,IFERROR(--OR(AND($I127=0,$J127=IF($F127="w",1,-1),$H127=""),AND($I127=0,$J127=2*IF($F127="w",1,-1),$H127="",INT(($D127-1)/8)=IF($F127="w",1,6),INDEX($AH126:$CS126,1,MAX(1,MIN(64,$D127+8*IF($F127="w",1,-1))))&amp;""=""),AND(ABS($I127)=1,$J127=IF($F127="w",1,-1),$H127&lt;&gt;""),AND(ABS($I127)=1,$J127=IF($F127="w",1,-1),$H127="",$R126&gt;0,$E127=$R126)),0))</f>
        <v>0</v>
      </c>
      <c r="O127" s="11" t="n">
        <f aca="false">IF(OR($D127=0,$E127=0,$G127=""),0,IF($K127="N",--OR(AND(ABS($I127)=1,ABS($J127)=2),AND(ABS($I127)=2,ABS($J127)=1)),IF($K127="B",--AND(ABS($I127)=ABS($J127),$I127&lt;&gt;0,$L127=0),IF($K127="R",--AND(OR($I127=0,$J127=0),OR($I127&lt;&gt;0,$J127&lt;&gt;0),$L127=0),IF($K127="Q",--AND(OR(AND(ABS($I127)=ABS($J127),$I127&lt;&gt;0),AND(OR($I127=0,$J127=0),OR($I127&lt;&gt;0,$J127&lt;&gt;0))),$L127=0),IF($K127="K",--OR(MAX(ABS($I127),ABS($J127))=1,$M127=1),$N127))))))</f>
        <v>0</v>
      </c>
      <c r="P127" s="11" t="n">
        <f aca="false">IF($Q127="OK",1,0)</f>
        <v>0</v>
      </c>
      <c r="Q127" s="11" t="str">
        <f aca="false">IF($B127="","",IF(OR(COUNTIF($AH126:$CS126,"wK")=0,COUNTIF($AH126:$CS126,"bK")=0),"Game is over",IF(OR($D127=0,$E127=0),"Use the format e2e4",IF($G127="","No piece on that square",IF(LEFT($G127,1)&lt;&gt;$F127,"Not your piece ("&amp;IF($F127="w","White","Black")&amp;" to move)",IF($D127=$E127,"Piece must move",IF(AND($H127&lt;&gt;"",LEFT($H127,1)=$F127),"Cannot capture your own piece",IF($O127=0,"Illegal move for that piece (or path blocked)","OK"))))))))</f>
        <v/>
      </c>
      <c r="R127" s="11" t="n">
        <f aca="false">IF($P127=1,IF(AND($K127="P",ABS($J127)=2),($D127+$E127)/2,0),$R126)</f>
        <v>0</v>
      </c>
      <c r="S127" s="12" t="b">
        <f aca="false">--OR($S126=1,AND($P127=1,OR($D127=5,$E127=5)))</f>
        <v>0</v>
      </c>
      <c r="T127" s="12" t="b">
        <f aca="false">--OR($T126=1,AND($P127=1,OR($D127=1,$E127=1)))</f>
        <v>0</v>
      </c>
      <c r="U127" s="12" t="b">
        <f aca="false">--OR($U126=1,AND($P127=1,OR($D127=8,$E127=8)))</f>
        <v>0</v>
      </c>
      <c r="V127" s="12" t="b">
        <f aca="false">--OR($V126=1,AND($P127=1,OR($D127=61,$E127=61)))</f>
        <v>0</v>
      </c>
      <c r="W127" s="12" t="b">
        <f aca="false">--OR($W126=1,AND($P127=1,OR($D127=57,$E127=57)))</f>
        <v>0</v>
      </c>
      <c r="X127" s="12" t="b">
        <f aca="false">--OR($X126=1,AND($P127=1,OR($D127=64,$E127=64)))</f>
        <v>0</v>
      </c>
      <c r="Y127" s="12" t="b">
        <f aca="false">--AND($P127=1,$K127="K",ABS($I127)=2)</f>
        <v>0</v>
      </c>
      <c r="Z127" s="12" t="b">
        <f aca="false">--AND($P127=1,$K127="P",ABS($I127)=1,$H127="")</f>
        <v>0</v>
      </c>
      <c r="AA127" s="12" t="b">
        <f aca="false">--AND($P127=1,$K127="P",INT(($E127-1)/8)=IF($F127="w",7,0))</f>
        <v>0</v>
      </c>
      <c r="AB127" s="11" t="str">
        <f aca="false">IF(LEN($C127)&gt;=5,IF(ISNUMBER(FIND(MID($C127,5,1),"qrbn")),UPPER(MID($C127,5,1)),"Q"),"Q")</f>
        <v>Q</v>
      </c>
      <c r="AC127" s="11" t="n">
        <f aca="false">IF($Y127=1,IF($I127=2,$D127+3,$D127-4),0)</f>
        <v>0</v>
      </c>
      <c r="AD127" s="11" t="n">
        <f aca="false">IF($Y127=1,IF($I127=2,$D127+1,$D127-1),0)</f>
        <v>0</v>
      </c>
      <c r="AE127" s="11" t="n">
        <f aca="false">IF($Z127=1,$E127-8*IF($F127="w",1,-1),0)</f>
        <v>0</v>
      </c>
      <c r="AF127" s="11" t="str">
        <f aca="false">IF($B127="","",IF($P127=1,LOWER(INDEX($CV$2:$CV$13,MATCH($G127,$CU$2:$CU$13,0)))&amp;" "&amp;MID("abcdefgh",MOD($D127-1,8)+1,1)&amp;(INT(($D127-1)/8)+1)&amp;"→"&amp;MID("abcdefgh",MOD($E127-1,8)+1,1)&amp;(INT(($E127-1)/8)+1)&amp;IF(OR($H127&lt;&gt;"",$Z127=1)," ×","")&amp;IF($Y127=1," castles","")&amp;IF($Z127=1," e.p.","")&amp;IF($AA127=1," =" &amp;LOWER(INDEX($CV$2:$CV$13,MATCH($F127&amp;$AB127,$CU$2:$CU$13,0))),""),"X "&amp;$Q127))</f>
        <v/>
      </c>
      <c r="AG127" s="11"/>
      <c r="AH127" s="11" t="str">
        <f aca="false">IF($P127=0,AH126,IF(AH$3=$E127,IF($AA127=1,$F127&amp;$AB127,$G127),IF(OR(AH$3=$D127,AH$3=$AC127,AH$3=$AE127),"",IF(AH$3=$AD127,$F127&amp;"R",AH126))))</f>
        <v>wR</v>
      </c>
      <c r="AI127" s="11" t="str">
        <f aca="false">IF($P127=0,AI126,IF(AI$3=$E127,IF($AA127=1,$F127&amp;$AB127,$G127),IF(OR(AI$3=$D127,AI$3=$AC127,AI$3=$AE127),"",IF(AI$3=$AD127,$F127&amp;"R",AI126))))</f>
        <v>wN</v>
      </c>
      <c r="AJ127" s="11" t="str">
        <f aca="false">IF($P127=0,AJ126,IF(AJ$3=$E127,IF($AA127=1,$F127&amp;$AB127,$G127),IF(OR(AJ$3=$D127,AJ$3=$AC127,AJ$3=$AE127),"",IF(AJ$3=$AD127,$F127&amp;"R",AJ126))))</f>
        <v>wB</v>
      </c>
      <c r="AK127" s="11" t="str">
        <f aca="false">IF($P127=0,AK126,IF(AK$3=$E127,IF($AA127=1,$F127&amp;$AB127,$G127),IF(OR(AK$3=$D127,AK$3=$AC127,AK$3=$AE127),"",IF(AK$3=$AD127,$F127&amp;"R",AK126))))</f>
        <v>wQ</v>
      </c>
      <c r="AL127" s="11" t="str">
        <f aca="false">IF($P127=0,AL126,IF(AL$3=$E127,IF($AA127=1,$F127&amp;$AB127,$G127),IF(OR(AL$3=$D127,AL$3=$AC127,AL$3=$AE127),"",IF(AL$3=$AD127,$F127&amp;"R",AL126))))</f>
        <v>wK</v>
      </c>
      <c r="AM127" s="11" t="str">
        <f aca="false">IF($P127=0,AM126,IF(AM$3=$E127,IF($AA127=1,$F127&amp;$AB127,$G127),IF(OR(AM$3=$D127,AM$3=$AC127,AM$3=$AE127),"",IF(AM$3=$AD127,$F127&amp;"R",AM126))))</f>
        <v>wB</v>
      </c>
      <c r="AN127" s="11" t="str">
        <f aca="false">IF($P127=0,AN126,IF(AN$3=$E127,IF($AA127=1,$F127&amp;$AB127,$G127),IF(OR(AN$3=$D127,AN$3=$AC127,AN$3=$AE127),"",IF(AN$3=$AD127,$F127&amp;"R",AN126))))</f>
        <v>wN</v>
      </c>
      <c r="AO127" s="11" t="str">
        <f aca="false">IF($P127=0,AO126,IF(AO$3=$E127,IF($AA127=1,$F127&amp;$AB127,$G127),IF(OR(AO$3=$D127,AO$3=$AC127,AO$3=$AE127),"",IF(AO$3=$AD127,$F127&amp;"R",AO126))))</f>
        <v>wR</v>
      </c>
      <c r="AP127" s="11" t="str">
        <f aca="false">IF($P127=0,AP126,IF(AP$3=$E127,IF($AA127=1,$F127&amp;$AB127,$G127),IF(OR(AP$3=$D127,AP$3=$AC127,AP$3=$AE127),"",IF(AP$3=$AD127,$F127&amp;"R",AP126))))</f>
        <v>wP</v>
      </c>
      <c r="AQ127" s="11" t="str">
        <f aca="false">IF($P127=0,AQ126,IF(AQ$3=$E127,IF($AA127=1,$F127&amp;$AB127,$G127),IF(OR(AQ$3=$D127,AQ$3=$AC127,AQ$3=$AE127),"",IF(AQ$3=$AD127,$F127&amp;"R",AQ126))))</f>
        <v>wP</v>
      </c>
      <c r="AR127" s="11" t="str">
        <f aca="false">IF($P127=0,AR126,IF(AR$3=$E127,IF($AA127=1,$F127&amp;$AB127,$G127),IF(OR(AR$3=$D127,AR$3=$AC127,AR$3=$AE127),"",IF(AR$3=$AD127,$F127&amp;"R",AR126))))</f>
        <v>wP</v>
      </c>
      <c r="AS127" s="11" t="str">
        <f aca="false">IF($P127=0,AS126,IF(AS$3=$E127,IF($AA127=1,$F127&amp;$AB127,$G127),IF(OR(AS$3=$D127,AS$3=$AC127,AS$3=$AE127),"",IF(AS$3=$AD127,$F127&amp;"R",AS126))))</f>
        <v>wP</v>
      </c>
      <c r="AT127" s="11" t="str">
        <f aca="false">IF($P127=0,AT126,IF(AT$3=$E127,IF($AA127=1,$F127&amp;$AB127,$G127),IF(OR(AT$3=$D127,AT$3=$AC127,AT$3=$AE127),"",IF(AT$3=$AD127,$F127&amp;"R",AT126))))</f>
        <v>wP</v>
      </c>
      <c r="AU127" s="11" t="str">
        <f aca="false">IF($P127=0,AU126,IF(AU$3=$E127,IF($AA127=1,$F127&amp;$AB127,$G127),IF(OR(AU$3=$D127,AU$3=$AC127,AU$3=$AE127),"",IF(AU$3=$AD127,$F127&amp;"R",AU126))))</f>
        <v>wP</v>
      </c>
      <c r="AV127" s="11" t="str">
        <f aca="false">IF($P127=0,AV126,IF(AV$3=$E127,IF($AA127=1,$F127&amp;$AB127,$G127),IF(OR(AV$3=$D127,AV$3=$AC127,AV$3=$AE127),"",IF(AV$3=$AD127,$F127&amp;"R",AV126))))</f>
        <v>wP</v>
      </c>
      <c r="AW127" s="11" t="str">
        <f aca="false">IF($P127=0,AW126,IF(AW$3=$E127,IF($AA127=1,$F127&amp;$AB127,$G127),IF(OR(AW$3=$D127,AW$3=$AC127,AW$3=$AE127),"",IF(AW$3=$AD127,$F127&amp;"R",AW126))))</f>
        <v>wP</v>
      </c>
      <c r="AX127" s="11" t="str">
        <f aca="false">IF($P127=0,AX126,IF(AX$3=$E127,IF($AA127=1,$F127&amp;$AB127,$G127),IF(OR(AX$3=$D127,AX$3=$AC127,AX$3=$AE127),"",IF(AX$3=$AD127,$F127&amp;"R",AX126))))</f>
        <v/>
      </c>
      <c r="AY127" s="11" t="str">
        <f aca="false">IF($P127=0,AY126,IF(AY$3=$E127,IF($AA127=1,$F127&amp;$AB127,$G127),IF(OR(AY$3=$D127,AY$3=$AC127,AY$3=$AE127),"",IF(AY$3=$AD127,$F127&amp;"R",AY126))))</f>
        <v/>
      </c>
      <c r="AZ127" s="11" t="str">
        <f aca="false">IF($P127=0,AZ126,IF(AZ$3=$E127,IF($AA127=1,$F127&amp;$AB127,$G127),IF(OR(AZ$3=$D127,AZ$3=$AC127,AZ$3=$AE127),"",IF(AZ$3=$AD127,$F127&amp;"R",AZ126))))</f>
        <v/>
      </c>
      <c r="BA127" s="11" t="str">
        <f aca="false">IF($P127=0,BA126,IF(BA$3=$E127,IF($AA127=1,$F127&amp;$AB127,$G127),IF(OR(BA$3=$D127,BA$3=$AC127,BA$3=$AE127),"",IF(BA$3=$AD127,$F127&amp;"R",BA126))))</f>
        <v/>
      </c>
      <c r="BB127" s="11" t="str">
        <f aca="false">IF($P127=0,BB126,IF(BB$3=$E127,IF($AA127=1,$F127&amp;$AB127,$G127),IF(OR(BB$3=$D127,BB$3=$AC127,BB$3=$AE127),"",IF(BB$3=$AD127,$F127&amp;"R",BB126))))</f>
        <v/>
      </c>
      <c r="BC127" s="11" t="str">
        <f aca="false">IF($P127=0,BC126,IF(BC$3=$E127,IF($AA127=1,$F127&amp;$AB127,$G127),IF(OR(BC$3=$D127,BC$3=$AC127,BC$3=$AE127),"",IF(BC$3=$AD127,$F127&amp;"R",BC126))))</f>
        <v/>
      </c>
      <c r="BD127" s="11" t="str">
        <f aca="false">IF($P127=0,BD126,IF(BD$3=$E127,IF($AA127=1,$F127&amp;$AB127,$G127),IF(OR(BD$3=$D127,BD$3=$AC127,BD$3=$AE127),"",IF(BD$3=$AD127,$F127&amp;"R",BD126))))</f>
        <v/>
      </c>
      <c r="BE127" s="11" t="str">
        <f aca="false">IF($P127=0,BE126,IF(BE$3=$E127,IF($AA127=1,$F127&amp;$AB127,$G127),IF(OR(BE$3=$D127,BE$3=$AC127,BE$3=$AE127),"",IF(BE$3=$AD127,$F127&amp;"R",BE126))))</f>
        <v/>
      </c>
      <c r="BF127" s="11" t="str">
        <f aca="false">IF($P127=0,BF126,IF(BF$3=$E127,IF($AA127=1,$F127&amp;$AB127,$G127),IF(OR(BF$3=$D127,BF$3=$AC127,BF$3=$AE127),"",IF(BF$3=$AD127,$F127&amp;"R",BF126))))</f>
        <v/>
      </c>
      <c r="BG127" s="11" t="str">
        <f aca="false">IF($P127=0,BG126,IF(BG$3=$E127,IF($AA127=1,$F127&amp;$AB127,$G127),IF(OR(BG$3=$D127,BG$3=$AC127,BG$3=$AE127),"",IF(BG$3=$AD127,$F127&amp;"R",BG126))))</f>
        <v/>
      </c>
      <c r="BH127" s="11" t="str">
        <f aca="false">IF($P127=0,BH126,IF(BH$3=$E127,IF($AA127=1,$F127&amp;$AB127,$G127),IF(OR(BH$3=$D127,BH$3=$AC127,BH$3=$AE127),"",IF(BH$3=$AD127,$F127&amp;"R",BH126))))</f>
        <v/>
      </c>
      <c r="BI127" s="11" t="str">
        <f aca="false">IF($P127=0,BI126,IF(BI$3=$E127,IF($AA127=1,$F127&amp;$AB127,$G127),IF(OR(BI$3=$D127,BI$3=$AC127,BI$3=$AE127),"",IF(BI$3=$AD127,$F127&amp;"R",BI126))))</f>
        <v/>
      </c>
      <c r="BJ127" s="11" t="str">
        <f aca="false">IF($P127=0,BJ126,IF(BJ$3=$E127,IF($AA127=1,$F127&amp;$AB127,$G127),IF(OR(BJ$3=$D127,BJ$3=$AC127,BJ$3=$AE127),"",IF(BJ$3=$AD127,$F127&amp;"R",BJ126))))</f>
        <v/>
      </c>
      <c r="BK127" s="11" t="str">
        <f aca="false">IF($P127=0,BK126,IF(BK$3=$E127,IF($AA127=1,$F127&amp;$AB127,$G127),IF(OR(BK$3=$D127,BK$3=$AC127,BK$3=$AE127),"",IF(BK$3=$AD127,$F127&amp;"R",BK126))))</f>
        <v/>
      </c>
      <c r="BL127" s="11" t="str">
        <f aca="false">IF($P127=0,BL126,IF(BL$3=$E127,IF($AA127=1,$F127&amp;$AB127,$G127),IF(OR(BL$3=$D127,BL$3=$AC127,BL$3=$AE127),"",IF(BL$3=$AD127,$F127&amp;"R",BL126))))</f>
        <v/>
      </c>
      <c r="BM127" s="11" t="str">
        <f aca="false">IF($P127=0,BM126,IF(BM$3=$E127,IF($AA127=1,$F127&amp;$AB127,$G127),IF(OR(BM$3=$D127,BM$3=$AC127,BM$3=$AE127),"",IF(BM$3=$AD127,$F127&amp;"R",BM126))))</f>
        <v/>
      </c>
      <c r="BN127" s="11" t="str">
        <f aca="false">IF($P127=0,BN126,IF(BN$3=$E127,IF($AA127=1,$F127&amp;$AB127,$G127),IF(OR(BN$3=$D127,BN$3=$AC127,BN$3=$AE127),"",IF(BN$3=$AD127,$F127&amp;"R",BN126))))</f>
        <v/>
      </c>
      <c r="BO127" s="11" t="str">
        <f aca="false">IF($P127=0,BO126,IF(BO$3=$E127,IF($AA127=1,$F127&amp;$AB127,$G127),IF(OR(BO$3=$D127,BO$3=$AC127,BO$3=$AE127),"",IF(BO$3=$AD127,$F127&amp;"R",BO126))))</f>
        <v/>
      </c>
      <c r="BP127" s="11" t="str">
        <f aca="false">IF($P127=0,BP126,IF(BP$3=$E127,IF($AA127=1,$F127&amp;$AB127,$G127),IF(OR(BP$3=$D127,BP$3=$AC127,BP$3=$AE127),"",IF(BP$3=$AD127,$F127&amp;"R",BP126))))</f>
        <v/>
      </c>
      <c r="BQ127" s="11" t="str">
        <f aca="false">IF($P127=0,BQ126,IF(BQ$3=$E127,IF($AA127=1,$F127&amp;$AB127,$G127),IF(OR(BQ$3=$D127,BQ$3=$AC127,BQ$3=$AE127),"",IF(BQ$3=$AD127,$F127&amp;"R",BQ126))))</f>
        <v/>
      </c>
      <c r="BR127" s="11" t="str">
        <f aca="false">IF($P127=0,BR126,IF(BR$3=$E127,IF($AA127=1,$F127&amp;$AB127,$G127),IF(OR(BR$3=$D127,BR$3=$AC127,BR$3=$AE127),"",IF(BR$3=$AD127,$F127&amp;"R",BR126))))</f>
        <v/>
      </c>
      <c r="BS127" s="11" t="str">
        <f aca="false">IF($P127=0,BS126,IF(BS$3=$E127,IF($AA127=1,$F127&amp;$AB127,$G127),IF(OR(BS$3=$D127,BS$3=$AC127,BS$3=$AE127),"",IF(BS$3=$AD127,$F127&amp;"R",BS126))))</f>
        <v/>
      </c>
      <c r="BT127" s="11" t="str">
        <f aca="false">IF($P127=0,BT126,IF(BT$3=$E127,IF($AA127=1,$F127&amp;$AB127,$G127),IF(OR(BT$3=$D127,BT$3=$AC127,BT$3=$AE127),"",IF(BT$3=$AD127,$F127&amp;"R",BT126))))</f>
        <v/>
      </c>
      <c r="BU127" s="11" t="str">
        <f aca="false">IF($P127=0,BU126,IF(BU$3=$E127,IF($AA127=1,$F127&amp;$AB127,$G127),IF(OR(BU$3=$D127,BU$3=$AC127,BU$3=$AE127),"",IF(BU$3=$AD127,$F127&amp;"R",BU126))))</f>
        <v/>
      </c>
      <c r="BV127" s="11" t="str">
        <f aca="false">IF($P127=0,BV126,IF(BV$3=$E127,IF($AA127=1,$F127&amp;$AB127,$G127),IF(OR(BV$3=$D127,BV$3=$AC127,BV$3=$AE127),"",IF(BV$3=$AD127,$F127&amp;"R",BV126))))</f>
        <v/>
      </c>
      <c r="BW127" s="11" t="str">
        <f aca="false">IF($P127=0,BW126,IF(BW$3=$E127,IF($AA127=1,$F127&amp;$AB127,$G127),IF(OR(BW$3=$D127,BW$3=$AC127,BW$3=$AE127),"",IF(BW$3=$AD127,$F127&amp;"R",BW126))))</f>
        <v/>
      </c>
      <c r="BX127" s="11" t="str">
        <f aca="false">IF($P127=0,BX126,IF(BX$3=$E127,IF($AA127=1,$F127&amp;$AB127,$G127),IF(OR(BX$3=$D127,BX$3=$AC127,BX$3=$AE127),"",IF(BX$3=$AD127,$F127&amp;"R",BX126))))</f>
        <v/>
      </c>
      <c r="BY127" s="11" t="str">
        <f aca="false">IF($P127=0,BY126,IF(BY$3=$E127,IF($AA127=1,$F127&amp;$AB127,$G127),IF(OR(BY$3=$D127,BY$3=$AC127,BY$3=$AE127),"",IF(BY$3=$AD127,$F127&amp;"R",BY126))))</f>
        <v/>
      </c>
      <c r="BZ127" s="11" t="str">
        <f aca="false">IF($P127=0,BZ126,IF(BZ$3=$E127,IF($AA127=1,$F127&amp;$AB127,$G127),IF(OR(BZ$3=$D127,BZ$3=$AC127,BZ$3=$AE127),"",IF(BZ$3=$AD127,$F127&amp;"R",BZ126))))</f>
        <v/>
      </c>
      <c r="CA127" s="11" t="str">
        <f aca="false">IF($P127=0,CA126,IF(CA$3=$E127,IF($AA127=1,$F127&amp;$AB127,$G127),IF(OR(CA$3=$D127,CA$3=$AC127,CA$3=$AE127),"",IF(CA$3=$AD127,$F127&amp;"R",CA126))))</f>
        <v/>
      </c>
      <c r="CB127" s="11" t="str">
        <f aca="false">IF($P127=0,CB126,IF(CB$3=$E127,IF($AA127=1,$F127&amp;$AB127,$G127),IF(OR(CB$3=$D127,CB$3=$AC127,CB$3=$AE127),"",IF(CB$3=$AD127,$F127&amp;"R",CB126))))</f>
        <v/>
      </c>
      <c r="CC127" s="11" t="str">
        <f aca="false">IF($P127=0,CC126,IF(CC$3=$E127,IF($AA127=1,$F127&amp;$AB127,$G127),IF(OR(CC$3=$D127,CC$3=$AC127,CC$3=$AE127),"",IF(CC$3=$AD127,$F127&amp;"R",CC126))))</f>
        <v/>
      </c>
      <c r="CD127" s="11" t="str">
        <f aca="false">IF($P127=0,CD126,IF(CD$3=$E127,IF($AA127=1,$F127&amp;$AB127,$G127),IF(OR(CD$3=$D127,CD$3=$AC127,CD$3=$AE127),"",IF(CD$3=$AD127,$F127&amp;"R",CD126))))</f>
        <v>bP</v>
      </c>
      <c r="CE127" s="11" t="str">
        <f aca="false">IF($P127=0,CE126,IF(CE$3=$E127,IF($AA127=1,$F127&amp;$AB127,$G127),IF(OR(CE$3=$D127,CE$3=$AC127,CE$3=$AE127),"",IF(CE$3=$AD127,$F127&amp;"R",CE126))))</f>
        <v>bP</v>
      </c>
      <c r="CF127" s="11" t="str">
        <f aca="false">IF($P127=0,CF126,IF(CF$3=$E127,IF($AA127=1,$F127&amp;$AB127,$G127),IF(OR(CF$3=$D127,CF$3=$AC127,CF$3=$AE127),"",IF(CF$3=$AD127,$F127&amp;"R",CF126))))</f>
        <v>bP</v>
      </c>
      <c r="CG127" s="11" t="str">
        <f aca="false">IF($P127=0,CG126,IF(CG$3=$E127,IF($AA127=1,$F127&amp;$AB127,$G127),IF(OR(CG$3=$D127,CG$3=$AC127,CG$3=$AE127),"",IF(CG$3=$AD127,$F127&amp;"R",CG126))))</f>
        <v>bP</v>
      </c>
      <c r="CH127" s="11" t="str">
        <f aca="false">IF($P127=0,CH126,IF(CH$3=$E127,IF($AA127=1,$F127&amp;$AB127,$G127),IF(OR(CH$3=$D127,CH$3=$AC127,CH$3=$AE127),"",IF(CH$3=$AD127,$F127&amp;"R",CH126))))</f>
        <v>bP</v>
      </c>
      <c r="CI127" s="11" t="str">
        <f aca="false">IF($P127=0,CI126,IF(CI$3=$E127,IF($AA127=1,$F127&amp;$AB127,$G127),IF(OR(CI$3=$D127,CI$3=$AC127,CI$3=$AE127),"",IF(CI$3=$AD127,$F127&amp;"R",CI126))))</f>
        <v>bP</v>
      </c>
      <c r="CJ127" s="11" t="str">
        <f aca="false">IF($P127=0,CJ126,IF(CJ$3=$E127,IF($AA127=1,$F127&amp;$AB127,$G127),IF(OR(CJ$3=$D127,CJ$3=$AC127,CJ$3=$AE127),"",IF(CJ$3=$AD127,$F127&amp;"R",CJ126))))</f>
        <v>bP</v>
      </c>
      <c r="CK127" s="11" t="str">
        <f aca="false">IF($P127=0,CK126,IF(CK$3=$E127,IF($AA127=1,$F127&amp;$AB127,$G127),IF(OR(CK$3=$D127,CK$3=$AC127,CK$3=$AE127),"",IF(CK$3=$AD127,$F127&amp;"R",CK126))))</f>
        <v>bP</v>
      </c>
      <c r="CL127" s="11" t="str">
        <f aca="false">IF($P127=0,CL126,IF(CL$3=$E127,IF($AA127=1,$F127&amp;$AB127,$G127),IF(OR(CL$3=$D127,CL$3=$AC127,CL$3=$AE127),"",IF(CL$3=$AD127,$F127&amp;"R",CL126))))</f>
        <v>bR</v>
      </c>
      <c r="CM127" s="11" t="str">
        <f aca="false">IF($P127=0,CM126,IF(CM$3=$E127,IF($AA127=1,$F127&amp;$AB127,$G127),IF(OR(CM$3=$D127,CM$3=$AC127,CM$3=$AE127),"",IF(CM$3=$AD127,$F127&amp;"R",CM126))))</f>
        <v>bN</v>
      </c>
      <c r="CN127" s="11" t="str">
        <f aca="false">IF($P127=0,CN126,IF(CN$3=$E127,IF($AA127=1,$F127&amp;$AB127,$G127),IF(OR(CN$3=$D127,CN$3=$AC127,CN$3=$AE127),"",IF(CN$3=$AD127,$F127&amp;"R",CN126))))</f>
        <v>bB</v>
      </c>
      <c r="CO127" s="11" t="str">
        <f aca="false">IF($P127=0,CO126,IF(CO$3=$E127,IF($AA127=1,$F127&amp;$AB127,$G127),IF(OR(CO$3=$D127,CO$3=$AC127,CO$3=$AE127),"",IF(CO$3=$AD127,$F127&amp;"R",CO126))))</f>
        <v>bQ</v>
      </c>
      <c r="CP127" s="11" t="str">
        <f aca="false">IF($P127=0,CP126,IF(CP$3=$E127,IF($AA127=1,$F127&amp;$AB127,$G127),IF(OR(CP$3=$D127,CP$3=$AC127,CP$3=$AE127),"",IF(CP$3=$AD127,$F127&amp;"R",CP126))))</f>
        <v>bK</v>
      </c>
      <c r="CQ127" s="11" t="str">
        <f aca="false">IF($P127=0,CQ126,IF(CQ$3=$E127,IF($AA127=1,$F127&amp;$AB127,$G127),IF(OR(CQ$3=$D127,CQ$3=$AC127,CQ$3=$AE127),"",IF(CQ$3=$AD127,$F127&amp;"R",CQ126))))</f>
        <v>bB</v>
      </c>
      <c r="CR127" s="11" t="str">
        <f aca="false">IF($P127=0,CR126,IF(CR$3=$E127,IF($AA127=1,$F127&amp;$AB127,$G127),IF(OR(CR$3=$D127,CR$3=$AC127,CR$3=$AE127),"",IF(CR$3=$AD127,$F127&amp;"R",CR126))))</f>
        <v>bN</v>
      </c>
      <c r="CS127" s="11" t="str">
        <f aca="false">IF($P127=0,CS126,IF(CS$3=$E127,IF($AA127=1,$F127&amp;$AB127,$G127),IF(OR(CS$3=$D127,CS$3=$AC127,CS$3=$AE127),"",IF(CS$3=$AD127,$F127&amp;"R",CS126))))</f>
        <v>bR</v>
      </c>
      <c r="CT127" s="11"/>
      <c r="CU127" s="11"/>
      <c r="CV127" s="11"/>
    </row>
    <row r="128" customFormat="false" ht="15" hidden="false" customHeight="false" outlineLevel="0" collapsed="false">
      <c r="A128" s="11" t="n">
        <v>123</v>
      </c>
      <c r="B128" s="11" t="str">
        <f aca="false">IF(Chess!$L$132="","",Chess!$L$132&amp;"")</f>
        <v/>
      </c>
      <c r="C128" s="11" t="str">
        <f aca="false">LOWER(SUBSTITUTE(SUBSTITUTE(SUBSTITUTE(SUBSTITUTE(TRIM($B128),"-",""),"=","")," ",""),"x",""))</f>
        <v/>
      </c>
      <c r="D128" s="11" t="n">
        <f aca="false">IF(LEN($C128)&lt;4,0,IFERROR(IF(AND(CODE(MID($C128,1,1))&gt;=97,CODE(MID($C128,1,1))&lt;=104,VALUE(MID($C128,2,1))&gt;=1,VALUE(MID($C128,2,1))&lt;=8),(VALUE(MID($C128,2,1))-1)*8+CODE(MID($C128,1,1))-96,0),0))</f>
        <v>0</v>
      </c>
      <c r="E128" s="11" t="n">
        <f aca="false">IF(LEN($C128)&lt;4,0,IFERROR(IF(AND(CODE(MID($C128,3,1))&gt;=97,CODE(MID($C128,3,1))&lt;=104,VALUE(MID($C128,4,1))&gt;=1,VALUE(MID($C128,4,1))&lt;=8),(VALUE(MID($C128,4,1))-1)*8+CODE(MID($C128,3,1))-96,0),0))</f>
        <v>0</v>
      </c>
      <c r="F128" s="11" t="str">
        <f aca="false">IF(MOD(SUM($P$5:$P127),2)=0,"w","b")</f>
        <v>w</v>
      </c>
      <c r="G128" s="11" t="str">
        <f aca="false">IF($D128=0,"",INDEX($AH127:$CS127,1,$D128)&amp;"")</f>
        <v/>
      </c>
      <c r="H128" s="11" t="str">
        <f aca="false">IF($E128=0,"",INDEX($AH127:$CS127,1,$E128)&amp;"")</f>
        <v/>
      </c>
      <c r="I128" s="11" t="n">
        <f aca="false">IF(OR($D128=0,$E128=0),0,MOD($E128-1,8)-MOD($D128-1,8))</f>
        <v>0</v>
      </c>
      <c r="J128" s="11" t="n">
        <f aca="false">IF(OR($D128=0,$E128=0),0,INT(($E128-1)/8)-INT(($D128-1)/8))</f>
        <v>0</v>
      </c>
      <c r="K128" s="11" t="str">
        <f aca="false">IF($G128="","",RIGHT($G128,1))</f>
        <v/>
      </c>
      <c r="L128" s="11" t="n">
        <f aca="false">IF(OR($D128=0,$E128=0),0,SUMPRODUCT(($AH$3:$CS$3&gt;MIN($D128,$E128))*($AH$3:$CS$3&lt;MAX($D128,$E128))*(MOD($AH$3:$CS$3-MIN($D128,$E128),MAX(1,ABS(SIGN($J128)*8+SIGN($I128))))=0)*($AH127:$CS127&lt;&gt;"")))</f>
        <v>0</v>
      </c>
      <c r="M128" s="11" t="n">
        <f aca="false">IF($K128&lt;&gt;"K",0,IFERROR(--AND($J128=0,ABS($I128)=2,$D128=IF($F128="w",5,61),IF($F128="w",$S127,$V127)=0,IF($I128=2,AND(IF($F128="w",$U127,$X127)=0,INDEX($AH127:$CS127,1,$D128+1)&amp;""="",INDEX($AH127:$CS127,1,$D128+2)&amp;""=""),AND(IF($F128="w",$T127,$W127)=0,INDEX($AH127:$CS127,1,$D128-1)&amp;""="",INDEX($AH127:$CS127,1,$D128-2)&amp;""="",INDEX($AH127:$CS127,1,$D128-3)&amp;""=""))),0))</f>
        <v>0</v>
      </c>
      <c r="N128" s="11" t="n">
        <f aca="false">IF($K128&lt;&gt;"P",0,IFERROR(--OR(AND($I128=0,$J128=IF($F128="w",1,-1),$H128=""),AND($I128=0,$J128=2*IF($F128="w",1,-1),$H128="",INT(($D128-1)/8)=IF($F128="w",1,6),INDEX($AH127:$CS127,1,MAX(1,MIN(64,$D128+8*IF($F128="w",1,-1))))&amp;""=""),AND(ABS($I128)=1,$J128=IF($F128="w",1,-1),$H128&lt;&gt;""),AND(ABS($I128)=1,$J128=IF($F128="w",1,-1),$H128="",$R127&gt;0,$E128=$R127)),0))</f>
        <v>0</v>
      </c>
      <c r="O128" s="11" t="n">
        <f aca="false">IF(OR($D128=0,$E128=0,$G128=""),0,IF($K128="N",--OR(AND(ABS($I128)=1,ABS($J128)=2),AND(ABS($I128)=2,ABS($J128)=1)),IF($K128="B",--AND(ABS($I128)=ABS($J128),$I128&lt;&gt;0,$L128=0),IF($K128="R",--AND(OR($I128=0,$J128=0),OR($I128&lt;&gt;0,$J128&lt;&gt;0),$L128=0),IF($K128="Q",--AND(OR(AND(ABS($I128)=ABS($J128),$I128&lt;&gt;0),AND(OR($I128=0,$J128=0),OR($I128&lt;&gt;0,$J128&lt;&gt;0))),$L128=0),IF($K128="K",--OR(MAX(ABS($I128),ABS($J128))=1,$M128=1),$N128))))))</f>
        <v>0</v>
      </c>
      <c r="P128" s="11" t="n">
        <f aca="false">IF($Q128="OK",1,0)</f>
        <v>0</v>
      </c>
      <c r="Q128" s="11" t="str">
        <f aca="false">IF($B128="","",IF(OR(COUNTIF($AH127:$CS127,"wK")=0,COUNTIF($AH127:$CS127,"bK")=0),"Game is over",IF(OR($D128=0,$E128=0),"Use the format e2e4",IF($G128="","No piece on that square",IF(LEFT($G128,1)&lt;&gt;$F128,"Not your piece ("&amp;IF($F128="w","White","Black")&amp;" to move)",IF($D128=$E128,"Piece must move",IF(AND($H128&lt;&gt;"",LEFT($H128,1)=$F128),"Cannot capture your own piece",IF($O128=0,"Illegal move for that piece (or path blocked)","OK"))))))))</f>
        <v/>
      </c>
      <c r="R128" s="11" t="n">
        <f aca="false">IF($P128=1,IF(AND($K128="P",ABS($J128)=2),($D128+$E128)/2,0),$R127)</f>
        <v>0</v>
      </c>
      <c r="S128" s="12" t="b">
        <f aca="false">--OR($S127=1,AND($P128=1,OR($D128=5,$E128=5)))</f>
        <v>0</v>
      </c>
      <c r="T128" s="12" t="b">
        <f aca="false">--OR($T127=1,AND($P128=1,OR($D128=1,$E128=1)))</f>
        <v>0</v>
      </c>
      <c r="U128" s="12" t="b">
        <f aca="false">--OR($U127=1,AND($P128=1,OR($D128=8,$E128=8)))</f>
        <v>0</v>
      </c>
      <c r="V128" s="12" t="b">
        <f aca="false">--OR($V127=1,AND($P128=1,OR($D128=61,$E128=61)))</f>
        <v>0</v>
      </c>
      <c r="W128" s="12" t="b">
        <f aca="false">--OR($W127=1,AND($P128=1,OR($D128=57,$E128=57)))</f>
        <v>0</v>
      </c>
      <c r="X128" s="12" t="b">
        <f aca="false">--OR($X127=1,AND($P128=1,OR($D128=64,$E128=64)))</f>
        <v>0</v>
      </c>
      <c r="Y128" s="12" t="b">
        <f aca="false">--AND($P128=1,$K128="K",ABS($I128)=2)</f>
        <v>0</v>
      </c>
      <c r="Z128" s="12" t="b">
        <f aca="false">--AND($P128=1,$K128="P",ABS($I128)=1,$H128="")</f>
        <v>0</v>
      </c>
      <c r="AA128" s="12" t="b">
        <f aca="false">--AND($P128=1,$K128="P",INT(($E128-1)/8)=IF($F128="w",7,0))</f>
        <v>0</v>
      </c>
      <c r="AB128" s="11" t="str">
        <f aca="false">IF(LEN($C128)&gt;=5,IF(ISNUMBER(FIND(MID($C128,5,1),"qrbn")),UPPER(MID($C128,5,1)),"Q"),"Q")</f>
        <v>Q</v>
      </c>
      <c r="AC128" s="11" t="n">
        <f aca="false">IF($Y128=1,IF($I128=2,$D128+3,$D128-4),0)</f>
        <v>0</v>
      </c>
      <c r="AD128" s="11" t="n">
        <f aca="false">IF($Y128=1,IF($I128=2,$D128+1,$D128-1),0)</f>
        <v>0</v>
      </c>
      <c r="AE128" s="11" t="n">
        <f aca="false">IF($Z128=1,$E128-8*IF($F128="w",1,-1),0)</f>
        <v>0</v>
      </c>
      <c r="AF128" s="11" t="str">
        <f aca="false">IF($B128="","",IF($P128=1,LOWER(INDEX($CV$2:$CV$13,MATCH($G128,$CU$2:$CU$13,0)))&amp;" "&amp;MID("abcdefgh",MOD($D128-1,8)+1,1)&amp;(INT(($D128-1)/8)+1)&amp;"→"&amp;MID("abcdefgh",MOD($E128-1,8)+1,1)&amp;(INT(($E128-1)/8)+1)&amp;IF(OR($H128&lt;&gt;"",$Z128=1)," ×","")&amp;IF($Y128=1," castles","")&amp;IF($Z128=1," e.p.","")&amp;IF($AA128=1," =" &amp;LOWER(INDEX($CV$2:$CV$13,MATCH($F128&amp;$AB128,$CU$2:$CU$13,0))),""),"X "&amp;$Q128))</f>
        <v/>
      </c>
      <c r="AG128" s="11"/>
      <c r="AH128" s="11" t="str">
        <f aca="false">IF($P128=0,AH127,IF(AH$3=$E128,IF($AA128=1,$F128&amp;$AB128,$G128),IF(OR(AH$3=$D128,AH$3=$AC128,AH$3=$AE128),"",IF(AH$3=$AD128,$F128&amp;"R",AH127))))</f>
        <v>wR</v>
      </c>
      <c r="AI128" s="11" t="str">
        <f aca="false">IF($P128=0,AI127,IF(AI$3=$E128,IF($AA128=1,$F128&amp;$AB128,$G128),IF(OR(AI$3=$D128,AI$3=$AC128,AI$3=$AE128),"",IF(AI$3=$AD128,$F128&amp;"R",AI127))))</f>
        <v>wN</v>
      </c>
      <c r="AJ128" s="11" t="str">
        <f aca="false">IF($P128=0,AJ127,IF(AJ$3=$E128,IF($AA128=1,$F128&amp;$AB128,$G128),IF(OR(AJ$3=$D128,AJ$3=$AC128,AJ$3=$AE128),"",IF(AJ$3=$AD128,$F128&amp;"R",AJ127))))</f>
        <v>wB</v>
      </c>
      <c r="AK128" s="11" t="str">
        <f aca="false">IF($P128=0,AK127,IF(AK$3=$E128,IF($AA128=1,$F128&amp;$AB128,$G128),IF(OR(AK$3=$D128,AK$3=$AC128,AK$3=$AE128),"",IF(AK$3=$AD128,$F128&amp;"R",AK127))))</f>
        <v>wQ</v>
      </c>
      <c r="AL128" s="11" t="str">
        <f aca="false">IF($P128=0,AL127,IF(AL$3=$E128,IF($AA128=1,$F128&amp;$AB128,$G128),IF(OR(AL$3=$D128,AL$3=$AC128,AL$3=$AE128),"",IF(AL$3=$AD128,$F128&amp;"R",AL127))))</f>
        <v>wK</v>
      </c>
      <c r="AM128" s="11" t="str">
        <f aca="false">IF($P128=0,AM127,IF(AM$3=$E128,IF($AA128=1,$F128&amp;$AB128,$G128),IF(OR(AM$3=$D128,AM$3=$AC128,AM$3=$AE128),"",IF(AM$3=$AD128,$F128&amp;"R",AM127))))</f>
        <v>wB</v>
      </c>
      <c r="AN128" s="11" t="str">
        <f aca="false">IF($P128=0,AN127,IF(AN$3=$E128,IF($AA128=1,$F128&amp;$AB128,$G128),IF(OR(AN$3=$D128,AN$3=$AC128,AN$3=$AE128),"",IF(AN$3=$AD128,$F128&amp;"R",AN127))))</f>
        <v>wN</v>
      </c>
      <c r="AO128" s="11" t="str">
        <f aca="false">IF($P128=0,AO127,IF(AO$3=$E128,IF($AA128=1,$F128&amp;$AB128,$G128),IF(OR(AO$3=$D128,AO$3=$AC128,AO$3=$AE128),"",IF(AO$3=$AD128,$F128&amp;"R",AO127))))</f>
        <v>wR</v>
      </c>
      <c r="AP128" s="11" t="str">
        <f aca="false">IF($P128=0,AP127,IF(AP$3=$E128,IF($AA128=1,$F128&amp;$AB128,$G128),IF(OR(AP$3=$D128,AP$3=$AC128,AP$3=$AE128),"",IF(AP$3=$AD128,$F128&amp;"R",AP127))))</f>
        <v>wP</v>
      </c>
      <c r="AQ128" s="11" t="str">
        <f aca="false">IF($P128=0,AQ127,IF(AQ$3=$E128,IF($AA128=1,$F128&amp;$AB128,$G128),IF(OR(AQ$3=$D128,AQ$3=$AC128,AQ$3=$AE128),"",IF(AQ$3=$AD128,$F128&amp;"R",AQ127))))</f>
        <v>wP</v>
      </c>
      <c r="AR128" s="11" t="str">
        <f aca="false">IF($P128=0,AR127,IF(AR$3=$E128,IF($AA128=1,$F128&amp;$AB128,$G128),IF(OR(AR$3=$D128,AR$3=$AC128,AR$3=$AE128),"",IF(AR$3=$AD128,$F128&amp;"R",AR127))))</f>
        <v>wP</v>
      </c>
      <c r="AS128" s="11" t="str">
        <f aca="false">IF($P128=0,AS127,IF(AS$3=$E128,IF($AA128=1,$F128&amp;$AB128,$G128),IF(OR(AS$3=$D128,AS$3=$AC128,AS$3=$AE128),"",IF(AS$3=$AD128,$F128&amp;"R",AS127))))</f>
        <v>wP</v>
      </c>
      <c r="AT128" s="11" t="str">
        <f aca="false">IF($P128=0,AT127,IF(AT$3=$E128,IF($AA128=1,$F128&amp;$AB128,$G128),IF(OR(AT$3=$D128,AT$3=$AC128,AT$3=$AE128),"",IF(AT$3=$AD128,$F128&amp;"R",AT127))))</f>
        <v>wP</v>
      </c>
      <c r="AU128" s="11" t="str">
        <f aca="false">IF($P128=0,AU127,IF(AU$3=$E128,IF($AA128=1,$F128&amp;$AB128,$G128),IF(OR(AU$3=$D128,AU$3=$AC128,AU$3=$AE128),"",IF(AU$3=$AD128,$F128&amp;"R",AU127))))</f>
        <v>wP</v>
      </c>
      <c r="AV128" s="11" t="str">
        <f aca="false">IF($P128=0,AV127,IF(AV$3=$E128,IF($AA128=1,$F128&amp;$AB128,$G128),IF(OR(AV$3=$D128,AV$3=$AC128,AV$3=$AE128),"",IF(AV$3=$AD128,$F128&amp;"R",AV127))))</f>
        <v>wP</v>
      </c>
      <c r="AW128" s="11" t="str">
        <f aca="false">IF($P128=0,AW127,IF(AW$3=$E128,IF($AA128=1,$F128&amp;$AB128,$G128),IF(OR(AW$3=$D128,AW$3=$AC128,AW$3=$AE128),"",IF(AW$3=$AD128,$F128&amp;"R",AW127))))</f>
        <v>wP</v>
      </c>
      <c r="AX128" s="11" t="str">
        <f aca="false">IF($P128=0,AX127,IF(AX$3=$E128,IF($AA128=1,$F128&amp;$AB128,$G128),IF(OR(AX$3=$D128,AX$3=$AC128,AX$3=$AE128),"",IF(AX$3=$AD128,$F128&amp;"R",AX127))))</f>
        <v/>
      </c>
      <c r="AY128" s="11" t="str">
        <f aca="false">IF($P128=0,AY127,IF(AY$3=$E128,IF($AA128=1,$F128&amp;$AB128,$G128),IF(OR(AY$3=$D128,AY$3=$AC128,AY$3=$AE128),"",IF(AY$3=$AD128,$F128&amp;"R",AY127))))</f>
        <v/>
      </c>
      <c r="AZ128" s="11" t="str">
        <f aca="false">IF($P128=0,AZ127,IF(AZ$3=$E128,IF($AA128=1,$F128&amp;$AB128,$G128),IF(OR(AZ$3=$D128,AZ$3=$AC128,AZ$3=$AE128),"",IF(AZ$3=$AD128,$F128&amp;"R",AZ127))))</f>
        <v/>
      </c>
      <c r="BA128" s="11" t="str">
        <f aca="false">IF($P128=0,BA127,IF(BA$3=$E128,IF($AA128=1,$F128&amp;$AB128,$G128),IF(OR(BA$3=$D128,BA$3=$AC128,BA$3=$AE128),"",IF(BA$3=$AD128,$F128&amp;"R",BA127))))</f>
        <v/>
      </c>
      <c r="BB128" s="11" t="str">
        <f aca="false">IF($P128=0,BB127,IF(BB$3=$E128,IF($AA128=1,$F128&amp;$AB128,$G128),IF(OR(BB$3=$D128,BB$3=$AC128,BB$3=$AE128),"",IF(BB$3=$AD128,$F128&amp;"R",BB127))))</f>
        <v/>
      </c>
      <c r="BC128" s="11" t="str">
        <f aca="false">IF($P128=0,BC127,IF(BC$3=$E128,IF($AA128=1,$F128&amp;$AB128,$G128),IF(OR(BC$3=$D128,BC$3=$AC128,BC$3=$AE128),"",IF(BC$3=$AD128,$F128&amp;"R",BC127))))</f>
        <v/>
      </c>
      <c r="BD128" s="11" t="str">
        <f aca="false">IF($P128=0,BD127,IF(BD$3=$E128,IF($AA128=1,$F128&amp;$AB128,$G128),IF(OR(BD$3=$D128,BD$3=$AC128,BD$3=$AE128),"",IF(BD$3=$AD128,$F128&amp;"R",BD127))))</f>
        <v/>
      </c>
      <c r="BE128" s="11" t="str">
        <f aca="false">IF($P128=0,BE127,IF(BE$3=$E128,IF($AA128=1,$F128&amp;$AB128,$G128),IF(OR(BE$3=$D128,BE$3=$AC128,BE$3=$AE128),"",IF(BE$3=$AD128,$F128&amp;"R",BE127))))</f>
        <v/>
      </c>
      <c r="BF128" s="11" t="str">
        <f aca="false">IF($P128=0,BF127,IF(BF$3=$E128,IF($AA128=1,$F128&amp;$AB128,$G128),IF(OR(BF$3=$D128,BF$3=$AC128,BF$3=$AE128),"",IF(BF$3=$AD128,$F128&amp;"R",BF127))))</f>
        <v/>
      </c>
      <c r="BG128" s="11" t="str">
        <f aca="false">IF($P128=0,BG127,IF(BG$3=$E128,IF($AA128=1,$F128&amp;$AB128,$G128),IF(OR(BG$3=$D128,BG$3=$AC128,BG$3=$AE128),"",IF(BG$3=$AD128,$F128&amp;"R",BG127))))</f>
        <v/>
      </c>
      <c r="BH128" s="11" t="str">
        <f aca="false">IF($P128=0,BH127,IF(BH$3=$E128,IF($AA128=1,$F128&amp;$AB128,$G128),IF(OR(BH$3=$D128,BH$3=$AC128,BH$3=$AE128),"",IF(BH$3=$AD128,$F128&amp;"R",BH127))))</f>
        <v/>
      </c>
      <c r="BI128" s="11" t="str">
        <f aca="false">IF($P128=0,BI127,IF(BI$3=$E128,IF($AA128=1,$F128&amp;$AB128,$G128),IF(OR(BI$3=$D128,BI$3=$AC128,BI$3=$AE128),"",IF(BI$3=$AD128,$F128&amp;"R",BI127))))</f>
        <v/>
      </c>
      <c r="BJ128" s="11" t="str">
        <f aca="false">IF($P128=0,BJ127,IF(BJ$3=$E128,IF($AA128=1,$F128&amp;$AB128,$G128),IF(OR(BJ$3=$D128,BJ$3=$AC128,BJ$3=$AE128),"",IF(BJ$3=$AD128,$F128&amp;"R",BJ127))))</f>
        <v/>
      </c>
      <c r="BK128" s="11" t="str">
        <f aca="false">IF($P128=0,BK127,IF(BK$3=$E128,IF($AA128=1,$F128&amp;$AB128,$G128),IF(OR(BK$3=$D128,BK$3=$AC128,BK$3=$AE128),"",IF(BK$3=$AD128,$F128&amp;"R",BK127))))</f>
        <v/>
      </c>
      <c r="BL128" s="11" t="str">
        <f aca="false">IF($P128=0,BL127,IF(BL$3=$E128,IF($AA128=1,$F128&amp;$AB128,$G128),IF(OR(BL$3=$D128,BL$3=$AC128,BL$3=$AE128),"",IF(BL$3=$AD128,$F128&amp;"R",BL127))))</f>
        <v/>
      </c>
      <c r="BM128" s="11" t="str">
        <f aca="false">IF($P128=0,BM127,IF(BM$3=$E128,IF($AA128=1,$F128&amp;$AB128,$G128),IF(OR(BM$3=$D128,BM$3=$AC128,BM$3=$AE128),"",IF(BM$3=$AD128,$F128&amp;"R",BM127))))</f>
        <v/>
      </c>
      <c r="BN128" s="11" t="str">
        <f aca="false">IF($P128=0,BN127,IF(BN$3=$E128,IF($AA128=1,$F128&amp;$AB128,$G128),IF(OR(BN$3=$D128,BN$3=$AC128,BN$3=$AE128),"",IF(BN$3=$AD128,$F128&amp;"R",BN127))))</f>
        <v/>
      </c>
      <c r="BO128" s="11" t="str">
        <f aca="false">IF($P128=0,BO127,IF(BO$3=$E128,IF($AA128=1,$F128&amp;$AB128,$G128),IF(OR(BO$3=$D128,BO$3=$AC128,BO$3=$AE128),"",IF(BO$3=$AD128,$F128&amp;"R",BO127))))</f>
        <v/>
      </c>
      <c r="BP128" s="11" t="str">
        <f aca="false">IF($P128=0,BP127,IF(BP$3=$E128,IF($AA128=1,$F128&amp;$AB128,$G128),IF(OR(BP$3=$D128,BP$3=$AC128,BP$3=$AE128),"",IF(BP$3=$AD128,$F128&amp;"R",BP127))))</f>
        <v/>
      </c>
      <c r="BQ128" s="11" t="str">
        <f aca="false">IF($P128=0,BQ127,IF(BQ$3=$E128,IF($AA128=1,$F128&amp;$AB128,$G128),IF(OR(BQ$3=$D128,BQ$3=$AC128,BQ$3=$AE128),"",IF(BQ$3=$AD128,$F128&amp;"R",BQ127))))</f>
        <v/>
      </c>
      <c r="BR128" s="11" t="str">
        <f aca="false">IF($P128=0,BR127,IF(BR$3=$E128,IF($AA128=1,$F128&amp;$AB128,$G128),IF(OR(BR$3=$D128,BR$3=$AC128,BR$3=$AE128),"",IF(BR$3=$AD128,$F128&amp;"R",BR127))))</f>
        <v/>
      </c>
      <c r="BS128" s="11" t="str">
        <f aca="false">IF($P128=0,BS127,IF(BS$3=$E128,IF($AA128=1,$F128&amp;$AB128,$G128),IF(OR(BS$3=$D128,BS$3=$AC128,BS$3=$AE128),"",IF(BS$3=$AD128,$F128&amp;"R",BS127))))</f>
        <v/>
      </c>
      <c r="BT128" s="11" t="str">
        <f aca="false">IF($P128=0,BT127,IF(BT$3=$E128,IF($AA128=1,$F128&amp;$AB128,$G128),IF(OR(BT$3=$D128,BT$3=$AC128,BT$3=$AE128),"",IF(BT$3=$AD128,$F128&amp;"R",BT127))))</f>
        <v/>
      </c>
      <c r="BU128" s="11" t="str">
        <f aca="false">IF($P128=0,BU127,IF(BU$3=$E128,IF($AA128=1,$F128&amp;$AB128,$G128),IF(OR(BU$3=$D128,BU$3=$AC128,BU$3=$AE128),"",IF(BU$3=$AD128,$F128&amp;"R",BU127))))</f>
        <v/>
      </c>
      <c r="BV128" s="11" t="str">
        <f aca="false">IF($P128=0,BV127,IF(BV$3=$E128,IF($AA128=1,$F128&amp;$AB128,$G128),IF(OR(BV$3=$D128,BV$3=$AC128,BV$3=$AE128),"",IF(BV$3=$AD128,$F128&amp;"R",BV127))))</f>
        <v/>
      </c>
      <c r="BW128" s="11" t="str">
        <f aca="false">IF($P128=0,BW127,IF(BW$3=$E128,IF($AA128=1,$F128&amp;$AB128,$G128),IF(OR(BW$3=$D128,BW$3=$AC128,BW$3=$AE128),"",IF(BW$3=$AD128,$F128&amp;"R",BW127))))</f>
        <v/>
      </c>
      <c r="BX128" s="11" t="str">
        <f aca="false">IF($P128=0,BX127,IF(BX$3=$E128,IF($AA128=1,$F128&amp;$AB128,$G128),IF(OR(BX$3=$D128,BX$3=$AC128,BX$3=$AE128),"",IF(BX$3=$AD128,$F128&amp;"R",BX127))))</f>
        <v/>
      </c>
      <c r="BY128" s="11" t="str">
        <f aca="false">IF($P128=0,BY127,IF(BY$3=$E128,IF($AA128=1,$F128&amp;$AB128,$G128),IF(OR(BY$3=$D128,BY$3=$AC128,BY$3=$AE128),"",IF(BY$3=$AD128,$F128&amp;"R",BY127))))</f>
        <v/>
      </c>
      <c r="BZ128" s="11" t="str">
        <f aca="false">IF($P128=0,BZ127,IF(BZ$3=$E128,IF($AA128=1,$F128&amp;$AB128,$G128),IF(OR(BZ$3=$D128,BZ$3=$AC128,BZ$3=$AE128),"",IF(BZ$3=$AD128,$F128&amp;"R",BZ127))))</f>
        <v/>
      </c>
      <c r="CA128" s="11" t="str">
        <f aca="false">IF($P128=0,CA127,IF(CA$3=$E128,IF($AA128=1,$F128&amp;$AB128,$G128),IF(OR(CA$3=$D128,CA$3=$AC128,CA$3=$AE128),"",IF(CA$3=$AD128,$F128&amp;"R",CA127))))</f>
        <v/>
      </c>
      <c r="CB128" s="11" t="str">
        <f aca="false">IF($P128=0,CB127,IF(CB$3=$E128,IF($AA128=1,$F128&amp;$AB128,$G128),IF(OR(CB$3=$D128,CB$3=$AC128,CB$3=$AE128),"",IF(CB$3=$AD128,$F128&amp;"R",CB127))))</f>
        <v/>
      </c>
      <c r="CC128" s="11" t="str">
        <f aca="false">IF($P128=0,CC127,IF(CC$3=$E128,IF($AA128=1,$F128&amp;$AB128,$G128),IF(OR(CC$3=$D128,CC$3=$AC128,CC$3=$AE128),"",IF(CC$3=$AD128,$F128&amp;"R",CC127))))</f>
        <v/>
      </c>
      <c r="CD128" s="11" t="str">
        <f aca="false">IF($P128=0,CD127,IF(CD$3=$E128,IF($AA128=1,$F128&amp;$AB128,$G128),IF(OR(CD$3=$D128,CD$3=$AC128,CD$3=$AE128),"",IF(CD$3=$AD128,$F128&amp;"R",CD127))))</f>
        <v>bP</v>
      </c>
      <c r="CE128" s="11" t="str">
        <f aca="false">IF($P128=0,CE127,IF(CE$3=$E128,IF($AA128=1,$F128&amp;$AB128,$G128),IF(OR(CE$3=$D128,CE$3=$AC128,CE$3=$AE128),"",IF(CE$3=$AD128,$F128&amp;"R",CE127))))</f>
        <v>bP</v>
      </c>
      <c r="CF128" s="11" t="str">
        <f aca="false">IF($P128=0,CF127,IF(CF$3=$E128,IF($AA128=1,$F128&amp;$AB128,$G128),IF(OR(CF$3=$D128,CF$3=$AC128,CF$3=$AE128),"",IF(CF$3=$AD128,$F128&amp;"R",CF127))))</f>
        <v>bP</v>
      </c>
      <c r="CG128" s="11" t="str">
        <f aca="false">IF($P128=0,CG127,IF(CG$3=$E128,IF($AA128=1,$F128&amp;$AB128,$G128),IF(OR(CG$3=$D128,CG$3=$AC128,CG$3=$AE128),"",IF(CG$3=$AD128,$F128&amp;"R",CG127))))</f>
        <v>bP</v>
      </c>
      <c r="CH128" s="11" t="str">
        <f aca="false">IF($P128=0,CH127,IF(CH$3=$E128,IF($AA128=1,$F128&amp;$AB128,$G128),IF(OR(CH$3=$D128,CH$3=$AC128,CH$3=$AE128),"",IF(CH$3=$AD128,$F128&amp;"R",CH127))))</f>
        <v>bP</v>
      </c>
      <c r="CI128" s="11" t="str">
        <f aca="false">IF($P128=0,CI127,IF(CI$3=$E128,IF($AA128=1,$F128&amp;$AB128,$G128),IF(OR(CI$3=$D128,CI$3=$AC128,CI$3=$AE128),"",IF(CI$3=$AD128,$F128&amp;"R",CI127))))</f>
        <v>bP</v>
      </c>
      <c r="CJ128" s="11" t="str">
        <f aca="false">IF($P128=0,CJ127,IF(CJ$3=$E128,IF($AA128=1,$F128&amp;$AB128,$G128),IF(OR(CJ$3=$D128,CJ$3=$AC128,CJ$3=$AE128),"",IF(CJ$3=$AD128,$F128&amp;"R",CJ127))))</f>
        <v>bP</v>
      </c>
      <c r="CK128" s="11" t="str">
        <f aca="false">IF($P128=0,CK127,IF(CK$3=$E128,IF($AA128=1,$F128&amp;$AB128,$G128),IF(OR(CK$3=$D128,CK$3=$AC128,CK$3=$AE128),"",IF(CK$3=$AD128,$F128&amp;"R",CK127))))</f>
        <v>bP</v>
      </c>
      <c r="CL128" s="11" t="str">
        <f aca="false">IF($P128=0,CL127,IF(CL$3=$E128,IF($AA128=1,$F128&amp;$AB128,$G128),IF(OR(CL$3=$D128,CL$3=$AC128,CL$3=$AE128),"",IF(CL$3=$AD128,$F128&amp;"R",CL127))))</f>
        <v>bR</v>
      </c>
      <c r="CM128" s="11" t="str">
        <f aca="false">IF($P128=0,CM127,IF(CM$3=$E128,IF($AA128=1,$F128&amp;$AB128,$G128),IF(OR(CM$3=$D128,CM$3=$AC128,CM$3=$AE128),"",IF(CM$3=$AD128,$F128&amp;"R",CM127))))</f>
        <v>bN</v>
      </c>
      <c r="CN128" s="11" t="str">
        <f aca="false">IF($P128=0,CN127,IF(CN$3=$E128,IF($AA128=1,$F128&amp;$AB128,$G128),IF(OR(CN$3=$D128,CN$3=$AC128,CN$3=$AE128),"",IF(CN$3=$AD128,$F128&amp;"R",CN127))))</f>
        <v>bB</v>
      </c>
      <c r="CO128" s="11" t="str">
        <f aca="false">IF($P128=0,CO127,IF(CO$3=$E128,IF($AA128=1,$F128&amp;$AB128,$G128),IF(OR(CO$3=$D128,CO$3=$AC128,CO$3=$AE128),"",IF(CO$3=$AD128,$F128&amp;"R",CO127))))</f>
        <v>bQ</v>
      </c>
      <c r="CP128" s="11" t="str">
        <f aca="false">IF($P128=0,CP127,IF(CP$3=$E128,IF($AA128=1,$F128&amp;$AB128,$G128),IF(OR(CP$3=$D128,CP$3=$AC128,CP$3=$AE128),"",IF(CP$3=$AD128,$F128&amp;"R",CP127))))</f>
        <v>bK</v>
      </c>
      <c r="CQ128" s="11" t="str">
        <f aca="false">IF($P128=0,CQ127,IF(CQ$3=$E128,IF($AA128=1,$F128&amp;$AB128,$G128),IF(OR(CQ$3=$D128,CQ$3=$AC128,CQ$3=$AE128),"",IF(CQ$3=$AD128,$F128&amp;"R",CQ127))))</f>
        <v>bB</v>
      </c>
      <c r="CR128" s="11" t="str">
        <f aca="false">IF($P128=0,CR127,IF(CR$3=$E128,IF($AA128=1,$F128&amp;$AB128,$G128),IF(OR(CR$3=$D128,CR$3=$AC128,CR$3=$AE128),"",IF(CR$3=$AD128,$F128&amp;"R",CR127))))</f>
        <v>bN</v>
      </c>
      <c r="CS128" s="11" t="str">
        <f aca="false">IF($P128=0,CS127,IF(CS$3=$E128,IF($AA128=1,$F128&amp;$AB128,$G128),IF(OR(CS$3=$D128,CS$3=$AC128,CS$3=$AE128),"",IF(CS$3=$AD128,$F128&amp;"R",CS127))))</f>
        <v>bR</v>
      </c>
      <c r="CT128" s="11"/>
      <c r="CU128" s="11"/>
      <c r="CV128" s="11"/>
    </row>
    <row r="129" customFormat="false" ht="15" hidden="false" customHeight="false" outlineLevel="0" collapsed="false">
      <c r="A129" s="11" t="n">
        <v>124</v>
      </c>
      <c r="B129" s="11" t="str">
        <f aca="false">IF(Chess!$L$133="","",Chess!$L$133&amp;"")</f>
        <v/>
      </c>
      <c r="C129" s="11" t="str">
        <f aca="false">LOWER(SUBSTITUTE(SUBSTITUTE(SUBSTITUTE(SUBSTITUTE(TRIM($B129),"-",""),"=","")," ",""),"x",""))</f>
        <v/>
      </c>
      <c r="D129" s="11" t="n">
        <f aca="false">IF(LEN($C129)&lt;4,0,IFERROR(IF(AND(CODE(MID($C129,1,1))&gt;=97,CODE(MID($C129,1,1))&lt;=104,VALUE(MID($C129,2,1))&gt;=1,VALUE(MID($C129,2,1))&lt;=8),(VALUE(MID($C129,2,1))-1)*8+CODE(MID($C129,1,1))-96,0),0))</f>
        <v>0</v>
      </c>
      <c r="E129" s="11" t="n">
        <f aca="false">IF(LEN($C129)&lt;4,0,IFERROR(IF(AND(CODE(MID($C129,3,1))&gt;=97,CODE(MID($C129,3,1))&lt;=104,VALUE(MID($C129,4,1))&gt;=1,VALUE(MID($C129,4,1))&lt;=8),(VALUE(MID($C129,4,1))-1)*8+CODE(MID($C129,3,1))-96,0),0))</f>
        <v>0</v>
      </c>
      <c r="F129" s="11" t="str">
        <f aca="false">IF(MOD(SUM($P$5:$P128),2)=0,"w","b")</f>
        <v>w</v>
      </c>
      <c r="G129" s="11" t="str">
        <f aca="false">IF($D129=0,"",INDEX($AH128:$CS128,1,$D129)&amp;"")</f>
        <v/>
      </c>
      <c r="H129" s="11" t="str">
        <f aca="false">IF($E129=0,"",INDEX($AH128:$CS128,1,$E129)&amp;"")</f>
        <v/>
      </c>
      <c r="I129" s="11" t="n">
        <f aca="false">IF(OR($D129=0,$E129=0),0,MOD($E129-1,8)-MOD($D129-1,8))</f>
        <v>0</v>
      </c>
      <c r="J129" s="11" t="n">
        <f aca="false">IF(OR($D129=0,$E129=0),0,INT(($E129-1)/8)-INT(($D129-1)/8))</f>
        <v>0</v>
      </c>
      <c r="K129" s="11" t="str">
        <f aca="false">IF($G129="","",RIGHT($G129,1))</f>
        <v/>
      </c>
      <c r="L129" s="11" t="n">
        <f aca="false">IF(OR($D129=0,$E129=0),0,SUMPRODUCT(($AH$3:$CS$3&gt;MIN($D129,$E129))*($AH$3:$CS$3&lt;MAX($D129,$E129))*(MOD($AH$3:$CS$3-MIN($D129,$E129),MAX(1,ABS(SIGN($J129)*8+SIGN($I129))))=0)*($AH128:$CS128&lt;&gt;"")))</f>
        <v>0</v>
      </c>
      <c r="M129" s="11" t="n">
        <f aca="false">IF($K129&lt;&gt;"K",0,IFERROR(--AND($J129=0,ABS($I129)=2,$D129=IF($F129="w",5,61),IF($F129="w",$S128,$V128)=0,IF($I129=2,AND(IF($F129="w",$U128,$X128)=0,INDEX($AH128:$CS128,1,$D129+1)&amp;""="",INDEX($AH128:$CS128,1,$D129+2)&amp;""=""),AND(IF($F129="w",$T128,$W128)=0,INDEX($AH128:$CS128,1,$D129-1)&amp;""="",INDEX($AH128:$CS128,1,$D129-2)&amp;""="",INDEX($AH128:$CS128,1,$D129-3)&amp;""=""))),0))</f>
        <v>0</v>
      </c>
      <c r="N129" s="11" t="n">
        <f aca="false">IF($K129&lt;&gt;"P",0,IFERROR(--OR(AND($I129=0,$J129=IF($F129="w",1,-1),$H129=""),AND($I129=0,$J129=2*IF($F129="w",1,-1),$H129="",INT(($D129-1)/8)=IF($F129="w",1,6),INDEX($AH128:$CS128,1,MAX(1,MIN(64,$D129+8*IF($F129="w",1,-1))))&amp;""=""),AND(ABS($I129)=1,$J129=IF($F129="w",1,-1),$H129&lt;&gt;""),AND(ABS($I129)=1,$J129=IF($F129="w",1,-1),$H129="",$R128&gt;0,$E129=$R128)),0))</f>
        <v>0</v>
      </c>
      <c r="O129" s="11" t="n">
        <f aca="false">IF(OR($D129=0,$E129=0,$G129=""),0,IF($K129="N",--OR(AND(ABS($I129)=1,ABS($J129)=2),AND(ABS($I129)=2,ABS($J129)=1)),IF($K129="B",--AND(ABS($I129)=ABS($J129),$I129&lt;&gt;0,$L129=0),IF($K129="R",--AND(OR($I129=0,$J129=0),OR($I129&lt;&gt;0,$J129&lt;&gt;0),$L129=0),IF($K129="Q",--AND(OR(AND(ABS($I129)=ABS($J129),$I129&lt;&gt;0),AND(OR($I129=0,$J129=0),OR($I129&lt;&gt;0,$J129&lt;&gt;0))),$L129=0),IF($K129="K",--OR(MAX(ABS($I129),ABS($J129))=1,$M129=1),$N129))))))</f>
        <v>0</v>
      </c>
      <c r="P129" s="11" t="n">
        <f aca="false">IF($Q129="OK",1,0)</f>
        <v>0</v>
      </c>
      <c r="Q129" s="11" t="str">
        <f aca="false">IF($B129="","",IF(OR(COUNTIF($AH128:$CS128,"wK")=0,COUNTIF($AH128:$CS128,"bK")=0),"Game is over",IF(OR($D129=0,$E129=0),"Use the format e2e4",IF($G129="","No piece on that square",IF(LEFT($G129,1)&lt;&gt;$F129,"Not your piece ("&amp;IF($F129="w","White","Black")&amp;" to move)",IF($D129=$E129,"Piece must move",IF(AND($H129&lt;&gt;"",LEFT($H129,1)=$F129),"Cannot capture your own piece",IF($O129=0,"Illegal move for that piece (or path blocked)","OK"))))))))</f>
        <v/>
      </c>
      <c r="R129" s="11" t="n">
        <f aca="false">IF($P129=1,IF(AND($K129="P",ABS($J129)=2),($D129+$E129)/2,0),$R128)</f>
        <v>0</v>
      </c>
      <c r="S129" s="12" t="b">
        <f aca="false">--OR($S128=1,AND($P129=1,OR($D129=5,$E129=5)))</f>
        <v>0</v>
      </c>
      <c r="T129" s="12" t="b">
        <f aca="false">--OR($T128=1,AND($P129=1,OR($D129=1,$E129=1)))</f>
        <v>0</v>
      </c>
      <c r="U129" s="12" t="b">
        <f aca="false">--OR($U128=1,AND($P129=1,OR($D129=8,$E129=8)))</f>
        <v>0</v>
      </c>
      <c r="V129" s="12" t="b">
        <f aca="false">--OR($V128=1,AND($P129=1,OR($D129=61,$E129=61)))</f>
        <v>0</v>
      </c>
      <c r="W129" s="12" t="b">
        <f aca="false">--OR($W128=1,AND($P129=1,OR($D129=57,$E129=57)))</f>
        <v>0</v>
      </c>
      <c r="X129" s="12" t="b">
        <f aca="false">--OR($X128=1,AND($P129=1,OR($D129=64,$E129=64)))</f>
        <v>0</v>
      </c>
      <c r="Y129" s="12" t="b">
        <f aca="false">--AND($P129=1,$K129="K",ABS($I129)=2)</f>
        <v>0</v>
      </c>
      <c r="Z129" s="12" t="b">
        <f aca="false">--AND($P129=1,$K129="P",ABS($I129)=1,$H129="")</f>
        <v>0</v>
      </c>
      <c r="AA129" s="12" t="b">
        <f aca="false">--AND($P129=1,$K129="P",INT(($E129-1)/8)=IF($F129="w",7,0))</f>
        <v>0</v>
      </c>
      <c r="AB129" s="11" t="str">
        <f aca="false">IF(LEN($C129)&gt;=5,IF(ISNUMBER(FIND(MID($C129,5,1),"qrbn")),UPPER(MID($C129,5,1)),"Q"),"Q")</f>
        <v>Q</v>
      </c>
      <c r="AC129" s="11" t="n">
        <f aca="false">IF($Y129=1,IF($I129=2,$D129+3,$D129-4),0)</f>
        <v>0</v>
      </c>
      <c r="AD129" s="11" t="n">
        <f aca="false">IF($Y129=1,IF($I129=2,$D129+1,$D129-1),0)</f>
        <v>0</v>
      </c>
      <c r="AE129" s="11" t="n">
        <f aca="false">IF($Z129=1,$E129-8*IF($F129="w",1,-1),0)</f>
        <v>0</v>
      </c>
      <c r="AF129" s="11" t="str">
        <f aca="false">IF($B129="","",IF($P129=1,LOWER(INDEX($CV$2:$CV$13,MATCH($G129,$CU$2:$CU$13,0)))&amp;" "&amp;MID("abcdefgh",MOD($D129-1,8)+1,1)&amp;(INT(($D129-1)/8)+1)&amp;"→"&amp;MID("abcdefgh",MOD($E129-1,8)+1,1)&amp;(INT(($E129-1)/8)+1)&amp;IF(OR($H129&lt;&gt;"",$Z129=1)," ×","")&amp;IF($Y129=1," castles","")&amp;IF($Z129=1," e.p.","")&amp;IF($AA129=1," =" &amp;LOWER(INDEX($CV$2:$CV$13,MATCH($F129&amp;$AB129,$CU$2:$CU$13,0))),""),"X "&amp;$Q129))</f>
        <v/>
      </c>
      <c r="AG129" s="11"/>
      <c r="AH129" s="11" t="str">
        <f aca="false">IF($P129=0,AH128,IF(AH$3=$E129,IF($AA129=1,$F129&amp;$AB129,$G129),IF(OR(AH$3=$D129,AH$3=$AC129,AH$3=$AE129),"",IF(AH$3=$AD129,$F129&amp;"R",AH128))))</f>
        <v>wR</v>
      </c>
      <c r="AI129" s="11" t="str">
        <f aca="false">IF($P129=0,AI128,IF(AI$3=$E129,IF($AA129=1,$F129&amp;$AB129,$G129),IF(OR(AI$3=$D129,AI$3=$AC129,AI$3=$AE129),"",IF(AI$3=$AD129,$F129&amp;"R",AI128))))</f>
        <v>wN</v>
      </c>
      <c r="AJ129" s="11" t="str">
        <f aca="false">IF($P129=0,AJ128,IF(AJ$3=$E129,IF($AA129=1,$F129&amp;$AB129,$G129),IF(OR(AJ$3=$D129,AJ$3=$AC129,AJ$3=$AE129),"",IF(AJ$3=$AD129,$F129&amp;"R",AJ128))))</f>
        <v>wB</v>
      </c>
      <c r="AK129" s="11" t="str">
        <f aca="false">IF($P129=0,AK128,IF(AK$3=$E129,IF($AA129=1,$F129&amp;$AB129,$G129),IF(OR(AK$3=$D129,AK$3=$AC129,AK$3=$AE129),"",IF(AK$3=$AD129,$F129&amp;"R",AK128))))</f>
        <v>wQ</v>
      </c>
      <c r="AL129" s="11" t="str">
        <f aca="false">IF($P129=0,AL128,IF(AL$3=$E129,IF($AA129=1,$F129&amp;$AB129,$G129),IF(OR(AL$3=$D129,AL$3=$AC129,AL$3=$AE129),"",IF(AL$3=$AD129,$F129&amp;"R",AL128))))</f>
        <v>wK</v>
      </c>
      <c r="AM129" s="11" t="str">
        <f aca="false">IF($P129=0,AM128,IF(AM$3=$E129,IF($AA129=1,$F129&amp;$AB129,$G129),IF(OR(AM$3=$D129,AM$3=$AC129,AM$3=$AE129),"",IF(AM$3=$AD129,$F129&amp;"R",AM128))))</f>
        <v>wB</v>
      </c>
      <c r="AN129" s="11" t="str">
        <f aca="false">IF($P129=0,AN128,IF(AN$3=$E129,IF($AA129=1,$F129&amp;$AB129,$G129),IF(OR(AN$3=$D129,AN$3=$AC129,AN$3=$AE129),"",IF(AN$3=$AD129,$F129&amp;"R",AN128))))</f>
        <v>wN</v>
      </c>
      <c r="AO129" s="11" t="str">
        <f aca="false">IF($P129=0,AO128,IF(AO$3=$E129,IF($AA129=1,$F129&amp;$AB129,$G129),IF(OR(AO$3=$D129,AO$3=$AC129,AO$3=$AE129),"",IF(AO$3=$AD129,$F129&amp;"R",AO128))))</f>
        <v>wR</v>
      </c>
      <c r="AP129" s="11" t="str">
        <f aca="false">IF($P129=0,AP128,IF(AP$3=$E129,IF($AA129=1,$F129&amp;$AB129,$G129),IF(OR(AP$3=$D129,AP$3=$AC129,AP$3=$AE129),"",IF(AP$3=$AD129,$F129&amp;"R",AP128))))</f>
        <v>wP</v>
      </c>
      <c r="AQ129" s="11" t="str">
        <f aca="false">IF($P129=0,AQ128,IF(AQ$3=$E129,IF($AA129=1,$F129&amp;$AB129,$G129),IF(OR(AQ$3=$D129,AQ$3=$AC129,AQ$3=$AE129),"",IF(AQ$3=$AD129,$F129&amp;"R",AQ128))))</f>
        <v>wP</v>
      </c>
      <c r="AR129" s="11" t="str">
        <f aca="false">IF($P129=0,AR128,IF(AR$3=$E129,IF($AA129=1,$F129&amp;$AB129,$G129),IF(OR(AR$3=$D129,AR$3=$AC129,AR$3=$AE129),"",IF(AR$3=$AD129,$F129&amp;"R",AR128))))</f>
        <v>wP</v>
      </c>
      <c r="AS129" s="11" t="str">
        <f aca="false">IF($P129=0,AS128,IF(AS$3=$E129,IF($AA129=1,$F129&amp;$AB129,$G129),IF(OR(AS$3=$D129,AS$3=$AC129,AS$3=$AE129),"",IF(AS$3=$AD129,$F129&amp;"R",AS128))))</f>
        <v>wP</v>
      </c>
      <c r="AT129" s="11" t="str">
        <f aca="false">IF($P129=0,AT128,IF(AT$3=$E129,IF($AA129=1,$F129&amp;$AB129,$G129),IF(OR(AT$3=$D129,AT$3=$AC129,AT$3=$AE129),"",IF(AT$3=$AD129,$F129&amp;"R",AT128))))</f>
        <v>wP</v>
      </c>
      <c r="AU129" s="11" t="str">
        <f aca="false">IF($P129=0,AU128,IF(AU$3=$E129,IF($AA129=1,$F129&amp;$AB129,$G129),IF(OR(AU$3=$D129,AU$3=$AC129,AU$3=$AE129),"",IF(AU$3=$AD129,$F129&amp;"R",AU128))))</f>
        <v>wP</v>
      </c>
      <c r="AV129" s="11" t="str">
        <f aca="false">IF($P129=0,AV128,IF(AV$3=$E129,IF($AA129=1,$F129&amp;$AB129,$G129),IF(OR(AV$3=$D129,AV$3=$AC129,AV$3=$AE129),"",IF(AV$3=$AD129,$F129&amp;"R",AV128))))</f>
        <v>wP</v>
      </c>
      <c r="AW129" s="11" t="str">
        <f aca="false">IF($P129=0,AW128,IF(AW$3=$E129,IF($AA129=1,$F129&amp;$AB129,$G129),IF(OR(AW$3=$D129,AW$3=$AC129,AW$3=$AE129),"",IF(AW$3=$AD129,$F129&amp;"R",AW128))))</f>
        <v>wP</v>
      </c>
      <c r="AX129" s="11" t="str">
        <f aca="false">IF($P129=0,AX128,IF(AX$3=$E129,IF($AA129=1,$F129&amp;$AB129,$G129),IF(OR(AX$3=$D129,AX$3=$AC129,AX$3=$AE129),"",IF(AX$3=$AD129,$F129&amp;"R",AX128))))</f>
        <v/>
      </c>
      <c r="AY129" s="11" t="str">
        <f aca="false">IF($P129=0,AY128,IF(AY$3=$E129,IF($AA129=1,$F129&amp;$AB129,$G129),IF(OR(AY$3=$D129,AY$3=$AC129,AY$3=$AE129),"",IF(AY$3=$AD129,$F129&amp;"R",AY128))))</f>
        <v/>
      </c>
      <c r="AZ129" s="11" t="str">
        <f aca="false">IF($P129=0,AZ128,IF(AZ$3=$E129,IF($AA129=1,$F129&amp;$AB129,$G129),IF(OR(AZ$3=$D129,AZ$3=$AC129,AZ$3=$AE129),"",IF(AZ$3=$AD129,$F129&amp;"R",AZ128))))</f>
        <v/>
      </c>
      <c r="BA129" s="11" t="str">
        <f aca="false">IF($P129=0,BA128,IF(BA$3=$E129,IF($AA129=1,$F129&amp;$AB129,$G129),IF(OR(BA$3=$D129,BA$3=$AC129,BA$3=$AE129),"",IF(BA$3=$AD129,$F129&amp;"R",BA128))))</f>
        <v/>
      </c>
      <c r="BB129" s="11" t="str">
        <f aca="false">IF($P129=0,BB128,IF(BB$3=$E129,IF($AA129=1,$F129&amp;$AB129,$G129),IF(OR(BB$3=$D129,BB$3=$AC129,BB$3=$AE129),"",IF(BB$3=$AD129,$F129&amp;"R",BB128))))</f>
        <v/>
      </c>
      <c r="BC129" s="11" t="str">
        <f aca="false">IF($P129=0,BC128,IF(BC$3=$E129,IF($AA129=1,$F129&amp;$AB129,$G129),IF(OR(BC$3=$D129,BC$3=$AC129,BC$3=$AE129),"",IF(BC$3=$AD129,$F129&amp;"R",BC128))))</f>
        <v/>
      </c>
      <c r="BD129" s="11" t="str">
        <f aca="false">IF($P129=0,BD128,IF(BD$3=$E129,IF($AA129=1,$F129&amp;$AB129,$G129),IF(OR(BD$3=$D129,BD$3=$AC129,BD$3=$AE129),"",IF(BD$3=$AD129,$F129&amp;"R",BD128))))</f>
        <v/>
      </c>
      <c r="BE129" s="11" t="str">
        <f aca="false">IF($P129=0,BE128,IF(BE$3=$E129,IF($AA129=1,$F129&amp;$AB129,$G129),IF(OR(BE$3=$D129,BE$3=$AC129,BE$3=$AE129),"",IF(BE$3=$AD129,$F129&amp;"R",BE128))))</f>
        <v/>
      </c>
      <c r="BF129" s="11" t="str">
        <f aca="false">IF($P129=0,BF128,IF(BF$3=$E129,IF($AA129=1,$F129&amp;$AB129,$G129),IF(OR(BF$3=$D129,BF$3=$AC129,BF$3=$AE129),"",IF(BF$3=$AD129,$F129&amp;"R",BF128))))</f>
        <v/>
      </c>
      <c r="BG129" s="11" t="str">
        <f aca="false">IF($P129=0,BG128,IF(BG$3=$E129,IF($AA129=1,$F129&amp;$AB129,$G129),IF(OR(BG$3=$D129,BG$3=$AC129,BG$3=$AE129),"",IF(BG$3=$AD129,$F129&amp;"R",BG128))))</f>
        <v/>
      </c>
      <c r="BH129" s="11" t="str">
        <f aca="false">IF($P129=0,BH128,IF(BH$3=$E129,IF($AA129=1,$F129&amp;$AB129,$G129),IF(OR(BH$3=$D129,BH$3=$AC129,BH$3=$AE129),"",IF(BH$3=$AD129,$F129&amp;"R",BH128))))</f>
        <v/>
      </c>
      <c r="BI129" s="11" t="str">
        <f aca="false">IF($P129=0,BI128,IF(BI$3=$E129,IF($AA129=1,$F129&amp;$AB129,$G129),IF(OR(BI$3=$D129,BI$3=$AC129,BI$3=$AE129),"",IF(BI$3=$AD129,$F129&amp;"R",BI128))))</f>
        <v/>
      </c>
      <c r="BJ129" s="11" t="str">
        <f aca="false">IF($P129=0,BJ128,IF(BJ$3=$E129,IF($AA129=1,$F129&amp;$AB129,$G129),IF(OR(BJ$3=$D129,BJ$3=$AC129,BJ$3=$AE129),"",IF(BJ$3=$AD129,$F129&amp;"R",BJ128))))</f>
        <v/>
      </c>
      <c r="BK129" s="11" t="str">
        <f aca="false">IF($P129=0,BK128,IF(BK$3=$E129,IF($AA129=1,$F129&amp;$AB129,$G129),IF(OR(BK$3=$D129,BK$3=$AC129,BK$3=$AE129),"",IF(BK$3=$AD129,$F129&amp;"R",BK128))))</f>
        <v/>
      </c>
      <c r="BL129" s="11" t="str">
        <f aca="false">IF($P129=0,BL128,IF(BL$3=$E129,IF($AA129=1,$F129&amp;$AB129,$G129),IF(OR(BL$3=$D129,BL$3=$AC129,BL$3=$AE129),"",IF(BL$3=$AD129,$F129&amp;"R",BL128))))</f>
        <v/>
      </c>
      <c r="BM129" s="11" t="str">
        <f aca="false">IF($P129=0,BM128,IF(BM$3=$E129,IF($AA129=1,$F129&amp;$AB129,$G129),IF(OR(BM$3=$D129,BM$3=$AC129,BM$3=$AE129),"",IF(BM$3=$AD129,$F129&amp;"R",BM128))))</f>
        <v/>
      </c>
      <c r="BN129" s="11" t="str">
        <f aca="false">IF($P129=0,BN128,IF(BN$3=$E129,IF($AA129=1,$F129&amp;$AB129,$G129),IF(OR(BN$3=$D129,BN$3=$AC129,BN$3=$AE129),"",IF(BN$3=$AD129,$F129&amp;"R",BN128))))</f>
        <v/>
      </c>
      <c r="BO129" s="11" t="str">
        <f aca="false">IF($P129=0,BO128,IF(BO$3=$E129,IF($AA129=1,$F129&amp;$AB129,$G129),IF(OR(BO$3=$D129,BO$3=$AC129,BO$3=$AE129),"",IF(BO$3=$AD129,$F129&amp;"R",BO128))))</f>
        <v/>
      </c>
      <c r="BP129" s="11" t="str">
        <f aca="false">IF($P129=0,BP128,IF(BP$3=$E129,IF($AA129=1,$F129&amp;$AB129,$G129),IF(OR(BP$3=$D129,BP$3=$AC129,BP$3=$AE129),"",IF(BP$3=$AD129,$F129&amp;"R",BP128))))</f>
        <v/>
      </c>
      <c r="BQ129" s="11" t="str">
        <f aca="false">IF($P129=0,BQ128,IF(BQ$3=$E129,IF($AA129=1,$F129&amp;$AB129,$G129),IF(OR(BQ$3=$D129,BQ$3=$AC129,BQ$3=$AE129),"",IF(BQ$3=$AD129,$F129&amp;"R",BQ128))))</f>
        <v/>
      </c>
      <c r="BR129" s="11" t="str">
        <f aca="false">IF($P129=0,BR128,IF(BR$3=$E129,IF($AA129=1,$F129&amp;$AB129,$G129),IF(OR(BR$3=$D129,BR$3=$AC129,BR$3=$AE129),"",IF(BR$3=$AD129,$F129&amp;"R",BR128))))</f>
        <v/>
      </c>
      <c r="BS129" s="11" t="str">
        <f aca="false">IF($P129=0,BS128,IF(BS$3=$E129,IF($AA129=1,$F129&amp;$AB129,$G129),IF(OR(BS$3=$D129,BS$3=$AC129,BS$3=$AE129),"",IF(BS$3=$AD129,$F129&amp;"R",BS128))))</f>
        <v/>
      </c>
      <c r="BT129" s="11" t="str">
        <f aca="false">IF($P129=0,BT128,IF(BT$3=$E129,IF($AA129=1,$F129&amp;$AB129,$G129),IF(OR(BT$3=$D129,BT$3=$AC129,BT$3=$AE129),"",IF(BT$3=$AD129,$F129&amp;"R",BT128))))</f>
        <v/>
      </c>
      <c r="BU129" s="11" t="str">
        <f aca="false">IF($P129=0,BU128,IF(BU$3=$E129,IF($AA129=1,$F129&amp;$AB129,$G129),IF(OR(BU$3=$D129,BU$3=$AC129,BU$3=$AE129),"",IF(BU$3=$AD129,$F129&amp;"R",BU128))))</f>
        <v/>
      </c>
      <c r="BV129" s="11" t="str">
        <f aca="false">IF($P129=0,BV128,IF(BV$3=$E129,IF($AA129=1,$F129&amp;$AB129,$G129),IF(OR(BV$3=$D129,BV$3=$AC129,BV$3=$AE129),"",IF(BV$3=$AD129,$F129&amp;"R",BV128))))</f>
        <v/>
      </c>
      <c r="BW129" s="11" t="str">
        <f aca="false">IF($P129=0,BW128,IF(BW$3=$E129,IF($AA129=1,$F129&amp;$AB129,$G129),IF(OR(BW$3=$D129,BW$3=$AC129,BW$3=$AE129),"",IF(BW$3=$AD129,$F129&amp;"R",BW128))))</f>
        <v/>
      </c>
      <c r="BX129" s="11" t="str">
        <f aca="false">IF($P129=0,BX128,IF(BX$3=$E129,IF($AA129=1,$F129&amp;$AB129,$G129),IF(OR(BX$3=$D129,BX$3=$AC129,BX$3=$AE129),"",IF(BX$3=$AD129,$F129&amp;"R",BX128))))</f>
        <v/>
      </c>
      <c r="BY129" s="11" t="str">
        <f aca="false">IF($P129=0,BY128,IF(BY$3=$E129,IF($AA129=1,$F129&amp;$AB129,$G129),IF(OR(BY$3=$D129,BY$3=$AC129,BY$3=$AE129),"",IF(BY$3=$AD129,$F129&amp;"R",BY128))))</f>
        <v/>
      </c>
      <c r="BZ129" s="11" t="str">
        <f aca="false">IF($P129=0,BZ128,IF(BZ$3=$E129,IF($AA129=1,$F129&amp;$AB129,$G129),IF(OR(BZ$3=$D129,BZ$3=$AC129,BZ$3=$AE129),"",IF(BZ$3=$AD129,$F129&amp;"R",BZ128))))</f>
        <v/>
      </c>
      <c r="CA129" s="11" t="str">
        <f aca="false">IF($P129=0,CA128,IF(CA$3=$E129,IF($AA129=1,$F129&amp;$AB129,$G129),IF(OR(CA$3=$D129,CA$3=$AC129,CA$3=$AE129),"",IF(CA$3=$AD129,$F129&amp;"R",CA128))))</f>
        <v/>
      </c>
      <c r="CB129" s="11" t="str">
        <f aca="false">IF($P129=0,CB128,IF(CB$3=$E129,IF($AA129=1,$F129&amp;$AB129,$G129),IF(OR(CB$3=$D129,CB$3=$AC129,CB$3=$AE129),"",IF(CB$3=$AD129,$F129&amp;"R",CB128))))</f>
        <v/>
      </c>
      <c r="CC129" s="11" t="str">
        <f aca="false">IF($P129=0,CC128,IF(CC$3=$E129,IF($AA129=1,$F129&amp;$AB129,$G129),IF(OR(CC$3=$D129,CC$3=$AC129,CC$3=$AE129),"",IF(CC$3=$AD129,$F129&amp;"R",CC128))))</f>
        <v/>
      </c>
      <c r="CD129" s="11" t="str">
        <f aca="false">IF($P129=0,CD128,IF(CD$3=$E129,IF($AA129=1,$F129&amp;$AB129,$G129),IF(OR(CD$3=$D129,CD$3=$AC129,CD$3=$AE129),"",IF(CD$3=$AD129,$F129&amp;"R",CD128))))</f>
        <v>bP</v>
      </c>
      <c r="CE129" s="11" t="str">
        <f aca="false">IF($P129=0,CE128,IF(CE$3=$E129,IF($AA129=1,$F129&amp;$AB129,$G129),IF(OR(CE$3=$D129,CE$3=$AC129,CE$3=$AE129),"",IF(CE$3=$AD129,$F129&amp;"R",CE128))))</f>
        <v>bP</v>
      </c>
      <c r="CF129" s="11" t="str">
        <f aca="false">IF($P129=0,CF128,IF(CF$3=$E129,IF($AA129=1,$F129&amp;$AB129,$G129),IF(OR(CF$3=$D129,CF$3=$AC129,CF$3=$AE129),"",IF(CF$3=$AD129,$F129&amp;"R",CF128))))</f>
        <v>bP</v>
      </c>
      <c r="CG129" s="11" t="str">
        <f aca="false">IF($P129=0,CG128,IF(CG$3=$E129,IF($AA129=1,$F129&amp;$AB129,$G129),IF(OR(CG$3=$D129,CG$3=$AC129,CG$3=$AE129),"",IF(CG$3=$AD129,$F129&amp;"R",CG128))))</f>
        <v>bP</v>
      </c>
      <c r="CH129" s="11" t="str">
        <f aca="false">IF($P129=0,CH128,IF(CH$3=$E129,IF($AA129=1,$F129&amp;$AB129,$G129),IF(OR(CH$3=$D129,CH$3=$AC129,CH$3=$AE129),"",IF(CH$3=$AD129,$F129&amp;"R",CH128))))</f>
        <v>bP</v>
      </c>
      <c r="CI129" s="11" t="str">
        <f aca="false">IF($P129=0,CI128,IF(CI$3=$E129,IF($AA129=1,$F129&amp;$AB129,$G129),IF(OR(CI$3=$D129,CI$3=$AC129,CI$3=$AE129),"",IF(CI$3=$AD129,$F129&amp;"R",CI128))))</f>
        <v>bP</v>
      </c>
      <c r="CJ129" s="11" t="str">
        <f aca="false">IF($P129=0,CJ128,IF(CJ$3=$E129,IF($AA129=1,$F129&amp;$AB129,$G129),IF(OR(CJ$3=$D129,CJ$3=$AC129,CJ$3=$AE129),"",IF(CJ$3=$AD129,$F129&amp;"R",CJ128))))</f>
        <v>bP</v>
      </c>
      <c r="CK129" s="11" t="str">
        <f aca="false">IF($P129=0,CK128,IF(CK$3=$E129,IF($AA129=1,$F129&amp;$AB129,$G129),IF(OR(CK$3=$D129,CK$3=$AC129,CK$3=$AE129),"",IF(CK$3=$AD129,$F129&amp;"R",CK128))))</f>
        <v>bP</v>
      </c>
      <c r="CL129" s="11" t="str">
        <f aca="false">IF($P129=0,CL128,IF(CL$3=$E129,IF($AA129=1,$F129&amp;$AB129,$G129),IF(OR(CL$3=$D129,CL$3=$AC129,CL$3=$AE129),"",IF(CL$3=$AD129,$F129&amp;"R",CL128))))</f>
        <v>bR</v>
      </c>
      <c r="CM129" s="11" t="str">
        <f aca="false">IF($P129=0,CM128,IF(CM$3=$E129,IF($AA129=1,$F129&amp;$AB129,$G129),IF(OR(CM$3=$D129,CM$3=$AC129,CM$3=$AE129),"",IF(CM$3=$AD129,$F129&amp;"R",CM128))))</f>
        <v>bN</v>
      </c>
      <c r="CN129" s="11" t="str">
        <f aca="false">IF($P129=0,CN128,IF(CN$3=$E129,IF($AA129=1,$F129&amp;$AB129,$G129),IF(OR(CN$3=$D129,CN$3=$AC129,CN$3=$AE129),"",IF(CN$3=$AD129,$F129&amp;"R",CN128))))</f>
        <v>bB</v>
      </c>
      <c r="CO129" s="11" t="str">
        <f aca="false">IF($P129=0,CO128,IF(CO$3=$E129,IF($AA129=1,$F129&amp;$AB129,$G129),IF(OR(CO$3=$D129,CO$3=$AC129,CO$3=$AE129),"",IF(CO$3=$AD129,$F129&amp;"R",CO128))))</f>
        <v>bQ</v>
      </c>
      <c r="CP129" s="11" t="str">
        <f aca="false">IF($P129=0,CP128,IF(CP$3=$E129,IF($AA129=1,$F129&amp;$AB129,$G129),IF(OR(CP$3=$D129,CP$3=$AC129,CP$3=$AE129),"",IF(CP$3=$AD129,$F129&amp;"R",CP128))))</f>
        <v>bK</v>
      </c>
      <c r="CQ129" s="11" t="str">
        <f aca="false">IF($P129=0,CQ128,IF(CQ$3=$E129,IF($AA129=1,$F129&amp;$AB129,$G129),IF(OR(CQ$3=$D129,CQ$3=$AC129,CQ$3=$AE129),"",IF(CQ$3=$AD129,$F129&amp;"R",CQ128))))</f>
        <v>bB</v>
      </c>
      <c r="CR129" s="11" t="str">
        <f aca="false">IF($P129=0,CR128,IF(CR$3=$E129,IF($AA129=1,$F129&amp;$AB129,$G129),IF(OR(CR$3=$D129,CR$3=$AC129,CR$3=$AE129),"",IF(CR$3=$AD129,$F129&amp;"R",CR128))))</f>
        <v>bN</v>
      </c>
      <c r="CS129" s="11" t="str">
        <f aca="false">IF($P129=0,CS128,IF(CS$3=$E129,IF($AA129=1,$F129&amp;$AB129,$G129),IF(OR(CS$3=$D129,CS$3=$AC129,CS$3=$AE129),"",IF(CS$3=$AD129,$F129&amp;"R",CS128))))</f>
        <v>bR</v>
      </c>
      <c r="CT129" s="11"/>
      <c r="CU129" s="11"/>
      <c r="CV129" s="11"/>
    </row>
    <row r="130" customFormat="false" ht="15" hidden="false" customHeight="false" outlineLevel="0" collapsed="false">
      <c r="A130" s="11" t="n">
        <v>125</v>
      </c>
      <c r="B130" s="11" t="str">
        <f aca="false">IF(Chess!$L$134="","",Chess!$L$134&amp;"")</f>
        <v/>
      </c>
      <c r="C130" s="11" t="str">
        <f aca="false">LOWER(SUBSTITUTE(SUBSTITUTE(SUBSTITUTE(SUBSTITUTE(TRIM($B130),"-",""),"=","")," ",""),"x",""))</f>
        <v/>
      </c>
      <c r="D130" s="11" t="n">
        <f aca="false">IF(LEN($C130)&lt;4,0,IFERROR(IF(AND(CODE(MID($C130,1,1))&gt;=97,CODE(MID($C130,1,1))&lt;=104,VALUE(MID($C130,2,1))&gt;=1,VALUE(MID($C130,2,1))&lt;=8),(VALUE(MID($C130,2,1))-1)*8+CODE(MID($C130,1,1))-96,0),0))</f>
        <v>0</v>
      </c>
      <c r="E130" s="11" t="n">
        <f aca="false">IF(LEN($C130)&lt;4,0,IFERROR(IF(AND(CODE(MID($C130,3,1))&gt;=97,CODE(MID($C130,3,1))&lt;=104,VALUE(MID($C130,4,1))&gt;=1,VALUE(MID($C130,4,1))&lt;=8),(VALUE(MID($C130,4,1))-1)*8+CODE(MID($C130,3,1))-96,0),0))</f>
        <v>0</v>
      </c>
      <c r="F130" s="11" t="str">
        <f aca="false">IF(MOD(SUM($P$5:$P129),2)=0,"w","b")</f>
        <v>w</v>
      </c>
      <c r="G130" s="11" t="str">
        <f aca="false">IF($D130=0,"",INDEX($AH129:$CS129,1,$D130)&amp;"")</f>
        <v/>
      </c>
      <c r="H130" s="11" t="str">
        <f aca="false">IF($E130=0,"",INDEX($AH129:$CS129,1,$E130)&amp;"")</f>
        <v/>
      </c>
      <c r="I130" s="11" t="n">
        <f aca="false">IF(OR($D130=0,$E130=0),0,MOD($E130-1,8)-MOD($D130-1,8))</f>
        <v>0</v>
      </c>
      <c r="J130" s="11" t="n">
        <f aca="false">IF(OR($D130=0,$E130=0),0,INT(($E130-1)/8)-INT(($D130-1)/8))</f>
        <v>0</v>
      </c>
      <c r="K130" s="11" t="str">
        <f aca="false">IF($G130="","",RIGHT($G130,1))</f>
        <v/>
      </c>
      <c r="L130" s="11" t="n">
        <f aca="false">IF(OR($D130=0,$E130=0),0,SUMPRODUCT(($AH$3:$CS$3&gt;MIN($D130,$E130))*($AH$3:$CS$3&lt;MAX($D130,$E130))*(MOD($AH$3:$CS$3-MIN($D130,$E130),MAX(1,ABS(SIGN($J130)*8+SIGN($I130))))=0)*($AH129:$CS129&lt;&gt;"")))</f>
        <v>0</v>
      </c>
      <c r="M130" s="11" t="n">
        <f aca="false">IF($K130&lt;&gt;"K",0,IFERROR(--AND($J130=0,ABS($I130)=2,$D130=IF($F130="w",5,61),IF($F130="w",$S129,$V129)=0,IF($I130=2,AND(IF($F130="w",$U129,$X129)=0,INDEX($AH129:$CS129,1,$D130+1)&amp;""="",INDEX($AH129:$CS129,1,$D130+2)&amp;""=""),AND(IF($F130="w",$T129,$W129)=0,INDEX($AH129:$CS129,1,$D130-1)&amp;""="",INDEX($AH129:$CS129,1,$D130-2)&amp;""="",INDEX($AH129:$CS129,1,$D130-3)&amp;""=""))),0))</f>
        <v>0</v>
      </c>
      <c r="N130" s="11" t="n">
        <f aca="false">IF($K130&lt;&gt;"P",0,IFERROR(--OR(AND($I130=0,$J130=IF($F130="w",1,-1),$H130=""),AND($I130=0,$J130=2*IF($F130="w",1,-1),$H130="",INT(($D130-1)/8)=IF($F130="w",1,6),INDEX($AH129:$CS129,1,MAX(1,MIN(64,$D130+8*IF($F130="w",1,-1))))&amp;""=""),AND(ABS($I130)=1,$J130=IF($F130="w",1,-1),$H130&lt;&gt;""),AND(ABS($I130)=1,$J130=IF($F130="w",1,-1),$H130="",$R129&gt;0,$E130=$R129)),0))</f>
        <v>0</v>
      </c>
      <c r="O130" s="11" t="n">
        <f aca="false">IF(OR($D130=0,$E130=0,$G130=""),0,IF($K130="N",--OR(AND(ABS($I130)=1,ABS($J130)=2),AND(ABS($I130)=2,ABS($J130)=1)),IF($K130="B",--AND(ABS($I130)=ABS($J130),$I130&lt;&gt;0,$L130=0),IF($K130="R",--AND(OR($I130=0,$J130=0),OR($I130&lt;&gt;0,$J130&lt;&gt;0),$L130=0),IF($K130="Q",--AND(OR(AND(ABS($I130)=ABS($J130),$I130&lt;&gt;0),AND(OR($I130=0,$J130=0),OR($I130&lt;&gt;0,$J130&lt;&gt;0))),$L130=0),IF($K130="K",--OR(MAX(ABS($I130),ABS($J130))=1,$M130=1),$N130))))))</f>
        <v>0</v>
      </c>
      <c r="P130" s="11" t="n">
        <f aca="false">IF($Q130="OK",1,0)</f>
        <v>0</v>
      </c>
      <c r="Q130" s="11" t="str">
        <f aca="false">IF($B130="","",IF(OR(COUNTIF($AH129:$CS129,"wK")=0,COUNTIF($AH129:$CS129,"bK")=0),"Game is over",IF(OR($D130=0,$E130=0),"Use the format e2e4",IF($G130="","No piece on that square",IF(LEFT($G130,1)&lt;&gt;$F130,"Not your piece ("&amp;IF($F130="w","White","Black")&amp;" to move)",IF($D130=$E130,"Piece must move",IF(AND($H130&lt;&gt;"",LEFT($H130,1)=$F130),"Cannot capture your own piece",IF($O130=0,"Illegal move for that piece (or path blocked)","OK"))))))))</f>
        <v/>
      </c>
      <c r="R130" s="11" t="n">
        <f aca="false">IF($P130=1,IF(AND($K130="P",ABS($J130)=2),($D130+$E130)/2,0),$R129)</f>
        <v>0</v>
      </c>
      <c r="S130" s="12" t="b">
        <f aca="false">--OR($S129=1,AND($P130=1,OR($D130=5,$E130=5)))</f>
        <v>0</v>
      </c>
      <c r="T130" s="12" t="b">
        <f aca="false">--OR($T129=1,AND($P130=1,OR($D130=1,$E130=1)))</f>
        <v>0</v>
      </c>
      <c r="U130" s="12" t="b">
        <f aca="false">--OR($U129=1,AND($P130=1,OR($D130=8,$E130=8)))</f>
        <v>0</v>
      </c>
      <c r="V130" s="12" t="b">
        <f aca="false">--OR($V129=1,AND($P130=1,OR($D130=61,$E130=61)))</f>
        <v>0</v>
      </c>
      <c r="W130" s="12" t="b">
        <f aca="false">--OR($W129=1,AND($P130=1,OR($D130=57,$E130=57)))</f>
        <v>0</v>
      </c>
      <c r="X130" s="12" t="b">
        <f aca="false">--OR($X129=1,AND($P130=1,OR($D130=64,$E130=64)))</f>
        <v>0</v>
      </c>
      <c r="Y130" s="12" t="b">
        <f aca="false">--AND($P130=1,$K130="K",ABS($I130)=2)</f>
        <v>0</v>
      </c>
      <c r="Z130" s="12" t="b">
        <f aca="false">--AND($P130=1,$K130="P",ABS($I130)=1,$H130="")</f>
        <v>0</v>
      </c>
      <c r="AA130" s="12" t="b">
        <f aca="false">--AND($P130=1,$K130="P",INT(($E130-1)/8)=IF($F130="w",7,0))</f>
        <v>0</v>
      </c>
      <c r="AB130" s="11" t="str">
        <f aca="false">IF(LEN($C130)&gt;=5,IF(ISNUMBER(FIND(MID($C130,5,1),"qrbn")),UPPER(MID($C130,5,1)),"Q"),"Q")</f>
        <v>Q</v>
      </c>
      <c r="AC130" s="11" t="n">
        <f aca="false">IF($Y130=1,IF($I130=2,$D130+3,$D130-4),0)</f>
        <v>0</v>
      </c>
      <c r="AD130" s="11" t="n">
        <f aca="false">IF($Y130=1,IF($I130=2,$D130+1,$D130-1),0)</f>
        <v>0</v>
      </c>
      <c r="AE130" s="11" t="n">
        <f aca="false">IF($Z130=1,$E130-8*IF($F130="w",1,-1),0)</f>
        <v>0</v>
      </c>
      <c r="AF130" s="11" t="str">
        <f aca="false">IF($B130="","",IF($P130=1,LOWER(INDEX($CV$2:$CV$13,MATCH($G130,$CU$2:$CU$13,0)))&amp;" "&amp;MID("abcdefgh",MOD($D130-1,8)+1,1)&amp;(INT(($D130-1)/8)+1)&amp;"→"&amp;MID("abcdefgh",MOD($E130-1,8)+1,1)&amp;(INT(($E130-1)/8)+1)&amp;IF(OR($H130&lt;&gt;"",$Z130=1)," ×","")&amp;IF($Y130=1," castles","")&amp;IF($Z130=1," e.p.","")&amp;IF($AA130=1," =" &amp;LOWER(INDEX($CV$2:$CV$13,MATCH($F130&amp;$AB130,$CU$2:$CU$13,0))),""),"X "&amp;$Q130))</f>
        <v/>
      </c>
      <c r="AG130" s="11"/>
      <c r="AH130" s="11" t="str">
        <f aca="false">IF($P130=0,AH129,IF(AH$3=$E130,IF($AA130=1,$F130&amp;$AB130,$G130),IF(OR(AH$3=$D130,AH$3=$AC130,AH$3=$AE130),"",IF(AH$3=$AD130,$F130&amp;"R",AH129))))</f>
        <v>wR</v>
      </c>
      <c r="AI130" s="11" t="str">
        <f aca="false">IF($P130=0,AI129,IF(AI$3=$E130,IF($AA130=1,$F130&amp;$AB130,$G130),IF(OR(AI$3=$D130,AI$3=$AC130,AI$3=$AE130),"",IF(AI$3=$AD130,$F130&amp;"R",AI129))))</f>
        <v>wN</v>
      </c>
      <c r="AJ130" s="11" t="str">
        <f aca="false">IF($P130=0,AJ129,IF(AJ$3=$E130,IF($AA130=1,$F130&amp;$AB130,$G130),IF(OR(AJ$3=$D130,AJ$3=$AC130,AJ$3=$AE130),"",IF(AJ$3=$AD130,$F130&amp;"R",AJ129))))</f>
        <v>wB</v>
      </c>
      <c r="AK130" s="11" t="str">
        <f aca="false">IF($P130=0,AK129,IF(AK$3=$E130,IF($AA130=1,$F130&amp;$AB130,$G130),IF(OR(AK$3=$D130,AK$3=$AC130,AK$3=$AE130),"",IF(AK$3=$AD130,$F130&amp;"R",AK129))))</f>
        <v>wQ</v>
      </c>
      <c r="AL130" s="11" t="str">
        <f aca="false">IF($P130=0,AL129,IF(AL$3=$E130,IF($AA130=1,$F130&amp;$AB130,$G130),IF(OR(AL$3=$D130,AL$3=$AC130,AL$3=$AE130),"",IF(AL$3=$AD130,$F130&amp;"R",AL129))))</f>
        <v>wK</v>
      </c>
      <c r="AM130" s="11" t="str">
        <f aca="false">IF($P130=0,AM129,IF(AM$3=$E130,IF($AA130=1,$F130&amp;$AB130,$G130),IF(OR(AM$3=$D130,AM$3=$AC130,AM$3=$AE130),"",IF(AM$3=$AD130,$F130&amp;"R",AM129))))</f>
        <v>wB</v>
      </c>
      <c r="AN130" s="11" t="str">
        <f aca="false">IF($P130=0,AN129,IF(AN$3=$E130,IF($AA130=1,$F130&amp;$AB130,$G130),IF(OR(AN$3=$D130,AN$3=$AC130,AN$3=$AE130),"",IF(AN$3=$AD130,$F130&amp;"R",AN129))))</f>
        <v>wN</v>
      </c>
      <c r="AO130" s="11" t="str">
        <f aca="false">IF($P130=0,AO129,IF(AO$3=$E130,IF($AA130=1,$F130&amp;$AB130,$G130),IF(OR(AO$3=$D130,AO$3=$AC130,AO$3=$AE130),"",IF(AO$3=$AD130,$F130&amp;"R",AO129))))</f>
        <v>wR</v>
      </c>
      <c r="AP130" s="11" t="str">
        <f aca="false">IF($P130=0,AP129,IF(AP$3=$E130,IF($AA130=1,$F130&amp;$AB130,$G130),IF(OR(AP$3=$D130,AP$3=$AC130,AP$3=$AE130),"",IF(AP$3=$AD130,$F130&amp;"R",AP129))))</f>
        <v>wP</v>
      </c>
      <c r="AQ130" s="11" t="str">
        <f aca="false">IF($P130=0,AQ129,IF(AQ$3=$E130,IF($AA130=1,$F130&amp;$AB130,$G130),IF(OR(AQ$3=$D130,AQ$3=$AC130,AQ$3=$AE130),"",IF(AQ$3=$AD130,$F130&amp;"R",AQ129))))</f>
        <v>wP</v>
      </c>
      <c r="AR130" s="11" t="str">
        <f aca="false">IF($P130=0,AR129,IF(AR$3=$E130,IF($AA130=1,$F130&amp;$AB130,$G130),IF(OR(AR$3=$D130,AR$3=$AC130,AR$3=$AE130),"",IF(AR$3=$AD130,$F130&amp;"R",AR129))))</f>
        <v>wP</v>
      </c>
      <c r="AS130" s="11" t="str">
        <f aca="false">IF($P130=0,AS129,IF(AS$3=$E130,IF($AA130=1,$F130&amp;$AB130,$G130),IF(OR(AS$3=$D130,AS$3=$AC130,AS$3=$AE130),"",IF(AS$3=$AD130,$F130&amp;"R",AS129))))</f>
        <v>wP</v>
      </c>
      <c r="AT130" s="11" t="str">
        <f aca="false">IF($P130=0,AT129,IF(AT$3=$E130,IF($AA130=1,$F130&amp;$AB130,$G130),IF(OR(AT$3=$D130,AT$3=$AC130,AT$3=$AE130),"",IF(AT$3=$AD130,$F130&amp;"R",AT129))))</f>
        <v>wP</v>
      </c>
      <c r="AU130" s="11" t="str">
        <f aca="false">IF($P130=0,AU129,IF(AU$3=$E130,IF($AA130=1,$F130&amp;$AB130,$G130),IF(OR(AU$3=$D130,AU$3=$AC130,AU$3=$AE130),"",IF(AU$3=$AD130,$F130&amp;"R",AU129))))</f>
        <v>wP</v>
      </c>
      <c r="AV130" s="11" t="str">
        <f aca="false">IF($P130=0,AV129,IF(AV$3=$E130,IF($AA130=1,$F130&amp;$AB130,$G130),IF(OR(AV$3=$D130,AV$3=$AC130,AV$3=$AE130),"",IF(AV$3=$AD130,$F130&amp;"R",AV129))))</f>
        <v>wP</v>
      </c>
      <c r="AW130" s="11" t="str">
        <f aca="false">IF($P130=0,AW129,IF(AW$3=$E130,IF($AA130=1,$F130&amp;$AB130,$G130),IF(OR(AW$3=$D130,AW$3=$AC130,AW$3=$AE130),"",IF(AW$3=$AD130,$F130&amp;"R",AW129))))</f>
        <v>wP</v>
      </c>
      <c r="AX130" s="11" t="str">
        <f aca="false">IF($P130=0,AX129,IF(AX$3=$E130,IF($AA130=1,$F130&amp;$AB130,$G130),IF(OR(AX$3=$D130,AX$3=$AC130,AX$3=$AE130),"",IF(AX$3=$AD130,$F130&amp;"R",AX129))))</f>
        <v/>
      </c>
      <c r="AY130" s="11" t="str">
        <f aca="false">IF($P130=0,AY129,IF(AY$3=$E130,IF($AA130=1,$F130&amp;$AB130,$G130),IF(OR(AY$3=$D130,AY$3=$AC130,AY$3=$AE130),"",IF(AY$3=$AD130,$F130&amp;"R",AY129))))</f>
        <v/>
      </c>
      <c r="AZ130" s="11" t="str">
        <f aca="false">IF($P130=0,AZ129,IF(AZ$3=$E130,IF($AA130=1,$F130&amp;$AB130,$G130),IF(OR(AZ$3=$D130,AZ$3=$AC130,AZ$3=$AE130),"",IF(AZ$3=$AD130,$F130&amp;"R",AZ129))))</f>
        <v/>
      </c>
      <c r="BA130" s="11" t="str">
        <f aca="false">IF($P130=0,BA129,IF(BA$3=$E130,IF($AA130=1,$F130&amp;$AB130,$G130),IF(OR(BA$3=$D130,BA$3=$AC130,BA$3=$AE130),"",IF(BA$3=$AD130,$F130&amp;"R",BA129))))</f>
        <v/>
      </c>
      <c r="BB130" s="11" t="str">
        <f aca="false">IF($P130=0,BB129,IF(BB$3=$E130,IF($AA130=1,$F130&amp;$AB130,$G130),IF(OR(BB$3=$D130,BB$3=$AC130,BB$3=$AE130),"",IF(BB$3=$AD130,$F130&amp;"R",BB129))))</f>
        <v/>
      </c>
      <c r="BC130" s="11" t="str">
        <f aca="false">IF($P130=0,BC129,IF(BC$3=$E130,IF($AA130=1,$F130&amp;$AB130,$G130),IF(OR(BC$3=$D130,BC$3=$AC130,BC$3=$AE130),"",IF(BC$3=$AD130,$F130&amp;"R",BC129))))</f>
        <v/>
      </c>
      <c r="BD130" s="11" t="str">
        <f aca="false">IF($P130=0,BD129,IF(BD$3=$E130,IF($AA130=1,$F130&amp;$AB130,$G130),IF(OR(BD$3=$D130,BD$3=$AC130,BD$3=$AE130),"",IF(BD$3=$AD130,$F130&amp;"R",BD129))))</f>
        <v/>
      </c>
      <c r="BE130" s="11" t="str">
        <f aca="false">IF($P130=0,BE129,IF(BE$3=$E130,IF($AA130=1,$F130&amp;$AB130,$G130),IF(OR(BE$3=$D130,BE$3=$AC130,BE$3=$AE130),"",IF(BE$3=$AD130,$F130&amp;"R",BE129))))</f>
        <v/>
      </c>
      <c r="BF130" s="11" t="str">
        <f aca="false">IF($P130=0,BF129,IF(BF$3=$E130,IF($AA130=1,$F130&amp;$AB130,$G130),IF(OR(BF$3=$D130,BF$3=$AC130,BF$3=$AE130),"",IF(BF$3=$AD130,$F130&amp;"R",BF129))))</f>
        <v/>
      </c>
      <c r="BG130" s="11" t="str">
        <f aca="false">IF($P130=0,BG129,IF(BG$3=$E130,IF($AA130=1,$F130&amp;$AB130,$G130),IF(OR(BG$3=$D130,BG$3=$AC130,BG$3=$AE130),"",IF(BG$3=$AD130,$F130&amp;"R",BG129))))</f>
        <v/>
      </c>
      <c r="BH130" s="11" t="str">
        <f aca="false">IF($P130=0,BH129,IF(BH$3=$E130,IF($AA130=1,$F130&amp;$AB130,$G130),IF(OR(BH$3=$D130,BH$3=$AC130,BH$3=$AE130),"",IF(BH$3=$AD130,$F130&amp;"R",BH129))))</f>
        <v/>
      </c>
      <c r="BI130" s="11" t="str">
        <f aca="false">IF($P130=0,BI129,IF(BI$3=$E130,IF($AA130=1,$F130&amp;$AB130,$G130),IF(OR(BI$3=$D130,BI$3=$AC130,BI$3=$AE130),"",IF(BI$3=$AD130,$F130&amp;"R",BI129))))</f>
        <v/>
      </c>
      <c r="BJ130" s="11" t="str">
        <f aca="false">IF($P130=0,BJ129,IF(BJ$3=$E130,IF($AA130=1,$F130&amp;$AB130,$G130),IF(OR(BJ$3=$D130,BJ$3=$AC130,BJ$3=$AE130),"",IF(BJ$3=$AD130,$F130&amp;"R",BJ129))))</f>
        <v/>
      </c>
      <c r="BK130" s="11" t="str">
        <f aca="false">IF($P130=0,BK129,IF(BK$3=$E130,IF($AA130=1,$F130&amp;$AB130,$G130),IF(OR(BK$3=$D130,BK$3=$AC130,BK$3=$AE130),"",IF(BK$3=$AD130,$F130&amp;"R",BK129))))</f>
        <v/>
      </c>
      <c r="BL130" s="11" t="str">
        <f aca="false">IF($P130=0,BL129,IF(BL$3=$E130,IF($AA130=1,$F130&amp;$AB130,$G130),IF(OR(BL$3=$D130,BL$3=$AC130,BL$3=$AE130),"",IF(BL$3=$AD130,$F130&amp;"R",BL129))))</f>
        <v/>
      </c>
      <c r="BM130" s="11" t="str">
        <f aca="false">IF($P130=0,BM129,IF(BM$3=$E130,IF($AA130=1,$F130&amp;$AB130,$G130),IF(OR(BM$3=$D130,BM$3=$AC130,BM$3=$AE130),"",IF(BM$3=$AD130,$F130&amp;"R",BM129))))</f>
        <v/>
      </c>
      <c r="BN130" s="11" t="str">
        <f aca="false">IF($P130=0,BN129,IF(BN$3=$E130,IF($AA130=1,$F130&amp;$AB130,$G130),IF(OR(BN$3=$D130,BN$3=$AC130,BN$3=$AE130),"",IF(BN$3=$AD130,$F130&amp;"R",BN129))))</f>
        <v/>
      </c>
      <c r="BO130" s="11" t="str">
        <f aca="false">IF($P130=0,BO129,IF(BO$3=$E130,IF($AA130=1,$F130&amp;$AB130,$G130),IF(OR(BO$3=$D130,BO$3=$AC130,BO$3=$AE130),"",IF(BO$3=$AD130,$F130&amp;"R",BO129))))</f>
        <v/>
      </c>
      <c r="BP130" s="11" t="str">
        <f aca="false">IF($P130=0,BP129,IF(BP$3=$E130,IF($AA130=1,$F130&amp;$AB130,$G130),IF(OR(BP$3=$D130,BP$3=$AC130,BP$3=$AE130),"",IF(BP$3=$AD130,$F130&amp;"R",BP129))))</f>
        <v/>
      </c>
      <c r="BQ130" s="11" t="str">
        <f aca="false">IF($P130=0,BQ129,IF(BQ$3=$E130,IF($AA130=1,$F130&amp;$AB130,$G130),IF(OR(BQ$3=$D130,BQ$3=$AC130,BQ$3=$AE130),"",IF(BQ$3=$AD130,$F130&amp;"R",BQ129))))</f>
        <v/>
      </c>
      <c r="BR130" s="11" t="str">
        <f aca="false">IF($P130=0,BR129,IF(BR$3=$E130,IF($AA130=1,$F130&amp;$AB130,$G130),IF(OR(BR$3=$D130,BR$3=$AC130,BR$3=$AE130),"",IF(BR$3=$AD130,$F130&amp;"R",BR129))))</f>
        <v/>
      </c>
      <c r="BS130" s="11" t="str">
        <f aca="false">IF($P130=0,BS129,IF(BS$3=$E130,IF($AA130=1,$F130&amp;$AB130,$G130),IF(OR(BS$3=$D130,BS$3=$AC130,BS$3=$AE130),"",IF(BS$3=$AD130,$F130&amp;"R",BS129))))</f>
        <v/>
      </c>
      <c r="BT130" s="11" t="str">
        <f aca="false">IF($P130=0,BT129,IF(BT$3=$E130,IF($AA130=1,$F130&amp;$AB130,$G130),IF(OR(BT$3=$D130,BT$3=$AC130,BT$3=$AE130),"",IF(BT$3=$AD130,$F130&amp;"R",BT129))))</f>
        <v/>
      </c>
      <c r="BU130" s="11" t="str">
        <f aca="false">IF($P130=0,BU129,IF(BU$3=$E130,IF($AA130=1,$F130&amp;$AB130,$G130),IF(OR(BU$3=$D130,BU$3=$AC130,BU$3=$AE130),"",IF(BU$3=$AD130,$F130&amp;"R",BU129))))</f>
        <v/>
      </c>
      <c r="BV130" s="11" t="str">
        <f aca="false">IF($P130=0,BV129,IF(BV$3=$E130,IF($AA130=1,$F130&amp;$AB130,$G130),IF(OR(BV$3=$D130,BV$3=$AC130,BV$3=$AE130),"",IF(BV$3=$AD130,$F130&amp;"R",BV129))))</f>
        <v/>
      </c>
      <c r="BW130" s="11" t="str">
        <f aca="false">IF($P130=0,BW129,IF(BW$3=$E130,IF($AA130=1,$F130&amp;$AB130,$G130),IF(OR(BW$3=$D130,BW$3=$AC130,BW$3=$AE130),"",IF(BW$3=$AD130,$F130&amp;"R",BW129))))</f>
        <v/>
      </c>
      <c r="BX130" s="11" t="str">
        <f aca="false">IF($P130=0,BX129,IF(BX$3=$E130,IF($AA130=1,$F130&amp;$AB130,$G130),IF(OR(BX$3=$D130,BX$3=$AC130,BX$3=$AE130),"",IF(BX$3=$AD130,$F130&amp;"R",BX129))))</f>
        <v/>
      </c>
      <c r="BY130" s="11" t="str">
        <f aca="false">IF($P130=0,BY129,IF(BY$3=$E130,IF($AA130=1,$F130&amp;$AB130,$G130),IF(OR(BY$3=$D130,BY$3=$AC130,BY$3=$AE130),"",IF(BY$3=$AD130,$F130&amp;"R",BY129))))</f>
        <v/>
      </c>
      <c r="BZ130" s="11" t="str">
        <f aca="false">IF($P130=0,BZ129,IF(BZ$3=$E130,IF($AA130=1,$F130&amp;$AB130,$G130),IF(OR(BZ$3=$D130,BZ$3=$AC130,BZ$3=$AE130),"",IF(BZ$3=$AD130,$F130&amp;"R",BZ129))))</f>
        <v/>
      </c>
      <c r="CA130" s="11" t="str">
        <f aca="false">IF($P130=0,CA129,IF(CA$3=$E130,IF($AA130=1,$F130&amp;$AB130,$G130),IF(OR(CA$3=$D130,CA$3=$AC130,CA$3=$AE130),"",IF(CA$3=$AD130,$F130&amp;"R",CA129))))</f>
        <v/>
      </c>
      <c r="CB130" s="11" t="str">
        <f aca="false">IF($P130=0,CB129,IF(CB$3=$E130,IF($AA130=1,$F130&amp;$AB130,$G130),IF(OR(CB$3=$D130,CB$3=$AC130,CB$3=$AE130),"",IF(CB$3=$AD130,$F130&amp;"R",CB129))))</f>
        <v/>
      </c>
      <c r="CC130" s="11" t="str">
        <f aca="false">IF($P130=0,CC129,IF(CC$3=$E130,IF($AA130=1,$F130&amp;$AB130,$G130),IF(OR(CC$3=$D130,CC$3=$AC130,CC$3=$AE130),"",IF(CC$3=$AD130,$F130&amp;"R",CC129))))</f>
        <v/>
      </c>
      <c r="CD130" s="11" t="str">
        <f aca="false">IF($P130=0,CD129,IF(CD$3=$E130,IF($AA130=1,$F130&amp;$AB130,$G130),IF(OR(CD$3=$D130,CD$3=$AC130,CD$3=$AE130),"",IF(CD$3=$AD130,$F130&amp;"R",CD129))))</f>
        <v>bP</v>
      </c>
      <c r="CE130" s="11" t="str">
        <f aca="false">IF($P130=0,CE129,IF(CE$3=$E130,IF($AA130=1,$F130&amp;$AB130,$G130),IF(OR(CE$3=$D130,CE$3=$AC130,CE$3=$AE130),"",IF(CE$3=$AD130,$F130&amp;"R",CE129))))</f>
        <v>bP</v>
      </c>
      <c r="CF130" s="11" t="str">
        <f aca="false">IF($P130=0,CF129,IF(CF$3=$E130,IF($AA130=1,$F130&amp;$AB130,$G130),IF(OR(CF$3=$D130,CF$3=$AC130,CF$3=$AE130),"",IF(CF$3=$AD130,$F130&amp;"R",CF129))))</f>
        <v>bP</v>
      </c>
      <c r="CG130" s="11" t="str">
        <f aca="false">IF($P130=0,CG129,IF(CG$3=$E130,IF($AA130=1,$F130&amp;$AB130,$G130),IF(OR(CG$3=$D130,CG$3=$AC130,CG$3=$AE130),"",IF(CG$3=$AD130,$F130&amp;"R",CG129))))</f>
        <v>bP</v>
      </c>
      <c r="CH130" s="11" t="str">
        <f aca="false">IF($P130=0,CH129,IF(CH$3=$E130,IF($AA130=1,$F130&amp;$AB130,$G130),IF(OR(CH$3=$D130,CH$3=$AC130,CH$3=$AE130),"",IF(CH$3=$AD130,$F130&amp;"R",CH129))))</f>
        <v>bP</v>
      </c>
      <c r="CI130" s="11" t="str">
        <f aca="false">IF($P130=0,CI129,IF(CI$3=$E130,IF($AA130=1,$F130&amp;$AB130,$G130),IF(OR(CI$3=$D130,CI$3=$AC130,CI$3=$AE130),"",IF(CI$3=$AD130,$F130&amp;"R",CI129))))</f>
        <v>bP</v>
      </c>
      <c r="CJ130" s="11" t="str">
        <f aca="false">IF($P130=0,CJ129,IF(CJ$3=$E130,IF($AA130=1,$F130&amp;$AB130,$G130),IF(OR(CJ$3=$D130,CJ$3=$AC130,CJ$3=$AE130),"",IF(CJ$3=$AD130,$F130&amp;"R",CJ129))))</f>
        <v>bP</v>
      </c>
      <c r="CK130" s="11" t="str">
        <f aca="false">IF($P130=0,CK129,IF(CK$3=$E130,IF($AA130=1,$F130&amp;$AB130,$G130),IF(OR(CK$3=$D130,CK$3=$AC130,CK$3=$AE130),"",IF(CK$3=$AD130,$F130&amp;"R",CK129))))</f>
        <v>bP</v>
      </c>
      <c r="CL130" s="11" t="str">
        <f aca="false">IF($P130=0,CL129,IF(CL$3=$E130,IF($AA130=1,$F130&amp;$AB130,$G130),IF(OR(CL$3=$D130,CL$3=$AC130,CL$3=$AE130),"",IF(CL$3=$AD130,$F130&amp;"R",CL129))))</f>
        <v>bR</v>
      </c>
      <c r="CM130" s="11" t="str">
        <f aca="false">IF($P130=0,CM129,IF(CM$3=$E130,IF($AA130=1,$F130&amp;$AB130,$G130),IF(OR(CM$3=$D130,CM$3=$AC130,CM$3=$AE130),"",IF(CM$3=$AD130,$F130&amp;"R",CM129))))</f>
        <v>bN</v>
      </c>
      <c r="CN130" s="11" t="str">
        <f aca="false">IF($P130=0,CN129,IF(CN$3=$E130,IF($AA130=1,$F130&amp;$AB130,$G130),IF(OR(CN$3=$D130,CN$3=$AC130,CN$3=$AE130),"",IF(CN$3=$AD130,$F130&amp;"R",CN129))))</f>
        <v>bB</v>
      </c>
      <c r="CO130" s="11" t="str">
        <f aca="false">IF($P130=0,CO129,IF(CO$3=$E130,IF($AA130=1,$F130&amp;$AB130,$G130),IF(OR(CO$3=$D130,CO$3=$AC130,CO$3=$AE130),"",IF(CO$3=$AD130,$F130&amp;"R",CO129))))</f>
        <v>bQ</v>
      </c>
      <c r="CP130" s="11" t="str">
        <f aca="false">IF($P130=0,CP129,IF(CP$3=$E130,IF($AA130=1,$F130&amp;$AB130,$G130),IF(OR(CP$3=$D130,CP$3=$AC130,CP$3=$AE130),"",IF(CP$3=$AD130,$F130&amp;"R",CP129))))</f>
        <v>bK</v>
      </c>
      <c r="CQ130" s="11" t="str">
        <f aca="false">IF($P130=0,CQ129,IF(CQ$3=$E130,IF($AA130=1,$F130&amp;$AB130,$G130),IF(OR(CQ$3=$D130,CQ$3=$AC130,CQ$3=$AE130),"",IF(CQ$3=$AD130,$F130&amp;"R",CQ129))))</f>
        <v>bB</v>
      </c>
      <c r="CR130" s="11" t="str">
        <f aca="false">IF($P130=0,CR129,IF(CR$3=$E130,IF($AA130=1,$F130&amp;$AB130,$G130),IF(OR(CR$3=$D130,CR$3=$AC130,CR$3=$AE130),"",IF(CR$3=$AD130,$F130&amp;"R",CR129))))</f>
        <v>bN</v>
      </c>
      <c r="CS130" s="11" t="str">
        <f aca="false">IF($P130=0,CS129,IF(CS$3=$E130,IF($AA130=1,$F130&amp;$AB130,$G130),IF(OR(CS$3=$D130,CS$3=$AC130,CS$3=$AE130),"",IF(CS$3=$AD130,$F130&amp;"R",CS129))))</f>
        <v>bR</v>
      </c>
      <c r="CT130" s="11"/>
      <c r="CU130" s="11"/>
      <c r="CV130" s="11"/>
    </row>
    <row r="131" customFormat="false" ht="15" hidden="false" customHeight="false" outlineLevel="0" collapsed="false">
      <c r="A131" s="11" t="n">
        <v>126</v>
      </c>
      <c r="B131" s="11" t="str">
        <f aca="false">IF(Chess!$L$135="","",Chess!$L$135&amp;"")</f>
        <v/>
      </c>
      <c r="C131" s="11" t="str">
        <f aca="false">LOWER(SUBSTITUTE(SUBSTITUTE(SUBSTITUTE(SUBSTITUTE(TRIM($B131),"-",""),"=","")," ",""),"x",""))</f>
        <v/>
      </c>
      <c r="D131" s="11" t="n">
        <f aca="false">IF(LEN($C131)&lt;4,0,IFERROR(IF(AND(CODE(MID($C131,1,1))&gt;=97,CODE(MID($C131,1,1))&lt;=104,VALUE(MID($C131,2,1))&gt;=1,VALUE(MID($C131,2,1))&lt;=8),(VALUE(MID($C131,2,1))-1)*8+CODE(MID($C131,1,1))-96,0),0))</f>
        <v>0</v>
      </c>
      <c r="E131" s="11" t="n">
        <f aca="false">IF(LEN($C131)&lt;4,0,IFERROR(IF(AND(CODE(MID($C131,3,1))&gt;=97,CODE(MID($C131,3,1))&lt;=104,VALUE(MID($C131,4,1))&gt;=1,VALUE(MID($C131,4,1))&lt;=8),(VALUE(MID($C131,4,1))-1)*8+CODE(MID($C131,3,1))-96,0),0))</f>
        <v>0</v>
      </c>
      <c r="F131" s="11" t="str">
        <f aca="false">IF(MOD(SUM($P$5:$P130),2)=0,"w","b")</f>
        <v>w</v>
      </c>
      <c r="G131" s="11" t="str">
        <f aca="false">IF($D131=0,"",INDEX($AH130:$CS130,1,$D131)&amp;"")</f>
        <v/>
      </c>
      <c r="H131" s="11" t="str">
        <f aca="false">IF($E131=0,"",INDEX($AH130:$CS130,1,$E131)&amp;"")</f>
        <v/>
      </c>
      <c r="I131" s="11" t="n">
        <f aca="false">IF(OR($D131=0,$E131=0),0,MOD($E131-1,8)-MOD($D131-1,8))</f>
        <v>0</v>
      </c>
      <c r="J131" s="11" t="n">
        <f aca="false">IF(OR($D131=0,$E131=0),0,INT(($E131-1)/8)-INT(($D131-1)/8))</f>
        <v>0</v>
      </c>
      <c r="K131" s="11" t="str">
        <f aca="false">IF($G131="","",RIGHT($G131,1))</f>
        <v/>
      </c>
      <c r="L131" s="11" t="n">
        <f aca="false">IF(OR($D131=0,$E131=0),0,SUMPRODUCT(($AH$3:$CS$3&gt;MIN($D131,$E131))*($AH$3:$CS$3&lt;MAX($D131,$E131))*(MOD($AH$3:$CS$3-MIN($D131,$E131),MAX(1,ABS(SIGN($J131)*8+SIGN($I131))))=0)*($AH130:$CS130&lt;&gt;"")))</f>
        <v>0</v>
      </c>
      <c r="M131" s="11" t="n">
        <f aca="false">IF($K131&lt;&gt;"K",0,IFERROR(--AND($J131=0,ABS($I131)=2,$D131=IF($F131="w",5,61),IF($F131="w",$S130,$V130)=0,IF($I131=2,AND(IF($F131="w",$U130,$X130)=0,INDEX($AH130:$CS130,1,$D131+1)&amp;""="",INDEX($AH130:$CS130,1,$D131+2)&amp;""=""),AND(IF($F131="w",$T130,$W130)=0,INDEX($AH130:$CS130,1,$D131-1)&amp;""="",INDEX($AH130:$CS130,1,$D131-2)&amp;""="",INDEX($AH130:$CS130,1,$D131-3)&amp;""=""))),0))</f>
        <v>0</v>
      </c>
      <c r="N131" s="11" t="n">
        <f aca="false">IF($K131&lt;&gt;"P",0,IFERROR(--OR(AND($I131=0,$J131=IF($F131="w",1,-1),$H131=""),AND($I131=0,$J131=2*IF($F131="w",1,-1),$H131="",INT(($D131-1)/8)=IF($F131="w",1,6),INDEX($AH130:$CS130,1,MAX(1,MIN(64,$D131+8*IF($F131="w",1,-1))))&amp;""=""),AND(ABS($I131)=1,$J131=IF($F131="w",1,-1),$H131&lt;&gt;""),AND(ABS($I131)=1,$J131=IF($F131="w",1,-1),$H131="",$R130&gt;0,$E131=$R130)),0))</f>
        <v>0</v>
      </c>
      <c r="O131" s="11" t="n">
        <f aca="false">IF(OR($D131=0,$E131=0,$G131=""),0,IF($K131="N",--OR(AND(ABS($I131)=1,ABS($J131)=2),AND(ABS($I131)=2,ABS($J131)=1)),IF($K131="B",--AND(ABS($I131)=ABS($J131),$I131&lt;&gt;0,$L131=0),IF($K131="R",--AND(OR($I131=0,$J131=0),OR($I131&lt;&gt;0,$J131&lt;&gt;0),$L131=0),IF($K131="Q",--AND(OR(AND(ABS($I131)=ABS($J131),$I131&lt;&gt;0),AND(OR($I131=0,$J131=0),OR($I131&lt;&gt;0,$J131&lt;&gt;0))),$L131=0),IF($K131="K",--OR(MAX(ABS($I131),ABS($J131))=1,$M131=1),$N131))))))</f>
        <v>0</v>
      </c>
      <c r="P131" s="11" t="n">
        <f aca="false">IF($Q131="OK",1,0)</f>
        <v>0</v>
      </c>
      <c r="Q131" s="11" t="str">
        <f aca="false">IF($B131="","",IF(OR(COUNTIF($AH130:$CS130,"wK")=0,COUNTIF($AH130:$CS130,"bK")=0),"Game is over",IF(OR($D131=0,$E131=0),"Use the format e2e4",IF($G131="","No piece on that square",IF(LEFT($G131,1)&lt;&gt;$F131,"Not your piece ("&amp;IF($F131="w","White","Black")&amp;" to move)",IF($D131=$E131,"Piece must move",IF(AND($H131&lt;&gt;"",LEFT($H131,1)=$F131),"Cannot capture your own piece",IF($O131=0,"Illegal move for that piece (or path blocked)","OK"))))))))</f>
        <v/>
      </c>
      <c r="R131" s="11" t="n">
        <f aca="false">IF($P131=1,IF(AND($K131="P",ABS($J131)=2),($D131+$E131)/2,0),$R130)</f>
        <v>0</v>
      </c>
      <c r="S131" s="12" t="b">
        <f aca="false">--OR($S130=1,AND($P131=1,OR($D131=5,$E131=5)))</f>
        <v>0</v>
      </c>
      <c r="T131" s="12" t="b">
        <f aca="false">--OR($T130=1,AND($P131=1,OR($D131=1,$E131=1)))</f>
        <v>0</v>
      </c>
      <c r="U131" s="12" t="b">
        <f aca="false">--OR($U130=1,AND($P131=1,OR($D131=8,$E131=8)))</f>
        <v>0</v>
      </c>
      <c r="V131" s="12" t="b">
        <f aca="false">--OR($V130=1,AND($P131=1,OR($D131=61,$E131=61)))</f>
        <v>0</v>
      </c>
      <c r="W131" s="12" t="b">
        <f aca="false">--OR($W130=1,AND($P131=1,OR($D131=57,$E131=57)))</f>
        <v>0</v>
      </c>
      <c r="X131" s="12" t="b">
        <f aca="false">--OR($X130=1,AND($P131=1,OR($D131=64,$E131=64)))</f>
        <v>0</v>
      </c>
      <c r="Y131" s="12" t="b">
        <f aca="false">--AND($P131=1,$K131="K",ABS($I131)=2)</f>
        <v>0</v>
      </c>
      <c r="Z131" s="12" t="b">
        <f aca="false">--AND($P131=1,$K131="P",ABS($I131)=1,$H131="")</f>
        <v>0</v>
      </c>
      <c r="AA131" s="12" t="b">
        <f aca="false">--AND($P131=1,$K131="P",INT(($E131-1)/8)=IF($F131="w",7,0))</f>
        <v>0</v>
      </c>
      <c r="AB131" s="11" t="str">
        <f aca="false">IF(LEN($C131)&gt;=5,IF(ISNUMBER(FIND(MID($C131,5,1),"qrbn")),UPPER(MID($C131,5,1)),"Q"),"Q")</f>
        <v>Q</v>
      </c>
      <c r="AC131" s="11" t="n">
        <f aca="false">IF($Y131=1,IF($I131=2,$D131+3,$D131-4),0)</f>
        <v>0</v>
      </c>
      <c r="AD131" s="11" t="n">
        <f aca="false">IF($Y131=1,IF($I131=2,$D131+1,$D131-1),0)</f>
        <v>0</v>
      </c>
      <c r="AE131" s="11" t="n">
        <f aca="false">IF($Z131=1,$E131-8*IF($F131="w",1,-1),0)</f>
        <v>0</v>
      </c>
      <c r="AF131" s="11" t="str">
        <f aca="false">IF($B131="","",IF($P131=1,LOWER(INDEX($CV$2:$CV$13,MATCH($G131,$CU$2:$CU$13,0)))&amp;" "&amp;MID("abcdefgh",MOD($D131-1,8)+1,1)&amp;(INT(($D131-1)/8)+1)&amp;"→"&amp;MID("abcdefgh",MOD($E131-1,8)+1,1)&amp;(INT(($E131-1)/8)+1)&amp;IF(OR($H131&lt;&gt;"",$Z131=1)," ×","")&amp;IF($Y131=1," castles","")&amp;IF($Z131=1," e.p.","")&amp;IF($AA131=1," =" &amp;LOWER(INDEX($CV$2:$CV$13,MATCH($F131&amp;$AB131,$CU$2:$CU$13,0))),""),"X "&amp;$Q131))</f>
        <v/>
      </c>
      <c r="AG131" s="11"/>
      <c r="AH131" s="11" t="str">
        <f aca="false">IF($P131=0,AH130,IF(AH$3=$E131,IF($AA131=1,$F131&amp;$AB131,$G131),IF(OR(AH$3=$D131,AH$3=$AC131,AH$3=$AE131),"",IF(AH$3=$AD131,$F131&amp;"R",AH130))))</f>
        <v>wR</v>
      </c>
      <c r="AI131" s="11" t="str">
        <f aca="false">IF($P131=0,AI130,IF(AI$3=$E131,IF($AA131=1,$F131&amp;$AB131,$G131),IF(OR(AI$3=$D131,AI$3=$AC131,AI$3=$AE131),"",IF(AI$3=$AD131,$F131&amp;"R",AI130))))</f>
        <v>wN</v>
      </c>
      <c r="AJ131" s="11" t="str">
        <f aca="false">IF($P131=0,AJ130,IF(AJ$3=$E131,IF($AA131=1,$F131&amp;$AB131,$G131),IF(OR(AJ$3=$D131,AJ$3=$AC131,AJ$3=$AE131),"",IF(AJ$3=$AD131,$F131&amp;"R",AJ130))))</f>
        <v>wB</v>
      </c>
      <c r="AK131" s="11" t="str">
        <f aca="false">IF($P131=0,AK130,IF(AK$3=$E131,IF($AA131=1,$F131&amp;$AB131,$G131),IF(OR(AK$3=$D131,AK$3=$AC131,AK$3=$AE131),"",IF(AK$3=$AD131,$F131&amp;"R",AK130))))</f>
        <v>wQ</v>
      </c>
      <c r="AL131" s="11" t="str">
        <f aca="false">IF($P131=0,AL130,IF(AL$3=$E131,IF($AA131=1,$F131&amp;$AB131,$G131),IF(OR(AL$3=$D131,AL$3=$AC131,AL$3=$AE131),"",IF(AL$3=$AD131,$F131&amp;"R",AL130))))</f>
        <v>wK</v>
      </c>
      <c r="AM131" s="11" t="str">
        <f aca="false">IF($P131=0,AM130,IF(AM$3=$E131,IF($AA131=1,$F131&amp;$AB131,$G131),IF(OR(AM$3=$D131,AM$3=$AC131,AM$3=$AE131),"",IF(AM$3=$AD131,$F131&amp;"R",AM130))))</f>
        <v>wB</v>
      </c>
      <c r="AN131" s="11" t="str">
        <f aca="false">IF($P131=0,AN130,IF(AN$3=$E131,IF($AA131=1,$F131&amp;$AB131,$G131),IF(OR(AN$3=$D131,AN$3=$AC131,AN$3=$AE131),"",IF(AN$3=$AD131,$F131&amp;"R",AN130))))</f>
        <v>wN</v>
      </c>
      <c r="AO131" s="11" t="str">
        <f aca="false">IF($P131=0,AO130,IF(AO$3=$E131,IF($AA131=1,$F131&amp;$AB131,$G131),IF(OR(AO$3=$D131,AO$3=$AC131,AO$3=$AE131),"",IF(AO$3=$AD131,$F131&amp;"R",AO130))))</f>
        <v>wR</v>
      </c>
      <c r="AP131" s="11" t="str">
        <f aca="false">IF($P131=0,AP130,IF(AP$3=$E131,IF($AA131=1,$F131&amp;$AB131,$G131),IF(OR(AP$3=$D131,AP$3=$AC131,AP$3=$AE131),"",IF(AP$3=$AD131,$F131&amp;"R",AP130))))</f>
        <v>wP</v>
      </c>
      <c r="AQ131" s="11" t="str">
        <f aca="false">IF($P131=0,AQ130,IF(AQ$3=$E131,IF($AA131=1,$F131&amp;$AB131,$G131),IF(OR(AQ$3=$D131,AQ$3=$AC131,AQ$3=$AE131),"",IF(AQ$3=$AD131,$F131&amp;"R",AQ130))))</f>
        <v>wP</v>
      </c>
      <c r="AR131" s="11" t="str">
        <f aca="false">IF($P131=0,AR130,IF(AR$3=$E131,IF($AA131=1,$F131&amp;$AB131,$G131),IF(OR(AR$3=$D131,AR$3=$AC131,AR$3=$AE131),"",IF(AR$3=$AD131,$F131&amp;"R",AR130))))</f>
        <v>wP</v>
      </c>
      <c r="AS131" s="11" t="str">
        <f aca="false">IF($P131=0,AS130,IF(AS$3=$E131,IF($AA131=1,$F131&amp;$AB131,$G131),IF(OR(AS$3=$D131,AS$3=$AC131,AS$3=$AE131),"",IF(AS$3=$AD131,$F131&amp;"R",AS130))))</f>
        <v>wP</v>
      </c>
      <c r="AT131" s="11" t="str">
        <f aca="false">IF($P131=0,AT130,IF(AT$3=$E131,IF($AA131=1,$F131&amp;$AB131,$G131),IF(OR(AT$3=$D131,AT$3=$AC131,AT$3=$AE131),"",IF(AT$3=$AD131,$F131&amp;"R",AT130))))</f>
        <v>wP</v>
      </c>
      <c r="AU131" s="11" t="str">
        <f aca="false">IF($P131=0,AU130,IF(AU$3=$E131,IF($AA131=1,$F131&amp;$AB131,$G131),IF(OR(AU$3=$D131,AU$3=$AC131,AU$3=$AE131),"",IF(AU$3=$AD131,$F131&amp;"R",AU130))))</f>
        <v>wP</v>
      </c>
      <c r="AV131" s="11" t="str">
        <f aca="false">IF($P131=0,AV130,IF(AV$3=$E131,IF($AA131=1,$F131&amp;$AB131,$G131),IF(OR(AV$3=$D131,AV$3=$AC131,AV$3=$AE131),"",IF(AV$3=$AD131,$F131&amp;"R",AV130))))</f>
        <v>wP</v>
      </c>
      <c r="AW131" s="11" t="str">
        <f aca="false">IF($P131=0,AW130,IF(AW$3=$E131,IF($AA131=1,$F131&amp;$AB131,$G131),IF(OR(AW$3=$D131,AW$3=$AC131,AW$3=$AE131),"",IF(AW$3=$AD131,$F131&amp;"R",AW130))))</f>
        <v>wP</v>
      </c>
      <c r="AX131" s="11" t="str">
        <f aca="false">IF($P131=0,AX130,IF(AX$3=$E131,IF($AA131=1,$F131&amp;$AB131,$G131),IF(OR(AX$3=$D131,AX$3=$AC131,AX$3=$AE131),"",IF(AX$3=$AD131,$F131&amp;"R",AX130))))</f>
        <v/>
      </c>
      <c r="AY131" s="11" t="str">
        <f aca="false">IF($P131=0,AY130,IF(AY$3=$E131,IF($AA131=1,$F131&amp;$AB131,$G131),IF(OR(AY$3=$D131,AY$3=$AC131,AY$3=$AE131),"",IF(AY$3=$AD131,$F131&amp;"R",AY130))))</f>
        <v/>
      </c>
      <c r="AZ131" s="11" t="str">
        <f aca="false">IF($P131=0,AZ130,IF(AZ$3=$E131,IF($AA131=1,$F131&amp;$AB131,$G131),IF(OR(AZ$3=$D131,AZ$3=$AC131,AZ$3=$AE131),"",IF(AZ$3=$AD131,$F131&amp;"R",AZ130))))</f>
        <v/>
      </c>
      <c r="BA131" s="11" t="str">
        <f aca="false">IF($P131=0,BA130,IF(BA$3=$E131,IF($AA131=1,$F131&amp;$AB131,$G131),IF(OR(BA$3=$D131,BA$3=$AC131,BA$3=$AE131),"",IF(BA$3=$AD131,$F131&amp;"R",BA130))))</f>
        <v/>
      </c>
      <c r="BB131" s="11" t="str">
        <f aca="false">IF($P131=0,BB130,IF(BB$3=$E131,IF($AA131=1,$F131&amp;$AB131,$G131),IF(OR(BB$3=$D131,BB$3=$AC131,BB$3=$AE131),"",IF(BB$3=$AD131,$F131&amp;"R",BB130))))</f>
        <v/>
      </c>
      <c r="BC131" s="11" t="str">
        <f aca="false">IF($P131=0,BC130,IF(BC$3=$E131,IF($AA131=1,$F131&amp;$AB131,$G131),IF(OR(BC$3=$D131,BC$3=$AC131,BC$3=$AE131),"",IF(BC$3=$AD131,$F131&amp;"R",BC130))))</f>
        <v/>
      </c>
      <c r="BD131" s="11" t="str">
        <f aca="false">IF($P131=0,BD130,IF(BD$3=$E131,IF($AA131=1,$F131&amp;$AB131,$G131),IF(OR(BD$3=$D131,BD$3=$AC131,BD$3=$AE131),"",IF(BD$3=$AD131,$F131&amp;"R",BD130))))</f>
        <v/>
      </c>
      <c r="BE131" s="11" t="str">
        <f aca="false">IF($P131=0,BE130,IF(BE$3=$E131,IF($AA131=1,$F131&amp;$AB131,$G131),IF(OR(BE$3=$D131,BE$3=$AC131,BE$3=$AE131),"",IF(BE$3=$AD131,$F131&amp;"R",BE130))))</f>
        <v/>
      </c>
      <c r="BF131" s="11" t="str">
        <f aca="false">IF($P131=0,BF130,IF(BF$3=$E131,IF($AA131=1,$F131&amp;$AB131,$G131),IF(OR(BF$3=$D131,BF$3=$AC131,BF$3=$AE131),"",IF(BF$3=$AD131,$F131&amp;"R",BF130))))</f>
        <v/>
      </c>
      <c r="BG131" s="11" t="str">
        <f aca="false">IF($P131=0,BG130,IF(BG$3=$E131,IF($AA131=1,$F131&amp;$AB131,$G131),IF(OR(BG$3=$D131,BG$3=$AC131,BG$3=$AE131),"",IF(BG$3=$AD131,$F131&amp;"R",BG130))))</f>
        <v/>
      </c>
      <c r="BH131" s="11" t="str">
        <f aca="false">IF($P131=0,BH130,IF(BH$3=$E131,IF($AA131=1,$F131&amp;$AB131,$G131),IF(OR(BH$3=$D131,BH$3=$AC131,BH$3=$AE131),"",IF(BH$3=$AD131,$F131&amp;"R",BH130))))</f>
        <v/>
      </c>
      <c r="BI131" s="11" t="str">
        <f aca="false">IF($P131=0,BI130,IF(BI$3=$E131,IF($AA131=1,$F131&amp;$AB131,$G131),IF(OR(BI$3=$D131,BI$3=$AC131,BI$3=$AE131),"",IF(BI$3=$AD131,$F131&amp;"R",BI130))))</f>
        <v/>
      </c>
      <c r="BJ131" s="11" t="str">
        <f aca="false">IF($P131=0,BJ130,IF(BJ$3=$E131,IF($AA131=1,$F131&amp;$AB131,$G131),IF(OR(BJ$3=$D131,BJ$3=$AC131,BJ$3=$AE131),"",IF(BJ$3=$AD131,$F131&amp;"R",BJ130))))</f>
        <v/>
      </c>
      <c r="BK131" s="11" t="str">
        <f aca="false">IF($P131=0,BK130,IF(BK$3=$E131,IF($AA131=1,$F131&amp;$AB131,$G131),IF(OR(BK$3=$D131,BK$3=$AC131,BK$3=$AE131),"",IF(BK$3=$AD131,$F131&amp;"R",BK130))))</f>
        <v/>
      </c>
      <c r="BL131" s="11" t="str">
        <f aca="false">IF($P131=0,BL130,IF(BL$3=$E131,IF($AA131=1,$F131&amp;$AB131,$G131),IF(OR(BL$3=$D131,BL$3=$AC131,BL$3=$AE131),"",IF(BL$3=$AD131,$F131&amp;"R",BL130))))</f>
        <v/>
      </c>
      <c r="BM131" s="11" t="str">
        <f aca="false">IF($P131=0,BM130,IF(BM$3=$E131,IF($AA131=1,$F131&amp;$AB131,$G131),IF(OR(BM$3=$D131,BM$3=$AC131,BM$3=$AE131),"",IF(BM$3=$AD131,$F131&amp;"R",BM130))))</f>
        <v/>
      </c>
      <c r="BN131" s="11" t="str">
        <f aca="false">IF($P131=0,BN130,IF(BN$3=$E131,IF($AA131=1,$F131&amp;$AB131,$G131),IF(OR(BN$3=$D131,BN$3=$AC131,BN$3=$AE131),"",IF(BN$3=$AD131,$F131&amp;"R",BN130))))</f>
        <v/>
      </c>
      <c r="BO131" s="11" t="str">
        <f aca="false">IF($P131=0,BO130,IF(BO$3=$E131,IF($AA131=1,$F131&amp;$AB131,$G131),IF(OR(BO$3=$D131,BO$3=$AC131,BO$3=$AE131),"",IF(BO$3=$AD131,$F131&amp;"R",BO130))))</f>
        <v/>
      </c>
      <c r="BP131" s="11" t="str">
        <f aca="false">IF($P131=0,BP130,IF(BP$3=$E131,IF($AA131=1,$F131&amp;$AB131,$G131),IF(OR(BP$3=$D131,BP$3=$AC131,BP$3=$AE131),"",IF(BP$3=$AD131,$F131&amp;"R",BP130))))</f>
        <v/>
      </c>
      <c r="BQ131" s="11" t="str">
        <f aca="false">IF($P131=0,BQ130,IF(BQ$3=$E131,IF($AA131=1,$F131&amp;$AB131,$G131),IF(OR(BQ$3=$D131,BQ$3=$AC131,BQ$3=$AE131),"",IF(BQ$3=$AD131,$F131&amp;"R",BQ130))))</f>
        <v/>
      </c>
      <c r="BR131" s="11" t="str">
        <f aca="false">IF($P131=0,BR130,IF(BR$3=$E131,IF($AA131=1,$F131&amp;$AB131,$G131),IF(OR(BR$3=$D131,BR$3=$AC131,BR$3=$AE131),"",IF(BR$3=$AD131,$F131&amp;"R",BR130))))</f>
        <v/>
      </c>
      <c r="BS131" s="11" t="str">
        <f aca="false">IF($P131=0,BS130,IF(BS$3=$E131,IF($AA131=1,$F131&amp;$AB131,$G131),IF(OR(BS$3=$D131,BS$3=$AC131,BS$3=$AE131),"",IF(BS$3=$AD131,$F131&amp;"R",BS130))))</f>
        <v/>
      </c>
      <c r="BT131" s="11" t="str">
        <f aca="false">IF($P131=0,BT130,IF(BT$3=$E131,IF($AA131=1,$F131&amp;$AB131,$G131),IF(OR(BT$3=$D131,BT$3=$AC131,BT$3=$AE131),"",IF(BT$3=$AD131,$F131&amp;"R",BT130))))</f>
        <v/>
      </c>
      <c r="BU131" s="11" t="str">
        <f aca="false">IF($P131=0,BU130,IF(BU$3=$E131,IF($AA131=1,$F131&amp;$AB131,$G131),IF(OR(BU$3=$D131,BU$3=$AC131,BU$3=$AE131),"",IF(BU$3=$AD131,$F131&amp;"R",BU130))))</f>
        <v/>
      </c>
      <c r="BV131" s="11" t="str">
        <f aca="false">IF($P131=0,BV130,IF(BV$3=$E131,IF($AA131=1,$F131&amp;$AB131,$G131),IF(OR(BV$3=$D131,BV$3=$AC131,BV$3=$AE131),"",IF(BV$3=$AD131,$F131&amp;"R",BV130))))</f>
        <v/>
      </c>
      <c r="BW131" s="11" t="str">
        <f aca="false">IF($P131=0,BW130,IF(BW$3=$E131,IF($AA131=1,$F131&amp;$AB131,$G131),IF(OR(BW$3=$D131,BW$3=$AC131,BW$3=$AE131),"",IF(BW$3=$AD131,$F131&amp;"R",BW130))))</f>
        <v/>
      </c>
      <c r="BX131" s="11" t="str">
        <f aca="false">IF($P131=0,BX130,IF(BX$3=$E131,IF($AA131=1,$F131&amp;$AB131,$G131),IF(OR(BX$3=$D131,BX$3=$AC131,BX$3=$AE131),"",IF(BX$3=$AD131,$F131&amp;"R",BX130))))</f>
        <v/>
      </c>
      <c r="BY131" s="11" t="str">
        <f aca="false">IF($P131=0,BY130,IF(BY$3=$E131,IF($AA131=1,$F131&amp;$AB131,$G131),IF(OR(BY$3=$D131,BY$3=$AC131,BY$3=$AE131),"",IF(BY$3=$AD131,$F131&amp;"R",BY130))))</f>
        <v/>
      </c>
      <c r="BZ131" s="11" t="str">
        <f aca="false">IF($P131=0,BZ130,IF(BZ$3=$E131,IF($AA131=1,$F131&amp;$AB131,$G131),IF(OR(BZ$3=$D131,BZ$3=$AC131,BZ$3=$AE131),"",IF(BZ$3=$AD131,$F131&amp;"R",BZ130))))</f>
        <v/>
      </c>
      <c r="CA131" s="11" t="str">
        <f aca="false">IF($P131=0,CA130,IF(CA$3=$E131,IF($AA131=1,$F131&amp;$AB131,$G131),IF(OR(CA$3=$D131,CA$3=$AC131,CA$3=$AE131),"",IF(CA$3=$AD131,$F131&amp;"R",CA130))))</f>
        <v/>
      </c>
      <c r="CB131" s="11" t="str">
        <f aca="false">IF($P131=0,CB130,IF(CB$3=$E131,IF($AA131=1,$F131&amp;$AB131,$G131),IF(OR(CB$3=$D131,CB$3=$AC131,CB$3=$AE131),"",IF(CB$3=$AD131,$F131&amp;"R",CB130))))</f>
        <v/>
      </c>
      <c r="CC131" s="11" t="str">
        <f aca="false">IF($P131=0,CC130,IF(CC$3=$E131,IF($AA131=1,$F131&amp;$AB131,$G131),IF(OR(CC$3=$D131,CC$3=$AC131,CC$3=$AE131),"",IF(CC$3=$AD131,$F131&amp;"R",CC130))))</f>
        <v/>
      </c>
      <c r="CD131" s="11" t="str">
        <f aca="false">IF($P131=0,CD130,IF(CD$3=$E131,IF($AA131=1,$F131&amp;$AB131,$G131),IF(OR(CD$3=$D131,CD$3=$AC131,CD$3=$AE131),"",IF(CD$3=$AD131,$F131&amp;"R",CD130))))</f>
        <v>bP</v>
      </c>
      <c r="CE131" s="11" t="str">
        <f aca="false">IF($P131=0,CE130,IF(CE$3=$E131,IF($AA131=1,$F131&amp;$AB131,$G131),IF(OR(CE$3=$D131,CE$3=$AC131,CE$3=$AE131),"",IF(CE$3=$AD131,$F131&amp;"R",CE130))))</f>
        <v>bP</v>
      </c>
      <c r="CF131" s="11" t="str">
        <f aca="false">IF($P131=0,CF130,IF(CF$3=$E131,IF($AA131=1,$F131&amp;$AB131,$G131),IF(OR(CF$3=$D131,CF$3=$AC131,CF$3=$AE131),"",IF(CF$3=$AD131,$F131&amp;"R",CF130))))</f>
        <v>bP</v>
      </c>
      <c r="CG131" s="11" t="str">
        <f aca="false">IF($P131=0,CG130,IF(CG$3=$E131,IF($AA131=1,$F131&amp;$AB131,$G131),IF(OR(CG$3=$D131,CG$3=$AC131,CG$3=$AE131),"",IF(CG$3=$AD131,$F131&amp;"R",CG130))))</f>
        <v>bP</v>
      </c>
      <c r="CH131" s="11" t="str">
        <f aca="false">IF($P131=0,CH130,IF(CH$3=$E131,IF($AA131=1,$F131&amp;$AB131,$G131),IF(OR(CH$3=$D131,CH$3=$AC131,CH$3=$AE131),"",IF(CH$3=$AD131,$F131&amp;"R",CH130))))</f>
        <v>bP</v>
      </c>
      <c r="CI131" s="11" t="str">
        <f aca="false">IF($P131=0,CI130,IF(CI$3=$E131,IF($AA131=1,$F131&amp;$AB131,$G131),IF(OR(CI$3=$D131,CI$3=$AC131,CI$3=$AE131),"",IF(CI$3=$AD131,$F131&amp;"R",CI130))))</f>
        <v>bP</v>
      </c>
      <c r="CJ131" s="11" t="str">
        <f aca="false">IF($P131=0,CJ130,IF(CJ$3=$E131,IF($AA131=1,$F131&amp;$AB131,$G131),IF(OR(CJ$3=$D131,CJ$3=$AC131,CJ$3=$AE131),"",IF(CJ$3=$AD131,$F131&amp;"R",CJ130))))</f>
        <v>bP</v>
      </c>
      <c r="CK131" s="11" t="str">
        <f aca="false">IF($P131=0,CK130,IF(CK$3=$E131,IF($AA131=1,$F131&amp;$AB131,$G131),IF(OR(CK$3=$D131,CK$3=$AC131,CK$3=$AE131),"",IF(CK$3=$AD131,$F131&amp;"R",CK130))))</f>
        <v>bP</v>
      </c>
      <c r="CL131" s="11" t="str">
        <f aca="false">IF($P131=0,CL130,IF(CL$3=$E131,IF($AA131=1,$F131&amp;$AB131,$G131),IF(OR(CL$3=$D131,CL$3=$AC131,CL$3=$AE131),"",IF(CL$3=$AD131,$F131&amp;"R",CL130))))</f>
        <v>bR</v>
      </c>
      <c r="CM131" s="11" t="str">
        <f aca="false">IF($P131=0,CM130,IF(CM$3=$E131,IF($AA131=1,$F131&amp;$AB131,$G131),IF(OR(CM$3=$D131,CM$3=$AC131,CM$3=$AE131),"",IF(CM$3=$AD131,$F131&amp;"R",CM130))))</f>
        <v>bN</v>
      </c>
      <c r="CN131" s="11" t="str">
        <f aca="false">IF($P131=0,CN130,IF(CN$3=$E131,IF($AA131=1,$F131&amp;$AB131,$G131),IF(OR(CN$3=$D131,CN$3=$AC131,CN$3=$AE131),"",IF(CN$3=$AD131,$F131&amp;"R",CN130))))</f>
        <v>bB</v>
      </c>
      <c r="CO131" s="11" t="str">
        <f aca="false">IF($P131=0,CO130,IF(CO$3=$E131,IF($AA131=1,$F131&amp;$AB131,$G131),IF(OR(CO$3=$D131,CO$3=$AC131,CO$3=$AE131),"",IF(CO$3=$AD131,$F131&amp;"R",CO130))))</f>
        <v>bQ</v>
      </c>
      <c r="CP131" s="11" t="str">
        <f aca="false">IF($P131=0,CP130,IF(CP$3=$E131,IF($AA131=1,$F131&amp;$AB131,$G131),IF(OR(CP$3=$D131,CP$3=$AC131,CP$3=$AE131),"",IF(CP$3=$AD131,$F131&amp;"R",CP130))))</f>
        <v>bK</v>
      </c>
      <c r="CQ131" s="11" t="str">
        <f aca="false">IF($P131=0,CQ130,IF(CQ$3=$E131,IF($AA131=1,$F131&amp;$AB131,$G131),IF(OR(CQ$3=$D131,CQ$3=$AC131,CQ$3=$AE131),"",IF(CQ$3=$AD131,$F131&amp;"R",CQ130))))</f>
        <v>bB</v>
      </c>
      <c r="CR131" s="11" t="str">
        <f aca="false">IF($P131=0,CR130,IF(CR$3=$E131,IF($AA131=1,$F131&amp;$AB131,$G131),IF(OR(CR$3=$D131,CR$3=$AC131,CR$3=$AE131),"",IF(CR$3=$AD131,$F131&amp;"R",CR130))))</f>
        <v>bN</v>
      </c>
      <c r="CS131" s="11" t="str">
        <f aca="false">IF($P131=0,CS130,IF(CS$3=$E131,IF($AA131=1,$F131&amp;$AB131,$G131),IF(OR(CS$3=$D131,CS$3=$AC131,CS$3=$AE131),"",IF(CS$3=$AD131,$F131&amp;"R",CS130))))</f>
        <v>bR</v>
      </c>
      <c r="CT131" s="11"/>
      <c r="CU131" s="11"/>
      <c r="CV131" s="11"/>
    </row>
    <row r="132" customFormat="false" ht="15" hidden="false" customHeight="false" outlineLevel="0" collapsed="false">
      <c r="A132" s="11" t="n">
        <v>127</v>
      </c>
      <c r="B132" s="11" t="str">
        <f aca="false">IF(Chess!$L$136="","",Chess!$L$136&amp;"")</f>
        <v/>
      </c>
      <c r="C132" s="11" t="str">
        <f aca="false">LOWER(SUBSTITUTE(SUBSTITUTE(SUBSTITUTE(SUBSTITUTE(TRIM($B132),"-",""),"=","")," ",""),"x",""))</f>
        <v/>
      </c>
      <c r="D132" s="11" t="n">
        <f aca="false">IF(LEN($C132)&lt;4,0,IFERROR(IF(AND(CODE(MID($C132,1,1))&gt;=97,CODE(MID($C132,1,1))&lt;=104,VALUE(MID($C132,2,1))&gt;=1,VALUE(MID($C132,2,1))&lt;=8),(VALUE(MID($C132,2,1))-1)*8+CODE(MID($C132,1,1))-96,0),0))</f>
        <v>0</v>
      </c>
      <c r="E132" s="11" t="n">
        <f aca="false">IF(LEN($C132)&lt;4,0,IFERROR(IF(AND(CODE(MID($C132,3,1))&gt;=97,CODE(MID($C132,3,1))&lt;=104,VALUE(MID($C132,4,1))&gt;=1,VALUE(MID($C132,4,1))&lt;=8),(VALUE(MID($C132,4,1))-1)*8+CODE(MID($C132,3,1))-96,0),0))</f>
        <v>0</v>
      </c>
      <c r="F132" s="11" t="str">
        <f aca="false">IF(MOD(SUM($P$5:$P131),2)=0,"w","b")</f>
        <v>w</v>
      </c>
      <c r="G132" s="11" t="str">
        <f aca="false">IF($D132=0,"",INDEX($AH131:$CS131,1,$D132)&amp;"")</f>
        <v/>
      </c>
      <c r="H132" s="11" t="str">
        <f aca="false">IF($E132=0,"",INDEX($AH131:$CS131,1,$E132)&amp;"")</f>
        <v/>
      </c>
      <c r="I132" s="11" t="n">
        <f aca="false">IF(OR($D132=0,$E132=0),0,MOD($E132-1,8)-MOD($D132-1,8))</f>
        <v>0</v>
      </c>
      <c r="J132" s="11" t="n">
        <f aca="false">IF(OR($D132=0,$E132=0),0,INT(($E132-1)/8)-INT(($D132-1)/8))</f>
        <v>0</v>
      </c>
      <c r="K132" s="11" t="str">
        <f aca="false">IF($G132="","",RIGHT($G132,1))</f>
        <v/>
      </c>
      <c r="L132" s="11" t="n">
        <f aca="false">IF(OR($D132=0,$E132=0),0,SUMPRODUCT(($AH$3:$CS$3&gt;MIN($D132,$E132))*($AH$3:$CS$3&lt;MAX($D132,$E132))*(MOD($AH$3:$CS$3-MIN($D132,$E132),MAX(1,ABS(SIGN($J132)*8+SIGN($I132))))=0)*($AH131:$CS131&lt;&gt;"")))</f>
        <v>0</v>
      </c>
      <c r="M132" s="11" t="n">
        <f aca="false">IF($K132&lt;&gt;"K",0,IFERROR(--AND($J132=0,ABS($I132)=2,$D132=IF($F132="w",5,61),IF($F132="w",$S131,$V131)=0,IF($I132=2,AND(IF($F132="w",$U131,$X131)=0,INDEX($AH131:$CS131,1,$D132+1)&amp;""="",INDEX($AH131:$CS131,1,$D132+2)&amp;""=""),AND(IF($F132="w",$T131,$W131)=0,INDEX($AH131:$CS131,1,$D132-1)&amp;""="",INDEX($AH131:$CS131,1,$D132-2)&amp;""="",INDEX($AH131:$CS131,1,$D132-3)&amp;""=""))),0))</f>
        <v>0</v>
      </c>
      <c r="N132" s="11" t="n">
        <f aca="false">IF($K132&lt;&gt;"P",0,IFERROR(--OR(AND($I132=0,$J132=IF($F132="w",1,-1),$H132=""),AND($I132=0,$J132=2*IF($F132="w",1,-1),$H132="",INT(($D132-1)/8)=IF($F132="w",1,6),INDEX($AH131:$CS131,1,MAX(1,MIN(64,$D132+8*IF($F132="w",1,-1))))&amp;""=""),AND(ABS($I132)=1,$J132=IF($F132="w",1,-1),$H132&lt;&gt;""),AND(ABS($I132)=1,$J132=IF($F132="w",1,-1),$H132="",$R131&gt;0,$E132=$R131)),0))</f>
        <v>0</v>
      </c>
      <c r="O132" s="11" t="n">
        <f aca="false">IF(OR($D132=0,$E132=0,$G132=""),0,IF($K132="N",--OR(AND(ABS($I132)=1,ABS($J132)=2),AND(ABS($I132)=2,ABS($J132)=1)),IF($K132="B",--AND(ABS($I132)=ABS($J132),$I132&lt;&gt;0,$L132=0),IF($K132="R",--AND(OR($I132=0,$J132=0),OR($I132&lt;&gt;0,$J132&lt;&gt;0),$L132=0),IF($K132="Q",--AND(OR(AND(ABS($I132)=ABS($J132),$I132&lt;&gt;0),AND(OR($I132=0,$J132=0),OR($I132&lt;&gt;0,$J132&lt;&gt;0))),$L132=0),IF($K132="K",--OR(MAX(ABS($I132),ABS($J132))=1,$M132=1),$N132))))))</f>
        <v>0</v>
      </c>
      <c r="P132" s="11" t="n">
        <f aca="false">IF($Q132="OK",1,0)</f>
        <v>0</v>
      </c>
      <c r="Q132" s="11" t="str">
        <f aca="false">IF($B132="","",IF(OR(COUNTIF($AH131:$CS131,"wK")=0,COUNTIF($AH131:$CS131,"bK")=0),"Game is over",IF(OR($D132=0,$E132=0),"Use the format e2e4",IF($G132="","No piece on that square",IF(LEFT($G132,1)&lt;&gt;$F132,"Not your piece ("&amp;IF($F132="w","White","Black")&amp;" to move)",IF($D132=$E132,"Piece must move",IF(AND($H132&lt;&gt;"",LEFT($H132,1)=$F132),"Cannot capture your own piece",IF($O132=0,"Illegal move for that piece (or path blocked)","OK"))))))))</f>
        <v/>
      </c>
      <c r="R132" s="11" t="n">
        <f aca="false">IF($P132=1,IF(AND($K132="P",ABS($J132)=2),($D132+$E132)/2,0),$R131)</f>
        <v>0</v>
      </c>
      <c r="S132" s="12" t="b">
        <f aca="false">--OR($S131=1,AND($P132=1,OR($D132=5,$E132=5)))</f>
        <v>0</v>
      </c>
      <c r="T132" s="12" t="b">
        <f aca="false">--OR($T131=1,AND($P132=1,OR($D132=1,$E132=1)))</f>
        <v>0</v>
      </c>
      <c r="U132" s="12" t="b">
        <f aca="false">--OR($U131=1,AND($P132=1,OR($D132=8,$E132=8)))</f>
        <v>0</v>
      </c>
      <c r="V132" s="12" t="b">
        <f aca="false">--OR($V131=1,AND($P132=1,OR($D132=61,$E132=61)))</f>
        <v>0</v>
      </c>
      <c r="W132" s="12" t="b">
        <f aca="false">--OR($W131=1,AND($P132=1,OR($D132=57,$E132=57)))</f>
        <v>0</v>
      </c>
      <c r="X132" s="12" t="b">
        <f aca="false">--OR($X131=1,AND($P132=1,OR($D132=64,$E132=64)))</f>
        <v>0</v>
      </c>
      <c r="Y132" s="12" t="b">
        <f aca="false">--AND($P132=1,$K132="K",ABS($I132)=2)</f>
        <v>0</v>
      </c>
      <c r="Z132" s="12" t="b">
        <f aca="false">--AND($P132=1,$K132="P",ABS($I132)=1,$H132="")</f>
        <v>0</v>
      </c>
      <c r="AA132" s="12" t="b">
        <f aca="false">--AND($P132=1,$K132="P",INT(($E132-1)/8)=IF($F132="w",7,0))</f>
        <v>0</v>
      </c>
      <c r="AB132" s="11" t="str">
        <f aca="false">IF(LEN($C132)&gt;=5,IF(ISNUMBER(FIND(MID($C132,5,1),"qrbn")),UPPER(MID($C132,5,1)),"Q"),"Q")</f>
        <v>Q</v>
      </c>
      <c r="AC132" s="11" t="n">
        <f aca="false">IF($Y132=1,IF($I132=2,$D132+3,$D132-4),0)</f>
        <v>0</v>
      </c>
      <c r="AD132" s="11" t="n">
        <f aca="false">IF($Y132=1,IF($I132=2,$D132+1,$D132-1),0)</f>
        <v>0</v>
      </c>
      <c r="AE132" s="11" t="n">
        <f aca="false">IF($Z132=1,$E132-8*IF($F132="w",1,-1),0)</f>
        <v>0</v>
      </c>
      <c r="AF132" s="11" t="str">
        <f aca="false">IF($B132="","",IF($P132=1,LOWER(INDEX($CV$2:$CV$13,MATCH($G132,$CU$2:$CU$13,0)))&amp;" "&amp;MID("abcdefgh",MOD($D132-1,8)+1,1)&amp;(INT(($D132-1)/8)+1)&amp;"→"&amp;MID("abcdefgh",MOD($E132-1,8)+1,1)&amp;(INT(($E132-1)/8)+1)&amp;IF(OR($H132&lt;&gt;"",$Z132=1)," ×","")&amp;IF($Y132=1," castles","")&amp;IF($Z132=1," e.p.","")&amp;IF($AA132=1," =" &amp;LOWER(INDEX($CV$2:$CV$13,MATCH($F132&amp;$AB132,$CU$2:$CU$13,0))),""),"X "&amp;$Q132))</f>
        <v/>
      </c>
      <c r="AG132" s="11"/>
      <c r="AH132" s="11" t="str">
        <f aca="false">IF($P132=0,AH131,IF(AH$3=$E132,IF($AA132=1,$F132&amp;$AB132,$G132),IF(OR(AH$3=$D132,AH$3=$AC132,AH$3=$AE132),"",IF(AH$3=$AD132,$F132&amp;"R",AH131))))</f>
        <v>wR</v>
      </c>
      <c r="AI132" s="11" t="str">
        <f aca="false">IF($P132=0,AI131,IF(AI$3=$E132,IF($AA132=1,$F132&amp;$AB132,$G132),IF(OR(AI$3=$D132,AI$3=$AC132,AI$3=$AE132),"",IF(AI$3=$AD132,$F132&amp;"R",AI131))))</f>
        <v>wN</v>
      </c>
      <c r="AJ132" s="11" t="str">
        <f aca="false">IF($P132=0,AJ131,IF(AJ$3=$E132,IF($AA132=1,$F132&amp;$AB132,$G132),IF(OR(AJ$3=$D132,AJ$3=$AC132,AJ$3=$AE132),"",IF(AJ$3=$AD132,$F132&amp;"R",AJ131))))</f>
        <v>wB</v>
      </c>
      <c r="AK132" s="11" t="str">
        <f aca="false">IF($P132=0,AK131,IF(AK$3=$E132,IF($AA132=1,$F132&amp;$AB132,$G132),IF(OR(AK$3=$D132,AK$3=$AC132,AK$3=$AE132),"",IF(AK$3=$AD132,$F132&amp;"R",AK131))))</f>
        <v>wQ</v>
      </c>
      <c r="AL132" s="11" t="str">
        <f aca="false">IF($P132=0,AL131,IF(AL$3=$E132,IF($AA132=1,$F132&amp;$AB132,$G132),IF(OR(AL$3=$D132,AL$3=$AC132,AL$3=$AE132),"",IF(AL$3=$AD132,$F132&amp;"R",AL131))))</f>
        <v>wK</v>
      </c>
      <c r="AM132" s="11" t="str">
        <f aca="false">IF($P132=0,AM131,IF(AM$3=$E132,IF($AA132=1,$F132&amp;$AB132,$G132),IF(OR(AM$3=$D132,AM$3=$AC132,AM$3=$AE132),"",IF(AM$3=$AD132,$F132&amp;"R",AM131))))</f>
        <v>wB</v>
      </c>
      <c r="AN132" s="11" t="str">
        <f aca="false">IF($P132=0,AN131,IF(AN$3=$E132,IF($AA132=1,$F132&amp;$AB132,$G132),IF(OR(AN$3=$D132,AN$3=$AC132,AN$3=$AE132),"",IF(AN$3=$AD132,$F132&amp;"R",AN131))))</f>
        <v>wN</v>
      </c>
      <c r="AO132" s="11" t="str">
        <f aca="false">IF($P132=0,AO131,IF(AO$3=$E132,IF($AA132=1,$F132&amp;$AB132,$G132),IF(OR(AO$3=$D132,AO$3=$AC132,AO$3=$AE132),"",IF(AO$3=$AD132,$F132&amp;"R",AO131))))</f>
        <v>wR</v>
      </c>
      <c r="AP132" s="11" t="str">
        <f aca="false">IF($P132=0,AP131,IF(AP$3=$E132,IF($AA132=1,$F132&amp;$AB132,$G132),IF(OR(AP$3=$D132,AP$3=$AC132,AP$3=$AE132),"",IF(AP$3=$AD132,$F132&amp;"R",AP131))))</f>
        <v>wP</v>
      </c>
      <c r="AQ132" s="11" t="str">
        <f aca="false">IF($P132=0,AQ131,IF(AQ$3=$E132,IF($AA132=1,$F132&amp;$AB132,$G132),IF(OR(AQ$3=$D132,AQ$3=$AC132,AQ$3=$AE132),"",IF(AQ$3=$AD132,$F132&amp;"R",AQ131))))</f>
        <v>wP</v>
      </c>
      <c r="AR132" s="11" t="str">
        <f aca="false">IF($P132=0,AR131,IF(AR$3=$E132,IF($AA132=1,$F132&amp;$AB132,$G132),IF(OR(AR$3=$D132,AR$3=$AC132,AR$3=$AE132),"",IF(AR$3=$AD132,$F132&amp;"R",AR131))))</f>
        <v>wP</v>
      </c>
      <c r="AS132" s="11" t="str">
        <f aca="false">IF($P132=0,AS131,IF(AS$3=$E132,IF($AA132=1,$F132&amp;$AB132,$G132),IF(OR(AS$3=$D132,AS$3=$AC132,AS$3=$AE132),"",IF(AS$3=$AD132,$F132&amp;"R",AS131))))</f>
        <v>wP</v>
      </c>
      <c r="AT132" s="11" t="str">
        <f aca="false">IF($P132=0,AT131,IF(AT$3=$E132,IF($AA132=1,$F132&amp;$AB132,$G132),IF(OR(AT$3=$D132,AT$3=$AC132,AT$3=$AE132),"",IF(AT$3=$AD132,$F132&amp;"R",AT131))))</f>
        <v>wP</v>
      </c>
      <c r="AU132" s="11" t="str">
        <f aca="false">IF($P132=0,AU131,IF(AU$3=$E132,IF($AA132=1,$F132&amp;$AB132,$G132),IF(OR(AU$3=$D132,AU$3=$AC132,AU$3=$AE132),"",IF(AU$3=$AD132,$F132&amp;"R",AU131))))</f>
        <v>wP</v>
      </c>
      <c r="AV132" s="11" t="str">
        <f aca="false">IF($P132=0,AV131,IF(AV$3=$E132,IF($AA132=1,$F132&amp;$AB132,$G132),IF(OR(AV$3=$D132,AV$3=$AC132,AV$3=$AE132),"",IF(AV$3=$AD132,$F132&amp;"R",AV131))))</f>
        <v>wP</v>
      </c>
      <c r="AW132" s="11" t="str">
        <f aca="false">IF($P132=0,AW131,IF(AW$3=$E132,IF($AA132=1,$F132&amp;$AB132,$G132),IF(OR(AW$3=$D132,AW$3=$AC132,AW$3=$AE132),"",IF(AW$3=$AD132,$F132&amp;"R",AW131))))</f>
        <v>wP</v>
      </c>
      <c r="AX132" s="11" t="str">
        <f aca="false">IF($P132=0,AX131,IF(AX$3=$E132,IF($AA132=1,$F132&amp;$AB132,$G132),IF(OR(AX$3=$D132,AX$3=$AC132,AX$3=$AE132),"",IF(AX$3=$AD132,$F132&amp;"R",AX131))))</f>
        <v/>
      </c>
      <c r="AY132" s="11" t="str">
        <f aca="false">IF($P132=0,AY131,IF(AY$3=$E132,IF($AA132=1,$F132&amp;$AB132,$G132),IF(OR(AY$3=$D132,AY$3=$AC132,AY$3=$AE132),"",IF(AY$3=$AD132,$F132&amp;"R",AY131))))</f>
        <v/>
      </c>
      <c r="AZ132" s="11" t="str">
        <f aca="false">IF($P132=0,AZ131,IF(AZ$3=$E132,IF($AA132=1,$F132&amp;$AB132,$G132),IF(OR(AZ$3=$D132,AZ$3=$AC132,AZ$3=$AE132),"",IF(AZ$3=$AD132,$F132&amp;"R",AZ131))))</f>
        <v/>
      </c>
      <c r="BA132" s="11" t="str">
        <f aca="false">IF($P132=0,BA131,IF(BA$3=$E132,IF($AA132=1,$F132&amp;$AB132,$G132),IF(OR(BA$3=$D132,BA$3=$AC132,BA$3=$AE132),"",IF(BA$3=$AD132,$F132&amp;"R",BA131))))</f>
        <v/>
      </c>
      <c r="BB132" s="11" t="str">
        <f aca="false">IF($P132=0,BB131,IF(BB$3=$E132,IF($AA132=1,$F132&amp;$AB132,$G132),IF(OR(BB$3=$D132,BB$3=$AC132,BB$3=$AE132),"",IF(BB$3=$AD132,$F132&amp;"R",BB131))))</f>
        <v/>
      </c>
      <c r="BC132" s="11" t="str">
        <f aca="false">IF($P132=0,BC131,IF(BC$3=$E132,IF($AA132=1,$F132&amp;$AB132,$G132),IF(OR(BC$3=$D132,BC$3=$AC132,BC$3=$AE132),"",IF(BC$3=$AD132,$F132&amp;"R",BC131))))</f>
        <v/>
      </c>
      <c r="BD132" s="11" t="str">
        <f aca="false">IF($P132=0,BD131,IF(BD$3=$E132,IF($AA132=1,$F132&amp;$AB132,$G132),IF(OR(BD$3=$D132,BD$3=$AC132,BD$3=$AE132),"",IF(BD$3=$AD132,$F132&amp;"R",BD131))))</f>
        <v/>
      </c>
      <c r="BE132" s="11" t="str">
        <f aca="false">IF($P132=0,BE131,IF(BE$3=$E132,IF($AA132=1,$F132&amp;$AB132,$G132),IF(OR(BE$3=$D132,BE$3=$AC132,BE$3=$AE132),"",IF(BE$3=$AD132,$F132&amp;"R",BE131))))</f>
        <v/>
      </c>
      <c r="BF132" s="11" t="str">
        <f aca="false">IF($P132=0,BF131,IF(BF$3=$E132,IF($AA132=1,$F132&amp;$AB132,$G132),IF(OR(BF$3=$D132,BF$3=$AC132,BF$3=$AE132),"",IF(BF$3=$AD132,$F132&amp;"R",BF131))))</f>
        <v/>
      </c>
      <c r="BG132" s="11" t="str">
        <f aca="false">IF($P132=0,BG131,IF(BG$3=$E132,IF($AA132=1,$F132&amp;$AB132,$G132),IF(OR(BG$3=$D132,BG$3=$AC132,BG$3=$AE132),"",IF(BG$3=$AD132,$F132&amp;"R",BG131))))</f>
        <v/>
      </c>
      <c r="BH132" s="11" t="str">
        <f aca="false">IF($P132=0,BH131,IF(BH$3=$E132,IF($AA132=1,$F132&amp;$AB132,$G132),IF(OR(BH$3=$D132,BH$3=$AC132,BH$3=$AE132),"",IF(BH$3=$AD132,$F132&amp;"R",BH131))))</f>
        <v/>
      </c>
      <c r="BI132" s="11" t="str">
        <f aca="false">IF($P132=0,BI131,IF(BI$3=$E132,IF($AA132=1,$F132&amp;$AB132,$G132),IF(OR(BI$3=$D132,BI$3=$AC132,BI$3=$AE132),"",IF(BI$3=$AD132,$F132&amp;"R",BI131))))</f>
        <v/>
      </c>
      <c r="BJ132" s="11" t="str">
        <f aca="false">IF($P132=0,BJ131,IF(BJ$3=$E132,IF($AA132=1,$F132&amp;$AB132,$G132),IF(OR(BJ$3=$D132,BJ$3=$AC132,BJ$3=$AE132),"",IF(BJ$3=$AD132,$F132&amp;"R",BJ131))))</f>
        <v/>
      </c>
      <c r="BK132" s="11" t="str">
        <f aca="false">IF($P132=0,BK131,IF(BK$3=$E132,IF($AA132=1,$F132&amp;$AB132,$G132),IF(OR(BK$3=$D132,BK$3=$AC132,BK$3=$AE132),"",IF(BK$3=$AD132,$F132&amp;"R",BK131))))</f>
        <v/>
      </c>
      <c r="BL132" s="11" t="str">
        <f aca="false">IF($P132=0,BL131,IF(BL$3=$E132,IF($AA132=1,$F132&amp;$AB132,$G132),IF(OR(BL$3=$D132,BL$3=$AC132,BL$3=$AE132),"",IF(BL$3=$AD132,$F132&amp;"R",BL131))))</f>
        <v/>
      </c>
      <c r="BM132" s="11" t="str">
        <f aca="false">IF($P132=0,BM131,IF(BM$3=$E132,IF($AA132=1,$F132&amp;$AB132,$G132),IF(OR(BM$3=$D132,BM$3=$AC132,BM$3=$AE132),"",IF(BM$3=$AD132,$F132&amp;"R",BM131))))</f>
        <v/>
      </c>
      <c r="BN132" s="11" t="str">
        <f aca="false">IF($P132=0,BN131,IF(BN$3=$E132,IF($AA132=1,$F132&amp;$AB132,$G132),IF(OR(BN$3=$D132,BN$3=$AC132,BN$3=$AE132),"",IF(BN$3=$AD132,$F132&amp;"R",BN131))))</f>
        <v/>
      </c>
      <c r="BO132" s="11" t="str">
        <f aca="false">IF($P132=0,BO131,IF(BO$3=$E132,IF($AA132=1,$F132&amp;$AB132,$G132),IF(OR(BO$3=$D132,BO$3=$AC132,BO$3=$AE132),"",IF(BO$3=$AD132,$F132&amp;"R",BO131))))</f>
        <v/>
      </c>
      <c r="BP132" s="11" t="str">
        <f aca="false">IF($P132=0,BP131,IF(BP$3=$E132,IF($AA132=1,$F132&amp;$AB132,$G132),IF(OR(BP$3=$D132,BP$3=$AC132,BP$3=$AE132),"",IF(BP$3=$AD132,$F132&amp;"R",BP131))))</f>
        <v/>
      </c>
      <c r="BQ132" s="11" t="str">
        <f aca="false">IF($P132=0,BQ131,IF(BQ$3=$E132,IF($AA132=1,$F132&amp;$AB132,$G132),IF(OR(BQ$3=$D132,BQ$3=$AC132,BQ$3=$AE132),"",IF(BQ$3=$AD132,$F132&amp;"R",BQ131))))</f>
        <v/>
      </c>
      <c r="BR132" s="11" t="str">
        <f aca="false">IF($P132=0,BR131,IF(BR$3=$E132,IF($AA132=1,$F132&amp;$AB132,$G132),IF(OR(BR$3=$D132,BR$3=$AC132,BR$3=$AE132),"",IF(BR$3=$AD132,$F132&amp;"R",BR131))))</f>
        <v/>
      </c>
      <c r="BS132" s="11" t="str">
        <f aca="false">IF($P132=0,BS131,IF(BS$3=$E132,IF($AA132=1,$F132&amp;$AB132,$G132),IF(OR(BS$3=$D132,BS$3=$AC132,BS$3=$AE132),"",IF(BS$3=$AD132,$F132&amp;"R",BS131))))</f>
        <v/>
      </c>
      <c r="BT132" s="11" t="str">
        <f aca="false">IF($P132=0,BT131,IF(BT$3=$E132,IF($AA132=1,$F132&amp;$AB132,$G132),IF(OR(BT$3=$D132,BT$3=$AC132,BT$3=$AE132),"",IF(BT$3=$AD132,$F132&amp;"R",BT131))))</f>
        <v/>
      </c>
      <c r="BU132" s="11" t="str">
        <f aca="false">IF($P132=0,BU131,IF(BU$3=$E132,IF($AA132=1,$F132&amp;$AB132,$G132),IF(OR(BU$3=$D132,BU$3=$AC132,BU$3=$AE132),"",IF(BU$3=$AD132,$F132&amp;"R",BU131))))</f>
        <v/>
      </c>
      <c r="BV132" s="11" t="str">
        <f aca="false">IF($P132=0,BV131,IF(BV$3=$E132,IF($AA132=1,$F132&amp;$AB132,$G132),IF(OR(BV$3=$D132,BV$3=$AC132,BV$3=$AE132),"",IF(BV$3=$AD132,$F132&amp;"R",BV131))))</f>
        <v/>
      </c>
      <c r="BW132" s="11" t="str">
        <f aca="false">IF($P132=0,BW131,IF(BW$3=$E132,IF($AA132=1,$F132&amp;$AB132,$G132),IF(OR(BW$3=$D132,BW$3=$AC132,BW$3=$AE132),"",IF(BW$3=$AD132,$F132&amp;"R",BW131))))</f>
        <v/>
      </c>
      <c r="BX132" s="11" t="str">
        <f aca="false">IF($P132=0,BX131,IF(BX$3=$E132,IF($AA132=1,$F132&amp;$AB132,$G132),IF(OR(BX$3=$D132,BX$3=$AC132,BX$3=$AE132),"",IF(BX$3=$AD132,$F132&amp;"R",BX131))))</f>
        <v/>
      </c>
      <c r="BY132" s="11" t="str">
        <f aca="false">IF($P132=0,BY131,IF(BY$3=$E132,IF($AA132=1,$F132&amp;$AB132,$G132),IF(OR(BY$3=$D132,BY$3=$AC132,BY$3=$AE132),"",IF(BY$3=$AD132,$F132&amp;"R",BY131))))</f>
        <v/>
      </c>
      <c r="BZ132" s="11" t="str">
        <f aca="false">IF($P132=0,BZ131,IF(BZ$3=$E132,IF($AA132=1,$F132&amp;$AB132,$G132),IF(OR(BZ$3=$D132,BZ$3=$AC132,BZ$3=$AE132),"",IF(BZ$3=$AD132,$F132&amp;"R",BZ131))))</f>
        <v/>
      </c>
      <c r="CA132" s="11" t="str">
        <f aca="false">IF($P132=0,CA131,IF(CA$3=$E132,IF($AA132=1,$F132&amp;$AB132,$G132),IF(OR(CA$3=$D132,CA$3=$AC132,CA$3=$AE132),"",IF(CA$3=$AD132,$F132&amp;"R",CA131))))</f>
        <v/>
      </c>
      <c r="CB132" s="11" t="str">
        <f aca="false">IF($P132=0,CB131,IF(CB$3=$E132,IF($AA132=1,$F132&amp;$AB132,$G132),IF(OR(CB$3=$D132,CB$3=$AC132,CB$3=$AE132),"",IF(CB$3=$AD132,$F132&amp;"R",CB131))))</f>
        <v/>
      </c>
      <c r="CC132" s="11" t="str">
        <f aca="false">IF($P132=0,CC131,IF(CC$3=$E132,IF($AA132=1,$F132&amp;$AB132,$G132),IF(OR(CC$3=$D132,CC$3=$AC132,CC$3=$AE132),"",IF(CC$3=$AD132,$F132&amp;"R",CC131))))</f>
        <v/>
      </c>
      <c r="CD132" s="11" t="str">
        <f aca="false">IF($P132=0,CD131,IF(CD$3=$E132,IF($AA132=1,$F132&amp;$AB132,$G132),IF(OR(CD$3=$D132,CD$3=$AC132,CD$3=$AE132),"",IF(CD$3=$AD132,$F132&amp;"R",CD131))))</f>
        <v>bP</v>
      </c>
      <c r="CE132" s="11" t="str">
        <f aca="false">IF($P132=0,CE131,IF(CE$3=$E132,IF($AA132=1,$F132&amp;$AB132,$G132),IF(OR(CE$3=$D132,CE$3=$AC132,CE$3=$AE132),"",IF(CE$3=$AD132,$F132&amp;"R",CE131))))</f>
        <v>bP</v>
      </c>
      <c r="CF132" s="11" t="str">
        <f aca="false">IF($P132=0,CF131,IF(CF$3=$E132,IF($AA132=1,$F132&amp;$AB132,$G132),IF(OR(CF$3=$D132,CF$3=$AC132,CF$3=$AE132),"",IF(CF$3=$AD132,$F132&amp;"R",CF131))))</f>
        <v>bP</v>
      </c>
      <c r="CG132" s="11" t="str">
        <f aca="false">IF($P132=0,CG131,IF(CG$3=$E132,IF($AA132=1,$F132&amp;$AB132,$G132),IF(OR(CG$3=$D132,CG$3=$AC132,CG$3=$AE132),"",IF(CG$3=$AD132,$F132&amp;"R",CG131))))</f>
        <v>bP</v>
      </c>
      <c r="CH132" s="11" t="str">
        <f aca="false">IF($P132=0,CH131,IF(CH$3=$E132,IF($AA132=1,$F132&amp;$AB132,$G132),IF(OR(CH$3=$D132,CH$3=$AC132,CH$3=$AE132),"",IF(CH$3=$AD132,$F132&amp;"R",CH131))))</f>
        <v>bP</v>
      </c>
      <c r="CI132" s="11" t="str">
        <f aca="false">IF($P132=0,CI131,IF(CI$3=$E132,IF($AA132=1,$F132&amp;$AB132,$G132),IF(OR(CI$3=$D132,CI$3=$AC132,CI$3=$AE132),"",IF(CI$3=$AD132,$F132&amp;"R",CI131))))</f>
        <v>bP</v>
      </c>
      <c r="CJ132" s="11" t="str">
        <f aca="false">IF($P132=0,CJ131,IF(CJ$3=$E132,IF($AA132=1,$F132&amp;$AB132,$G132),IF(OR(CJ$3=$D132,CJ$3=$AC132,CJ$3=$AE132),"",IF(CJ$3=$AD132,$F132&amp;"R",CJ131))))</f>
        <v>bP</v>
      </c>
      <c r="CK132" s="11" t="str">
        <f aca="false">IF($P132=0,CK131,IF(CK$3=$E132,IF($AA132=1,$F132&amp;$AB132,$G132),IF(OR(CK$3=$D132,CK$3=$AC132,CK$3=$AE132),"",IF(CK$3=$AD132,$F132&amp;"R",CK131))))</f>
        <v>bP</v>
      </c>
      <c r="CL132" s="11" t="str">
        <f aca="false">IF($P132=0,CL131,IF(CL$3=$E132,IF($AA132=1,$F132&amp;$AB132,$G132),IF(OR(CL$3=$D132,CL$3=$AC132,CL$3=$AE132),"",IF(CL$3=$AD132,$F132&amp;"R",CL131))))</f>
        <v>bR</v>
      </c>
      <c r="CM132" s="11" t="str">
        <f aca="false">IF($P132=0,CM131,IF(CM$3=$E132,IF($AA132=1,$F132&amp;$AB132,$G132),IF(OR(CM$3=$D132,CM$3=$AC132,CM$3=$AE132),"",IF(CM$3=$AD132,$F132&amp;"R",CM131))))</f>
        <v>bN</v>
      </c>
      <c r="CN132" s="11" t="str">
        <f aca="false">IF($P132=0,CN131,IF(CN$3=$E132,IF($AA132=1,$F132&amp;$AB132,$G132),IF(OR(CN$3=$D132,CN$3=$AC132,CN$3=$AE132),"",IF(CN$3=$AD132,$F132&amp;"R",CN131))))</f>
        <v>bB</v>
      </c>
      <c r="CO132" s="11" t="str">
        <f aca="false">IF($P132=0,CO131,IF(CO$3=$E132,IF($AA132=1,$F132&amp;$AB132,$G132),IF(OR(CO$3=$D132,CO$3=$AC132,CO$3=$AE132),"",IF(CO$3=$AD132,$F132&amp;"R",CO131))))</f>
        <v>bQ</v>
      </c>
      <c r="CP132" s="11" t="str">
        <f aca="false">IF($P132=0,CP131,IF(CP$3=$E132,IF($AA132=1,$F132&amp;$AB132,$G132),IF(OR(CP$3=$D132,CP$3=$AC132,CP$3=$AE132),"",IF(CP$3=$AD132,$F132&amp;"R",CP131))))</f>
        <v>bK</v>
      </c>
      <c r="CQ132" s="11" t="str">
        <f aca="false">IF($P132=0,CQ131,IF(CQ$3=$E132,IF($AA132=1,$F132&amp;$AB132,$G132),IF(OR(CQ$3=$D132,CQ$3=$AC132,CQ$3=$AE132),"",IF(CQ$3=$AD132,$F132&amp;"R",CQ131))))</f>
        <v>bB</v>
      </c>
      <c r="CR132" s="11" t="str">
        <f aca="false">IF($P132=0,CR131,IF(CR$3=$E132,IF($AA132=1,$F132&amp;$AB132,$G132),IF(OR(CR$3=$D132,CR$3=$AC132,CR$3=$AE132),"",IF(CR$3=$AD132,$F132&amp;"R",CR131))))</f>
        <v>bN</v>
      </c>
      <c r="CS132" s="11" t="str">
        <f aca="false">IF($P132=0,CS131,IF(CS$3=$E132,IF($AA132=1,$F132&amp;$AB132,$G132),IF(OR(CS$3=$D132,CS$3=$AC132,CS$3=$AE132),"",IF(CS$3=$AD132,$F132&amp;"R",CS131))))</f>
        <v>bR</v>
      </c>
      <c r="CT132" s="11"/>
      <c r="CU132" s="11"/>
      <c r="CV132" s="11"/>
    </row>
    <row r="133" customFormat="false" ht="15" hidden="false" customHeight="false" outlineLevel="0" collapsed="false">
      <c r="A133" s="11" t="n">
        <v>128</v>
      </c>
      <c r="B133" s="11" t="str">
        <f aca="false">IF(Chess!$L$137="","",Chess!$L$137&amp;"")</f>
        <v/>
      </c>
      <c r="C133" s="11" t="str">
        <f aca="false">LOWER(SUBSTITUTE(SUBSTITUTE(SUBSTITUTE(SUBSTITUTE(TRIM($B133),"-",""),"=","")," ",""),"x",""))</f>
        <v/>
      </c>
      <c r="D133" s="11" t="n">
        <f aca="false">IF(LEN($C133)&lt;4,0,IFERROR(IF(AND(CODE(MID($C133,1,1))&gt;=97,CODE(MID($C133,1,1))&lt;=104,VALUE(MID($C133,2,1))&gt;=1,VALUE(MID($C133,2,1))&lt;=8),(VALUE(MID($C133,2,1))-1)*8+CODE(MID($C133,1,1))-96,0),0))</f>
        <v>0</v>
      </c>
      <c r="E133" s="11" t="n">
        <f aca="false">IF(LEN($C133)&lt;4,0,IFERROR(IF(AND(CODE(MID($C133,3,1))&gt;=97,CODE(MID($C133,3,1))&lt;=104,VALUE(MID($C133,4,1))&gt;=1,VALUE(MID($C133,4,1))&lt;=8),(VALUE(MID($C133,4,1))-1)*8+CODE(MID($C133,3,1))-96,0),0))</f>
        <v>0</v>
      </c>
      <c r="F133" s="11" t="str">
        <f aca="false">IF(MOD(SUM($P$5:$P132),2)=0,"w","b")</f>
        <v>w</v>
      </c>
      <c r="G133" s="11" t="str">
        <f aca="false">IF($D133=0,"",INDEX($AH132:$CS132,1,$D133)&amp;"")</f>
        <v/>
      </c>
      <c r="H133" s="11" t="str">
        <f aca="false">IF($E133=0,"",INDEX($AH132:$CS132,1,$E133)&amp;"")</f>
        <v/>
      </c>
      <c r="I133" s="11" t="n">
        <f aca="false">IF(OR($D133=0,$E133=0),0,MOD($E133-1,8)-MOD($D133-1,8))</f>
        <v>0</v>
      </c>
      <c r="J133" s="11" t="n">
        <f aca="false">IF(OR($D133=0,$E133=0),0,INT(($E133-1)/8)-INT(($D133-1)/8))</f>
        <v>0</v>
      </c>
      <c r="K133" s="11" t="str">
        <f aca="false">IF($G133="","",RIGHT($G133,1))</f>
        <v/>
      </c>
      <c r="L133" s="11" t="n">
        <f aca="false">IF(OR($D133=0,$E133=0),0,SUMPRODUCT(($AH$3:$CS$3&gt;MIN($D133,$E133))*($AH$3:$CS$3&lt;MAX($D133,$E133))*(MOD($AH$3:$CS$3-MIN($D133,$E133),MAX(1,ABS(SIGN($J133)*8+SIGN($I133))))=0)*($AH132:$CS132&lt;&gt;"")))</f>
        <v>0</v>
      </c>
      <c r="M133" s="11" t="n">
        <f aca="false">IF($K133&lt;&gt;"K",0,IFERROR(--AND($J133=0,ABS($I133)=2,$D133=IF($F133="w",5,61),IF($F133="w",$S132,$V132)=0,IF($I133=2,AND(IF($F133="w",$U132,$X132)=0,INDEX($AH132:$CS132,1,$D133+1)&amp;""="",INDEX($AH132:$CS132,1,$D133+2)&amp;""=""),AND(IF($F133="w",$T132,$W132)=0,INDEX($AH132:$CS132,1,$D133-1)&amp;""="",INDEX($AH132:$CS132,1,$D133-2)&amp;""="",INDEX($AH132:$CS132,1,$D133-3)&amp;""=""))),0))</f>
        <v>0</v>
      </c>
      <c r="N133" s="11" t="n">
        <f aca="false">IF($K133&lt;&gt;"P",0,IFERROR(--OR(AND($I133=0,$J133=IF($F133="w",1,-1),$H133=""),AND($I133=0,$J133=2*IF($F133="w",1,-1),$H133="",INT(($D133-1)/8)=IF($F133="w",1,6),INDEX($AH132:$CS132,1,MAX(1,MIN(64,$D133+8*IF($F133="w",1,-1))))&amp;""=""),AND(ABS($I133)=1,$J133=IF($F133="w",1,-1),$H133&lt;&gt;""),AND(ABS($I133)=1,$J133=IF($F133="w",1,-1),$H133="",$R132&gt;0,$E133=$R132)),0))</f>
        <v>0</v>
      </c>
      <c r="O133" s="11" t="n">
        <f aca="false">IF(OR($D133=0,$E133=0,$G133=""),0,IF($K133="N",--OR(AND(ABS($I133)=1,ABS($J133)=2),AND(ABS($I133)=2,ABS($J133)=1)),IF($K133="B",--AND(ABS($I133)=ABS($J133),$I133&lt;&gt;0,$L133=0),IF($K133="R",--AND(OR($I133=0,$J133=0),OR($I133&lt;&gt;0,$J133&lt;&gt;0),$L133=0),IF($K133="Q",--AND(OR(AND(ABS($I133)=ABS($J133),$I133&lt;&gt;0),AND(OR($I133=0,$J133=0),OR($I133&lt;&gt;0,$J133&lt;&gt;0))),$L133=0),IF($K133="K",--OR(MAX(ABS($I133),ABS($J133))=1,$M133=1),$N133))))))</f>
        <v>0</v>
      </c>
      <c r="P133" s="11" t="n">
        <f aca="false">IF($Q133="OK",1,0)</f>
        <v>0</v>
      </c>
      <c r="Q133" s="11" t="str">
        <f aca="false">IF($B133="","",IF(OR(COUNTIF($AH132:$CS132,"wK")=0,COUNTIF($AH132:$CS132,"bK")=0),"Game is over",IF(OR($D133=0,$E133=0),"Use the format e2e4",IF($G133="","No piece on that square",IF(LEFT($G133,1)&lt;&gt;$F133,"Not your piece ("&amp;IF($F133="w","White","Black")&amp;" to move)",IF($D133=$E133,"Piece must move",IF(AND($H133&lt;&gt;"",LEFT($H133,1)=$F133),"Cannot capture your own piece",IF($O133=0,"Illegal move for that piece (or path blocked)","OK"))))))))</f>
        <v/>
      </c>
      <c r="R133" s="11" t="n">
        <f aca="false">IF($P133=1,IF(AND($K133="P",ABS($J133)=2),($D133+$E133)/2,0),$R132)</f>
        <v>0</v>
      </c>
      <c r="S133" s="12" t="b">
        <f aca="false">--OR($S132=1,AND($P133=1,OR($D133=5,$E133=5)))</f>
        <v>0</v>
      </c>
      <c r="T133" s="12" t="b">
        <f aca="false">--OR($T132=1,AND($P133=1,OR($D133=1,$E133=1)))</f>
        <v>0</v>
      </c>
      <c r="U133" s="12" t="b">
        <f aca="false">--OR($U132=1,AND($P133=1,OR($D133=8,$E133=8)))</f>
        <v>0</v>
      </c>
      <c r="V133" s="12" t="b">
        <f aca="false">--OR($V132=1,AND($P133=1,OR($D133=61,$E133=61)))</f>
        <v>0</v>
      </c>
      <c r="W133" s="12" t="b">
        <f aca="false">--OR($W132=1,AND($P133=1,OR($D133=57,$E133=57)))</f>
        <v>0</v>
      </c>
      <c r="X133" s="12" t="b">
        <f aca="false">--OR($X132=1,AND($P133=1,OR($D133=64,$E133=64)))</f>
        <v>0</v>
      </c>
      <c r="Y133" s="12" t="b">
        <f aca="false">--AND($P133=1,$K133="K",ABS($I133)=2)</f>
        <v>0</v>
      </c>
      <c r="Z133" s="12" t="b">
        <f aca="false">--AND($P133=1,$K133="P",ABS($I133)=1,$H133="")</f>
        <v>0</v>
      </c>
      <c r="AA133" s="12" t="b">
        <f aca="false">--AND($P133=1,$K133="P",INT(($E133-1)/8)=IF($F133="w",7,0))</f>
        <v>0</v>
      </c>
      <c r="AB133" s="11" t="str">
        <f aca="false">IF(LEN($C133)&gt;=5,IF(ISNUMBER(FIND(MID($C133,5,1),"qrbn")),UPPER(MID($C133,5,1)),"Q"),"Q")</f>
        <v>Q</v>
      </c>
      <c r="AC133" s="11" t="n">
        <f aca="false">IF($Y133=1,IF($I133=2,$D133+3,$D133-4),0)</f>
        <v>0</v>
      </c>
      <c r="AD133" s="11" t="n">
        <f aca="false">IF($Y133=1,IF($I133=2,$D133+1,$D133-1),0)</f>
        <v>0</v>
      </c>
      <c r="AE133" s="11" t="n">
        <f aca="false">IF($Z133=1,$E133-8*IF($F133="w",1,-1),0)</f>
        <v>0</v>
      </c>
      <c r="AF133" s="11" t="str">
        <f aca="false">IF($B133="","",IF($P133=1,LOWER(INDEX($CV$2:$CV$13,MATCH($G133,$CU$2:$CU$13,0)))&amp;" "&amp;MID("abcdefgh",MOD($D133-1,8)+1,1)&amp;(INT(($D133-1)/8)+1)&amp;"→"&amp;MID("abcdefgh",MOD($E133-1,8)+1,1)&amp;(INT(($E133-1)/8)+1)&amp;IF(OR($H133&lt;&gt;"",$Z133=1)," ×","")&amp;IF($Y133=1," castles","")&amp;IF($Z133=1," e.p.","")&amp;IF($AA133=1," =" &amp;LOWER(INDEX($CV$2:$CV$13,MATCH($F133&amp;$AB133,$CU$2:$CU$13,0))),""),"X "&amp;$Q133))</f>
        <v/>
      </c>
      <c r="AG133" s="11"/>
      <c r="AH133" s="11" t="str">
        <f aca="false">IF($P133=0,AH132,IF(AH$3=$E133,IF($AA133=1,$F133&amp;$AB133,$G133),IF(OR(AH$3=$D133,AH$3=$AC133,AH$3=$AE133),"",IF(AH$3=$AD133,$F133&amp;"R",AH132))))</f>
        <v>wR</v>
      </c>
      <c r="AI133" s="11" t="str">
        <f aca="false">IF($P133=0,AI132,IF(AI$3=$E133,IF($AA133=1,$F133&amp;$AB133,$G133),IF(OR(AI$3=$D133,AI$3=$AC133,AI$3=$AE133),"",IF(AI$3=$AD133,$F133&amp;"R",AI132))))</f>
        <v>wN</v>
      </c>
      <c r="AJ133" s="11" t="str">
        <f aca="false">IF($P133=0,AJ132,IF(AJ$3=$E133,IF($AA133=1,$F133&amp;$AB133,$G133),IF(OR(AJ$3=$D133,AJ$3=$AC133,AJ$3=$AE133),"",IF(AJ$3=$AD133,$F133&amp;"R",AJ132))))</f>
        <v>wB</v>
      </c>
      <c r="AK133" s="11" t="str">
        <f aca="false">IF($P133=0,AK132,IF(AK$3=$E133,IF($AA133=1,$F133&amp;$AB133,$G133),IF(OR(AK$3=$D133,AK$3=$AC133,AK$3=$AE133),"",IF(AK$3=$AD133,$F133&amp;"R",AK132))))</f>
        <v>wQ</v>
      </c>
      <c r="AL133" s="11" t="str">
        <f aca="false">IF($P133=0,AL132,IF(AL$3=$E133,IF($AA133=1,$F133&amp;$AB133,$G133),IF(OR(AL$3=$D133,AL$3=$AC133,AL$3=$AE133),"",IF(AL$3=$AD133,$F133&amp;"R",AL132))))</f>
        <v>wK</v>
      </c>
      <c r="AM133" s="11" t="str">
        <f aca="false">IF($P133=0,AM132,IF(AM$3=$E133,IF($AA133=1,$F133&amp;$AB133,$G133),IF(OR(AM$3=$D133,AM$3=$AC133,AM$3=$AE133),"",IF(AM$3=$AD133,$F133&amp;"R",AM132))))</f>
        <v>wB</v>
      </c>
      <c r="AN133" s="11" t="str">
        <f aca="false">IF($P133=0,AN132,IF(AN$3=$E133,IF($AA133=1,$F133&amp;$AB133,$G133),IF(OR(AN$3=$D133,AN$3=$AC133,AN$3=$AE133),"",IF(AN$3=$AD133,$F133&amp;"R",AN132))))</f>
        <v>wN</v>
      </c>
      <c r="AO133" s="11" t="str">
        <f aca="false">IF($P133=0,AO132,IF(AO$3=$E133,IF($AA133=1,$F133&amp;$AB133,$G133),IF(OR(AO$3=$D133,AO$3=$AC133,AO$3=$AE133),"",IF(AO$3=$AD133,$F133&amp;"R",AO132))))</f>
        <v>wR</v>
      </c>
      <c r="AP133" s="11" t="str">
        <f aca="false">IF($P133=0,AP132,IF(AP$3=$E133,IF($AA133=1,$F133&amp;$AB133,$G133),IF(OR(AP$3=$D133,AP$3=$AC133,AP$3=$AE133),"",IF(AP$3=$AD133,$F133&amp;"R",AP132))))</f>
        <v>wP</v>
      </c>
      <c r="AQ133" s="11" t="str">
        <f aca="false">IF($P133=0,AQ132,IF(AQ$3=$E133,IF($AA133=1,$F133&amp;$AB133,$G133),IF(OR(AQ$3=$D133,AQ$3=$AC133,AQ$3=$AE133),"",IF(AQ$3=$AD133,$F133&amp;"R",AQ132))))</f>
        <v>wP</v>
      </c>
      <c r="AR133" s="11" t="str">
        <f aca="false">IF($P133=0,AR132,IF(AR$3=$E133,IF($AA133=1,$F133&amp;$AB133,$G133),IF(OR(AR$3=$D133,AR$3=$AC133,AR$3=$AE133),"",IF(AR$3=$AD133,$F133&amp;"R",AR132))))</f>
        <v>wP</v>
      </c>
      <c r="AS133" s="11" t="str">
        <f aca="false">IF($P133=0,AS132,IF(AS$3=$E133,IF($AA133=1,$F133&amp;$AB133,$G133),IF(OR(AS$3=$D133,AS$3=$AC133,AS$3=$AE133),"",IF(AS$3=$AD133,$F133&amp;"R",AS132))))</f>
        <v>wP</v>
      </c>
      <c r="AT133" s="11" t="str">
        <f aca="false">IF($P133=0,AT132,IF(AT$3=$E133,IF($AA133=1,$F133&amp;$AB133,$G133),IF(OR(AT$3=$D133,AT$3=$AC133,AT$3=$AE133),"",IF(AT$3=$AD133,$F133&amp;"R",AT132))))</f>
        <v>wP</v>
      </c>
      <c r="AU133" s="11" t="str">
        <f aca="false">IF($P133=0,AU132,IF(AU$3=$E133,IF($AA133=1,$F133&amp;$AB133,$G133),IF(OR(AU$3=$D133,AU$3=$AC133,AU$3=$AE133),"",IF(AU$3=$AD133,$F133&amp;"R",AU132))))</f>
        <v>wP</v>
      </c>
      <c r="AV133" s="11" t="str">
        <f aca="false">IF($P133=0,AV132,IF(AV$3=$E133,IF($AA133=1,$F133&amp;$AB133,$G133),IF(OR(AV$3=$D133,AV$3=$AC133,AV$3=$AE133),"",IF(AV$3=$AD133,$F133&amp;"R",AV132))))</f>
        <v>wP</v>
      </c>
      <c r="AW133" s="11" t="str">
        <f aca="false">IF($P133=0,AW132,IF(AW$3=$E133,IF($AA133=1,$F133&amp;$AB133,$G133),IF(OR(AW$3=$D133,AW$3=$AC133,AW$3=$AE133),"",IF(AW$3=$AD133,$F133&amp;"R",AW132))))</f>
        <v>wP</v>
      </c>
      <c r="AX133" s="11" t="str">
        <f aca="false">IF($P133=0,AX132,IF(AX$3=$E133,IF($AA133=1,$F133&amp;$AB133,$G133),IF(OR(AX$3=$D133,AX$3=$AC133,AX$3=$AE133),"",IF(AX$3=$AD133,$F133&amp;"R",AX132))))</f>
        <v/>
      </c>
      <c r="AY133" s="11" t="str">
        <f aca="false">IF($P133=0,AY132,IF(AY$3=$E133,IF($AA133=1,$F133&amp;$AB133,$G133),IF(OR(AY$3=$D133,AY$3=$AC133,AY$3=$AE133),"",IF(AY$3=$AD133,$F133&amp;"R",AY132))))</f>
        <v/>
      </c>
      <c r="AZ133" s="11" t="str">
        <f aca="false">IF($P133=0,AZ132,IF(AZ$3=$E133,IF($AA133=1,$F133&amp;$AB133,$G133),IF(OR(AZ$3=$D133,AZ$3=$AC133,AZ$3=$AE133),"",IF(AZ$3=$AD133,$F133&amp;"R",AZ132))))</f>
        <v/>
      </c>
      <c r="BA133" s="11" t="str">
        <f aca="false">IF($P133=0,BA132,IF(BA$3=$E133,IF($AA133=1,$F133&amp;$AB133,$G133),IF(OR(BA$3=$D133,BA$3=$AC133,BA$3=$AE133),"",IF(BA$3=$AD133,$F133&amp;"R",BA132))))</f>
        <v/>
      </c>
      <c r="BB133" s="11" t="str">
        <f aca="false">IF($P133=0,BB132,IF(BB$3=$E133,IF($AA133=1,$F133&amp;$AB133,$G133),IF(OR(BB$3=$D133,BB$3=$AC133,BB$3=$AE133),"",IF(BB$3=$AD133,$F133&amp;"R",BB132))))</f>
        <v/>
      </c>
      <c r="BC133" s="11" t="str">
        <f aca="false">IF($P133=0,BC132,IF(BC$3=$E133,IF($AA133=1,$F133&amp;$AB133,$G133),IF(OR(BC$3=$D133,BC$3=$AC133,BC$3=$AE133),"",IF(BC$3=$AD133,$F133&amp;"R",BC132))))</f>
        <v/>
      </c>
      <c r="BD133" s="11" t="str">
        <f aca="false">IF($P133=0,BD132,IF(BD$3=$E133,IF($AA133=1,$F133&amp;$AB133,$G133),IF(OR(BD$3=$D133,BD$3=$AC133,BD$3=$AE133),"",IF(BD$3=$AD133,$F133&amp;"R",BD132))))</f>
        <v/>
      </c>
      <c r="BE133" s="11" t="str">
        <f aca="false">IF($P133=0,BE132,IF(BE$3=$E133,IF($AA133=1,$F133&amp;$AB133,$G133),IF(OR(BE$3=$D133,BE$3=$AC133,BE$3=$AE133),"",IF(BE$3=$AD133,$F133&amp;"R",BE132))))</f>
        <v/>
      </c>
      <c r="BF133" s="11" t="str">
        <f aca="false">IF($P133=0,BF132,IF(BF$3=$E133,IF($AA133=1,$F133&amp;$AB133,$G133),IF(OR(BF$3=$D133,BF$3=$AC133,BF$3=$AE133),"",IF(BF$3=$AD133,$F133&amp;"R",BF132))))</f>
        <v/>
      </c>
      <c r="BG133" s="11" t="str">
        <f aca="false">IF($P133=0,BG132,IF(BG$3=$E133,IF($AA133=1,$F133&amp;$AB133,$G133),IF(OR(BG$3=$D133,BG$3=$AC133,BG$3=$AE133),"",IF(BG$3=$AD133,$F133&amp;"R",BG132))))</f>
        <v/>
      </c>
      <c r="BH133" s="11" t="str">
        <f aca="false">IF($P133=0,BH132,IF(BH$3=$E133,IF($AA133=1,$F133&amp;$AB133,$G133),IF(OR(BH$3=$D133,BH$3=$AC133,BH$3=$AE133),"",IF(BH$3=$AD133,$F133&amp;"R",BH132))))</f>
        <v/>
      </c>
      <c r="BI133" s="11" t="str">
        <f aca="false">IF($P133=0,BI132,IF(BI$3=$E133,IF($AA133=1,$F133&amp;$AB133,$G133),IF(OR(BI$3=$D133,BI$3=$AC133,BI$3=$AE133),"",IF(BI$3=$AD133,$F133&amp;"R",BI132))))</f>
        <v/>
      </c>
      <c r="BJ133" s="11" t="str">
        <f aca="false">IF($P133=0,BJ132,IF(BJ$3=$E133,IF($AA133=1,$F133&amp;$AB133,$G133),IF(OR(BJ$3=$D133,BJ$3=$AC133,BJ$3=$AE133),"",IF(BJ$3=$AD133,$F133&amp;"R",BJ132))))</f>
        <v/>
      </c>
      <c r="BK133" s="11" t="str">
        <f aca="false">IF($P133=0,BK132,IF(BK$3=$E133,IF($AA133=1,$F133&amp;$AB133,$G133),IF(OR(BK$3=$D133,BK$3=$AC133,BK$3=$AE133),"",IF(BK$3=$AD133,$F133&amp;"R",BK132))))</f>
        <v/>
      </c>
      <c r="BL133" s="11" t="str">
        <f aca="false">IF($P133=0,BL132,IF(BL$3=$E133,IF($AA133=1,$F133&amp;$AB133,$G133),IF(OR(BL$3=$D133,BL$3=$AC133,BL$3=$AE133),"",IF(BL$3=$AD133,$F133&amp;"R",BL132))))</f>
        <v/>
      </c>
      <c r="BM133" s="11" t="str">
        <f aca="false">IF($P133=0,BM132,IF(BM$3=$E133,IF($AA133=1,$F133&amp;$AB133,$G133),IF(OR(BM$3=$D133,BM$3=$AC133,BM$3=$AE133),"",IF(BM$3=$AD133,$F133&amp;"R",BM132))))</f>
        <v/>
      </c>
      <c r="BN133" s="11" t="str">
        <f aca="false">IF($P133=0,BN132,IF(BN$3=$E133,IF($AA133=1,$F133&amp;$AB133,$G133),IF(OR(BN$3=$D133,BN$3=$AC133,BN$3=$AE133),"",IF(BN$3=$AD133,$F133&amp;"R",BN132))))</f>
        <v/>
      </c>
      <c r="BO133" s="11" t="str">
        <f aca="false">IF($P133=0,BO132,IF(BO$3=$E133,IF($AA133=1,$F133&amp;$AB133,$G133),IF(OR(BO$3=$D133,BO$3=$AC133,BO$3=$AE133),"",IF(BO$3=$AD133,$F133&amp;"R",BO132))))</f>
        <v/>
      </c>
      <c r="BP133" s="11" t="str">
        <f aca="false">IF($P133=0,BP132,IF(BP$3=$E133,IF($AA133=1,$F133&amp;$AB133,$G133),IF(OR(BP$3=$D133,BP$3=$AC133,BP$3=$AE133),"",IF(BP$3=$AD133,$F133&amp;"R",BP132))))</f>
        <v/>
      </c>
      <c r="BQ133" s="11" t="str">
        <f aca="false">IF($P133=0,BQ132,IF(BQ$3=$E133,IF($AA133=1,$F133&amp;$AB133,$G133),IF(OR(BQ$3=$D133,BQ$3=$AC133,BQ$3=$AE133),"",IF(BQ$3=$AD133,$F133&amp;"R",BQ132))))</f>
        <v/>
      </c>
      <c r="BR133" s="11" t="str">
        <f aca="false">IF($P133=0,BR132,IF(BR$3=$E133,IF($AA133=1,$F133&amp;$AB133,$G133),IF(OR(BR$3=$D133,BR$3=$AC133,BR$3=$AE133),"",IF(BR$3=$AD133,$F133&amp;"R",BR132))))</f>
        <v/>
      </c>
      <c r="BS133" s="11" t="str">
        <f aca="false">IF($P133=0,BS132,IF(BS$3=$E133,IF($AA133=1,$F133&amp;$AB133,$G133),IF(OR(BS$3=$D133,BS$3=$AC133,BS$3=$AE133),"",IF(BS$3=$AD133,$F133&amp;"R",BS132))))</f>
        <v/>
      </c>
      <c r="BT133" s="11" t="str">
        <f aca="false">IF($P133=0,BT132,IF(BT$3=$E133,IF($AA133=1,$F133&amp;$AB133,$G133),IF(OR(BT$3=$D133,BT$3=$AC133,BT$3=$AE133),"",IF(BT$3=$AD133,$F133&amp;"R",BT132))))</f>
        <v/>
      </c>
      <c r="BU133" s="11" t="str">
        <f aca="false">IF($P133=0,BU132,IF(BU$3=$E133,IF($AA133=1,$F133&amp;$AB133,$G133),IF(OR(BU$3=$D133,BU$3=$AC133,BU$3=$AE133),"",IF(BU$3=$AD133,$F133&amp;"R",BU132))))</f>
        <v/>
      </c>
      <c r="BV133" s="11" t="str">
        <f aca="false">IF($P133=0,BV132,IF(BV$3=$E133,IF($AA133=1,$F133&amp;$AB133,$G133),IF(OR(BV$3=$D133,BV$3=$AC133,BV$3=$AE133),"",IF(BV$3=$AD133,$F133&amp;"R",BV132))))</f>
        <v/>
      </c>
      <c r="BW133" s="11" t="str">
        <f aca="false">IF($P133=0,BW132,IF(BW$3=$E133,IF($AA133=1,$F133&amp;$AB133,$G133),IF(OR(BW$3=$D133,BW$3=$AC133,BW$3=$AE133),"",IF(BW$3=$AD133,$F133&amp;"R",BW132))))</f>
        <v/>
      </c>
      <c r="BX133" s="11" t="str">
        <f aca="false">IF($P133=0,BX132,IF(BX$3=$E133,IF($AA133=1,$F133&amp;$AB133,$G133),IF(OR(BX$3=$D133,BX$3=$AC133,BX$3=$AE133),"",IF(BX$3=$AD133,$F133&amp;"R",BX132))))</f>
        <v/>
      </c>
      <c r="BY133" s="11" t="str">
        <f aca="false">IF($P133=0,BY132,IF(BY$3=$E133,IF($AA133=1,$F133&amp;$AB133,$G133),IF(OR(BY$3=$D133,BY$3=$AC133,BY$3=$AE133),"",IF(BY$3=$AD133,$F133&amp;"R",BY132))))</f>
        <v/>
      </c>
      <c r="BZ133" s="11" t="str">
        <f aca="false">IF($P133=0,BZ132,IF(BZ$3=$E133,IF($AA133=1,$F133&amp;$AB133,$G133),IF(OR(BZ$3=$D133,BZ$3=$AC133,BZ$3=$AE133),"",IF(BZ$3=$AD133,$F133&amp;"R",BZ132))))</f>
        <v/>
      </c>
      <c r="CA133" s="11" t="str">
        <f aca="false">IF($P133=0,CA132,IF(CA$3=$E133,IF($AA133=1,$F133&amp;$AB133,$G133),IF(OR(CA$3=$D133,CA$3=$AC133,CA$3=$AE133),"",IF(CA$3=$AD133,$F133&amp;"R",CA132))))</f>
        <v/>
      </c>
      <c r="CB133" s="11" t="str">
        <f aca="false">IF($P133=0,CB132,IF(CB$3=$E133,IF($AA133=1,$F133&amp;$AB133,$G133),IF(OR(CB$3=$D133,CB$3=$AC133,CB$3=$AE133),"",IF(CB$3=$AD133,$F133&amp;"R",CB132))))</f>
        <v/>
      </c>
      <c r="CC133" s="11" t="str">
        <f aca="false">IF($P133=0,CC132,IF(CC$3=$E133,IF($AA133=1,$F133&amp;$AB133,$G133),IF(OR(CC$3=$D133,CC$3=$AC133,CC$3=$AE133),"",IF(CC$3=$AD133,$F133&amp;"R",CC132))))</f>
        <v/>
      </c>
      <c r="CD133" s="11" t="str">
        <f aca="false">IF($P133=0,CD132,IF(CD$3=$E133,IF($AA133=1,$F133&amp;$AB133,$G133),IF(OR(CD$3=$D133,CD$3=$AC133,CD$3=$AE133),"",IF(CD$3=$AD133,$F133&amp;"R",CD132))))</f>
        <v>bP</v>
      </c>
      <c r="CE133" s="11" t="str">
        <f aca="false">IF($P133=0,CE132,IF(CE$3=$E133,IF($AA133=1,$F133&amp;$AB133,$G133),IF(OR(CE$3=$D133,CE$3=$AC133,CE$3=$AE133),"",IF(CE$3=$AD133,$F133&amp;"R",CE132))))</f>
        <v>bP</v>
      </c>
      <c r="CF133" s="11" t="str">
        <f aca="false">IF($P133=0,CF132,IF(CF$3=$E133,IF($AA133=1,$F133&amp;$AB133,$G133),IF(OR(CF$3=$D133,CF$3=$AC133,CF$3=$AE133),"",IF(CF$3=$AD133,$F133&amp;"R",CF132))))</f>
        <v>bP</v>
      </c>
      <c r="CG133" s="11" t="str">
        <f aca="false">IF($P133=0,CG132,IF(CG$3=$E133,IF($AA133=1,$F133&amp;$AB133,$G133),IF(OR(CG$3=$D133,CG$3=$AC133,CG$3=$AE133),"",IF(CG$3=$AD133,$F133&amp;"R",CG132))))</f>
        <v>bP</v>
      </c>
      <c r="CH133" s="11" t="str">
        <f aca="false">IF($P133=0,CH132,IF(CH$3=$E133,IF($AA133=1,$F133&amp;$AB133,$G133),IF(OR(CH$3=$D133,CH$3=$AC133,CH$3=$AE133),"",IF(CH$3=$AD133,$F133&amp;"R",CH132))))</f>
        <v>bP</v>
      </c>
      <c r="CI133" s="11" t="str">
        <f aca="false">IF($P133=0,CI132,IF(CI$3=$E133,IF($AA133=1,$F133&amp;$AB133,$G133),IF(OR(CI$3=$D133,CI$3=$AC133,CI$3=$AE133),"",IF(CI$3=$AD133,$F133&amp;"R",CI132))))</f>
        <v>bP</v>
      </c>
      <c r="CJ133" s="11" t="str">
        <f aca="false">IF($P133=0,CJ132,IF(CJ$3=$E133,IF($AA133=1,$F133&amp;$AB133,$G133),IF(OR(CJ$3=$D133,CJ$3=$AC133,CJ$3=$AE133),"",IF(CJ$3=$AD133,$F133&amp;"R",CJ132))))</f>
        <v>bP</v>
      </c>
      <c r="CK133" s="11" t="str">
        <f aca="false">IF($P133=0,CK132,IF(CK$3=$E133,IF($AA133=1,$F133&amp;$AB133,$G133),IF(OR(CK$3=$D133,CK$3=$AC133,CK$3=$AE133),"",IF(CK$3=$AD133,$F133&amp;"R",CK132))))</f>
        <v>bP</v>
      </c>
      <c r="CL133" s="11" t="str">
        <f aca="false">IF($P133=0,CL132,IF(CL$3=$E133,IF($AA133=1,$F133&amp;$AB133,$G133),IF(OR(CL$3=$D133,CL$3=$AC133,CL$3=$AE133),"",IF(CL$3=$AD133,$F133&amp;"R",CL132))))</f>
        <v>bR</v>
      </c>
      <c r="CM133" s="11" t="str">
        <f aca="false">IF($P133=0,CM132,IF(CM$3=$E133,IF($AA133=1,$F133&amp;$AB133,$G133),IF(OR(CM$3=$D133,CM$3=$AC133,CM$3=$AE133),"",IF(CM$3=$AD133,$F133&amp;"R",CM132))))</f>
        <v>bN</v>
      </c>
      <c r="CN133" s="11" t="str">
        <f aca="false">IF($P133=0,CN132,IF(CN$3=$E133,IF($AA133=1,$F133&amp;$AB133,$G133),IF(OR(CN$3=$D133,CN$3=$AC133,CN$3=$AE133),"",IF(CN$3=$AD133,$F133&amp;"R",CN132))))</f>
        <v>bB</v>
      </c>
      <c r="CO133" s="11" t="str">
        <f aca="false">IF($P133=0,CO132,IF(CO$3=$E133,IF($AA133=1,$F133&amp;$AB133,$G133),IF(OR(CO$3=$D133,CO$3=$AC133,CO$3=$AE133),"",IF(CO$3=$AD133,$F133&amp;"R",CO132))))</f>
        <v>bQ</v>
      </c>
      <c r="CP133" s="11" t="str">
        <f aca="false">IF($P133=0,CP132,IF(CP$3=$E133,IF($AA133=1,$F133&amp;$AB133,$G133),IF(OR(CP$3=$D133,CP$3=$AC133,CP$3=$AE133),"",IF(CP$3=$AD133,$F133&amp;"R",CP132))))</f>
        <v>bK</v>
      </c>
      <c r="CQ133" s="11" t="str">
        <f aca="false">IF($P133=0,CQ132,IF(CQ$3=$E133,IF($AA133=1,$F133&amp;$AB133,$G133),IF(OR(CQ$3=$D133,CQ$3=$AC133,CQ$3=$AE133),"",IF(CQ$3=$AD133,$F133&amp;"R",CQ132))))</f>
        <v>bB</v>
      </c>
      <c r="CR133" s="11" t="str">
        <f aca="false">IF($P133=0,CR132,IF(CR$3=$E133,IF($AA133=1,$F133&amp;$AB133,$G133),IF(OR(CR$3=$D133,CR$3=$AC133,CR$3=$AE133),"",IF(CR$3=$AD133,$F133&amp;"R",CR132))))</f>
        <v>bN</v>
      </c>
      <c r="CS133" s="11" t="str">
        <f aca="false">IF($P133=0,CS132,IF(CS$3=$E133,IF($AA133=1,$F133&amp;$AB133,$G133),IF(OR(CS$3=$D133,CS$3=$AC133,CS$3=$AE133),"",IF(CS$3=$AD133,$F133&amp;"R",CS132))))</f>
        <v>bR</v>
      </c>
      <c r="CT133" s="11"/>
      <c r="CU133" s="11"/>
      <c r="CV133" s="11"/>
    </row>
    <row r="134" customFormat="false" ht="15" hidden="false" customHeight="false" outlineLevel="0" collapsed="false">
      <c r="A134" s="11" t="n">
        <v>129</v>
      </c>
      <c r="B134" s="11" t="str">
        <f aca="false">IF(Chess!$L$138="","",Chess!$L$138&amp;"")</f>
        <v/>
      </c>
      <c r="C134" s="11" t="str">
        <f aca="false">LOWER(SUBSTITUTE(SUBSTITUTE(SUBSTITUTE(SUBSTITUTE(TRIM($B134),"-",""),"=","")," ",""),"x",""))</f>
        <v/>
      </c>
      <c r="D134" s="11" t="n">
        <f aca="false">IF(LEN($C134)&lt;4,0,IFERROR(IF(AND(CODE(MID($C134,1,1))&gt;=97,CODE(MID($C134,1,1))&lt;=104,VALUE(MID($C134,2,1))&gt;=1,VALUE(MID($C134,2,1))&lt;=8),(VALUE(MID($C134,2,1))-1)*8+CODE(MID($C134,1,1))-96,0),0))</f>
        <v>0</v>
      </c>
      <c r="E134" s="11" t="n">
        <f aca="false">IF(LEN($C134)&lt;4,0,IFERROR(IF(AND(CODE(MID($C134,3,1))&gt;=97,CODE(MID($C134,3,1))&lt;=104,VALUE(MID($C134,4,1))&gt;=1,VALUE(MID($C134,4,1))&lt;=8),(VALUE(MID($C134,4,1))-1)*8+CODE(MID($C134,3,1))-96,0),0))</f>
        <v>0</v>
      </c>
      <c r="F134" s="11" t="str">
        <f aca="false">IF(MOD(SUM($P$5:$P133),2)=0,"w","b")</f>
        <v>w</v>
      </c>
      <c r="G134" s="11" t="str">
        <f aca="false">IF($D134=0,"",INDEX($AH133:$CS133,1,$D134)&amp;"")</f>
        <v/>
      </c>
      <c r="H134" s="11" t="str">
        <f aca="false">IF($E134=0,"",INDEX($AH133:$CS133,1,$E134)&amp;"")</f>
        <v/>
      </c>
      <c r="I134" s="11" t="n">
        <f aca="false">IF(OR($D134=0,$E134=0),0,MOD($E134-1,8)-MOD($D134-1,8))</f>
        <v>0</v>
      </c>
      <c r="J134" s="11" t="n">
        <f aca="false">IF(OR($D134=0,$E134=0),0,INT(($E134-1)/8)-INT(($D134-1)/8))</f>
        <v>0</v>
      </c>
      <c r="K134" s="11" t="str">
        <f aca="false">IF($G134="","",RIGHT($G134,1))</f>
        <v/>
      </c>
      <c r="L134" s="11" t="n">
        <f aca="false">IF(OR($D134=0,$E134=0),0,SUMPRODUCT(($AH$3:$CS$3&gt;MIN($D134,$E134))*($AH$3:$CS$3&lt;MAX($D134,$E134))*(MOD($AH$3:$CS$3-MIN($D134,$E134),MAX(1,ABS(SIGN($J134)*8+SIGN($I134))))=0)*($AH133:$CS133&lt;&gt;"")))</f>
        <v>0</v>
      </c>
      <c r="M134" s="11" t="n">
        <f aca="false">IF($K134&lt;&gt;"K",0,IFERROR(--AND($J134=0,ABS($I134)=2,$D134=IF($F134="w",5,61),IF($F134="w",$S133,$V133)=0,IF($I134=2,AND(IF($F134="w",$U133,$X133)=0,INDEX($AH133:$CS133,1,$D134+1)&amp;""="",INDEX($AH133:$CS133,1,$D134+2)&amp;""=""),AND(IF($F134="w",$T133,$W133)=0,INDEX($AH133:$CS133,1,$D134-1)&amp;""="",INDEX($AH133:$CS133,1,$D134-2)&amp;""="",INDEX($AH133:$CS133,1,$D134-3)&amp;""=""))),0))</f>
        <v>0</v>
      </c>
      <c r="N134" s="11" t="n">
        <f aca="false">IF($K134&lt;&gt;"P",0,IFERROR(--OR(AND($I134=0,$J134=IF($F134="w",1,-1),$H134=""),AND($I134=0,$J134=2*IF($F134="w",1,-1),$H134="",INT(($D134-1)/8)=IF($F134="w",1,6),INDEX($AH133:$CS133,1,MAX(1,MIN(64,$D134+8*IF($F134="w",1,-1))))&amp;""=""),AND(ABS($I134)=1,$J134=IF($F134="w",1,-1),$H134&lt;&gt;""),AND(ABS($I134)=1,$J134=IF($F134="w",1,-1),$H134="",$R133&gt;0,$E134=$R133)),0))</f>
        <v>0</v>
      </c>
      <c r="O134" s="11" t="n">
        <f aca="false">IF(OR($D134=0,$E134=0,$G134=""),0,IF($K134="N",--OR(AND(ABS($I134)=1,ABS($J134)=2),AND(ABS($I134)=2,ABS($J134)=1)),IF($K134="B",--AND(ABS($I134)=ABS($J134),$I134&lt;&gt;0,$L134=0),IF($K134="R",--AND(OR($I134=0,$J134=0),OR($I134&lt;&gt;0,$J134&lt;&gt;0),$L134=0),IF($K134="Q",--AND(OR(AND(ABS($I134)=ABS($J134),$I134&lt;&gt;0),AND(OR($I134=0,$J134=0),OR($I134&lt;&gt;0,$J134&lt;&gt;0))),$L134=0),IF($K134="K",--OR(MAX(ABS($I134),ABS($J134))=1,$M134=1),$N134))))))</f>
        <v>0</v>
      </c>
      <c r="P134" s="11" t="n">
        <f aca="false">IF($Q134="OK",1,0)</f>
        <v>0</v>
      </c>
      <c r="Q134" s="11" t="str">
        <f aca="false">IF($B134="","",IF(OR(COUNTIF($AH133:$CS133,"wK")=0,COUNTIF($AH133:$CS133,"bK")=0),"Game is over",IF(OR($D134=0,$E134=0),"Use the format e2e4",IF($G134="","No piece on that square",IF(LEFT($G134,1)&lt;&gt;$F134,"Not your piece ("&amp;IF($F134="w","White","Black")&amp;" to move)",IF($D134=$E134,"Piece must move",IF(AND($H134&lt;&gt;"",LEFT($H134,1)=$F134),"Cannot capture your own piece",IF($O134=0,"Illegal move for that piece (or path blocked)","OK"))))))))</f>
        <v/>
      </c>
      <c r="R134" s="11" t="n">
        <f aca="false">IF($P134=1,IF(AND($K134="P",ABS($J134)=2),($D134+$E134)/2,0),$R133)</f>
        <v>0</v>
      </c>
      <c r="S134" s="12" t="b">
        <f aca="false">--OR($S133=1,AND($P134=1,OR($D134=5,$E134=5)))</f>
        <v>0</v>
      </c>
      <c r="T134" s="12" t="b">
        <f aca="false">--OR($T133=1,AND($P134=1,OR($D134=1,$E134=1)))</f>
        <v>0</v>
      </c>
      <c r="U134" s="12" t="b">
        <f aca="false">--OR($U133=1,AND($P134=1,OR($D134=8,$E134=8)))</f>
        <v>0</v>
      </c>
      <c r="V134" s="12" t="b">
        <f aca="false">--OR($V133=1,AND($P134=1,OR($D134=61,$E134=61)))</f>
        <v>0</v>
      </c>
      <c r="W134" s="12" t="b">
        <f aca="false">--OR($W133=1,AND($P134=1,OR($D134=57,$E134=57)))</f>
        <v>0</v>
      </c>
      <c r="X134" s="12" t="b">
        <f aca="false">--OR($X133=1,AND($P134=1,OR($D134=64,$E134=64)))</f>
        <v>0</v>
      </c>
      <c r="Y134" s="12" t="b">
        <f aca="false">--AND($P134=1,$K134="K",ABS($I134)=2)</f>
        <v>0</v>
      </c>
      <c r="Z134" s="12" t="b">
        <f aca="false">--AND($P134=1,$K134="P",ABS($I134)=1,$H134="")</f>
        <v>0</v>
      </c>
      <c r="AA134" s="12" t="b">
        <f aca="false">--AND($P134=1,$K134="P",INT(($E134-1)/8)=IF($F134="w",7,0))</f>
        <v>0</v>
      </c>
      <c r="AB134" s="11" t="str">
        <f aca="false">IF(LEN($C134)&gt;=5,IF(ISNUMBER(FIND(MID($C134,5,1),"qrbn")),UPPER(MID($C134,5,1)),"Q"),"Q")</f>
        <v>Q</v>
      </c>
      <c r="AC134" s="11" t="n">
        <f aca="false">IF($Y134=1,IF($I134=2,$D134+3,$D134-4),0)</f>
        <v>0</v>
      </c>
      <c r="AD134" s="11" t="n">
        <f aca="false">IF($Y134=1,IF($I134=2,$D134+1,$D134-1),0)</f>
        <v>0</v>
      </c>
      <c r="AE134" s="11" t="n">
        <f aca="false">IF($Z134=1,$E134-8*IF($F134="w",1,-1),0)</f>
        <v>0</v>
      </c>
      <c r="AF134" s="11" t="str">
        <f aca="false">IF($B134="","",IF($P134=1,LOWER(INDEX($CV$2:$CV$13,MATCH($G134,$CU$2:$CU$13,0)))&amp;" "&amp;MID("abcdefgh",MOD($D134-1,8)+1,1)&amp;(INT(($D134-1)/8)+1)&amp;"→"&amp;MID("abcdefgh",MOD($E134-1,8)+1,1)&amp;(INT(($E134-1)/8)+1)&amp;IF(OR($H134&lt;&gt;"",$Z134=1)," ×","")&amp;IF($Y134=1," castles","")&amp;IF($Z134=1," e.p.","")&amp;IF($AA134=1," =" &amp;LOWER(INDEX($CV$2:$CV$13,MATCH($F134&amp;$AB134,$CU$2:$CU$13,0))),""),"X "&amp;$Q134))</f>
        <v/>
      </c>
      <c r="AG134" s="11"/>
      <c r="AH134" s="11" t="str">
        <f aca="false">IF($P134=0,AH133,IF(AH$3=$E134,IF($AA134=1,$F134&amp;$AB134,$G134),IF(OR(AH$3=$D134,AH$3=$AC134,AH$3=$AE134),"",IF(AH$3=$AD134,$F134&amp;"R",AH133))))</f>
        <v>wR</v>
      </c>
      <c r="AI134" s="11" t="str">
        <f aca="false">IF($P134=0,AI133,IF(AI$3=$E134,IF($AA134=1,$F134&amp;$AB134,$G134),IF(OR(AI$3=$D134,AI$3=$AC134,AI$3=$AE134),"",IF(AI$3=$AD134,$F134&amp;"R",AI133))))</f>
        <v>wN</v>
      </c>
      <c r="AJ134" s="11" t="str">
        <f aca="false">IF($P134=0,AJ133,IF(AJ$3=$E134,IF($AA134=1,$F134&amp;$AB134,$G134),IF(OR(AJ$3=$D134,AJ$3=$AC134,AJ$3=$AE134),"",IF(AJ$3=$AD134,$F134&amp;"R",AJ133))))</f>
        <v>wB</v>
      </c>
      <c r="AK134" s="11" t="str">
        <f aca="false">IF($P134=0,AK133,IF(AK$3=$E134,IF($AA134=1,$F134&amp;$AB134,$G134),IF(OR(AK$3=$D134,AK$3=$AC134,AK$3=$AE134),"",IF(AK$3=$AD134,$F134&amp;"R",AK133))))</f>
        <v>wQ</v>
      </c>
      <c r="AL134" s="11" t="str">
        <f aca="false">IF($P134=0,AL133,IF(AL$3=$E134,IF($AA134=1,$F134&amp;$AB134,$G134),IF(OR(AL$3=$D134,AL$3=$AC134,AL$3=$AE134),"",IF(AL$3=$AD134,$F134&amp;"R",AL133))))</f>
        <v>wK</v>
      </c>
      <c r="AM134" s="11" t="str">
        <f aca="false">IF($P134=0,AM133,IF(AM$3=$E134,IF($AA134=1,$F134&amp;$AB134,$G134),IF(OR(AM$3=$D134,AM$3=$AC134,AM$3=$AE134),"",IF(AM$3=$AD134,$F134&amp;"R",AM133))))</f>
        <v>wB</v>
      </c>
      <c r="AN134" s="11" t="str">
        <f aca="false">IF($P134=0,AN133,IF(AN$3=$E134,IF($AA134=1,$F134&amp;$AB134,$G134),IF(OR(AN$3=$D134,AN$3=$AC134,AN$3=$AE134),"",IF(AN$3=$AD134,$F134&amp;"R",AN133))))</f>
        <v>wN</v>
      </c>
      <c r="AO134" s="11" t="str">
        <f aca="false">IF($P134=0,AO133,IF(AO$3=$E134,IF($AA134=1,$F134&amp;$AB134,$G134),IF(OR(AO$3=$D134,AO$3=$AC134,AO$3=$AE134),"",IF(AO$3=$AD134,$F134&amp;"R",AO133))))</f>
        <v>wR</v>
      </c>
      <c r="AP134" s="11" t="str">
        <f aca="false">IF($P134=0,AP133,IF(AP$3=$E134,IF($AA134=1,$F134&amp;$AB134,$G134),IF(OR(AP$3=$D134,AP$3=$AC134,AP$3=$AE134),"",IF(AP$3=$AD134,$F134&amp;"R",AP133))))</f>
        <v>wP</v>
      </c>
      <c r="AQ134" s="11" t="str">
        <f aca="false">IF($P134=0,AQ133,IF(AQ$3=$E134,IF($AA134=1,$F134&amp;$AB134,$G134),IF(OR(AQ$3=$D134,AQ$3=$AC134,AQ$3=$AE134),"",IF(AQ$3=$AD134,$F134&amp;"R",AQ133))))</f>
        <v>wP</v>
      </c>
      <c r="AR134" s="11" t="str">
        <f aca="false">IF($P134=0,AR133,IF(AR$3=$E134,IF($AA134=1,$F134&amp;$AB134,$G134),IF(OR(AR$3=$D134,AR$3=$AC134,AR$3=$AE134),"",IF(AR$3=$AD134,$F134&amp;"R",AR133))))</f>
        <v>wP</v>
      </c>
      <c r="AS134" s="11" t="str">
        <f aca="false">IF($P134=0,AS133,IF(AS$3=$E134,IF($AA134=1,$F134&amp;$AB134,$G134),IF(OR(AS$3=$D134,AS$3=$AC134,AS$3=$AE134),"",IF(AS$3=$AD134,$F134&amp;"R",AS133))))</f>
        <v>wP</v>
      </c>
      <c r="AT134" s="11" t="str">
        <f aca="false">IF($P134=0,AT133,IF(AT$3=$E134,IF($AA134=1,$F134&amp;$AB134,$G134),IF(OR(AT$3=$D134,AT$3=$AC134,AT$3=$AE134),"",IF(AT$3=$AD134,$F134&amp;"R",AT133))))</f>
        <v>wP</v>
      </c>
      <c r="AU134" s="11" t="str">
        <f aca="false">IF($P134=0,AU133,IF(AU$3=$E134,IF($AA134=1,$F134&amp;$AB134,$G134),IF(OR(AU$3=$D134,AU$3=$AC134,AU$3=$AE134),"",IF(AU$3=$AD134,$F134&amp;"R",AU133))))</f>
        <v>wP</v>
      </c>
      <c r="AV134" s="11" t="str">
        <f aca="false">IF($P134=0,AV133,IF(AV$3=$E134,IF($AA134=1,$F134&amp;$AB134,$G134),IF(OR(AV$3=$D134,AV$3=$AC134,AV$3=$AE134),"",IF(AV$3=$AD134,$F134&amp;"R",AV133))))</f>
        <v>wP</v>
      </c>
      <c r="AW134" s="11" t="str">
        <f aca="false">IF($P134=0,AW133,IF(AW$3=$E134,IF($AA134=1,$F134&amp;$AB134,$G134),IF(OR(AW$3=$D134,AW$3=$AC134,AW$3=$AE134),"",IF(AW$3=$AD134,$F134&amp;"R",AW133))))</f>
        <v>wP</v>
      </c>
      <c r="AX134" s="11" t="str">
        <f aca="false">IF($P134=0,AX133,IF(AX$3=$E134,IF($AA134=1,$F134&amp;$AB134,$G134),IF(OR(AX$3=$D134,AX$3=$AC134,AX$3=$AE134),"",IF(AX$3=$AD134,$F134&amp;"R",AX133))))</f>
        <v/>
      </c>
      <c r="AY134" s="11" t="str">
        <f aca="false">IF($P134=0,AY133,IF(AY$3=$E134,IF($AA134=1,$F134&amp;$AB134,$G134),IF(OR(AY$3=$D134,AY$3=$AC134,AY$3=$AE134),"",IF(AY$3=$AD134,$F134&amp;"R",AY133))))</f>
        <v/>
      </c>
      <c r="AZ134" s="11" t="str">
        <f aca="false">IF($P134=0,AZ133,IF(AZ$3=$E134,IF($AA134=1,$F134&amp;$AB134,$G134),IF(OR(AZ$3=$D134,AZ$3=$AC134,AZ$3=$AE134),"",IF(AZ$3=$AD134,$F134&amp;"R",AZ133))))</f>
        <v/>
      </c>
      <c r="BA134" s="11" t="str">
        <f aca="false">IF($P134=0,BA133,IF(BA$3=$E134,IF($AA134=1,$F134&amp;$AB134,$G134),IF(OR(BA$3=$D134,BA$3=$AC134,BA$3=$AE134),"",IF(BA$3=$AD134,$F134&amp;"R",BA133))))</f>
        <v/>
      </c>
      <c r="BB134" s="11" t="str">
        <f aca="false">IF($P134=0,BB133,IF(BB$3=$E134,IF($AA134=1,$F134&amp;$AB134,$G134),IF(OR(BB$3=$D134,BB$3=$AC134,BB$3=$AE134),"",IF(BB$3=$AD134,$F134&amp;"R",BB133))))</f>
        <v/>
      </c>
      <c r="BC134" s="11" t="str">
        <f aca="false">IF($P134=0,BC133,IF(BC$3=$E134,IF($AA134=1,$F134&amp;$AB134,$G134),IF(OR(BC$3=$D134,BC$3=$AC134,BC$3=$AE134),"",IF(BC$3=$AD134,$F134&amp;"R",BC133))))</f>
        <v/>
      </c>
      <c r="BD134" s="11" t="str">
        <f aca="false">IF($P134=0,BD133,IF(BD$3=$E134,IF($AA134=1,$F134&amp;$AB134,$G134),IF(OR(BD$3=$D134,BD$3=$AC134,BD$3=$AE134),"",IF(BD$3=$AD134,$F134&amp;"R",BD133))))</f>
        <v/>
      </c>
      <c r="BE134" s="11" t="str">
        <f aca="false">IF($P134=0,BE133,IF(BE$3=$E134,IF($AA134=1,$F134&amp;$AB134,$G134),IF(OR(BE$3=$D134,BE$3=$AC134,BE$3=$AE134),"",IF(BE$3=$AD134,$F134&amp;"R",BE133))))</f>
        <v/>
      </c>
      <c r="BF134" s="11" t="str">
        <f aca="false">IF($P134=0,BF133,IF(BF$3=$E134,IF($AA134=1,$F134&amp;$AB134,$G134),IF(OR(BF$3=$D134,BF$3=$AC134,BF$3=$AE134),"",IF(BF$3=$AD134,$F134&amp;"R",BF133))))</f>
        <v/>
      </c>
      <c r="BG134" s="11" t="str">
        <f aca="false">IF($P134=0,BG133,IF(BG$3=$E134,IF($AA134=1,$F134&amp;$AB134,$G134),IF(OR(BG$3=$D134,BG$3=$AC134,BG$3=$AE134),"",IF(BG$3=$AD134,$F134&amp;"R",BG133))))</f>
        <v/>
      </c>
      <c r="BH134" s="11" t="str">
        <f aca="false">IF($P134=0,BH133,IF(BH$3=$E134,IF($AA134=1,$F134&amp;$AB134,$G134),IF(OR(BH$3=$D134,BH$3=$AC134,BH$3=$AE134),"",IF(BH$3=$AD134,$F134&amp;"R",BH133))))</f>
        <v/>
      </c>
      <c r="BI134" s="11" t="str">
        <f aca="false">IF($P134=0,BI133,IF(BI$3=$E134,IF($AA134=1,$F134&amp;$AB134,$G134),IF(OR(BI$3=$D134,BI$3=$AC134,BI$3=$AE134),"",IF(BI$3=$AD134,$F134&amp;"R",BI133))))</f>
        <v/>
      </c>
      <c r="BJ134" s="11" t="str">
        <f aca="false">IF($P134=0,BJ133,IF(BJ$3=$E134,IF($AA134=1,$F134&amp;$AB134,$G134),IF(OR(BJ$3=$D134,BJ$3=$AC134,BJ$3=$AE134),"",IF(BJ$3=$AD134,$F134&amp;"R",BJ133))))</f>
        <v/>
      </c>
      <c r="BK134" s="11" t="str">
        <f aca="false">IF($P134=0,BK133,IF(BK$3=$E134,IF($AA134=1,$F134&amp;$AB134,$G134),IF(OR(BK$3=$D134,BK$3=$AC134,BK$3=$AE134),"",IF(BK$3=$AD134,$F134&amp;"R",BK133))))</f>
        <v/>
      </c>
      <c r="BL134" s="11" t="str">
        <f aca="false">IF($P134=0,BL133,IF(BL$3=$E134,IF($AA134=1,$F134&amp;$AB134,$G134),IF(OR(BL$3=$D134,BL$3=$AC134,BL$3=$AE134),"",IF(BL$3=$AD134,$F134&amp;"R",BL133))))</f>
        <v/>
      </c>
      <c r="BM134" s="11" t="str">
        <f aca="false">IF($P134=0,BM133,IF(BM$3=$E134,IF($AA134=1,$F134&amp;$AB134,$G134),IF(OR(BM$3=$D134,BM$3=$AC134,BM$3=$AE134),"",IF(BM$3=$AD134,$F134&amp;"R",BM133))))</f>
        <v/>
      </c>
      <c r="BN134" s="11" t="str">
        <f aca="false">IF($P134=0,BN133,IF(BN$3=$E134,IF($AA134=1,$F134&amp;$AB134,$G134),IF(OR(BN$3=$D134,BN$3=$AC134,BN$3=$AE134),"",IF(BN$3=$AD134,$F134&amp;"R",BN133))))</f>
        <v/>
      </c>
      <c r="BO134" s="11" t="str">
        <f aca="false">IF($P134=0,BO133,IF(BO$3=$E134,IF($AA134=1,$F134&amp;$AB134,$G134),IF(OR(BO$3=$D134,BO$3=$AC134,BO$3=$AE134),"",IF(BO$3=$AD134,$F134&amp;"R",BO133))))</f>
        <v/>
      </c>
      <c r="BP134" s="11" t="str">
        <f aca="false">IF($P134=0,BP133,IF(BP$3=$E134,IF($AA134=1,$F134&amp;$AB134,$G134),IF(OR(BP$3=$D134,BP$3=$AC134,BP$3=$AE134),"",IF(BP$3=$AD134,$F134&amp;"R",BP133))))</f>
        <v/>
      </c>
      <c r="BQ134" s="11" t="str">
        <f aca="false">IF($P134=0,BQ133,IF(BQ$3=$E134,IF($AA134=1,$F134&amp;$AB134,$G134),IF(OR(BQ$3=$D134,BQ$3=$AC134,BQ$3=$AE134),"",IF(BQ$3=$AD134,$F134&amp;"R",BQ133))))</f>
        <v/>
      </c>
      <c r="BR134" s="11" t="str">
        <f aca="false">IF($P134=0,BR133,IF(BR$3=$E134,IF($AA134=1,$F134&amp;$AB134,$G134),IF(OR(BR$3=$D134,BR$3=$AC134,BR$3=$AE134),"",IF(BR$3=$AD134,$F134&amp;"R",BR133))))</f>
        <v/>
      </c>
      <c r="BS134" s="11" t="str">
        <f aca="false">IF($P134=0,BS133,IF(BS$3=$E134,IF($AA134=1,$F134&amp;$AB134,$G134),IF(OR(BS$3=$D134,BS$3=$AC134,BS$3=$AE134),"",IF(BS$3=$AD134,$F134&amp;"R",BS133))))</f>
        <v/>
      </c>
      <c r="BT134" s="11" t="str">
        <f aca="false">IF($P134=0,BT133,IF(BT$3=$E134,IF($AA134=1,$F134&amp;$AB134,$G134),IF(OR(BT$3=$D134,BT$3=$AC134,BT$3=$AE134),"",IF(BT$3=$AD134,$F134&amp;"R",BT133))))</f>
        <v/>
      </c>
      <c r="BU134" s="11" t="str">
        <f aca="false">IF($P134=0,BU133,IF(BU$3=$E134,IF($AA134=1,$F134&amp;$AB134,$G134),IF(OR(BU$3=$D134,BU$3=$AC134,BU$3=$AE134),"",IF(BU$3=$AD134,$F134&amp;"R",BU133))))</f>
        <v/>
      </c>
      <c r="BV134" s="11" t="str">
        <f aca="false">IF($P134=0,BV133,IF(BV$3=$E134,IF($AA134=1,$F134&amp;$AB134,$G134),IF(OR(BV$3=$D134,BV$3=$AC134,BV$3=$AE134),"",IF(BV$3=$AD134,$F134&amp;"R",BV133))))</f>
        <v/>
      </c>
      <c r="BW134" s="11" t="str">
        <f aca="false">IF($P134=0,BW133,IF(BW$3=$E134,IF($AA134=1,$F134&amp;$AB134,$G134),IF(OR(BW$3=$D134,BW$3=$AC134,BW$3=$AE134),"",IF(BW$3=$AD134,$F134&amp;"R",BW133))))</f>
        <v/>
      </c>
      <c r="BX134" s="11" t="str">
        <f aca="false">IF($P134=0,BX133,IF(BX$3=$E134,IF($AA134=1,$F134&amp;$AB134,$G134),IF(OR(BX$3=$D134,BX$3=$AC134,BX$3=$AE134),"",IF(BX$3=$AD134,$F134&amp;"R",BX133))))</f>
        <v/>
      </c>
      <c r="BY134" s="11" t="str">
        <f aca="false">IF($P134=0,BY133,IF(BY$3=$E134,IF($AA134=1,$F134&amp;$AB134,$G134),IF(OR(BY$3=$D134,BY$3=$AC134,BY$3=$AE134),"",IF(BY$3=$AD134,$F134&amp;"R",BY133))))</f>
        <v/>
      </c>
      <c r="BZ134" s="11" t="str">
        <f aca="false">IF($P134=0,BZ133,IF(BZ$3=$E134,IF($AA134=1,$F134&amp;$AB134,$G134),IF(OR(BZ$3=$D134,BZ$3=$AC134,BZ$3=$AE134),"",IF(BZ$3=$AD134,$F134&amp;"R",BZ133))))</f>
        <v/>
      </c>
      <c r="CA134" s="11" t="str">
        <f aca="false">IF($P134=0,CA133,IF(CA$3=$E134,IF($AA134=1,$F134&amp;$AB134,$G134),IF(OR(CA$3=$D134,CA$3=$AC134,CA$3=$AE134),"",IF(CA$3=$AD134,$F134&amp;"R",CA133))))</f>
        <v/>
      </c>
      <c r="CB134" s="11" t="str">
        <f aca="false">IF($P134=0,CB133,IF(CB$3=$E134,IF($AA134=1,$F134&amp;$AB134,$G134),IF(OR(CB$3=$D134,CB$3=$AC134,CB$3=$AE134),"",IF(CB$3=$AD134,$F134&amp;"R",CB133))))</f>
        <v/>
      </c>
      <c r="CC134" s="11" t="str">
        <f aca="false">IF($P134=0,CC133,IF(CC$3=$E134,IF($AA134=1,$F134&amp;$AB134,$G134),IF(OR(CC$3=$D134,CC$3=$AC134,CC$3=$AE134),"",IF(CC$3=$AD134,$F134&amp;"R",CC133))))</f>
        <v/>
      </c>
      <c r="CD134" s="11" t="str">
        <f aca="false">IF($P134=0,CD133,IF(CD$3=$E134,IF($AA134=1,$F134&amp;$AB134,$G134),IF(OR(CD$3=$D134,CD$3=$AC134,CD$3=$AE134),"",IF(CD$3=$AD134,$F134&amp;"R",CD133))))</f>
        <v>bP</v>
      </c>
      <c r="CE134" s="11" t="str">
        <f aca="false">IF($P134=0,CE133,IF(CE$3=$E134,IF($AA134=1,$F134&amp;$AB134,$G134),IF(OR(CE$3=$D134,CE$3=$AC134,CE$3=$AE134),"",IF(CE$3=$AD134,$F134&amp;"R",CE133))))</f>
        <v>bP</v>
      </c>
      <c r="CF134" s="11" t="str">
        <f aca="false">IF($P134=0,CF133,IF(CF$3=$E134,IF($AA134=1,$F134&amp;$AB134,$G134),IF(OR(CF$3=$D134,CF$3=$AC134,CF$3=$AE134),"",IF(CF$3=$AD134,$F134&amp;"R",CF133))))</f>
        <v>bP</v>
      </c>
      <c r="CG134" s="11" t="str">
        <f aca="false">IF($P134=0,CG133,IF(CG$3=$E134,IF($AA134=1,$F134&amp;$AB134,$G134),IF(OR(CG$3=$D134,CG$3=$AC134,CG$3=$AE134),"",IF(CG$3=$AD134,$F134&amp;"R",CG133))))</f>
        <v>bP</v>
      </c>
      <c r="CH134" s="11" t="str">
        <f aca="false">IF($P134=0,CH133,IF(CH$3=$E134,IF($AA134=1,$F134&amp;$AB134,$G134),IF(OR(CH$3=$D134,CH$3=$AC134,CH$3=$AE134),"",IF(CH$3=$AD134,$F134&amp;"R",CH133))))</f>
        <v>bP</v>
      </c>
      <c r="CI134" s="11" t="str">
        <f aca="false">IF($P134=0,CI133,IF(CI$3=$E134,IF($AA134=1,$F134&amp;$AB134,$G134),IF(OR(CI$3=$D134,CI$3=$AC134,CI$3=$AE134),"",IF(CI$3=$AD134,$F134&amp;"R",CI133))))</f>
        <v>bP</v>
      </c>
      <c r="CJ134" s="11" t="str">
        <f aca="false">IF($P134=0,CJ133,IF(CJ$3=$E134,IF($AA134=1,$F134&amp;$AB134,$G134),IF(OR(CJ$3=$D134,CJ$3=$AC134,CJ$3=$AE134),"",IF(CJ$3=$AD134,$F134&amp;"R",CJ133))))</f>
        <v>bP</v>
      </c>
      <c r="CK134" s="11" t="str">
        <f aca="false">IF($P134=0,CK133,IF(CK$3=$E134,IF($AA134=1,$F134&amp;$AB134,$G134),IF(OR(CK$3=$D134,CK$3=$AC134,CK$3=$AE134),"",IF(CK$3=$AD134,$F134&amp;"R",CK133))))</f>
        <v>bP</v>
      </c>
      <c r="CL134" s="11" t="str">
        <f aca="false">IF($P134=0,CL133,IF(CL$3=$E134,IF($AA134=1,$F134&amp;$AB134,$G134),IF(OR(CL$3=$D134,CL$3=$AC134,CL$3=$AE134),"",IF(CL$3=$AD134,$F134&amp;"R",CL133))))</f>
        <v>bR</v>
      </c>
      <c r="CM134" s="11" t="str">
        <f aca="false">IF($P134=0,CM133,IF(CM$3=$E134,IF($AA134=1,$F134&amp;$AB134,$G134),IF(OR(CM$3=$D134,CM$3=$AC134,CM$3=$AE134),"",IF(CM$3=$AD134,$F134&amp;"R",CM133))))</f>
        <v>bN</v>
      </c>
      <c r="CN134" s="11" t="str">
        <f aca="false">IF($P134=0,CN133,IF(CN$3=$E134,IF($AA134=1,$F134&amp;$AB134,$G134),IF(OR(CN$3=$D134,CN$3=$AC134,CN$3=$AE134),"",IF(CN$3=$AD134,$F134&amp;"R",CN133))))</f>
        <v>bB</v>
      </c>
      <c r="CO134" s="11" t="str">
        <f aca="false">IF($P134=0,CO133,IF(CO$3=$E134,IF($AA134=1,$F134&amp;$AB134,$G134),IF(OR(CO$3=$D134,CO$3=$AC134,CO$3=$AE134),"",IF(CO$3=$AD134,$F134&amp;"R",CO133))))</f>
        <v>bQ</v>
      </c>
      <c r="CP134" s="11" t="str">
        <f aca="false">IF($P134=0,CP133,IF(CP$3=$E134,IF($AA134=1,$F134&amp;$AB134,$G134),IF(OR(CP$3=$D134,CP$3=$AC134,CP$3=$AE134),"",IF(CP$3=$AD134,$F134&amp;"R",CP133))))</f>
        <v>bK</v>
      </c>
      <c r="CQ134" s="11" t="str">
        <f aca="false">IF($P134=0,CQ133,IF(CQ$3=$E134,IF($AA134=1,$F134&amp;$AB134,$G134),IF(OR(CQ$3=$D134,CQ$3=$AC134,CQ$3=$AE134),"",IF(CQ$3=$AD134,$F134&amp;"R",CQ133))))</f>
        <v>bB</v>
      </c>
      <c r="CR134" s="11" t="str">
        <f aca="false">IF($P134=0,CR133,IF(CR$3=$E134,IF($AA134=1,$F134&amp;$AB134,$G134),IF(OR(CR$3=$D134,CR$3=$AC134,CR$3=$AE134),"",IF(CR$3=$AD134,$F134&amp;"R",CR133))))</f>
        <v>bN</v>
      </c>
      <c r="CS134" s="11" t="str">
        <f aca="false">IF($P134=0,CS133,IF(CS$3=$E134,IF($AA134=1,$F134&amp;$AB134,$G134),IF(OR(CS$3=$D134,CS$3=$AC134,CS$3=$AE134),"",IF(CS$3=$AD134,$F134&amp;"R",CS133))))</f>
        <v>bR</v>
      </c>
      <c r="CT134" s="11"/>
      <c r="CU134" s="11"/>
      <c r="CV134" s="11"/>
    </row>
    <row r="135" customFormat="false" ht="15" hidden="false" customHeight="false" outlineLevel="0" collapsed="false">
      <c r="A135" s="11" t="n">
        <v>130</v>
      </c>
      <c r="B135" s="11" t="str">
        <f aca="false">IF(Chess!$L$139="","",Chess!$L$139&amp;"")</f>
        <v/>
      </c>
      <c r="C135" s="11" t="str">
        <f aca="false">LOWER(SUBSTITUTE(SUBSTITUTE(SUBSTITUTE(SUBSTITUTE(TRIM($B135),"-",""),"=","")," ",""),"x",""))</f>
        <v/>
      </c>
      <c r="D135" s="11" t="n">
        <f aca="false">IF(LEN($C135)&lt;4,0,IFERROR(IF(AND(CODE(MID($C135,1,1))&gt;=97,CODE(MID($C135,1,1))&lt;=104,VALUE(MID($C135,2,1))&gt;=1,VALUE(MID($C135,2,1))&lt;=8),(VALUE(MID($C135,2,1))-1)*8+CODE(MID($C135,1,1))-96,0),0))</f>
        <v>0</v>
      </c>
      <c r="E135" s="11" t="n">
        <f aca="false">IF(LEN($C135)&lt;4,0,IFERROR(IF(AND(CODE(MID($C135,3,1))&gt;=97,CODE(MID($C135,3,1))&lt;=104,VALUE(MID($C135,4,1))&gt;=1,VALUE(MID($C135,4,1))&lt;=8),(VALUE(MID($C135,4,1))-1)*8+CODE(MID($C135,3,1))-96,0),0))</f>
        <v>0</v>
      </c>
      <c r="F135" s="11" t="str">
        <f aca="false">IF(MOD(SUM($P$5:$P134),2)=0,"w","b")</f>
        <v>w</v>
      </c>
      <c r="G135" s="11" t="str">
        <f aca="false">IF($D135=0,"",INDEX($AH134:$CS134,1,$D135)&amp;"")</f>
        <v/>
      </c>
      <c r="H135" s="11" t="str">
        <f aca="false">IF($E135=0,"",INDEX($AH134:$CS134,1,$E135)&amp;"")</f>
        <v/>
      </c>
      <c r="I135" s="11" t="n">
        <f aca="false">IF(OR($D135=0,$E135=0),0,MOD($E135-1,8)-MOD($D135-1,8))</f>
        <v>0</v>
      </c>
      <c r="J135" s="11" t="n">
        <f aca="false">IF(OR($D135=0,$E135=0),0,INT(($E135-1)/8)-INT(($D135-1)/8))</f>
        <v>0</v>
      </c>
      <c r="K135" s="11" t="str">
        <f aca="false">IF($G135="","",RIGHT($G135,1))</f>
        <v/>
      </c>
      <c r="L135" s="11" t="n">
        <f aca="false">IF(OR($D135=0,$E135=0),0,SUMPRODUCT(($AH$3:$CS$3&gt;MIN($D135,$E135))*($AH$3:$CS$3&lt;MAX($D135,$E135))*(MOD($AH$3:$CS$3-MIN($D135,$E135),MAX(1,ABS(SIGN($J135)*8+SIGN($I135))))=0)*($AH134:$CS134&lt;&gt;"")))</f>
        <v>0</v>
      </c>
      <c r="M135" s="11" t="n">
        <f aca="false">IF($K135&lt;&gt;"K",0,IFERROR(--AND($J135=0,ABS($I135)=2,$D135=IF($F135="w",5,61),IF($F135="w",$S134,$V134)=0,IF($I135=2,AND(IF($F135="w",$U134,$X134)=0,INDEX($AH134:$CS134,1,$D135+1)&amp;""="",INDEX($AH134:$CS134,1,$D135+2)&amp;""=""),AND(IF($F135="w",$T134,$W134)=0,INDEX($AH134:$CS134,1,$D135-1)&amp;""="",INDEX($AH134:$CS134,1,$D135-2)&amp;""="",INDEX($AH134:$CS134,1,$D135-3)&amp;""=""))),0))</f>
        <v>0</v>
      </c>
      <c r="N135" s="11" t="n">
        <f aca="false">IF($K135&lt;&gt;"P",0,IFERROR(--OR(AND($I135=0,$J135=IF($F135="w",1,-1),$H135=""),AND($I135=0,$J135=2*IF($F135="w",1,-1),$H135="",INT(($D135-1)/8)=IF($F135="w",1,6),INDEX($AH134:$CS134,1,MAX(1,MIN(64,$D135+8*IF($F135="w",1,-1))))&amp;""=""),AND(ABS($I135)=1,$J135=IF($F135="w",1,-1),$H135&lt;&gt;""),AND(ABS($I135)=1,$J135=IF($F135="w",1,-1),$H135="",$R134&gt;0,$E135=$R134)),0))</f>
        <v>0</v>
      </c>
      <c r="O135" s="11" t="n">
        <f aca="false">IF(OR($D135=0,$E135=0,$G135=""),0,IF($K135="N",--OR(AND(ABS($I135)=1,ABS($J135)=2),AND(ABS($I135)=2,ABS($J135)=1)),IF($K135="B",--AND(ABS($I135)=ABS($J135),$I135&lt;&gt;0,$L135=0),IF($K135="R",--AND(OR($I135=0,$J135=0),OR($I135&lt;&gt;0,$J135&lt;&gt;0),$L135=0),IF($K135="Q",--AND(OR(AND(ABS($I135)=ABS($J135),$I135&lt;&gt;0),AND(OR($I135=0,$J135=0),OR($I135&lt;&gt;0,$J135&lt;&gt;0))),$L135=0),IF($K135="K",--OR(MAX(ABS($I135),ABS($J135))=1,$M135=1),$N135))))))</f>
        <v>0</v>
      </c>
      <c r="P135" s="11" t="n">
        <f aca="false">IF($Q135="OK",1,0)</f>
        <v>0</v>
      </c>
      <c r="Q135" s="11" t="str">
        <f aca="false">IF($B135="","",IF(OR(COUNTIF($AH134:$CS134,"wK")=0,COUNTIF($AH134:$CS134,"bK")=0),"Game is over",IF(OR($D135=0,$E135=0),"Use the format e2e4",IF($G135="","No piece on that square",IF(LEFT($G135,1)&lt;&gt;$F135,"Not your piece ("&amp;IF($F135="w","White","Black")&amp;" to move)",IF($D135=$E135,"Piece must move",IF(AND($H135&lt;&gt;"",LEFT($H135,1)=$F135),"Cannot capture your own piece",IF($O135=0,"Illegal move for that piece (or path blocked)","OK"))))))))</f>
        <v/>
      </c>
      <c r="R135" s="11" t="n">
        <f aca="false">IF($P135=1,IF(AND($K135="P",ABS($J135)=2),($D135+$E135)/2,0),$R134)</f>
        <v>0</v>
      </c>
      <c r="S135" s="12" t="b">
        <f aca="false">--OR($S134=1,AND($P135=1,OR($D135=5,$E135=5)))</f>
        <v>0</v>
      </c>
      <c r="T135" s="12" t="b">
        <f aca="false">--OR($T134=1,AND($P135=1,OR($D135=1,$E135=1)))</f>
        <v>0</v>
      </c>
      <c r="U135" s="12" t="b">
        <f aca="false">--OR($U134=1,AND($P135=1,OR($D135=8,$E135=8)))</f>
        <v>0</v>
      </c>
      <c r="V135" s="12" t="b">
        <f aca="false">--OR($V134=1,AND($P135=1,OR($D135=61,$E135=61)))</f>
        <v>0</v>
      </c>
      <c r="W135" s="12" t="b">
        <f aca="false">--OR($W134=1,AND($P135=1,OR($D135=57,$E135=57)))</f>
        <v>0</v>
      </c>
      <c r="X135" s="12" t="b">
        <f aca="false">--OR($X134=1,AND($P135=1,OR($D135=64,$E135=64)))</f>
        <v>0</v>
      </c>
      <c r="Y135" s="12" t="b">
        <f aca="false">--AND($P135=1,$K135="K",ABS($I135)=2)</f>
        <v>0</v>
      </c>
      <c r="Z135" s="12" t="b">
        <f aca="false">--AND($P135=1,$K135="P",ABS($I135)=1,$H135="")</f>
        <v>0</v>
      </c>
      <c r="AA135" s="12" t="b">
        <f aca="false">--AND($P135=1,$K135="P",INT(($E135-1)/8)=IF($F135="w",7,0))</f>
        <v>0</v>
      </c>
      <c r="AB135" s="11" t="str">
        <f aca="false">IF(LEN($C135)&gt;=5,IF(ISNUMBER(FIND(MID($C135,5,1),"qrbn")),UPPER(MID($C135,5,1)),"Q"),"Q")</f>
        <v>Q</v>
      </c>
      <c r="AC135" s="11" t="n">
        <f aca="false">IF($Y135=1,IF($I135=2,$D135+3,$D135-4),0)</f>
        <v>0</v>
      </c>
      <c r="AD135" s="11" t="n">
        <f aca="false">IF($Y135=1,IF($I135=2,$D135+1,$D135-1),0)</f>
        <v>0</v>
      </c>
      <c r="AE135" s="11" t="n">
        <f aca="false">IF($Z135=1,$E135-8*IF($F135="w",1,-1),0)</f>
        <v>0</v>
      </c>
      <c r="AF135" s="11" t="str">
        <f aca="false">IF($B135="","",IF($P135=1,LOWER(INDEX($CV$2:$CV$13,MATCH($G135,$CU$2:$CU$13,0)))&amp;" "&amp;MID("abcdefgh",MOD($D135-1,8)+1,1)&amp;(INT(($D135-1)/8)+1)&amp;"→"&amp;MID("abcdefgh",MOD($E135-1,8)+1,1)&amp;(INT(($E135-1)/8)+1)&amp;IF(OR($H135&lt;&gt;"",$Z135=1)," ×","")&amp;IF($Y135=1," castles","")&amp;IF($Z135=1," e.p.","")&amp;IF($AA135=1," =" &amp;LOWER(INDEX($CV$2:$CV$13,MATCH($F135&amp;$AB135,$CU$2:$CU$13,0))),""),"X "&amp;$Q135))</f>
        <v/>
      </c>
      <c r="AG135" s="11"/>
      <c r="AH135" s="11" t="str">
        <f aca="false">IF($P135=0,AH134,IF(AH$3=$E135,IF($AA135=1,$F135&amp;$AB135,$G135),IF(OR(AH$3=$D135,AH$3=$AC135,AH$3=$AE135),"",IF(AH$3=$AD135,$F135&amp;"R",AH134))))</f>
        <v>wR</v>
      </c>
      <c r="AI135" s="11" t="str">
        <f aca="false">IF($P135=0,AI134,IF(AI$3=$E135,IF($AA135=1,$F135&amp;$AB135,$G135),IF(OR(AI$3=$D135,AI$3=$AC135,AI$3=$AE135),"",IF(AI$3=$AD135,$F135&amp;"R",AI134))))</f>
        <v>wN</v>
      </c>
      <c r="AJ135" s="11" t="str">
        <f aca="false">IF($P135=0,AJ134,IF(AJ$3=$E135,IF($AA135=1,$F135&amp;$AB135,$G135),IF(OR(AJ$3=$D135,AJ$3=$AC135,AJ$3=$AE135),"",IF(AJ$3=$AD135,$F135&amp;"R",AJ134))))</f>
        <v>wB</v>
      </c>
      <c r="AK135" s="11" t="str">
        <f aca="false">IF($P135=0,AK134,IF(AK$3=$E135,IF($AA135=1,$F135&amp;$AB135,$G135),IF(OR(AK$3=$D135,AK$3=$AC135,AK$3=$AE135),"",IF(AK$3=$AD135,$F135&amp;"R",AK134))))</f>
        <v>wQ</v>
      </c>
      <c r="AL135" s="11" t="str">
        <f aca="false">IF($P135=0,AL134,IF(AL$3=$E135,IF($AA135=1,$F135&amp;$AB135,$G135),IF(OR(AL$3=$D135,AL$3=$AC135,AL$3=$AE135),"",IF(AL$3=$AD135,$F135&amp;"R",AL134))))</f>
        <v>wK</v>
      </c>
      <c r="AM135" s="11" t="str">
        <f aca="false">IF($P135=0,AM134,IF(AM$3=$E135,IF($AA135=1,$F135&amp;$AB135,$G135),IF(OR(AM$3=$D135,AM$3=$AC135,AM$3=$AE135),"",IF(AM$3=$AD135,$F135&amp;"R",AM134))))</f>
        <v>wB</v>
      </c>
      <c r="AN135" s="11" t="str">
        <f aca="false">IF($P135=0,AN134,IF(AN$3=$E135,IF($AA135=1,$F135&amp;$AB135,$G135),IF(OR(AN$3=$D135,AN$3=$AC135,AN$3=$AE135),"",IF(AN$3=$AD135,$F135&amp;"R",AN134))))</f>
        <v>wN</v>
      </c>
      <c r="AO135" s="11" t="str">
        <f aca="false">IF($P135=0,AO134,IF(AO$3=$E135,IF($AA135=1,$F135&amp;$AB135,$G135),IF(OR(AO$3=$D135,AO$3=$AC135,AO$3=$AE135),"",IF(AO$3=$AD135,$F135&amp;"R",AO134))))</f>
        <v>wR</v>
      </c>
      <c r="AP135" s="11" t="str">
        <f aca="false">IF($P135=0,AP134,IF(AP$3=$E135,IF($AA135=1,$F135&amp;$AB135,$G135),IF(OR(AP$3=$D135,AP$3=$AC135,AP$3=$AE135),"",IF(AP$3=$AD135,$F135&amp;"R",AP134))))</f>
        <v>wP</v>
      </c>
      <c r="AQ135" s="11" t="str">
        <f aca="false">IF($P135=0,AQ134,IF(AQ$3=$E135,IF($AA135=1,$F135&amp;$AB135,$G135),IF(OR(AQ$3=$D135,AQ$3=$AC135,AQ$3=$AE135),"",IF(AQ$3=$AD135,$F135&amp;"R",AQ134))))</f>
        <v>wP</v>
      </c>
      <c r="AR135" s="11" t="str">
        <f aca="false">IF($P135=0,AR134,IF(AR$3=$E135,IF($AA135=1,$F135&amp;$AB135,$G135),IF(OR(AR$3=$D135,AR$3=$AC135,AR$3=$AE135),"",IF(AR$3=$AD135,$F135&amp;"R",AR134))))</f>
        <v>wP</v>
      </c>
      <c r="AS135" s="11" t="str">
        <f aca="false">IF($P135=0,AS134,IF(AS$3=$E135,IF($AA135=1,$F135&amp;$AB135,$G135),IF(OR(AS$3=$D135,AS$3=$AC135,AS$3=$AE135),"",IF(AS$3=$AD135,$F135&amp;"R",AS134))))</f>
        <v>wP</v>
      </c>
      <c r="AT135" s="11" t="str">
        <f aca="false">IF($P135=0,AT134,IF(AT$3=$E135,IF($AA135=1,$F135&amp;$AB135,$G135),IF(OR(AT$3=$D135,AT$3=$AC135,AT$3=$AE135),"",IF(AT$3=$AD135,$F135&amp;"R",AT134))))</f>
        <v>wP</v>
      </c>
      <c r="AU135" s="11" t="str">
        <f aca="false">IF($P135=0,AU134,IF(AU$3=$E135,IF($AA135=1,$F135&amp;$AB135,$G135),IF(OR(AU$3=$D135,AU$3=$AC135,AU$3=$AE135),"",IF(AU$3=$AD135,$F135&amp;"R",AU134))))</f>
        <v>wP</v>
      </c>
      <c r="AV135" s="11" t="str">
        <f aca="false">IF($P135=0,AV134,IF(AV$3=$E135,IF($AA135=1,$F135&amp;$AB135,$G135),IF(OR(AV$3=$D135,AV$3=$AC135,AV$3=$AE135),"",IF(AV$3=$AD135,$F135&amp;"R",AV134))))</f>
        <v>wP</v>
      </c>
      <c r="AW135" s="11" t="str">
        <f aca="false">IF($P135=0,AW134,IF(AW$3=$E135,IF($AA135=1,$F135&amp;$AB135,$G135),IF(OR(AW$3=$D135,AW$3=$AC135,AW$3=$AE135),"",IF(AW$3=$AD135,$F135&amp;"R",AW134))))</f>
        <v>wP</v>
      </c>
      <c r="AX135" s="11" t="str">
        <f aca="false">IF($P135=0,AX134,IF(AX$3=$E135,IF($AA135=1,$F135&amp;$AB135,$G135),IF(OR(AX$3=$D135,AX$3=$AC135,AX$3=$AE135),"",IF(AX$3=$AD135,$F135&amp;"R",AX134))))</f>
        <v/>
      </c>
      <c r="AY135" s="11" t="str">
        <f aca="false">IF($P135=0,AY134,IF(AY$3=$E135,IF($AA135=1,$F135&amp;$AB135,$G135),IF(OR(AY$3=$D135,AY$3=$AC135,AY$3=$AE135),"",IF(AY$3=$AD135,$F135&amp;"R",AY134))))</f>
        <v/>
      </c>
      <c r="AZ135" s="11" t="str">
        <f aca="false">IF($P135=0,AZ134,IF(AZ$3=$E135,IF($AA135=1,$F135&amp;$AB135,$G135),IF(OR(AZ$3=$D135,AZ$3=$AC135,AZ$3=$AE135),"",IF(AZ$3=$AD135,$F135&amp;"R",AZ134))))</f>
        <v/>
      </c>
      <c r="BA135" s="11" t="str">
        <f aca="false">IF($P135=0,BA134,IF(BA$3=$E135,IF($AA135=1,$F135&amp;$AB135,$G135),IF(OR(BA$3=$D135,BA$3=$AC135,BA$3=$AE135),"",IF(BA$3=$AD135,$F135&amp;"R",BA134))))</f>
        <v/>
      </c>
      <c r="BB135" s="11" t="str">
        <f aca="false">IF($P135=0,BB134,IF(BB$3=$E135,IF($AA135=1,$F135&amp;$AB135,$G135),IF(OR(BB$3=$D135,BB$3=$AC135,BB$3=$AE135),"",IF(BB$3=$AD135,$F135&amp;"R",BB134))))</f>
        <v/>
      </c>
      <c r="BC135" s="11" t="str">
        <f aca="false">IF($P135=0,BC134,IF(BC$3=$E135,IF($AA135=1,$F135&amp;$AB135,$G135),IF(OR(BC$3=$D135,BC$3=$AC135,BC$3=$AE135),"",IF(BC$3=$AD135,$F135&amp;"R",BC134))))</f>
        <v/>
      </c>
      <c r="BD135" s="11" t="str">
        <f aca="false">IF($P135=0,BD134,IF(BD$3=$E135,IF($AA135=1,$F135&amp;$AB135,$G135),IF(OR(BD$3=$D135,BD$3=$AC135,BD$3=$AE135),"",IF(BD$3=$AD135,$F135&amp;"R",BD134))))</f>
        <v/>
      </c>
      <c r="BE135" s="11" t="str">
        <f aca="false">IF($P135=0,BE134,IF(BE$3=$E135,IF($AA135=1,$F135&amp;$AB135,$G135),IF(OR(BE$3=$D135,BE$3=$AC135,BE$3=$AE135),"",IF(BE$3=$AD135,$F135&amp;"R",BE134))))</f>
        <v/>
      </c>
      <c r="BF135" s="11" t="str">
        <f aca="false">IF($P135=0,BF134,IF(BF$3=$E135,IF($AA135=1,$F135&amp;$AB135,$G135),IF(OR(BF$3=$D135,BF$3=$AC135,BF$3=$AE135),"",IF(BF$3=$AD135,$F135&amp;"R",BF134))))</f>
        <v/>
      </c>
      <c r="BG135" s="11" t="str">
        <f aca="false">IF($P135=0,BG134,IF(BG$3=$E135,IF($AA135=1,$F135&amp;$AB135,$G135),IF(OR(BG$3=$D135,BG$3=$AC135,BG$3=$AE135),"",IF(BG$3=$AD135,$F135&amp;"R",BG134))))</f>
        <v/>
      </c>
      <c r="BH135" s="11" t="str">
        <f aca="false">IF($P135=0,BH134,IF(BH$3=$E135,IF($AA135=1,$F135&amp;$AB135,$G135),IF(OR(BH$3=$D135,BH$3=$AC135,BH$3=$AE135),"",IF(BH$3=$AD135,$F135&amp;"R",BH134))))</f>
        <v/>
      </c>
      <c r="BI135" s="11" t="str">
        <f aca="false">IF($P135=0,BI134,IF(BI$3=$E135,IF($AA135=1,$F135&amp;$AB135,$G135),IF(OR(BI$3=$D135,BI$3=$AC135,BI$3=$AE135),"",IF(BI$3=$AD135,$F135&amp;"R",BI134))))</f>
        <v/>
      </c>
      <c r="BJ135" s="11" t="str">
        <f aca="false">IF($P135=0,BJ134,IF(BJ$3=$E135,IF($AA135=1,$F135&amp;$AB135,$G135),IF(OR(BJ$3=$D135,BJ$3=$AC135,BJ$3=$AE135),"",IF(BJ$3=$AD135,$F135&amp;"R",BJ134))))</f>
        <v/>
      </c>
      <c r="BK135" s="11" t="str">
        <f aca="false">IF($P135=0,BK134,IF(BK$3=$E135,IF($AA135=1,$F135&amp;$AB135,$G135),IF(OR(BK$3=$D135,BK$3=$AC135,BK$3=$AE135),"",IF(BK$3=$AD135,$F135&amp;"R",BK134))))</f>
        <v/>
      </c>
      <c r="BL135" s="11" t="str">
        <f aca="false">IF($P135=0,BL134,IF(BL$3=$E135,IF($AA135=1,$F135&amp;$AB135,$G135),IF(OR(BL$3=$D135,BL$3=$AC135,BL$3=$AE135),"",IF(BL$3=$AD135,$F135&amp;"R",BL134))))</f>
        <v/>
      </c>
      <c r="BM135" s="11" t="str">
        <f aca="false">IF($P135=0,BM134,IF(BM$3=$E135,IF($AA135=1,$F135&amp;$AB135,$G135),IF(OR(BM$3=$D135,BM$3=$AC135,BM$3=$AE135),"",IF(BM$3=$AD135,$F135&amp;"R",BM134))))</f>
        <v/>
      </c>
      <c r="BN135" s="11" t="str">
        <f aca="false">IF($P135=0,BN134,IF(BN$3=$E135,IF($AA135=1,$F135&amp;$AB135,$G135),IF(OR(BN$3=$D135,BN$3=$AC135,BN$3=$AE135),"",IF(BN$3=$AD135,$F135&amp;"R",BN134))))</f>
        <v/>
      </c>
      <c r="BO135" s="11" t="str">
        <f aca="false">IF($P135=0,BO134,IF(BO$3=$E135,IF($AA135=1,$F135&amp;$AB135,$G135),IF(OR(BO$3=$D135,BO$3=$AC135,BO$3=$AE135),"",IF(BO$3=$AD135,$F135&amp;"R",BO134))))</f>
        <v/>
      </c>
      <c r="BP135" s="11" t="str">
        <f aca="false">IF($P135=0,BP134,IF(BP$3=$E135,IF($AA135=1,$F135&amp;$AB135,$G135),IF(OR(BP$3=$D135,BP$3=$AC135,BP$3=$AE135),"",IF(BP$3=$AD135,$F135&amp;"R",BP134))))</f>
        <v/>
      </c>
      <c r="BQ135" s="11" t="str">
        <f aca="false">IF($P135=0,BQ134,IF(BQ$3=$E135,IF($AA135=1,$F135&amp;$AB135,$G135),IF(OR(BQ$3=$D135,BQ$3=$AC135,BQ$3=$AE135),"",IF(BQ$3=$AD135,$F135&amp;"R",BQ134))))</f>
        <v/>
      </c>
      <c r="BR135" s="11" t="str">
        <f aca="false">IF($P135=0,BR134,IF(BR$3=$E135,IF($AA135=1,$F135&amp;$AB135,$G135),IF(OR(BR$3=$D135,BR$3=$AC135,BR$3=$AE135),"",IF(BR$3=$AD135,$F135&amp;"R",BR134))))</f>
        <v/>
      </c>
      <c r="BS135" s="11" t="str">
        <f aca="false">IF($P135=0,BS134,IF(BS$3=$E135,IF($AA135=1,$F135&amp;$AB135,$G135),IF(OR(BS$3=$D135,BS$3=$AC135,BS$3=$AE135),"",IF(BS$3=$AD135,$F135&amp;"R",BS134))))</f>
        <v/>
      </c>
      <c r="BT135" s="11" t="str">
        <f aca="false">IF($P135=0,BT134,IF(BT$3=$E135,IF($AA135=1,$F135&amp;$AB135,$G135),IF(OR(BT$3=$D135,BT$3=$AC135,BT$3=$AE135),"",IF(BT$3=$AD135,$F135&amp;"R",BT134))))</f>
        <v/>
      </c>
      <c r="BU135" s="11" t="str">
        <f aca="false">IF($P135=0,BU134,IF(BU$3=$E135,IF($AA135=1,$F135&amp;$AB135,$G135),IF(OR(BU$3=$D135,BU$3=$AC135,BU$3=$AE135),"",IF(BU$3=$AD135,$F135&amp;"R",BU134))))</f>
        <v/>
      </c>
      <c r="BV135" s="11" t="str">
        <f aca="false">IF($P135=0,BV134,IF(BV$3=$E135,IF($AA135=1,$F135&amp;$AB135,$G135),IF(OR(BV$3=$D135,BV$3=$AC135,BV$3=$AE135),"",IF(BV$3=$AD135,$F135&amp;"R",BV134))))</f>
        <v/>
      </c>
      <c r="BW135" s="11" t="str">
        <f aca="false">IF($P135=0,BW134,IF(BW$3=$E135,IF($AA135=1,$F135&amp;$AB135,$G135),IF(OR(BW$3=$D135,BW$3=$AC135,BW$3=$AE135),"",IF(BW$3=$AD135,$F135&amp;"R",BW134))))</f>
        <v/>
      </c>
      <c r="BX135" s="11" t="str">
        <f aca="false">IF($P135=0,BX134,IF(BX$3=$E135,IF($AA135=1,$F135&amp;$AB135,$G135),IF(OR(BX$3=$D135,BX$3=$AC135,BX$3=$AE135),"",IF(BX$3=$AD135,$F135&amp;"R",BX134))))</f>
        <v/>
      </c>
      <c r="BY135" s="11" t="str">
        <f aca="false">IF($P135=0,BY134,IF(BY$3=$E135,IF($AA135=1,$F135&amp;$AB135,$G135),IF(OR(BY$3=$D135,BY$3=$AC135,BY$3=$AE135),"",IF(BY$3=$AD135,$F135&amp;"R",BY134))))</f>
        <v/>
      </c>
      <c r="BZ135" s="11" t="str">
        <f aca="false">IF($P135=0,BZ134,IF(BZ$3=$E135,IF($AA135=1,$F135&amp;$AB135,$G135),IF(OR(BZ$3=$D135,BZ$3=$AC135,BZ$3=$AE135),"",IF(BZ$3=$AD135,$F135&amp;"R",BZ134))))</f>
        <v/>
      </c>
      <c r="CA135" s="11" t="str">
        <f aca="false">IF($P135=0,CA134,IF(CA$3=$E135,IF($AA135=1,$F135&amp;$AB135,$G135),IF(OR(CA$3=$D135,CA$3=$AC135,CA$3=$AE135),"",IF(CA$3=$AD135,$F135&amp;"R",CA134))))</f>
        <v/>
      </c>
      <c r="CB135" s="11" t="str">
        <f aca="false">IF($P135=0,CB134,IF(CB$3=$E135,IF($AA135=1,$F135&amp;$AB135,$G135),IF(OR(CB$3=$D135,CB$3=$AC135,CB$3=$AE135),"",IF(CB$3=$AD135,$F135&amp;"R",CB134))))</f>
        <v/>
      </c>
      <c r="CC135" s="11" t="str">
        <f aca="false">IF($P135=0,CC134,IF(CC$3=$E135,IF($AA135=1,$F135&amp;$AB135,$G135),IF(OR(CC$3=$D135,CC$3=$AC135,CC$3=$AE135),"",IF(CC$3=$AD135,$F135&amp;"R",CC134))))</f>
        <v/>
      </c>
      <c r="CD135" s="11" t="str">
        <f aca="false">IF($P135=0,CD134,IF(CD$3=$E135,IF($AA135=1,$F135&amp;$AB135,$G135),IF(OR(CD$3=$D135,CD$3=$AC135,CD$3=$AE135),"",IF(CD$3=$AD135,$F135&amp;"R",CD134))))</f>
        <v>bP</v>
      </c>
      <c r="CE135" s="11" t="str">
        <f aca="false">IF($P135=0,CE134,IF(CE$3=$E135,IF($AA135=1,$F135&amp;$AB135,$G135),IF(OR(CE$3=$D135,CE$3=$AC135,CE$3=$AE135),"",IF(CE$3=$AD135,$F135&amp;"R",CE134))))</f>
        <v>bP</v>
      </c>
      <c r="CF135" s="11" t="str">
        <f aca="false">IF($P135=0,CF134,IF(CF$3=$E135,IF($AA135=1,$F135&amp;$AB135,$G135),IF(OR(CF$3=$D135,CF$3=$AC135,CF$3=$AE135),"",IF(CF$3=$AD135,$F135&amp;"R",CF134))))</f>
        <v>bP</v>
      </c>
      <c r="CG135" s="11" t="str">
        <f aca="false">IF($P135=0,CG134,IF(CG$3=$E135,IF($AA135=1,$F135&amp;$AB135,$G135),IF(OR(CG$3=$D135,CG$3=$AC135,CG$3=$AE135),"",IF(CG$3=$AD135,$F135&amp;"R",CG134))))</f>
        <v>bP</v>
      </c>
      <c r="CH135" s="11" t="str">
        <f aca="false">IF($P135=0,CH134,IF(CH$3=$E135,IF($AA135=1,$F135&amp;$AB135,$G135),IF(OR(CH$3=$D135,CH$3=$AC135,CH$3=$AE135),"",IF(CH$3=$AD135,$F135&amp;"R",CH134))))</f>
        <v>bP</v>
      </c>
      <c r="CI135" s="11" t="str">
        <f aca="false">IF($P135=0,CI134,IF(CI$3=$E135,IF($AA135=1,$F135&amp;$AB135,$G135),IF(OR(CI$3=$D135,CI$3=$AC135,CI$3=$AE135),"",IF(CI$3=$AD135,$F135&amp;"R",CI134))))</f>
        <v>bP</v>
      </c>
      <c r="CJ135" s="11" t="str">
        <f aca="false">IF($P135=0,CJ134,IF(CJ$3=$E135,IF($AA135=1,$F135&amp;$AB135,$G135),IF(OR(CJ$3=$D135,CJ$3=$AC135,CJ$3=$AE135),"",IF(CJ$3=$AD135,$F135&amp;"R",CJ134))))</f>
        <v>bP</v>
      </c>
      <c r="CK135" s="11" t="str">
        <f aca="false">IF($P135=0,CK134,IF(CK$3=$E135,IF($AA135=1,$F135&amp;$AB135,$G135),IF(OR(CK$3=$D135,CK$3=$AC135,CK$3=$AE135),"",IF(CK$3=$AD135,$F135&amp;"R",CK134))))</f>
        <v>bP</v>
      </c>
      <c r="CL135" s="11" t="str">
        <f aca="false">IF($P135=0,CL134,IF(CL$3=$E135,IF($AA135=1,$F135&amp;$AB135,$G135),IF(OR(CL$3=$D135,CL$3=$AC135,CL$3=$AE135),"",IF(CL$3=$AD135,$F135&amp;"R",CL134))))</f>
        <v>bR</v>
      </c>
      <c r="CM135" s="11" t="str">
        <f aca="false">IF($P135=0,CM134,IF(CM$3=$E135,IF($AA135=1,$F135&amp;$AB135,$G135),IF(OR(CM$3=$D135,CM$3=$AC135,CM$3=$AE135),"",IF(CM$3=$AD135,$F135&amp;"R",CM134))))</f>
        <v>bN</v>
      </c>
      <c r="CN135" s="11" t="str">
        <f aca="false">IF($P135=0,CN134,IF(CN$3=$E135,IF($AA135=1,$F135&amp;$AB135,$G135),IF(OR(CN$3=$D135,CN$3=$AC135,CN$3=$AE135),"",IF(CN$3=$AD135,$F135&amp;"R",CN134))))</f>
        <v>bB</v>
      </c>
      <c r="CO135" s="11" t="str">
        <f aca="false">IF($P135=0,CO134,IF(CO$3=$E135,IF($AA135=1,$F135&amp;$AB135,$G135),IF(OR(CO$3=$D135,CO$3=$AC135,CO$3=$AE135),"",IF(CO$3=$AD135,$F135&amp;"R",CO134))))</f>
        <v>bQ</v>
      </c>
      <c r="CP135" s="11" t="str">
        <f aca="false">IF($P135=0,CP134,IF(CP$3=$E135,IF($AA135=1,$F135&amp;$AB135,$G135),IF(OR(CP$3=$D135,CP$3=$AC135,CP$3=$AE135),"",IF(CP$3=$AD135,$F135&amp;"R",CP134))))</f>
        <v>bK</v>
      </c>
      <c r="CQ135" s="11" t="str">
        <f aca="false">IF($P135=0,CQ134,IF(CQ$3=$E135,IF($AA135=1,$F135&amp;$AB135,$G135),IF(OR(CQ$3=$D135,CQ$3=$AC135,CQ$3=$AE135),"",IF(CQ$3=$AD135,$F135&amp;"R",CQ134))))</f>
        <v>bB</v>
      </c>
      <c r="CR135" s="11" t="str">
        <f aca="false">IF($P135=0,CR134,IF(CR$3=$E135,IF($AA135=1,$F135&amp;$AB135,$G135),IF(OR(CR$3=$D135,CR$3=$AC135,CR$3=$AE135),"",IF(CR$3=$AD135,$F135&amp;"R",CR134))))</f>
        <v>bN</v>
      </c>
      <c r="CS135" s="11" t="str">
        <f aca="false">IF($P135=0,CS134,IF(CS$3=$E135,IF($AA135=1,$F135&amp;$AB135,$G135),IF(OR(CS$3=$D135,CS$3=$AC135,CS$3=$AE135),"",IF(CS$3=$AD135,$F135&amp;"R",CS134))))</f>
        <v>bR</v>
      </c>
      <c r="CT135" s="11"/>
      <c r="CU135" s="11"/>
      <c r="CV135" s="11"/>
    </row>
    <row r="136" customFormat="false" ht="15" hidden="false" customHeight="false" outlineLevel="0" collapsed="false">
      <c r="A136" s="11" t="n">
        <v>131</v>
      </c>
      <c r="B136" s="11" t="str">
        <f aca="false">IF(Chess!$L$140="","",Chess!$L$140&amp;"")</f>
        <v/>
      </c>
      <c r="C136" s="11" t="str">
        <f aca="false">LOWER(SUBSTITUTE(SUBSTITUTE(SUBSTITUTE(SUBSTITUTE(TRIM($B136),"-",""),"=","")," ",""),"x",""))</f>
        <v/>
      </c>
      <c r="D136" s="11" t="n">
        <f aca="false">IF(LEN($C136)&lt;4,0,IFERROR(IF(AND(CODE(MID($C136,1,1))&gt;=97,CODE(MID($C136,1,1))&lt;=104,VALUE(MID($C136,2,1))&gt;=1,VALUE(MID($C136,2,1))&lt;=8),(VALUE(MID($C136,2,1))-1)*8+CODE(MID($C136,1,1))-96,0),0))</f>
        <v>0</v>
      </c>
      <c r="E136" s="11" t="n">
        <f aca="false">IF(LEN($C136)&lt;4,0,IFERROR(IF(AND(CODE(MID($C136,3,1))&gt;=97,CODE(MID($C136,3,1))&lt;=104,VALUE(MID($C136,4,1))&gt;=1,VALUE(MID($C136,4,1))&lt;=8),(VALUE(MID($C136,4,1))-1)*8+CODE(MID($C136,3,1))-96,0),0))</f>
        <v>0</v>
      </c>
      <c r="F136" s="11" t="str">
        <f aca="false">IF(MOD(SUM($P$5:$P135),2)=0,"w","b")</f>
        <v>w</v>
      </c>
      <c r="G136" s="11" t="str">
        <f aca="false">IF($D136=0,"",INDEX($AH135:$CS135,1,$D136)&amp;"")</f>
        <v/>
      </c>
      <c r="H136" s="11" t="str">
        <f aca="false">IF($E136=0,"",INDEX($AH135:$CS135,1,$E136)&amp;"")</f>
        <v/>
      </c>
      <c r="I136" s="11" t="n">
        <f aca="false">IF(OR($D136=0,$E136=0),0,MOD($E136-1,8)-MOD($D136-1,8))</f>
        <v>0</v>
      </c>
      <c r="J136" s="11" t="n">
        <f aca="false">IF(OR($D136=0,$E136=0),0,INT(($E136-1)/8)-INT(($D136-1)/8))</f>
        <v>0</v>
      </c>
      <c r="K136" s="11" t="str">
        <f aca="false">IF($G136="","",RIGHT($G136,1))</f>
        <v/>
      </c>
      <c r="L136" s="11" t="n">
        <f aca="false">IF(OR($D136=0,$E136=0),0,SUMPRODUCT(($AH$3:$CS$3&gt;MIN($D136,$E136))*($AH$3:$CS$3&lt;MAX($D136,$E136))*(MOD($AH$3:$CS$3-MIN($D136,$E136),MAX(1,ABS(SIGN($J136)*8+SIGN($I136))))=0)*($AH135:$CS135&lt;&gt;"")))</f>
        <v>0</v>
      </c>
      <c r="M136" s="11" t="n">
        <f aca="false">IF($K136&lt;&gt;"K",0,IFERROR(--AND($J136=0,ABS($I136)=2,$D136=IF($F136="w",5,61),IF($F136="w",$S135,$V135)=0,IF($I136=2,AND(IF($F136="w",$U135,$X135)=0,INDEX($AH135:$CS135,1,$D136+1)&amp;""="",INDEX($AH135:$CS135,1,$D136+2)&amp;""=""),AND(IF($F136="w",$T135,$W135)=0,INDEX($AH135:$CS135,1,$D136-1)&amp;""="",INDEX($AH135:$CS135,1,$D136-2)&amp;""="",INDEX($AH135:$CS135,1,$D136-3)&amp;""=""))),0))</f>
        <v>0</v>
      </c>
      <c r="N136" s="11" t="n">
        <f aca="false">IF($K136&lt;&gt;"P",0,IFERROR(--OR(AND($I136=0,$J136=IF($F136="w",1,-1),$H136=""),AND($I136=0,$J136=2*IF($F136="w",1,-1),$H136="",INT(($D136-1)/8)=IF($F136="w",1,6),INDEX($AH135:$CS135,1,MAX(1,MIN(64,$D136+8*IF($F136="w",1,-1))))&amp;""=""),AND(ABS($I136)=1,$J136=IF($F136="w",1,-1),$H136&lt;&gt;""),AND(ABS($I136)=1,$J136=IF($F136="w",1,-1),$H136="",$R135&gt;0,$E136=$R135)),0))</f>
        <v>0</v>
      </c>
      <c r="O136" s="11" t="n">
        <f aca="false">IF(OR($D136=0,$E136=0,$G136=""),0,IF($K136="N",--OR(AND(ABS($I136)=1,ABS($J136)=2),AND(ABS($I136)=2,ABS($J136)=1)),IF($K136="B",--AND(ABS($I136)=ABS($J136),$I136&lt;&gt;0,$L136=0),IF($K136="R",--AND(OR($I136=0,$J136=0),OR($I136&lt;&gt;0,$J136&lt;&gt;0),$L136=0),IF($K136="Q",--AND(OR(AND(ABS($I136)=ABS($J136),$I136&lt;&gt;0),AND(OR($I136=0,$J136=0),OR($I136&lt;&gt;0,$J136&lt;&gt;0))),$L136=0),IF($K136="K",--OR(MAX(ABS($I136),ABS($J136))=1,$M136=1),$N136))))))</f>
        <v>0</v>
      </c>
      <c r="P136" s="11" t="n">
        <f aca="false">IF($Q136="OK",1,0)</f>
        <v>0</v>
      </c>
      <c r="Q136" s="11" t="str">
        <f aca="false">IF($B136="","",IF(OR(COUNTIF($AH135:$CS135,"wK")=0,COUNTIF($AH135:$CS135,"bK")=0),"Game is over",IF(OR($D136=0,$E136=0),"Use the format e2e4",IF($G136="","No piece on that square",IF(LEFT($G136,1)&lt;&gt;$F136,"Not your piece ("&amp;IF($F136="w","White","Black")&amp;" to move)",IF($D136=$E136,"Piece must move",IF(AND($H136&lt;&gt;"",LEFT($H136,1)=$F136),"Cannot capture your own piece",IF($O136=0,"Illegal move for that piece (or path blocked)","OK"))))))))</f>
        <v/>
      </c>
      <c r="R136" s="11" t="n">
        <f aca="false">IF($P136=1,IF(AND($K136="P",ABS($J136)=2),($D136+$E136)/2,0),$R135)</f>
        <v>0</v>
      </c>
      <c r="S136" s="12" t="b">
        <f aca="false">--OR($S135=1,AND($P136=1,OR($D136=5,$E136=5)))</f>
        <v>0</v>
      </c>
      <c r="T136" s="12" t="b">
        <f aca="false">--OR($T135=1,AND($P136=1,OR($D136=1,$E136=1)))</f>
        <v>0</v>
      </c>
      <c r="U136" s="12" t="b">
        <f aca="false">--OR($U135=1,AND($P136=1,OR($D136=8,$E136=8)))</f>
        <v>0</v>
      </c>
      <c r="V136" s="12" t="b">
        <f aca="false">--OR($V135=1,AND($P136=1,OR($D136=61,$E136=61)))</f>
        <v>0</v>
      </c>
      <c r="W136" s="12" t="b">
        <f aca="false">--OR($W135=1,AND($P136=1,OR($D136=57,$E136=57)))</f>
        <v>0</v>
      </c>
      <c r="X136" s="12" t="b">
        <f aca="false">--OR($X135=1,AND($P136=1,OR($D136=64,$E136=64)))</f>
        <v>0</v>
      </c>
      <c r="Y136" s="12" t="b">
        <f aca="false">--AND($P136=1,$K136="K",ABS($I136)=2)</f>
        <v>0</v>
      </c>
      <c r="Z136" s="12" t="b">
        <f aca="false">--AND($P136=1,$K136="P",ABS($I136)=1,$H136="")</f>
        <v>0</v>
      </c>
      <c r="AA136" s="12" t="b">
        <f aca="false">--AND($P136=1,$K136="P",INT(($E136-1)/8)=IF($F136="w",7,0))</f>
        <v>0</v>
      </c>
      <c r="AB136" s="11" t="str">
        <f aca="false">IF(LEN($C136)&gt;=5,IF(ISNUMBER(FIND(MID($C136,5,1),"qrbn")),UPPER(MID($C136,5,1)),"Q"),"Q")</f>
        <v>Q</v>
      </c>
      <c r="AC136" s="11" t="n">
        <f aca="false">IF($Y136=1,IF($I136=2,$D136+3,$D136-4),0)</f>
        <v>0</v>
      </c>
      <c r="AD136" s="11" t="n">
        <f aca="false">IF($Y136=1,IF($I136=2,$D136+1,$D136-1),0)</f>
        <v>0</v>
      </c>
      <c r="AE136" s="11" t="n">
        <f aca="false">IF($Z136=1,$E136-8*IF($F136="w",1,-1),0)</f>
        <v>0</v>
      </c>
      <c r="AF136" s="11" t="str">
        <f aca="false">IF($B136="","",IF($P136=1,LOWER(INDEX($CV$2:$CV$13,MATCH($G136,$CU$2:$CU$13,0)))&amp;" "&amp;MID("abcdefgh",MOD($D136-1,8)+1,1)&amp;(INT(($D136-1)/8)+1)&amp;"→"&amp;MID("abcdefgh",MOD($E136-1,8)+1,1)&amp;(INT(($E136-1)/8)+1)&amp;IF(OR($H136&lt;&gt;"",$Z136=1)," ×","")&amp;IF($Y136=1," castles","")&amp;IF($Z136=1," e.p.","")&amp;IF($AA136=1," =" &amp;LOWER(INDEX($CV$2:$CV$13,MATCH($F136&amp;$AB136,$CU$2:$CU$13,0))),""),"X "&amp;$Q136))</f>
        <v/>
      </c>
      <c r="AG136" s="11"/>
      <c r="AH136" s="11" t="str">
        <f aca="false">IF($P136=0,AH135,IF(AH$3=$E136,IF($AA136=1,$F136&amp;$AB136,$G136),IF(OR(AH$3=$D136,AH$3=$AC136,AH$3=$AE136),"",IF(AH$3=$AD136,$F136&amp;"R",AH135))))</f>
        <v>wR</v>
      </c>
      <c r="AI136" s="11" t="str">
        <f aca="false">IF($P136=0,AI135,IF(AI$3=$E136,IF($AA136=1,$F136&amp;$AB136,$G136),IF(OR(AI$3=$D136,AI$3=$AC136,AI$3=$AE136),"",IF(AI$3=$AD136,$F136&amp;"R",AI135))))</f>
        <v>wN</v>
      </c>
      <c r="AJ136" s="11" t="str">
        <f aca="false">IF($P136=0,AJ135,IF(AJ$3=$E136,IF($AA136=1,$F136&amp;$AB136,$G136),IF(OR(AJ$3=$D136,AJ$3=$AC136,AJ$3=$AE136),"",IF(AJ$3=$AD136,$F136&amp;"R",AJ135))))</f>
        <v>wB</v>
      </c>
      <c r="AK136" s="11" t="str">
        <f aca="false">IF($P136=0,AK135,IF(AK$3=$E136,IF($AA136=1,$F136&amp;$AB136,$G136),IF(OR(AK$3=$D136,AK$3=$AC136,AK$3=$AE136),"",IF(AK$3=$AD136,$F136&amp;"R",AK135))))</f>
        <v>wQ</v>
      </c>
      <c r="AL136" s="11" t="str">
        <f aca="false">IF($P136=0,AL135,IF(AL$3=$E136,IF($AA136=1,$F136&amp;$AB136,$G136),IF(OR(AL$3=$D136,AL$3=$AC136,AL$3=$AE136),"",IF(AL$3=$AD136,$F136&amp;"R",AL135))))</f>
        <v>wK</v>
      </c>
      <c r="AM136" s="11" t="str">
        <f aca="false">IF($P136=0,AM135,IF(AM$3=$E136,IF($AA136=1,$F136&amp;$AB136,$G136),IF(OR(AM$3=$D136,AM$3=$AC136,AM$3=$AE136),"",IF(AM$3=$AD136,$F136&amp;"R",AM135))))</f>
        <v>wB</v>
      </c>
      <c r="AN136" s="11" t="str">
        <f aca="false">IF($P136=0,AN135,IF(AN$3=$E136,IF($AA136=1,$F136&amp;$AB136,$G136),IF(OR(AN$3=$D136,AN$3=$AC136,AN$3=$AE136),"",IF(AN$3=$AD136,$F136&amp;"R",AN135))))</f>
        <v>wN</v>
      </c>
      <c r="AO136" s="11" t="str">
        <f aca="false">IF($P136=0,AO135,IF(AO$3=$E136,IF($AA136=1,$F136&amp;$AB136,$G136),IF(OR(AO$3=$D136,AO$3=$AC136,AO$3=$AE136),"",IF(AO$3=$AD136,$F136&amp;"R",AO135))))</f>
        <v>wR</v>
      </c>
      <c r="AP136" s="11" t="str">
        <f aca="false">IF($P136=0,AP135,IF(AP$3=$E136,IF($AA136=1,$F136&amp;$AB136,$G136),IF(OR(AP$3=$D136,AP$3=$AC136,AP$3=$AE136),"",IF(AP$3=$AD136,$F136&amp;"R",AP135))))</f>
        <v>wP</v>
      </c>
      <c r="AQ136" s="11" t="str">
        <f aca="false">IF($P136=0,AQ135,IF(AQ$3=$E136,IF($AA136=1,$F136&amp;$AB136,$G136),IF(OR(AQ$3=$D136,AQ$3=$AC136,AQ$3=$AE136),"",IF(AQ$3=$AD136,$F136&amp;"R",AQ135))))</f>
        <v>wP</v>
      </c>
      <c r="AR136" s="11" t="str">
        <f aca="false">IF($P136=0,AR135,IF(AR$3=$E136,IF($AA136=1,$F136&amp;$AB136,$G136),IF(OR(AR$3=$D136,AR$3=$AC136,AR$3=$AE136),"",IF(AR$3=$AD136,$F136&amp;"R",AR135))))</f>
        <v>wP</v>
      </c>
      <c r="AS136" s="11" t="str">
        <f aca="false">IF($P136=0,AS135,IF(AS$3=$E136,IF($AA136=1,$F136&amp;$AB136,$G136),IF(OR(AS$3=$D136,AS$3=$AC136,AS$3=$AE136),"",IF(AS$3=$AD136,$F136&amp;"R",AS135))))</f>
        <v>wP</v>
      </c>
      <c r="AT136" s="11" t="str">
        <f aca="false">IF($P136=0,AT135,IF(AT$3=$E136,IF($AA136=1,$F136&amp;$AB136,$G136),IF(OR(AT$3=$D136,AT$3=$AC136,AT$3=$AE136),"",IF(AT$3=$AD136,$F136&amp;"R",AT135))))</f>
        <v>wP</v>
      </c>
      <c r="AU136" s="11" t="str">
        <f aca="false">IF($P136=0,AU135,IF(AU$3=$E136,IF($AA136=1,$F136&amp;$AB136,$G136),IF(OR(AU$3=$D136,AU$3=$AC136,AU$3=$AE136),"",IF(AU$3=$AD136,$F136&amp;"R",AU135))))</f>
        <v>wP</v>
      </c>
      <c r="AV136" s="11" t="str">
        <f aca="false">IF($P136=0,AV135,IF(AV$3=$E136,IF($AA136=1,$F136&amp;$AB136,$G136),IF(OR(AV$3=$D136,AV$3=$AC136,AV$3=$AE136),"",IF(AV$3=$AD136,$F136&amp;"R",AV135))))</f>
        <v>wP</v>
      </c>
      <c r="AW136" s="11" t="str">
        <f aca="false">IF($P136=0,AW135,IF(AW$3=$E136,IF($AA136=1,$F136&amp;$AB136,$G136),IF(OR(AW$3=$D136,AW$3=$AC136,AW$3=$AE136),"",IF(AW$3=$AD136,$F136&amp;"R",AW135))))</f>
        <v>wP</v>
      </c>
      <c r="AX136" s="11" t="str">
        <f aca="false">IF($P136=0,AX135,IF(AX$3=$E136,IF($AA136=1,$F136&amp;$AB136,$G136),IF(OR(AX$3=$D136,AX$3=$AC136,AX$3=$AE136),"",IF(AX$3=$AD136,$F136&amp;"R",AX135))))</f>
        <v/>
      </c>
      <c r="AY136" s="11" t="str">
        <f aca="false">IF($P136=0,AY135,IF(AY$3=$E136,IF($AA136=1,$F136&amp;$AB136,$G136),IF(OR(AY$3=$D136,AY$3=$AC136,AY$3=$AE136),"",IF(AY$3=$AD136,$F136&amp;"R",AY135))))</f>
        <v/>
      </c>
      <c r="AZ136" s="11" t="str">
        <f aca="false">IF($P136=0,AZ135,IF(AZ$3=$E136,IF($AA136=1,$F136&amp;$AB136,$G136),IF(OR(AZ$3=$D136,AZ$3=$AC136,AZ$3=$AE136),"",IF(AZ$3=$AD136,$F136&amp;"R",AZ135))))</f>
        <v/>
      </c>
      <c r="BA136" s="11" t="str">
        <f aca="false">IF($P136=0,BA135,IF(BA$3=$E136,IF($AA136=1,$F136&amp;$AB136,$G136),IF(OR(BA$3=$D136,BA$3=$AC136,BA$3=$AE136),"",IF(BA$3=$AD136,$F136&amp;"R",BA135))))</f>
        <v/>
      </c>
      <c r="BB136" s="11" t="str">
        <f aca="false">IF($P136=0,BB135,IF(BB$3=$E136,IF($AA136=1,$F136&amp;$AB136,$G136),IF(OR(BB$3=$D136,BB$3=$AC136,BB$3=$AE136),"",IF(BB$3=$AD136,$F136&amp;"R",BB135))))</f>
        <v/>
      </c>
      <c r="BC136" s="11" t="str">
        <f aca="false">IF($P136=0,BC135,IF(BC$3=$E136,IF($AA136=1,$F136&amp;$AB136,$G136),IF(OR(BC$3=$D136,BC$3=$AC136,BC$3=$AE136),"",IF(BC$3=$AD136,$F136&amp;"R",BC135))))</f>
        <v/>
      </c>
      <c r="BD136" s="11" t="str">
        <f aca="false">IF($P136=0,BD135,IF(BD$3=$E136,IF($AA136=1,$F136&amp;$AB136,$G136),IF(OR(BD$3=$D136,BD$3=$AC136,BD$3=$AE136),"",IF(BD$3=$AD136,$F136&amp;"R",BD135))))</f>
        <v/>
      </c>
      <c r="BE136" s="11" t="str">
        <f aca="false">IF($P136=0,BE135,IF(BE$3=$E136,IF($AA136=1,$F136&amp;$AB136,$G136),IF(OR(BE$3=$D136,BE$3=$AC136,BE$3=$AE136),"",IF(BE$3=$AD136,$F136&amp;"R",BE135))))</f>
        <v/>
      </c>
      <c r="BF136" s="11" t="str">
        <f aca="false">IF($P136=0,BF135,IF(BF$3=$E136,IF($AA136=1,$F136&amp;$AB136,$G136),IF(OR(BF$3=$D136,BF$3=$AC136,BF$3=$AE136),"",IF(BF$3=$AD136,$F136&amp;"R",BF135))))</f>
        <v/>
      </c>
      <c r="BG136" s="11" t="str">
        <f aca="false">IF($P136=0,BG135,IF(BG$3=$E136,IF($AA136=1,$F136&amp;$AB136,$G136),IF(OR(BG$3=$D136,BG$3=$AC136,BG$3=$AE136),"",IF(BG$3=$AD136,$F136&amp;"R",BG135))))</f>
        <v/>
      </c>
      <c r="BH136" s="11" t="str">
        <f aca="false">IF($P136=0,BH135,IF(BH$3=$E136,IF($AA136=1,$F136&amp;$AB136,$G136),IF(OR(BH$3=$D136,BH$3=$AC136,BH$3=$AE136),"",IF(BH$3=$AD136,$F136&amp;"R",BH135))))</f>
        <v/>
      </c>
      <c r="BI136" s="11" t="str">
        <f aca="false">IF($P136=0,BI135,IF(BI$3=$E136,IF($AA136=1,$F136&amp;$AB136,$G136),IF(OR(BI$3=$D136,BI$3=$AC136,BI$3=$AE136),"",IF(BI$3=$AD136,$F136&amp;"R",BI135))))</f>
        <v/>
      </c>
      <c r="BJ136" s="11" t="str">
        <f aca="false">IF($P136=0,BJ135,IF(BJ$3=$E136,IF($AA136=1,$F136&amp;$AB136,$G136),IF(OR(BJ$3=$D136,BJ$3=$AC136,BJ$3=$AE136),"",IF(BJ$3=$AD136,$F136&amp;"R",BJ135))))</f>
        <v/>
      </c>
      <c r="BK136" s="11" t="str">
        <f aca="false">IF($P136=0,BK135,IF(BK$3=$E136,IF($AA136=1,$F136&amp;$AB136,$G136),IF(OR(BK$3=$D136,BK$3=$AC136,BK$3=$AE136),"",IF(BK$3=$AD136,$F136&amp;"R",BK135))))</f>
        <v/>
      </c>
      <c r="BL136" s="11" t="str">
        <f aca="false">IF($P136=0,BL135,IF(BL$3=$E136,IF($AA136=1,$F136&amp;$AB136,$G136),IF(OR(BL$3=$D136,BL$3=$AC136,BL$3=$AE136),"",IF(BL$3=$AD136,$F136&amp;"R",BL135))))</f>
        <v/>
      </c>
      <c r="BM136" s="11" t="str">
        <f aca="false">IF($P136=0,BM135,IF(BM$3=$E136,IF($AA136=1,$F136&amp;$AB136,$G136),IF(OR(BM$3=$D136,BM$3=$AC136,BM$3=$AE136),"",IF(BM$3=$AD136,$F136&amp;"R",BM135))))</f>
        <v/>
      </c>
      <c r="BN136" s="11" t="str">
        <f aca="false">IF($P136=0,BN135,IF(BN$3=$E136,IF($AA136=1,$F136&amp;$AB136,$G136),IF(OR(BN$3=$D136,BN$3=$AC136,BN$3=$AE136),"",IF(BN$3=$AD136,$F136&amp;"R",BN135))))</f>
        <v/>
      </c>
      <c r="BO136" s="11" t="str">
        <f aca="false">IF($P136=0,BO135,IF(BO$3=$E136,IF($AA136=1,$F136&amp;$AB136,$G136),IF(OR(BO$3=$D136,BO$3=$AC136,BO$3=$AE136),"",IF(BO$3=$AD136,$F136&amp;"R",BO135))))</f>
        <v/>
      </c>
      <c r="BP136" s="11" t="str">
        <f aca="false">IF($P136=0,BP135,IF(BP$3=$E136,IF($AA136=1,$F136&amp;$AB136,$G136),IF(OR(BP$3=$D136,BP$3=$AC136,BP$3=$AE136),"",IF(BP$3=$AD136,$F136&amp;"R",BP135))))</f>
        <v/>
      </c>
      <c r="BQ136" s="11" t="str">
        <f aca="false">IF($P136=0,BQ135,IF(BQ$3=$E136,IF($AA136=1,$F136&amp;$AB136,$G136),IF(OR(BQ$3=$D136,BQ$3=$AC136,BQ$3=$AE136),"",IF(BQ$3=$AD136,$F136&amp;"R",BQ135))))</f>
        <v/>
      </c>
      <c r="BR136" s="11" t="str">
        <f aca="false">IF($P136=0,BR135,IF(BR$3=$E136,IF($AA136=1,$F136&amp;$AB136,$G136),IF(OR(BR$3=$D136,BR$3=$AC136,BR$3=$AE136),"",IF(BR$3=$AD136,$F136&amp;"R",BR135))))</f>
        <v/>
      </c>
      <c r="BS136" s="11" t="str">
        <f aca="false">IF($P136=0,BS135,IF(BS$3=$E136,IF($AA136=1,$F136&amp;$AB136,$G136),IF(OR(BS$3=$D136,BS$3=$AC136,BS$3=$AE136),"",IF(BS$3=$AD136,$F136&amp;"R",BS135))))</f>
        <v/>
      </c>
      <c r="BT136" s="11" t="str">
        <f aca="false">IF($P136=0,BT135,IF(BT$3=$E136,IF($AA136=1,$F136&amp;$AB136,$G136),IF(OR(BT$3=$D136,BT$3=$AC136,BT$3=$AE136),"",IF(BT$3=$AD136,$F136&amp;"R",BT135))))</f>
        <v/>
      </c>
      <c r="BU136" s="11" t="str">
        <f aca="false">IF($P136=0,BU135,IF(BU$3=$E136,IF($AA136=1,$F136&amp;$AB136,$G136),IF(OR(BU$3=$D136,BU$3=$AC136,BU$3=$AE136),"",IF(BU$3=$AD136,$F136&amp;"R",BU135))))</f>
        <v/>
      </c>
      <c r="BV136" s="11" t="str">
        <f aca="false">IF($P136=0,BV135,IF(BV$3=$E136,IF($AA136=1,$F136&amp;$AB136,$G136),IF(OR(BV$3=$D136,BV$3=$AC136,BV$3=$AE136),"",IF(BV$3=$AD136,$F136&amp;"R",BV135))))</f>
        <v/>
      </c>
      <c r="BW136" s="11" t="str">
        <f aca="false">IF($P136=0,BW135,IF(BW$3=$E136,IF($AA136=1,$F136&amp;$AB136,$G136),IF(OR(BW$3=$D136,BW$3=$AC136,BW$3=$AE136),"",IF(BW$3=$AD136,$F136&amp;"R",BW135))))</f>
        <v/>
      </c>
      <c r="BX136" s="11" t="str">
        <f aca="false">IF($P136=0,BX135,IF(BX$3=$E136,IF($AA136=1,$F136&amp;$AB136,$G136),IF(OR(BX$3=$D136,BX$3=$AC136,BX$3=$AE136),"",IF(BX$3=$AD136,$F136&amp;"R",BX135))))</f>
        <v/>
      </c>
      <c r="BY136" s="11" t="str">
        <f aca="false">IF($P136=0,BY135,IF(BY$3=$E136,IF($AA136=1,$F136&amp;$AB136,$G136),IF(OR(BY$3=$D136,BY$3=$AC136,BY$3=$AE136),"",IF(BY$3=$AD136,$F136&amp;"R",BY135))))</f>
        <v/>
      </c>
      <c r="BZ136" s="11" t="str">
        <f aca="false">IF($P136=0,BZ135,IF(BZ$3=$E136,IF($AA136=1,$F136&amp;$AB136,$G136),IF(OR(BZ$3=$D136,BZ$3=$AC136,BZ$3=$AE136),"",IF(BZ$3=$AD136,$F136&amp;"R",BZ135))))</f>
        <v/>
      </c>
      <c r="CA136" s="11" t="str">
        <f aca="false">IF($P136=0,CA135,IF(CA$3=$E136,IF($AA136=1,$F136&amp;$AB136,$G136),IF(OR(CA$3=$D136,CA$3=$AC136,CA$3=$AE136),"",IF(CA$3=$AD136,$F136&amp;"R",CA135))))</f>
        <v/>
      </c>
      <c r="CB136" s="11" t="str">
        <f aca="false">IF($P136=0,CB135,IF(CB$3=$E136,IF($AA136=1,$F136&amp;$AB136,$G136),IF(OR(CB$3=$D136,CB$3=$AC136,CB$3=$AE136),"",IF(CB$3=$AD136,$F136&amp;"R",CB135))))</f>
        <v/>
      </c>
      <c r="CC136" s="11" t="str">
        <f aca="false">IF($P136=0,CC135,IF(CC$3=$E136,IF($AA136=1,$F136&amp;$AB136,$G136),IF(OR(CC$3=$D136,CC$3=$AC136,CC$3=$AE136),"",IF(CC$3=$AD136,$F136&amp;"R",CC135))))</f>
        <v/>
      </c>
      <c r="CD136" s="11" t="str">
        <f aca="false">IF($P136=0,CD135,IF(CD$3=$E136,IF($AA136=1,$F136&amp;$AB136,$G136),IF(OR(CD$3=$D136,CD$3=$AC136,CD$3=$AE136),"",IF(CD$3=$AD136,$F136&amp;"R",CD135))))</f>
        <v>bP</v>
      </c>
      <c r="CE136" s="11" t="str">
        <f aca="false">IF($P136=0,CE135,IF(CE$3=$E136,IF($AA136=1,$F136&amp;$AB136,$G136),IF(OR(CE$3=$D136,CE$3=$AC136,CE$3=$AE136),"",IF(CE$3=$AD136,$F136&amp;"R",CE135))))</f>
        <v>bP</v>
      </c>
      <c r="CF136" s="11" t="str">
        <f aca="false">IF($P136=0,CF135,IF(CF$3=$E136,IF($AA136=1,$F136&amp;$AB136,$G136),IF(OR(CF$3=$D136,CF$3=$AC136,CF$3=$AE136),"",IF(CF$3=$AD136,$F136&amp;"R",CF135))))</f>
        <v>bP</v>
      </c>
      <c r="CG136" s="11" t="str">
        <f aca="false">IF($P136=0,CG135,IF(CG$3=$E136,IF($AA136=1,$F136&amp;$AB136,$G136),IF(OR(CG$3=$D136,CG$3=$AC136,CG$3=$AE136),"",IF(CG$3=$AD136,$F136&amp;"R",CG135))))</f>
        <v>bP</v>
      </c>
      <c r="CH136" s="11" t="str">
        <f aca="false">IF($P136=0,CH135,IF(CH$3=$E136,IF($AA136=1,$F136&amp;$AB136,$G136),IF(OR(CH$3=$D136,CH$3=$AC136,CH$3=$AE136),"",IF(CH$3=$AD136,$F136&amp;"R",CH135))))</f>
        <v>bP</v>
      </c>
      <c r="CI136" s="11" t="str">
        <f aca="false">IF($P136=0,CI135,IF(CI$3=$E136,IF($AA136=1,$F136&amp;$AB136,$G136),IF(OR(CI$3=$D136,CI$3=$AC136,CI$3=$AE136),"",IF(CI$3=$AD136,$F136&amp;"R",CI135))))</f>
        <v>bP</v>
      </c>
      <c r="CJ136" s="11" t="str">
        <f aca="false">IF($P136=0,CJ135,IF(CJ$3=$E136,IF($AA136=1,$F136&amp;$AB136,$G136),IF(OR(CJ$3=$D136,CJ$3=$AC136,CJ$3=$AE136),"",IF(CJ$3=$AD136,$F136&amp;"R",CJ135))))</f>
        <v>bP</v>
      </c>
      <c r="CK136" s="11" t="str">
        <f aca="false">IF($P136=0,CK135,IF(CK$3=$E136,IF($AA136=1,$F136&amp;$AB136,$G136),IF(OR(CK$3=$D136,CK$3=$AC136,CK$3=$AE136),"",IF(CK$3=$AD136,$F136&amp;"R",CK135))))</f>
        <v>bP</v>
      </c>
      <c r="CL136" s="11" t="str">
        <f aca="false">IF($P136=0,CL135,IF(CL$3=$E136,IF($AA136=1,$F136&amp;$AB136,$G136),IF(OR(CL$3=$D136,CL$3=$AC136,CL$3=$AE136),"",IF(CL$3=$AD136,$F136&amp;"R",CL135))))</f>
        <v>bR</v>
      </c>
      <c r="CM136" s="11" t="str">
        <f aca="false">IF($P136=0,CM135,IF(CM$3=$E136,IF($AA136=1,$F136&amp;$AB136,$G136),IF(OR(CM$3=$D136,CM$3=$AC136,CM$3=$AE136),"",IF(CM$3=$AD136,$F136&amp;"R",CM135))))</f>
        <v>bN</v>
      </c>
      <c r="CN136" s="11" t="str">
        <f aca="false">IF($P136=0,CN135,IF(CN$3=$E136,IF($AA136=1,$F136&amp;$AB136,$G136),IF(OR(CN$3=$D136,CN$3=$AC136,CN$3=$AE136),"",IF(CN$3=$AD136,$F136&amp;"R",CN135))))</f>
        <v>bB</v>
      </c>
      <c r="CO136" s="11" t="str">
        <f aca="false">IF($P136=0,CO135,IF(CO$3=$E136,IF($AA136=1,$F136&amp;$AB136,$G136),IF(OR(CO$3=$D136,CO$3=$AC136,CO$3=$AE136),"",IF(CO$3=$AD136,$F136&amp;"R",CO135))))</f>
        <v>bQ</v>
      </c>
      <c r="CP136" s="11" t="str">
        <f aca="false">IF($P136=0,CP135,IF(CP$3=$E136,IF($AA136=1,$F136&amp;$AB136,$G136),IF(OR(CP$3=$D136,CP$3=$AC136,CP$3=$AE136),"",IF(CP$3=$AD136,$F136&amp;"R",CP135))))</f>
        <v>bK</v>
      </c>
      <c r="CQ136" s="11" t="str">
        <f aca="false">IF($P136=0,CQ135,IF(CQ$3=$E136,IF($AA136=1,$F136&amp;$AB136,$G136),IF(OR(CQ$3=$D136,CQ$3=$AC136,CQ$3=$AE136),"",IF(CQ$3=$AD136,$F136&amp;"R",CQ135))))</f>
        <v>bB</v>
      </c>
      <c r="CR136" s="11" t="str">
        <f aca="false">IF($P136=0,CR135,IF(CR$3=$E136,IF($AA136=1,$F136&amp;$AB136,$G136),IF(OR(CR$3=$D136,CR$3=$AC136,CR$3=$AE136),"",IF(CR$3=$AD136,$F136&amp;"R",CR135))))</f>
        <v>bN</v>
      </c>
      <c r="CS136" s="11" t="str">
        <f aca="false">IF($P136=0,CS135,IF(CS$3=$E136,IF($AA136=1,$F136&amp;$AB136,$G136),IF(OR(CS$3=$D136,CS$3=$AC136,CS$3=$AE136),"",IF(CS$3=$AD136,$F136&amp;"R",CS135))))</f>
        <v>bR</v>
      </c>
      <c r="CT136" s="11"/>
      <c r="CU136" s="11"/>
      <c r="CV136" s="11"/>
    </row>
    <row r="137" customFormat="false" ht="15" hidden="false" customHeight="false" outlineLevel="0" collapsed="false">
      <c r="A137" s="11" t="n">
        <v>132</v>
      </c>
      <c r="B137" s="11" t="str">
        <f aca="false">IF(Chess!$L$141="","",Chess!$L$141&amp;"")</f>
        <v/>
      </c>
      <c r="C137" s="11" t="str">
        <f aca="false">LOWER(SUBSTITUTE(SUBSTITUTE(SUBSTITUTE(SUBSTITUTE(TRIM($B137),"-",""),"=","")," ",""),"x",""))</f>
        <v/>
      </c>
      <c r="D137" s="11" t="n">
        <f aca="false">IF(LEN($C137)&lt;4,0,IFERROR(IF(AND(CODE(MID($C137,1,1))&gt;=97,CODE(MID($C137,1,1))&lt;=104,VALUE(MID($C137,2,1))&gt;=1,VALUE(MID($C137,2,1))&lt;=8),(VALUE(MID($C137,2,1))-1)*8+CODE(MID($C137,1,1))-96,0),0))</f>
        <v>0</v>
      </c>
      <c r="E137" s="11" t="n">
        <f aca="false">IF(LEN($C137)&lt;4,0,IFERROR(IF(AND(CODE(MID($C137,3,1))&gt;=97,CODE(MID($C137,3,1))&lt;=104,VALUE(MID($C137,4,1))&gt;=1,VALUE(MID($C137,4,1))&lt;=8),(VALUE(MID($C137,4,1))-1)*8+CODE(MID($C137,3,1))-96,0),0))</f>
        <v>0</v>
      </c>
      <c r="F137" s="11" t="str">
        <f aca="false">IF(MOD(SUM($P$5:$P136),2)=0,"w","b")</f>
        <v>w</v>
      </c>
      <c r="G137" s="11" t="str">
        <f aca="false">IF($D137=0,"",INDEX($AH136:$CS136,1,$D137)&amp;"")</f>
        <v/>
      </c>
      <c r="H137" s="11" t="str">
        <f aca="false">IF($E137=0,"",INDEX($AH136:$CS136,1,$E137)&amp;"")</f>
        <v/>
      </c>
      <c r="I137" s="11" t="n">
        <f aca="false">IF(OR($D137=0,$E137=0),0,MOD($E137-1,8)-MOD($D137-1,8))</f>
        <v>0</v>
      </c>
      <c r="J137" s="11" t="n">
        <f aca="false">IF(OR($D137=0,$E137=0),0,INT(($E137-1)/8)-INT(($D137-1)/8))</f>
        <v>0</v>
      </c>
      <c r="K137" s="11" t="str">
        <f aca="false">IF($G137="","",RIGHT($G137,1))</f>
        <v/>
      </c>
      <c r="L137" s="11" t="n">
        <f aca="false">IF(OR($D137=0,$E137=0),0,SUMPRODUCT(($AH$3:$CS$3&gt;MIN($D137,$E137))*($AH$3:$CS$3&lt;MAX($D137,$E137))*(MOD($AH$3:$CS$3-MIN($D137,$E137),MAX(1,ABS(SIGN($J137)*8+SIGN($I137))))=0)*($AH136:$CS136&lt;&gt;"")))</f>
        <v>0</v>
      </c>
      <c r="M137" s="11" t="n">
        <f aca="false">IF($K137&lt;&gt;"K",0,IFERROR(--AND($J137=0,ABS($I137)=2,$D137=IF($F137="w",5,61),IF($F137="w",$S136,$V136)=0,IF($I137=2,AND(IF($F137="w",$U136,$X136)=0,INDEX($AH136:$CS136,1,$D137+1)&amp;""="",INDEX($AH136:$CS136,1,$D137+2)&amp;""=""),AND(IF($F137="w",$T136,$W136)=0,INDEX($AH136:$CS136,1,$D137-1)&amp;""="",INDEX($AH136:$CS136,1,$D137-2)&amp;""="",INDEX($AH136:$CS136,1,$D137-3)&amp;""=""))),0))</f>
        <v>0</v>
      </c>
      <c r="N137" s="11" t="n">
        <f aca="false">IF($K137&lt;&gt;"P",0,IFERROR(--OR(AND($I137=0,$J137=IF($F137="w",1,-1),$H137=""),AND($I137=0,$J137=2*IF($F137="w",1,-1),$H137="",INT(($D137-1)/8)=IF($F137="w",1,6),INDEX($AH136:$CS136,1,MAX(1,MIN(64,$D137+8*IF($F137="w",1,-1))))&amp;""=""),AND(ABS($I137)=1,$J137=IF($F137="w",1,-1),$H137&lt;&gt;""),AND(ABS($I137)=1,$J137=IF($F137="w",1,-1),$H137="",$R136&gt;0,$E137=$R136)),0))</f>
        <v>0</v>
      </c>
      <c r="O137" s="11" t="n">
        <f aca="false">IF(OR($D137=0,$E137=0,$G137=""),0,IF($K137="N",--OR(AND(ABS($I137)=1,ABS($J137)=2),AND(ABS($I137)=2,ABS($J137)=1)),IF($K137="B",--AND(ABS($I137)=ABS($J137),$I137&lt;&gt;0,$L137=0),IF($K137="R",--AND(OR($I137=0,$J137=0),OR($I137&lt;&gt;0,$J137&lt;&gt;0),$L137=0),IF($K137="Q",--AND(OR(AND(ABS($I137)=ABS($J137),$I137&lt;&gt;0),AND(OR($I137=0,$J137=0),OR($I137&lt;&gt;0,$J137&lt;&gt;0))),$L137=0),IF($K137="K",--OR(MAX(ABS($I137),ABS($J137))=1,$M137=1),$N137))))))</f>
        <v>0</v>
      </c>
      <c r="P137" s="11" t="n">
        <f aca="false">IF($Q137="OK",1,0)</f>
        <v>0</v>
      </c>
      <c r="Q137" s="11" t="str">
        <f aca="false">IF($B137="","",IF(OR(COUNTIF($AH136:$CS136,"wK")=0,COUNTIF($AH136:$CS136,"bK")=0),"Game is over",IF(OR($D137=0,$E137=0),"Use the format e2e4",IF($G137="","No piece on that square",IF(LEFT($G137,1)&lt;&gt;$F137,"Not your piece ("&amp;IF($F137="w","White","Black")&amp;" to move)",IF($D137=$E137,"Piece must move",IF(AND($H137&lt;&gt;"",LEFT($H137,1)=$F137),"Cannot capture your own piece",IF($O137=0,"Illegal move for that piece (or path blocked)","OK"))))))))</f>
        <v/>
      </c>
      <c r="R137" s="11" t="n">
        <f aca="false">IF($P137=1,IF(AND($K137="P",ABS($J137)=2),($D137+$E137)/2,0),$R136)</f>
        <v>0</v>
      </c>
      <c r="S137" s="12" t="b">
        <f aca="false">--OR($S136=1,AND($P137=1,OR($D137=5,$E137=5)))</f>
        <v>0</v>
      </c>
      <c r="T137" s="12" t="b">
        <f aca="false">--OR($T136=1,AND($P137=1,OR($D137=1,$E137=1)))</f>
        <v>0</v>
      </c>
      <c r="U137" s="12" t="b">
        <f aca="false">--OR($U136=1,AND($P137=1,OR($D137=8,$E137=8)))</f>
        <v>0</v>
      </c>
      <c r="V137" s="12" t="b">
        <f aca="false">--OR($V136=1,AND($P137=1,OR($D137=61,$E137=61)))</f>
        <v>0</v>
      </c>
      <c r="W137" s="12" t="b">
        <f aca="false">--OR($W136=1,AND($P137=1,OR($D137=57,$E137=57)))</f>
        <v>0</v>
      </c>
      <c r="X137" s="12" t="b">
        <f aca="false">--OR($X136=1,AND($P137=1,OR($D137=64,$E137=64)))</f>
        <v>0</v>
      </c>
      <c r="Y137" s="12" t="b">
        <f aca="false">--AND($P137=1,$K137="K",ABS($I137)=2)</f>
        <v>0</v>
      </c>
      <c r="Z137" s="12" t="b">
        <f aca="false">--AND($P137=1,$K137="P",ABS($I137)=1,$H137="")</f>
        <v>0</v>
      </c>
      <c r="AA137" s="12" t="b">
        <f aca="false">--AND($P137=1,$K137="P",INT(($E137-1)/8)=IF($F137="w",7,0))</f>
        <v>0</v>
      </c>
      <c r="AB137" s="11" t="str">
        <f aca="false">IF(LEN($C137)&gt;=5,IF(ISNUMBER(FIND(MID($C137,5,1),"qrbn")),UPPER(MID($C137,5,1)),"Q"),"Q")</f>
        <v>Q</v>
      </c>
      <c r="AC137" s="11" t="n">
        <f aca="false">IF($Y137=1,IF($I137=2,$D137+3,$D137-4),0)</f>
        <v>0</v>
      </c>
      <c r="AD137" s="11" t="n">
        <f aca="false">IF($Y137=1,IF($I137=2,$D137+1,$D137-1),0)</f>
        <v>0</v>
      </c>
      <c r="AE137" s="11" t="n">
        <f aca="false">IF($Z137=1,$E137-8*IF($F137="w",1,-1),0)</f>
        <v>0</v>
      </c>
      <c r="AF137" s="11" t="str">
        <f aca="false">IF($B137="","",IF($P137=1,LOWER(INDEX($CV$2:$CV$13,MATCH($G137,$CU$2:$CU$13,0)))&amp;" "&amp;MID("abcdefgh",MOD($D137-1,8)+1,1)&amp;(INT(($D137-1)/8)+1)&amp;"→"&amp;MID("abcdefgh",MOD($E137-1,8)+1,1)&amp;(INT(($E137-1)/8)+1)&amp;IF(OR($H137&lt;&gt;"",$Z137=1)," ×","")&amp;IF($Y137=1," castles","")&amp;IF($Z137=1," e.p.","")&amp;IF($AA137=1," =" &amp;LOWER(INDEX($CV$2:$CV$13,MATCH($F137&amp;$AB137,$CU$2:$CU$13,0))),""),"X "&amp;$Q137))</f>
        <v/>
      </c>
      <c r="AG137" s="11"/>
      <c r="AH137" s="11" t="str">
        <f aca="false">IF($P137=0,AH136,IF(AH$3=$E137,IF($AA137=1,$F137&amp;$AB137,$G137),IF(OR(AH$3=$D137,AH$3=$AC137,AH$3=$AE137),"",IF(AH$3=$AD137,$F137&amp;"R",AH136))))</f>
        <v>wR</v>
      </c>
      <c r="AI137" s="11" t="str">
        <f aca="false">IF($P137=0,AI136,IF(AI$3=$E137,IF($AA137=1,$F137&amp;$AB137,$G137),IF(OR(AI$3=$D137,AI$3=$AC137,AI$3=$AE137),"",IF(AI$3=$AD137,$F137&amp;"R",AI136))))</f>
        <v>wN</v>
      </c>
      <c r="AJ137" s="11" t="str">
        <f aca="false">IF($P137=0,AJ136,IF(AJ$3=$E137,IF($AA137=1,$F137&amp;$AB137,$G137),IF(OR(AJ$3=$D137,AJ$3=$AC137,AJ$3=$AE137),"",IF(AJ$3=$AD137,$F137&amp;"R",AJ136))))</f>
        <v>wB</v>
      </c>
      <c r="AK137" s="11" t="str">
        <f aca="false">IF($P137=0,AK136,IF(AK$3=$E137,IF($AA137=1,$F137&amp;$AB137,$G137),IF(OR(AK$3=$D137,AK$3=$AC137,AK$3=$AE137),"",IF(AK$3=$AD137,$F137&amp;"R",AK136))))</f>
        <v>wQ</v>
      </c>
      <c r="AL137" s="11" t="str">
        <f aca="false">IF($P137=0,AL136,IF(AL$3=$E137,IF($AA137=1,$F137&amp;$AB137,$G137),IF(OR(AL$3=$D137,AL$3=$AC137,AL$3=$AE137),"",IF(AL$3=$AD137,$F137&amp;"R",AL136))))</f>
        <v>wK</v>
      </c>
      <c r="AM137" s="11" t="str">
        <f aca="false">IF($P137=0,AM136,IF(AM$3=$E137,IF($AA137=1,$F137&amp;$AB137,$G137),IF(OR(AM$3=$D137,AM$3=$AC137,AM$3=$AE137),"",IF(AM$3=$AD137,$F137&amp;"R",AM136))))</f>
        <v>wB</v>
      </c>
      <c r="AN137" s="11" t="str">
        <f aca="false">IF($P137=0,AN136,IF(AN$3=$E137,IF($AA137=1,$F137&amp;$AB137,$G137),IF(OR(AN$3=$D137,AN$3=$AC137,AN$3=$AE137),"",IF(AN$3=$AD137,$F137&amp;"R",AN136))))</f>
        <v>wN</v>
      </c>
      <c r="AO137" s="11" t="str">
        <f aca="false">IF($P137=0,AO136,IF(AO$3=$E137,IF($AA137=1,$F137&amp;$AB137,$G137),IF(OR(AO$3=$D137,AO$3=$AC137,AO$3=$AE137),"",IF(AO$3=$AD137,$F137&amp;"R",AO136))))</f>
        <v>wR</v>
      </c>
      <c r="AP137" s="11" t="str">
        <f aca="false">IF($P137=0,AP136,IF(AP$3=$E137,IF($AA137=1,$F137&amp;$AB137,$G137),IF(OR(AP$3=$D137,AP$3=$AC137,AP$3=$AE137),"",IF(AP$3=$AD137,$F137&amp;"R",AP136))))</f>
        <v>wP</v>
      </c>
      <c r="AQ137" s="11" t="str">
        <f aca="false">IF($P137=0,AQ136,IF(AQ$3=$E137,IF($AA137=1,$F137&amp;$AB137,$G137),IF(OR(AQ$3=$D137,AQ$3=$AC137,AQ$3=$AE137),"",IF(AQ$3=$AD137,$F137&amp;"R",AQ136))))</f>
        <v>wP</v>
      </c>
      <c r="AR137" s="11" t="str">
        <f aca="false">IF($P137=0,AR136,IF(AR$3=$E137,IF($AA137=1,$F137&amp;$AB137,$G137),IF(OR(AR$3=$D137,AR$3=$AC137,AR$3=$AE137),"",IF(AR$3=$AD137,$F137&amp;"R",AR136))))</f>
        <v>wP</v>
      </c>
      <c r="AS137" s="11" t="str">
        <f aca="false">IF($P137=0,AS136,IF(AS$3=$E137,IF($AA137=1,$F137&amp;$AB137,$G137),IF(OR(AS$3=$D137,AS$3=$AC137,AS$3=$AE137),"",IF(AS$3=$AD137,$F137&amp;"R",AS136))))</f>
        <v>wP</v>
      </c>
      <c r="AT137" s="11" t="str">
        <f aca="false">IF($P137=0,AT136,IF(AT$3=$E137,IF($AA137=1,$F137&amp;$AB137,$G137),IF(OR(AT$3=$D137,AT$3=$AC137,AT$3=$AE137),"",IF(AT$3=$AD137,$F137&amp;"R",AT136))))</f>
        <v>wP</v>
      </c>
      <c r="AU137" s="11" t="str">
        <f aca="false">IF($P137=0,AU136,IF(AU$3=$E137,IF($AA137=1,$F137&amp;$AB137,$G137),IF(OR(AU$3=$D137,AU$3=$AC137,AU$3=$AE137),"",IF(AU$3=$AD137,$F137&amp;"R",AU136))))</f>
        <v>wP</v>
      </c>
      <c r="AV137" s="11" t="str">
        <f aca="false">IF($P137=0,AV136,IF(AV$3=$E137,IF($AA137=1,$F137&amp;$AB137,$G137),IF(OR(AV$3=$D137,AV$3=$AC137,AV$3=$AE137),"",IF(AV$3=$AD137,$F137&amp;"R",AV136))))</f>
        <v>wP</v>
      </c>
      <c r="AW137" s="11" t="str">
        <f aca="false">IF($P137=0,AW136,IF(AW$3=$E137,IF($AA137=1,$F137&amp;$AB137,$G137),IF(OR(AW$3=$D137,AW$3=$AC137,AW$3=$AE137),"",IF(AW$3=$AD137,$F137&amp;"R",AW136))))</f>
        <v>wP</v>
      </c>
      <c r="AX137" s="11" t="str">
        <f aca="false">IF($P137=0,AX136,IF(AX$3=$E137,IF($AA137=1,$F137&amp;$AB137,$G137),IF(OR(AX$3=$D137,AX$3=$AC137,AX$3=$AE137),"",IF(AX$3=$AD137,$F137&amp;"R",AX136))))</f>
        <v/>
      </c>
      <c r="AY137" s="11" t="str">
        <f aca="false">IF($P137=0,AY136,IF(AY$3=$E137,IF($AA137=1,$F137&amp;$AB137,$G137),IF(OR(AY$3=$D137,AY$3=$AC137,AY$3=$AE137),"",IF(AY$3=$AD137,$F137&amp;"R",AY136))))</f>
        <v/>
      </c>
      <c r="AZ137" s="11" t="str">
        <f aca="false">IF($P137=0,AZ136,IF(AZ$3=$E137,IF($AA137=1,$F137&amp;$AB137,$G137),IF(OR(AZ$3=$D137,AZ$3=$AC137,AZ$3=$AE137),"",IF(AZ$3=$AD137,$F137&amp;"R",AZ136))))</f>
        <v/>
      </c>
      <c r="BA137" s="11" t="str">
        <f aca="false">IF($P137=0,BA136,IF(BA$3=$E137,IF($AA137=1,$F137&amp;$AB137,$G137),IF(OR(BA$3=$D137,BA$3=$AC137,BA$3=$AE137),"",IF(BA$3=$AD137,$F137&amp;"R",BA136))))</f>
        <v/>
      </c>
      <c r="BB137" s="11" t="str">
        <f aca="false">IF($P137=0,BB136,IF(BB$3=$E137,IF($AA137=1,$F137&amp;$AB137,$G137),IF(OR(BB$3=$D137,BB$3=$AC137,BB$3=$AE137),"",IF(BB$3=$AD137,$F137&amp;"R",BB136))))</f>
        <v/>
      </c>
      <c r="BC137" s="11" t="str">
        <f aca="false">IF($P137=0,BC136,IF(BC$3=$E137,IF($AA137=1,$F137&amp;$AB137,$G137),IF(OR(BC$3=$D137,BC$3=$AC137,BC$3=$AE137),"",IF(BC$3=$AD137,$F137&amp;"R",BC136))))</f>
        <v/>
      </c>
      <c r="BD137" s="11" t="str">
        <f aca="false">IF($P137=0,BD136,IF(BD$3=$E137,IF($AA137=1,$F137&amp;$AB137,$G137),IF(OR(BD$3=$D137,BD$3=$AC137,BD$3=$AE137),"",IF(BD$3=$AD137,$F137&amp;"R",BD136))))</f>
        <v/>
      </c>
      <c r="BE137" s="11" t="str">
        <f aca="false">IF($P137=0,BE136,IF(BE$3=$E137,IF($AA137=1,$F137&amp;$AB137,$G137),IF(OR(BE$3=$D137,BE$3=$AC137,BE$3=$AE137),"",IF(BE$3=$AD137,$F137&amp;"R",BE136))))</f>
        <v/>
      </c>
      <c r="BF137" s="11" t="str">
        <f aca="false">IF($P137=0,BF136,IF(BF$3=$E137,IF($AA137=1,$F137&amp;$AB137,$G137),IF(OR(BF$3=$D137,BF$3=$AC137,BF$3=$AE137),"",IF(BF$3=$AD137,$F137&amp;"R",BF136))))</f>
        <v/>
      </c>
      <c r="BG137" s="11" t="str">
        <f aca="false">IF($P137=0,BG136,IF(BG$3=$E137,IF($AA137=1,$F137&amp;$AB137,$G137),IF(OR(BG$3=$D137,BG$3=$AC137,BG$3=$AE137),"",IF(BG$3=$AD137,$F137&amp;"R",BG136))))</f>
        <v/>
      </c>
      <c r="BH137" s="11" t="str">
        <f aca="false">IF($P137=0,BH136,IF(BH$3=$E137,IF($AA137=1,$F137&amp;$AB137,$G137),IF(OR(BH$3=$D137,BH$3=$AC137,BH$3=$AE137),"",IF(BH$3=$AD137,$F137&amp;"R",BH136))))</f>
        <v/>
      </c>
      <c r="BI137" s="11" t="str">
        <f aca="false">IF($P137=0,BI136,IF(BI$3=$E137,IF($AA137=1,$F137&amp;$AB137,$G137),IF(OR(BI$3=$D137,BI$3=$AC137,BI$3=$AE137),"",IF(BI$3=$AD137,$F137&amp;"R",BI136))))</f>
        <v/>
      </c>
      <c r="BJ137" s="11" t="str">
        <f aca="false">IF($P137=0,BJ136,IF(BJ$3=$E137,IF($AA137=1,$F137&amp;$AB137,$G137),IF(OR(BJ$3=$D137,BJ$3=$AC137,BJ$3=$AE137),"",IF(BJ$3=$AD137,$F137&amp;"R",BJ136))))</f>
        <v/>
      </c>
      <c r="BK137" s="11" t="str">
        <f aca="false">IF($P137=0,BK136,IF(BK$3=$E137,IF($AA137=1,$F137&amp;$AB137,$G137),IF(OR(BK$3=$D137,BK$3=$AC137,BK$3=$AE137),"",IF(BK$3=$AD137,$F137&amp;"R",BK136))))</f>
        <v/>
      </c>
      <c r="BL137" s="11" t="str">
        <f aca="false">IF($P137=0,BL136,IF(BL$3=$E137,IF($AA137=1,$F137&amp;$AB137,$G137),IF(OR(BL$3=$D137,BL$3=$AC137,BL$3=$AE137),"",IF(BL$3=$AD137,$F137&amp;"R",BL136))))</f>
        <v/>
      </c>
      <c r="BM137" s="11" t="str">
        <f aca="false">IF($P137=0,BM136,IF(BM$3=$E137,IF($AA137=1,$F137&amp;$AB137,$G137),IF(OR(BM$3=$D137,BM$3=$AC137,BM$3=$AE137),"",IF(BM$3=$AD137,$F137&amp;"R",BM136))))</f>
        <v/>
      </c>
      <c r="BN137" s="11" t="str">
        <f aca="false">IF($P137=0,BN136,IF(BN$3=$E137,IF($AA137=1,$F137&amp;$AB137,$G137),IF(OR(BN$3=$D137,BN$3=$AC137,BN$3=$AE137),"",IF(BN$3=$AD137,$F137&amp;"R",BN136))))</f>
        <v/>
      </c>
      <c r="BO137" s="11" t="str">
        <f aca="false">IF($P137=0,BO136,IF(BO$3=$E137,IF($AA137=1,$F137&amp;$AB137,$G137),IF(OR(BO$3=$D137,BO$3=$AC137,BO$3=$AE137),"",IF(BO$3=$AD137,$F137&amp;"R",BO136))))</f>
        <v/>
      </c>
      <c r="BP137" s="11" t="str">
        <f aca="false">IF($P137=0,BP136,IF(BP$3=$E137,IF($AA137=1,$F137&amp;$AB137,$G137),IF(OR(BP$3=$D137,BP$3=$AC137,BP$3=$AE137),"",IF(BP$3=$AD137,$F137&amp;"R",BP136))))</f>
        <v/>
      </c>
      <c r="BQ137" s="11" t="str">
        <f aca="false">IF($P137=0,BQ136,IF(BQ$3=$E137,IF($AA137=1,$F137&amp;$AB137,$G137),IF(OR(BQ$3=$D137,BQ$3=$AC137,BQ$3=$AE137),"",IF(BQ$3=$AD137,$F137&amp;"R",BQ136))))</f>
        <v/>
      </c>
      <c r="BR137" s="11" t="str">
        <f aca="false">IF($P137=0,BR136,IF(BR$3=$E137,IF($AA137=1,$F137&amp;$AB137,$G137),IF(OR(BR$3=$D137,BR$3=$AC137,BR$3=$AE137),"",IF(BR$3=$AD137,$F137&amp;"R",BR136))))</f>
        <v/>
      </c>
      <c r="BS137" s="11" t="str">
        <f aca="false">IF($P137=0,BS136,IF(BS$3=$E137,IF($AA137=1,$F137&amp;$AB137,$G137),IF(OR(BS$3=$D137,BS$3=$AC137,BS$3=$AE137),"",IF(BS$3=$AD137,$F137&amp;"R",BS136))))</f>
        <v/>
      </c>
      <c r="BT137" s="11" t="str">
        <f aca="false">IF($P137=0,BT136,IF(BT$3=$E137,IF($AA137=1,$F137&amp;$AB137,$G137),IF(OR(BT$3=$D137,BT$3=$AC137,BT$3=$AE137),"",IF(BT$3=$AD137,$F137&amp;"R",BT136))))</f>
        <v/>
      </c>
      <c r="BU137" s="11" t="str">
        <f aca="false">IF($P137=0,BU136,IF(BU$3=$E137,IF($AA137=1,$F137&amp;$AB137,$G137),IF(OR(BU$3=$D137,BU$3=$AC137,BU$3=$AE137),"",IF(BU$3=$AD137,$F137&amp;"R",BU136))))</f>
        <v/>
      </c>
      <c r="BV137" s="11" t="str">
        <f aca="false">IF($P137=0,BV136,IF(BV$3=$E137,IF($AA137=1,$F137&amp;$AB137,$G137),IF(OR(BV$3=$D137,BV$3=$AC137,BV$3=$AE137),"",IF(BV$3=$AD137,$F137&amp;"R",BV136))))</f>
        <v/>
      </c>
      <c r="BW137" s="11" t="str">
        <f aca="false">IF($P137=0,BW136,IF(BW$3=$E137,IF($AA137=1,$F137&amp;$AB137,$G137),IF(OR(BW$3=$D137,BW$3=$AC137,BW$3=$AE137),"",IF(BW$3=$AD137,$F137&amp;"R",BW136))))</f>
        <v/>
      </c>
      <c r="BX137" s="11" t="str">
        <f aca="false">IF($P137=0,BX136,IF(BX$3=$E137,IF($AA137=1,$F137&amp;$AB137,$G137),IF(OR(BX$3=$D137,BX$3=$AC137,BX$3=$AE137),"",IF(BX$3=$AD137,$F137&amp;"R",BX136))))</f>
        <v/>
      </c>
      <c r="BY137" s="11" t="str">
        <f aca="false">IF($P137=0,BY136,IF(BY$3=$E137,IF($AA137=1,$F137&amp;$AB137,$G137),IF(OR(BY$3=$D137,BY$3=$AC137,BY$3=$AE137),"",IF(BY$3=$AD137,$F137&amp;"R",BY136))))</f>
        <v/>
      </c>
      <c r="BZ137" s="11" t="str">
        <f aca="false">IF($P137=0,BZ136,IF(BZ$3=$E137,IF($AA137=1,$F137&amp;$AB137,$G137),IF(OR(BZ$3=$D137,BZ$3=$AC137,BZ$3=$AE137),"",IF(BZ$3=$AD137,$F137&amp;"R",BZ136))))</f>
        <v/>
      </c>
      <c r="CA137" s="11" t="str">
        <f aca="false">IF($P137=0,CA136,IF(CA$3=$E137,IF($AA137=1,$F137&amp;$AB137,$G137),IF(OR(CA$3=$D137,CA$3=$AC137,CA$3=$AE137),"",IF(CA$3=$AD137,$F137&amp;"R",CA136))))</f>
        <v/>
      </c>
      <c r="CB137" s="11" t="str">
        <f aca="false">IF($P137=0,CB136,IF(CB$3=$E137,IF($AA137=1,$F137&amp;$AB137,$G137),IF(OR(CB$3=$D137,CB$3=$AC137,CB$3=$AE137),"",IF(CB$3=$AD137,$F137&amp;"R",CB136))))</f>
        <v/>
      </c>
      <c r="CC137" s="11" t="str">
        <f aca="false">IF($P137=0,CC136,IF(CC$3=$E137,IF($AA137=1,$F137&amp;$AB137,$G137),IF(OR(CC$3=$D137,CC$3=$AC137,CC$3=$AE137),"",IF(CC$3=$AD137,$F137&amp;"R",CC136))))</f>
        <v/>
      </c>
      <c r="CD137" s="11" t="str">
        <f aca="false">IF($P137=0,CD136,IF(CD$3=$E137,IF($AA137=1,$F137&amp;$AB137,$G137),IF(OR(CD$3=$D137,CD$3=$AC137,CD$3=$AE137),"",IF(CD$3=$AD137,$F137&amp;"R",CD136))))</f>
        <v>bP</v>
      </c>
      <c r="CE137" s="11" t="str">
        <f aca="false">IF($P137=0,CE136,IF(CE$3=$E137,IF($AA137=1,$F137&amp;$AB137,$G137),IF(OR(CE$3=$D137,CE$3=$AC137,CE$3=$AE137),"",IF(CE$3=$AD137,$F137&amp;"R",CE136))))</f>
        <v>bP</v>
      </c>
      <c r="CF137" s="11" t="str">
        <f aca="false">IF($P137=0,CF136,IF(CF$3=$E137,IF($AA137=1,$F137&amp;$AB137,$G137),IF(OR(CF$3=$D137,CF$3=$AC137,CF$3=$AE137),"",IF(CF$3=$AD137,$F137&amp;"R",CF136))))</f>
        <v>bP</v>
      </c>
      <c r="CG137" s="11" t="str">
        <f aca="false">IF($P137=0,CG136,IF(CG$3=$E137,IF($AA137=1,$F137&amp;$AB137,$G137),IF(OR(CG$3=$D137,CG$3=$AC137,CG$3=$AE137),"",IF(CG$3=$AD137,$F137&amp;"R",CG136))))</f>
        <v>bP</v>
      </c>
      <c r="CH137" s="11" t="str">
        <f aca="false">IF($P137=0,CH136,IF(CH$3=$E137,IF($AA137=1,$F137&amp;$AB137,$G137),IF(OR(CH$3=$D137,CH$3=$AC137,CH$3=$AE137),"",IF(CH$3=$AD137,$F137&amp;"R",CH136))))</f>
        <v>bP</v>
      </c>
      <c r="CI137" s="11" t="str">
        <f aca="false">IF($P137=0,CI136,IF(CI$3=$E137,IF($AA137=1,$F137&amp;$AB137,$G137),IF(OR(CI$3=$D137,CI$3=$AC137,CI$3=$AE137),"",IF(CI$3=$AD137,$F137&amp;"R",CI136))))</f>
        <v>bP</v>
      </c>
      <c r="CJ137" s="11" t="str">
        <f aca="false">IF($P137=0,CJ136,IF(CJ$3=$E137,IF($AA137=1,$F137&amp;$AB137,$G137),IF(OR(CJ$3=$D137,CJ$3=$AC137,CJ$3=$AE137),"",IF(CJ$3=$AD137,$F137&amp;"R",CJ136))))</f>
        <v>bP</v>
      </c>
      <c r="CK137" s="11" t="str">
        <f aca="false">IF($P137=0,CK136,IF(CK$3=$E137,IF($AA137=1,$F137&amp;$AB137,$G137),IF(OR(CK$3=$D137,CK$3=$AC137,CK$3=$AE137),"",IF(CK$3=$AD137,$F137&amp;"R",CK136))))</f>
        <v>bP</v>
      </c>
      <c r="CL137" s="11" t="str">
        <f aca="false">IF($P137=0,CL136,IF(CL$3=$E137,IF($AA137=1,$F137&amp;$AB137,$G137),IF(OR(CL$3=$D137,CL$3=$AC137,CL$3=$AE137),"",IF(CL$3=$AD137,$F137&amp;"R",CL136))))</f>
        <v>bR</v>
      </c>
      <c r="CM137" s="11" t="str">
        <f aca="false">IF($P137=0,CM136,IF(CM$3=$E137,IF($AA137=1,$F137&amp;$AB137,$G137),IF(OR(CM$3=$D137,CM$3=$AC137,CM$3=$AE137),"",IF(CM$3=$AD137,$F137&amp;"R",CM136))))</f>
        <v>bN</v>
      </c>
      <c r="CN137" s="11" t="str">
        <f aca="false">IF($P137=0,CN136,IF(CN$3=$E137,IF($AA137=1,$F137&amp;$AB137,$G137),IF(OR(CN$3=$D137,CN$3=$AC137,CN$3=$AE137),"",IF(CN$3=$AD137,$F137&amp;"R",CN136))))</f>
        <v>bB</v>
      </c>
      <c r="CO137" s="11" t="str">
        <f aca="false">IF($P137=0,CO136,IF(CO$3=$E137,IF($AA137=1,$F137&amp;$AB137,$G137),IF(OR(CO$3=$D137,CO$3=$AC137,CO$3=$AE137),"",IF(CO$3=$AD137,$F137&amp;"R",CO136))))</f>
        <v>bQ</v>
      </c>
      <c r="CP137" s="11" t="str">
        <f aca="false">IF($P137=0,CP136,IF(CP$3=$E137,IF($AA137=1,$F137&amp;$AB137,$G137),IF(OR(CP$3=$D137,CP$3=$AC137,CP$3=$AE137),"",IF(CP$3=$AD137,$F137&amp;"R",CP136))))</f>
        <v>bK</v>
      </c>
      <c r="CQ137" s="11" t="str">
        <f aca="false">IF($P137=0,CQ136,IF(CQ$3=$E137,IF($AA137=1,$F137&amp;$AB137,$G137),IF(OR(CQ$3=$D137,CQ$3=$AC137,CQ$3=$AE137),"",IF(CQ$3=$AD137,$F137&amp;"R",CQ136))))</f>
        <v>bB</v>
      </c>
      <c r="CR137" s="11" t="str">
        <f aca="false">IF($P137=0,CR136,IF(CR$3=$E137,IF($AA137=1,$F137&amp;$AB137,$G137),IF(OR(CR$3=$D137,CR$3=$AC137,CR$3=$AE137),"",IF(CR$3=$AD137,$F137&amp;"R",CR136))))</f>
        <v>bN</v>
      </c>
      <c r="CS137" s="11" t="str">
        <f aca="false">IF($P137=0,CS136,IF(CS$3=$E137,IF($AA137=1,$F137&amp;$AB137,$G137),IF(OR(CS$3=$D137,CS$3=$AC137,CS$3=$AE137),"",IF(CS$3=$AD137,$F137&amp;"R",CS136))))</f>
        <v>bR</v>
      </c>
      <c r="CT137" s="11"/>
      <c r="CU137" s="11"/>
      <c r="CV137" s="11"/>
    </row>
    <row r="138" customFormat="false" ht="15" hidden="false" customHeight="false" outlineLevel="0" collapsed="false">
      <c r="A138" s="11" t="n">
        <v>133</v>
      </c>
      <c r="B138" s="11" t="str">
        <f aca="false">IF(Chess!$L$142="","",Chess!$L$142&amp;"")</f>
        <v/>
      </c>
      <c r="C138" s="11" t="str">
        <f aca="false">LOWER(SUBSTITUTE(SUBSTITUTE(SUBSTITUTE(SUBSTITUTE(TRIM($B138),"-",""),"=","")," ",""),"x",""))</f>
        <v/>
      </c>
      <c r="D138" s="11" t="n">
        <f aca="false">IF(LEN($C138)&lt;4,0,IFERROR(IF(AND(CODE(MID($C138,1,1))&gt;=97,CODE(MID($C138,1,1))&lt;=104,VALUE(MID($C138,2,1))&gt;=1,VALUE(MID($C138,2,1))&lt;=8),(VALUE(MID($C138,2,1))-1)*8+CODE(MID($C138,1,1))-96,0),0))</f>
        <v>0</v>
      </c>
      <c r="E138" s="11" t="n">
        <f aca="false">IF(LEN($C138)&lt;4,0,IFERROR(IF(AND(CODE(MID($C138,3,1))&gt;=97,CODE(MID($C138,3,1))&lt;=104,VALUE(MID($C138,4,1))&gt;=1,VALUE(MID($C138,4,1))&lt;=8),(VALUE(MID($C138,4,1))-1)*8+CODE(MID($C138,3,1))-96,0),0))</f>
        <v>0</v>
      </c>
      <c r="F138" s="11" t="str">
        <f aca="false">IF(MOD(SUM($P$5:$P137),2)=0,"w","b")</f>
        <v>w</v>
      </c>
      <c r="G138" s="11" t="str">
        <f aca="false">IF($D138=0,"",INDEX($AH137:$CS137,1,$D138)&amp;"")</f>
        <v/>
      </c>
      <c r="H138" s="11" t="str">
        <f aca="false">IF($E138=0,"",INDEX($AH137:$CS137,1,$E138)&amp;"")</f>
        <v/>
      </c>
      <c r="I138" s="11" t="n">
        <f aca="false">IF(OR($D138=0,$E138=0),0,MOD($E138-1,8)-MOD($D138-1,8))</f>
        <v>0</v>
      </c>
      <c r="J138" s="11" t="n">
        <f aca="false">IF(OR($D138=0,$E138=0),0,INT(($E138-1)/8)-INT(($D138-1)/8))</f>
        <v>0</v>
      </c>
      <c r="K138" s="11" t="str">
        <f aca="false">IF($G138="","",RIGHT($G138,1))</f>
        <v/>
      </c>
      <c r="L138" s="11" t="n">
        <f aca="false">IF(OR($D138=0,$E138=0),0,SUMPRODUCT(($AH$3:$CS$3&gt;MIN($D138,$E138))*($AH$3:$CS$3&lt;MAX($D138,$E138))*(MOD($AH$3:$CS$3-MIN($D138,$E138),MAX(1,ABS(SIGN($J138)*8+SIGN($I138))))=0)*($AH137:$CS137&lt;&gt;"")))</f>
        <v>0</v>
      </c>
      <c r="M138" s="11" t="n">
        <f aca="false">IF($K138&lt;&gt;"K",0,IFERROR(--AND($J138=0,ABS($I138)=2,$D138=IF($F138="w",5,61),IF($F138="w",$S137,$V137)=0,IF($I138=2,AND(IF($F138="w",$U137,$X137)=0,INDEX($AH137:$CS137,1,$D138+1)&amp;""="",INDEX($AH137:$CS137,1,$D138+2)&amp;""=""),AND(IF($F138="w",$T137,$W137)=0,INDEX($AH137:$CS137,1,$D138-1)&amp;""="",INDEX($AH137:$CS137,1,$D138-2)&amp;""="",INDEX($AH137:$CS137,1,$D138-3)&amp;""=""))),0))</f>
        <v>0</v>
      </c>
      <c r="N138" s="11" t="n">
        <f aca="false">IF($K138&lt;&gt;"P",0,IFERROR(--OR(AND($I138=0,$J138=IF($F138="w",1,-1),$H138=""),AND($I138=0,$J138=2*IF($F138="w",1,-1),$H138="",INT(($D138-1)/8)=IF($F138="w",1,6),INDEX($AH137:$CS137,1,MAX(1,MIN(64,$D138+8*IF($F138="w",1,-1))))&amp;""=""),AND(ABS($I138)=1,$J138=IF($F138="w",1,-1),$H138&lt;&gt;""),AND(ABS($I138)=1,$J138=IF($F138="w",1,-1),$H138="",$R137&gt;0,$E138=$R137)),0))</f>
        <v>0</v>
      </c>
      <c r="O138" s="11" t="n">
        <f aca="false">IF(OR($D138=0,$E138=0,$G138=""),0,IF($K138="N",--OR(AND(ABS($I138)=1,ABS($J138)=2),AND(ABS($I138)=2,ABS($J138)=1)),IF($K138="B",--AND(ABS($I138)=ABS($J138),$I138&lt;&gt;0,$L138=0),IF($K138="R",--AND(OR($I138=0,$J138=0),OR($I138&lt;&gt;0,$J138&lt;&gt;0),$L138=0),IF($K138="Q",--AND(OR(AND(ABS($I138)=ABS($J138),$I138&lt;&gt;0),AND(OR($I138=0,$J138=0),OR($I138&lt;&gt;0,$J138&lt;&gt;0))),$L138=0),IF($K138="K",--OR(MAX(ABS($I138),ABS($J138))=1,$M138=1),$N138))))))</f>
        <v>0</v>
      </c>
      <c r="P138" s="11" t="n">
        <f aca="false">IF($Q138="OK",1,0)</f>
        <v>0</v>
      </c>
      <c r="Q138" s="11" t="str">
        <f aca="false">IF($B138="","",IF(OR(COUNTIF($AH137:$CS137,"wK")=0,COUNTIF($AH137:$CS137,"bK")=0),"Game is over",IF(OR($D138=0,$E138=0),"Use the format e2e4",IF($G138="","No piece on that square",IF(LEFT($G138,1)&lt;&gt;$F138,"Not your piece ("&amp;IF($F138="w","White","Black")&amp;" to move)",IF($D138=$E138,"Piece must move",IF(AND($H138&lt;&gt;"",LEFT($H138,1)=$F138),"Cannot capture your own piece",IF($O138=0,"Illegal move for that piece (or path blocked)","OK"))))))))</f>
        <v/>
      </c>
      <c r="R138" s="11" t="n">
        <f aca="false">IF($P138=1,IF(AND($K138="P",ABS($J138)=2),($D138+$E138)/2,0),$R137)</f>
        <v>0</v>
      </c>
      <c r="S138" s="12" t="b">
        <f aca="false">--OR($S137=1,AND($P138=1,OR($D138=5,$E138=5)))</f>
        <v>0</v>
      </c>
      <c r="T138" s="12" t="b">
        <f aca="false">--OR($T137=1,AND($P138=1,OR($D138=1,$E138=1)))</f>
        <v>0</v>
      </c>
      <c r="U138" s="12" t="b">
        <f aca="false">--OR($U137=1,AND($P138=1,OR($D138=8,$E138=8)))</f>
        <v>0</v>
      </c>
      <c r="V138" s="12" t="b">
        <f aca="false">--OR($V137=1,AND($P138=1,OR($D138=61,$E138=61)))</f>
        <v>0</v>
      </c>
      <c r="W138" s="12" t="b">
        <f aca="false">--OR($W137=1,AND($P138=1,OR($D138=57,$E138=57)))</f>
        <v>0</v>
      </c>
      <c r="X138" s="12" t="b">
        <f aca="false">--OR($X137=1,AND($P138=1,OR($D138=64,$E138=64)))</f>
        <v>0</v>
      </c>
      <c r="Y138" s="12" t="b">
        <f aca="false">--AND($P138=1,$K138="K",ABS($I138)=2)</f>
        <v>0</v>
      </c>
      <c r="Z138" s="12" t="b">
        <f aca="false">--AND($P138=1,$K138="P",ABS($I138)=1,$H138="")</f>
        <v>0</v>
      </c>
      <c r="AA138" s="12" t="b">
        <f aca="false">--AND($P138=1,$K138="P",INT(($E138-1)/8)=IF($F138="w",7,0))</f>
        <v>0</v>
      </c>
      <c r="AB138" s="11" t="str">
        <f aca="false">IF(LEN($C138)&gt;=5,IF(ISNUMBER(FIND(MID($C138,5,1),"qrbn")),UPPER(MID($C138,5,1)),"Q"),"Q")</f>
        <v>Q</v>
      </c>
      <c r="AC138" s="11" t="n">
        <f aca="false">IF($Y138=1,IF($I138=2,$D138+3,$D138-4),0)</f>
        <v>0</v>
      </c>
      <c r="AD138" s="11" t="n">
        <f aca="false">IF($Y138=1,IF($I138=2,$D138+1,$D138-1),0)</f>
        <v>0</v>
      </c>
      <c r="AE138" s="11" t="n">
        <f aca="false">IF($Z138=1,$E138-8*IF($F138="w",1,-1),0)</f>
        <v>0</v>
      </c>
      <c r="AF138" s="11" t="str">
        <f aca="false">IF($B138="","",IF($P138=1,LOWER(INDEX($CV$2:$CV$13,MATCH($G138,$CU$2:$CU$13,0)))&amp;" "&amp;MID("abcdefgh",MOD($D138-1,8)+1,1)&amp;(INT(($D138-1)/8)+1)&amp;"→"&amp;MID("abcdefgh",MOD($E138-1,8)+1,1)&amp;(INT(($E138-1)/8)+1)&amp;IF(OR($H138&lt;&gt;"",$Z138=1)," ×","")&amp;IF($Y138=1," castles","")&amp;IF($Z138=1," e.p.","")&amp;IF($AA138=1," =" &amp;LOWER(INDEX($CV$2:$CV$13,MATCH($F138&amp;$AB138,$CU$2:$CU$13,0))),""),"X "&amp;$Q138))</f>
        <v/>
      </c>
      <c r="AG138" s="11"/>
      <c r="AH138" s="11" t="str">
        <f aca="false">IF($P138=0,AH137,IF(AH$3=$E138,IF($AA138=1,$F138&amp;$AB138,$G138),IF(OR(AH$3=$D138,AH$3=$AC138,AH$3=$AE138),"",IF(AH$3=$AD138,$F138&amp;"R",AH137))))</f>
        <v>wR</v>
      </c>
      <c r="AI138" s="11" t="str">
        <f aca="false">IF($P138=0,AI137,IF(AI$3=$E138,IF($AA138=1,$F138&amp;$AB138,$G138),IF(OR(AI$3=$D138,AI$3=$AC138,AI$3=$AE138),"",IF(AI$3=$AD138,$F138&amp;"R",AI137))))</f>
        <v>wN</v>
      </c>
      <c r="AJ138" s="11" t="str">
        <f aca="false">IF($P138=0,AJ137,IF(AJ$3=$E138,IF($AA138=1,$F138&amp;$AB138,$G138),IF(OR(AJ$3=$D138,AJ$3=$AC138,AJ$3=$AE138),"",IF(AJ$3=$AD138,$F138&amp;"R",AJ137))))</f>
        <v>wB</v>
      </c>
      <c r="AK138" s="11" t="str">
        <f aca="false">IF($P138=0,AK137,IF(AK$3=$E138,IF($AA138=1,$F138&amp;$AB138,$G138),IF(OR(AK$3=$D138,AK$3=$AC138,AK$3=$AE138),"",IF(AK$3=$AD138,$F138&amp;"R",AK137))))</f>
        <v>wQ</v>
      </c>
      <c r="AL138" s="11" t="str">
        <f aca="false">IF($P138=0,AL137,IF(AL$3=$E138,IF($AA138=1,$F138&amp;$AB138,$G138),IF(OR(AL$3=$D138,AL$3=$AC138,AL$3=$AE138),"",IF(AL$3=$AD138,$F138&amp;"R",AL137))))</f>
        <v>wK</v>
      </c>
      <c r="AM138" s="11" t="str">
        <f aca="false">IF($P138=0,AM137,IF(AM$3=$E138,IF($AA138=1,$F138&amp;$AB138,$G138),IF(OR(AM$3=$D138,AM$3=$AC138,AM$3=$AE138),"",IF(AM$3=$AD138,$F138&amp;"R",AM137))))</f>
        <v>wB</v>
      </c>
      <c r="AN138" s="11" t="str">
        <f aca="false">IF($P138=0,AN137,IF(AN$3=$E138,IF($AA138=1,$F138&amp;$AB138,$G138),IF(OR(AN$3=$D138,AN$3=$AC138,AN$3=$AE138),"",IF(AN$3=$AD138,$F138&amp;"R",AN137))))</f>
        <v>wN</v>
      </c>
      <c r="AO138" s="11" t="str">
        <f aca="false">IF($P138=0,AO137,IF(AO$3=$E138,IF($AA138=1,$F138&amp;$AB138,$G138),IF(OR(AO$3=$D138,AO$3=$AC138,AO$3=$AE138),"",IF(AO$3=$AD138,$F138&amp;"R",AO137))))</f>
        <v>wR</v>
      </c>
      <c r="AP138" s="11" t="str">
        <f aca="false">IF($P138=0,AP137,IF(AP$3=$E138,IF($AA138=1,$F138&amp;$AB138,$G138),IF(OR(AP$3=$D138,AP$3=$AC138,AP$3=$AE138),"",IF(AP$3=$AD138,$F138&amp;"R",AP137))))</f>
        <v>wP</v>
      </c>
      <c r="AQ138" s="11" t="str">
        <f aca="false">IF($P138=0,AQ137,IF(AQ$3=$E138,IF($AA138=1,$F138&amp;$AB138,$G138),IF(OR(AQ$3=$D138,AQ$3=$AC138,AQ$3=$AE138),"",IF(AQ$3=$AD138,$F138&amp;"R",AQ137))))</f>
        <v>wP</v>
      </c>
      <c r="AR138" s="11" t="str">
        <f aca="false">IF($P138=0,AR137,IF(AR$3=$E138,IF($AA138=1,$F138&amp;$AB138,$G138),IF(OR(AR$3=$D138,AR$3=$AC138,AR$3=$AE138),"",IF(AR$3=$AD138,$F138&amp;"R",AR137))))</f>
        <v>wP</v>
      </c>
      <c r="AS138" s="11" t="str">
        <f aca="false">IF($P138=0,AS137,IF(AS$3=$E138,IF($AA138=1,$F138&amp;$AB138,$G138),IF(OR(AS$3=$D138,AS$3=$AC138,AS$3=$AE138),"",IF(AS$3=$AD138,$F138&amp;"R",AS137))))</f>
        <v>wP</v>
      </c>
      <c r="AT138" s="11" t="str">
        <f aca="false">IF($P138=0,AT137,IF(AT$3=$E138,IF($AA138=1,$F138&amp;$AB138,$G138),IF(OR(AT$3=$D138,AT$3=$AC138,AT$3=$AE138),"",IF(AT$3=$AD138,$F138&amp;"R",AT137))))</f>
        <v>wP</v>
      </c>
      <c r="AU138" s="11" t="str">
        <f aca="false">IF($P138=0,AU137,IF(AU$3=$E138,IF($AA138=1,$F138&amp;$AB138,$G138),IF(OR(AU$3=$D138,AU$3=$AC138,AU$3=$AE138),"",IF(AU$3=$AD138,$F138&amp;"R",AU137))))</f>
        <v>wP</v>
      </c>
      <c r="AV138" s="11" t="str">
        <f aca="false">IF($P138=0,AV137,IF(AV$3=$E138,IF($AA138=1,$F138&amp;$AB138,$G138),IF(OR(AV$3=$D138,AV$3=$AC138,AV$3=$AE138),"",IF(AV$3=$AD138,$F138&amp;"R",AV137))))</f>
        <v>wP</v>
      </c>
      <c r="AW138" s="11" t="str">
        <f aca="false">IF($P138=0,AW137,IF(AW$3=$E138,IF($AA138=1,$F138&amp;$AB138,$G138),IF(OR(AW$3=$D138,AW$3=$AC138,AW$3=$AE138),"",IF(AW$3=$AD138,$F138&amp;"R",AW137))))</f>
        <v>wP</v>
      </c>
      <c r="AX138" s="11" t="str">
        <f aca="false">IF($P138=0,AX137,IF(AX$3=$E138,IF($AA138=1,$F138&amp;$AB138,$G138),IF(OR(AX$3=$D138,AX$3=$AC138,AX$3=$AE138),"",IF(AX$3=$AD138,$F138&amp;"R",AX137))))</f>
        <v/>
      </c>
      <c r="AY138" s="11" t="str">
        <f aca="false">IF($P138=0,AY137,IF(AY$3=$E138,IF($AA138=1,$F138&amp;$AB138,$G138),IF(OR(AY$3=$D138,AY$3=$AC138,AY$3=$AE138),"",IF(AY$3=$AD138,$F138&amp;"R",AY137))))</f>
        <v/>
      </c>
      <c r="AZ138" s="11" t="str">
        <f aca="false">IF($P138=0,AZ137,IF(AZ$3=$E138,IF($AA138=1,$F138&amp;$AB138,$G138),IF(OR(AZ$3=$D138,AZ$3=$AC138,AZ$3=$AE138),"",IF(AZ$3=$AD138,$F138&amp;"R",AZ137))))</f>
        <v/>
      </c>
      <c r="BA138" s="11" t="str">
        <f aca="false">IF($P138=0,BA137,IF(BA$3=$E138,IF($AA138=1,$F138&amp;$AB138,$G138),IF(OR(BA$3=$D138,BA$3=$AC138,BA$3=$AE138),"",IF(BA$3=$AD138,$F138&amp;"R",BA137))))</f>
        <v/>
      </c>
      <c r="BB138" s="11" t="str">
        <f aca="false">IF($P138=0,BB137,IF(BB$3=$E138,IF($AA138=1,$F138&amp;$AB138,$G138),IF(OR(BB$3=$D138,BB$3=$AC138,BB$3=$AE138),"",IF(BB$3=$AD138,$F138&amp;"R",BB137))))</f>
        <v/>
      </c>
      <c r="BC138" s="11" t="str">
        <f aca="false">IF($P138=0,BC137,IF(BC$3=$E138,IF($AA138=1,$F138&amp;$AB138,$G138),IF(OR(BC$3=$D138,BC$3=$AC138,BC$3=$AE138),"",IF(BC$3=$AD138,$F138&amp;"R",BC137))))</f>
        <v/>
      </c>
      <c r="BD138" s="11" t="str">
        <f aca="false">IF($P138=0,BD137,IF(BD$3=$E138,IF($AA138=1,$F138&amp;$AB138,$G138),IF(OR(BD$3=$D138,BD$3=$AC138,BD$3=$AE138),"",IF(BD$3=$AD138,$F138&amp;"R",BD137))))</f>
        <v/>
      </c>
      <c r="BE138" s="11" t="str">
        <f aca="false">IF($P138=0,BE137,IF(BE$3=$E138,IF($AA138=1,$F138&amp;$AB138,$G138),IF(OR(BE$3=$D138,BE$3=$AC138,BE$3=$AE138),"",IF(BE$3=$AD138,$F138&amp;"R",BE137))))</f>
        <v/>
      </c>
      <c r="BF138" s="11" t="str">
        <f aca="false">IF($P138=0,BF137,IF(BF$3=$E138,IF($AA138=1,$F138&amp;$AB138,$G138),IF(OR(BF$3=$D138,BF$3=$AC138,BF$3=$AE138),"",IF(BF$3=$AD138,$F138&amp;"R",BF137))))</f>
        <v/>
      </c>
      <c r="BG138" s="11" t="str">
        <f aca="false">IF($P138=0,BG137,IF(BG$3=$E138,IF($AA138=1,$F138&amp;$AB138,$G138),IF(OR(BG$3=$D138,BG$3=$AC138,BG$3=$AE138),"",IF(BG$3=$AD138,$F138&amp;"R",BG137))))</f>
        <v/>
      </c>
      <c r="BH138" s="11" t="str">
        <f aca="false">IF($P138=0,BH137,IF(BH$3=$E138,IF($AA138=1,$F138&amp;$AB138,$G138),IF(OR(BH$3=$D138,BH$3=$AC138,BH$3=$AE138),"",IF(BH$3=$AD138,$F138&amp;"R",BH137))))</f>
        <v/>
      </c>
      <c r="BI138" s="11" t="str">
        <f aca="false">IF($P138=0,BI137,IF(BI$3=$E138,IF($AA138=1,$F138&amp;$AB138,$G138),IF(OR(BI$3=$D138,BI$3=$AC138,BI$3=$AE138),"",IF(BI$3=$AD138,$F138&amp;"R",BI137))))</f>
        <v/>
      </c>
      <c r="BJ138" s="11" t="str">
        <f aca="false">IF($P138=0,BJ137,IF(BJ$3=$E138,IF($AA138=1,$F138&amp;$AB138,$G138),IF(OR(BJ$3=$D138,BJ$3=$AC138,BJ$3=$AE138),"",IF(BJ$3=$AD138,$F138&amp;"R",BJ137))))</f>
        <v/>
      </c>
      <c r="BK138" s="11" t="str">
        <f aca="false">IF($P138=0,BK137,IF(BK$3=$E138,IF($AA138=1,$F138&amp;$AB138,$G138),IF(OR(BK$3=$D138,BK$3=$AC138,BK$3=$AE138),"",IF(BK$3=$AD138,$F138&amp;"R",BK137))))</f>
        <v/>
      </c>
      <c r="BL138" s="11" t="str">
        <f aca="false">IF($P138=0,BL137,IF(BL$3=$E138,IF($AA138=1,$F138&amp;$AB138,$G138),IF(OR(BL$3=$D138,BL$3=$AC138,BL$3=$AE138),"",IF(BL$3=$AD138,$F138&amp;"R",BL137))))</f>
        <v/>
      </c>
      <c r="BM138" s="11" t="str">
        <f aca="false">IF($P138=0,BM137,IF(BM$3=$E138,IF($AA138=1,$F138&amp;$AB138,$G138),IF(OR(BM$3=$D138,BM$3=$AC138,BM$3=$AE138),"",IF(BM$3=$AD138,$F138&amp;"R",BM137))))</f>
        <v/>
      </c>
      <c r="BN138" s="11" t="str">
        <f aca="false">IF($P138=0,BN137,IF(BN$3=$E138,IF($AA138=1,$F138&amp;$AB138,$G138),IF(OR(BN$3=$D138,BN$3=$AC138,BN$3=$AE138),"",IF(BN$3=$AD138,$F138&amp;"R",BN137))))</f>
        <v/>
      </c>
      <c r="BO138" s="11" t="str">
        <f aca="false">IF($P138=0,BO137,IF(BO$3=$E138,IF($AA138=1,$F138&amp;$AB138,$G138),IF(OR(BO$3=$D138,BO$3=$AC138,BO$3=$AE138),"",IF(BO$3=$AD138,$F138&amp;"R",BO137))))</f>
        <v/>
      </c>
      <c r="BP138" s="11" t="str">
        <f aca="false">IF($P138=0,BP137,IF(BP$3=$E138,IF($AA138=1,$F138&amp;$AB138,$G138),IF(OR(BP$3=$D138,BP$3=$AC138,BP$3=$AE138),"",IF(BP$3=$AD138,$F138&amp;"R",BP137))))</f>
        <v/>
      </c>
      <c r="BQ138" s="11" t="str">
        <f aca="false">IF($P138=0,BQ137,IF(BQ$3=$E138,IF($AA138=1,$F138&amp;$AB138,$G138),IF(OR(BQ$3=$D138,BQ$3=$AC138,BQ$3=$AE138),"",IF(BQ$3=$AD138,$F138&amp;"R",BQ137))))</f>
        <v/>
      </c>
      <c r="BR138" s="11" t="str">
        <f aca="false">IF($P138=0,BR137,IF(BR$3=$E138,IF($AA138=1,$F138&amp;$AB138,$G138),IF(OR(BR$3=$D138,BR$3=$AC138,BR$3=$AE138),"",IF(BR$3=$AD138,$F138&amp;"R",BR137))))</f>
        <v/>
      </c>
      <c r="BS138" s="11" t="str">
        <f aca="false">IF($P138=0,BS137,IF(BS$3=$E138,IF($AA138=1,$F138&amp;$AB138,$G138),IF(OR(BS$3=$D138,BS$3=$AC138,BS$3=$AE138),"",IF(BS$3=$AD138,$F138&amp;"R",BS137))))</f>
        <v/>
      </c>
      <c r="BT138" s="11" t="str">
        <f aca="false">IF($P138=0,BT137,IF(BT$3=$E138,IF($AA138=1,$F138&amp;$AB138,$G138),IF(OR(BT$3=$D138,BT$3=$AC138,BT$3=$AE138),"",IF(BT$3=$AD138,$F138&amp;"R",BT137))))</f>
        <v/>
      </c>
      <c r="BU138" s="11" t="str">
        <f aca="false">IF($P138=0,BU137,IF(BU$3=$E138,IF($AA138=1,$F138&amp;$AB138,$G138),IF(OR(BU$3=$D138,BU$3=$AC138,BU$3=$AE138),"",IF(BU$3=$AD138,$F138&amp;"R",BU137))))</f>
        <v/>
      </c>
      <c r="BV138" s="11" t="str">
        <f aca="false">IF($P138=0,BV137,IF(BV$3=$E138,IF($AA138=1,$F138&amp;$AB138,$G138),IF(OR(BV$3=$D138,BV$3=$AC138,BV$3=$AE138),"",IF(BV$3=$AD138,$F138&amp;"R",BV137))))</f>
        <v/>
      </c>
      <c r="BW138" s="11" t="str">
        <f aca="false">IF($P138=0,BW137,IF(BW$3=$E138,IF($AA138=1,$F138&amp;$AB138,$G138),IF(OR(BW$3=$D138,BW$3=$AC138,BW$3=$AE138),"",IF(BW$3=$AD138,$F138&amp;"R",BW137))))</f>
        <v/>
      </c>
      <c r="BX138" s="11" t="str">
        <f aca="false">IF($P138=0,BX137,IF(BX$3=$E138,IF($AA138=1,$F138&amp;$AB138,$G138),IF(OR(BX$3=$D138,BX$3=$AC138,BX$3=$AE138),"",IF(BX$3=$AD138,$F138&amp;"R",BX137))))</f>
        <v/>
      </c>
      <c r="BY138" s="11" t="str">
        <f aca="false">IF($P138=0,BY137,IF(BY$3=$E138,IF($AA138=1,$F138&amp;$AB138,$G138),IF(OR(BY$3=$D138,BY$3=$AC138,BY$3=$AE138),"",IF(BY$3=$AD138,$F138&amp;"R",BY137))))</f>
        <v/>
      </c>
      <c r="BZ138" s="11" t="str">
        <f aca="false">IF($P138=0,BZ137,IF(BZ$3=$E138,IF($AA138=1,$F138&amp;$AB138,$G138),IF(OR(BZ$3=$D138,BZ$3=$AC138,BZ$3=$AE138),"",IF(BZ$3=$AD138,$F138&amp;"R",BZ137))))</f>
        <v/>
      </c>
      <c r="CA138" s="11" t="str">
        <f aca="false">IF($P138=0,CA137,IF(CA$3=$E138,IF($AA138=1,$F138&amp;$AB138,$G138),IF(OR(CA$3=$D138,CA$3=$AC138,CA$3=$AE138),"",IF(CA$3=$AD138,$F138&amp;"R",CA137))))</f>
        <v/>
      </c>
      <c r="CB138" s="11" t="str">
        <f aca="false">IF($P138=0,CB137,IF(CB$3=$E138,IF($AA138=1,$F138&amp;$AB138,$G138),IF(OR(CB$3=$D138,CB$3=$AC138,CB$3=$AE138),"",IF(CB$3=$AD138,$F138&amp;"R",CB137))))</f>
        <v/>
      </c>
      <c r="CC138" s="11" t="str">
        <f aca="false">IF($P138=0,CC137,IF(CC$3=$E138,IF($AA138=1,$F138&amp;$AB138,$G138),IF(OR(CC$3=$D138,CC$3=$AC138,CC$3=$AE138),"",IF(CC$3=$AD138,$F138&amp;"R",CC137))))</f>
        <v/>
      </c>
      <c r="CD138" s="11" t="str">
        <f aca="false">IF($P138=0,CD137,IF(CD$3=$E138,IF($AA138=1,$F138&amp;$AB138,$G138),IF(OR(CD$3=$D138,CD$3=$AC138,CD$3=$AE138),"",IF(CD$3=$AD138,$F138&amp;"R",CD137))))</f>
        <v>bP</v>
      </c>
      <c r="CE138" s="11" t="str">
        <f aca="false">IF($P138=0,CE137,IF(CE$3=$E138,IF($AA138=1,$F138&amp;$AB138,$G138),IF(OR(CE$3=$D138,CE$3=$AC138,CE$3=$AE138),"",IF(CE$3=$AD138,$F138&amp;"R",CE137))))</f>
        <v>bP</v>
      </c>
      <c r="CF138" s="11" t="str">
        <f aca="false">IF($P138=0,CF137,IF(CF$3=$E138,IF($AA138=1,$F138&amp;$AB138,$G138),IF(OR(CF$3=$D138,CF$3=$AC138,CF$3=$AE138),"",IF(CF$3=$AD138,$F138&amp;"R",CF137))))</f>
        <v>bP</v>
      </c>
      <c r="CG138" s="11" t="str">
        <f aca="false">IF($P138=0,CG137,IF(CG$3=$E138,IF($AA138=1,$F138&amp;$AB138,$G138),IF(OR(CG$3=$D138,CG$3=$AC138,CG$3=$AE138),"",IF(CG$3=$AD138,$F138&amp;"R",CG137))))</f>
        <v>bP</v>
      </c>
      <c r="CH138" s="11" t="str">
        <f aca="false">IF($P138=0,CH137,IF(CH$3=$E138,IF($AA138=1,$F138&amp;$AB138,$G138),IF(OR(CH$3=$D138,CH$3=$AC138,CH$3=$AE138),"",IF(CH$3=$AD138,$F138&amp;"R",CH137))))</f>
        <v>bP</v>
      </c>
      <c r="CI138" s="11" t="str">
        <f aca="false">IF($P138=0,CI137,IF(CI$3=$E138,IF($AA138=1,$F138&amp;$AB138,$G138),IF(OR(CI$3=$D138,CI$3=$AC138,CI$3=$AE138),"",IF(CI$3=$AD138,$F138&amp;"R",CI137))))</f>
        <v>bP</v>
      </c>
      <c r="CJ138" s="11" t="str">
        <f aca="false">IF($P138=0,CJ137,IF(CJ$3=$E138,IF($AA138=1,$F138&amp;$AB138,$G138),IF(OR(CJ$3=$D138,CJ$3=$AC138,CJ$3=$AE138),"",IF(CJ$3=$AD138,$F138&amp;"R",CJ137))))</f>
        <v>bP</v>
      </c>
      <c r="CK138" s="11" t="str">
        <f aca="false">IF($P138=0,CK137,IF(CK$3=$E138,IF($AA138=1,$F138&amp;$AB138,$G138),IF(OR(CK$3=$D138,CK$3=$AC138,CK$3=$AE138),"",IF(CK$3=$AD138,$F138&amp;"R",CK137))))</f>
        <v>bP</v>
      </c>
      <c r="CL138" s="11" t="str">
        <f aca="false">IF($P138=0,CL137,IF(CL$3=$E138,IF($AA138=1,$F138&amp;$AB138,$G138),IF(OR(CL$3=$D138,CL$3=$AC138,CL$3=$AE138),"",IF(CL$3=$AD138,$F138&amp;"R",CL137))))</f>
        <v>bR</v>
      </c>
      <c r="CM138" s="11" t="str">
        <f aca="false">IF($P138=0,CM137,IF(CM$3=$E138,IF($AA138=1,$F138&amp;$AB138,$G138),IF(OR(CM$3=$D138,CM$3=$AC138,CM$3=$AE138),"",IF(CM$3=$AD138,$F138&amp;"R",CM137))))</f>
        <v>bN</v>
      </c>
      <c r="CN138" s="11" t="str">
        <f aca="false">IF($P138=0,CN137,IF(CN$3=$E138,IF($AA138=1,$F138&amp;$AB138,$G138),IF(OR(CN$3=$D138,CN$3=$AC138,CN$3=$AE138),"",IF(CN$3=$AD138,$F138&amp;"R",CN137))))</f>
        <v>bB</v>
      </c>
      <c r="CO138" s="11" t="str">
        <f aca="false">IF($P138=0,CO137,IF(CO$3=$E138,IF($AA138=1,$F138&amp;$AB138,$G138),IF(OR(CO$3=$D138,CO$3=$AC138,CO$3=$AE138),"",IF(CO$3=$AD138,$F138&amp;"R",CO137))))</f>
        <v>bQ</v>
      </c>
      <c r="CP138" s="11" t="str">
        <f aca="false">IF($P138=0,CP137,IF(CP$3=$E138,IF($AA138=1,$F138&amp;$AB138,$G138),IF(OR(CP$3=$D138,CP$3=$AC138,CP$3=$AE138),"",IF(CP$3=$AD138,$F138&amp;"R",CP137))))</f>
        <v>bK</v>
      </c>
      <c r="CQ138" s="11" t="str">
        <f aca="false">IF($P138=0,CQ137,IF(CQ$3=$E138,IF($AA138=1,$F138&amp;$AB138,$G138),IF(OR(CQ$3=$D138,CQ$3=$AC138,CQ$3=$AE138),"",IF(CQ$3=$AD138,$F138&amp;"R",CQ137))))</f>
        <v>bB</v>
      </c>
      <c r="CR138" s="11" t="str">
        <f aca="false">IF($P138=0,CR137,IF(CR$3=$E138,IF($AA138=1,$F138&amp;$AB138,$G138),IF(OR(CR$3=$D138,CR$3=$AC138,CR$3=$AE138),"",IF(CR$3=$AD138,$F138&amp;"R",CR137))))</f>
        <v>bN</v>
      </c>
      <c r="CS138" s="11" t="str">
        <f aca="false">IF($P138=0,CS137,IF(CS$3=$E138,IF($AA138=1,$F138&amp;$AB138,$G138),IF(OR(CS$3=$D138,CS$3=$AC138,CS$3=$AE138),"",IF(CS$3=$AD138,$F138&amp;"R",CS137))))</f>
        <v>bR</v>
      </c>
      <c r="CT138" s="11"/>
      <c r="CU138" s="11"/>
      <c r="CV138" s="11"/>
    </row>
    <row r="139" customFormat="false" ht="15" hidden="false" customHeight="false" outlineLevel="0" collapsed="false">
      <c r="A139" s="11" t="n">
        <v>134</v>
      </c>
      <c r="B139" s="11" t="str">
        <f aca="false">IF(Chess!$L$143="","",Chess!$L$143&amp;"")</f>
        <v/>
      </c>
      <c r="C139" s="11" t="str">
        <f aca="false">LOWER(SUBSTITUTE(SUBSTITUTE(SUBSTITUTE(SUBSTITUTE(TRIM($B139),"-",""),"=","")," ",""),"x",""))</f>
        <v/>
      </c>
      <c r="D139" s="11" t="n">
        <f aca="false">IF(LEN($C139)&lt;4,0,IFERROR(IF(AND(CODE(MID($C139,1,1))&gt;=97,CODE(MID($C139,1,1))&lt;=104,VALUE(MID($C139,2,1))&gt;=1,VALUE(MID($C139,2,1))&lt;=8),(VALUE(MID($C139,2,1))-1)*8+CODE(MID($C139,1,1))-96,0),0))</f>
        <v>0</v>
      </c>
      <c r="E139" s="11" t="n">
        <f aca="false">IF(LEN($C139)&lt;4,0,IFERROR(IF(AND(CODE(MID($C139,3,1))&gt;=97,CODE(MID($C139,3,1))&lt;=104,VALUE(MID($C139,4,1))&gt;=1,VALUE(MID($C139,4,1))&lt;=8),(VALUE(MID($C139,4,1))-1)*8+CODE(MID($C139,3,1))-96,0),0))</f>
        <v>0</v>
      </c>
      <c r="F139" s="11" t="str">
        <f aca="false">IF(MOD(SUM($P$5:$P138),2)=0,"w","b")</f>
        <v>w</v>
      </c>
      <c r="G139" s="11" t="str">
        <f aca="false">IF($D139=0,"",INDEX($AH138:$CS138,1,$D139)&amp;"")</f>
        <v/>
      </c>
      <c r="H139" s="11" t="str">
        <f aca="false">IF($E139=0,"",INDEX($AH138:$CS138,1,$E139)&amp;"")</f>
        <v/>
      </c>
      <c r="I139" s="11" t="n">
        <f aca="false">IF(OR($D139=0,$E139=0),0,MOD($E139-1,8)-MOD($D139-1,8))</f>
        <v>0</v>
      </c>
      <c r="J139" s="11" t="n">
        <f aca="false">IF(OR($D139=0,$E139=0),0,INT(($E139-1)/8)-INT(($D139-1)/8))</f>
        <v>0</v>
      </c>
      <c r="K139" s="11" t="str">
        <f aca="false">IF($G139="","",RIGHT($G139,1))</f>
        <v/>
      </c>
      <c r="L139" s="11" t="n">
        <f aca="false">IF(OR($D139=0,$E139=0),0,SUMPRODUCT(($AH$3:$CS$3&gt;MIN($D139,$E139))*($AH$3:$CS$3&lt;MAX($D139,$E139))*(MOD($AH$3:$CS$3-MIN($D139,$E139),MAX(1,ABS(SIGN($J139)*8+SIGN($I139))))=0)*($AH138:$CS138&lt;&gt;"")))</f>
        <v>0</v>
      </c>
      <c r="M139" s="11" t="n">
        <f aca="false">IF($K139&lt;&gt;"K",0,IFERROR(--AND($J139=0,ABS($I139)=2,$D139=IF($F139="w",5,61),IF($F139="w",$S138,$V138)=0,IF($I139=2,AND(IF($F139="w",$U138,$X138)=0,INDEX($AH138:$CS138,1,$D139+1)&amp;""="",INDEX($AH138:$CS138,1,$D139+2)&amp;""=""),AND(IF($F139="w",$T138,$W138)=0,INDEX($AH138:$CS138,1,$D139-1)&amp;""="",INDEX($AH138:$CS138,1,$D139-2)&amp;""="",INDEX($AH138:$CS138,1,$D139-3)&amp;""=""))),0))</f>
        <v>0</v>
      </c>
      <c r="N139" s="11" t="n">
        <f aca="false">IF($K139&lt;&gt;"P",0,IFERROR(--OR(AND($I139=0,$J139=IF($F139="w",1,-1),$H139=""),AND($I139=0,$J139=2*IF($F139="w",1,-1),$H139="",INT(($D139-1)/8)=IF($F139="w",1,6),INDEX($AH138:$CS138,1,MAX(1,MIN(64,$D139+8*IF($F139="w",1,-1))))&amp;""=""),AND(ABS($I139)=1,$J139=IF($F139="w",1,-1),$H139&lt;&gt;""),AND(ABS($I139)=1,$J139=IF($F139="w",1,-1),$H139="",$R138&gt;0,$E139=$R138)),0))</f>
        <v>0</v>
      </c>
      <c r="O139" s="11" t="n">
        <f aca="false">IF(OR($D139=0,$E139=0,$G139=""),0,IF($K139="N",--OR(AND(ABS($I139)=1,ABS($J139)=2),AND(ABS($I139)=2,ABS($J139)=1)),IF($K139="B",--AND(ABS($I139)=ABS($J139),$I139&lt;&gt;0,$L139=0),IF($K139="R",--AND(OR($I139=0,$J139=0),OR($I139&lt;&gt;0,$J139&lt;&gt;0),$L139=0),IF($K139="Q",--AND(OR(AND(ABS($I139)=ABS($J139),$I139&lt;&gt;0),AND(OR($I139=0,$J139=0),OR($I139&lt;&gt;0,$J139&lt;&gt;0))),$L139=0),IF($K139="K",--OR(MAX(ABS($I139),ABS($J139))=1,$M139=1),$N139))))))</f>
        <v>0</v>
      </c>
      <c r="P139" s="11" t="n">
        <f aca="false">IF($Q139="OK",1,0)</f>
        <v>0</v>
      </c>
      <c r="Q139" s="11" t="str">
        <f aca="false">IF($B139="","",IF(OR(COUNTIF($AH138:$CS138,"wK")=0,COUNTIF($AH138:$CS138,"bK")=0),"Game is over",IF(OR($D139=0,$E139=0),"Use the format e2e4",IF($G139="","No piece on that square",IF(LEFT($G139,1)&lt;&gt;$F139,"Not your piece ("&amp;IF($F139="w","White","Black")&amp;" to move)",IF($D139=$E139,"Piece must move",IF(AND($H139&lt;&gt;"",LEFT($H139,1)=$F139),"Cannot capture your own piece",IF($O139=0,"Illegal move for that piece (or path blocked)","OK"))))))))</f>
        <v/>
      </c>
      <c r="R139" s="11" t="n">
        <f aca="false">IF($P139=1,IF(AND($K139="P",ABS($J139)=2),($D139+$E139)/2,0),$R138)</f>
        <v>0</v>
      </c>
      <c r="S139" s="12" t="b">
        <f aca="false">--OR($S138=1,AND($P139=1,OR($D139=5,$E139=5)))</f>
        <v>0</v>
      </c>
      <c r="T139" s="12" t="b">
        <f aca="false">--OR($T138=1,AND($P139=1,OR($D139=1,$E139=1)))</f>
        <v>0</v>
      </c>
      <c r="U139" s="12" t="b">
        <f aca="false">--OR($U138=1,AND($P139=1,OR($D139=8,$E139=8)))</f>
        <v>0</v>
      </c>
      <c r="V139" s="12" t="b">
        <f aca="false">--OR($V138=1,AND($P139=1,OR($D139=61,$E139=61)))</f>
        <v>0</v>
      </c>
      <c r="W139" s="12" t="b">
        <f aca="false">--OR($W138=1,AND($P139=1,OR($D139=57,$E139=57)))</f>
        <v>0</v>
      </c>
      <c r="X139" s="12" t="b">
        <f aca="false">--OR($X138=1,AND($P139=1,OR($D139=64,$E139=64)))</f>
        <v>0</v>
      </c>
      <c r="Y139" s="12" t="b">
        <f aca="false">--AND($P139=1,$K139="K",ABS($I139)=2)</f>
        <v>0</v>
      </c>
      <c r="Z139" s="12" t="b">
        <f aca="false">--AND($P139=1,$K139="P",ABS($I139)=1,$H139="")</f>
        <v>0</v>
      </c>
      <c r="AA139" s="12" t="b">
        <f aca="false">--AND($P139=1,$K139="P",INT(($E139-1)/8)=IF($F139="w",7,0))</f>
        <v>0</v>
      </c>
      <c r="AB139" s="11" t="str">
        <f aca="false">IF(LEN($C139)&gt;=5,IF(ISNUMBER(FIND(MID($C139,5,1),"qrbn")),UPPER(MID($C139,5,1)),"Q"),"Q")</f>
        <v>Q</v>
      </c>
      <c r="AC139" s="11" t="n">
        <f aca="false">IF($Y139=1,IF($I139=2,$D139+3,$D139-4),0)</f>
        <v>0</v>
      </c>
      <c r="AD139" s="11" t="n">
        <f aca="false">IF($Y139=1,IF($I139=2,$D139+1,$D139-1),0)</f>
        <v>0</v>
      </c>
      <c r="AE139" s="11" t="n">
        <f aca="false">IF($Z139=1,$E139-8*IF($F139="w",1,-1),0)</f>
        <v>0</v>
      </c>
      <c r="AF139" s="11" t="str">
        <f aca="false">IF($B139="","",IF($P139=1,LOWER(INDEX($CV$2:$CV$13,MATCH($G139,$CU$2:$CU$13,0)))&amp;" "&amp;MID("abcdefgh",MOD($D139-1,8)+1,1)&amp;(INT(($D139-1)/8)+1)&amp;"→"&amp;MID("abcdefgh",MOD($E139-1,8)+1,1)&amp;(INT(($E139-1)/8)+1)&amp;IF(OR($H139&lt;&gt;"",$Z139=1)," ×","")&amp;IF($Y139=1," castles","")&amp;IF($Z139=1," e.p.","")&amp;IF($AA139=1," =" &amp;LOWER(INDEX($CV$2:$CV$13,MATCH($F139&amp;$AB139,$CU$2:$CU$13,0))),""),"X "&amp;$Q139))</f>
        <v/>
      </c>
      <c r="AG139" s="11"/>
      <c r="AH139" s="11" t="str">
        <f aca="false">IF($P139=0,AH138,IF(AH$3=$E139,IF($AA139=1,$F139&amp;$AB139,$G139),IF(OR(AH$3=$D139,AH$3=$AC139,AH$3=$AE139),"",IF(AH$3=$AD139,$F139&amp;"R",AH138))))</f>
        <v>wR</v>
      </c>
      <c r="AI139" s="11" t="str">
        <f aca="false">IF($P139=0,AI138,IF(AI$3=$E139,IF($AA139=1,$F139&amp;$AB139,$G139),IF(OR(AI$3=$D139,AI$3=$AC139,AI$3=$AE139),"",IF(AI$3=$AD139,$F139&amp;"R",AI138))))</f>
        <v>wN</v>
      </c>
      <c r="AJ139" s="11" t="str">
        <f aca="false">IF($P139=0,AJ138,IF(AJ$3=$E139,IF($AA139=1,$F139&amp;$AB139,$G139),IF(OR(AJ$3=$D139,AJ$3=$AC139,AJ$3=$AE139),"",IF(AJ$3=$AD139,$F139&amp;"R",AJ138))))</f>
        <v>wB</v>
      </c>
      <c r="AK139" s="11" t="str">
        <f aca="false">IF($P139=0,AK138,IF(AK$3=$E139,IF($AA139=1,$F139&amp;$AB139,$G139),IF(OR(AK$3=$D139,AK$3=$AC139,AK$3=$AE139),"",IF(AK$3=$AD139,$F139&amp;"R",AK138))))</f>
        <v>wQ</v>
      </c>
      <c r="AL139" s="11" t="str">
        <f aca="false">IF($P139=0,AL138,IF(AL$3=$E139,IF($AA139=1,$F139&amp;$AB139,$G139),IF(OR(AL$3=$D139,AL$3=$AC139,AL$3=$AE139),"",IF(AL$3=$AD139,$F139&amp;"R",AL138))))</f>
        <v>wK</v>
      </c>
      <c r="AM139" s="11" t="str">
        <f aca="false">IF($P139=0,AM138,IF(AM$3=$E139,IF($AA139=1,$F139&amp;$AB139,$G139),IF(OR(AM$3=$D139,AM$3=$AC139,AM$3=$AE139),"",IF(AM$3=$AD139,$F139&amp;"R",AM138))))</f>
        <v>wB</v>
      </c>
      <c r="AN139" s="11" t="str">
        <f aca="false">IF($P139=0,AN138,IF(AN$3=$E139,IF($AA139=1,$F139&amp;$AB139,$G139),IF(OR(AN$3=$D139,AN$3=$AC139,AN$3=$AE139),"",IF(AN$3=$AD139,$F139&amp;"R",AN138))))</f>
        <v>wN</v>
      </c>
      <c r="AO139" s="11" t="str">
        <f aca="false">IF($P139=0,AO138,IF(AO$3=$E139,IF($AA139=1,$F139&amp;$AB139,$G139),IF(OR(AO$3=$D139,AO$3=$AC139,AO$3=$AE139),"",IF(AO$3=$AD139,$F139&amp;"R",AO138))))</f>
        <v>wR</v>
      </c>
      <c r="AP139" s="11" t="str">
        <f aca="false">IF($P139=0,AP138,IF(AP$3=$E139,IF($AA139=1,$F139&amp;$AB139,$G139),IF(OR(AP$3=$D139,AP$3=$AC139,AP$3=$AE139),"",IF(AP$3=$AD139,$F139&amp;"R",AP138))))</f>
        <v>wP</v>
      </c>
      <c r="AQ139" s="11" t="str">
        <f aca="false">IF($P139=0,AQ138,IF(AQ$3=$E139,IF($AA139=1,$F139&amp;$AB139,$G139),IF(OR(AQ$3=$D139,AQ$3=$AC139,AQ$3=$AE139),"",IF(AQ$3=$AD139,$F139&amp;"R",AQ138))))</f>
        <v>wP</v>
      </c>
      <c r="AR139" s="11" t="str">
        <f aca="false">IF($P139=0,AR138,IF(AR$3=$E139,IF($AA139=1,$F139&amp;$AB139,$G139),IF(OR(AR$3=$D139,AR$3=$AC139,AR$3=$AE139),"",IF(AR$3=$AD139,$F139&amp;"R",AR138))))</f>
        <v>wP</v>
      </c>
      <c r="AS139" s="11" t="str">
        <f aca="false">IF($P139=0,AS138,IF(AS$3=$E139,IF($AA139=1,$F139&amp;$AB139,$G139),IF(OR(AS$3=$D139,AS$3=$AC139,AS$3=$AE139),"",IF(AS$3=$AD139,$F139&amp;"R",AS138))))</f>
        <v>wP</v>
      </c>
      <c r="AT139" s="11" t="str">
        <f aca="false">IF($P139=0,AT138,IF(AT$3=$E139,IF($AA139=1,$F139&amp;$AB139,$G139),IF(OR(AT$3=$D139,AT$3=$AC139,AT$3=$AE139),"",IF(AT$3=$AD139,$F139&amp;"R",AT138))))</f>
        <v>wP</v>
      </c>
      <c r="AU139" s="11" t="str">
        <f aca="false">IF($P139=0,AU138,IF(AU$3=$E139,IF($AA139=1,$F139&amp;$AB139,$G139),IF(OR(AU$3=$D139,AU$3=$AC139,AU$3=$AE139),"",IF(AU$3=$AD139,$F139&amp;"R",AU138))))</f>
        <v>wP</v>
      </c>
      <c r="AV139" s="11" t="str">
        <f aca="false">IF($P139=0,AV138,IF(AV$3=$E139,IF($AA139=1,$F139&amp;$AB139,$G139),IF(OR(AV$3=$D139,AV$3=$AC139,AV$3=$AE139),"",IF(AV$3=$AD139,$F139&amp;"R",AV138))))</f>
        <v>wP</v>
      </c>
      <c r="AW139" s="11" t="str">
        <f aca="false">IF($P139=0,AW138,IF(AW$3=$E139,IF($AA139=1,$F139&amp;$AB139,$G139),IF(OR(AW$3=$D139,AW$3=$AC139,AW$3=$AE139),"",IF(AW$3=$AD139,$F139&amp;"R",AW138))))</f>
        <v>wP</v>
      </c>
      <c r="AX139" s="11" t="str">
        <f aca="false">IF($P139=0,AX138,IF(AX$3=$E139,IF($AA139=1,$F139&amp;$AB139,$G139),IF(OR(AX$3=$D139,AX$3=$AC139,AX$3=$AE139),"",IF(AX$3=$AD139,$F139&amp;"R",AX138))))</f>
        <v/>
      </c>
      <c r="AY139" s="11" t="str">
        <f aca="false">IF($P139=0,AY138,IF(AY$3=$E139,IF($AA139=1,$F139&amp;$AB139,$G139),IF(OR(AY$3=$D139,AY$3=$AC139,AY$3=$AE139),"",IF(AY$3=$AD139,$F139&amp;"R",AY138))))</f>
        <v/>
      </c>
      <c r="AZ139" s="11" t="str">
        <f aca="false">IF($P139=0,AZ138,IF(AZ$3=$E139,IF($AA139=1,$F139&amp;$AB139,$G139),IF(OR(AZ$3=$D139,AZ$3=$AC139,AZ$3=$AE139),"",IF(AZ$3=$AD139,$F139&amp;"R",AZ138))))</f>
        <v/>
      </c>
      <c r="BA139" s="11" t="str">
        <f aca="false">IF($P139=0,BA138,IF(BA$3=$E139,IF($AA139=1,$F139&amp;$AB139,$G139),IF(OR(BA$3=$D139,BA$3=$AC139,BA$3=$AE139),"",IF(BA$3=$AD139,$F139&amp;"R",BA138))))</f>
        <v/>
      </c>
      <c r="BB139" s="11" t="str">
        <f aca="false">IF($P139=0,BB138,IF(BB$3=$E139,IF($AA139=1,$F139&amp;$AB139,$G139),IF(OR(BB$3=$D139,BB$3=$AC139,BB$3=$AE139),"",IF(BB$3=$AD139,$F139&amp;"R",BB138))))</f>
        <v/>
      </c>
      <c r="BC139" s="11" t="str">
        <f aca="false">IF($P139=0,BC138,IF(BC$3=$E139,IF($AA139=1,$F139&amp;$AB139,$G139),IF(OR(BC$3=$D139,BC$3=$AC139,BC$3=$AE139),"",IF(BC$3=$AD139,$F139&amp;"R",BC138))))</f>
        <v/>
      </c>
      <c r="BD139" s="11" t="str">
        <f aca="false">IF($P139=0,BD138,IF(BD$3=$E139,IF($AA139=1,$F139&amp;$AB139,$G139),IF(OR(BD$3=$D139,BD$3=$AC139,BD$3=$AE139),"",IF(BD$3=$AD139,$F139&amp;"R",BD138))))</f>
        <v/>
      </c>
      <c r="BE139" s="11" t="str">
        <f aca="false">IF($P139=0,BE138,IF(BE$3=$E139,IF($AA139=1,$F139&amp;$AB139,$G139),IF(OR(BE$3=$D139,BE$3=$AC139,BE$3=$AE139),"",IF(BE$3=$AD139,$F139&amp;"R",BE138))))</f>
        <v/>
      </c>
      <c r="BF139" s="11" t="str">
        <f aca="false">IF($P139=0,BF138,IF(BF$3=$E139,IF($AA139=1,$F139&amp;$AB139,$G139),IF(OR(BF$3=$D139,BF$3=$AC139,BF$3=$AE139),"",IF(BF$3=$AD139,$F139&amp;"R",BF138))))</f>
        <v/>
      </c>
      <c r="BG139" s="11" t="str">
        <f aca="false">IF($P139=0,BG138,IF(BG$3=$E139,IF($AA139=1,$F139&amp;$AB139,$G139),IF(OR(BG$3=$D139,BG$3=$AC139,BG$3=$AE139),"",IF(BG$3=$AD139,$F139&amp;"R",BG138))))</f>
        <v/>
      </c>
      <c r="BH139" s="11" t="str">
        <f aca="false">IF($P139=0,BH138,IF(BH$3=$E139,IF($AA139=1,$F139&amp;$AB139,$G139),IF(OR(BH$3=$D139,BH$3=$AC139,BH$3=$AE139),"",IF(BH$3=$AD139,$F139&amp;"R",BH138))))</f>
        <v/>
      </c>
      <c r="BI139" s="11" t="str">
        <f aca="false">IF($P139=0,BI138,IF(BI$3=$E139,IF($AA139=1,$F139&amp;$AB139,$G139),IF(OR(BI$3=$D139,BI$3=$AC139,BI$3=$AE139),"",IF(BI$3=$AD139,$F139&amp;"R",BI138))))</f>
        <v/>
      </c>
      <c r="BJ139" s="11" t="str">
        <f aca="false">IF($P139=0,BJ138,IF(BJ$3=$E139,IF($AA139=1,$F139&amp;$AB139,$G139),IF(OR(BJ$3=$D139,BJ$3=$AC139,BJ$3=$AE139),"",IF(BJ$3=$AD139,$F139&amp;"R",BJ138))))</f>
        <v/>
      </c>
      <c r="BK139" s="11" t="str">
        <f aca="false">IF($P139=0,BK138,IF(BK$3=$E139,IF($AA139=1,$F139&amp;$AB139,$G139),IF(OR(BK$3=$D139,BK$3=$AC139,BK$3=$AE139),"",IF(BK$3=$AD139,$F139&amp;"R",BK138))))</f>
        <v/>
      </c>
      <c r="BL139" s="11" t="str">
        <f aca="false">IF($P139=0,BL138,IF(BL$3=$E139,IF($AA139=1,$F139&amp;$AB139,$G139),IF(OR(BL$3=$D139,BL$3=$AC139,BL$3=$AE139),"",IF(BL$3=$AD139,$F139&amp;"R",BL138))))</f>
        <v/>
      </c>
      <c r="BM139" s="11" t="str">
        <f aca="false">IF($P139=0,BM138,IF(BM$3=$E139,IF($AA139=1,$F139&amp;$AB139,$G139),IF(OR(BM$3=$D139,BM$3=$AC139,BM$3=$AE139),"",IF(BM$3=$AD139,$F139&amp;"R",BM138))))</f>
        <v/>
      </c>
      <c r="BN139" s="11" t="str">
        <f aca="false">IF($P139=0,BN138,IF(BN$3=$E139,IF($AA139=1,$F139&amp;$AB139,$G139),IF(OR(BN$3=$D139,BN$3=$AC139,BN$3=$AE139),"",IF(BN$3=$AD139,$F139&amp;"R",BN138))))</f>
        <v/>
      </c>
      <c r="BO139" s="11" t="str">
        <f aca="false">IF($P139=0,BO138,IF(BO$3=$E139,IF($AA139=1,$F139&amp;$AB139,$G139),IF(OR(BO$3=$D139,BO$3=$AC139,BO$3=$AE139),"",IF(BO$3=$AD139,$F139&amp;"R",BO138))))</f>
        <v/>
      </c>
      <c r="BP139" s="11" t="str">
        <f aca="false">IF($P139=0,BP138,IF(BP$3=$E139,IF($AA139=1,$F139&amp;$AB139,$G139),IF(OR(BP$3=$D139,BP$3=$AC139,BP$3=$AE139),"",IF(BP$3=$AD139,$F139&amp;"R",BP138))))</f>
        <v/>
      </c>
      <c r="BQ139" s="11" t="str">
        <f aca="false">IF($P139=0,BQ138,IF(BQ$3=$E139,IF($AA139=1,$F139&amp;$AB139,$G139),IF(OR(BQ$3=$D139,BQ$3=$AC139,BQ$3=$AE139),"",IF(BQ$3=$AD139,$F139&amp;"R",BQ138))))</f>
        <v/>
      </c>
      <c r="BR139" s="11" t="str">
        <f aca="false">IF($P139=0,BR138,IF(BR$3=$E139,IF($AA139=1,$F139&amp;$AB139,$G139),IF(OR(BR$3=$D139,BR$3=$AC139,BR$3=$AE139),"",IF(BR$3=$AD139,$F139&amp;"R",BR138))))</f>
        <v/>
      </c>
      <c r="BS139" s="11" t="str">
        <f aca="false">IF($P139=0,BS138,IF(BS$3=$E139,IF($AA139=1,$F139&amp;$AB139,$G139),IF(OR(BS$3=$D139,BS$3=$AC139,BS$3=$AE139),"",IF(BS$3=$AD139,$F139&amp;"R",BS138))))</f>
        <v/>
      </c>
      <c r="BT139" s="11" t="str">
        <f aca="false">IF($P139=0,BT138,IF(BT$3=$E139,IF($AA139=1,$F139&amp;$AB139,$G139),IF(OR(BT$3=$D139,BT$3=$AC139,BT$3=$AE139),"",IF(BT$3=$AD139,$F139&amp;"R",BT138))))</f>
        <v/>
      </c>
      <c r="BU139" s="11" t="str">
        <f aca="false">IF($P139=0,BU138,IF(BU$3=$E139,IF($AA139=1,$F139&amp;$AB139,$G139),IF(OR(BU$3=$D139,BU$3=$AC139,BU$3=$AE139),"",IF(BU$3=$AD139,$F139&amp;"R",BU138))))</f>
        <v/>
      </c>
      <c r="BV139" s="11" t="str">
        <f aca="false">IF($P139=0,BV138,IF(BV$3=$E139,IF($AA139=1,$F139&amp;$AB139,$G139),IF(OR(BV$3=$D139,BV$3=$AC139,BV$3=$AE139),"",IF(BV$3=$AD139,$F139&amp;"R",BV138))))</f>
        <v/>
      </c>
      <c r="BW139" s="11" t="str">
        <f aca="false">IF($P139=0,BW138,IF(BW$3=$E139,IF($AA139=1,$F139&amp;$AB139,$G139),IF(OR(BW$3=$D139,BW$3=$AC139,BW$3=$AE139),"",IF(BW$3=$AD139,$F139&amp;"R",BW138))))</f>
        <v/>
      </c>
      <c r="BX139" s="11" t="str">
        <f aca="false">IF($P139=0,BX138,IF(BX$3=$E139,IF($AA139=1,$F139&amp;$AB139,$G139),IF(OR(BX$3=$D139,BX$3=$AC139,BX$3=$AE139),"",IF(BX$3=$AD139,$F139&amp;"R",BX138))))</f>
        <v/>
      </c>
      <c r="BY139" s="11" t="str">
        <f aca="false">IF($P139=0,BY138,IF(BY$3=$E139,IF($AA139=1,$F139&amp;$AB139,$G139),IF(OR(BY$3=$D139,BY$3=$AC139,BY$3=$AE139),"",IF(BY$3=$AD139,$F139&amp;"R",BY138))))</f>
        <v/>
      </c>
      <c r="BZ139" s="11" t="str">
        <f aca="false">IF($P139=0,BZ138,IF(BZ$3=$E139,IF($AA139=1,$F139&amp;$AB139,$G139),IF(OR(BZ$3=$D139,BZ$3=$AC139,BZ$3=$AE139),"",IF(BZ$3=$AD139,$F139&amp;"R",BZ138))))</f>
        <v/>
      </c>
      <c r="CA139" s="11" t="str">
        <f aca="false">IF($P139=0,CA138,IF(CA$3=$E139,IF($AA139=1,$F139&amp;$AB139,$G139),IF(OR(CA$3=$D139,CA$3=$AC139,CA$3=$AE139),"",IF(CA$3=$AD139,$F139&amp;"R",CA138))))</f>
        <v/>
      </c>
      <c r="CB139" s="11" t="str">
        <f aca="false">IF($P139=0,CB138,IF(CB$3=$E139,IF($AA139=1,$F139&amp;$AB139,$G139),IF(OR(CB$3=$D139,CB$3=$AC139,CB$3=$AE139),"",IF(CB$3=$AD139,$F139&amp;"R",CB138))))</f>
        <v/>
      </c>
      <c r="CC139" s="11" t="str">
        <f aca="false">IF($P139=0,CC138,IF(CC$3=$E139,IF($AA139=1,$F139&amp;$AB139,$G139),IF(OR(CC$3=$D139,CC$3=$AC139,CC$3=$AE139),"",IF(CC$3=$AD139,$F139&amp;"R",CC138))))</f>
        <v/>
      </c>
      <c r="CD139" s="11" t="str">
        <f aca="false">IF($P139=0,CD138,IF(CD$3=$E139,IF($AA139=1,$F139&amp;$AB139,$G139),IF(OR(CD$3=$D139,CD$3=$AC139,CD$3=$AE139),"",IF(CD$3=$AD139,$F139&amp;"R",CD138))))</f>
        <v>bP</v>
      </c>
      <c r="CE139" s="11" t="str">
        <f aca="false">IF($P139=0,CE138,IF(CE$3=$E139,IF($AA139=1,$F139&amp;$AB139,$G139),IF(OR(CE$3=$D139,CE$3=$AC139,CE$3=$AE139),"",IF(CE$3=$AD139,$F139&amp;"R",CE138))))</f>
        <v>bP</v>
      </c>
      <c r="CF139" s="11" t="str">
        <f aca="false">IF($P139=0,CF138,IF(CF$3=$E139,IF($AA139=1,$F139&amp;$AB139,$G139),IF(OR(CF$3=$D139,CF$3=$AC139,CF$3=$AE139),"",IF(CF$3=$AD139,$F139&amp;"R",CF138))))</f>
        <v>bP</v>
      </c>
      <c r="CG139" s="11" t="str">
        <f aca="false">IF($P139=0,CG138,IF(CG$3=$E139,IF($AA139=1,$F139&amp;$AB139,$G139),IF(OR(CG$3=$D139,CG$3=$AC139,CG$3=$AE139),"",IF(CG$3=$AD139,$F139&amp;"R",CG138))))</f>
        <v>bP</v>
      </c>
      <c r="CH139" s="11" t="str">
        <f aca="false">IF($P139=0,CH138,IF(CH$3=$E139,IF($AA139=1,$F139&amp;$AB139,$G139),IF(OR(CH$3=$D139,CH$3=$AC139,CH$3=$AE139),"",IF(CH$3=$AD139,$F139&amp;"R",CH138))))</f>
        <v>bP</v>
      </c>
      <c r="CI139" s="11" t="str">
        <f aca="false">IF($P139=0,CI138,IF(CI$3=$E139,IF($AA139=1,$F139&amp;$AB139,$G139),IF(OR(CI$3=$D139,CI$3=$AC139,CI$3=$AE139),"",IF(CI$3=$AD139,$F139&amp;"R",CI138))))</f>
        <v>bP</v>
      </c>
      <c r="CJ139" s="11" t="str">
        <f aca="false">IF($P139=0,CJ138,IF(CJ$3=$E139,IF($AA139=1,$F139&amp;$AB139,$G139),IF(OR(CJ$3=$D139,CJ$3=$AC139,CJ$3=$AE139),"",IF(CJ$3=$AD139,$F139&amp;"R",CJ138))))</f>
        <v>bP</v>
      </c>
      <c r="CK139" s="11" t="str">
        <f aca="false">IF($P139=0,CK138,IF(CK$3=$E139,IF($AA139=1,$F139&amp;$AB139,$G139),IF(OR(CK$3=$D139,CK$3=$AC139,CK$3=$AE139),"",IF(CK$3=$AD139,$F139&amp;"R",CK138))))</f>
        <v>bP</v>
      </c>
      <c r="CL139" s="11" t="str">
        <f aca="false">IF($P139=0,CL138,IF(CL$3=$E139,IF($AA139=1,$F139&amp;$AB139,$G139),IF(OR(CL$3=$D139,CL$3=$AC139,CL$3=$AE139),"",IF(CL$3=$AD139,$F139&amp;"R",CL138))))</f>
        <v>bR</v>
      </c>
      <c r="CM139" s="11" t="str">
        <f aca="false">IF($P139=0,CM138,IF(CM$3=$E139,IF($AA139=1,$F139&amp;$AB139,$G139),IF(OR(CM$3=$D139,CM$3=$AC139,CM$3=$AE139),"",IF(CM$3=$AD139,$F139&amp;"R",CM138))))</f>
        <v>bN</v>
      </c>
      <c r="CN139" s="11" t="str">
        <f aca="false">IF($P139=0,CN138,IF(CN$3=$E139,IF($AA139=1,$F139&amp;$AB139,$G139),IF(OR(CN$3=$D139,CN$3=$AC139,CN$3=$AE139),"",IF(CN$3=$AD139,$F139&amp;"R",CN138))))</f>
        <v>bB</v>
      </c>
      <c r="CO139" s="11" t="str">
        <f aca="false">IF($P139=0,CO138,IF(CO$3=$E139,IF($AA139=1,$F139&amp;$AB139,$G139),IF(OR(CO$3=$D139,CO$3=$AC139,CO$3=$AE139),"",IF(CO$3=$AD139,$F139&amp;"R",CO138))))</f>
        <v>bQ</v>
      </c>
      <c r="CP139" s="11" t="str">
        <f aca="false">IF($P139=0,CP138,IF(CP$3=$E139,IF($AA139=1,$F139&amp;$AB139,$G139),IF(OR(CP$3=$D139,CP$3=$AC139,CP$3=$AE139),"",IF(CP$3=$AD139,$F139&amp;"R",CP138))))</f>
        <v>bK</v>
      </c>
      <c r="CQ139" s="11" t="str">
        <f aca="false">IF($P139=0,CQ138,IF(CQ$3=$E139,IF($AA139=1,$F139&amp;$AB139,$G139),IF(OR(CQ$3=$D139,CQ$3=$AC139,CQ$3=$AE139),"",IF(CQ$3=$AD139,$F139&amp;"R",CQ138))))</f>
        <v>bB</v>
      </c>
      <c r="CR139" s="11" t="str">
        <f aca="false">IF($P139=0,CR138,IF(CR$3=$E139,IF($AA139=1,$F139&amp;$AB139,$G139),IF(OR(CR$3=$D139,CR$3=$AC139,CR$3=$AE139),"",IF(CR$3=$AD139,$F139&amp;"R",CR138))))</f>
        <v>bN</v>
      </c>
      <c r="CS139" s="11" t="str">
        <f aca="false">IF($P139=0,CS138,IF(CS$3=$E139,IF($AA139=1,$F139&amp;$AB139,$G139),IF(OR(CS$3=$D139,CS$3=$AC139,CS$3=$AE139),"",IF(CS$3=$AD139,$F139&amp;"R",CS138))))</f>
        <v>bR</v>
      </c>
      <c r="CT139" s="11"/>
      <c r="CU139" s="11"/>
      <c r="CV139" s="11"/>
    </row>
    <row r="140" customFormat="false" ht="15" hidden="false" customHeight="false" outlineLevel="0" collapsed="false">
      <c r="A140" s="11" t="n">
        <v>135</v>
      </c>
      <c r="B140" s="11" t="str">
        <f aca="false">IF(Chess!$L$144="","",Chess!$L$144&amp;"")</f>
        <v/>
      </c>
      <c r="C140" s="11" t="str">
        <f aca="false">LOWER(SUBSTITUTE(SUBSTITUTE(SUBSTITUTE(SUBSTITUTE(TRIM($B140),"-",""),"=","")," ",""),"x",""))</f>
        <v/>
      </c>
      <c r="D140" s="11" t="n">
        <f aca="false">IF(LEN($C140)&lt;4,0,IFERROR(IF(AND(CODE(MID($C140,1,1))&gt;=97,CODE(MID($C140,1,1))&lt;=104,VALUE(MID($C140,2,1))&gt;=1,VALUE(MID($C140,2,1))&lt;=8),(VALUE(MID($C140,2,1))-1)*8+CODE(MID($C140,1,1))-96,0),0))</f>
        <v>0</v>
      </c>
      <c r="E140" s="11" t="n">
        <f aca="false">IF(LEN($C140)&lt;4,0,IFERROR(IF(AND(CODE(MID($C140,3,1))&gt;=97,CODE(MID($C140,3,1))&lt;=104,VALUE(MID($C140,4,1))&gt;=1,VALUE(MID($C140,4,1))&lt;=8),(VALUE(MID($C140,4,1))-1)*8+CODE(MID($C140,3,1))-96,0),0))</f>
        <v>0</v>
      </c>
      <c r="F140" s="11" t="str">
        <f aca="false">IF(MOD(SUM($P$5:$P139),2)=0,"w","b")</f>
        <v>w</v>
      </c>
      <c r="G140" s="11" t="str">
        <f aca="false">IF($D140=0,"",INDEX($AH139:$CS139,1,$D140)&amp;"")</f>
        <v/>
      </c>
      <c r="H140" s="11" t="str">
        <f aca="false">IF($E140=0,"",INDEX($AH139:$CS139,1,$E140)&amp;"")</f>
        <v/>
      </c>
      <c r="I140" s="11" t="n">
        <f aca="false">IF(OR($D140=0,$E140=0),0,MOD($E140-1,8)-MOD($D140-1,8))</f>
        <v>0</v>
      </c>
      <c r="J140" s="11" t="n">
        <f aca="false">IF(OR($D140=0,$E140=0),0,INT(($E140-1)/8)-INT(($D140-1)/8))</f>
        <v>0</v>
      </c>
      <c r="K140" s="11" t="str">
        <f aca="false">IF($G140="","",RIGHT($G140,1))</f>
        <v/>
      </c>
      <c r="L140" s="11" t="n">
        <f aca="false">IF(OR($D140=0,$E140=0),0,SUMPRODUCT(($AH$3:$CS$3&gt;MIN($D140,$E140))*($AH$3:$CS$3&lt;MAX($D140,$E140))*(MOD($AH$3:$CS$3-MIN($D140,$E140),MAX(1,ABS(SIGN($J140)*8+SIGN($I140))))=0)*($AH139:$CS139&lt;&gt;"")))</f>
        <v>0</v>
      </c>
      <c r="M140" s="11" t="n">
        <f aca="false">IF($K140&lt;&gt;"K",0,IFERROR(--AND($J140=0,ABS($I140)=2,$D140=IF($F140="w",5,61),IF($F140="w",$S139,$V139)=0,IF($I140=2,AND(IF($F140="w",$U139,$X139)=0,INDEX($AH139:$CS139,1,$D140+1)&amp;""="",INDEX($AH139:$CS139,1,$D140+2)&amp;""=""),AND(IF($F140="w",$T139,$W139)=0,INDEX($AH139:$CS139,1,$D140-1)&amp;""="",INDEX($AH139:$CS139,1,$D140-2)&amp;""="",INDEX($AH139:$CS139,1,$D140-3)&amp;""=""))),0))</f>
        <v>0</v>
      </c>
      <c r="N140" s="11" t="n">
        <f aca="false">IF($K140&lt;&gt;"P",0,IFERROR(--OR(AND($I140=0,$J140=IF($F140="w",1,-1),$H140=""),AND($I140=0,$J140=2*IF($F140="w",1,-1),$H140="",INT(($D140-1)/8)=IF($F140="w",1,6),INDEX($AH139:$CS139,1,MAX(1,MIN(64,$D140+8*IF($F140="w",1,-1))))&amp;""=""),AND(ABS($I140)=1,$J140=IF($F140="w",1,-1),$H140&lt;&gt;""),AND(ABS($I140)=1,$J140=IF($F140="w",1,-1),$H140="",$R139&gt;0,$E140=$R139)),0))</f>
        <v>0</v>
      </c>
      <c r="O140" s="11" t="n">
        <f aca="false">IF(OR($D140=0,$E140=0,$G140=""),0,IF($K140="N",--OR(AND(ABS($I140)=1,ABS($J140)=2),AND(ABS($I140)=2,ABS($J140)=1)),IF($K140="B",--AND(ABS($I140)=ABS($J140),$I140&lt;&gt;0,$L140=0),IF($K140="R",--AND(OR($I140=0,$J140=0),OR($I140&lt;&gt;0,$J140&lt;&gt;0),$L140=0),IF($K140="Q",--AND(OR(AND(ABS($I140)=ABS($J140),$I140&lt;&gt;0),AND(OR($I140=0,$J140=0),OR($I140&lt;&gt;0,$J140&lt;&gt;0))),$L140=0),IF($K140="K",--OR(MAX(ABS($I140),ABS($J140))=1,$M140=1),$N140))))))</f>
        <v>0</v>
      </c>
      <c r="P140" s="11" t="n">
        <f aca="false">IF($Q140="OK",1,0)</f>
        <v>0</v>
      </c>
      <c r="Q140" s="11" t="str">
        <f aca="false">IF($B140="","",IF(OR(COUNTIF($AH139:$CS139,"wK")=0,COUNTIF($AH139:$CS139,"bK")=0),"Game is over",IF(OR($D140=0,$E140=0),"Use the format e2e4",IF($G140="","No piece on that square",IF(LEFT($G140,1)&lt;&gt;$F140,"Not your piece ("&amp;IF($F140="w","White","Black")&amp;" to move)",IF($D140=$E140,"Piece must move",IF(AND($H140&lt;&gt;"",LEFT($H140,1)=$F140),"Cannot capture your own piece",IF($O140=0,"Illegal move for that piece (or path blocked)","OK"))))))))</f>
        <v/>
      </c>
      <c r="R140" s="11" t="n">
        <f aca="false">IF($P140=1,IF(AND($K140="P",ABS($J140)=2),($D140+$E140)/2,0),$R139)</f>
        <v>0</v>
      </c>
      <c r="S140" s="12" t="b">
        <f aca="false">--OR($S139=1,AND($P140=1,OR($D140=5,$E140=5)))</f>
        <v>0</v>
      </c>
      <c r="T140" s="12" t="b">
        <f aca="false">--OR($T139=1,AND($P140=1,OR($D140=1,$E140=1)))</f>
        <v>0</v>
      </c>
      <c r="U140" s="12" t="b">
        <f aca="false">--OR($U139=1,AND($P140=1,OR($D140=8,$E140=8)))</f>
        <v>0</v>
      </c>
      <c r="V140" s="12" t="b">
        <f aca="false">--OR($V139=1,AND($P140=1,OR($D140=61,$E140=61)))</f>
        <v>0</v>
      </c>
      <c r="W140" s="12" t="b">
        <f aca="false">--OR($W139=1,AND($P140=1,OR($D140=57,$E140=57)))</f>
        <v>0</v>
      </c>
      <c r="X140" s="12" t="b">
        <f aca="false">--OR($X139=1,AND($P140=1,OR($D140=64,$E140=64)))</f>
        <v>0</v>
      </c>
      <c r="Y140" s="12" t="b">
        <f aca="false">--AND($P140=1,$K140="K",ABS($I140)=2)</f>
        <v>0</v>
      </c>
      <c r="Z140" s="12" t="b">
        <f aca="false">--AND($P140=1,$K140="P",ABS($I140)=1,$H140="")</f>
        <v>0</v>
      </c>
      <c r="AA140" s="12" t="b">
        <f aca="false">--AND($P140=1,$K140="P",INT(($E140-1)/8)=IF($F140="w",7,0))</f>
        <v>0</v>
      </c>
      <c r="AB140" s="11" t="str">
        <f aca="false">IF(LEN($C140)&gt;=5,IF(ISNUMBER(FIND(MID($C140,5,1),"qrbn")),UPPER(MID($C140,5,1)),"Q"),"Q")</f>
        <v>Q</v>
      </c>
      <c r="AC140" s="11" t="n">
        <f aca="false">IF($Y140=1,IF($I140=2,$D140+3,$D140-4),0)</f>
        <v>0</v>
      </c>
      <c r="AD140" s="11" t="n">
        <f aca="false">IF($Y140=1,IF($I140=2,$D140+1,$D140-1),0)</f>
        <v>0</v>
      </c>
      <c r="AE140" s="11" t="n">
        <f aca="false">IF($Z140=1,$E140-8*IF($F140="w",1,-1),0)</f>
        <v>0</v>
      </c>
      <c r="AF140" s="11" t="str">
        <f aca="false">IF($B140="","",IF($P140=1,LOWER(INDEX($CV$2:$CV$13,MATCH($G140,$CU$2:$CU$13,0)))&amp;" "&amp;MID("abcdefgh",MOD($D140-1,8)+1,1)&amp;(INT(($D140-1)/8)+1)&amp;"→"&amp;MID("abcdefgh",MOD($E140-1,8)+1,1)&amp;(INT(($E140-1)/8)+1)&amp;IF(OR($H140&lt;&gt;"",$Z140=1)," ×","")&amp;IF($Y140=1," castles","")&amp;IF($Z140=1," e.p.","")&amp;IF($AA140=1," =" &amp;LOWER(INDEX($CV$2:$CV$13,MATCH($F140&amp;$AB140,$CU$2:$CU$13,0))),""),"X "&amp;$Q140))</f>
        <v/>
      </c>
      <c r="AG140" s="11"/>
      <c r="AH140" s="11" t="str">
        <f aca="false">IF($P140=0,AH139,IF(AH$3=$E140,IF($AA140=1,$F140&amp;$AB140,$G140),IF(OR(AH$3=$D140,AH$3=$AC140,AH$3=$AE140),"",IF(AH$3=$AD140,$F140&amp;"R",AH139))))</f>
        <v>wR</v>
      </c>
      <c r="AI140" s="11" t="str">
        <f aca="false">IF($P140=0,AI139,IF(AI$3=$E140,IF($AA140=1,$F140&amp;$AB140,$G140),IF(OR(AI$3=$D140,AI$3=$AC140,AI$3=$AE140),"",IF(AI$3=$AD140,$F140&amp;"R",AI139))))</f>
        <v>wN</v>
      </c>
      <c r="AJ140" s="11" t="str">
        <f aca="false">IF($P140=0,AJ139,IF(AJ$3=$E140,IF($AA140=1,$F140&amp;$AB140,$G140),IF(OR(AJ$3=$D140,AJ$3=$AC140,AJ$3=$AE140),"",IF(AJ$3=$AD140,$F140&amp;"R",AJ139))))</f>
        <v>wB</v>
      </c>
      <c r="AK140" s="11" t="str">
        <f aca="false">IF($P140=0,AK139,IF(AK$3=$E140,IF($AA140=1,$F140&amp;$AB140,$G140),IF(OR(AK$3=$D140,AK$3=$AC140,AK$3=$AE140),"",IF(AK$3=$AD140,$F140&amp;"R",AK139))))</f>
        <v>wQ</v>
      </c>
      <c r="AL140" s="11" t="str">
        <f aca="false">IF($P140=0,AL139,IF(AL$3=$E140,IF($AA140=1,$F140&amp;$AB140,$G140),IF(OR(AL$3=$D140,AL$3=$AC140,AL$3=$AE140),"",IF(AL$3=$AD140,$F140&amp;"R",AL139))))</f>
        <v>wK</v>
      </c>
      <c r="AM140" s="11" t="str">
        <f aca="false">IF($P140=0,AM139,IF(AM$3=$E140,IF($AA140=1,$F140&amp;$AB140,$G140),IF(OR(AM$3=$D140,AM$3=$AC140,AM$3=$AE140),"",IF(AM$3=$AD140,$F140&amp;"R",AM139))))</f>
        <v>wB</v>
      </c>
      <c r="AN140" s="11" t="str">
        <f aca="false">IF($P140=0,AN139,IF(AN$3=$E140,IF($AA140=1,$F140&amp;$AB140,$G140),IF(OR(AN$3=$D140,AN$3=$AC140,AN$3=$AE140),"",IF(AN$3=$AD140,$F140&amp;"R",AN139))))</f>
        <v>wN</v>
      </c>
      <c r="AO140" s="11" t="str">
        <f aca="false">IF($P140=0,AO139,IF(AO$3=$E140,IF($AA140=1,$F140&amp;$AB140,$G140),IF(OR(AO$3=$D140,AO$3=$AC140,AO$3=$AE140),"",IF(AO$3=$AD140,$F140&amp;"R",AO139))))</f>
        <v>wR</v>
      </c>
      <c r="AP140" s="11" t="str">
        <f aca="false">IF($P140=0,AP139,IF(AP$3=$E140,IF($AA140=1,$F140&amp;$AB140,$G140),IF(OR(AP$3=$D140,AP$3=$AC140,AP$3=$AE140),"",IF(AP$3=$AD140,$F140&amp;"R",AP139))))</f>
        <v>wP</v>
      </c>
      <c r="AQ140" s="11" t="str">
        <f aca="false">IF($P140=0,AQ139,IF(AQ$3=$E140,IF($AA140=1,$F140&amp;$AB140,$G140),IF(OR(AQ$3=$D140,AQ$3=$AC140,AQ$3=$AE140),"",IF(AQ$3=$AD140,$F140&amp;"R",AQ139))))</f>
        <v>wP</v>
      </c>
      <c r="AR140" s="11" t="str">
        <f aca="false">IF($P140=0,AR139,IF(AR$3=$E140,IF($AA140=1,$F140&amp;$AB140,$G140),IF(OR(AR$3=$D140,AR$3=$AC140,AR$3=$AE140),"",IF(AR$3=$AD140,$F140&amp;"R",AR139))))</f>
        <v>wP</v>
      </c>
      <c r="AS140" s="11" t="str">
        <f aca="false">IF($P140=0,AS139,IF(AS$3=$E140,IF($AA140=1,$F140&amp;$AB140,$G140),IF(OR(AS$3=$D140,AS$3=$AC140,AS$3=$AE140),"",IF(AS$3=$AD140,$F140&amp;"R",AS139))))</f>
        <v>wP</v>
      </c>
      <c r="AT140" s="11" t="str">
        <f aca="false">IF($P140=0,AT139,IF(AT$3=$E140,IF($AA140=1,$F140&amp;$AB140,$G140),IF(OR(AT$3=$D140,AT$3=$AC140,AT$3=$AE140),"",IF(AT$3=$AD140,$F140&amp;"R",AT139))))</f>
        <v>wP</v>
      </c>
      <c r="AU140" s="11" t="str">
        <f aca="false">IF($P140=0,AU139,IF(AU$3=$E140,IF($AA140=1,$F140&amp;$AB140,$G140),IF(OR(AU$3=$D140,AU$3=$AC140,AU$3=$AE140),"",IF(AU$3=$AD140,$F140&amp;"R",AU139))))</f>
        <v>wP</v>
      </c>
      <c r="AV140" s="11" t="str">
        <f aca="false">IF($P140=0,AV139,IF(AV$3=$E140,IF($AA140=1,$F140&amp;$AB140,$G140),IF(OR(AV$3=$D140,AV$3=$AC140,AV$3=$AE140),"",IF(AV$3=$AD140,$F140&amp;"R",AV139))))</f>
        <v>wP</v>
      </c>
      <c r="AW140" s="11" t="str">
        <f aca="false">IF($P140=0,AW139,IF(AW$3=$E140,IF($AA140=1,$F140&amp;$AB140,$G140),IF(OR(AW$3=$D140,AW$3=$AC140,AW$3=$AE140),"",IF(AW$3=$AD140,$F140&amp;"R",AW139))))</f>
        <v>wP</v>
      </c>
      <c r="AX140" s="11" t="str">
        <f aca="false">IF($P140=0,AX139,IF(AX$3=$E140,IF($AA140=1,$F140&amp;$AB140,$G140),IF(OR(AX$3=$D140,AX$3=$AC140,AX$3=$AE140),"",IF(AX$3=$AD140,$F140&amp;"R",AX139))))</f>
        <v/>
      </c>
      <c r="AY140" s="11" t="str">
        <f aca="false">IF($P140=0,AY139,IF(AY$3=$E140,IF($AA140=1,$F140&amp;$AB140,$G140),IF(OR(AY$3=$D140,AY$3=$AC140,AY$3=$AE140),"",IF(AY$3=$AD140,$F140&amp;"R",AY139))))</f>
        <v/>
      </c>
      <c r="AZ140" s="11" t="str">
        <f aca="false">IF($P140=0,AZ139,IF(AZ$3=$E140,IF($AA140=1,$F140&amp;$AB140,$G140),IF(OR(AZ$3=$D140,AZ$3=$AC140,AZ$3=$AE140),"",IF(AZ$3=$AD140,$F140&amp;"R",AZ139))))</f>
        <v/>
      </c>
      <c r="BA140" s="11" t="str">
        <f aca="false">IF($P140=0,BA139,IF(BA$3=$E140,IF($AA140=1,$F140&amp;$AB140,$G140),IF(OR(BA$3=$D140,BA$3=$AC140,BA$3=$AE140),"",IF(BA$3=$AD140,$F140&amp;"R",BA139))))</f>
        <v/>
      </c>
      <c r="BB140" s="11" t="str">
        <f aca="false">IF($P140=0,BB139,IF(BB$3=$E140,IF($AA140=1,$F140&amp;$AB140,$G140),IF(OR(BB$3=$D140,BB$3=$AC140,BB$3=$AE140),"",IF(BB$3=$AD140,$F140&amp;"R",BB139))))</f>
        <v/>
      </c>
      <c r="BC140" s="11" t="str">
        <f aca="false">IF($P140=0,BC139,IF(BC$3=$E140,IF($AA140=1,$F140&amp;$AB140,$G140),IF(OR(BC$3=$D140,BC$3=$AC140,BC$3=$AE140),"",IF(BC$3=$AD140,$F140&amp;"R",BC139))))</f>
        <v/>
      </c>
      <c r="BD140" s="11" t="str">
        <f aca="false">IF($P140=0,BD139,IF(BD$3=$E140,IF($AA140=1,$F140&amp;$AB140,$G140),IF(OR(BD$3=$D140,BD$3=$AC140,BD$3=$AE140),"",IF(BD$3=$AD140,$F140&amp;"R",BD139))))</f>
        <v/>
      </c>
      <c r="BE140" s="11" t="str">
        <f aca="false">IF($P140=0,BE139,IF(BE$3=$E140,IF($AA140=1,$F140&amp;$AB140,$G140),IF(OR(BE$3=$D140,BE$3=$AC140,BE$3=$AE140),"",IF(BE$3=$AD140,$F140&amp;"R",BE139))))</f>
        <v/>
      </c>
      <c r="BF140" s="11" t="str">
        <f aca="false">IF($P140=0,BF139,IF(BF$3=$E140,IF($AA140=1,$F140&amp;$AB140,$G140),IF(OR(BF$3=$D140,BF$3=$AC140,BF$3=$AE140),"",IF(BF$3=$AD140,$F140&amp;"R",BF139))))</f>
        <v/>
      </c>
      <c r="BG140" s="11" t="str">
        <f aca="false">IF($P140=0,BG139,IF(BG$3=$E140,IF($AA140=1,$F140&amp;$AB140,$G140),IF(OR(BG$3=$D140,BG$3=$AC140,BG$3=$AE140),"",IF(BG$3=$AD140,$F140&amp;"R",BG139))))</f>
        <v/>
      </c>
      <c r="BH140" s="11" t="str">
        <f aca="false">IF($P140=0,BH139,IF(BH$3=$E140,IF($AA140=1,$F140&amp;$AB140,$G140),IF(OR(BH$3=$D140,BH$3=$AC140,BH$3=$AE140),"",IF(BH$3=$AD140,$F140&amp;"R",BH139))))</f>
        <v/>
      </c>
      <c r="BI140" s="11" t="str">
        <f aca="false">IF($P140=0,BI139,IF(BI$3=$E140,IF($AA140=1,$F140&amp;$AB140,$G140),IF(OR(BI$3=$D140,BI$3=$AC140,BI$3=$AE140),"",IF(BI$3=$AD140,$F140&amp;"R",BI139))))</f>
        <v/>
      </c>
      <c r="BJ140" s="11" t="str">
        <f aca="false">IF($P140=0,BJ139,IF(BJ$3=$E140,IF($AA140=1,$F140&amp;$AB140,$G140),IF(OR(BJ$3=$D140,BJ$3=$AC140,BJ$3=$AE140),"",IF(BJ$3=$AD140,$F140&amp;"R",BJ139))))</f>
        <v/>
      </c>
      <c r="BK140" s="11" t="str">
        <f aca="false">IF($P140=0,BK139,IF(BK$3=$E140,IF($AA140=1,$F140&amp;$AB140,$G140),IF(OR(BK$3=$D140,BK$3=$AC140,BK$3=$AE140),"",IF(BK$3=$AD140,$F140&amp;"R",BK139))))</f>
        <v/>
      </c>
      <c r="BL140" s="11" t="str">
        <f aca="false">IF($P140=0,BL139,IF(BL$3=$E140,IF($AA140=1,$F140&amp;$AB140,$G140),IF(OR(BL$3=$D140,BL$3=$AC140,BL$3=$AE140),"",IF(BL$3=$AD140,$F140&amp;"R",BL139))))</f>
        <v/>
      </c>
      <c r="BM140" s="11" t="str">
        <f aca="false">IF($P140=0,BM139,IF(BM$3=$E140,IF($AA140=1,$F140&amp;$AB140,$G140),IF(OR(BM$3=$D140,BM$3=$AC140,BM$3=$AE140),"",IF(BM$3=$AD140,$F140&amp;"R",BM139))))</f>
        <v/>
      </c>
      <c r="BN140" s="11" t="str">
        <f aca="false">IF($P140=0,BN139,IF(BN$3=$E140,IF($AA140=1,$F140&amp;$AB140,$G140),IF(OR(BN$3=$D140,BN$3=$AC140,BN$3=$AE140),"",IF(BN$3=$AD140,$F140&amp;"R",BN139))))</f>
        <v/>
      </c>
      <c r="BO140" s="11" t="str">
        <f aca="false">IF($P140=0,BO139,IF(BO$3=$E140,IF($AA140=1,$F140&amp;$AB140,$G140),IF(OR(BO$3=$D140,BO$3=$AC140,BO$3=$AE140),"",IF(BO$3=$AD140,$F140&amp;"R",BO139))))</f>
        <v/>
      </c>
      <c r="BP140" s="11" t="str">
        <f aca="false">IF($P140=0,BP139,IF(BP$3=$E140,IF($AA140=1,$F140&amp;$AB140,$G140),IF(OR(BP$3=$D140,BP$3=$AC140,BP$3=$AE140),"",IF(BP$3=$AD140,$F140&amp;"R",BP139))))</f>
        <v/>
      </c>
      <c r="BQ140" s="11" t="str">
        <f aca="false">IF($P140=0,BQ139,IF(BQ$3=$E140,IF($AA140=1,$F140&amp;$AB140,$G140),IF(OR(BQ$3=$D140,BQ$3=$AC140,BQ$3=$AE140),"",IF(BQ$3=$AD140,$F140&amp;"R",BQ139))))</f>
        <v/>
      </c>
      <c r="BR140" s="11" t="str">
        <f aca="false">IF($P140=0,BR139,IF(BR$3=$E140,IF($AA140=1,$F140&amp;$AB140,$G140),IF(OR(BR$3=$D140,BR$3=$AC140,BR$3=$AE140),"",IF(BR$3=$AD140,$F140&amp;"R",BR139))))</f>
        <v/>
      </c>
      <c r="BS140" s="11" t="str">
        <f aca="false">IF($P140=0,BS139,IF(BS$3=$E140,IF($AA140=1,$F140&amp;$AB140,$G140),IF(OR(BS$3=$D140,BS$3=$AC140,BS$3=$AE140),"",IF(BS$3=$AD140,$F140&amp;"R",BS139))))</f>
        <v/>
      </c>
      <c r="BT140" s="11" t="str">
        <f aca="false">IF($P140=0,BT139,IF(BT$3=$E140,IF($AA140=1,$F140&amp;$AB140,$G140),IF(OR(BT$3=$D140,BT$3=$AC140,BT$3=$AE140),"",IF(BT$3=$AD140,$F140&amp;"R",BT139))))</f>
        <v/>
      </c>
      <c r="BU140" s="11" t="str">
        <f aca="false">IF($P140=0,BU139,IF(BU$3=$E140,IF($AA140=1,$F140&amp;$AB140,$G140),IF(OR(BU$3=$D140,BU$3=$AC140,BU$3=$AE140),"",IF(BU$3=$AD140,$F140&amp;"R",BU139))))</f>
        <v/>
      </c>
      <c r="BV140" s="11" t="str">
        <f aca="false">IF($P140=0,BV139,IF(BV$3=$E140,IF($AA140=1,$F140&amp;$AB140,$G140),IF(OR(BV$3=$D140,BV$3=$AC140,BV$3=$AE140),"",IF(BV$3=$AD140,$F140&amp;"R",BV139))))</f>
        <v/>
      </c>
      <c r="BW140" s="11" t="str">
        <f aca="false">IF($P140=0,BW139,IF(BW$3=$E140,IF($AA140=1,$F140&amp;$AB140,$G140),IF(OR(BW$3=$D140,BW$3=$AC140,BW$3=$AE140),"",IF(BW$3=$AD140,$F140&amp;"R",BW139))))</f>
        <v/>
      </c>
      <c r="BX140" s="11" t="str">
        <f aca="false">IF($P140=0,BX139,IF(BX$3=$E140,IF($AA140=1,$F140&amp;$AB140,$G140),IF(OR(BX$3=$D140,BX$3=$AC140,BX$3=$AE140),"",IF(BX$3=$AD140,$F140&amp;"R",BX139))))</f>
        <v/>
      </c>
      <c r="BY140" s="11" t="str">
        <f aca="false">IF($P140=0,BY139,IF(BY$3=$E140,IF($AA140=1,$F140&amp;$AB140,$G140),IF(OR(BY$3=$D140,BY$3=$AC140,BY$3=$AE140),"",IF(BY$3=$AD140,$F140&amp;"R",BY139))))</f>
        <v/>
      </c>
      <c r="BZ140" s="11" t="str">
        <f aca="false">IF($P140=0,BZ139,IF(BZ$3=$E140,IF($AA140=1,$F140&amp;$AB140,$G140),IF(OR(BZ$3=$D140,BZ$3=$AC140,BZ$3=$AE140),"",IF(BZ$3=$AD140,$F140&amp;"R",BZ139))))</f>
        <v/>
      </c>
      <c r="CA140" s="11" t="str">
        <f aca="false">IF($P140=0,CA139,IF(CA$3=$E140,IF($AA140=1,$F140&amp;$AB140,$G140),IF(OR(CA$3=$D140,CA$3=$AC140,CA$3=$AE140),"",IF(CA$3=$AD140,$F140&amp;"R",CA139))))</f>
        <v/>
      </c>
      <c r="CB140" s="11" t="str">
        <f aca="false">IF($P140=0,CB139,IF(CB$3=$E140,IF($AA140=1,$F140&amp;$AB140,$G140),IF(OR(CB$3=$D140,CB$3=$AC140,CB$3=$AE140),"",IF(CB$3=$AD140,$F140&amp;"R",CB139))))</f>
        <v/>
      </c>
      <c r="CC140" s="11" t="str">
        <f aca="false">IF($P140=0,CC139,IF(CC$3=$E140,IF($AA140=1,$F140&amp;$AB140,$G140),IF(OR(CC$3=$D140,CC$3=$AC140,CC$3=$AE140),"",IF(CC$3=$AD140,$F140&amp;"R",CC139))))</f>
        <v/>
      </c>
      <c r="CD140" s="11" t="str">
        <f aca="false">IF($P140=0,CD139,IF(CD$3=$E140,IF($AA140=1,$F140&amp;$AB140,$G140),IF(OR(CD$3=$D140,CD$3=$AC140,CD$3=$AE140),"",IF(CD$3=$AD140,$F140&amp;"R",CD139))))</f>
        <v>bP</v>
      </c>
      <c r="CE140" s="11" t="str">
        <f aca="false">IF($P140=0,CE139,IF(CE$3=$E140,IF($AA140=1,$F140&amp;$AB140,$G140),IF(OR(CE$3=$D140,CE$3=$AC140,CE$3=$AE140),"",IF(CE$3=$AD140,$F140&amp;"R",CE139))))</f>
        <v>bP</v>
      </c>
      <c r="CF140" s="11" t="str">
        <f aca="false">IF($P140=0,CF139,IF(CF$3=$E140,IF($AA140=1,$F140&amp;$AB140,$G140),IF(OR(CF$3=$D140,CF$3=$AC140,CF$3=$AE140),"",IF(CF$3=$AD140,$F140&amp;"R",CF139))))</f>
        <v>bP</v>
      </c>
      <c r="CG140" s="11" t="str">
        <f aca="false">IF($P140=0,CG139,IF(CG$3=$E140,IF($AA140=1,$F140&amp;$AB140,$G140),IF(OR(CG$3=$D140,CG$3=$AC140,CG$3=$AE140),"",IF(CG$3=$AD140,$F140&amp;"R",CG139))))</f>
        <v>bP</v>
      </c>
      <c r="CH140" s="11" t="str">
        <f aca="false">IF($P140=0,CH139,IF(CH$3=$E140,IF($AA140=1,$F140&amp;$AB140,$G140),IF(OR(CH$3=$D140,CH$3=$AC140,CH$3=$AE140),"",IF(CH$3=$AD140,$F140&amp;"R",CH139))))</f>
        <v>bP</v>
      </c>
      <c r="CI140" s="11" t="str">
        <f aca="false">IF($P140=0,CI139,IF(CI$3=$E140,IF($AA140=1,$F140&amp;$AB140,$G140),IF(OR(CI$3=$D140,CI$3=$AC140,CI$3=$AE140),"",IF(CI$3=$AD140,$F140&amp;"R",CI139))))</f>
        <v>bP</v>
      </c>
      <c r="CJ140" s="11" t="str">
        <f aca="false">IF($P140=0,CJ139,IF(CJ$3=$E140,IF($AA140=1,$F140&amp;$AB140,$G140),IF(OR(CJ$3=$D140,CJ$3=$AC140,CJ$3=$AE140),"",IF(CJ$3=$AD140,$F140&amp;"R",CJ139))))</f>
        <v>bP</v>
      </c>
      <c r="CK140" s="11" t="str">
        <f aca="false">IF($P140=0,CK139,IF(CK$3=$E140,IF($AA140=1,$F140&amp;$AB140,$G140),IF(OR(CK$3=$D140,CK$3=$AC140,CK$3=$AE140),"",IF(CK$3=$AD140,$F140&amp;"R",CK139))))</f>
        <v>bP</v>
      </c>
      <c r="CL140" s="11" t="str">
        <f aca="false">IF($P140=0,CL139,IF(CL$3=$E140,IF($AA140=1,$F140&amp;$AB140,$G140),IF(OR(CL$3=$D140,CL$3=$AC140,CL$3=$AE140),"",IF(CL$3=$AD140,$F140&amp;"R",CL139))))</f>
        <v>bR</v>
      </c>
      <c r="CM140" s="11" t="str">
        <f aca="false">IF($P140=0,CM139,IF(CM$3=$E140,IF($AA140=1,$F140&amp;$AB140,$G140),IF(OR(CM$3=$D140,CM$3=$AC140,CM$3=$AE140),"",IF(CM$3=$AD140,$F140&amp;"R",CM139))))</f>
        <v>bN</v>
      </c>
      <c r="CN140" s="11" t="str">
        <f aca="false">IF($P140=0,CN139,IF(CN$3=$E140,IF($AA140=1,$F140&amp;$AB140,$G140),IF(OR(CN$3=$D140,CN$3=$AC140,CN$3=$AE140),"",IF(CN$3=$AD140,$F140&amp;"R",CN139))))</f>
        <v>bB</v>
      </c>
      <c r="CO140" s="11" t="str">
        <f aca="false">IF($P140=0,CO139,IF(CO$3=$E140,IF($AA140=1,$F140&amp;$AB140,$G140),IF(OR(CO$3=$D140,CO$3=$AC140,CO$3=$AE140),"",IF(CO$3=$AD140,$F140&amp;"R",CO139))))</f>
        <v>bQ</v>
      </c>
      <c r="CP140" s="11" t="str">
        <f aca="false">IF($P140=0,CP139,IF(CP$3=$E140,IF($AA140=1,$F140&amp;$AB140,$G140),IF(OR(CP$3=$D140,CP$3=$AC140,CP$3=$AE140),"",IF(CP$3=$AD140,$F140&amp;"R",CP139))))</f>
        <v>bK</v>
      </c>
      <c r="CQ140" s="11" t="str">
        <f aca="false">IF($P140=0,CQ139,IF(CQ$3=$E140,IF($AA140=1,$F140&amp;$AB140,$G140),IF(OR(CQ$3=$D140,CQ$3=$AC140,CQ$3=$AE140),"",IF(CQ$3=$AD140,$F140&amp;"R",CQ139))))</f>
        <v>bB</v>
      </c>
      <c r="CR140" s="11" t="str">
        <f aca="false">IF($P140=0,CR139,IF(CR$3=$E140,IF($AA140=1,$F140&amp;$AB140,$G140),IF(OR(CR$3=$D140,CR$3=$AC140,CR$3=$AE140),"",IF(CR$3=$AD140,$F140&amp;"R",CR139))))</f>
        <v>bN</v>
      </c>
      <c r="CS140" s="11" t="str">
        <f aca="false">IF($P140=0,CS139,IF(CS$3=$E140,IF($AA140=1,$F140&amp;$AB140,$G140),IF(OR(CS$3=$D140,CS$3=$AC140,CS$3=$AE140),"",IF(CS$3=$AD140,$F140&amp;"R",CS139))))</f>
        <v>bR</v>
      </c>
      <c r="CT140" s="11"/>
      <c r="CU140" s="11"/>
      <c r="CV140" s="11"/>
    </row>
    <row r="141" customFormat="false" ht="15" hidden="false" customHeight="false" outlineLevel="0" collapsed="false">
      <c r="A141" s="11" t="n">
        <v>136</v>
      </c>
      <c r="B141" s="11" t="str">
        <f aca="false">IF(Chess!$L$145="","",Chess!$L$145&amp;"")</f>
        <v/>
      </c>
      <c r="C141" s="11" t="str">
        <f aca="false">LOWER(SUBSTITUTE(SUBSTITUTE(SUBSTITUTE(SUBSTITUTE(TRIM($B141),"-",""),"=","")," ",""),"x",""))</f>
        <v/>
      </c>
      <c r="D141" s="11" t="n">
        <f aca="false">IF(LEN($C141)&lt;4,0,IFERROR(IF(AND(CODE(MID($C141,1,1))&gt;=97,CODE(MID($C141,1,1))&lt;=104,VALUE(MID($C141,2,1))&gt;=1,VALUE(MID($C141,2,1))&lt;=8),(VALUE(MID($C141,2,1))-1)*8+CODE(MID($C141,1,1))-96,0),0))</f>
        <v>0</v>
      </c>
      <c r="E141" s="11" t="n">
        <f aca="false">IF(LEN($C141)&lt;4,0,IFERROR(IF(AND(CODE(MID($C141,3,1))&gt;=97,CODE(MID($C141,3,1))&lt;=104,VALUE(MID($C141,4,1))&gt;=1,VALUE(MID($C141,4,1))&lt;=8),(VALUE(MID($C141,4,1))-1)*8+CODE(MID($C141,3,1))-96,0),0))</f>
        <v>0</v>
      </c>
      <c r="F141" s="11" t="str">
        <f aca="false">IF(MOD(SUM($P$5:$P140),2)=0,"w","b")</f>
        <v>w</v>
      </c>
      <c r="G141" s="11" t="str">
        <f aca="false">IF($D141=0,"",INDEX($AH140:$CS140,1,$D141)&amp;"")</f>
        <v/>
      </c>
      <c r="H141" s="11" t="str">
        <f aca="false">IF($E141=0,"",INDEX($AH140:$CS140,1,$E141)&amp;"")</f>
        <v/>
      </c>
      <c r="I141" s="11" t="n">
        <f aca="false">IF(OR($D141=0,$E141=0),0,MOD($E141-1,8)-MOD($D141-1,8))</f>
        <v>0</v>
      </c>
      <c r="J141" s="11" t="n">
        <f aca="false">IF(OR($D141=0,$E141=0),0,INT(($E141-1)/8)-INT(($D141-1)/8))</f>
        <v>0</v>
      </c>
      <c r="K141" s="11" t="str">
        <f aca="false">IF($G141="","",RIGHT($G141,1))</f>
        <v/>
      </c>
      <c r="L141" s="11" t="n">
        <f aca="false">IF(OR($D141=0,$E141=0),0,SUMPRODUCT(($AH$3:$CS$3&gt;MIN($D141,$E141))*($AH$3:$CS$3&lt;MAX($D141,$E141))*(MOD($AH$3:$CS$3-MIN($D141,$E141),MAX(1,ABS(SIGN($J141)*8+SIGN($I141))))=0)*($AH140:$CS140&lt;&gt;"")))</f>
        <v>0</v>
      </c>
      <c r="M141" s="11" t="n">
        <f aca="false">IF($K141&lt;&gt;"K",0,IFERROR(--AND($J141=0,ABS($I141)=2,$D141=IF($F141="w",5,61),IF($F141="w",$S140,$V140)=0,IF($I141=2,AND(IF($F141="w",$U140,$X140)=0,INDEX($AH140:$CS140,1,$D141+1)&amp;""="",INDEX($AH140:$CS140,1,$D141+2)&amp;""=""),AND(IF($F141="w",$T140,$W140)=0,INDEX($AH140:$CS140,1,$D141-1)&amp;""="",INDEX($AH140:$CS140,1,$D141-2)&amp;""="",INDEX($AH140:$CS140,1,$D141-3)&amp;""=""))),0))</f>
        <v>0</v>
      </c>
      <c r="N141" s="11" t="n">
        <f aca="false">IF($K141&lt;&gt;"P",0,IFERROR(--OR(AND($I141=0,$J141=IF($F141="w",1,-1),$H141=""),AND($I141=0,$J141=2*IF($F141="w",1,-1),$H141="",INT(($D141-1)/8)=IF($F141="w",1,6),INDEX($AH140:$CS140,1,MAX(1,MIN(64,$D141+8*IF($F141="w",1,-1))))&amp;""=""),AND(ABS($I141)=1,$J141=IF($F141="w",1,-1),$H141&lt;&gt;""),AND(ABS($I141)=1,$J141=IF($F141="w",1,-1),$H141="",$R140&gt;0,$E141=$R140)),0))</f>
        <v>0</v>
      </c>
      <c r="O141" s="11" t="n">
        <f aca="false">IF(OR($D141=0,$E141=0,$G141=""),0,IF($K141="N",--OR(AND(ABS($I141)=1,ABS($J141)=2),AND(ABS($I141)=2,ABS($J141)=1)),IF($K141="B",--AND(ABS($I141)=ABS($J141),$I141&lt;&gt;0,$L141=0),IF($K141="R",--AND(OR($I141=0,$J141=0),OR($I141&lt;&gt;0,$J141&lt;&gt;0),$L141=0),IF($K141="Q",--AND(OR(AND(ABS($I141)=ABS($J141),$I141&lt;&gt;0),AND(OR($I141=0,$J141=0),OR($I141&lt;&gt;0,$J141&lt;&gt;0))),$L141=0),IF($K141="K",--OR(MAX(ABS($I141),ABS($J141))=1,$M141=1),$N141))))))</f>
        <v>0</v>
      </c>
      <c r="P141" s="11" t="n">
        <f aca="false">IF($Q141="OK",1,0)</f>
        <v>0</v>
      </c>
      <c r="Q141" s="11" t="str">
        <f aca="false">IF($B141="","",IF(OR(COUNTIF($AH140:$CS140,"wK")=0,COUNTIF($AH140:$CS140,"bK")=0),"Game is over",IF(OR($D141=0,$E141=0),"Use the format e2e4",IF($G141="","No piece on that square",IF(LEFT($G141,1)&lt;&gt;$F141,"Not your piece ("&amp;IF($F141="w","White","Black")&amp;" to move)",IF($D141=$E141,"Piece must move",IF(AND($H141&lt;&gt;"",LEFT($H141,1)=$F141),"Cannot capture your own piece",IF($O141=0,"Illegal move for that piece (or path blocked)","OK"))))))))</f>
        <v/>
      </c>
      <c r="R141" s="11" t="n">
        <f aca="false">IF($P141=1,IF(AND($K141="P",ABS($J141)=2),($D141+$E141)/2,0),$R140)</f>
        <v>0</v>
      </c>
      <c r="S141" s="12" t="b">
        <f aca="false">--OR($S140=1,AND($P141=1,OR($D141=5,$E141=5)))</f>
        <v>0</v>
      </c>
      <c r="T141" s="12" t="b">
        <f aca="false">--OR($T140=1,AND($P141=1,OR($D141=1,$E141=1)))</f>
        <v>0</v>
      </c>
      <c r="U141" s="12" t="b">
        <f aca="false">--OR($U140=1,AND($P141=1,OR($D141=8,$E141=8)))</f>
        <v>0</v>
      </c>
      <c r="V141" s="12" t="b">
        <f aca="false">--OR($V140=1,AND($P141=1,OR($D141=61,$E141=61)))</f>
        <v>0</v>
      </c>
      <c r="W141" s="12" t="b">
        <f aca="false">--OR($W140=1,AND($P141=1,OR($D141=57,$E141=57)))</f>
        <v>0</v>
      </c>
      <c r="X141" s="12" t="b">
        <f aca="false">--OR($X140=1,AND($P141=1,OR($D141=64,$E141=64)))</f>
        <v>0</v>
      </c>
      <c r="Y141" s="12" t="b">
        <f aca="false">--AND($P141=1,$K141="K",ABS($I141)=2)</f>
        <v>0</v>
      </c>
      <c r="Z141" s="12" t="b">
        <f aca="false">--AND($P141=1,$K141="P",ABS($I141)=1,$H141="")</f>
        <v>0</v>
      </c>
      <c r="AA141" s="12" t="b">
        <f aca="false">--AND($P141=1,$K141="P",INT(($E141-1)/8)=IF($F141="w",7,0))</f>
        <v>0</v>
      </c>
      <c r="AB141" s="11" t="str">
        <f aca="false">IF(LEN($C141)&gt;=5,IF(ISNUMBER(FIND(MID($C141,5,1),"qrbn")),UPPER(MID($C141,5,1)),"Q"),"Q")</f>
        <v>Q</v>
      </c>
      <c r="AC141" s="11" t="n">
        <f aca="false">IF($Y141=1,IF($I141=2,$D141+3,$D141-4),0)</f>
        <v>0</v>
      </c>
      <c r="AD141" s="11" t="n">
        <f aca="false">IF($Y141=1,IF($I141=2,$D141+1,$D141-1),0)</f>
        <v>0</v>
      </c>
      <c r="AE141" s="11" t="n">
        <f aca="false">IF($Z141=1,$E141-8*IF($F141="w",1,-1),0)</f>
        <v>0</v>
      </c>
      <c r="AF141" s="11" t="str">
        <f aca="false">IF($B141="","",IF($P141=1,LOWER(INDEX($CV$2:$CV$13,MATCH($G141,$CU$2:$CU$13,0)))&amp;" "&amp;MID("abcdefgh",MOD($D141-1,8)+1,1)&amp;(INT(($D141-1)/8)+1)&amp;"→"&amp;MID("abcdefgh",MOD($E141-1,8)+1,1)&amp;(INT(($E141-1)/8)+1)&amp;IF(OR($H141&lt;&gt;"",$Z141=1)," ×","")&amp;IF($Y141=1," castles","")&amp;IF($Z141=1," e.p.","")&amp;IF($AA141=1," =" &amp;LOWER(INDEX($CV$2:$CV$13,MATCH($F141&amp;$AB141,$CU$2:$CU$13,0))),""),"X "&amp;$Q141))</f>
        <v/>
      </c>
      <c r="AG141" s="11"/>
      <c r="AH141" s="11" t="str">
        <f aca="false">IF($P141=0,AH140,IF(AH$3=$E141,IF($AA141=1,$F141&amp;$AB141,$G141),IF(OR(AH$3=$D141,AH$3=$AC141,AH$3=$AE141),"",IF(AH$3=$AD141,$F141&amp;"R",AH140))))</f>
        <v>wR</v>
      </c>
      <c r="AI141" s="11" t="str">
        <f aca="false">IF($P141=0,AI140,IF(AI$3=$E141,IF($AA141=1,$F141&amp;$AB141,$G141),IF(OR(AI$3=$D141,AI$3=$AC141,AI$3=$AE141),"",IF(AI$3=$AD141,$F141&amp;"R",AI140))))</f>
        <v>wN</v>
      </c>
      <c r="AJ141" s="11" t="str">
        <f aca="false">IF($P141=0,AJ140,IF(AJ$3=$E141,IF($AA141=1,$F141&amp;$AB141,$G141),IF(OR(AJ$3=$D141,AJ$3=$AC141,AJ$3=$AE141),"",IF(AJ$3=$AD141,$F141&amp;"R",AJ140))))</f>
        <v>wB</v>
      </c>
      <c r="AK141" s="11" t="str">
        <f aca="false">IF($P141=0,AK140,IF(AK$3=$E141,IF($AA141=1,$F141&amp;$AB141,$G141),IF(OR(AK$3=$D141,AK$3=$AC141,AK$3=$AE141),"",IF(AK$3=$AD141,$F141&amp;"R",AK140))))</f>
        <v>wQ</v>
      </c>
      <c r="AL141" s="11" t="str">
        <f aca="false">IF($P141=0,AL140,IF(AL$3=$E141,IF($AA141=1,$F141&amp;$AB141,$G141),IF(OR(AL$3=$D141,AL$3=$AC141,AL$3=$AE141),"",IF(AL$3=$AD141,$F141&amp;"R",AL140))))</f>
        <v>wK</v>
      </c>
      <c r="AM141" s="11" t="str">
        <f aca="false">IF($P141=0,AM140,IF(AM$3=$E141,IF($AA141=1,$F141&amp;$AB141,$G141),IF(OR(AM$3=$D141,AM$3=$AC141,AM$3=$AE141),"",IF(AM$3=$AD141,$F141&amp;"R",AM140))))</f>
        <v>wB</v>
      </c>
      <c r="AN141" s="11" t="str">
        <f aca="false">IF($P141=0,AN140,IF(AN$3=$E141,IF($AA141=1,$F141&amp;$AB141,$G141),IF(OR(AN$3=$D141,AN$3=$AC141,AN$3=$AE141),"",IF(AN$3=$AD141,$F141&amp;"R",AN140))))</f>
        <v>wN</v>
      </c>
      <c r="AO141" s="11" t="str">
        <f aca="false">IF($P141=0,AO140,IF(AO$3=$E141,IF($AA141=1,$F141&amp;$AB141,$G141),IF(OR(AO$3=$D141,AO$3=$AC141,AO$3=$AE141),"",IF(AO$3=$AD141,$F141&amp;"R",AO140))))</f>
        <v>wR</v>
      </c>
      <c r="AP141" s="11" t="str">
        <f aca="false">IF($P141=0,AP140,IF(AP$3=$E141,IF($AA141=1,$F141&amp;$AB141,$G141),IF(OR(AP$3=$D141,AP$3=$AC141,AP$3=$AE141),"",IF(AP$3=$AD141,$F141&amp;"R",AP140))))</f>
        <v>wP</v>
      </c>
      <c r="AQ141" s="11" t="str">
        <f aca="false">IF($P141=0,AQ140,IF(AQ$3=$E141,IF($AA141=1,$F141&amp;$AB141,$G141),IF(OR(AQ$3=$D141,AQ$3=$AC141,AQ$3=$AE141),"",IF(AQ$3=$AD141,$F141&amp;"R",AQ140))))</f>
        <v>wP</v>
      </c>
      <c r="AR141" s="11" t="str">
        <f aca="false">IF($P141=0,AR140,IF(AR$3=$E141,IF($AA141=1,$F141&amp;$AB141,$G141),IF(OR(AR$3=$D141,AR$3=$AC141,AR$3=$AE141),"",IF(AR$3=$AD141,$F141&amp;"R",AR140))))</f>
        <v>wP</v>
      </c>
      <c r="AS141" s="11" t="str">
        <f aca="false">IF($P141=0,AS140,IF(AS$3=$E141,IF($AA141=1,$F141&amp;$AB141,$G141),IF(OR(AS$3=$D141,AS$3=$AC141,AS$3=$AE141),"",IF(AS$3=$AD141,$F141&amp;"R",AS140))))</f>
        <v>wP</v>
      </c>
      <c r="AT141" s="11" t="str">
        <f aca="false">IF($P141=0,AT140,IF(AT$3=$E141,IF($AA141=1,$F141&amp;$AB141,$G141),IF(OR(AT$3=$D141,AT$3=$AC141,AT$3=$AE141),"",IF(AT$3=$AD141,$F141&amp;"R",AT140))))</f>
        <v>wP</v>
      </c>
      <c r="AU141" s="11" t="str">
        <f aca="false">IF($P141=0,AU140,IF(AU$3=$E141,IF($AA141=1,$F141&amp;$AB141,$G141),IF(OR(AU$3=$D141,AU$3=$AC141,AU$3=$AE141),"",IF(AU$3=$AD141,$F141&amp;"R",AU140))))</f>
        <v>wP</v>
      </c>
      <c r="AV141" s="11" t="str">
        <f aca="false">IF($P141=0,AV140,IF(AV$3=$E141,IF($AA141=1,$F141&amp;$AB141,$G141),IF(OR(AV$3=$D141,AV$3=$AC141,AV$3=$AE141),"",IF(AV$3=$AD141,$F141&amp;"R",AV140))))</f>
        <v>wP</v>
      </c>
      <c r="AW141" s="11" t="str">
        <f aca="false">IF($P141=0,AW140,IF(AW$3=$E141,IF($AA141=1,$F141&amp;$AB141,$G141),IF(OR(AW$3=$D141,AW$3=$AC141,AW$3=$AE141),"",IF(AW$3=$AD141,$F141&amp;"R",AW140))))</f>
        <v>wP</v>
      </c>
      <c r="AX141" s="11" t="str">
        <f aca="false">IF($P141=0,AX140,IF(AX$3=$E141,IF($AA141=1,$F141&amp;$AB141,$G141),IF(OR(AX$3=$D141,AX$3=$AC141,AX$3=$AE141),"",IF(AX$3=$AD141,$F141&amp;"R",AX140))))</f>
        <v/>
      </c>
      <c r="AY141" s="11" t="str">
        <f aca="false">IF($P141=0,AY140,IF(AY$3=$E141,IF($AA141=1,$F141&amp;$AB141,$G141),IF(OR(AY$3=$D141,AY$3=$AC141,AY$3=$AE141),"",IF(AY$3=$AD141,$F141&amp;"R",AY140))))</f>
        <v/>
      </c>
      <c r="AZ141" s="11" t="str">
        <f aca="false">IF($P141=0,AZ140,IF(AZ$3=$E141,IF($AA141=1,$F141&amp;$AB141,$G141),IF(OR(AZ$3=$D141,AZ$3=$AC141,AZ$3=$AE141),"",IF(AZ$3=$AD141,$F141&amp;"R",AZ140))))</f>
        <v/>
      </c>
      <c r="BA141" s="11" t="str">
        <f aca="false">IF($P141=0,BA140,IF(BA$3=$E141,IF($AA141=1,$F141&amp;$AB141,$G141),IF(OR(BA$3=$D141,BA$3=$AC141,BA$3=$AE141),"",IF(BA$3=$AD141,$F141&amp;"R",BA140))))</f>
        <v/>
      </c>
      <c r="BB141" s="11" t="str">
        <f aca="false">IF($P141=0,BB140,IF(BB$3=$E141,IF($AA141=1,$F141&amp;$AB141,$G141),IF(OR(BB$3=$D141,BB$3=$AC141,BB$3=$AE141),"",IF(BB$3=$AD141,$F141&amp;"R",BB140))))</f>
        <v/>
      </c>
      <c r="BC141" s="11" t="str">
        <f aca="false">IF($P141=0,BC140,IF(BC$3=$E141,IF($AA141=1,$F141&amp;$AB141,$G141),IF(OR(BC$3=$D141,BC$3=$AC141,BC$3=$AE141),"",IF(BC$3=$AD141,$F141&amp;"R",BC140))))</f>
        <v/>
      </c>
      <c r="BD141" s="11" t="str">
        <f aca="false">IF($P141=0,BD140,IF(BD$3=$E141,IF($AA141=1,$F141&amp;$AB141,$G141),IF(OR(BD$3=$D141,BD$3=$AC141,BD$3=$AE141),"",IF(BD$3=$AD141,$F141&amp;"R",BD140))))</f>
        <v/>
      </c>
      <c r="BE141" s="11" t="str">
        <f aca="false">IF($P141=0,BE140,IF(BE$3=$E141,IF($AA141=1,$F141&amp;$AB141,$G141),IF(OR(BE$3=$D141,BE$3=$AC141,BE$3=$AE141),"",IF(BE$3=$AD141,$F141&amp;"R",BE140))))</f>
        <v/>
      </c>
      <c r="BF141" s="11" t="str">
        <f aca="false">IF($P141=0,BF140,IF(BF$3=$E141,IF($AA141=1,$F141&amp;$AB141,$G141),IF(OR(BF$3=$D141,BF$3=$AC141,BF$3=$AE141),"",IF(BF$3=$AD141,$F141&amp;"R",BF140))))</f>
        <v/>
      </c>
      <c r="BG141" s="11" t="str">
        <f aca="false">IF($P141=0,BG140,IF(BG$3=$E141,IF($AA141=1,$F141&amp;$AB141,$G141),IF(OR(BG$3=$D141,BG$3=$AC141,BG$3=$AE141),"",IF(BG$3=$AD141,$F141&amp;"R",BG140))))</f>
        <v/>
      </c>
      <c r="BH141" s="11" t="str">
        <f aca="false">IF($P141=0,BH140,IF(BH$3=$E141,IF($AA141=1,$F141&amp;$AB141,$G141),IF(OR(BH$3=$D141,BH$3=$AC141,BH$3=$AE141),"",IF(BH$3=$AD141,$F141&amp;"R",BH140))))</f>
        <v/>
      </c>
      <c r="BI141" s="11" t="str">
        <f aca="false">IF($P141=0,BI140,IF(BI$3=$E141,IF($AA141=1,$F141&amp;$AB141,$G141),IF(OR(BI$3=$D141,BI$3=$AC141,BI$3=$AE141),"",IF(BI$3=$AD141,$F141&amp;"R",BI140))))</f>
        <v/>
      </c>
      <c r="BJ141" s="11" t="str">
        <f aca="false">IF($P141=0,BJ140,IF(BJ$3=$E141,IF($AA141=1,$F141&amp;$AB141,$G141),IF(OR(BJ$3=$D141,BJ$3=$AC141,BJ$3=$AE141),"",IF(BJ$3=$AD141,$F141&amp;"R",BJ140))))</f>
        <v/>
      </c>
      <c r="BK141" s="11" t="str">
        <f aca="false">IF($P141=0,BK140,IF(BK$3=$E141,IF($AA141=1,$F141&amp;$AB141,$G141),IF(OR(BK$3=$D141,BK$3=$AC141,BK$3=$AE141),"",IF(BK$3=$AD141,$F141&amp;"R",BK140))))</f>
        <v/>
      </c>
      <c r="BL141" s="11" t="str">
        <f aca="false">IF($P141=0,BL140,IF(BL$3=$E141,IF($AA141=1,$F141&amp;$AB141,$G141),IF(OR(BL$3=$D141,BL$3=$AC141,BL$3=$AE141),"",IF(BL$3=$AD141,$F141&amp;"R",BL140))))</f>
        <v/>
      </c>
      <c r="BM141" s="11" t="str">
        <f aca="false">IF($P141=0,BM140,IF(BM$3=$E141,IF($AA141=1,$F141&amp;$AB141,$G141),IF(OR(BM$3=$D141,BM$3=$AC141,BM$3=$AE141),"",IF(BM$3=$AD141,$F141&amp;"R",BM140))))</f>
        <v/>
      </c>
      <c r="BN141" s="11" t="str">
        <f aca="false">IF($P141=0,BN140,IF(BN$3=$E141,IF($AA141=1,$F141&amp;$AB141,$G141),IF(OR(BN$3=$D141,BN$3=$AC141,BN$3=$AE141),"",IF(BN$3=$AD141,$F141&amp;"R",BN140))))</f>
        <v/>
      </c>
      <c r="BO141" s="11" t="str">
        <f aca="false">IF($P141=0,BO140,IF(BO$3=$E141,IF($AA141=1,$F141&amp;$AB141,$G141),IF(OR(BO$3=$D141,BO$3=$AC141,BO$3=$AE141),"",IF(BO$3=$AD141,$F141&amp;"R",BO140))))</f>
        <v/>
      </c>
      <c r="BP141" s="11" t="str">
        <f aca="false">IF($P141=0,BP140,IF(BP$3=$E141,IF($AA141=1,$F141&amp;$AB141,$G141),IF(OR(BP$3=$D141,BP$3=$AC141,BP$3=$AE141),"",IF(BP$3=$AD141,$F141&amp;"R",BP140))))</f>
        <v/>
      </c>
      <c r="BQ141" s="11" t="str">
        <f aca="false">IF($P141=0,BQ140,IF(BQ$3=$E141,IF($AA141=1,$F141&amp;$AB141,$G141),IF(OR(BQ$3=$D141,BQ$3=$AC141,BQ$3=$AE141),"",IF(BQ$3=$AD141,$F141&amp;"R",BQ140))))</f>
        <v/>
      </c>
      <c r="BR141" s="11" t="str">
        <f aca="false">IF($P141=0,BR140,IF(BR$3=$E141,IF($AA141=1,$F141&amp;$AB141,$G141),IF(OR(BR$3=$D141,BR$3=$AC141,BR$3=$AE141),"",IF(BR$3=$AD141,$F141&amp;"R",BR140))))</f>
        <v/>
      </c>
      <c r="BS141" s="11" t="str">
        <f aca="false">IF($P141=0,BS140,IF(BS$3=$E141,IF($AA141=1,$F141&amp;$AB141,$G141),IF(OR(BS$3=$D141,BS$3=$AC141,BS$3=$AE141),"",IF(BS$3=$AD141,$F141&amp;"R",BS140))))</f>
        <v/>
      </c>
      <c r="BT141" s="11" t="str">
        <f aca="false">IF($P141=0,BT140,IF(BT$3=$E141,IF($AA141=1,$F141&amp;$AB141,$G141),IF(OR(BT$3=$D141,BT$3=$AC141,BT$3=$AE141),"",IF(BT$3=$AD141,$F141&amp;"R",BT140))))</f>
        <v/>
      </c>
      <c r="BU141" s="11" t="str">
        <f aca="false">IF($P141=0,BU140,IF(BU$3=$E141,IF($AA141=1,$F141&amp;$AB141,$G141),IF(OR(BU$3=$D141,BU$3=$AC141,BU$3=$AE141),"",IF(BU$3=$AD141,$F141&amp;"R",BU140))))</f>
        <v/>
      </c>
      <c r="BV141" s="11" t="str">
        <f aca="false">IF($P141=0,BV140,IF(BV$3=$E141,IF($AA141=1,$F141&amp;$AB141,$G141),IF(OR(BV$3=$D141,BV$3=$AC141,BV$3=$AE141),"",IF(BV$3=$AD141,$F141&amp;"R",BV140))))</f>
        <v/>
      </c>
      <c r="BW141" s="11" t="str">
        <f aca="false">IF($P141=0,BW140,IF(BW$3=$E141,IF($AA141=1,$F141&amp;$AB141,$G141),IF(OR(BW$3=$D141,BW$3=$AC141,BW$3=$AE141),"",IF(BW$3=$AD141,$F141&amp;"R",BW140))))</f>
        <v/>
      </c>
      <c r="BX141" s="11" t="str">
        <f aca="false">IF($P141=0,BX140,IF(BX$3=$E141,IF($AA141=1,$F141&amp;$AB141,$G141),IF(OR(BX$3=$D141,BX$3=$AC141,BX$3=$AE141),"",IF(BX$3=$AD141,$F141&amp;"R",BX140))))</f>
        <v/>
      </c>
      <c r="BY141" s="11" t="str">
        <f aca="false">IF($P141=0,BY140,IF(BY$3=$E141,IF($AA141=1,$F141&amp;$AB141,$G141),IF(OR(BY$3=$D141,BY$3=$AC141,BY$3=$AE141),"",IF(BY$3=$AD141,$F141&amp;"R",BY140))))</f>
        <v/>
      </c>
      <c r="BZ141" s="11" t="str">
        <f aca="false">IF($P141=0,BZ140,IF(BZ$3=$E141,IF($AA141=1,$F141&amp;$AB141,$G141),IF(OR(BZ$3=$D141,BZ$3=$AC141,BZ$3=$AE141),"",IF(BZ$3=$AD141,$F141&amp;"R",BZ140))))</f>
        <v/>
      </c>
      <c r="CA141" s="11" t="str">
        <f aca="false">IF($P141=0,CA140,IF(CA$3=$E141,IF($AA141=1,$F141&amp;$AB141,$G141),IF(OR(CA$3=$D141,CA$3=$AC141,CA$3=$AE141),"",IF(CA$3=$AD141,$F141&amp;"R",CA140))))</f>
        <v/>
      </c>
      <c r="CB141" s="11" t="str">
        <f aca="false">IF($P141=0,CB140,IF(CB$3=$E141,IF($AA141=1,$F141&amp;$AB141,$G141),IF(OR(CB$3=$D141,CB$3=$AC141,CB$3=$AE141),"",IF(CB$3=$AD141,$F141&amp;"R",CB140))))</f>
        <v/>
      </c>
      <c r="CC141" s="11" t="str">
        <f aca="false">IF($P141=0,CC140,IF(CC$3=$E141,IF($AA141=1,$F141&amp;$AB141,$G141),IF(OR(CC$3=$D141,CC$3=$AC141,CC$3=$AE141),"",IF(CC$3=$AD141,$F141&amp;"R",CC140))))</f>
        <v/>
      </c>
      <c r="CD141" s="11" t="str">
        <f aca="false">IF($P141=0,CD140,IF(CD$3=$E141,IF($AA141=1,$F141&amp;$AB141,$G141),IF(OR(CD$3=$D141,CD$3=$AC141,CD$3=$AE141),"",IF(CD$3=$AD141,$F141&amp;"R",CD140))))</f>
        <v>bP</v>
      </c>
      <c r="CE141" s="11" t="str">
        <f aca="false">IF($P141=0,CE140,IF(CE$3=$E141,IF($AA141=1,$F141&amp;$AB141,$G141),IF(OR(CE$3=$D141,CE$3=$AC141,CE$3=$AE141),"",IF(CE$3=$AD141,$F141&amp;"R",CE140))))</f>
        <v>bP</v>
      </c>
      <c r="CF141" s="11" t="str">
        <f aca="false">IF($P141=0,CF140,IF(CF$3=$E141,IF($AA141=1,$F141&amp;$AB141,$G141),IF(OR(CF$3=$D141,CF$3=$AC141,CF$3=$AE141),"",IF(CF$3=$AD141,$F141&amp;"R",CF140))))</f>
        <v>bP</v>
      </c>
      <c r="CG141" s="11" t="str">
        <f aca="false">IF($P141=0,CG140,IF(CG$3=$E141,IF($AA141=1,$F141&amp;$AB141,$G141),IF(OR(CG$3=$D141,CG$3=$AC141,CG$3=$AE141),"",IF(CG$3=$AD141,$F141&amp;"R",CG140))))</f>
        <v>bP</v>
      </c>
      <c r="CH141" s="11" t="str">
        <f aca="false">IF($P141=0,CH140,IF(CH$3=$E141,IF($AA141=1,$F141&amp;$AB141,$G141),IF(OR(CH$3=$D141,CH$3=$AC141,CH$3=$AE141),"",IF(CH$3=$AD141,$F141&amp;"R",CH140))))</f>
        <v>bP</v>
      </c>
      <c r="CI141" s="11" t="str">
        <f aca="false">IF($P141=0,CI140,IF(CI$3=$E141,IF($AA141=1,$F141&amp;$AB141,$G141),IF(OR(CI$3=$D141,CI$3=$AC141,CI$3=$AE141),"",IF(CI$3=$AD141,$F141&amp;"R",CI140))))</f>
        <v>bP</v>
      </c>
      <c r="CJ141" s="11" t="str">
        <f aca="false">IF($P141=0,CJ140,IF(CJ$3=$E141,IF($AA141=1,$F141&amp;$AB141,$G141),IF(OR(CJ$3=$D141,CJ$3=$AC141,CJ$3=$AE141),"",IF(CJ$3=$AD141,$F141&amp;"R",CJ140))))</f>
        <v>bP</v>
      </c>
      <c r="CK141" s="11" t="str">
        <f aca="false">IF($P141=0,CK140,IF(CK$3=$E141,IF($AA141=1,$F141&amp;$AB141,$G141),IF(OR(CK$3=$D141,CK$3=$AC141,CK$3=$AE141),"",IF(CK$3=$AD141,$F141&amp;"R",CK140))))</f>
        <v>bP</v>
      </c>
      <c r="CL141" s="11" t="str">
        <f aca="false">IF($P141=0,CL140,IF(CL$3=$E141,IF($AA141=1,$F141&amp;$AB141,$G141),IF(OR(CL$3=$D141,CL$3=$AC141,CL$3=$AE141),"",IF(CL$3=$AD141,$F141&amp;"R",CL140))))</f>
        <v>bR</v>
      </c>
      <c r="CM141" s="11" t="str">
        <f aca="false">IF($P141=0,CM140,IF(CM$3=$E141,IF($AA141=1,$F141&amp;$AB141,$G141),IF(OR(CM$3=$D141,CM$3=$AC141,CM$3=$AE141),"",IF(CM$3=$AD141,$F141&amp;"R",CM140))))</f>
        <v>bN</v>
      </c>
      <c r="CN141" s="11" t="str">
        <f aca="false">IF($P141=0,CN140,IF(CN$3=$E141,IF($AA141=1,$F141&amp;$AB141,$G141),IF(OR(CN$3=$D141,CN$3=$AC141,CN$3=$AE141),"",IF(CN$3=$AD141,$F141&amp;"R",CN140))))</f>
        <v>bB</v>
      </c>
      <c r="CO141" s="11" t="str">
        <f aca="false">IF($P141=0,CO140,IF(CO$3=$E141,IF($AA141=1,$F141&amp;$AB141,$G141),IF(OR(CO$3=$D141,CO$3=$AC141,CO$3=$AE141),"",IF(CO$3=$AD141,$F141&amp;"R",CO140))))</f>
        <v>bQ</v>
      </c>
      <c r="CP141" s="11" t="str">
        <f aca="false">IF($P141=0,CP140,IF(CP$3=$E141,IF($AA141=1,$F141&amp;$AB141,$G141),IF(OR(CP$3=$D141,CP$3=$AC141,CP$3=$AE141),"",IF(CP$3=$AD141,$F141&amp;"R",CP140))))</f>
        <v>bK</v>
      </c>
      <c r="CQ141" s="11" t="str">
        <f aca="false">IF($P141=0,CQ140,IF(CQ$3=$E141,IF($AA141=1,$F141&amp;$AB141,$G141),IF(OR(CQ$3=$D141,CQ$3=$AC141,CQ$3=$AE141),"",IF(CQ$3=$AD141,$F141&amp;"R",CQ140))))</f>
        <v>bB</v>
      </c>
      <c r="CR141" s="11" t="str">
        <f aca="false">IF($P141=0,CR140,IF(CR$3=$E141,IF($AA141=1,$F141&amp;$AB141,$G141),IF(OR(CR$3=$D141,CR$3=$AC141,CR$3=$AE141),"",IF(CR$3=$AD141,$F141&amp;"R",CR140))))</f>
        <v>bN</v>
      </c>
      <c r="CS141" s="11" t="str">
        <f aca="false">IF($P141=0,CS140,IF(CS$3=$E141,IF($AA141=1,$F141&amp;$AB141,$G141),IF(OR(CS$3=$D141,CS$3=$AC141,CS$3=$AE141),"",IF(CS$3=$AD141,$F141&amp;"R",CS140))))</f>
        <v>bR</v>
      </c>
      <c r="CT141" s="11"/>
      <c r="CU141" s="11"/>
      <c r="CV141" s="11"/>
    </row>
    <row r="142" customFormat="false" ht="15" hidden="false" customHeight="false" outlineLevel="0" collapsed="false">
      <c r="A142" s="11" t="n">
        <v>137</v>
      </c>
      <c r="B142" s="11" t="str">
        <f aca="false">IF(Chess!$L$146="","",Chess!$L$146&amp;"")</f>
        <v/>
      </c>
      <c r="C142" s="11" t="str">
        <f aca="false">LOWER(SUBSTITUTE(SUBSTITUTE(SUBSTITUTE(SUBSTITUTE(TRIM($B142),"-",""),"=","")," ",""),"x",""))</f>
        <v/>
      </c>
      <c r="D142" s="11" t="n">
        <f aca="false">IF(LEN($C142)&lt;4,0,IFERROR(IF(AND(CODE(MID($C142,1,1))&gt;=97,CODE(MID($C142,1,1))&lt;=104,VALUE(MID($C142,2,1))&gt;=1,VALUE(MID($C142,2,1))&lt;=8),(VALUE(MID($C142,2,1))-1)*8+CODE(MID($C142,1,1))-96,0),0))</f>
        <v>0</v>
      </c>
      <c r="E142" s="11" t="n">
        <f aca="false">IF(LEN($C142)&lt;4,0,IFERROR(IF(AND(CODE(MID($C142,3,1))&gt;=97,CODE(MID($C142,3,1))&lt;=104,VALUE(MID($C142,4,1))&gt;=1,VALUE(MID($C142,4,1))&lt;=8),(VALUE(MID($C142,4,1))-1)*8+CODE(MID($C142,3,1))-96,0),0))</f>
        <v>0</v>
      </c>
      <c r="F142" s="11" t="str">
        <f aca="false">IF(MOD(SUM($P$5:$P141),2)=0,"w","b")</f>
        <v>w</v>
      </c>
      <c r="G142" s="11" t="str">
        <f aca="false">IF($D142=0,"",INDEX($AH141:$CS141,1,$D142)&amp;"")</f>
        <v/>
      </c>
      <c r="H142" s="11" t="str">
        <f aca="false">IF($E142=0,"",INDEX($AH141:$CS141,1,$E142)&amp;"")</f>
        <v/>
      </c>
      <c r="I142" s="11" t="n">
        <f aca="false">IF(OR($D142=0,$E142=0),0,MOD($E142-1,8)-MOD($D142-1,8))</f>
        <v>0</v>
      </c>
      <c r="J142" s="11" t="n">
        <f aca="false">IF(OR($D142=0,$E142=0),0,INT(($E142-1)/8)-INT(($D142-1)/8))</f>
        <v>0</v>
      </c>
      <c r="K142" s="11" t="str">
        <f aca="false">IF($G142="","",RIGHT($G142,1))</f>
        <v/>
      </c>
      <c r="L142" s="11" t="n">
        <f aca="false">IF(OR($D142=0,$E142=0),0,SUMPRODUCT(($AH$3:$CS$3&gt;MIN($D142,$E142))*($AH$3:$CS$3&lt;MAX($D142,$E142))*(MOD($AH$3:$CS$3-MIN($D142,$E142),MAX(1,ABS(SIGN($J142)*8+SIGN($I142))))=0)*($AH141:$CS141&lt;&gt;"")))</f>
        <v>0</v>
      </c>
      <c r="M142" s="11" t="n">
        <f aca="false">IF($K142&lt;&gt;"K",0,IFERROR(--AND($J142=0,ABS($I142)=2,$D142=IF($F142="w",5,61),IF($F142="w",$S141,$V141)=0,IF($I142=2,AND(IF($F142="w",$U141,$X141)=0,INDEX($AH141:$CS141,1,$D142+1)&amp;""="",INDEX($AH141:$CS141,1,$D142+2)&amp;""=""),AND(IF($F142="w",$T141,$W141)=0,INDEX($AH141:$CS141,1,$D142-1)&amp;""="",INDEX($AH141:$CS141,1,$D142-2)&amp;""="",INDEX($AH141:$CS141,1,$D142-3)&amp;""=""))),0))</f>
        <v>0</v>
      </c>
      <c r="N142" s="11" t="n">
        <f aca="false">IF($K142&lt;&gt;"P",0,IFERROR(--OR(AND($I142=0,$J142=IF($F142="w",1,-1),$H142=""),AND($I142=0,$J142=2*IF($F142="w",1,-1),$H142="",INT(($D142-1)/8)=IF($F142="w",1,6),INDEX($AH141:$CS141,1,MAX(1,MIN(64,$D142+8*IF($F142="w",1,-1))))&amp;""=""),AND(ABS($I142)=1,$J142=IF($F142="w",1,-1),$H142&lt;&gt;""),AND(ABS($I142)=1,$J142=IF($F142="w",1,-1),$H142="",$R141&gt;0,$E142=$R141)),0))</f>
        <v>0</v>
      </c>
      <c r="O142" s="11" t="n">
        <f aca="false">IF(OR($D142=0,$E142=0,$G142=""),0,IF($K142="N",--OR(AND(ABS($I142)=1,ABS($J142)=2),AND(ABS($I142)=2,ABS($J142)=1)),IF($K142="B",--AND(ABS($I142)=ABS($J142),$I142&lt;&gt;0,$L142=0),IF($K142="R",--AND(OR($I142=0,$J142=0),OR($I142&lt;&gt;0,$J142&lt;&gt;0),$L142=0),IF($K142="Q",--AND(OR(AND(ABS($I142)=ABS($J142),$I142&lt;&gt;0),AND(OR($I142=0,$J142=0),OR($I142&lt;&gt;0,$J142&lt;&gt;0))),$L142=0),IF($K142="K",--OR(MAX(ABS($I142),ABS($J142))=1,$M142=1),$N142))))))</f>
        <v>0</v>
      </c>
      <c r="P142" s="11" t="n">
        <f aca="false">IF($Q142="OK",1,0)</f>
        <v>0</v>
      </c>
      <c r="Q142" s="11" t="str">
        <f aca="false">IF($B142="","",IF(OR(COUNTIF($AH141:$CS141,"wK")=0,COUNTIF($AH141:$CS141,"bK")=0),"Game is over",IF(OR($D142=0,$E142=0),"Use the format e2e4",IF($G142="","No piece on that square",IF(LEFT($G142,1)&lt;&gt;$F142,"Not your piece ("&amp;IF($F142="w","White","Black")&amp;" to move)",IF($D142=$E142,"Piece must move",IF(AND($H142&lt;&gt;"",LEFT($H142,1)=$F142),"Cannot capture your own piece",IF($O142=0,"Illegal move for that piece (or path blocked)","OK"))))))))</f>
        <v/>
      </c>
      <c r="R142" s="11" t="n">
        <f aca="false">IF($P142=1,IF(AND($K142="P",ABS($J142)=2),($D142+$E142)/2,0),$R141)</f>
        <v>0</v>
      </c>
      <c r="S142" s="12" t="b">
        <f aca="false">--OR($S141=1,AND($P142=1,OR($D142=5,$E142=5)))</f>
        <v>0</v>
      </c>
      <c r="T142" s="12" t="b">
        <f aca="false">--OR($T141=1,AND($P142=1,OR($D142=1,$E142=1)))</f>
        <v>0</v>
      </c>
      <c r="U142" s="12" t="b">
        <f aca="false">--OR($U141=1,AND($P142=1,OR($D142=8,$E142=8)))</f>
        <v>0</v>
      </c>
      <c r="V142" s="12" t="b">
        <f aca="false">--OR($V141=1,AND($P142=1,OR($D142=61,$E142=61)))</f>
        <v>0</v>
      </c>
      <c r="W142" s="12" t="b">
        <f aca="false">--OR($W141=1,AND($P142=1,OR($D142=57,$E142=57)))</f>
        <v>0</v>
      </c>
      <c r="X142" s="12" t="b">
        <f aca="false">--OR($X141=1,AND($P142=1,OR($D142=64,$E142=64)))</f>
        <v>0</v>
      </c>
      <c r="Y142" s="12" t="b">
        <f aca="false">--AND($P142=1,$K142="K",ABS($I142)=2)</f>
        <v>0</v>
      </c>
      <c r="Z142" s="12" t="b">
        <f aca="false">--AND($P142=1,$K142="P",ABS($I142)=1,$H142="")</f>
        <v>0</v>
      </c>
      <c r="AA142" s="12" t="b">
        <f aca="false">--AND($P142=1,$K142="P",INT(($E142-1)/8)=IF($F142="w",7,0))</f>
        <v>0</v>
      </c>
      <c r="AB142" s="11" t="str">
        <f aca="false">IF(LEN($C142)&gt;=5,IF(ISNUMBER(FIND(MID($C142,5,1),"qrbn")),UPPER(MID($C142,5,1)),"Q"),"Q")</f>
        <v>Q</v>
      </c>
      <c r="AC142" s="11" t="n">
        <f aca="false">IF($Y142=1,IF($I142=2,$D142+3,$D142-4),0)</f>
        <v>0</v>
      </c>
      <c r="AD142" s="11" t="n">
        <f aca="false">IF($Y142=1,IF($I142=2,$D142+1,$D142-1),0)</f>
        <v>0</v>
      </c>
      <c r="AE142" s="11" t="n">
        <f aca="false">IF($Z142=1,$E142-8*IF($F142="w",1,-1),0)</f>
        <v>0</v>
      </c>
      <c r="AF142" s="11" t="str">
        <f aca="false">IF($B142="","",IF($P142=1,LOWER(INDEX($CV$2:$CV$13,MATCH($G142,$CU$2:$CU$13,0)))&amp;" "&amp;MID("abcdefgh",MOD($D142-1,8)+1,1)&amp;(INT(($D142-1)/8)+1)&amp;"→"&amp;MID("abcdefgh",MOD($E142-1,8)+1,1)&amp;(INT(($E142-1)/8)+1)&amp;IF(OR($H142&lt;&gt;"",$Z142=1)," ×","")&amp;IF($Y142=1," castles","")&amp;IF($Z142=1," e.p.","")&amp;IF($AA142=1," =" &amp;LOWER(INDEX($CV$2:$CV$13,MATCH($F142&amp;$AB142,$CU$2:$CU$13,0))),""),"X "&amp;$Q142))</f>
        <v/>
      </c>
      <c r="AG142" s="11"/>
      <c r="AH142" s="11" t="str">
        <f aca="false">IF($P142=0,AH141,IF(AH$3=$E142,IF($AA142=1,$F142&amp;$AB142,$G142),IF(OR(AH$3=$D142,AH$3=$AC142,AH$3=$AE142),"",IF(AH$3=$AD142,$F142&amp;"R",AH141))))</f>
        <v>wR</v>
      </c>
      <c r="AI142" s="11" t="str">
        <f aca="false">IF($P142=0,AI141,IF(AI$3=$E142,IF($AA142=1,$F142&amp;$AB142,$G142),IF(OR(AI$3=$D142,AI$3=$AC142,AI$3=$AE142),"",IF(AI$3=$AD142,$F142&amp;"R",AI141))))</f>
        <v>wN</v>
      </c>
      <c r="AJ142" s="11" t="str">
        <f aca="false">IF($P142=0,AJ141,IF(AJ$3=$E142,IF($AA142=1,$F142&amp;$AB142,$G142),IF(OR(AJ$3=$D142,AJ$3=$AC142,AJ$3=$AE142),"",IF(AJ$3=$AD142,$F142&amp;"R",AJ141))))</f>
        <v>wB</v>
      </c>
      <c r="AK142" s="11" t="str">
        <f aca="false">IF($P142=0,AK141,IF(AK$3=$E142,IF($AA142=1,$F142&amp;$AB142,$G142),IF(OR(AK$3=$D142,AK$3=$AC142,AK$3=$AE142),"",IF(AK$3=$AD142,$F142&amp;"R",AK141))))</f>
        <v>wQ</v>
      </c>
      <c r="AL142" s="11" t="str">
        <f aca="false">IF($P142=0,AL141,IF(AL$3=$E142,IF($AA142=1,$F142&amp;$AB142,$G142),IF(OR(AL$3=$D142,AL$3=$AC142,AL$3=$AE142),"",IF(AL$3=$AD142,$F142&amp;"R",AL141))))</f>
        <v>wK</v>
      </c>
      <c r="AM142" s="11" t="str">
        <f aca="false">IF($P142=0,AM141,IF(AM$3=$E142,IF($AA142=1,$F142&amp;$AB142,$G142),IF(OR(AM$3=$D142,AM$3=$AC142,AM$3=$AE142),"",IF(AM$3=$AD142,$F142&amp;"R",AM141))))</f>
        <v>wB</v>
      </c>
      <c r="AN142" s="11" t="str">
        <f aca="false">IF($P142=0,AN141,IF(AN$3=$E142,IF($AA142=1,$F142&amp;$AB142,$G142),IF(OR(AN$3=$D142,AN$3=$AC142,AN$3=$AE142),"",IF(AN$3=$AD142,$F142&amp;"R",AN141))))</f>
        <v>wN</v>
      </c>
      <c r="AO142" s="11" t="str">
        <f aca="false">IF($P142=0,AO141,IF(AO$3=$E142,IF($AA142=1,$F142&amp;$AB142,$G142),IF(OR(AO$3=$D142,AO$3=$AC142,AO$3=$AE142),"",IF(AO$3=$AD142,$F142&amp;"R",AO141))))</f>
        <v>wR</v>
      </c>
      <c r="AP142" s="11" t="str">
        <f aca="false">IF($P142=0,AP141,IF(AP$3=$E142,IF($AA142=1,$F142&amp;$AB142,$G142),IF(OR(AP$3=$D142,AP$3=$AC142,AP$3=$AE142),"",IF(AP$3=$AD142,$F142&amp;"R",AP141))))</f>
        <v>wP</v>
      </c>
      <c r="AQ142" s="11" t="str">
        <f aca="false">IF($P142=0,AQ141,IF(AQ$3=$E142,IF($AA142=1,$F142&amp;$AB142,$G142),IF(OR(AQ$3=$D142,AQ$3=$AC142,AQ$3=$AE142),"",IF(AQ$3=$AD142,$F142&amp;"R",AQ141))))</f>
        <v>wP</v>
      </c>
      <c r="AR142" s="11" t="str">
        <f aca="false">IF($P142=0,AR141,IF(AR$3=$E142,IF($AA142=1,$F142&amp;$AB142,$G142),IF(OR(AR$3=$D142,AR$3=$AC142,AR$3=$AE142),"",IF(AR$3=$AD142,$F142&amp;"R",AR141))))</f>
        <v>wP</v>
      </c>
      <c r="AS142" s="11" t="str">
        <f aca="false">IF($P142=0,AS141,IF(AS$3=$E142,IF($AA142=1,$F142&amp;$AB142,$G142),IF(OR(AS$3=$D142,AS$3=$AC142,AS$3=$AE142),"",IF(AS$3=$AD142,$F142&amp;"R",AS141))))</f>
        <v>wP</v>
      </c>
      <c r="AT142" s="11" t="str">
        <f aca="false">IF($P142=0,AT141,IF(AT$3=$E142,IF($AA142=1,$F142&amp;$AB142,$G142),IF(OR(AT$3=$D142,AT$3=$AC142,AT$3=$AE142),"",IF(AT$3=$AD142,$F142&amp;"R",AT141))))</f>
        <v>wP</v>
      </c>
      <c r="AU142" s="11" t="str">
        <f aca="false">IF($P142=0,AU141,IF(AU$3=$E142,IF($AA142=1,$F142&amp;$AB142,$G142),IF(OR(AU$3=$D142,AU$3=$AC142,AU$3=$AE142),"",IF(AU$3=$AD142,$F142&amp;"R",AU141))))</f>
        <v>wP</v>
      </c>
      <c r="AV142" s="11" t="str">
        <f aca="false">IF($P142=0,AV141,IF(AV$3=$E142,IF($AA142=1,$F142&amp;$AB142,$G142),IF(OR(AV$3=$D142,AV$3=$AC142,AV$3=$AE142),"",IF(AV$3=$AD142,$F142&amp;"R",AV141))))</f>
        <v>wP</v>
      </c>
      <c r="AW142" s="11" t="str">
        <f aca="false">IF($P142=0,AW141,IF(AW$3=$E142,IF($AA142=1,$F142&amp;$AB142,$G142),IF(OR(AW$3=$D142,AW$3=$AC142,AW$3=$AE142),"",IF(AW$3=$AD142,$F142&amp;"R",AW141))))</f>
        <v>wP</v>
      </c>
      <c r="AX142" s="11" t="str">
        <f aca="false">IF($P142=0,AX141,IF(AX$3=$E142,IF($AA142=1,$F142&amp;$AB142,$G142),IF(OR(AX$3=$D142,AX$3=$AC142,AX$3=$AE142),"",IF(AX$3=$AD142,$F142&amp;"R",AX141))))</f>
        <v/>
      </c>
      <c r="AY142" s="11" t="str">
        <f aca="false">IF($P142=0,AY141,IF(AY$3=$E142,IF($AA142=1,$F142&amp;$AB142,$G142),IF(OR(AY$3=$D142,AY$3=$AC142,AY$3=$AE142),"",IF(AY$3=$AD142,$F142&amp;"R",AY141))))</f>
        <v/>
      </c>
      <c r="AZ142" s="11" t="str">
        <f aca="false">IF($P142=0,AZ141,IF(AZ$3=$E142,IF($AA142=1,$F142&amp;$AB142,$G142),IF(OR(AZ$3=$D142,AZ$3=$AC142,AZ$3=$AE142),"",IF(AZ$3=$AD142,$F142&amp;"R",AZ141))))</f>
        <v/>
      </c>
      <c r="BA142" s="11" t="str">
        <f aca="false">IF($P142=0,BA141,IF(BA$3=$E142,IF($AA142=1,$F142&amp;$AB142,$G142),IF(OR(BA$3=$D142,BA$3=$AC142,BA$3=$AE142),"",IF(BA$3=$AD142,$F142&amp;"R",BA141))))</f>
        <v/>
      </c>
      <c r="BB142" s="11" t="str">
        <f aca="false">IF($P142=0,BB141,IF(BB$3=$E142,IF($AA142=1,$F142&amp;$AB142,$G142),IF(OR(BB$3=$D142,BB$3=$AC142,BB$3=$AE142),"",IF(BB$3=$AD142,$F142&amp;"R",BB141))))</f>
        <v/>
      </c>
      <c r="BC142" s="11" t="str">
        <f aca="false">IF($P142=0,BC141,IF(BC$3=$E142,IF($AA142=1,$F142&amp;$AB142,$G142),IF(OR(BC$3=$D142,BC$3=$AC142,BC$3=$AE142),"",IF(BC$3=$AD142,$F142&amp;"R",BC141))))</f>
        <v/>
      </c>
      <c r="BD142" s="11" t="str">
        <f aca="false">IF($P142=0,BD141,IF(BD$3=$E142,IF($AA142=1,$F142&amp;$AB142,$G142),IF(OR(BD$3=$D142,BD$3=$AC142,BD$3=$AE142),"",IF(BD$3=$AD142,$F142&amp;"R",BD141))))</f>
        <v/>
      </c>
      <c r="BE142" s="11" t="str">
        <f aca="false">IF($P142=0,BE141,IF(BE$3=$E142,IF($AA142=1,$F142&amp;$AB142,$G142),IF(OR(BE$3=$D142,BE$3=$AC142,BE$3=$AE142),"",IF(BE$3=$AD142,$F142&amp;"R",BE141))))</f>
        <v/>
      </c>
      <c r="BF142" s="11" t="str">
        <f aca="false">IF($P142=0,BF141,IF(BF$3=$E142,IF($AA142=1,$F142&amp;$AB142,$G142),IF(OR(BF$3=$D142,BF$3=$AC142,BF$3=$AE142),"",IF(BF$3=$AD142,$F142&amp;"R",BF141))))</f>
        <v/>
      </c>
      <c r="BG142" s="11" t="str">
        <f aca="false">IF($P142=0,BG141,IF(BG$3=$E142,IF($AA142=1,$F142&amp;$AB142,$G142),IF(OR(BG$3=$D142,BG$3=$AC142,BG$3=$AE142),"",IF(BG$3=$AD142,$F142&amp;"R",BG141))))</f>
        <v/>
      </c>
      <c r="BH142" s="11" t="str">
        <f aca="false">IF($P142=0,BH141,IF(BH$3=$E142,IF($AA142=1,$F142&amp;$AB142,$G142),IF(OR(BH$3=$D142,BH$3=$AC142,BH$3=$AE142),"",IF(BH$3=$AD142,$F142&amp;"R",BH141))))</f>
        <v/>
      </c>
      <c r="BI142" s="11" t="str">
        <f aca="false">IF($P142=0,BI141,IF(BI$3=$E142,IF($AA142=1,$F142&amp;$AB142,$G142),IF(OR(BI$3=$D142,BI$3=$AC142,BI$3=$AE142),"",IF(BI$3=$AD142,$F142&amp;"R",BI141))))</f>
        <v/>
      </c>
      <c r="BJ142" s="11" t="str">
        <f aca="false">IF($P142=0,BJ141,IF(BJ$3=$E142,IF($AA142=1,$F142&amp;$AB142,$G142),IF(OR(BJ$3=$D142,BJ$3=$AC142,BJ$3=$AE142),"",IF(BJ$3=$AD142,$F142&amp;"R",BJ141))))</f>
        <v/>
      </c>
      <c r="BK142" s="11" t="str">
        <f aca="false">IF($P142=0,BK141,IF(BK$3=$E142,IF($AA142=1,$F142&amp;$AB142,$G142),IF(OR(BK$3=$D142,BK$3=$AC142,BK$3=$AE142),"",IF(BK$3=$AD142,$F142&amp;"R",BK141))))</f>
        <v/>
      </c>
      <c r="BL142" s="11" t="str">
        <f aca="false">IF($P142=0,BL141,IF(BL$3=$E142,IF($AA142=1,$F142&amp;$AB142,$G142),IF(OR(BL$3=$D142,BL$3=$AC142,BL$3=$AE142),"",IF(BL$3=$AD142,$F142&amp;"R",BL141))))</f>
        <v/>
      </c>
      <c r="BM142" s="11" t="str">
        <f aca="false">IF($P142=0,BM141,IF(BM$3=$E142,IF($AA142=1,$F142&amp;$AB142,$G142),IF(OR(BM$3=$D142,BM$3=$AC142,BM$3=$AE142),"",IF(BM$3=$AD142,$F142&amp;"R",BM141))))</f>
        <v/>
      </c>
      <c r="BN142" s="11" t="str">
        <f aca="false">IF($P142=0,BN141,IF(BN$3=$E142,IF($AA142=1,$F142&amp;$AB142,$G142),IF(OR(BN$3=$D142,BN$3=$AC142,BN$3=$AE142),"",IF(BN$3=$AD142,$F142&amp;"R",BN141))))</f>
        <v/>
      </c>
      <c r="BO142" s="11" t="str">
        <f aca="false">IF($P142=0,BO141,IF(BO$3=$E142,IF($AA142=1,$F142&amp;$AB142,$G142),IF(OR(BO$3=$D142,BO$3=$AC142,BO$3=$AE142),"",IF(BO$3=$AD142,$F142&amp;"R",BO141))))</f>
        <v/>
      </c>
      <c r="BP142" s="11" t="str">
        <f aca="false">IF($P142=0,BP141,IF(BP$3=$E142,IF($AA142=1,$F142&amp;$AB142,$G142),IF(OR(BP$3=$D142,BP$3=$AC142,BP$3=$AE142),"",IF(BP$3=$AD142,$F142&amp;"R",BP141))))</f>
        <v/>
      </c>
      <c r="BQ142" s="11" t="str">
        <f aca="false">IF($P142=0,BQ141,IF(BQ$3=$E142,IF($AA142=1,$F142&amp;$AB142,$G142),IF(OR(BQ$3=$D142,BQ$3=$AC142,BQ$3=$AE142),"",IF(BQ$3=$AD142,$F142&amp;"R",BQ141))))</f>
        <v/>
      </c>
      <c r="BR142" s="11" t="str">
        <f aca="false">IF($P142=0,BR141,IF(BR$3=$E142,IF($AA142=1,$F142&amp;$AB142,$G142),IF(OR(BR$3=$D142,BR$3=$AC142,BR$3=$AE142),"",IF(BR$3=$AD142,$F142&amp;"R",BR141))))</f>
        <v/>
      </c>
      <c r="BS142" s="11" t="str">
        <f aca="false">IF($P142=0,BS141,IF(BS$3=$E142,IF($AA142=1,$F142&amp;$AB142,$G142),IF(OR(BS$3=$D142,BS$3=$AC142,BS$3=$AE142),"",IF(BS$3=$AD142,$F142&amp;"R",BS141))))</f>
        <v/>
      </c>
      <c r="BT142" s="11" t="str">
        <f aca="false">IF($P142=0,BT141,IF(BT$3=$E142,IF($AA142=1,$F142&amp;$AB142,$G142),IF(OR(BT$3=$D142,BT$3=$AC142,BT$3=$AE142),"",IF(BT$3=$AD142,$F142&amp;"R",BT141))))</f>
        <v/>
      </c>
      <c r="BU142" s="11" t="str">
        <f aca="false">IF($P142=0,BU141,IF(BU$3=$E142,IF($AA142=1,$F142&amp;$AB142,$G142),IF(OR(BU$3=$D142,BU$3=$AC142,BU$3=$AE142),"",IF(BU$3=$AD142,$F142&amp;"R",BU141))))</f>
        <v/>
      </c>
      <c r="BV142" s="11" t="str">
        <f aca="false">IF($P142=0,BV141,IF(BV$3=$E142,IF($AA142=1,$F142&amp;$AB142,$G142),IF(OR(BV$3=$D142,BV$3=$AC142,BV$3=$AE142),"",IF(BV$3=$AD142,$F142&amp;"R",BV141))))</f>
        <v/>
      </c>
      <c r="BW142" s="11" t="str">
        <f aca="false">IF($P142=0,BW141,IF(BW$3=$E142,IF($AA142=1,$F142&amp;$AB142,$G142),IF(OR(BW$3=$D142,BW$3=$AC142,BW$3=$AE142),"",IF(BW$3=$AD142,$F142&amp;"R",BW141))))</f>
        <v/>
      </c>
      <c r="BX142" s="11" t="str">
        <f aca="false">IF($P142=0,BX141,IF(BX$3=$E142,IF($AA142=1,$F142&amp;$AB142,$G142),IF(OR(BX$3=$D142,BX$3=$AC142,BX$3=$AE142),"",IF(BX$3=$AD142,$F142&amp;"R",BX141))))</f>
        <v/>
      </c>
      <c r="BY142" s="11" t="str">
        <f aca="false">IF($P142=0,BY141,IF(BY$3=$E142,IF($AA142=1,$F142&amp;$AB142,$G142),IF(OR(BY$3=$D142,BY$3=$AC142,BY$3=$AE142),"",IF(BY$3=$AD142,$F142&amp;"R",BY141))))</f>
        <v/>
      </c>
      <c r="BZ142" s="11" t="str">
        <f aca="false">IF($P142=0,BZ141,IF(BZ$3=$E142,IF($AA142=1,$F142&amp;$AB142,$G142),IF(OR(BZ$3=$D142,BZ$3=$AC142,BZ$3=$AE142),"",IF(BZ$3=$AD142,$F142&amp;"R",BZ141))))</f>
        <v/>
      </c>
      <c r="CA142" s="11" t="str">
        <f aca="false">IF($P142=0,CA141,IF(CA$3=$E142,IF($AA142=1,$F142&amp;$AB142,$G142),IF(OR(CA$3=$D142,CA$3=$AC142,CA$3=$AE142),"",IF(CA$3=$AD142,$F142&amp;"R",CA141))))</f>
        <v/>
      </c>
      <c r="CB142" s="11" t="str">
        <f aca="false">IF($P142=0,CB141,IF(CB$3=$E142,IF($AA142=1,$F142&amp;$AB142,$G142),IF(OR(CB$3=$D142,CB$3=$AC142,CB$3=$AE142),"",IF(CB$3=$AD142,$F142&amp;"R",CB141))))</f>
        <v/>
      </c>
      <c r="CC142" s="11" t="str">
        <f aca="false">IF($P142=0,CC141,IF(CC$3=$E142,IF($AA142=1,$F142&amp;$AB142,$G142),IF(OR(CC$3=$D142,CC$3=$AC142,CC$3=$AE142),"",IF(CC$3=$AD142,$F142&amp;"R",CC141))))</f>
        <v/>
      </c>
      <c r="CD142" s="11" t="str">
        <f aca="false">IF($P142=0,CD141,IF(CD$3=$E142,IF($AA142=1,$F142&amp;$AB142,$G142),IF(OR(CD$3=$D142,CD$3=$AC142,CD$3=$AE142),"",IF(CD$3=$AD142,$F142&amp;"R",CD141))))</f>
        <v>bP</v>
      </c>
      <c r="CE142" s="11" t="str">
        <f aca="false">IF($P142=0,CE141,IF(CE$3=$E142,IF($AA142=1,$F142&amp;$AB142,$G142),IF(OR(CE$3=$D142,CE$3=$AC142,CE$3=$AE142),"",IF(CE$3=$AD142,$F142&amp;"R",CE141))))</f>
        <v>bP</v>
      </c>
      <c r="CF142" s="11" t="str">
        <f aca="false">IF($P142=0,CF141,IF(CF$3=$E142,IF($AA142=1,$F142&amp;$AB142,$G142),IF(OR(CF$3=$D142,CF$3=$AC142,CF$3=$AE142),"",IF(CF$3=$AD142,$F142&amp;"R",CF141))))</f>
        <v>bP</v>
      </c>
      <c r="CG142" s="11" t="str">
        <f aca="false">IF($P142=0,CG141,IF(CG$3=$E142,IF($AA142=1,$F142&amp;$AB142,$G142),IF(OR(CG$3=$D142,CG$3=$AC142,CG$3=$AE142),"",IF(CG$3=$AD142,$F142&amp;"R",CG141))))</f>
        <v>bP</v>
      </c>
      <c r="CH142" s="11" t="str">
        <f aca="false">IF($P142=0,CH141,IF(CH$3=$E142,IF($AA142=1,$F142&amp;$AB142,$G142),IF(OR(CH$3=$D142,CH$3=$AC142,CH$3=$AE142),"",IF(CH$3=$AD142,$F142&amp;"R",CH141))))</f>
        <v>bP</v>
      </c>
      <c r="CI142" s="11" t="str">
        <f aca="false">IF($P142=0,CI141,IF(CI$3=$E142,IF($AA142=1,$F142&amp;$AB142,$G142),IF(OR(CI$3=$D142,CI$3=$AC142,CI$3=$AE142),"",IF(CI$3=$AD142,$F142&amp;"R",CI141))))</f>
        <v>bP</v>
      </c>
      <c r="CJ142" s="11" t="str">
        <f aca="false">IF($P142=0,CJ141,IF(CJ$3=$E142,IF($AA142=1,$F142&amp;$AB142,$G142),IF(OR(CJ$3=$D142,CJ$3=$AC142,CJ$3=$AE142),"",IF(CJ$3=$AD142,$F142&amp;"R",CJ141))))</f>
        <v>bP</v>
      </c>
      <c r="CK142" s="11" t="str">
        <f aca="false">IF($P142=0,CK141,IF(CK$3=$E142,IF($AA142=1,$F142&amp;$AB142,$G142),IF(OR(CK$3=$D142,CK$3=$AC142,CK$3=$AE142),"",IF(CK$3=$AD142,$F142&amp;"R",CK141))))</f>
        <v>bP</v>
      </c>
      <c r="CL142" s="11" t="str">
        <f aca="false">IF($P142=0,CL141,IF(CL$3=$E142,IF($AA142=1,$F142&amp;$AB142,$G142),IF(OR(CL$3=$D142,CL$3=$AC142,CL$3=$AE142),"",IF(CL$3=$AD142,$F142&amp;"R",CL141))))</f>
        <v>bR</v>
      </c>
      <c r="CM142" s="11" t="str">
        <f aca="false">IF($P142=0,CM141,IF(CM$3=$E142,IF($AA142=1,$F142&amp;$AB142,$G142),IF(OR(CM$3=$D142,CM$3=$AC142,CM$3=$AE142),"",IF(CM$3=$AD142,$F142&amp;"R",CM141))))</f>
        <v>bN</v>
      </c>
      <c r="CN142" s="11" t="str">
        <f aca="false">IF($P142=0,CN141,IF(CN$3=$E142,IF($AA142=1,$F142&amp;$AB142,$G142),IF(OR(CN$3=$D142,CN$3=$AC142,CN$3=$AE142),"",IF(CN$3=$AD142,$F142&amp;"R",CN141))))</f>
        <v>bB</v>
      </c>
      <c r="CO142" s="11" t="str">
        <f aca="false">IF($P142=0,CO141,IF(CO$3=$E142,IF($AA142=1,$F142&amp;$AB142,$G142),IF(OR(CO$3=$D142,CO$3=$AC142,CO$3=$AE142),"",IF(CO$3=$AD142,$F142&amp;"R",CO141))))</f>
        <v>bQ</v>
      </c>
      <c r="CP142" s="11" t="str">
        <f aca="false">IF($P142=0,CP141,IF(CP$3=$E142,IF($AA142=1,$F142&amp;$AB142,$G142),IF(OR(CP$3=$D142,CP$3=$AC142,CP$3=$AE142),"",IF(CP$3=$AD142,$F142&amp;"R",CP141))))</f>
        <v>bK</v>
      </c>
      <c r="CQ142" s="11" t="str">
        <f aca="false">IF($P142=0,CQ141,IF(CQ$3=$E142,IF($AA142=1,$F142&amp;$AB142,$G142),IF(OR(CQ$3=$D142,CQ$3=$AC142,CQ$3=$AE142),"",IF(CQ$3=$AD142,$F142&amp;"R",CQ141))))</f>
        <v>bB</v>
      </c>
      <c r="CR142" s="11" t="str">
        <f aca="false">IF($P142=0,CR141,IF(CR$3=$E142,IF($AA142=1,$F142&amp;$AB142,$G142),IF(OR(CR$3=$D142,CR$3=$AC142,CR$3=$AE142),"",IF(CR$3=$AD142,$F142&amp;"R",CR141))))</f>
        <v>bN</v>
      </c>
      <c r="CS142" s="11" t="str">
        <f aca="false">IF($P142=0,CS141,IF(CS$3=$E142,IF($AA142=1,$F142&amp;$AB142,$G142),IF(OR(CS$3=$D142,CS$3=$AC142,CS$3=$AE142),"",IF(CS$3=$AD142,$F142&amp;"R",CS141))))</f>
        <v>bR</v>
      </c>
      <c r="CT142" s="11"/>
      <c r="CU142" s="11"/>
      <c r="CV142" s="11"/>
    </row>
    <row r="143" customFormat="false" ht="15" hidden="false" customHeight="false" outlineLevel="0" collapsed="false">
      <c r="A143" s="11" t="n">
        <v>138</v>
      </c>
      <c r="B143" s="11" t="str">
        <f aca="false">IF(Chess!$L$147="","",Chess!$L$147&amp;"")</f>
        <v/>
      </c>
      <c r="C143" s="11" t="str">
        <f aca="false">LOWER(SUBSTITUTE(SUBSTITUTE(SUBSTITUTE(SUBSTITUTE(TRIM($B143),"-",""),"=","")," ",""),"x",""))</f>
        <v/>
      </c>
      <c r="D143" s="11" t="n">
        <f aca="false">IF(LEN($C143)&lt;4,0,IFERROR(IF(AND(CODE(MID($C143,1,1))&gt;=97,CODE(MID($C143,1,1))&lt;=104,VALUE(MID($C143,2,1))&gt;=1,VALUE(MID($C143,2,1))&lt;=8),(VALUE(MID($C143,2,1))-1)*8+CODE(MID($C143,1,1))-96,0),0))</f>
        <v>0</v>
      </c>
      <c r="E143" s="11" t="n">
        <f aca="false">IF(LEN($C143)&lt;4,0,IFERROR(IF(AND(CODE(MID($C143,3,1))&gt;=97,CODE(MID($C143,3,1))&lt;=104,VALUE(MID($C143,4,1))&gt;=1,VALUE(MID($C143,4,1))&lt;=8),(VALUE(MID($C143,4,1))-1)*8+CODE(MID($C143,3,1))-96,0),0))</f>
        <v>0</v>
      </c>
      <c r="F143" s="11" t="str">
        <f aca="false">IF(MOD(SUM($P$5:$P142),2)=0,"w","b")</f>
        <v>w</v>
      </c>
      <c r="G143" s="11" t="str">
        <f aca="false">IF($D143=0,"",INDEX($AH142:$CS142,1,$D143)&amp;"")</f>
        <v/>
      </c>
      <c r="H143" s="11" t="str">
        <f aca="false">IF($E143=0,"",INDEX($AH142:$CS142,1,$E143)&amp;"")</f>
        <v/>
      </c>
      <c r="I143" s="11" t="n">
        <f aca="false">IF(OR($D143=0,$E143=0),0,MOD($E143-1,8)-MOD($D143-1,8))</f>
        <v>0</v>
      </c>
      <c r="J143" s="11" t="n">
        <f aca="false">IF(OR($D143=0,$E143=0),0,INT(($E143-1)/8)-INT(($D143-1)/8))</f>
        <v>0</v>
      </c>
      <c r="K143" s="11" t="str">
        <f aca="false">IF($G143="","",RIGHT($G143,1))</f>
        <v/>
      </c>
      <c r="L143" s="11" t="n">
        <f aca="false">IF(OR($D143=0,$E143=0),0,SUMPRODUCT(($AH$3:$CS$3&gt;MIN($D143,$E143))*($AH$3:$CS$3&lt;MAX($D143,$E143))*(MOD($AH$3:$CS$3-MIN($D143,$E143),MAX(1,ABS(SIGN($J143)*8+SIGN($I143))))=0)*($AH142:$CS142&lt;&gt;"")))</f>
        <v>0</v>
      </c>
      <c r="M143" s="11" t="n">
        <f aca="false">IF($K143&lt;&gt;"K",0,IFERROR(--AND($J143=0,ABS($I143)=2,$D143=IF($F143="w",5,61),IF($F143="w",$S142,$V142)=0,IF($I143=2,AND(IF($F143="w",$U142,$X142)=0,INDEX($AH142:$CS142,1,$D143+1)&amp;""="",INDEX($AH142:$CS142,1,$D143+2)&amp;""=""),AND(IF($F143="w",$T142,$W142)=0,INDEX($AH142:$CS142,1,$D143-1)&amp;""="",INDEX($AH142:$CS142,1,$D143-2)&amp;""="",INDEX($AH142:$CS142,1,$D143-3)&amp;""=""))),0))</f>
        <v>0</v>
      </c>
      <c r="N143" s="11" t="n">
        <f aca="false">IF($K143&lt;&gt;"P",0,IFERROR(--OR(AND($I143=0,$J143=IF($F143="w",1,-1),$H143=""),AND($I143=0,$J143=2*IF($F143="w",1,-1),$H143="",INT(($D143-1)/8)=IF($F143="w",1,6),INDEX($AH142:$CS142,1,MAX(1,MIN(64,$D143+8*IF($F143="w",1,-1))))&amp;""=""),AND(ABS($I143)=1,$J143=IF($F143="w",1,-1),$H143&lt;&gt;""),AND(ABS($I143)=1,$J143=IF($F143="w",1,-1),$H143="",$R142&gt;0,$E143=$R142)),0))</f>
        <v>0</v>
      </c>
      <c r="O143" s="11" t="n">
        <f aca="false">IF(OR($D143=0,$E143=0,$G143=""),0,IF($K143="N",--OR(AND(ABS($I143)=1,ABS($J143)=2),AND(ABS($I143)=2,ABS($J143)=1)),IF($K143="B",--AND(ABS($I143)=ABS($J143),$I143&lt;&gt;0,$L143=0),IF($K143="R",--AND(OR($I143=0,$J143=0),OR($I143&lt;&gt;0,$J143&lt;&gt;0),$L143=0),IF($K143="Q",--AND(OR(AND(ABS($I143)=ABS($J143),$I143&lt;&gt;0),AND(OR($I143=0,$J143=0),OR($I143&lt;&gt;0,$J143&lt;&gt;0))),$L143=0),IF($K143="K",--OR(MAX(ABS($I143),ABS($J143))=1,$M143=1),$N143))))))</f>
        <v>0</v>
      </c>
      <c r="P143" s="11" t="n">
        <f aca="false">IF($Q143="OK",1,0)</f>
        <v>0</v>
      </c>
      <c r="Q143" s="11" t="str">
        <f aca="false">IF($B143="","",IF(OR(COUNTIF($AH142:$CS142,"wK")=0,COUNTIF($AH142:$CS142,"bK")=0),"Game is over",IF(OR($D143=0,$E143=0),"Use the format e2e4",IF($G143="","No piece on that square",IF(LEFT($G143,1)&lt;&gt;$F143,"Not your piece ("&amp;IF($F143="w","White","Black")&amp;" to move)",IF($D143=$E143,"Piece must move",IF(AND($H143&lt;&gt;"",LEFT($H143,1)=$F143),"Cannot capture your own piece",IF($O143=0,"Illegal move for that piece (or path blocked)","OK"))))))))</f>
        <v/>
      </c>
      <c r="R143" s="11" t="n">
        <f aca="false">IF($P143=1,IF(AND($K143="P",ABS($J143)=2),($D143+$E143)/2,0),$R142)</f>
        <v>0</v>
      </c>
      <c r="S143" s="12" t="b">
        <f aca="false">--OR($S142=1,AND($P143=1,OR($D143=5,$E143=5)))</f>
        <v>0</v>
      </c>
      <c r="T143" s="12" t="b">
        <f aca="false">--OR($T142=1,AND($P143=1,OR($D143=1,$E143=1)))</f>
        <v>0</v>
      </c>
      <c r="U143" s="12" t="b">
        <f aca="false">--OR($U142=1,AND($P143=1,OR($D143=8,$E143=8)))</f>
        <v>0</v>
      </c>
      <c r="V143" s="12" t="b">
        <f aca="false">--OR($V142=1,AND($P143=1,OR($D143=61,$E143=61)))</f>
        <v>0</v>
      </c>
      <c r="W143" s="12" t="b">
        <f aca="false">--OR($W142=1,AND($P143=1,OR($D143=57,$E143=57)))</f>
        <v>0</v>
      </c>
      <c r="X143" s="12" t="b">
        <f aca="false">--OR($X142=1,AND($P143=1,OR($D143=64,$E143=64)))</f>
        <v>0</v>
      </c>
      <c r="Y143" s="12" t="b">
        <f aca="false">--AND($P143=1,$K143="K",ABS($I143)=2)</f>
        <v>0</v>
      </c>
      <c r="Z143" s="12" t="b">
        <f aca="false">--AND($P143=1,$K143="P",ABS($I143)=1,$H143="")</f>
        <v>0</v>
      </c>
      <c r="AA143" s="12" t="b">
        <f aca="false">--AND($P143=1,$K143="P",INT(($E143-1)/8)=IF($F143="w",7,0))</f>
        <v>0</v>
      </c>
      <c r="AB143" s="11" t="str">
        <f aca="false">IF(LEN($C143)&gt;=5,IF(ISNUMBER(FIND(MID($C143,5,1),"qrbn")),UPPER(MID($C143,5,1)),"Q"),"Q")</f>
        <v>Q</v>
      </c>
      <c r="AC143" s="11" t="n">
        <f aca="false">IF($Y143=1,IF($I143=2,$D143+3,$D143-4),0)</f>
        <v>0</v>
      </c>
      <c r="AD143" s="11" t="n">
        <f aca="false">IF($Y143=1,IF($I143=2,$D143+1,$D143-1),0)</f>
        <v>0</v>
      </c>
      <c r="AE143" s="11" t="n">
        <f aca="false">IF($Z143=1,$E143-8*IF($F143="w",1,-1),0)</f>
        <v>0</v>
      </c>
      <c r="AF143" s="11" t="str">
        <f aca="false">IF($B143="","",IF($P143=1,LOWER(INDEX($CV$2:$CV$13,MATCH($G143,$CU$2:$CU$13,0)))&amp;" "&amp;MID("abcdefgh",MOD($D143-1,8)+1,1)&amp;(INT(($D143-1)/8)+1)&amp;"→"&amp;MID("abcdefgh",MOD($E143-1,8)+1,1)&amp;(INT(($E143-1)/8)+1)&amp;IF(OR($H143&lt;&gt;"",$Z143=1)," ×","")&amp;IF($Y143=1," castles","")&amp;IF($Z143=1," e.p.","")&amp;IF($AA143=1," =" &amp;LOWER(INDEX($CV$2:$CV$13,MATCH($F143&amp;$AB143,$CU$2:$CU$13,0))),""),"X "&amp;$Q143))</f>
        <v/>
      </c>
      <c r="AG143" s="11"/>
      <c r="AH143" s="11" t="str">
        <f aca="false">IF($P143=0,AH142,IF(AH$3=$E143,IF($AA143=1,$F143&amp;$AB143,$G143),IF(OR(AH$3=$D143,AH$3=$AC143,AH$3=$AE143),"",IF(AH$3=$AD143,$F143&amp;"R",AH142))))</f>
        <v>wR</v>
      </c>
      <c r="AI143" s="11" t="str">
        <f aca="false">IF($P143=0,AI142,IF(AI$3=$E143,IF($AA143=1,$F143&amp;$AB143,$G143),IF(OR(AI$3=$D143,AI$3=$AC143,AI$3=$AE143),"",IF(AI$3=$AD143,$F143&amp;"R",AI142))))</f>
        <v>wN</v>
      </c>
      <c r="AJ143" s="11" t="str">
        <f aca="false">IF($P143=0,AJ142,IF(AJ$3=$E143,IF($AA143=1,$F143&amp;$AB143,$G143),IF(OR(AJ$3=$D143,AJ$3=$AC143,AJ$3=$AE143),"",IF(AJ$3=$AD143,$F143&amp;"R",AJ142))))</f>
        <v>wB</v>
      </c>
      <c r="AK143" s="11" t="str">
        <f aca="false">IF($P143=0,AK142,IF(AK$3=$E143,IF($AA143=1,$F143&amp;$AB143,$G143),IF(OR(AK$3=$D143,AK$3=$AC143,AK$3=$AE143),"",IF(AK$3=$AD143,$F143&amp;"R",AK142))))</f>
        <v>wQ</v>
      </c>
      <c r="AL143" s="11" t="str">
        <f aca="false">IF($P143=0,AL142,IF(AL$3=$E143,IF($AA143=1,$F143&amp;$AB143,$G143),IF(OR(AL$3=$D143,AL$3=$AC143,AL$3=$AE143),"",IF(AL$3=$AD143,$F143&amp;"R",AL142))))</f>
        <v>wK</v>
      </c>
      <c r="AM143" s="11" t="str">
        <f aca="false">IF($P143=0,AM142,IF(AM$3=$E143,IF($AA143=1,$F143&amp;$AB143,$G143),IF(OR(AM$3=$D143,AM$3=$AC143,AM$3=$AE143),"",IF(AM$3=$AD143,$F143&amp;"R",AM142))))</f>
        <v>wB</v>
      </c>
      <c r="AN143" s="11" t="str">
        <f aca="false">IF($P143=0,AN142,IF(AN$3=$E143,IF($AA143=1,$F143&amp;$AB143,$G143),IF(OR(AN$3=$D143,AN$3=$AC143,AN$3=$AE143),"",IF(AN$3=$AD143,$F143&amp;"R",AN142))))</f>
        <v>wN</v>
      </c>
      <c r="AO143" s="11" t="str">
        <f aca="false">IF($P143=0,AO142,IF(AO$3=$E143,IF($AA143=1,$F143&amp;$AB143,$G143),IF(OR(AO$3=$D143,AO$3=$AC143,AO$3=$AE143),"",IF(AO$3=$AD143,$F143&amp;"R",AO142))))</f>
        <v>wR</v>
      </c>
      <c r="AP143" s="11" t="str">
        <f aca="false">IF($P143=0,AP142,IF(AP$3=$E143,IF($AA143=1,$F143&amp;$AB143,$G143),IF(OR(AP$3=$D143,AP$3=$AC143,AP$3=$AE143),"",IF(AP$3=$AD143,$F143&amp;"R",AP142))))</f>
        <v>wP</v>
      </c>
      <c r="AQ143" s="11" t="str">
        <f aca="false">IF($P143=0,AQ142,IF(AQ$3=$E143,IF($AA143=1,$F143&amp;$AB143,$G143),IF(OR(AQ$3=$D143,AQ$3=$AC143,AQ$3=$AE143),"",IF(AQ$3=$AD143,$F143&amp;"R",AQ142))))</f>
        <v>wP</v>
      </c>
      <c r="AR143" s="11" t="str">
        <f aca="false">IF($P143=0,AR142,IF(AR$3=$E143,IF($AA143=1,$F143&amp;$AB143,$G143),IF(OR(AR$3=$D143,AR$3=$AC143,AR$3=$AE143),"",IF(AR$3=$AD143,$F143&amp;"R",AR142))))</f>
        <v>wP</v>
      </c>
      <c r="AS143" s="11" t="str">
        <f aca="false">IF($P143=0,AS142,IF(AS$3=$E143,IF($AA143=1,$F143&amp;$AB143,$G143),IF(OR(AS$3=$D143,AS$3=$AC143,AS$3=$AE143),"",IF(AS$3=$AD143,$F143&amp;"R",AS142))))</f>
        <v>wP</v>
      </c>
      <c r="AT143" s="11" t="str">
        <f aca="false">IF($P143=0,AT142,IF(AT$3=$E143,IF($AA143=1,$F143&amp;$AB143,$G143),IF(OR(AT$3=$D143,AT$3=$AC143,AT$3=$AE143),"",IF(AT$3=$AD143,$F143&amp;"R",AT142))))</f>
        <v>wP</v>
      </c>
      <c r="AU143" s="11" t="str">
        <f aca="false">IF($P143=0,AU142,IF(AU$3=$E143,IF($AA143=1,$F143&amp;$AB143,$G143),IF(OR(AU$3=$D143,AU$3=$AC143,AU$3=$AE143),"",IF(AU$3=$AD143,$F143&amp;"R",AU142))))</f>
        <v>wP</v>
      </c>
      <c r="AV143" s="11" t="str">
        <f aca="false">IF($P143=0,AV142,IF(AV$3=$E143,IF($AA143=1,$F143&amp;$AB143,$G143),IF(OR(AV$3=$D143,AV$3=$AC143,AV$3=$AE143),"",IF(AV$3=$AD143,$F143&amp;"R",AV142))))</f>
        <v>wP</v>
      </c>
      <c r="AW143" s="11" t="str">
        <f aca="false">IF($P143=0,AW142,IF(AW$3=$E143,IF($AA143=1,$F143&amp;$AB143,$G143),IF(OR(AW$3=$D143,AW$3=$AC143,AW$3=$AE143),"",IF(AW$3=$AD143,$F143&amp;"R",AW142))))</f>
        <v>wP</v>
      </c>
      <c r="AX143" s="11" t="str">
        <f aca="false">IF($P143=0,AX142,IF(AX$3=$E143,IF($AA143=1,$F143&amp;$AB143,$G143),IF(OR(AX$3=$D143,AX$3=$AC143,AX$3=$AE143),"",IF(AX$3=$AD143,$F143&amp;"R",AX142))))</f>
        <v/>
      </c>
      <c r="AY143" s="11" t="str">
        <f aca="false">IF($P143=0,AY142,IF(AY$3=$E143,IF($AA143=1,$F143&amp;$AB143,$G143),IF(OR(AY$3=$D143,AY$3=$AC143,AY$3=$AE143),"",IF(AY$3=$AD143,$F143&amp;"R",AY142))))</f>
        <v/>
      </c>
      <c r="AZ143" s="11" t="str">
        <f aca="false">IF($P143=0,AZ142,IF(AZ$3=$E143,IF($AA143=1,$F143&amp;$AB143,$G143),IF(OR(AZ$3=$D143,AZ$3=$AC143,AZ$3=$AE143),"",IF(AZ$3=$AD143,$F143&amp;"R",AZ142))))</f>
        <v/>
      </c>
      <c r="BA143" s="11" t="str">
        <f aca="false">IF($P143=0,BA142,IF(BA$3=$E143,IF($AA143=1,$F143&amp;$AB143,$G143),IF(OR(BA$3=$D143,BA$3=$AC143,BA$3=$AE143),"",IF(BA$3=$AD143,$F143&amp;"R",BA142))))</f>
        <v/>
      </c>
      <c r="BB143" s="11" t="str">
        <f aca="false">IF($P143=0,BB142,IF(BB$3=$E143,IF($AA143=1,$F143&amp;$AB143,$G143),IF(OR(BB$3=$D143,BB$3=$AC143,BB$3=$AE143),"",IF(BB$3=$AD143,$F143&amp;"R",BB142))))</f>
        <v/>
      </c>
      <c r="BC143" s="11" t="str">
        <f aca="false">IF($P143=0,BC142,IF(BC$3=$E143,IF($AA143=1,$F143&amp;$AB143,$G143),IF(OR(BC$3=$D143,BC$3=$AC143,BC$3=$AE143),"",IF(BC$3=$AD143,$F143&amp;"R",BC142))))</f>
        <v/>
      </c>
      <c r="BD143" s="11" t="str">
        <f aca="false">IF($P143=0,BD142,IF(BD$3=$E143,IF($AA143=1,$F143&amp;$AB143,$G143),IF(OR(BD$3=$D143,BD$3=$AC143,BD$3=$AE143),"",IF(BD$3=$AD143,$F143&amp;"R",BD142))))</f>
        <v/>
      </c>
      <c r="BE143" s="11" t="str">
        <f aca="false">IF($P143=0,BE142,IF(BE$3=$E143,IF($AA143=1,$F143&amp;$AB143,$G143),IF(OR(BE$3=$D143,BE$3=$AC143,BE$3=$AE143),"",IF(BE$3=$AD143,$F143&amp;"R",BE142))))</f>
        <v/>
      </c>
      <c r="BF143" s="11" t="str">
        <f aca="false">IF($P143=0,BF142,IF(BF$3=$E143,IF($AA143=1,$F143&amp;$AB143,$G143),IF(OR(BF$3=$D143,BF$3=$AC143,BF$3=$AE143),"",IF(BF$3=$AD143,$F143&amp;"R",BF142))))</f>
        <v/>
      </c>
      <c r="BG143" s="11" t="str">
        <f aca="false">IF($P143=0,BG142,IF(BG$3=$E143,IF($AA143=1,$F143&amp;$AB143,$G143),IF(OR(BG$3=$D143,BG$3=$AC143,BG$3=$AE143),"",IF(BG$3=$AD143,$F143&amp;"R",BG142))))</f>
        <v/>
      </c>
      <c r="BH143" s="11" t="str">
        <f aca="false">IF($P143=0,BH142,IF(BH$3=$E143,IF($AA143=1,$F143&amp;$AB143,$G143),IF(OR(BH$3=$D143,BH$3=$AC143,BH$3=$AE143),"",IF(BH$3=$AD143,$F143&amp;"R",BH142))))</f>
        <v/>
      </c>
      <c r="BI143" s="11" t="str">
        <f aca="false">IF($P143=0,BI142,IF(BI$3=$E143,IF($AA143=1,$F143&amp;$AB143,$G143),IF(OR(BI$3=$D143,BI$3=$AC143,BI$3=$AE143),"",IF(BI$3=$AD143,$F143&amp;"R",BI142))))</f>
        <v/>
      </c>
      <c r="BJ143" s="11" t="str">
        <f aca="false">IF($P143=0,BJ142,IF(BJ$3=$E143,IF($AA143=1,$F143&amp;$AB143,$G143),IF(OR(BJ$3=$D143,BJ$3=$AC143,BJ$3=$AE143),"",IF(BJ$3=$AD143,$F143&amp;"R",BJ142))))</f>
        <v/>
      </c>
      <c r="BK143" s="11" t="str">
        <f aca="false">IF($P143=0,BK142,IF(BK$3=$E143,IF($AA143=1,$F143&amp;$AB143,$G143),IF(OR(BK$3=$D143,BK$3=$AC143,BK$3=$AE143),"",IF(BK$3=$AD143,$F143&amp;"R",BK142))))</f>
        <v/>
      </c>
      <c r="BL143" s="11" t="str">
        <f aca="false">IF($P143=0,BL142,IF(BL$3=$E143,IF($AA143=1,$F143&amp;$AB143,$G143),IF(OR(BL$3=$D143,BL$3=$AC143,BL$3=$AE143),"",IF(BL$3=$AD143,$F143&amp;"R",BL142))))</f>
        <v/>
      </c>
      <c r="BM143" s="11" t="str">
        <f aca="false">IF($P143=0,BM142,IF(BM$3=$E143,IF($AA143=1,$F143&amp;$AB143,$G143),IF(OR(BM$3=$D143,BM$3=$AC143,BM$3=$AE143),"",IF(BM$3=$AD143,$F143&amp;"R",BM142))))</f>
        <v/>
      </c>
      <c r="BN143" s="11" t="str">
        <f aca="false">IF($P143=0,BN142,IF(BN$3=$E143,IF($AA143=1,$F143&amp;$AB143,$G143),IF(OR(BN$3=$D143,BN$3=$AC143,BN$3=$AE143),"",IF(BN$3=$AD143,$F143&amp;"R",BN142))))</f>
        <v/>
      </c>
      <c r="BO143" s="11" t="str">
        <f aca="false">IF($P143=0,BO142,IF(BO$3=$E143,IF($AA143=1,$F143&amp;$AB143,$G143),IF(OR(BO$3=$D143,BO$3=$AC143,BO$3=$AE143),"",IF(BO$3=$AD143,$F143&amp;"R",BO142))))</f>
        <v/>
      </c>
      <c r="BP143" s="11" t="str">
        <f aca="false">IF($P143=0,BP142,IF(BP$3=$E143,IF($AA143=1,$F143&amp;$AB143,$G143),IF(OR(BP$3=$D143,BP$3=$AC143,BP$3=$AE143),"",IF(BP$3=$AD143,$F143&amp;"R",BP142))))</f>
        <v/>
      </c>
      <c r="BQ143" s="11" t="str">
        <f aca="false">IF($P143=0,BQ142,IF(BQ$3=$E143,IF($AA143=1,$F143&amp;$AB143,$G143),IF(OR(BQ$3=$D143,BQ$3=$AC143,BQ$3=$AE143),"",IF(BQ$3=$AD143,$F143&amp;"R",BQ142))))</f>
        <v/>
      </c>
      <c r="BR143" s="11" t="str">
        <f aca="false">IF($P143=0,BR142,IF(BR$3=$E143,IF($AA143=1,$F143&amp;$AB143,$G143),IF(OR(BR$3=$D143,BR$3=$AC143,BR$3=$AE143),"",IF(BR$3=$AD143,$F143&amp;"R",BR142))))</f>
        <v/>
      </c>
      <c r="BS143" s="11" t="str">
        <f aca="false">IF($P143=0,BS142,IF(BS$3=$E143,IF($AA143=1,$F143&amp;$AB143,$G143),IF(OR(BS$3=$D143,BS$3=$AC143,BS$3=$AE143),"",IF(BS$3=$AD143,$F143&amp;"R",BS142))))</f>
        <v/>
      </c>
      <c r="BT143" s="11" t="str">
        <f aca="false">IF($P143=0,BT142,IF(BT$3=$E143,IF($AA143=1,$F143&amp;$AB143,$G143),IF(OR(BT$3=$D143,BT$3=$AC143,BT$3=$AE143),"",IF(BT$3=$AD143,$F143&amp;"R",BT142))))</f>
        <v/>
      </c>
      <c r="BU143" s="11" t="str">
        <f aca="false">IF($P143=0,BU142,IF(BU$3=$E143,IF($AA143=1,$F143&amp;$AB143,$G143),IF(OR(BU$3=$D143,BU$3=$AC143,BU$3=$AE143),"",IF(BU$3=$AD143,$F143&amp;"R",BU142))))</f>
        <v/>
      </c>
      <c r="BV143" s="11" t="str">
        <f aca="false">IF($P143=0,BV142,IF(BV$3=$E143,IF($AA143=1,$F143&amp;$AB143,$G143),IF(OR(BV$3=$D143,BV$3=$AC143,BV$3=$AE143),"",IF(BV$3=$AD143,$F143&amp;"R",BV142))))</f>
        <v/>
      </c>
      <c r="BW143" s="11" t="str">
        <f aca="false">IF($P143=0,BW142,IF(BW$3=$E143,IF($AA143=1,$F143&amp;$AB143,$G143),IF(OR(BW$3=$D143,BW$3=$AC143,BW$3=$AE143),"",IF(BW$3=$AD143,$F143&amp;"R",BW142))))</f>
        <v/>
      </c>
      <c r="BX143" s="11" t="str">
        <f aca="false">IF($P143=0,BX142,IF(BX$3=$E143,IF($AA143=1,$F143&amp;$AB143,$G143),IF(OR(BX$3=$D143,BX$3=$AC143,BX$3=$AE143),"",IF(BX$3=$AD143,$F143&amp;"R",BX142))))</f>
        <v/>
      </c>
      <c r="BY143" s="11" t="str">
        <f aca="false">IF($P143=0,BY142,IF(BY$3=$E143,IF($AA143=1,$F143&amp;$AB143,$G143),IF(OR(BY$3=$D143,BY$3=$AC143,BY$3=$AE143),"",IF(BY$3=$AD143,$F143&amp;"R",BY142))))</f>
        <v/>
      </c>
      <c r="BZ143" s="11" t="str">
        <f aca="false">IF($P143=0,BZ142,IF(BZ$3=$E143,IF($AA143=1,$F143&amp;$AB143,$G143),IF(OR(BZ$3=$D143,BZ$3=$AC143,BZ$3=$AE143),"",IF(BZ$3=$AD143,$F143&amp;"R",BZ142))))</f>
        <v/>
      </c>
      <c r="CA143" s="11" t="str">
        <f aca="false">IF($P143=0,CA142,IF(CA$3=$E143,IF($AA143=1,$F143&amp;$AB143,$G143),IF(OR(CA$3=$D143,CA$3=$AC143,CA$3=$AE143),"",IF(CA$3=$AD143,$F143&amp;"R",CA142))))</f>
        <v/>
      </c>
      <c r="CB143" s="11" t="str">
        <f aca="false">IF($P143=0,CB142,IF(CB$3=$E143,IF($AA143=1,$F143&amp;$AB143,$G143),IF(OR(CB$3=$D143,CB$3=$AC143,CB$3=$AE143),"",IF(CB$3=$AD143,$F143&amp;"R",CB142))))</f>
        <v/>
      </c>
      <c r="CC143" s="11" t="str">
        <f aca="false">IF($P143=0,CC142,IF(CC$3=$E143,IF($AA143=1,$F143&amp;$AB143,$G143),IF(OR(CC$3=$D143,CC$3=$AC143,CC$3=$AE143),"",IF(CC$3=$AD143,$F143&amp;"R",CC142))))</f>
        <v/>
      </c>
      <c r="CD143" s="11" t="str">
        <f aca="false">IF($P143=0,CD142,IF(CD$3=$E143,IF($AA143=1,$F143&amp;$AB143,$G143),IF(OR(CD$3=$D143,CD$3=$AC143,CD$3=$AE143),"",IF(CD$3=$AD143,$F143&amp;"R",CD142))))</f>
        <v>bP</v>
      </c>
      <c r="CE143" s="11" t="str">
        <f aca="false">IF($P143=0,CE142,IF(CE$3=$E143,IF($AA143=1,$F143&amp;$AB143,$G143),IF(OR(CE$3=$D143,CE$3=$AC143,CE$3=$AE143),"",IF(CE$3=$AD143,$F143&amp;"R",CE142))))</f>
        <v>bP</v>
      </c>
      <c r="CF143" s="11" t="str">
        <f aca="false">IF($P143=0,CF142,IF(CF$3=$E143,IF($AA143=1,$F143&amp;$AB143,$G143),IF(OR(CF$3=$D143,CF$3=$AC143,CF$3=$AE143),"",IF(CF$3=$AD143,$F143&amp;"R",CF142))))</f>
        <v>bP</v>
      </c>
      <c r="CG143" s="11" t="str">
        <f aca="false">IF($P143=0,CG142,IF(CG$3=$E143,IF($AA143=1,$F143&amp;$AB143,$G143),IF(OR(CG$3=$D143,CG$3=$AC143,CG$3=$AE143),"",IF(CG$3=$AD143,$F143&amp;"R",CG142))))</f>
        <v>bP</v>
      </c>
      <c r="CH143" s="11" t="str">
        <f aca="false">IF($P143=0,CH142,IF(CH$3=$E143,IF($AA143=1,$F143&amp;$AB143,$G143),IF(OR(CH$3=$D143,CH$3=$AC143,CH$3=$AE143),"",IF(CH$3=$AD143,$F143&amp;"R",CH142))))</f>
        <v>bP</v>
      </c>
      <c r="CI143" s="11" t="str">
        <f aca="false">IF($P143=0,CI142,IF(CI$3=$E143,IF($AA143=1,$F143&amp;$AB143,$G143),IF(OR(CI$3=$D143,CI$3=$AC143,CI$3=$AE143),"",IF(CI$3=$AD143,$F143&amp;"R",CI142))))</f>
        <v>bP</v>
      </c>
      <c r="CJ143" s="11" t="str">
        <f aca="false">IF($P143=0,CJ142,IF(CJ$3=$E143,IF($AA143=1,$F143&amp;$AB143,$G143),IF(OR(CJ$3=$D143,CJ$3=$AC143,CJ$3=$AE143),"",IF(CJ$3=$AD143,$F143&amp;"R",CJ142))))</f>
        <v>bP</v>
      </c>
      <c r="CK143" s="11" t="str">
        <f aca="false">IF($P143=0,CK142,IF(CK$3=$E143,IF($AA143=1,$F143&amp;$AB143,$G143),IF(OR(CK$3=$D143,CK$3=$AC143,CK$3=$AE143),"",IF(CK$3=$AD143,$F143&amp;"R",CK142))))</f>
        <v>bP</v>
      </c>
      <c r="CL143" s="11" t="str">
        <f aca="false">IF($P143=0,CL142,IF(CL$3=$E143,IF($AA143=1,$F143&amp;$AB143,$G143),IF(OR(CL$3=$D143,CL$3=$AC143,CL$3=$AE143),"",IF(CL$3=$AD143,$F143&amp;"R",CL142))))</f>
        <v>bR</v>
      </c>
      <c r="CM143" s="11" t="str">
        <f aca="false">IF($P143=0,CM142,IF(CM$3=$E143,IF($AA143=1,$F143&amp;$AB143,$G143),IF(OR(CM$3=$D143,CM$3=$AC143,CM$3=$AE143),"",IF(CM$3=$AD143,$F143&amp;"R",CM142))))</f>
        <v>bN</v>
      </c>
      <c r="CN143" s="11" t="str">
        <f aca="false">IF($P143=0,CN142,IF(CN$3=$E143,IF($AA143=1,$F143&amp;$AB143,$G143),IF(OR(CN$3=$D143,CN$3=$AC143,CN$3=$AE143),"",IF(CN$3=$AD143,$F143&amp;"R",CN142))))</f>
        <v>bB</v>
      </c>
      <c r="CO143" s="11" t="str">
        <f aca="false">IF($P143=0,CO142,IF(CO$3=$E143,IF($AA143=1,$F143&amp;$AB143,$G143),IF(OR(CO$3=$D143,CO$3=$AC143,CO$3=$AE143),"",IF(CO$3=$AD143,$F143&amp;"R",CO142))))</f>
        <v>bQ</v>
      </c>
      <c r="CP143" s="11" t="str">
        <f aca="false">IF($P143=0,CP142,IF(CP$3=$E143,IF($AA143=1,$F143&amp;$AB143,$G143),IF(OR(CP$3=$D143,CP$3=$AC143,CP$3=$AE143),"",IF(CP$3=$AD143,$F143&amp;"R",CP142))))</f>
        <v>bK</v>
      </c>
      <c r="CQ143" s="11" t="str">
        <f aca="false">IF($P143=0,CQ142,IF(CQ$3=$E143,IF($AA143=1,$F143&amp;$AB143,$G143),IF(OR(CQ$3=$D143,CQ$3=$AC143,CQ$3=$AE143),"",IF(CQ$3=$AD143,$F143&amp;"R",CQ142))))</f>
        <v>bB</v>
      </c>
      <c r="CR143" s="11" t="str">
        <f aca="false">IF($P143=0,CR142,IF(CR$3=$E143,IF($AA143=1,$F143&amp;$AB143,$G143),IF(OR(CR$3=$D143,CR$3=$AC143,CR$3=$AE143),"",IF(CR$3=$AD143,$F143&amp;"R",CR142))))</f>
        <v>bN</v>
      </c>
      <c r="CS143" s="11" t="str">
        <f aca="false">IF($P143=0,CS142,IF(CS$3=$E143,IF($AA143=1,$F143&amp;$AB143,$G143),IF(OR(CS$3=$D143,CS$3=$AC143,CS$3=$AE143),"",IF(CS$3=$AD143,$F143&amp;"R",CS142))))</f>
        <v>bR</v>
      </c>
      <c r="CT143" s="11"/>
      <c r="CU143" s="11"/>
      <c r="CV143" s="11"/>
    </row>
    <row r="144" customFormat="false" ht="15" hidden="false" customHeight="false" outlineLevel="0" collapsed="false">
      <c r="A144" s="11" t="n">
        <v>139</v>
      </c>
      <c r="B144" s="11" t="str">
        <f aca="false">IF(Chess!$L$148="","",Chess!$L$148&amp;"")</f>
        <v/>
      </c>
      <c r="C144" s="11" t="str">
        <f aca="false">LOWER(SUBSTITUTE(SUBSTITUTE(SUBSTITUTE(SUBSTITUTE(TRIM($B144),"-",""),"=","")," ",""),"x",""))</f>
        <v/>
      </c>
      <c r="D144" s="11" t="n">
        <f aca="false">IF(LEN($C144)&lt;4,0,IFERROR(IF(AND(CODE(MID($C144,1,1))&gt;=97,CODE(MID($C144,1,1))&lt;=104,VALUE(MID($C144,2,1))&gt;=1,VALUE(MID($C144,2,1))&lt;=8),(VALUE(MID($C144,2,1))-1)*8+CODE(MID($C144,1,1))-96,0),0))</f>
        <v>0</v>
      </c>
      <c r="E144" s="11" t="n">
        <f aca="false">IF(LEN($C144)&lt;4,0,IFERROR(IF(AND(CODE(MID($C144,3,1))&gt;=97,CODE(MID($C144,3,1))&lt;=104,VALUE(MID($C144,4,1))&gt;=1,VALUE(MID($C144,4,1))&lt;=8),(VALUE(MID($C144,4,1))-1)*8+CODE(MID($C144,3,1))-96,0),0))</f>
        <v>0</v>
      </c>
      <c r="F144" s="11" t="str">
        <f aca="false">IF(MOD(SUM($P$5:$P143),2)=0,"w","b")</f>
        <v>w</v>
      </c>
      <c r="G144" s="11" t="str">
        <f aca="false">IF($D144=0,"",INDEX($AH143:$CS143,1,$D144)&amp;"")</f>
        <v/>
      </c>
      <c r="H144" s="11" t="str">
        <f aca="false">IF($E144=0,"",INDEX($AH143:$CS143,1,$E144)&amp;"")</f>
        <v/>
      </c>
      <c r="I144" s="11" t="n">
        <f aca="false">IF(OR($D144=0,$E144=0),0,MOD($E144-1,8)-MOD($D144-1,8))</f>
        <v>0</v>
      </c>
      <c r="J144" s="11" t="n">
        <f aca="false">IF(OR($D144=0,$E144=0),0,INT(($E144-1)/8)-INT(($D144-1)/8))</f>
        <v>0</v>
      </c>
      <c r="K144" s="11" t="str">
        <f aca="false">IF($G144="","",RIGHT($G144,1))</f>
        <v/>
      </c>
      <c r="L144" s="11" t="n">
        <f aca="false">IF(OR($D144=0,$E144=0),0,SUMPRODUCT(($AH$3:$CS$3&gt;MIN($D144,$E144))*($AH$3:$CS$3&lt;MAX($D144,$E144))*(MOD($AH$3:$CS$3-MIN($D144,$E144),MAX(1,ABS(SIGN($J144)*8+SIGN($I144))))=0)*($AH143:$CS143&lt;&gt;"")))</f>
        <v>0</v>
      </c>
      <c r="M144" s="11" t="n">
        <f aca="false">IF($K144&lt;&gt;"K",0,IFERROR(--AND($J144=0,ABS($I144)=2,$D144=IF($F144="w",5,61),IF($F144="w",$S143,$V143)=0,IF($I144=2,AND(IF($F144="w",$U143,$X143)=0,INDEX($AH143:$CS143,1,$D144+1)&amp;""="",INDEX($AH143:$CS143,1,$D144+2)&amp;""=""),AND(IF($F144="w",$T143,$W143)=0,INDEX($AH143:$CS143,1,$D144-1)&amp;""="",INDEX($AH143:$CS143,1,$D144-2)&amp;""="",INDEX($AH143:$CS143,1,$D144-3)&amp;""=""))),0))</f>
        <v>0</v>
      </c>
      <c r="N144" s="11" t="n">
        <f aca="false">IF($K144&lt;&gt;"P",0,IFERROR(--OR(AND($I144=0,$J144=IF($F144="w",1,-1),$H144=""),AND($I144=0,$J144=2*IF($F144="w",1,-1),$H144="",INT(($D144-1)/8)=IF($F144="w",1,6),INDEX($AH143:$CS143,1,MAX(1,MIN(64,$D144+8*IF($F144="w",1,-1))))&amp;""=""),AND(ABS($I144)=1,$J144=IF($F144="w",1,-1),$H144&lt;&gt;""),AND(ABS($I144)=1,$J144=IF($F144="w",1,-1),$H144="",$R143&gt;0,$E144=$R143)),0))</f>
        <v>0</v>
      </c>
      <c r="O144" s="11" t="n">
        <f aca="false">IF(OR($D144=0,$E144=0,$G144=""),0,IF($K144="N",--OR(AND(ABS($I144)=1,ABS($J144)=2),AND(ABS($I144)=2,ABS($J144)=1)),IF($K144="B",--AND(ABS($I144)=ABS($J144),$I144&lt;&gt;0,$L144=0),IF($K144="R",--AND(OR($I144=0,$J144=0),OR($I144&lt;&gt;0,$J144&lt;&gt;0),$L144=0),IF($K144="Q",--AND(OR(AND(ABS($I144)=ABS($J144),$I144&lt;&gt;0),AND(OR($I144=0,$J144=0),OR($I144&lt;&gt;0,$J144&lt;&gt;0))),$L144=0),IF($K144="K",--OR(MAX(ABS($I144),ABS($J144))=1,$M144=1),$N144))))))</f>
        <v>0</v>
      </c>
      <c r="P144" s="11" t="n">
        <f aca="false">IF($Q144="OK",1,0)</f>
        <v>0</v>
      </c>
      <c r="Q144" s="11" t="str">
        <f aca="false">IF($B144="","",IF(OR(COUNTIF($AH143:$CS143,"wK")=0,COUNTIF($AH143:$CS143,"bK")=0),"Game is over",IF(OR($D144=0,$E144=0),"Use the format e2e4",IF($G144="","No piece on that square",IF(LEFT($G144,1)&lt;&gt;$F144,"Not your piece ("&amp;IF($F144="w","White","Black")&amp;" to move)",IF($D144=$E144,"Piece must move",IF(AND($H144&lt;&gt;"",LEFT($H144,1)=$F144),"Cannot capture your own piece",IF($O144=0,"Illegal move for that piece (or path blocked)","OK"))))))))</f>
        <v/>
      </c>
      <c r="R144" s="11" t="n">
        <f aca="false">IF($P144=1,IF(AND($K144="P",ABS($J144)=2),($D144+$E144)/2,0),$R143)</f>
        <v>0</v>
      </c>
      <c r="S144" s="12" t="b">
        <f aca="false">--OR($S143=1,AND($P144=1,OR($D144=5,$E144=5)))</f>
        <v>0</v>
      </c>
      <c r="T144" s="12" t="b">
        <f aca="false">--OR($T143=1,AND($P144=1,OR($D144=1,$E144=1)))</f>
        <v>0</v>
      </c>
      <c r="U144" s="12" t="b">
        <f aca="false">--OR($U143=1,AND($P144=1,OR($D144=8,$E144=8)))</f>
        <v>0</v>
      </c>
      <c r="V144" s="12" t="b">
        <f aca="false">--OR($V143=1,AND($P144=1,OR($D144=61,$E144=61)))</f>
        <v>0</v>
      </c>
      <c r="W144" s="12" t="b">
        <f aca="false">--OR($W143=1,AND($P144=1,OR($D144=57,$E144=57)))</f>
        <v>0</v>
      </c>
      <c r="X144" s="12" t="b">
        <f aca="false">--OR($X143=1,AND($P144=1,OR($D144=64,$E144=64)))</f>
        <v>0</v>
      </c>
      <c r="Y144" s="12" t="b">
        <f aca="false">--AND($P144=1,$K144="K",ABS($I144)=2)</f>
        <v>0</v>
      </c>
      <c r="Z144" s="12" t="b">
        <f aca="false">--AND($P144=1,$K144="P",ABS($I144)=1,$H144="")</f>
        <v>0</v>
      </c>
      <c r="AA144" s="12" t="b">
        <f aca="false">--AND($P144=1,$K144="P",INT(($E144-1)/8)=IF($F144="w",7,0))</f>
        <v>0</v>
      </c>
      <c r="AB144" s="11" t="str">
        <f aca="false">IF(LEN($C144)&gt;=5,IF(ISNUMBER(FIND(MID($C144,5,1),"qrbn")),UPPER(MID($C144,5,1)),"Q"),"Q")</f>
        <v>Q</v>
      </c>
      <c r="AC144" s="11" t="n">
        <f aca="false">IF($Y144=1,IF($I144=2,$D144+3,$D144-4),0)</f>
        <v>0</v>
      </c>
      <c r="AD144" s="11" t="n">
        <f aca="false">IF($Y144=1,IF($I144=2,$D144+1,$D144-1),0)</f>
        <v>0</v>
      </c>
      <c r="AE144" s="11" t="n">
        <f aca="false">IF($Z144=1,$E144-8*IF($F144="w",1,-1),0)</f>
        <v>0</v>
      </c>
      <c r="AF144" s="11" t="str">
        <f aca="false">IF($B144="","",IF($P144=1,LOWER(INDEX($CV$2:$CV$13,MATCH($G144,$CU$2:$CU$13,0)))&amp;" "&amp;MID("abcdefgh",MOD($D144-1,8)+1,1)&amp;(INT(($D144-1)/8)+1)&amp;"→"&amp;MID("abcdefgh",MOD($E144-1,8)+1,1)&amp;(INT(($E144-1)/8)+1)&amp;IF(OR($H144&lt;&gt;"",$Z144=1)," ×","")&amp;IF($Y144=1," castles","")&amp;IF($Z144=1," e.p.","")&amp;IF($AA144=1," =" &amp;LOWER(INDEX($CV$2:$CV$13,MATCH($F144&amp;$AB144,$CU$2:$CU$13,0))),""),"X "&amp;$Q144))</f>
        <v/>
      </c>
      <c r="AG144" s="11"/>
      <c r="AH144" s="11" t="str">
        <f aca="false">IF($P144=0,AH143,IF(AH$3=$E144,IF($AA144=1,$F144&amp;$AB144,$G144),IF(OR(AH$3=$D144,AH$3=$AC144,AH$3=$AE144),"",IF(AH$3=$AD144,$F144&amp;"R",AH143))))</f>
        <v>wR</v>
      </c>
      <c r="AI144" s="11" t="str">
        <f aca="false">IF($P144=0,AI143,IF(AI$3=$E144,IF($AA144=1,$F144&amp;$AB144,$G144),IF(OR(AI$3=$D144,AI$3=$AC144,AI$3=$AE144),"",IF(AI$3=$AD144,$F144&amp;"R",AI143))))</f>
        <v>wN</v>
      </c>
      <c r="AJ144" s="11" t="str">
        <f aca="false">IF($P144=0,AJ143,IF(AJ$3=$E144,IF($AA144=1,$F144&amp;$AB144,$G144),IF(OR(AJ$3=$D144,AJ$3=$AC144,AJ$3=$AE144),"",IF(AJ$3=$AD144,$F144&amp;"R",AJ143))))</f>
        <v>wB</v>
      </c>
      <c r="AK144" s="11" t="str">
        <f aca="false">IF($P144=0,AK143,IF(AK$3=$E144,IF($AA144=1,$F144&amp;$AB144,$G144),IF(OR(AK$3=$D144,AK$3=$AC144,AK$3=$AE144),"",IF(AK$3=$AD144,$F144&amp;"R",AK143))))</f>
        <v>wQ</v>
      </c>
      <c r="AL144" s="11" t="str">
        <f aca="false">IF($P144=0,AL143,IF(AL$3=$E144,IF($AA144=1,$F144&amp;$AB144,$G144),IF(OR(AL$3=$D144,AL$3=$AC144,AL$3=$AE144),"",IF(AL$3=$AD144,$F144&amp;"R",AL143))))</f>
        <v>wK</v>
      </c>
      <c r="AM144" s="11" t="str">
        <f aca="false">IF($P144=0,AM143,IF(AM$3=$E144,IF($AA144=1,$F144&amp;$AB144,$G144),IF(OR(AM$3=$D144,AM$3=$AC144,AM$3=$AE144),"",IF(AM$3=$AD144,$F144&amp;"R",AM143))))</f>
        <v>wB</v>
      </c>
      <c r="AN144" s="11" t="str">
        <f aca="false">IF($P144=0,AN143,IF(AN$3=$E144,IF($AA144=1,$F144&amp;$AB144,$G144),IF(OR(AN$3=$D144,AN$3=$AC144,AN$3=$AE144),"",IF(AN$3=$AD144,$F144&amp;"R",AN143))))</f>
        <v>wN</v>
      </c>
      <c r="AO144" s="11" t="str">
        <f aca="false">IF($P144=0,AO143,IF(AO$3=$E144,IF($AA144=1,$F144&amp;$AB144,$G144),IF(OR(AO$3=$D144,AO$3=$AC144,AO$3=$AE144),"",IF(AO$3=$AD144,$F144&amp;"R",AO143))))</f>
        <v>wR</v>
      </c>
      <c r="AP144" s="11" t="str">
        <f aca="false">IF($P144=0,AP143,IF(AP$3=$E144,IF($AA144=1,$F144&amp;$AB144,$G144),IF(OR(AP$3=$D144,AP$3=$AC144,AP$3=$AE144),"",IF(AP$3=$AD144,$F144&amp;"R",AP143))))</f>
        <v>wP</v>
      </c>
      <c r="AQ144" s="11" t="str">
        <f aca="false">IF($P144=0,AQ143,IF(AQ$3=$E144,IF($AA144=1,$F144&amp;$AB144,$G144),IF(OR(AQ$3=$D144,AQ$3=$AC144,AQ$3=$AE144),"",IF(AQ$3=$AD144,$F144&amp;"R",AQ143))))</f>
        <v>wP</v>
      </c>
      <c r="AR144" s="11" t="str">
        <f aca="false">IF($P144=0,AR143,IF(AR$3=$E144,IF($AA144=1,$F144&amp;$AB144,$G144),IF(OR(AR$3=$D144,AR$3=$AC144,AR$3=$AE144),"",IF(AR$3=$AD144,$F144&amp;"R",AR143))))</f>
        <v>wP</v>
      </c>
      <c r="AS144" s="11" t="str">
        <f aca="false">IF($P144=0,AS143,IF(AS$3=$E144,IF($AA144=1,$F144&amp;$AB144,$G144),IF(OR(AS$3=$D144,AS$3=$AC144,AS$3=$AE144),"",IF(AS$3=$AD144,$F144&amp;"R",AS143))))</f>
        <v>wP</v>
      </c>
      <c r="AT144" s="11" t="str">
        <f aca="false">IF($P144=0,AT143,IF(AT$3=$E144,IF($AA144=1,$F144&amp;$AB144,$G144),IF(OR(AT$3=$D144,AT$3=$AC144,AT$3=$AE144),"",IF(AT$3=$AD144,$F144&amp;"R",AT143))))</f>
        <v>wP</v>
      </c>
      <c r="AU144" s="11" t="str">
        <f aca="false">IF($P144=0,AU143,IF(AU$3=$E144,IF($AA144=1,$F144&amp;$AB144,$G144),IF(OR(AU$3=$D144,AU$3=$AC144,AU$3=$AE144),"",IF(AU$3=$AD144,$F144&amp;"R",AU143))))</f>
        <v>wP</v>
      </c>
      <c r="AV144" s="11" t="str">
        <f aca="false">IF($P144=0,AV143,IF(AV$3=$E144,IF($AA144=1,$F144&amp;$AB144,$G144),IF(OR(AV$3=$D144,AV$3=$AC144,AV$3=$AE144),"",IF(AV$3=$AD144,$F144&amp;"R",AV143))))</f>
        <v>wP</v>
      </c>
      <c r="AW144" s="11" t="str">
        <f aca="false">IF($P144=0,AW143,IF(AW$3=$E144,IF($AA144=1,$F144&amp;$AB144,$G144),IF(OR(AW$3=$D144,AW$3=$AC144,AW$3=$AE144),"",IF(AW$3=$AD144,$F144&amp;"R",AW143))))</f>
        <v>wP</v>
      </c>
      <c r="AX144" s="11" t="str">
        <f aca="false">IF($P144=0,AX143,IF(AX$3=$E144,IF($AA144=1,$F144&amp;$AB144,$G144),IF(OR(AX$3=$D144,AX$3=$AC144,AX$3=$AE144),"",IF(AX$3=$AD144,$F144&amp;"R",AX143))))</f>
        <v/>
      </c>
      <c r="AY144" s="11" t="str">
        <f aca="false">IF($P144=0,AY143,IF(AY$3=$E144,IF($AA144=1,$F144&amp;$AB144,$G144),IF(OR(AY$3=$D144,AY$3=$AC144,AY$3=$AE144),"",IF(AY$3=$AD144,$F144&amp;"R",AY143))))</f>
        <v/>
      </c>
      <c r="AZ144" s="11" t="str">
        <f aca="false">IF($P144=0,AZ143,IF(AZ$3=$E144,IF($AA144=1,$F144&amp;$AB144,$G144),IF(OR(AZ$3=$D144,AZ$3=$AC144,AZ$3=$AE144),"",IF(AZ$3=$AD144,$F144&amp;"R",AZ143))))</f>
        <v/>
      </c>
      <c r="BA144" s="11" t="str">
        <f aca="false">IF($P144=0,BA143,IF(BA$3=$E144,IF($AA144=1,$F144&amp;$AB144,$G144),IF(OR(BA$3=$D144,BA$3=$AC144,BA$3=$AE144),"",IF(BA$3=$AD144,$F144&amp;"R",BA143))))</f>
        <v/>
      </c>
      <c r="BB144" s="11" t="str">
        <f aca="false">IF($P144=0,BB143,IF(BB$3=$E144,IF($AA144=1,$F144&amp;$AB144,$G144),IF(OR(BB$3=$D144,BB$3=$AC144,BB$3=$AE144),"",IF(BB$3=$AD144,$F144&amp;"R",BB143))))</f>
        <v/>
      </c>
      <c r="BC144" s="11" t="str">
        <f aca="false">IF($P144=0,BC143,IF(BC$3=$E144,IF($AA144=1,$F144&amp;$AB144,$G144),IF(OR(BC$3=$D144,BC$3=$AC144,BC$3=$AE144),"",IF(BC$3=$AD144,$F144&amp;"R",BC143))))</f>
        <v/>
      </c>
      <c r="BD144" s="11" t="str">
        <f aca="false">IF($P144=0,BD143,IF(BD$3=$E144,IF($AA144=1,$F144&amp;$AB144,$G144),IF(OR(BD$3=$D144,BD$3=$AC144,BD$3=$AE144),"",IF(BD$3=$AD144,$F144&amp;"R",BD143))))</f>
        <v/>
      </c>
      <c r="BE144" s="11" t="str">
        <f aca="false">IF($P144=0,BE143,IF(BE$3=$E144,IF($AA144=1,$F144&amp;$AB144,$G144),IF(OR(BE$3=$D144,BE$3=$AC144,BE$3=$AE144),"",IF(BE$3=$AD144,$F144&amp;"R",BE143))))</f>
        <v/>
      </c>
      <c r="BF144" s="11" t="str">
        <f aca="false">IF($P144=0,BF143,IF(BF$3=$E144,IF($AA144=1,$F144&amp;$AB144,$G144),IF(OR(BF$3=$D144,BF$3=$AC144,BF$3=$AE144),"",IF(BF$3=$AD144,$F144&amp;"R",BF143))))</f>
        <v/>
      </c>
      <c r="BG144" s="11" t="str">
        <f aca="false">IF($P144=0,BG143,IF(BG$3=$E144,IF($AA144=1,$F144&amp;$AB144,$G144),IF(OR(BG$3=$D144,BG$3=$AC144,BG$3=$AE144),"",IF(BG$3=$AD144,$F144&amp;"R",BG143))))</f>
        <v/>
      </c>
      <c r="BH144" s="11" t="str">
        <f aca="false">IF($P144=0,BH143,IF(BH$3=$E144,IF($AA144=1,$F144&amp;$AB144,$G144),IF(OR(BH$3=$D144,BH$3=$AC144,BH$3=$AE144),"",IF(BH$3=$AD144,$F144&amp;"R",BH143))))</f>
        <v/>
      </c>
      <c r="BI144" s="11" t="str">
        <f aca="false">IF($P144=0,BI143,IF(BI$3=$E144,IF($AA144=1,$F144&amp;$AB144,$G144),IF(OR(BI$3=$D144,BI$3=$AC144,BI$3=$AE144),"",IF(BI$3=$AD144,$F144&amp;"R",BI143))))</f>
        <v/>
      </c>
      <c r="BJ144" s="11" t="str">
        <f aca="false">IF($P144=0,BJ143,IF(BJ$3=$E144,IF($AA144=1,$F144&amp;$AB144,$G144),IF(OR(BJ$3=$D144,BJ$3=$AC144,BJ$3=$AE144),"",IF(BJ$3=$AD144,$F144&amp;"R",BJ143))))</f>
        <v/>
      </c>
      <c r="BK144" s="11" t="str">
        <f aca="false">IF($P144=0,BK143,IF(BK$3=$E144,IF($AA144=1,$F144&amp;$AB144,$G144),IF(OR(BK$3=$D144,BK$3=$AC144,BK$3=$AE144),"",IF(BK$3=$AD144,$F144&amp;"R",BK143))))</f>
        <v/>
      </c>
      <c r="BL144" s="11" t="str">
        <f aca="false">IF($P144=0,BL143,IF(BL$3=$E144,IF($AA144=1,$F144&amp;$AB144,$G144),IF(OR(BL$3=$D144,BL$3=$AC144,BL$3=$AE144),"",IF(BL$3=$AD144,$F144&amp;"R",BL143))))</f>
        <v/>
      </c>
      <c r="BM144" s="11" t="str">
        <f aca="false">IF($P144=0,BM143,IF(BM$3=$E144,IF($AA144=1,$F144&amp;$AB144,$G144),IF(OR(BM$3=$D144,BM$3=$AC144,BM$3=$AE144),"",IF(BM$3=$AD144,$F144&amp;"R",BM143))))</f>
        <v/>
      </c>
      <c r="BN144" s="11" t="str">
        <f aca="false">IF($P144=0,BN143,IF(BN$3=$E144,IF($AA144=1,$F144&amp;$AB144,$G144),IF(OR(BN$3=$D144,BN$3=$AC144,BN$3=$AE144),"",IF(BN$3=$AD144,$F144&amp;"R",BN143))))</f>
        <v/>
      </c>
      <c r="BO144" s="11" t="str">
        <f aca="false">IF($P144=0,BO143,IF(BO$3=$E144,IF($AA144=1,$F144&amp;$AB144,$G144),IF(OR(BO$3=$D144,BO$3=$AC144,BO$3=$AE144),"",IF(BO$3=$AD144,$F144&amp;"R",BO143))))</f>
        <v/>
      </c>
      <c r="BP144" s="11" t="str">
        <f aca="false">IF($P144=0,BP143,IF(BP$3=$E144,IF($AA144=1,$F144&amp;$AB144,$G144),IF(OR(BP$3=$D144,BP$3=$AC144,BP$3=$AE144),"",IF(BP$3=$AD144,$F144&amp;"R",BP143))))</f>
        <v/>
      </c>
      <c r="BQ144" s="11" t="str">
        <f aca="false">IF($P144=0,BQ143,IF(BQ$3=$E144,IF($AA144=1,$F144&amp;$AB144,$G144),IF(OR(BQ$3=$D144,BQ$3=$AC144,BQ$3=$AE144),"",IF(BQ$3=$AD144,$F144&amp;"R",BQ143))))</f>
        <v/>
      </c>
      <c r="BR144" s="11" t="str">
        <f aca="false">IF($P144=0,BR143,IF(BR$3=$E144,IF($AA144=1,$F144&amp;$AB144,$G144),IF(OR(BR$3=$D144,BR$3=$AC144,BR$3=$AE144),"",IF(BR$3=$AD144,$F144&amp;"R",BR143))))</f>
        <v/>
      </c>
      <c r="BS144" s="11" t="str">
        <f aca="false">IF($P144=0,BS143,IF(BS$3=$E144,IF($AA144=1,$F144&amp;$AB144,$G144),IF(OR(BS$3=$D144,BS$3=$AC144,BS$3=$AE144),"",IF(BS$3=$AD144,$F144&amp;"R",BS143))))</f>
        <v/>
      </c>
      <c r="BT144" s="11" t="str">
        <f aca="false">IF($P144=0,BT143,IF(BT$3=$E144,IF($AA144=1,$F144&amp;$AB144,$G144),IF(OR(BT$3=$D144,BT$3=$AC144,BT$3=$AE144),"",IF(BT$3=$AD144,$F144&amp;"R",BT143))))</f>
        <v/>
      </c>
      <c r="BU144" s="11" t="str">
        <f aca="false">IF($P144=0,BU143,IF(BU$3=$E144,IF($AA144=1,$F144&amp;$AB144,$G144),IF(OR(BU$3=$D144,BU$3=$AC144,BU$3=$AE144),"",IF(BU$3=$AD144,$F144&amp;"R",BU143))))</f>
        <v/>
      </c>
      <c r="BV144" s="11" t="str">
        <f aca="false">IF($P144=0,BV143,IF(BV$3=$E144,IF($AA144=1,$F144&amp;$AB144,$G144),IF(OR(BV$3=$D144,BV$3=$AC144,BV$3=$AE144),"",IF(BV$3=$AD144,$F144&amp;"R",BV143))))</f>
        <v/>
      </c>
      <c r="BW144" s="11" t="str">
        <f aca="false">IF($P144=0,BW143,IF(BW$3=$E144,IF($AA144=1,$F144&amp;$AB144,$G144),IF(OR(BW$3=$D144,BW$3=$AC144,BW$3=$AE144),"",IF(BW$3=$AD144,$F144&amp;"R",BW143))))</f>
        <v/>
      </c>
      <c r="BX144" s="11" t="str">
        <f aca="false">IF($P144=0,BX143,IF(BX$3=$E144,IF($AA144=1,$F144&amp;$AB144,$G144),IF(OR(BX$3=$D144,BX$3=$AC144,BX$3=$AE144),"",IF(BX$3=$AD144,$F144&amp;"R",BX143))))</f>
        <v/>
      </c>
      <c r="BY144" s="11" t="str">
        <f aca="false">IF($P144=0,BY143,IF(BY$3=$E144,IF($AA144=1,$F144&amp;$AB144,$G144),IF(OR(BY$3=$D144,BY$3=$AC144,BY$3=$AE144),"",IF(BY$3=$AD144,$F144&amp;"R",BY143))))</f>
        <v/>
      </c>
      <c r="BZ144" s="11" t="str">
        <f aca="false">IF($P144=0,BZ143,IF(BZ$3=$E144,IF($AA144=1,$F144&amp;$AB144,$G144),IF(OR(BZ$3=$D144,BZ$3=$AC144,BZ$3=$AE144),"",IF(BZ$3=$AD144,$F144&amp;"R",BZ143))))</f>
        <v/>
      </c>
      <c r="CA144" s="11" t="str">
        <f aca="false">IF($P144=0,CA143,IF(CA$3=$E144,IF($AA144=1,$F144&amp;$AB144,$G144),IF(OR(CA$3=$D144,CA$3=$AC144,CA$3=$AE144),"",IF(CA$3=$AD144,$F144&amp;"R",CA143))))</f>
        <v/>
      </c>
      <c r="CB144" s="11" t="str">
        <f aca="false">IF($P144=0,CB143,IF(CB$3=$E144,IF($AA144=1,$F144&amp;$AB144,$G144),IF(OR(CB$3=$D144,CB$3=$AC144,CB$3=$AE144),"",IF(CB$3=$AD144,$F144&amp;"R",CB143))))</f>
        <v/>
      </c>
      <c r="CC144" s="11" t="str">
        <f aca="false">IF($P144=0,CC143,IF(CC$3=$E144,IF($AA144=1,$F144&amp;$AB144,$G144),IF(OR(CC$3=$D144,CC$3=$AC144,CC$3=$AE144),"",IF(CC$3=$AD144,$F144&amp;"R",CC143))))</f>
        <v/>
      </c>
      <c r="CD144" s="11" t="str">
        <f aca="false">IF($P144=0,CD143,IF(CD$3=$E144,IF($AA144=1,$F144&amp;$AB144,$G144),IF(OR(CD$3=$D144,CD$3=$AC144,CD$3=$AE144),"",IF(CD$3=$AD144,$F144&amp;"R",CD143))))</f>
        <v>bP</v>
      </c>
      <c r="CE144" s="11" t="str">
        <f aca="false">IF($P144=0,CE143,IF(CE$3=$E144,IF($AA144=1,$F144&amp;$AB144,$G144),IF(OR(CE$3=$D144,CE$3=$AC144,CE$3=$AE144),"",IF(CE$3=$AD144,$F144&amp;"R",CE143))))</f>
        <v>bP</v>
      </c>
      <c r="CF144" s="11" t="str">
        <f aca="false">IF($P144=0,CF143,IF(CF$3=$E144,IF($AA144=1,$F144&amp;$AB144,$G144),IF(OR(CF$3=$D144,CF$3=$AC144,CF$3=$AE144),"",IF(CF$3=$AD144,$F144&amp;"R",CF143))))</f>
        <v>bP</v>
      </c>
      <c r="CG144" s="11" t="str">
        <f aca="false">IF($P144=0,CG143,IF(CG$3=$E144,IF($AA144=1,$F144&amp;$AB144,$G144),IF(OR(CG$3=$D144,CG$3=$AC144,CG$3=$AE144),"",IF(CG$3=$AD144,$F144&amp;"R",CG143))))</f>
        <v>bP</v>
      </c>
      <c r="CH144" s="11" t="str">
        <f aca="false">IF($P144=0,CH143,IF(CH$3=$E144,IF($AA144=1,$F144&amp;$AB144,$G144),IF(OR(CH$3=$D144,CH$3=$AC144,CH$3=$AE144),"",IF(CH$3=$AD144,$F144&amp;"R",CH143))))</f>
        <v>bP</v>
      </c>
      <c r="CI144" s="11" t="str">
        <f aca="false">IF($P144=0,CI143,IF(CI$3=$E144,IF($AA144=1,$F144&amp;$AB144,$G144),IF(OR(CI$3=$D144,CI$3=$AC144,CI$3=$AE144),"",IF(CI$3=$AD144,$F144&amp;"R",CI143))))</f>
        <v>bP</v>
      </c>
      <c r="CJ144" s="11" t="str">
        <f aca="false">IF($P144=0,CJ143,IF(CJ$3=$E144,IF($AA144=1,$F144&amp;$AB144,$G144),IF(OR(CJ$3=$D144,CJ$3=$AC144,CJ$3=$AE144),"",IF(CJ$3=$AD144,$F144&amp;"R",CJ143))))</f>
        <v>bP</v>
      </c>
      <c r="CK144" s="11" t="str">
        <f aca="false">IF($P144=0,CK143,IF(CK$3=$E144,IF($AA144=1,$F144&amp;$AB144,$G144),IF(OR(CK$3=$D144,CK$3=$AC144,CK$3=$AE144),"",IF(CK$3=$AD144,$F144&amp;"R",CK143))))</f>
        <v>bP</v>
      </c>
      <c r="CL144" s="11" t="str">
        <f aca="false">IF($P144=0,CL143,IF(CL$3=$E144,IF($AA144=1,$F144&amp;$AB144,$G144),IF(OR(CL$3=$D144,CL$3=$AC144,CL$3=$AE144),"",IF(CL$3=$AD144,$F144&amp;"R",CL143))))</f>
        <v>bR</v>
      </c>
      <c r="CM144" s="11" t="str">
        <f aca="false">IF($P144=0,CM143,IF(CM$3=$E144,IF($AA144=1,$F144&amp;$AB144,$G144),IF(OR(CM$3=$D144,CM$3=$AC144,CM$3=$AE144),"",IF(CM$3=$AD144,$F144&amp;"R",CM143))))</f>
        <v>bN</v>
      </c>
      <c r="CN144" s="11" t="str">
        <f aca="false">IF($P144=0,CN143,IF(CN$3=$E144,IF($AA144=1,$F144&amp;$AB144,$G144),IF(OR(CN$3=$D144,CN$3=$AC144,CN$3=$AE144),"",IF(CN$3=$AD144,$F144&amp;"R",CN143))))</f>
        <v>bB</v>
      </c>
      <c r="CO144" s="11" t="str">
        <f aca="false">IF($P144=0,CO143,IF(CO$3=$E144,IF($AA144=1,$F144&amp;$AB144,$G144),IF(OR(CO$3=$D144,CO$3=$AC144,CO$3=$AE144),"",IF(CO$3=$AD144,$F144&amp;"R",CO143))))</f>
        <v>bQ</v>
      </c>
      <c r="CP144" s="11" t="str">
        <f aca="false">IF($P144=0,CP143,IF(CP$3=$E144,IF($AA144=1,$F144&amp;$AB144,$G144),IF(OR(CP$3=$D144,CP$3=$AC144,CP$3=$AE144),"",IF(CP$3=$AD144,$F144&amp;"R",CP143))))</f>
        <v>bK</v>
      </c>
      <c r="CQ144" s="11" t="str">
        <f aca="false">IF($P144=0,CQ143,IF(CQ$3=$E144,IF($AA144=1,$F144&amp;$AB144,$G144),IF(OR(CQ$3=$D144,CQ$3=$AC144,CQ$3=$AE144),"",IF(CQ$3=$AD144,$F144&amp;"R",CQ143))))</f>
        <v>bB</v>
      </c>
      <c r="CR144" s="11" t="str">
        <f aca="false">IF($P144=0,CR143,IF(CR$3=$E144,IF($AA144=1,$F144&amp;$AB144,$G144),IF(OR(CR$3=$D144,CR$3=$AC144,CR$3=$AE144),"",IF(CR$3=$AD144,$F144&amp;"R",CR143))))</f>
        <v>bN</v>
      </c>
      <c r="CS144" s="11" t="str">
        <f aca="false">IF($P144=0,CS143,IF(CS$3=$E144,IF($AA144=1,$F144&amp;$AB144,$G144),IF(OR(CS$3=$D144,CS$3=$AC144,CS$3=$AE144),"",IF(CS$3=$AD144,$F144&amp;"R",CS143))))</f>
        <v>bR</v>
      </c>
      <c r="CT144" s="11"/>
      <c r="CU144" s="11"/>
      <c r="CV144" s="11"/>
    </row>
    <row r="145" customFormat="false" ht="15" hidden="false" customHeight="false" outlineLevel="0" collapsed="false">
      <c r="A145" s="11" t="n">
        <v>140</v>
      </c>
      <c r="B145" s="11" t="str">
        <f aca="false">IF(Chess!$L$149="","",Chess!$L$149&amp;"")</f>
        <v/>
      </c>
      <c r="C145" s="11" t="str">
        <f aca="false">LOWER(SUBSTITUTE(SUBSTITUTE(SUBSTITUTE(SUBSTITUTE(TRIM($B145),"-",""),"=","")," ",""),"x",""))</f>
        <v/>
      </c>
      <c r="D145" s="11" t="n">
        <f aca="false">IF(LEN($C145)&lt;4,0,IFERROR(IF(AND(CODE(MID($C145,1,1))&gt;=97,CODE(MID($C145,1,1))&lt;=104,VALUE(MID($C145,2,1))&gt;=1,VALUE(MID($C145,2,1))&lt;=8),(VALUE(MID($C145,2,1))-1)*8+CODE(MID($C145,1,1))-96,0),0))</f>
        <v>0</v>
      </c>
      <c r="E145" s="11" t="n">
        <f aca="false">IF(LEN($C145)&lt;4,0,IFERROR(IF(AND(CODE(MID($C145,3,1))&gt;=97,CODE(MID($C145,3,1))&lt;=104,VALUE(MID($C145,4,1))&gt;=1,VALUE(MID($C145,4,1))&lt;=8),(VALUE(MID($C145,4,1))-1)*8+CODE(MID($C145,3,1))-96,0),0))</f>
        <v>0</v>
      </c>
      <c r="F145" s="11" t="str">
        <f aca="false">IF(MOD(SUM($P$5:$P144),2)=0,"w","b")</f>
        <v>w</v>
      </c>
      <c r="G145" s="11" t="str">
        <f aca="false">IF($D145=0,"",INDEX($AH144:$CS144,1,$D145)&amp;"")</f>
        <v/>
      </c>
      <c r="H145" s="11" t="str">
        <f aca="false">IF($E145=0,"",INDEX($AH144:$CS144,1,$E145)&amp;"")</f>
        <v/>
      </c>
      <c r="I145" s="11" t="n">
        <f aca="false">IF(OR($D145=0,$E145=0),0,MOD($E145-1,8)-MOD($D145-1,8))</f>
        <v>0</v>
      </c>
      <c r="J145" s="11" t="n">
        <f aca="false">IF(OR($D145=0,$E145=0),0,INT(($E145-1)/8)-INT(($D145-1)/8))</f>
        <v>0</v>
      </c>
      <c r="K145" s="11" t="str">
        <f aca="false">IF($G145="","",RIGHT($G145,1))</f>
        <v/>
      </c>
      <c r="L145" s="11" t="n">
        <f aca="false">IF(OR($D145=0,$E145=0),0,SUMPRODUCT(($AH$3:$CS$3&gt;MIN($D145,$E145))*($AH$3:$CS$3&lt;MAX($D145,$E145))*(MOD($AH$3:$CS$3-MIN($D145,$E145),MAX(1,ABS(SIGN($J145)*8+SIGN($I145))))=0)*($AH144:$CS144&lt;&gt;"")))</f>
        <v>0</v>
      </c>
      <c r="M145" s="11" t="n">
        <f aca="false">IF($K145&lt;&gt;"K",0,IFERROR(--AND($J145=0,ABS($I145)=2,$D145=IF($F145="w",5,61),IF($F145="w",$S144,$V144)=0,IF($I145=2,AND(IF($F145="w",$U144,$X144)=0,INDEX($AH144:$CS144,1,$D145+1)&amp;""="",INDEX($AH144:$CS144,1,$D145+2)&amp;""=""),AND(IF($F145="w",$T144,$W144)=0,INDEX($AH144:$CS144,1,$D145-1)&amp;""="",INDEX($AH144:$CS144,1,$D145-2)&amp;""="",INDEX($AH144:$CS144,1,$D145-3)&amp;""=""))),0))</f>
        <v>0</v>
      </c>
      <c r="N145" s="11" t="n">
        <f aca="false">IF($K145&lt;&gt;"P",0,IFERROR(--OR(AND($I145=0,$J145=IF($F145="w",1,-1),$H145=""),AND($I145=0,$J145=2*IF($F145="w",1,-1),$H145="",INT(($D145-1)/8)=IF($F145="w",1,6),INDEX($AH144:$CS144,1,MAX(1,MIN(64,$D145+8*IF($F145="w",1,-1))))&amp;""=""),AND(ABS($I145)=1,$J145=IF($F145="w",1,-1),$H145&lt;&gt;""),AND(ABS($I145)=1,$J145=IF($F145="w",1,-1),$H145="",$R144&gt;0,$E145=$R144)),0))</f>
        <v>0</v>
      </c>
      <c r="O145" s="11" t="n">
        <f aca="false">IF(OR($D145=0,$E145=0,$G145=""),0,IF($K145="N",--OR(AND(ABS($I145)=1,ABS($J145)=2),AND(ABS($I145)=2,ABS($J145)=1)),IF($K145="B",--AND(ABS($I145)=ABS($J145),$I145&lt;&gt;0,$L145=0),IF($K145="R",--AND(OR($I145=0,$J145=0),OR($I145&lt;&gt;0,$J145&lt;&gt;0),$L145=0),IF($K145="Q",--AND(OR(AND(ABS($I145)=ABS($J145),$I145&lt;&gt;0),AND(OR($I145=0,$J145=0),OR($I145&lt;&gt;0,$J145&lt;&gt;0))),$L145=0),IF($K145="K",--OR(MAX(ABS($I145),ABS($J145))=1,$M145=1),$N145))))))</f>
        <v>0</v>
      </c>
      <c r="P145" s="11" t="n">
        <f aca="false">IF($Q145="OK",1,0)</f>
        <v>0</v>
      </c>
      <c r="Q145" s="11" t="str">
        <f aca="false">IF($B145="","",IF(OR(COUNTIF($AH144:$CS144,"wK")=0,COUNTIF($AH144:$CS144,"bK")=0),"Game is over",IF(OR($D145=0,$E145=0),"Use the format e2e4",IF($G145="","No piece on that square",IF(LEFT($G145,1)&lt;&gt;$F145,"Not your piece ("&amp;IF($F145="w","White","Black")&amp;" to move)",IF($D145=$E145,"Piece must move",IF(AND($H145&lt;&gt;"",LEFT($H145,1)=$F145),"Cannot capture your own piece",IF($O145=0,"Illegal move for that piece (or path blocked)","OK"))))))))</f>
        <v/>
      </c>
      <c r="R145" s="11" t="n">
        <f aca="false">IF($P145=1,IF(AND($K145="P",ABS($J145)=2),($D145+$E145)/2,0),$R144)</f>
        <v>0</v>
      </c>
      <c r="S145" s="12" t="b">
        <f aca="false">--OR($S144=1,AND($P145=1,OR($D145=5,$E145=5)))</f>
        <v>0</v>
      </c>
      <c r="T145" s="12" t="b">
        <f aca="false">--OR($T144=1,AND($P145=1,OR($D145=1,$E145=1)))</f>
        <v>0</v>
      </c>
      <c r="U145" s="12" t="b">
        <f aca="false">--OR($U144=1,AND($P145=1,OR($D145=8,$E145=8)))</f>
        <v>0</v>
      </c>
      <c r="V145" s="12" t="b">
        <f aca="false">--OR($V144=1,AND($P145=1,OR($D145=61,$E145=61)))</f>
        <v>0</v>
      </c>
      <c r="W145" s="12" t="b">
        <f aca="false">--OR($W144=1,AND($P145=1,OR($D145=57,$E145=57)))</f>
        <v>0</v>
      </c>
      <c r="X145" s="12" t="b">
        <f aca="false">--OR($X144=1,AND($P145=1,OR($D145=64,$E145=64)))</f>
        <v>0</v>
      </c>
      <c r="Y145" s="12" t="b">
        <f aca="false">--AND($P145=1,$K145="K",ABS($I145)=2)</f>
        <v>0</v>
      </c>
      <c r="Z145" s="12" t="b">
        <f aca="false">--AND($P145=1,$K145="P",ABS($I145)=1,$H145="")</f>
        <v>0</v>
      </c>
      <c r="AA145" s="12" t="b">
        <f aca="false">--AND($P145=1,$K145="P",INT(($E145-1)/8)=IF($F145="w",7,0))</f>
        <v>0</v>
      </c>
      <c r="AB145" s="11" t="str">
        <f aca="false">IF(LEN($C145)&gt;=5,IF(ISNUMBER(FIND(MID($C145,5,1),"qrbn")),UPPER(MID($C145,5,1)),"Q"),"Q")</f>
        <v>Q</v>
      </c>
      <c r="AC145" s="11" t="n">
        <f aca="false">IF($Y145=1,IF($I145=2,$D145+3,$D145-4),0)</f>
        <v>0</v>
      </c>
      <c r="AD145" s="11" t="n">
        <f aca="false">IF($Y145=1,IF($I145=2,$D145+1,$D145-1),0)</f>
        <v>0</v>
      </c>
      <c r="AE145" s="11" t="n">
        <f aca="false">IF($Z145=1,$E145-8*IF($F145="w",1,-1),0)</f>
        <v>0</v>
      </c>
      <c r="AF145" s="11" t="str">
        <f aca="false">IF($B145="","",IF($P145=1,LOWER(INDEX($CV$2:$CV$13,MATCH($G145,$CU$2:$CU$13,0)))&amp;" "&amp;MID("abcdefgh",MOD($D145-1,8)+1,1)&amp;(INT(($D145-1)/8)+1)&amp;"→"&amp;MID("abcdefgh",MOD($E145-1,8)+1,1)&amp;(INT(($E145-1)/8)+1)&amp;IF(OR($H145&lt;&gt;"",$Z145=1)," ×","")&amp;IF($Y145=1," castles","")&amp;IF($Z145=1," e.p.","")&amp;IF($AA145=1," =" &amp;LOWER(INDEX($CV$2:$CV$13,MATCH($F145&amp;$AB145,$CU$2:$CU$13,0))),""),"X "&amp;$Q145))</f>
        <v/>
      </c>
      <c r="AG145" s="11"/>
      <c r="AH145" s="11" t="str">
        <f aca="false">IF($P145=0,AH144,IF(AH$3=$E145,IF($AA145=1,$F145&amp;$AB145,$G145),IF(OR(AH$3=$D145,AH$3=$AC145,AH$3=$AE145),"",IF(AH$3=$AD145,$F145&amp;"R",AH144))))</f>
        <v>wR</v>
      </c>
      <c r="AI145" s="11" t="str">
        <f aca="false">IF($P145=0,AI144,IF(AI$3=$E145,IF($AA145=1,$F145&amp;$AB145,$G145),IF(OR(AI$3=$D145,AI$3=$AC145,AI$3=$AE145),"",IF(AI$3=$AD145,$F145&amp;"R",AI144))))</f>
        <v>wN</v>
      </c>
      <c r="AJ145" s="11" t="str">
        <f aca="false">IF($P145=0,AJ144,IF(AJ$3=$E145,IF($AA145=1,$F145&amp;$AB145,$G145),IF(OR(AJ$3=$D145,AJ$3=$AC145,AJ$3=$AE145),"",IF(AJ$3=$AD145,$F145&amp;"R",AJ144))))</f>
        <v>wB</v>
      </c>
      <c r="AK145" s="11" t="str">
        <f aca="false">IF($P145=0,AK144,IF(AK$3=$E145,IF($AA145=1,$F145&amp;$AB145,$G145),IF(OR(AK$3=$D145,AK$3=$AC145,AK$3=$AE145),"",IF(AK$3=$AD145,$F145&amp;"R",AK144))))</f>
        <v>wQ</v>
      </c>
      <c r="AL145" s="11" t="str">
        <f aca="false">IF($P145=0,AL144,IF(AL$3=$E145,IF($AA145=1,$F145&amp;$AB145,$G145),IF(OR(AL$3=$D145,AL$3=$AC145,AL$3=$AE145),"",IF(AL$3=$AD145,$F145&amp;"R",AL144))))</f>
        <v>wK</v>
      </c>
      <c r="AM145" s="11" t="str">
        <f aca="false">IF($P145=0,AM144,IF(AM$3=$E145,IF($AA145=1,$F145&amp;$AB145,$G145),IF(OR(AM$3=$D145,AM$3=$AC145,AM$3=$AE145),"",IF(AM$3=$AD145,$F145&amp;"R",AM144))))</f>
        <v>wB</v>
      </c>
      <c r="AN145" s="11" t="str">
        <f aca="false">IF($P145=0,AN144,IF(AN$3=$E145,IF($AA145=1,$F145&amp;$AB145,$G145),IF(OR(AN$3=$D145,AN$3=$AC145,AN$3=$AE145),"",IF(AN$3=$AD145,$F145&amp;"R",AN144))))</f>
        <v>wN</v>
      </c>
      <c r="AO145" s="11" t="str">
        <f aca="false">IF($P145=0,AO144,IF(AO$3=$E145,IF($AA145=1,$F145&amp;$AB145,$G145),IF(OR(AO$3=$D145,AO$3=$AC145,AO$3=$AE145),"",IF(AO$3=$AD145,$F145&amp;"R",AO144))))</f>
        <v>wR</v>
      </c>
      <c r="AP145" s="11" t="str">
        <f aca="false">IF($P145=0,AP144,IF(AP$3=$E145,IF($AA145=1,$F145&amp;$AB145,$G145),IF(OR(AP$3=$D145,AP$3=$AC145,AP$3=$AE145),"",IF(AP$3=$AD145,$F145&amp;"R",AP144))))</f>
        <v>wP</v>
      </c>
      <c r="AQ145" s="11" t="str">
        <f aca="false">IF($P145=0,AQ144,IF(AQ$3=$E145,IF($AA145=1,$F145&amp;$AB145,$G145),IF(OR(AQ$3=$D145,AQ$3=$AC145,AQ$3=$AE145),"",IF(AQ$3=$AD145,$F145&amp;"R",AQ144))))</f>
        <v>wP</v>
      </c>
      <c r="AR145" s="11" t="str">
        <f aca="false">IF($P145=0,AR144,IF(AR$3=$E145,IF($AA145=1,$F145&amp;$AB145,$G145),IF(OR(AR$3=$D145,AR$3=$AC145,AR$3=$AE145),"",IF(AR$3=$AD145,$F145&amp;"R",AR144))))</f>
        <v>wP</v>
      </c>
      <c r="AS145" s="11" t="str">
        <f aca="false">IF($P145=0,AS144,IF(AS$3=$E145,IF($AA145=1,$F145&amp;$AB145,$G145),IF(OR(AS$3=$D145,AS$3=$AC145,AS$3=$AE145),"",IF(AS$3=$AD145,$F145&amp;"R",AS144))))</f>
        <v>wP</v>
      </c>
      <c r="AT145" s="11" t="str">
        <f aca="false">IF($P145=0,AT144,IF(AT$3=$E145,IF($AA145=1,$F145&amp;$AB145,$G145),IF(OR(AT$3=$D145,AT$3=$AC145,AT$3=$AE145),"",IF(AT$3=$AD145,$F145&amp;"R",AT144))))</f>
        <v>wP</v>
      </c>
      <c r="AU145" s="11" t="str">
        <f aca="false">IF($P145=0,AU144,IF(AU$3=$E145,IF($AA145=1,$F145&amp;$AB145,$G145),IF(OR(AU$3=$D145,AU$3=$AC145,AU$3=$AE145),"",IF(AU$3=$AD145,$F145&amp;"R",AU144))))</f>
        <v>wP</v>
      </c>
      <c r="AV145" s="11" t="str">
        <f aca="false">IF($P145=0,AV144,IF(AV$3=$E145,IF($AA145=1,$F145&amp;$AB145,$G145),IF(OR(AV$3=$D145,AV$3=$AC145,AV$3=$AE145),"",IF(AV$3=$AD145,$F145&amp;"R",AV144))))</f>
        <v>wP</v>
      </c>
      <c r="AW145" s="11" t="str">
        <f aca="false">IF($P145=0,AW144,IF(AW$3=$E145,IF($AA145=1,$F145&amp;$AB145,$G145),IF(OR(AW$3=$D145,AW$3=$AC145,AW$3=$AE145),"",IF(AW$3=$AD145,$F145&amp;"R",AW144))))</f>
        <v>wP</v>
      </c>
      <c r="AX145" s="11" t="str">
        <f aca="false">IF($P145=0,AX144,IF(AX$3=$E145,IF($AA145=1,$F145&amp;$AB145,$G145),IF(OR(AX$3=$D145,AX$3=$AC145,AX$3=$AE145),"",IF(AX$3=$AD145,$F145&amp;"R",AX144))))</f>
        <v/>
      </c>
      <c r="AY145" s="11" t="str">
        <f aca="false">IF($P145=0,AY144,IF(AY$3=$E145,IF($AA145=1,$F145&amp;$AB145,$G145),IF(OR(AY$3=$D145,AY$3=$AC145,AY$3=$AE145),"",IF(AY$3=$AD145,$F145&amp;"R",AY144))))</f>
        <v/>
      </c>
      <c r="AZ145" s="11" t="str">
        <f aca="false">IF($P145=0,AZ144,IF(AZ$3=$E145,IF($AA145=1,$F145&amp;$AB145,$G145),IF(OR(AZ$3=$D145,AZ$3=$AC145,AZ$3=$AE145),"",IF(AZ$3=$AD145,$F145&amp;"R",AZ144))))</f>
        <v/>
      </c>
      <c r="BA145" s="11" t="str">
        <f aca="false">IF($P145=0,BA144,IF(BA$3=$E145,IF($AA145=1,$F145&amp;$AB145,$G145),IF(OR(BA$3=$D145,BA$3=$AC145,BA$3=$AE145),"",IF(BA$3=$AD145,$F145&amp;"R",BA144))))</f>
        <v/>
      </c>
      <c r="BB145" s="11" t="str">
        <f aca="false">IF($P145=0,BB144,IF(BB$3=$E145,IF($AA145=1,$F145&amp;$AB145,$G145),IF(OR(BB$3=$D145,BB$3=$AC145,BB$3=$AE145),"",IF(BB$3=$AD145,$F145&amp;"R",BB144))))</f>
        <v/>
      </c>
      <c r="BC145" s="11" t="str">
        <f aca="false">IF($P145=0,BC144,IF(BC$3=$E145,IF($AA145=1,$F145&amp;$AB145,$G145),IF(OR(BC$3=$D145,BC$3=$AC145,BC$3=$AE145),"",IF(BC$3=$AD145,$F145&amp;"R",BC144))))</f>
        <v/>
      </c>
      <c r="BD145" s="11" t="str">
        <f aca="false">IF($P145=0,BD144,IF(BD$3=$E145,IF($AA145=1,$F145&amp;$AB145,$G145),IF(OR(BD$3=$D145,BD$3=$AC145,BD$3=$AE145),"",IF(BD$3=$AD145,$F145&amp;"R",BD144))))</f>
        <v/>
      </c>
      <c r="BE145" s="11" t="str">
        <f aca="false">IF($P145=0,BE144,IF(BE$3=$E145,IF($AA145=1,$F145&amp;$AB145,$G145),IF(OR(BE$3=$D145,BE$3=$AC145,BE$3=$AE145),"",IF(BE$3=$AD145,$F145&amp;"R",BE144))))</f>
        <v/>
      </c>
      <c r="BF145" s="11" t="str">
        <f aca="false">IF($P145=0,BF144,IF(BF$3=$E145,IF($AA145=1,$F145&amp;$AB145,$G145),IF(OR(BF$3=$D145,BF$3=$AC145,BF$3=$AE145),"",IF(BF$3=$AD145,$F145&amp;"R",BF144))))</f>
        <v/>
      </c>
      <c r="BG145" s="11" t="str">
        <f aca="false">IF($P145=0,BG144,IF(BG$3=$E145,IF($AA145=1,$F145&amp;$AB145,$G145),IF(OR(BG$3=$D145,BG$3=$AC145,BG$3=$AE145),"",IF(BG$3=$AD145,$F145&amp;"R",BG144))))</f>
        <v/>
      </c>
      <c r="BH145" s="11" t="str">
        <f aca="false">IF($P145=0,BH144,IF(BH$3=$E145,IF($AA145=1,$F145&amp;$AB145,$G145),IF(OR(BH$3=$D145,BH$3=$AC145,BH$3=$AE145),"",IF(BH$3=$AD145,$F145&amp;"R",BH144))))</f>
        <v/>
      </c>
      <c r="BI145" s="11" t="str">
        <f aca="false">IF($P145=0,BI144,IF(BI$3=$E145,IF($AA145=1,$F145&amp;$AB145,$G145),IF(OR(BI$3=$D145,BI$3=$AC145,BI$3=$AE145),"",IF(BI$3=$AD145,$F145&amp;"R",BI144))))</f>
        <v/>
      </c>
      <c r="BJ145" s="11" t="str">
        <f aca="false">IF($P145=0,BJ144,IF(BJ$3=$E145,IF($AA145=1,$F145&amp;$AB145,$G145),IF(OR(BJ$3=$D145,BJ$3=$AC145,BJ$3=$AE145),"",IF(BJ$3=$AD145,$F145&amp;"R",BJ144))))</f>
        <v/>
      </c>
      <c r="BK145" s="11" t="str">
        <f aca="false">IF($P145=0,BK144,IF(BK$3=$E145,IF($AA145=1,$F145&amp;$AB145,$G145),IF(OR(BK$3=$D145,BK$3=$AC145,BK$3=$AE145),"",IF(BK$3=$AD145,$F145&amp;"R",BK144))))</f>
        <v/>
      </c>
      <c r="BL145" s="11" t="str">
        <f aca="false">IF($P145=0,BL144,IF(BL$3=$E145,IF($AA145=1,$F145&amp;$AB145,$G145),IF(OR(BL$3=$D145,BL$3=$AC145,BL$3=$AE145),"",IF(BL$3=$AD145,$F145&amp;"R",BL144))))</f>
        <v/>
      </c>
      <c r="BM145" s="11" t="str">
        <f aca="false">IF($P145=0,BM144,IF(BM$3=$E145,IF($AA145=1,$F145&amp;$AB145,$G145),IF(OR(BM$3=$D145,BM$3=$AC145,BM$3=$AE145),"",IF(BM$3=$AD145,$F145&amp;"R",BM144))))</f>
        <v/>
      </c>
      <c r="BN145" s="11" t="str">
        <f aca="false">IF($P145=0,BN144,IF(BN$3=$E145,IF($AA145=1,$F145&amp;$AB145,$G145),IF(OR(BN$3=$D145,BN$3=$AC145,BN$3=$AE145),"",IF(BN$3=$AD145,$F145&amp;"R",BN144))))</f>
        <v/>
      </c>
      <c r="BO145" s="11" t="str">
        <f aca="false">IF($P145=0,BO144,IF(BO$3=$E145,IF($AA145=1,$F145&amp;$AB145,$G145),IF(OR(BO$3=$D145,BO$3=$AC145,BO$3=$AE145),"",IF(BO$3=$AD145,$F145&amp;"R",BO144))))</f>
        <v/>
      </c>
      <c r="BP145" s="11" t="str">
        <f aca="false">IF($P145=0,BP144,IF(BP$3=$E145,IF($AA145=1,$F145&amp;$AB145,$G145),IF(OR(BP$3=$D145,BP$3=$AC145,BP$3=$AE145),"",IF(BP$3=$AD145,$F145&amp;"R",BP144))))</f>
        <v/>
      </c>
      <c r="BQ145" s="11" t="str">
        <f aca="false">IF($P145=0,BQ144,IF(BQ$3=$E145,IF($AA145=1,$F145&amp;$AB145,$G145),IF(OR(BQ$3=$D145,BQ$3=$AC145,BQ$3=$AE145),"",IF(BQ$3=$AD145,$F145&amp;"R",BQ144))))</f>
        <v/>
      </c>
      <c r="BR145" s="11" t="str">
        <f aca="false">IF($P145=0,BR144,IF(BR$3=$E145,IF($AA145=1,$F145&amp;$AB145,$G145),IF(OR(BR$3=$D145,BR$3=$AC145,BR$3=$AE145),"",IF(BR$3=$AD145,$F145&amp;"R",BR144))))</f>
        <v/>
      </c>
      <c r="BS145" s="11" t="str">
        <f aca="false">IF($P145=0,BS144,IF(BS$3=$E145,IF($AA145=1,$F145&amp;$AB145,$G145),IF(OR(BS$3=$D145,BS$3=$AC145,BS$3=$AE145),"",IF(BS$3=$AD145,$F145&amp;"R",BS144))))</f>
        <v/>
      </c>
      <c r="BT145" s="11" t="str">
        <f aca="false">IF($P145=0,BT144,IF(BT$3=$E145,IF($AA145=1,$F145&amp;$AB145,$G145),IF(OR(BT$3=$D145,BT$3=$AC145,BT$3=$AE145),"",IF(BT$3=$AD145,$F145&amp;"R",BT144))))</f>
        <v/>
      </c>
      <c r="BU145" s="11" t="str">
        <f aca="false">IF($P145=0,BU144,IF(BU$3=$E145,IF($AA145=1,$F145&amp;$AB145,$G145),IF(OR(BU$3=$D145,BU$3=$AC145,BU$3=$AE145),"",IF(BU$3=$AD145,$F145&amp;"R",BU144))))</f>
        <v/>
      </c>
      <c r="BV145" s="11" t="str">
        <f aca="false">IF($P145=0,BV144,IF(BV$3=$E145,IF($AA145=1,$F145&amp;$AB145,$G145),IF(OR(BV$3=$D145,BV$3=$AC145,BV$3=$AE145),"",IF(BV$3=$AD145,$F145&amp;"R",BV144))))</f>
        <v/>
      </c>
      <c r="BW145" s="11" t="str">
        <f aca="false">IF($P145=0,BW144,IF(BW$3=$E145,IF($AA145=1,$F145&amp;$AB145,$G145),IF(OR(BW$3=$D145,BW$3=$AC145,BW$3=$AE145),"",IF(BW$3=$AD145,$F145&amp;"R",BW144))))</f>
        <v/>
      </c>
      <c r="BX145" s="11" t="str">
        <f aca="false">IF($P145=0,BX144,IF(BX$3=$E145,IF($AA145=1,$F145&amp;$AB145,$G145),IF(OR(BX$3=$D145,BX$3=$AC145,BX$3=$AE145),"",IF(BX$3=$AD145,$F145&amp;"R",BX144))))</f>
        <v/>
      </c>
      <c r="BY145" s="11" t="str">
        <f aca="false">IF($P145=0,BY144,IF(BY$3=$E145,IF($AA145=1,$F145&amp;$AB145,$G145),IF(OR(BY$3=$D145,BY$3=$AC145,BY$3=$AE145),"",IF(BY$3=$AD145,$F145&amp;"R",BY144))))</f>
        <v/>
      </c>
      <c r="BZ145" s="11" t="str">
        <f aca="false">IF($P145=0,BZ144,IF(BZ$3=$E145,IF($AA145=1,$F145&amp;$AB145,$G145),IF(OR(BZ$3=$D145,BZ$3=$AC145,BZ$3=$AE145),"",IF(BZ$3=$AD145,$F145&amp;"R",BZ144))))</f>
        <v/>
      </c>
      <c r="CA145" s="11" t="str">
        <f aca="false">IF($P145=0,CA144,IF(CA$3=$E145,IF($AA145=1,$F145&amp;$AB145,$G145),IF(OR(CA$3=$D145,CA$3=$AC145,CA$3=$AE145),"",IF(CA$3=$AD145,$F145&amp;"R",CA144))))</f>
        <v/>
      </c>
      <c r="CB145" s="11" t="str">
        <f aca="false">IF($P145=0,CB144,IF(CB$3=$E145,IF($AA145=1,$F145&amp;$AB145,$G145),IF(OR(CB$3=$D145,CB$3=$AC145,CB$3=$AE145),"",IF(CB$3=$AD145,$F145&amp;"R",CB144))))</f>
        <v/>
      </c>
      <c r="CC145" s="11" t="str">
        <f aca="false">IF($P145=0,CC144,IF(CC$3=$E145,IF($AA145=1,$F145&amp;$AB145,$G145),IF(OR(CC$3=$D145,CC$3=$AC145,CC$3=$AE145),"",IF(CC$3=$AD145,$F145&amp;"R",CC144))))</f>
        <v/>
      </c>
      <c r="CD145" s="11" t="str">
        <f aca="false">IF($P145=0,CD144,IF(CD$3=$E145,IF($AA145=1,$F145&amp;$AB145,$G145),IF(OR(CD$3=$D145,CD$3=$AC145,CD$3=$AE145),"",IF(CD$3=$AD145,$F145&amp;"R",CD144))))</f>
        <v>bP</v>
      </c>
      <c r="CE145" s="11" t="str">
        <f aca="false">IF($P145=0,CE144,IF(CE$3=$E145,IF($AA145=1,$F145&amp;$AB145,$G145),IF(OR(CE$3=$D145,CE$3=$AC145,CE$3=$AE145),"",IF(CE$3=$AD145,$F145&amp;"R",CE144))))</f>
        <v>bP</v>
      </c>
      <c r="CF145" s="11" t="str">
        <f aca="false">IF($P145=0,CF144,IF(CF$3=$E145,IF($AA145=1,$F145&amp;$AB145,$G145),IF(OR(CF$3=$D145,CF$3=$AC145,CF$3=$AE145),"",IF(CF$3=$AD145,$F145&amp;"R",CF144))))</f>
        <v>bP</v>
      </c>
      <c r="CG145" s="11" t="str">
        <f aca="false">IF($P145=0,CG144,IF(CG$3=$E145,IF($AA145=1,$F145&amp;$AB145,$G145),IF(OR(CG$3=$D145,CG$3=$AC145,CG$3=$AE145),"",IF(CG$3=$AD145,$F145&amp;"R",CG144))))</f>
        <v>bP</v>
      </c>
      <c r="CH145" s="11" t="str">
        <f aca="false">IF($P145=0,CH144,IF(CH$3=$E145,IF($AA145=1,$F145&amp;$AB145,$G145),IF(OR(CH$3=$D145,CH$3=$AC145,CH$3=$AE145),"",IF(CH$3=$AD145,$F145&amp;"R",CH144))))</f>
        <v>bP</v>
      </c>
      <c r="CI145" s="11" t="str">
        <f aca="false">IF($P145=0,CI144,IF(CI$3=$E145,IF($AA145=1,$F145&amp;$AB145,$G145),IF(OR(CI$3=$D145,CI$3=$AC145,CI$3=$AE145),"",IF(CI$3=$AD145,$F145&amp;"R",CI144))))</f>
        <v>bP</v>
      </c>
      <c r="CJ145" s="11" t="str">
        <f aca="false">IF($P145=0,CJ144,IF(CJ$3=$E145,IF($AA145=1,$F145&amp;$AB145,$G145),IF(OR(CJ$3=$D145,CJ$3=$AC145,CJ$3=$AE145),"",IF(CJ$3=$AD145,$F145&amp;"R",CJ144))))</f>
        <v>bP</v>
      </c>
      <c r="CK145" s="11" t="str">
        <f aca="false">IF($P145=0,CK144,IF(CK$3=$E145,IF($AA145=1,$F145&amp;$AB145,$G145),IF(OR(CK$3=$D145,CK$3=$AC145,CK$3=$AE145),"",IF(CK$3=$AD145,$F145&amp;"R",CK144))))</f>
        <v>bP</v>
      </c>
      <c r="CL145" s="11" t="str">
        <f aca="false">IF($P145=0,CL144,IF(CL$3=$E145,IF($AA145=1,$F145&amp;$AB145,$G145),IF(OR(CL$3=$D145,CL$3=$AC145,CL$3=$AE145),"",IF(CL$3=$AD145,$F145&amp;"R",CL144))))</f>
        <v>bR</v>
      </c>
      <c r="CM145" s="11" t="str">
        <f aca="false">IF($P145=0,CM144,IF(CM$3=$E145,IF($AA145=1,$F145&amp;$AB145,$G145),IF(OR(CM$3=$D145,CM$3=$AC145,CM$3=$AE145),"",IF(CM$3=$AD145,$F145&amp;"R",CM144))))</f>
        <v>bN</v>
      </c>
      <c r="CN145" s="11" t="str">
        <f aca="false">IF($P145=0,CN144,IF(CN$3=$E145,IF($AA145=1,$F145&amp;$AB145,$G145),IF(OR(CN$3=$D145,CN$3=$AC145,CN$3=$AE145),"",IF(CN$3=$AD145,$F145&amp;"R",CN144))))</f>
        <v>bB</v>
      </c>
      <c r="CO145" s="11" t="str">
        <f aca="false">IF($P145=0,CO144,IF(CO$3=$E145,IF($AA145=1,$F145&amp;$AB145,$G145),IF(OR(CO$3=$D145,CO$3=$AC145,CO$3=$AE145),"",IF(CO$3=$AD145,$F145&amp;"R",CO144))))</f>
        <v>bQ</v>
      </c>
      <c r="CP145" s="11" t="str">
        <f aca="false">IF($P145=0,CP144,IF(CP$3=$E145,IF($AA145=1,$F145&amp;$AB145,$G145),IF(OR(CP$3=$D145,CP$3=$AC145,CP$3=$AE145),"",IF(CP$3=$AD145,$F145&amp;"R",CP144))))</f>
        <v>bK</v>
      </c>
      <c r="CQ145" s="11" t="str">
        <f aca="false">IF($P145=0,CQ144,IF(CQ$3=$E145,IF($AA145=1,$F145&amp;$AB145,$G145),IF(OR(CQ$3=$D145,CQ$3=$AC145,CQ$3=$AE145),"",IF(CQ$3=$AD145,$F145&amp;"R",CQ144))))</f>
        <v>bB</v>
      </c>
      <c r="CR145" s="11" t="str">
        <f aca="false">IF($P145=0,CR144,IF(CR$3=$E145,IF($AA145=1,$F145&amp;$AB145,$G145),IF(OR(CR$3=$D145,CR$3=$AC145,CR$3=$AE145),"",IF(CR$3=$AD145,$F145&amp;"R",CR144))))</f>
        <v>bN</v>
      </c>
      <c r="CS145" s="11" t="str">
        <f aca="false">IF($P145=0,CS144,IF(CS$3=$E145,IF($AA145=1,$F145&amp;$AB145,$G145),IF(OR(CS$3=$D145,CS$3=$AC145,CS$3=$AE145),"",IF(CS$3=$AD145,$F145&amp;"R",CS144))))</f>
        <v>bR</v>
      </c>
      <c r="CT145" s="11"/>
      <c r="CU145" s="11"/>
      <c r="CV145" s="11"/>
    </row>
    <row r="146" customFormat="false" ht="15" hidden="false" customHeight="false" outlineLevel="0" collapsed="false">
      <c r="A146" s="11" t="n">
        <v>141</v>
      </c>
      <c r="B146" s="11" t="str">
        <f aca="false">IF(Chess!$L$150="","",Chess!$L$150&amp;"")</f>
        <v/>
      </c>
      <c r="C146" s="11" t="str">
        <f aca="false">LOWER(SUBSTITUTE(SUBSTITUTE(SUBSTITUTE(SUBSTITUTE(TRIM($B146),"-",""),"=","")," ",""),"x",""))</f>
        <v/>
      </c>
      <c r="D146" s="11" t="n">
        <f aca="false">IF(LEN($C146)&lt;4,0,IFERROR(IF(AND(CODE(MID($C146,1,1))&gt;=97,CODE(MID($C146,1,1))&lt;=104,VALUE(MID($C146,2,1))&gt;=1,VALUE(MID($C146,2,1))&lt;=8),(VALUE(MID($C146,2,1))-1)*8+CODE(MID($C146,1,1))-96,0),0))</f>
        <v>0</v>
      </c>
      <c r="E146" s="11" t="n">
        <f aca="false">IF(LEN($C146)&lt;4,0,IFERROR(IF(AND(CODE(MID($C146,3,1))&gt;=97,CODE(MID($C146,3,1))&lt;=104,VALUE(MID($C146,4,1))&gt;=1,VALUE(MID($C146,4,1))&lt;=8),(VALUE(MID($C146,4,1))-1)*8+CODE(MID($C146,3,1))-96,0),0))</f>
        <v>0</v>
      </c>
      <c r="F146" s="11" t="str">
        <f aca="false">IF(MOD(SUM($P$5:$P145),2)=0,"w","b")</f>
        <v>w</v>
      </c>
      <c r="G146" s="11" t="str">
        <f aca="false">IF($D146=0,"",INDEX($AH145:$CS145,1,$D146)&amp;"")</f>
        <v/>
      </c>
      <c r="H146" s="11" t="str">
        <f aca="false">IF($E146=0,"",INDEX($AH145:$CS145,1,$E146)&amp;"")</f>
        <v/>
      </c>
      <c r="I146" s="11" t="n">
        <f aca="false">IF(OR($D146=0,$E146=0),0,MOD($E146-1,8)-MOD($D146-1,8))</f>
        <v>0</v>
      </c>
      <c r="J146" s="11" t="n">
        <f aca="false">IF(OR($D146=0,$E146=0),0,INT(($E146-1)/8)-INT(($D146-1)/8))</f>
        <v>0</v>
      </c>
      <c r="K146" s="11" t="str">
        <f aca="false">IF($G146="","",RIGHT($G146,1))</f>
        <v/>
      </c>
      <c r="L146" s="11" t="n">
        <f aca="false">IF(OR($D146=0,$E146=0),0,SUMPRODUCT(($AH$3:$CS$3&gt;MIN($D146,$E146))*($AH$3:$CS$3&lt;MAX($D146,$E146))*(MOD($AH$3:$CS$3-MIN($D146,$E146),MAX(1,ABS(SIGN($J146)*8+SIGN($I146))))=0)*($AH145:$CS145&lt;&gt;"")))</f>
        <v>0</v>
      </c>
      <c r="M146" s="11" t="n">
        <f aca="false">IF($K146&lt;&gt;"K",0,IFERROR(--AND($J146=0,ABS($I146)=2,$D146=IF($F146="w",5,61),IF($F146="w",$S145,$V145)=0,IF($I146=2,AND(IF($F146="w",$U145,$X145)=0,INDEX($AH145:$CS145,1,$D146+1)&amp;""="",INDEX($AH145:$CS145,1,$D146+2)&amp;""=""),AND(IF($F146="w",$T145,$W145)=0,INDEX($AH145:$CS145,1,$D146-1)&amp;""="",INDEX($AH145:$CS145,1,$D146-2)&amp;""="",INDEX($AH145:$CS145,1,$D146-3)&amp;""=""))),0))</f>
        <v>0</v>
      </c>
      <c r="N146" s="11" t="n">
        <f aca="false">IF($K146&lt;&gt;"P",0,IFERROR(--OR(AND($I146=0,$J146=IF($F146="w",1,-1),$H146=""),AND($I146=0,$J146=2*IF($F146="w",1,-1),$H146="",INT(($D146-1)/8)=IF($F146="w",1,6),INDEX($AH145:$CS145,1,MAX(1,MIN(64,$D146+8*IF($F146="w",1,-1))))&amp;""=""),AND(ABS($I146)=1,$J146=IF($F146="w",1,-1),$H146&lt;&gt;""),AND(ABS($I146)=1,$J146=IF($F146="w",1,-1),$H146="",$R145&gt;0,$E146=$R145)),0))</f>
        <v>0</v>
      </c>
      <c r="O146" s="11" t="n">
        <f aca="false">IF(OR($D146=0,$E146=0,$G146=""),0,IF($K146="N",--OR(AND(ABS($I146)=1,ABS($J146)=2),AND(ABS($I146)=2,ABS($J146)=1)),IF($K146="B",--AND(ABS($I146)=ABS($J146),$I146&lt;&gt;0,$L146=0),IF($K146="R",--AND(OR($I146=0,$J146=0),OR($I146&lt;&gt;0,$J146&lt;&gt;0),$L146=0),IF($K146="Q",--AND(OR(AND(ABS($I146)=ABS($J146),$I146&lt;&gt;0),AND(OR($I146=0,$J146=0),OR($I146&lt;&gt;0,$J146&lt;&gt;0))),$L146=0),IF($K146="K",--OR(MAX(ABS($I146),ABS($J146))=1,$M146=1),$N146))))))</f>
        <v>0</v>
      </c>
      <c r="P146" s="11" t="n">
        <f aca="false">IF($Q146="OK",1,0)</f>
        <v>0</v>
      </c>
      <c r="Q146" s="11" t="str">
        <f aca="false">IF($B146="","",IF(OR(COUNTIF($AH145:$CS145,"wK")=0,COUNTIF($AH145:$CS145,"bK")=0),"Game is over",IF(OR($D146=0,$E146=0),"Use the format e2e4",IF($G146="","No piece on that square",IF(LEFT($G146,1)&lt;&gt;$F146,"Not your piece ("&amp;IF($F146="w","White","Black")&amp;" to move)",IF($D146=$E146,"Piece must move",IF(AND($H146&lt;&gt;"",LEFT($H146,1)=$F146),"Cannot capture your own piece",IF($O146=0,"Illegal move for that piece (or path blocked)","OK"))))))))</f>
        <v/>
      </c>
      <c r="R146" s="11" t="n">
        <f aca="false">IF($P146=1,IF(AND($K146="P",ABS($J146)=2),($D146+$E146)/2,0),$R145)</f>
        <v>0</v>
      </c>
      <c r="S146" s="12" t="b">
        <f aca="false">--OR($S145=1,AND($P146=1,OR($D146=5,$E146=5)))</f>
        <v>0</v>
      </c>
      <c r="T146" s="12" t="b">
        <f aca="false">--OR($T145=1,AND($P146=1,OR($D146=1,$E146=1)))</f>
        <v>0</v>
      </c>
      <c r="U146" s="12" t="b">
        <f aca="false">--OR($U145=1,AND($P146=1,OR($D146=8,$E146=8)))</f>
        <v>0</v>
      </c>
      <c r="V146" s="12" t="b">
        <f aca="false">--OR($V145=1,AND($P146=1,OR($D146=61,$E146=61)))</f>
        <v>0</v>
      </c>
      <c r="W146" s="12" t="b">
        <f aca="false">--OR($W145=1,AND($P146=1,OR($D146=57,$E146=57)))</f>
        <v>0</v>
      </c>
      <c r="X146" s="12" t="b">
        <f aca="false">--OR($X145=1,AND($P146=1,OR($D146=64,$E146=64)))</f>
        <v>0</v>
      </c>
      <c r="Y146" s="12" t="b">
        <f aca="false">--AND($P146=1,$K146="K",ABS($I146)=2)</f>
        <v>0</v>
      </c>
      <c r="Z146" s="12" t="b">
        <f aca="false">--AND($P146=1,$K146="P",ABS($I146)=1,$H146="")</f>
        <v>0</v>
      </c>
      <c r="AA146" s="12" t="b">
        <f aca="false">--AND($P146=1,$K146="P",INT(($E146-1)/8)=IF($F146="w",7,0))</f>
        <v>0</v>
      </c>
      <c r="AB146" s="11" t="str">
        <f aca="false">IF(LEN($C146)&gt;=5,IF(ISNUMBER(FIND(MID($C146,5,1),"qrbn")),UPPER(MID($C146,5,1)),"Q"),"Q")</f>
        <v>Q</v>
      </c>
      <c r="AC146" s="11" t="n">
        <f aca="false">IF($Y146=1,IF($I146=2,$D146+3,$D146-4),0)</f>
        <v>0</v>
      </c>
      <c r="AD146" s="11" t="n">
        <f aca="false">IF($Y146=1,IF($I146=2,$D146+1,$D146-1),0)</f>
        <v>0</v>
      </c>
      <c r="AE146" s="11" t="n">
        <f aca="false">IF($Z146=1,$E146-8*IF($F146="w",1,-1),0)</f>
        <v>0</v>
      </c>
      <c r="AF146" s="11" t="str">
        <f aca="false">IF($B146="","",IF($P146=1,LOWER(INDEX($CV$2:$CV$13,MATCH($G146,$CU$2:$CU$13,0)))&amp;" "&amp;MID("abcdefgh",MOD($D146-1,8)+1,1)&amp;(INT(($D146-1)/8)+1)&amp;"→"&amp;MID("abcdefgh",MOD($E146-1,8)+1,1)&amp;(INT(($E146-1)/8)+1)&amp;IF(OR($H146&lt;&gt;"",$Z146=1)," ×","")&amp;IF($Y146=1," castles","")&amp;IF($Z146=1," e.p.","")&amp;IF($AA146=1," =" &amp;LOWER(INDEX($CV$2:$CV$13,MATCH($F146&amp;$AB146,$CU$2:$CU$13,0))),""),"X "&amp;$Q146))</f>
        <v/>
      </c>
      <c r="AG146" s="11"/>
      <c r="AH146" s="11" t="str">
        <f aca="false">IF($P146=0,AH145,IF(AH$3=$E146,IF($AA146=1,$F146&amp;$AB146,$G146),IF(OR(AH$3=$D146,AH$3=$AC146,AH$3=$AE146),"",IF(AH$3=$AD146,$F146&amp;"R",AH145))))</f>
        <v>wR</v>
      </c>
      <c r="AI146" s="11" t="str">
        <f aca="false">IF($P146=0,AI145,IF(AI$3=$E146,IF($AA146=1,$F146&amp;$AB146,$G146),IF(OR(AI$3=$D146,AI$3=$AC146,AI$3=$AE146),"",IF(AI$3=$AD146,$F146&amp;"R",AI145))))</f>
        <v>wN</v>
      </c>
      <c r="AJ146" s="11" t="str">
        <f aca="false">IF($P146=0,AJ145,IF(AJ$3=$E146,IF($AA146=1,$F146&amp;$AB146,$G146),IF(OR(AJ$3=$D146,AJ$3=$AC146,AJ$3=$AE146),"",IF(AJ$3=$AD146,$F146&amp;"R",AJ145))))</f>
        <v>wB</v>
      </c>
      <c r="AK146" s="11" t="str">
        <f aca="false">IF($P146=0,AK145,IF(AK$3=$E146,IF($AA146=1,$F146&amp;$AB146,$G146),IF(OR(AK$3=$D146,AK$3=$AC146,AK$3=$AE146),"",IF(AK$3=$AD146,$F146&amp;"R",AK145))))</f>
        <v>wQ</v>
      </c>
      <c r="AL146" s="11" t="str">
        <f aca="false">IF($P146=0,AL145,IF(AL$3=$E146,IF($AA146=1,$F146&amp;$AB146,$G146),IF(OR(AL$3=$D146,AL$3=$AC146,AL$3=$AE146),"",IF(AL$3=$AD146,$F146&amp;"R",AL145))))</f>
        <v>wK</v>
      </c>
      <c r="AM146" s="11" t="str">
        <f aca="false">IF($P146=0,AM145,IF(AM$3=$E146,IF($AA146=1,$F146&amp;$AB146,$G146),IF(OR(AM$3=$D146,AM$3=$AC146,AM$3=$AE146),"",IF(AM$3=$AD146,$F146&amp;"R",AM145))))</f>
        <v>wB</v>
      </c>
      <c r="AN146" s="11" t="str">
        <f aca="false">IF($P146=0,AN145,IF(AN$3=$E146,IF($AA146=1,$F146&amp;$AB146,$G146),IF(OR(AN$3=$D146,AN$3=$AC146,AN$3=$AE146),"",IF(AN$3=$AD146,$F146&amp;"R",AN145))))</f>
        <v>wN</v>
      </c>
      <c r="AO146" s="11" t="str">
        <f aca="false">IF($P146=0,AO145,IF(AO$3=$E146,IF($AA146=1,$F146&amp;$AB146,$G146),IF(OR(AO$3=$D146,AO$3=$AC146,AO$3=$AE146),"",IF(AO$3=$AD146,$F146&amp;"R",AO145))))</f>
        <v>wR</v>
      </c>
      <c r="AP146" s="11" t="str">
        <f aca="false">IF($P146=0,AP145,IF(AP$3=$E146,IF($AA146=1,$F146&amp;$AB146,$G146),IF(OR(AP$3=$D146,AP$3=$AC146,AP$3=$AE146),"",IF(AP$3=$AD146,$F146&amp;"R",AP145))))</f>
        <v>wP</v>
      </c>
      <c r="AQ146" s="11" t="str">
        <f aca="false">IF($P146=0,AQ145,IF(AQ$3=$E146,IF($AA146=1,$F146&amp;$AB146,$G146),IF(OR(AQ$3=$D146,AQ$3=$AC146,AQ$3=$AE146),"",IF(AQ$3=$AD146,$F146&amp;"R",AQ145))))</f>
        <v>wP</v>
      </c>
      <c r="AR146" s="11" t="str">
        <f aca="false">IF($P146=0,AR145,IF(AR$3=$E146,IF($AA146=1,$F146&amp;$AB146,$G146),IF(OR(AR$3=$D146,AR$3=$AC146,AR$3=$AE146),"",IF(AR$3=$AD146,$F146&amp;"R",AR145))))</f>
        <v>wP</v>
      </c>
      <c r="AS146" s="11" t="str">
        <f aca="false">IF($P146=0,AS145,IF(AS$3=$E146,IF($AA146=1,$F146&amp;$AB146,$G146),IF(OR(AS$3=$D146,AS$3=$AC146,AS$3=$AE146),"",IF(AS$3=$AD146,$F146&amp;"R",AS145))))</f>
        <v>wP</v>
      </c>
      <c r="AT146" s="11" t="str">
        <f aca="false">IF($P146=0,AT145,IF(AT$3=$E146,IF($AA146=1,$F146&amp;$AB146,$G146),IF(OR(AT$3=$D146,AT$3=$AC146,AT$3=$AE146),"",IF(AT$3=$AD146,$F146&amp;"R",AT145))))</f>
        <v>wP</v>
      </c>
      <c r="AU146" s="11" t="str">
        <f aca="false">IF($P146=0,AU145,IF(AU$3=$E146,IF($AA146=1,$F146&amp;$AB146,$G146),IF(OR(AU$3=$D146,AU$3=$AC146,AU$3=$AE146),"",IF(AU$3=$AD146,$F146&amp;"R",AU145))))</f>
        <v>wP</v>
      </c>
      <c r="AV146" s="11" t="str">
        <f aca="false">IF($P146=0,AV145,IF(AV$3=$E146,IF($AA146=1,$F146&amp;$AB146,$G146),IF(OR(AV$3=$D146,AV$3=$AC146,AV$3=$AE146),"",IF(AV$3=$AD146,$F146&amp;"R",AV145))))</f>
        <v>wP</v>
      </c>
      <c r="AW146" s="11" t="str">
        <f aca="false">IF($P146=0,AW145,IF(AW$3=$E146,IF($AA146=1,$F146&amp;$AB146,$G146),IF(OR(AW$3=$D146,AW$3=$AC146,AW$3=$AE146),"",IF(AW$3=$AD146,$F146&amp;"R",AW145))))</f>
        <v>wP</v>
      </c>
      <c r="AX146" s="11" t="str">
        <f aca="false">IF($P146=0,AX145,IF(AX$3=$E146,IF($AA146=1,$F146&amp;$AB146,$G146),IF(OR(AX$3=$D146,AX$3=$AC146,AX$3=$AE146),"",IF(AX$3=$AD146,$F146&amp;"R",AX145))))</f>
        <v/>
      </c>
      <c r="AY146" s="11" t="str">
        <f aca="false">IF($P146=0,AY145,IF(AY$3=$E146,IF($AA146=1,$F146&amp;$AB146,$G146),IF(OR(AY$3=$D146,AY$3=$AC146,AY$3=$AE146),"",IF(AY$3=$AD146,$F146&amp;"R",AY145))))</f>
        <v/>
      </c>
      <c r="AZ146" s="11" t="str">
        <f aca="false">IF($P146=0,AZ145,IF(AZ$3=$E146,IF($AA146=1,$F146&amp;$AB146,$G146),IF(OR(AZ$3=$D146,AZ$3=$AC146,AZ$3=$AE146),"",IF(AZ$3=$AD146,$F146&amp;"R",AZ145))))</f>
        <v/>
      </c>
      <c r="BA146" s="11" t="str">
        <f aca="false">IF($P146=0,BA145,IF(BA$3=$E146,IF($AA146=1,$F146&amp;$AB146,$G146),IF(OR(BA$3=$D146,BA$3=$AC146,BA$3=$AE146),"",IF(BA$3=$AD146,$F146&amp;"R",BA145))))</f>
        <v/>
      </c>
      <c r="BB146" s="11" t="str">
        <f aca="false">IF($P146=0,BB145,IF(BB$3=$E146,IF($AA146=1,$F146&amp;$AB146,$G146),IF(OR(BB$3=$D146,BB$3=$AC146,BB$3=$AE146),"",IF(BB$3=$AD146,$F146&amp;"R",BB145))))</f>
        <v/>
      </c>
      <c r="BC146" s="11" t="str">
        <f aca="false">IF($P146=0,BC145,IF(BC$3=$E146,IF($AA146=1,$F146&amp;$AB146,$G146),IF(OR(BC$3=$D146,BC$3=$AC146,BC$3=$AE146),"",IF(BC$3=$AD146,$F146&amp;"R",BC145))))</f>
        <v/>
      </c>
      <c r="BD146" s="11" t="str">
        <f aca="false">IF($P146=0,BD145,IF(BD$3=$E146,IF($AA146=1,$F146&amp;$AB146,$G146),IF(OR(BD$3=$D146,BD$3=$AC146,BD$3=$AE146),"",IF(BD$3=$AD146,$F146&amp;"R",BD145))))</f>
        <v/>
      </c>
      <c r="BE146" s="11" t="str">
        <f aca="false">IF($P146=0,BE145,IF(BE$3=$E146,IF($AA146=1,$F146&amp;$AB146,$G146),IF(OR(BE$3=$D146,BE$3=$AC146,BE$3=$AE146),"",IF(BE$3=$AD146,$F146&amp;"R",BE145))))</f>
        <v/>
      </c>
      <c r="BF146" s="11" t="str">
        <f aca="false">IF($P146=0,BF145,IF(BF$3=$E146,IF($AA146=1,$F146&amp;$AB146,$G146),IF(OR(BF$3=$D146,BF$3=$AC146,BF$3=$AE146),"",IF(BF$3=$AD146,$F146&amp;"R",BF145))))</f>
        <v/>
      </c>
      <c r="BG146" s="11" t="str">
        <f aca="false">IF($P146=0,BG145,IF(BG$3=$E146,IF($AA146=1,$F146&amp;$AB146,$G146),IF(OR(BG$3=$D146,BG$3=$AC146,BG$3=$AE146),"",IF(BG$3=$AD146,$F146&amp;"R",BG145))))</f>
        <v/>
      </c>
      <c r="BH146" s="11" t="str">
        <f aca="false">IF($P146=0,BH145,IF(BH$3=$E146,IF($AA146=1,$F146&amp;$AB146,$G146),IF(OR(BH$3=$D146,BH$3=$AC146,BH$3=$AE146),"",IF(BH$3=$AD146,$F146&amp;"R",BH145))))</f>
        <v/>
      </c>
      <c r="BI146" s="11" t="str">
        <f aca="false">IF($P146=0,BI145,IF(BI$3=$E146,IF($AA146=1,$F146&amp;$AB146,$G146),IF(OR(BI$3=$D146,BI$3=$AC146,BI$3=$AE146),"",IF(BI$3=$AD146,$F146&amp;"R",BI145))))</f>
        <v/>
      </c>
      <c r="BJ146" s="11" t="str">
        <f aca="false">IF($P146=0,BJ145,IF(BJ$3=$E146,IF($AA146=1,$F146&amp;$AB146,$G146),IF(OR(BJ$3=$D146,BJ$3=$AC146,BJ$3=$AE146),"",IF(BJ$3=$AD146,$F146&amp;"R",BJ145))))</f>
        <v/>
      </c>
      <c r="BK146" s="11" t="str">
        <f aca="false">IF($P146=0,BK145,IF(BK$3=$E146,IF($AA146=1,$F146&amp;$AB146,$G146),IF(OR(BK$3=$D146,BK$3=$AC146,BK$3=$AE146),"",IF(BK$3=$AD146,$F146&amp;"R",BK145))))</f>
        <v/>
      </c>
      <c r="BL146" s="11" t="str">
        <f aca="false">IF($P146=0,BL145,IF(BL$3=$E146,IF($AA146=1,$F146&amp;$AB146,$G146),IF(OR(BL$3=$D146,BL$3=$AC146,BL$3=$AE146),"",IF(BL$3=$AD146,$F146&amp;"R",BL145))))</f>
        <v/>
      </c>
      <c r="BM146" s="11" t="str">
        <f aca="false">IF($P146=0,BM145,IF(BM$3=$E146,IF($AA146=1,$F146&amp;$AB146,$G146),IF(OR(BM$3=$D146,BM$3=$AC146,BM$3=$AE146),"",IF(BM$3=$AD146,$F146&amp;"R",BM145))))</f>
        <v/>
      </c>
      <c r="BN146" s="11" t="str">
        <f aca="false">IF($P146=0,BN145,IF(BN$3=$E146,IF($AA146=1,$F146&amp;$AB146,$G146),IF(OR(BN$3=$D146,BN$3=$AC146,BN$3=$AE146),"",IF(BN$3=$AD146,$F146&amp;"R",BN145))))</f>
        <v/>
      </c>
      <c r="BO146" s="11" t="str">
        <f aca="false">IF($P146=0,BO145,IF(BO$3=$E146,IF($AA146=1,$F146&amp;$AB146,$G146),IF(OR(BO$3=$D146,BO$3=$AC146,BO$3=$AE146),"",IF(BO$3=$AD146,$F146&amp;"R",BO145))))</f>
        <v/>
      </c>
      <c r="BP146" s="11" t="str">
        <f aca="false">IF($P146=0,BP145,IF(BP$3=$E146,IF($AA146=1,$F146&amp;$AB146,$G146),IF(OR(BP$3=$D146,BP$3=$AC146,BP$3=$AE146),"",IF(BP$3=$AD146,$F146&amp;"R",BP145))))</f>
        <v/>
      </c>
      <c r="BQ146" s="11" t="str">
        <f aca="false">IF($P146=0,BQ145,IF(BQ$3=$E146,IF($AA146=1,$F146&amp;$AB146,$G146),IF(OR(BQ$3=$D146,BQ$3=$AC146,BQ$3=$AE146),"",IF(BQ$3=$AD146,$F146&amp;"R",BQ145))))</f>
        <v/>
      </c>
      <c r="BR146" s="11" t="str">
        <f aca="false">IF($P146=0,BR145,IF(BR$3=$E146,IF($AA146=1,$F146&amp;$AB146,$G146),IF(OR(BR$3=$D146,BR$3=$AC146,BR$3=$AE146),"",IF(BR$3=$AD146,$F146&amp;"R",BR145))))</f>
        <v/>
      </c>
      <c r="BS146" s="11" t="str">
        <f aca="false">IF($P146=0,BS145,IF(BS$3=$E146,IF($AA146=1,$F146&amp;$AB146,$G146),IF(OR(BS$3=$D146,BS$3=$AC146,BS$3=$AE146),"",IF(BS$3=$AD146,$F146&amp;"R",BS145))))</f>
        <v/>
      </c>
      <c r="BT146" s="11" t="str">
        <f aca="false">IF($P146=0,BT145,IF(BT$3=$E146,IF($AA146=1,$F146&amp;$AB146,$G146),IF(OR(BT$3=$D146,BT$3=$AC146,BT$3=$AE146),"",IF(BT$3=$AD146,$F146&amp;"R",BT145))))</f>
        <v/>
      </c>
      <c r="BU146" s="11" t="str">
        <f aca="false">IF($P146=0,BU145,IF(BU$3=$E146,IF($AA146=1,$F146&amp;$AB146,$G146),IF(OR(BU$3=$D146,BU$3=$AC146,BU$3=$AE146),"",IF(BU$3=$AD146,$F146&amp;"R",BU145))))</f>
        <v/>
      </c>
      <c r="BV146" s="11" t="str">
        <f aca="false">IF($P146=0,BV145,IF(BV$3=$E146,IF($AA146=1,$F146&amp;$AB146,$G146),IF(OR(BV$3=$D146,BV$3=$AC146,BV$3=$AE146),"",IF(BV$3=$AD146,$F146&amp;"R",BV145))))</f>
        <v/>
      </c>
      <c r="BW146" s="11" t="str">
        <f aca="false">IF($P146=0,BW145,IF(BW$3=$E146,IF($AA146=1,$F146&amp;$AB146,$G146),IF(OR(BW$3=$D146,BW$3=$AC146,BW$3=$AE146),"",IF(BW$3=$AD146,$F146&amp;"R",BW145))))</f>
        <v/>
      </c>
      <c r="BX146" s="11" t="str">
        <f aca="false">IF($P146=0,BX145,IF(BX$3=$E146,IF($AA146=1,$F146&amp;$AB146,$G146),IF(OR(BX$3=$D146,BX$3=$AC146,BX$3=$AE146),"",IF(BX$3=$AD146,$F146&amp;"R",BX145))))</f>
        <v/>
      </c>
      <c r="BY146" s="11" t="str">
        <f aca="false">IF($P146=0,BY145,IF(BY$3=$E146,IF($AA146=1,$F146&amp;$AB146,$G146),IF(OR(BY$3=$D146,BY$3=$AC146,BY$3=$AE146),"",IF(BY$3=$AD146,$F146&amp;"R",BY145))))</f>
        <v/>
      </c>
      <c r="BZ146" s="11" t="str">
        <f aca="false">IF($P146=0,BZ145,IF(BZ$3=$E146,IF($AA146=1,$F146&amp;$AB146,$G146),IF(OR(BZ$3=$D146,BZ$3=$AC146,BZ$3=$AE146),"",IF(BZ$3=$AD146,$F146&amp;"R",BZ145))))</f>
        <v/>
      </c>
      <c r="CA146" s="11" t="str">
        <f aca="false">IF($P146=0,CA145,IF(CA$3=$E146,IF($AA146=1,$F146&amp;$AB146,$G146),IF(OR(CA$3=$D146,CA$3=$AC146,CA$3=$AE146),"",IF(CA$3=$AD146,$F146&amp;"R",CA145))))</f>
        <v/>
      </c>
      <c r="CB146" s="11" t="str">
        <f aca="false">IF($P146=0,CB145,IF(CB$3=$E146,IF($AA146=1,$F146&amp;$AB146,$G146),IF(OR(CB$3=$D146,CB$3=$AC146,CB$3=$AE146),"",IF(CB$3=$AD146,$F146&amp;"R",CB145))))</f>
        <v/>
      </c>
      <c r="CC146" s="11" t="str">
        <f aca="false">IF($P146=0,CC145,IF(CC$3=$E146,IF($AA146=1,$F146&amp;$AB146,$G146),IF(OR(CC$3=$D146,CC$3=$AC146,CC$3=$AE146),"",IF(CC$3=$AD146,$F146&amp;"R",CC145))))</f>
        <v/>
      </c>
      <c r="CD146" s="11" t="str">
        <f aca="false">IF($P146=0,CD145,IF(CD$3=$E146,IF($AA146=1,$F146&amp;$AB146,$G146),IF(OR(CD$3=$D146,CD$3=$AC146,CD$3=$AE146),"",IF(CD$3=$AD146,$F146&amp;"R",CD145))))</f>
        <v>bP</v>
      </c>
      <c r="CE146" s="11" t="str">
        <f aca="false">IF($P146=0,CE145,IF(CE$3=$E146,IF($AA146=1,$F146&amp;$AB146,$G146),IF(OR(CE$3=$D146,CE$3=$AC146,CE$3=$AE146),"",IF(CE$3=$AD146,$F146&amp;"R",CE145))))</f>
        <v>bP</v>
      </c>
      <c r="CF146" s="11" t="str">
        <f aca="false">IF($P146=0,CF145,IF(CF$3=$E146,IF($AA146=1,$F146&amp;$AB146,$G146),IF(OR(CF$3=$D146,CF$3=$AC146,CF$3=$AE146),"",IF(CF$3=$AD146,$F146&amp;"R",CF145))))</f>
        <v>bP</v>
      </c>
      <c r="CG146" s="11" t="str">
        <f aca="false">IF($P146=0,CG145,IF(CG$3=$E146,IF($AA146=1,$F146&amp;$AB146,$G146),IF(OR(CG$3=$D146,CG$3=$AC146,CG$3=$AE146),"",IF(CG$3=$AD146,$F146&amp;"R",CG145))))</f>
        <v>bP</v>
      </c>
      <c r="CH146" s="11" t="str">
        <f aca="false">IF($P146=0,CH145,IF(CH$3=$E146,IF($AA146=1,$F146&amp;$AB146,$G146),IF(OR(CH$3=$D146,CH$3=$AC146,CH$3=$AE146),"",IF(CH$3=$AD146,$F146&amp;"R",CH145))))</f>
        <v>bP</v>
      </c>
      <c r="CI146" s="11" t="str">
        <f aca="false">IF($P146=0,CI145,IF(CI$3=$E146,IF($AA146=1,$F146&amp;$AB146,$G146),IF(OR(CI$3=$D146,CI$3=$AC146,CI$3=$AE146),"",IF(CI$3=$AD146,$F146&amp;"R",CI145))))</f>
        <v>bP</v>
      </c>
      <c r="CJ146" s="11" t="str">
        <f aca="false">IF($P146=0,CJ145,IF(CJ$3=$E146,IF($AA146=1,$F146&amp;$AB146,$G146),IF(OR(CJ$3=$D146,CJ$3=$AC146,CJ$3=$AE146),"",IF(CJ$3=$AD146,$F146&amp;"R",CJ145))))</f>
        <v>bP</v>
      </c>
      <c r="CK146" s="11" t="str">
        <f aca="false">IF($P146=0,CK145,IF(CK$3=$E146,IF($AA146=1,$F146&amp;$AB146,$G146),IF(OR(CK$3=$D146,CK$3=$AC146,CK$3=$AE146),"",IF(CK$3=$AD146,$F146&amp;"R",CK145))))</f>
        <v>bP</v>
      </c>
      <c r="CL146" s="11" t="str">
        <f aca="false">IF($P146=0,CL145,IF(CL$3=$E146,IF($AA146=1,$F146&amp;$AB146,$G146),IF(OR(CL$3=$D146,CL$3=$AC146,CL$3=$AE146),"",IF(CL$3=$AD146,$F146&amp;"R",CL145))))</f>
        <v>bR</v>
      </c>
      <c r="CM146" s="11" t="str">
        <f aca="false">IF($P146=0,CM145,IF(CM$3=$E146,IF($AA146=1,$F146&amp;$AB146,$G146),IF(OR(CM$3=$D146,CM$3=$AC146,CM$3=$AE146),"",IF(CM$3=$AD146,$F146&amp;"R",CM145))))</f>
        <v>bN</v>
      </c>
      <c r="CN146" s="11" t="str">
        <f aca="false">IF($P146=0,CN145,IF(CN$3=$E146,IF($AA146=1,$F146&amp;$AB146,$G146),IF(OR(CN$3=$D146,CN$3=$AC146,CN$3=$AE146),"",IF(CN$3=$AD146,$F146&amp;"R",CN145))))</f>
        <v>bB</v>
      </c>
      <c r="CO146" s="11" t="str">
        <f aca="false">IF($P146=0,CO145,IF(CO$3=$E146,IF($AA146=1,$F146&amp;$AB146,$G146),IF(OR(CO$3=$D146,CO$3=$AC146,CO$3=$AE146),"",IF(CO$3=$AD146,$F146&amp;"R",CO145))))</f>
        <v>bQ</v>
      </c>
      <c r="CP146" s="11" t="str">
        <f aca="false">IF($P146=0,CP145,IF(CP$3=$E146,IF($AA146=1,$F146&amp;$AB146,$G146),IF(OR(CP$3=$D146,CP$3=$AC146,CP$3=$AE146),"",IF(CP$3=$AD146,$F146&amp;"R",CP145))))</f>
        <v>bK</v>
      </c>
      <c r="CQ146" s="11" t="str">
        <f aca="false">IF($P146=0,CQ145,IF(CQ$3=$E146,IF($AA146=1,$F146&amp;$AB146,$G146),IF(OR(CQ$3=$D146,CQ$3=$AC146,CQ$3=$AE146),"",IF(CQ$3=$AD146,$F146&amp;"R",CQ145))))</f>
        <v>bB</v>
      </c>
      <c r="CR146" s="11" t="str">
        <f aca="false">IF($P146=0,CR145,IF(CR$3=$E146,IF($AA146=1,$F146&amp;$AB146,$G146),IF(OR(CR$3=$D146,CR$3=$AC146,CR$3=$AE146),"",IF(CR$3=$AD146,$F146&amp;"R",CR145))))</f>
        <v>bN</v>
      </c>
      <c r="CS146" s="11" t="str">
        <f aca="false">IF($P146=0,CS145,IF(CS$3=$E146,IF($AA146=1,$F146&amp;$AB146,$G146),IF(OR(CS$3=$D146,CS$3=$AC146,CS$3=$AE146),"",IF(CS$3=$AD146,$F146&amp;"R",CS145))))</f>
        <v>bR</v>
      </c>
      <c r="CT146" s="11"/>
      <c r="CU146" s="11"/>
      <c r="CV146" s="11"/>
    </row>
    <row r="147" customFormat="false" ht="15" hidden="false" customHeight="false" outlineLevel="0" collapsed="false">
      <c r="A147" s="11" t="n">
        <v>142</v>
      </c>
      <c r="B147" s="11" t="str">
        <f aca="false">IF(Chess!$L$151="","",Chess!$L$151&amp;"")</f>
        <v/>
      </c>
      <c r="C147" s="11" t="str">
        <f aca="false">LOWER(SUBSTITUTE(SUBSTITUTE(SUBSTITUTE(SUBSTITUTE(TRIM($B147),"-",""),"=","")," ",""),"x",""))</f>
        <v/>
      </c>
      <c r="D147" s="11" t="n">
        <f aca="false">IF(LEN($C147)&lt;4,0,IFERROR(IF(AND(CODE(MID($C147,1,1))&gt;=97,CODE(MID($C147,1,1))&lt;=104,VALUE(MID($C147,2,1))&gt;=1,VALUE(MID($C147,2,1))&lt;=8),(VALUE(MID($C147,2,1))-1)*8+CODE(MID($C147,1,1))-96,0),0))</f>
        <v>0</v>
      </c>
      <c r="E147" s="11" t="n">
        <f aca="false">IF(LEN($C147)&lt;4,0,IFERROR(IF(AND(CODE(MID($C147,3,1))&gt;=97,CODE(MID($C147,3,1))&lt;=104,VALUE(MID($C147,4,1))&gt;=1,VALUE(MID($C147,4,1))&lt;=8),(VALUE(MID($C147,4,1))-1)*8+CODE(MID($C147,3,1))-96,0),0))</f>
        <v>0</v>
      </c>
      <c r="F147" s="11" t="str">
        <f aca="false">IF(MOD(SUM($P$5:$P146),2)=0,"w","b")</f>
        <v>w</v>
      </c>
      <c r="G147" s="11" t="str">
        <f aca="false">IF($D147=0,"",INDEX($AH146:$CS146,1,$D147)&amp;"")</f>
        <v/>
      </c>
      <c r="H147" s="11" t="str">
        <f aca="false">IF($E147=0,"",INDEX($AH146:$CS146,1,$E147)&amp;"")</f>
        <v/>
      </c>
      <c r="I147" s="11" t="n">
        <f aca="false">IF(OR($D147=0,$E147=0),0,MOD($E147-1,8)-MOD($D147-1,8))</f>
        <v>0</v>
      </c>
      <c r="J147" s="11" t="n">
        <f aca="false">IF(OR($D147=0,$E147=0),0,INT(($E147-1)/8)-INT(($D147-1)/8))</f>
        <v>0</v>
      </c>
      <c r="K147" s="11" t="str">
        <f aca="false">IF($G147="","",RIGHT($G147,1))</f>
        <v/>
      </c>
      <c r="L147" s="11" t="n">
        <f aca="false">IF(OR($D147=0,$E147=0),0,SUMPRODUCT(($AH$3:$CS$3&gt;MIN($D147,$E147))*($AH$3:$CS$3&lt;MAX($D147,$E147))*(MOD($AH$3:$CS$3-MIN($D147,$E147),MAX(1,ABS(SIGN($J147)*8+SIGN($I147))))=0)*($AH146:$CS146&lt;&gt;"")))</f>
        <v>0</v>
      </c>
      <c r="M147" s="11" t="n">
        <f aca="false">IF($K147&lt;&gt;"K",0,IFERROR(--AND($J147=0,ABS($I147)=2,$D147=IF($F147="w",5,61),IF($F147="w",$S146,$V146)=0,IF($I147=2,AND(IF($F147="w",$U146,$X146)=0,INDEX($AH146:$CS146,1,$D147+1)&amp;""="",INDEX($AH146:$CS146,1,$D147+2)&amp;""=""),AND(IF($F147="w",$T146,$W146)=0,INDEX($AH146:$CS146,1,$D147-1)&amp;""="",INDEX($AH146:$CS146,1,$D147-2)&amp;""="",INDEX($AH146:$CS146,1,$D147-3)&amp;""=""))),0))</f>
        <v>0</v>
      </c>
      <c r="N147" s="11" t="n">
        <f aca="false">IF($K147&lt;&gt;"P",0,IFERROR(--OR(AND($I147=0,$J147=IF($F147="w",1,-1),$H147=""),AND($I147=0,$J147=2*IF($F147="w",1,-1),$H147="",INT(($D147-1)/8)=IF($F147="w",1,6),INDEX($AH146:$CS146,1,MAX(1,MIN(64,$D147+8*IF($F147="w",1,-1))))&amp;""=""),AND(ABS($I147)=1,$J147=IF($F147="w",1,-1),$H147&lt;&gt;""),AND(ABS($I147)=1,$J147=IF($F147="w",1,-1),$H147="",$R146&gt;0,$E147=$R146)),0))</f>
        <v>0</v>
      </c>
      <c r="O147" s="11" t="n">
        <f aca="false">IF(OR($D147=0,$E147=0,$G147=""),0,IF($K147="N",--OR(AND(ABS($I147)=1,ABS($J147)=2),AND(ABS($I147)=2,ABS($J147)=1)),IF($K147="B",--AND(ABS($I147)=ABS($J147),$I147&lt;&gt;0,$L147=0),IF($K147="R",--AND(OR($I147=0,$J147=0),OR($I147&lt;&gt;0,$J147&lt;&gt;0),$L147=0),IF($K147="Q",--AND(OR(AND(ABS($I147)=ABS($J147),$I147&lt;&gt;0),AND(OR($I147=0,$J147=0),OR($I147&lt;&gt;0,$J147&lt;&gt;0))),$L147=0),IF($K147="K",--OR(MAX(ABS($I147),ABS($J147))=1,$M147=1),$N147))))))</f>
        <v>0</v>
      </c>
      <c r="P147" s="11" t="n">
        <f aca="false">IF($Q147="OK",1,0)</f>
        <v>0</v>
      </c>
      <c r="Q147" s="11" t="str">
        <f aca="false">IF($B147="","",IF(OR(COUNTIF($AH146:$CS146,"wK")=0,COUNTIF($AH146:$CS146,"bK")=0),"Game is over",IF(OR($D147=0,$E147=0),"Use the format e2e4",IF($G147="","No piece on that square",IF(LEFT($G147,1)&lt;&gt;$F147,"Not your piece ("&amp;IF($F147="w","White","Black")&amp;" to move)",IF($D147=$E147,"Piece must move",IF(AND($H147&lt;&gt;"",LEFT($H147,1)=$F147),"Cannot capture your own piece",IF($O147=0,"Illegal move for that piece (or path blocked)","OK"))))))))</f>
        <v/>
      </c>
      <c r="R147" s="11" t="n">
        <f aca="false">IF($P147=1,IF(AND($K147="P",ABS($J147)=2),($D147+$E147)/2,0),$R146)</f>
        <v>0</v>
      </c>
      <c r="S147" s="12" t="b">
        <f aca="false">--OR($S146=1,AND($P147=1,OR($D147=5,$E147=5)))</f>
        <v>0</v>
      </c>
      <c r="T147" s="12" t="b">
        <f aca="false">--OR($T146=1,AND($P147=1,OR($D147=1,$E147=1)))</f>
        <v>0</v>
      </c>
      <c r="U147" s="12" t="b">
        <f aca="false">--OR($U146=1,AND($P147=1,OR($D147=8,$E147=8)))</f>
        <v>0</v>
      </c>
      <c r="V147" s="12" t="b">
        <f aca="false">--OR($V146=1,AND($P147=1,OR($D147=61,$E147=61)))</f>
        <v>0</v>
      </c>
      <c r="W147" s="12" t="b">
        <f aca="false">--OR($W146=1,AND($P147=1,OR($D147=57,$E147=57)))</f>
        <v>0</v>
      </c>
      <c r="X147" s="12" t="b">
        <f aca="false">--OR($X146=1,AND($P147=1,OR($D147=64,$E147=64)))</f>
        <v>0</v>
      </c>
      <c r="Y147" s="12" t="b">
        <f aca="false">--AND($P147=1,$K147="K",ABS($I147)=2)</f>
        <v>0</v>
      </c>
      <c r="Z147" s="12" t="b">
        <f aca="false">--AND($P147=1,$K147="P",ABS($I147)=1,$H147="")</f>
        <v>0</v>
      </c>
      <c r="AA147" s="12" t="b">
        <f aca="false">--AND($P147=1,$K147="P",INT(($E147-1)/8)=IF($F147="w",7,0))</f>
        <v>0</v>
      </c>
      <c r="AB147" s="11" t="str">
        <f aca="false">IF(LEN($C147)&gt;=5,IF(ISNUMBER(FIND(MID($C147,5,1),"qrbn")),UPPER(MID($C147,5,1)),"Q"),"Q")</f>
        <v>Q</v>
      </c>
      <c r="AC147" s="11" t="n">
        <f aca="false">IF($Y147=1,IF($I147=2,$D147+3,$D147-4),0)</f>
        <v>0</v>
      </c>
      <c r="AD147" s="11" t="n">
        <f aca="false">IF($Y147=1,IF($I147=2,$D147+1,$D147-1),0)</f>
        <v>0</v>
      </c>
      <c r="AE147" s="11" t="n">
        <f aca="false">IF($Z147=1,$E147-8*IF($F147="w",1,-1),0)</f>
        <v>0</v>
      </c>
      <c r="AF147" s="11" t="str">
        <f aca="false">IF($B147="","",IF($P147=1,LOWER(INDEX($CV$2:$CV$13,MATCH($G147,$CU$2:$CU$13,0)))&amp;" "&amp;MID("abcdefgh",MOD($D147-1,8)+1,1)&amp;(INT(($D147-1)/8)+1)&amp;"→"&amp;MID("abcdefgh",MOD($E147-1,8)+1,1)&amp;(INT(($E147-1)/8)+1)&amp;IF(OR($H147&lt;&gt;"",$Z147=1)," ×","")&amp;IF($Y147=1," castles","")&amp;IF($Z147=1," e.p.","")&amp;IF($AA147=1," =" &amp;LOWER(INDEX($CV$2:$CV$13,MATCH($F147&amp;$AB147,$CU$2:$CU$13,0))),""),"X "&amp;$Q147))</f>
        <v/>
      </c>
      <c r="AG147" s="11"/>
      <c r="AH147" s="11" t="str">
        <f aca="false">IF($P147=0,AH146,IF(AH$3=$E147,IF($AA147=1,$F147&amp;$AB147,$G147),IF(OR(AH$3=$D147,AH$3=$AC147,AH$3=$AE147),"",IF(AH$3=$AD147,$F147&amp;"R",AH146))))</f>
        <v>wR</v>
      </c>
      <c r="AI147" s="11" t="str">
        <f aca="false">IF($P147=0,AI146,IF(AI$3=$E147,IF($AA147=1,$F147&amp;$AB147,$G147),IF(OR(AI$3=$D147,AI$3=$AC147,AI$3=$AE147),"",IF(AI$3=$AD147,$F147&amp;"R",AI146))))</f>
        <v>wN</v>
      </c>
      <c r="AJ147" s="11" t="str">
        <f aca="false">IF($P147=0,AJ146,IF(AJ$3=$E147,IF($AA147=1,$F147&amp;$AB147,$G147),IF(OR(AJ$3=$D147,AJ$3=$AC147,AJ$3=$AE147),"",IF(AJ$3=$AD147,$F147&amp;"R",AJ146))))</f>
        <v>wB</v>
      </c>
      <c r="AK147" s="11" t="str">
        <f aca="false">IF($P147=0,AK146,IF(AK$3=$E147,IF($AA147=1,$F147&amp;$AB147,$G147),IF(OR(AK$3=$D147,AK$3=$AC147,AK$3=$AE147),"",IF(AK$3=$AD147,$F147&amp;"R",AK146))))</f>
        <v>wQ</v>
      </c>
      <c r="AL147" s="11" t="str">
        <f aca="false">IF($P147=0,AL146,IF(AL$3=$E147,IF($AA147=1,$F147&amp;$AB147,$G147),IF(OR(AL$3=$D147,AL$3=$AC147,AL$3=$AE147),"",IF(AL$3=$AD147,$F147&amp;"R",AL146))))</f>
        <v>wK</v>
      </c>
      <c r="AM147" s="11" t="str">
        <f aca="false">IF($P147=0,AM146,IF(AM$3=$E147,IF($AA147=1,$F147&amp;$AB147,$G147),IF(OR(AM$3=$D147,AM$3=$AC147,AM$3=$AE147),"",IF(AM$3=$AD147,$F147&amp;"R",AM146))))</f>
        <v>wB</v>
      </c>
      <c r="AN147" s="11" t="str">
        <f aca="false">IF($P147=0,AN146,IF(AN$3=$E147,IF($AA147=1,$F147&amp;$AB147,$G147),IF(OR(AN$3=$D147,AN$3=$AC147,AN$3=$AE147),"",IF(AN$3=$AD147,$F147&amp;"R",AN146))))</f>
        <v>wN</v>
      </c>
      <c r="AO147" s="11" t="str">
        <f aca="false">IF($P147=0,AO146,IF(AO$3=$E147,IF($AA147=1,$F147&amp;$AB147,$G147),IF(OR(AO$3=$D147,AO$3=$AC147,AO$3=$AE147),"",IF(AO$3=$AD147,$F147&amp;"R",AO146))))</f>
        <v>wR</v>
      </c>
      <c r="AP147" s="11" t="str">
        <f aca="false">IF($P147=0,AP146,IF(AP$3=$E147,IF($AA147=1,$F147&amp;$AB147,$G147),IF(OR(AP$3=$D147,AP$3=$AC147,AP$3=$AE147),"",IF(AP$3=$AD147,$F147&amp;"R",AP146))))</f>
        <v>wP</v>
      </c>
      <c r="AQ147" s="11" t="str">
        <f aca="false">IF($P147=0,AQ146,IF(AQ$3=$E147,IF($AA147=1,$F147&amp;$AB147,$G147),IF(OR(AQ$3=$D147,AQ$3=$AC147,AQ$3=$AE147),"",IF(AQ$3=$AD147,$F147&amp;"R",AQ146))))</f>
        <v>wP</v>
      </c>
      <c r="AR147" s="11" t="str">
        <f aca="false">IF($P147=0,AR146,IF(AR$3=$E147,IF($AA147=1,$F147&amp;$AB147,$G147),IF(OR(AR$3=$D147,AR$3=$AC147,AR$3=$AE147),"",IF(AR$3=$AD147,$F147&amp;"R",AR146))))</f>
        <v>wP</v>
      </c>
      <c r="AS147" s="11" t="str">
        <f aca="false">IF($P147=0,AS146,IF(AS$3=$E147,IF($AA147=1,$F147&amp;$AB147,$G147),IF(OR(AS$3=$D147,AS$3=$AC147,AS$3=$AE147),"",IF(AS$3=$AD147,$F147&amp;"R",AS146))))</f>
        <v>wP</v>
      </c>
      <c r="AT147" s="11" t="str">
        <f aca="false">IF($P147=0,AT146,IF(AT$3=$E147,IF($AA147=1,$F147&amp;$AB147,$G147),IF(OR(AT$3=$D147,AT$3=$AC147,AT$3=$AE147),"",IF(AT$3=$AD147,$F147&amp;"R",AT146))))</f>
        <v>wP</v>
      </c>
      <c r="AU147" s="11" t="str">
        <f aca="false">IF($P147=0,AU146,IF(AU$3=$E147,IF($AA147=1,$F147&amp;$AB147,$G147),IF(OR(AU$3=$D147,AU$3=$AC147,AU$3=$AE147),"",IF(AU$3=$AD147,$F147&amp;"R",AU146))))</f>
        <v>wP</v>
      </c>
      <c r="AV147" s="11" t="str">
        <f aca="false">IF($P147=0,AV146,IF(AV$3=$E147,IF($AA147=1,$F147&amp;$AB147,$G147),IF(OR(AV$3=$D147,AV$3=$AC147,AV$3=$AE147),"",IF(AV$3=$AD147,$F147&amp;"R",AV146))))</f>
        <v>wP</v>
      </c>
      <c r="AW147" s="11" t="str">
        <f aca="false">IF($P147=0,AW146,IF(AW$3=$E147,IF($AA147=1,$F147&amp;$AB147,$G147),IF(OR(AW$3=$D147,AW$3=$AC147,AW$3=$AE147),"",IF(AW$3=$AD147,$F147&amp;"R",AW146))))</f>
        <v>wP</v>
      </c>
      <c r="AX147" s="11" t="str">
        <f aca="false">IF($P147=0,AX146,IF(AX$3=$E147,IF($AA147=1,$F147&amp;$AB147,$G147),IF(OR(AX$3=$D147,AX$3=$AC147,AX$3=$AE147),"",IF(AX$3=$AD147,$F147&amp;"R",AX146))))</f>
        <v/>
      </c>
      <c r="AY147" s="11" t="str">
        <f aca="false">IF($P147=0,AY146,IF(AY$3=$E147,IF($AA147=1,$F147&amp;$AB147,$G147),IF(OR(AY$3=$D147,AY$3=$AC147,AY$3=$AE147),"",IF(AY$3=$AD147,$F147&amp;"R",AY146))))</f>
        <v/>
      </c>
      <c r="AZ147" s="11" t="str">
        <f aca="false">IF($P147=0,AZ146,IF(AZ$3=$E147,IF($AA147=1,$F147&amp;$AB147,$G147),IF(OR(AZ$3=$D147,AZ$3=$AC147,AZ$3=$AE147),"",IF(AZ$3=$AD147,$F147&amp;"R",AZ146))))</f>
        <v/>
      </c>
      <c r="BA147" s="11" t="str">
        <f aca="false">IF($P147=0,BA146,IF(BA$3=$E147,IF($AA147=1,$F147&amp;$AB147,$G147),IF(OR(BA$3=$D147,BA$3=$AC147,BA$3=$AE147),"",IF(BA$3=$AD147,$F147&amp;"R",BA146))))</f>
        <v/>
      </c>
      <c r="BB147" s="11" t="str">
        <f aca="false">IF($P147=0,BB146,IF(BB$3=$E147,IF($AA147=1,$F147&amp;$AB147,$G147),IF(OR(BB$3=$D147,BB$3=$AC147,BB$3=$AE147),"",IF(BB$3=$AD147,$F147&amp;"R",BB146))))</f>
        <v/>
      </c>
      <c r="BC147" s="11" t="str">
        <f aca="false">IF($P147=0,BC146,IF(BC$3=$E147,IF($AA147=1,$F147&amp;$AB147,$G147),IF(OR(BC$3=$D147,BC$3=$AC147,BC$3=$AE147),"",IF(BC$3=$AD147,$F147&amp;"R",BC146))))</f>
        <v/>
      </c>
      <c r="BD147" s="11" t="str">
        <f aca="false">IF($P147=0,BD146,IF(BD$3=$E147,IF($AA147=1,$F147&amp;$AB147,$G147),IF(OR(BD$3=$D147,BD$3=$AC147,BD$3=$AE147),"",IF(BD$3=$AD147,$F147&amp;"R",BD146))))</f>
        <v/>
      </c>
      <c r="BE147" s="11" t="str">
        <f aca="false">IF($P147=0,BE146,IF(BE$3=$E147,IF($AA147=1,$F147&amp;$AB147,$G147),IF(OR(BE$3=$D147,BE$3=$AC147,BE$3=$AE147),"",IF(BE$3=$AD147,$F147&amp;"R",BE146))))</f>
        <v/>
      </c>
      <c r="BF147" s="11" t="str">
        <f aca="false">IF($P147=0,BF146,IF(BF$3=$E147,IF($AA147=1,$F147&amp;$AB147,$G147),IF(OR(BF$3=$D147,BF$3=$AC147,BF$3=$AE147),"",IF(BF$3=$AD147,$F147&amp;"R",BF146))))</f>
        <v/>
      </c>
      <c r="BG147" s="11" t="str">
        <f aca="false">IF($P147=0,BG146,IF(BG$3=$E147,IF($AA147=1,$F147&amp;$AB147,$G147),IF(OR(BG$3=$D147,BG$3=$AC147,BG$3=$AE147),"",IF(BG$3=$AD147,$F147&amp;"R",BG146))))</f>
        <v/>
      </c>
      <c r="BH147" s="11" t="str">
        <f aca="false">IF($P147=0,BH146,IF(BH$3=$E147,IF($AA147=1,$F147&amp;$AB147,$G147),IF(OR(BH$3=$D147,BH$3=$AC147,BH$3=$AE147),"",IF(BH$3=$AD147,$F147&amp;"R",BH146))))</f>
        <v/>
      </c>
      <c r="BI147" s="11" t="str">
        <f aca="false">IF($P147=0,BI146,IF(BI$3=$E147,IF($AA147=1,$F147&amp;$AB147,$G147),IF(OR(BI$3=$D147,BI$3=$AC147,BI$3=$AE147),"",IF(BI$3=$AD147,$F147&amp;"R",BI146))))</f>
        <v/>
      </c>
      <c r="BJ147" s="11" t="str">
        <f aca="false">IF($P147=0,BJ146,IF(BJ$3=$E147,IF($AA147=1,$F147&amp;$AB147,$G147),IF(OR(BJ$3=$D147,BJ$3=$AC147,BJ$3=$AE147),"",IF(BJ$3=$AD147,$F147&amp;"R",BJ146))))</f>
        <v/>
      </c>
      <c r="BK147" s="11" t="str">
        <f aca="false">IF($P147=0,BK146,IF(BK$3=$E147,IF($AA147=1,$F147&amp;$AB147,$G147),IF(OR(BK$3=$D147,BK$3=$AC147,BK$3=$AE147),"",IF(BK$3=$AD147,$F147&amp;"R",BK146))))</f>
        <v/>
      </c>
      <c r="BL147" s="11" t="str">
        <f aca="false">IF($P147=0,BL146,IF(BL$3=$E147,IF($AA147=1,$F147&amp;$AB147,$G147),IF(OR(BL$3=$D147,BL$3=$AC147,BL$3=$AE147),"",IF(BL$3=$AD147,$F147&amp;"R",BL146))))</f>
        <v/>
      </c>
      <c r="BM147" s="11" t="str">
        <f aca="false">IF($P147=0,BM146,IF(BM$3=$E147,IF($AA147=1,$F147&amp;$AB147,$G147),IF(OR(BM$3=$D147,BM$3=$AC147,BM$3=$AE147),"",IF(BM$3=$AD147,$F147&amp;"R",BM146))))</f>
        <v/>
      </c>
      <c r="BN147" s="11" t="str">
        <f aca="false">IF($P147=0,BN146,IF(BN$3=$E147,IF($AA147=1,$F147&amp;$AB147,$G147),IF(OR(BN$3=$D147,BN$3=$AC147,BN$3=$AE147),"",IF(BN$3=$AD147,$F147&amp;"R",BN146))))</f>
        <v/>
      </c>
      <c r="BO147" s="11" t="str">
        <f aca="false">IF($P147=0,BO146,IF(BO$3=$E147,IF($AA147=1,$F147&amp;$AB147,$G147),IF(OR(BO$3=$D147,BO$3=$AC147,BO$3=$AE147),"",IF(BO$3=$AD147,$F147&amp;"R",BO146))))</f>
        <v/>
      </c>
      <c r="BP147" s="11" t="str">
        <f aca="false">IF($P147=0,BP146,IF(BP$3=$E147,IF($AA147=1,$F147&amp;$AB147,$G147),IF(OR(BP$3=$D147,BP$3=$AC147,BP$3=$AE147),"",IF(BP$3=$AD147,$F147&amp;"R",BP146))))</f>
        <v/>
      </c>
      <c r="BQ147" s="11" t="str">
        <f aca="false">IF($P147=0,BQ146,IF(BQ$3=$E147,IF($AA147=1,$F147&amp;$AB147,$G147),IF(OR(BQ$3=$D147,BQ$3=$AC147,BQ$3=$AE147),"",IF(BQ$3=$AD147,$F147&amp;"R",BQ146))))</f>
        <v/>
      </c>
      <c r="BR147" s="11" t="str">
        <f aca="false">IF($P147=0,BR146,IF(BR$3=$E147,IF($AA147=1,$F147&amp;$AB147,$G147),IF(OR(BR$3=$D147,BR$3=$AC147,BR$3=$AE147),"",IF(BR$3=$AD147,$F147&amp;"R",BR146))))</f>
        <v/>
      </c>
      <c r="BS147" s="11" t="str">
        <f aca="false">IF($P147=0,BS146,IF(BS$3=$E147,IF($AA147=1,$F147&amp;$AB147,$G147),IF(OR(BS$3=$D147,BS$3=$AC147,BS$3=$AE147),"",IF(BS$3=$AD147,$F147&amp;"R",BS146))))</f>
        <v/>
      </c>
      <c r="BT147" s="11" t="str">
        <f aca="false">IF($P147=0,BT146,IF(BT$3=$E147,IF($AA147=1,$F147&amp;$AB147,$G147),IF(OR(BT$3=$D147,BT$3=$AC147,BT$3=$AE147),"",IF(BT$3=$AD147,$F147&amp;"R",BT146))))</f>
        <v/>
      </c>
      <c r="BU147" s="11" t="str">
        <f aca="false">IF($P147=0,BU146,IF(BU$3=$E147,IF($AA147=1,$F147&amp;$AB147,$G147),IF(OR(BU$3=$D147,BU$3=$AC147,BU$3=$AE147),"",IF(BU$3=$AD147,$F147&amp;"R",BU146))))</f>
        <v/>
      </c>
      <c r="BV147" s="11" t="str">
        <f aca="false">IF($P147=0,BV146,IF(BV$3=$E147,IF($AA147=1,$F147&amp;$AB147,$G147),IF(OR(BV$3=$D147,BV$3=$AC147,BV$3=$AE147),"",IF(BV$3=$AD147,$F147&amp;"R",BV146))))</f>
        <v/>
      </c>
      <c r="BW147" s="11" t="str">
        <f aca="false">IF($P147=0,BW146,IF(BW$3=$E147,IF($AA147=1,$F147&amp;$AB147,$G147),IF(OR(BW$3=$D147,BW$3=$AC147,BW$3=$AE147),"",IF(BW$3=$AD147,$F147&amp;"R",BW146))))</f>
        <v/>
      </c>
      <c r="BX147" s="11" t="str">
        <f aca="false">IF($P147=0,BX146,IF(BX$3=$E147,IF($AA147=1,$F147&amp;$AB147,$G147),IF(OR(BX$3=$D147,BX$3=$AC147,BX$3=$AE147),"",IF(BX$3=$AD147,$F147&amp;"R",BX146))))</f>
        <v/>
      </c>
      <c r="BY147" s="11" t="str">
        <f aca="false">IF($P147=0,BY146,IF(BY$3=$E147,IF($AA147=1,$F147&amp;$AB147,$G147),IF(OR(BY$3=$D147,BY$3=$AC147,BY$3=$AE147),"",IF(BY$3=$AD147,$F147&amp;"R",BY146))))</f>
        <v/>
      </c>
      <c r="BZ147" s="11" t="str">
        <f aca="false">IF($P147=0,BZ146,IF(BZ$3=$E147,IF($AA147=1,$F147&amp;$AB147,$G147),IF(OR(BZ$3=$D147,BZ$3=$AC147,BZ$3=$AE147),"",IF(BZ$3=$AD147,$F147&amp;"R",BZ146))))</f>
        <v/>
      </c>
      <c r="CA147" s="11" t="str">
        <f aca="false">IF($P147=0,CA146,IF(CA$3=$E147,IF($AA147=1,$F147&amp;$AB147,$G147),IF(OR(CA$3=$D147,CA$3=$AC147,CA$3=$AE147),"",IF(CA$3=$AD147,$F147&amp;"R",CA146))))</f>
        <v/>
      </c>
      <c r="CB147" s="11" t="str">
        <f aca="false">IF($P147=0,CB146,IF(CB$3=$E147,IF($AA147=1,$F147&amp;$AB147,$G147),IF(OR(CB$3=$D147,CB$3=$AC147,CB$3=$AE147),"",IF(CB$3=$AD147,$F147&amp;"R",CB146))))</f>
        <v/>
      </c>
      <c r="CC147" s="11" t="str">
        <f aca="false">IF($P147=0,CC146,IF(CC$3=$E147,IF($AA147=1,$F147&amp;$AB147,$G147),IF(OR(CC$3=$D147,CC$3=$AC147,CC$3=$AE147),"",IF(CC$3=$AD147,$F147&amp;"R",CC146))))</f>
        <v/>
      </c>
      <c r="CD147" s="11" t="str">
        <f aca="false">IF($P147=0,CD146,IF(CD$3=$E147,IF($AA147=1,$F147&amp;$AB147,$G147),IF(OR(CD$3=$D147,CD$3=$AC147,CD$3=$AE147),"",IF(CD$3=$AD147,$F147&amp;"R",CD146))))</f>
        <v>bP</v>
      </c>
      <c r="CE147" s="11" t="str">
        <f aca="false">IF($P147=0,CE146,IF(CE$3=$E147,IF($AA147=1,$F147&amp;$AB147,$G147),IF(OR(CE$3=$D147,CE$3=$AC147,CE$3=$AE147),"",IF(CE$3=$AD147,$F147&amp;"R",CE146))))</f>
        <v>bP</v>
      </c>
      <c r="CF147" s="11" t="str">
        <f aca="false">IF($P147=0,CF146,IF(CF$3=$E147,IF($AA147=1,$F147&amp;$AB147,$G147),IF(OR(CF$3=$D147,CF$3=$AC147,CF$3=$AE147),"",IF(CF$3=$AD147,$F147&amp;"R",CF146))))</f>
        <v>bP</v>
      </c>
      <c r="CG147" s="11" t="str">
        <f aca="false">IF($P147=0,CG146,IF(CG$3=$E147,IF($AA147=1,$F147&amp;$AB147,$G147),IF(OR(CG$3=$D147,CG$3=$AC147,CG$3=$AE147),"",IF(CG$3=$AD147,$F147&amp;"R",CG146))))</f>
        <v>bP</v>
      </c>
      <c r="CH147" s="11" t="str">
        <f aca="false">IF($P147=0,CH146,IF(CH$3=$E147,IF($AA147=1,$F147&amp;$AB147,$G147),IF(OR(CH$3=$D147,CH$3=$AC147,CH$3=$AE147),"",IF(CH$3=$AD147,$F147&amp;"R",CH146))))</f>
        <v>bP</v>
      </c>
      <c r="CI147" s="11" t="str">
        <f aca="false">IF($P147=0,CI146,IF(CI$3=$E147,IF($AA147=1,$F147&amp;$AB147,$G147),IF(OR(CI$3=$D147,CI$3=$AC147,CI$3=$AE147),"",IF(CI$3=$AD147,$F147&amp;"R",CI146))))</f>
        <v>bP</v>
      </c>
      <c r="CJ147" s="11" t="str">
        <f aca="false">IF($P147=0,CJ146,IF(CJ$3=$E147,IF($AA147=1,$F147&amp;$AB147,$G147),IF(OR(CJ$3=$D147,CJ$3=$AC147,CJ$3=$AE147),"",IF(CJ$3=$AD147,$F147&amp;"R",CJ146))))</f>
        <v>bP</v>
      </c>
      <c r="CK147" s="11" t="str">
        <f aca="false">IF($P147=0,CK146,IF(CK$3=$E147,IF($AA147=1,$F147&amp;$AB147,$G147),IF(OR(CK$3=$D147,CK$3=$AC147,CK$3=$AE147),"",IF(CK$3=$AD147,$F147&amp;"R",CK146))))</f>
        <v>bP</v>
      </c>
      <c r="CL147" s="11" t="str">
        <f aca="false">IF($P147=0,CL146,IF(CL$3=$E147,IF($AA147=1,$F147&amp;$AB147,$G147),IF(OR(CL$3=$D147,CL$3=$AC147,CL$3=$AE147),"",IF(CL$3=$AD147,$F147&amp;"R",CL146))))</f>
        <v>bR</v>
      </c>
      <c r="CM147" s="11" t="str">
        <f aca="false">IF($P147=0,CM146,IF(CM$3=$E147,IF($AA147=1,$F147&amp;$AB147,$G147),IF(OR(CM$3=$D147,CM$3=$AC147,CM$3=$AE147),"",IF(CM$3=$AD147,$F147&amp;"R",CM146))))</f>
        <v>bN</v>
      </c>
      <c r="CN147" s="11" t="str">
        <f aca="false">IF($P147=0,CN146,IF(CN$3=$E147,IF($AA147=1,$F147&amp;$AB147,$G147),IF(OR(CN$3=$D147,CN$3=$AC147,CN$3=$AE147),"",IF(CN$3=$AD147,$F147&amp;"R",CN146))))</f>
        <v>bB</v>
      </c>
      <c r="CO147" s="11" t="str">
        <f aca="false">IF($P147=0,CO146,IF(CO$3=$E147,IF($AA147=1,$F147&amp;$AB147,$G147),IF(OR(CO$3=$D147,CO$3=$AC147,CO$3=$AE147),"",IF(CO$3=$AD147,$F147&amp;"R",CO146))))</f>
        <v>bQ</v>
      </c>
      <c r="CP147" s="11" t="str">
        <f aca="false">IF($P147=0,CP146,IF(CP$3=$E147,IF($AA147=1,$F147&amp;$AB147,$G147),IF(OR(CP$3=$D147,CP$3=$AC147,CP$3=$AE147),"",IF(CP$3=$AD147,$F147&amp;"R",CP146))))</f>
        <v>bK</v>
      </c>
      <c r="CQ147" s="11" t="str">
        <f aca="false">IF($P147=0,CQ146,IF(CQ$3=$E147,IF($AA147=1,$F147&amp;$AB147,$G147),IF(OR(CQ$3=$D147,CQ$3=$AC147,CQ$3=$AE147),"",IF(CQ$3=$AD147,$F147&amp;"R",CQ146))))</f>
        <v>bB</v>
      </c>
      <c r="CR147" s="11" t="str">
        <f aca="false">IF($P147=0,CR146,IF(CR$3=$E147,IF($AA147=1,$F147&amp;$AB147,$G147),IF(OR(CR$3=$D147,CR$3=$AC147,CR$3=$AE147),"",IF(CR$3=$AD147,$F147&amp;"R",CR146))))</f>
        <v>bN</v>
      </c>
      <c r="CS147" s="11" t="str">
        <f aca="false">IF($P147=0,CS146,IF(CS$3=$E147,IF($AA147=1,$F147&amp;$AB147,$G147),IF(OR(CS$3=$D147,CS$3=$AC147,CS$3=$AE147),"",IF(CS$3=$AD147,$F147&amp;"R",CS146))))</f>
        <v>bR</v>
      </c>
      <c r="CT147" s="11"/>
      <c r="CU147" s="11"/>
      <c r="CV147" s="11"/>
    </row>
    <row r="148" customFormat="false" ht="15" hidden="false" customHeight="false" outlineLevel="0" collapsed="false">
      <c r="A148" s="11" t="n">
        <v>143</v>
      </c>
      <c r="B148" s="11" t="str">
        <f aca="false">IF(Chess!$L$152="","",Chess!$L$152&amp;"")</f>
        <v/>
      </c>
      <c r="C148" s="11" t="str">
        <f aca="false">LOWER(SUBSTITUTE(SUBSTITUTE(SUBSTITUTE(SUBSTITUTE(TRIM($B148),"-",""),"=","")," ",""),"x",""))</f>
        <v/>
      </c>
      <c r="D148" s="11" t="n">
        <f aca="false">IF(LEN($C148)&lt;4,0,IFERROR(IF(AND(CODE(MID($C148,1,1))&gt;=97,CODE(MID($C148,1,1))&lt;=104,VALUE(MID($C148,2,1))&gt;=1,VALUE(MID($C148,2,1))&lt;=8),(VALUE(MID($C148,2,1))-1)*8+CODE(MID($C148,1,1))-96,0),0))</f>
        <v>0</v>
      </c>
      <c r="E148" s="11" t="n">
        <f aca="false">IF(LEN($C148)&lt;4,0,IFERROR(IF(AND(CODE(MID($C148,3,1))&gt;=97,CODE(MID($C148,3,1))&lt;=104,VALUE(MID($C148,4,1))&gt;=1,VALUE(MID($C148,4,1))&lt;=8),(VALUE(MID($C148,4,1))-1)*8+CODE(MID($C148,3,1))-96,0),0))</f>
        <v>0</v>
      </c>
      <c r="F148" s="11" t="str">
        <f aca="false">IF(MOD(SUM($P$5:$P147),2)=0,"w","b")</f>
        <v>w</v>
      </c>
      <c r="G148" s="11" t="str">
        <f aca="false">IF($D148=0,"",INDEX($AH147:$CS147,1,$D148)&amp;"")</f>
        <v/>
      </c>
      <c r="H148" s="11" t="str">
        <f aca="false">IF($E148=0,"",INDEX($AH147:$CS147,1,$E148)&amp;"")</f>
        <v/>
      </c>
      <c r="I148" s="11" t="n">
        <f aca="false">IF(OR($D148=0,$E148=0),0,MOD($E148-1,8)-MOD($D148-1,8))</f>
        <v>0</v>
      </c>
      <c r="J148" s="11" t="n">
        <f aca="false">IF(OR($D148=0,$E148=0),0,INT(($E148-1)/8)-INT(($D148-1)/8))</f>
        <v>0</v>
      </c>
      <c r="K148" s="11" t="str">
        <f aca="false">IF($G148="","",RIGHT($G148,1))</f>
        <v/>
      </c>
      <c r="L148" s="11" t="n">
        <f aca="false">IF(OR($D148=0,$E148=0),0,SUMPRODUCT(($AH$3:$CS$3&gt;MIN($D148,$E148))*($AH$3:$CS$3&lt;MAX($D148,$E148))*(MOD($AH$3:$CS$3-MIN($D148,$E148),MAX(1,ABS(SIGN($J148)*8+SIGN($I148))))=0)*($AH147:$CS147&lt;&gt;"")))</f>
        <v>0</v>
      </c>
      <c r="M148" s="11" t="n">
        <f aca="false">IF($K148&lt;&gt;"K",0,IFERROR(--AND($J148=0,ABS($I148)=2,$D148=IF($F148="w",5,61),IF($F148="w",$S147,$V147)=0,IF($I148=2,AND(IF($F148="w",$U147,$X147)=0,INDEX($AH147:$CS147,1,$D148+1)&amp;""="",INDEX($AH147:$CS147,1,$D148+2)&amp;""=""),AND(IF($F148="w",$T147,$W147)=0,INDEX($AH147:$CS147,1,$D148-1)&amp;""="",INDEX($AH147:$CS147,1,$D148-2)&amp;""="",INDEX($AH147:$CS147,1,$D148-3)&amp;""=""))),0))</f>
        <v>0</v>
      </c>
      <c r="N148" s="11" t="n">
        <f aca="false">IF($K148&lt;&gt;"P",0,IFERROR(--OR(AND($I148=0,$J148=IF($F148="w",1,-1),$H148=""),AND($I148=0,$J148=2*IF($F148="w",1,-1),$H148="",INT(($D148-1)/8)=IF($F148="w",1,6),INDEX($AH147:$CS147,1,MAX(1,MIN(64,$D148+8*IF($F148="w",1,-1))))&amp;""=""),AND(ABS($I148)=1,$J148=IF($F148="w",1,-1),$H148&lt;&gt;""),AND(ABS($I148)=1,$J148=IF($F148="w",1,-1),$H148="",$R147&gt;0,$E148=$R147)),0))</f>
        <v>0</v>
      </c>
      <c r="O148" s="11" t="n">
        <f aca="false">IF(OR($D148=0,$E148=0,$G148=""),0,IF($K148="N",--OR(AND(ABS($I148)=1,ABS($J148)=2),AND(ABS($I148)=2,ABS($J148)=1)),IF($K148="B",--AND(ABS($I148)=ABS($J148),$I148&lt;&gt;0,$L148=0),IF($K148="R",--AND(OR($I148=0,$J148=0),OR($I148&lt;&gt;0,$J148&lt;&gt;0),$L148=0),IF($K148="Q",--AND(OR(AND(ABS($I148)=ABS($J148),$I148&lt;&gt;0),AND(OR($I148=0,$J148=0),OR($I148&lt;&gt;0,$J148&lt;&gt;0))),$L148=0),IF($K148="K",--OR(MAX(ABS($I148),ABS($J148))=1,$M148=1),$N148))))))</f>
        <v>0</v>
      </c>
      <c r="P148" s="11" t="n">
        <f aca="false">IF($Q148="OK",1,0)</f>
        <v>0</v>
      </c>
      <c r="Q148" s="11" t="str">
        <f aca="false">IF($B148="","",IF(OR(COUNTIF($AH147:$CS147,"wK")=0,COUNTIF($AH147:$CS147,"bK")=0),"Game is over",IF(OR($D148=0,$E148=0),"Use the format e2e4",IF($G148="","No piece on that square",IF(LEFT($G148,1)&lt;&gt;$F148,"Not your piece ("&amp;IF($F148="w","White","Black")&amp;" to move)",IF($D148=$E148,"Piece must move",IF(AND($H148&lt;&gt;"",LEFT($H148,1)=$F148),"Cannot capture your own piece",IF($O148=0,"Illegal move for that piece (or path blocked)","OK"))))))))</f>
        <v/>
      </c>
      <c r="R148" s="11" t="n">
        <f aca="false">IF($P148=1,IF(AND($K148="P",ABS($J148)=2),($D148+$E148)/2,0),$R147)</f>
        <v>0</v>
      </c>
      <c r="S148" s="12" t="b">
        <f aca="false">--OR($S147=1,AND($P148=1,OR($D148=5,$E148=5)))</f>
        <v>0</v>
      </c>
      <c r="T148" s="12" t="b">
        <f aca="false">--OR($T147=1,AND($P148=1,OR($D148=1,$E148=1)))</f>
        <v>0</v>
      </c>
      <c r="U148" s="12" t="b">
        <f aca="false">--OR($U147=1,AND($P148=1,OR($D148=8,$E148=8)))</f>
        <v>0</v>
      </c>
      <c r="V148" s="12" t="b">
        <f aca="false">--OR($V147=1,AND($P148=1,OR($D148=61,$E148=61)))</f>
        <v>0</v>
      </c>
      <c r="W148" s="12" t="b">
        <f aca="false">--OR($W147=1,AND($P148=1,OR($D148=57,$E148=57)))</f>
        <v>0</v>
      </c>
      <c r="X148" s="12" t="b">
        <f aca="false">--OR($X147=1,AND($P148=1,OR($D148=64,$E148=64)))</f>
        <v>0</v>
      </c>
      <c r="Y148" s="12" t="b">
        <f aca="false">--AND($P148=1,$K148="K",ABS($I148)=2)</f>
        <v>0</v>
      </c>
      <c r="Z148" s="12" t="b">
        <f aca="false">--AND($P148=1,$K148="P",ABS($I148)=1,$H148="")</f>
        <v>0</v>
      </c>
      <c r="AA148" s="12" t="b">
        <f aca="false">--AND($P148=1,$K148="P",INT(($E148-1)/8)=IF($F148="w",7,0))</f>
        <v>0</v>
      </c>
      <c r="AB148" s="11" t="str">
        <f aca="false">IF(LEN($C148)&gt;=5,IF(ISNUMBER(FIND(MID($C148,5,1),"qrbn")),UPPER(MID($C148,5,1)),"Q"),"Q")</f>
        <v>Q</v>
      </c>
      <c r="AC148" s="11" t="n">
        <f aca="false">IF($Y148=1,IF($I148=2,$D148+3,$D148-4),0)</f>
        <v>0</v>
      </c>
      <c r="AD148" s="11" t="n">
        <f aca="false">IF($Y148=1,IF($I148=2,$D148+1,$D148-1),0)</f>
        <v>0</v>
      </c>
      <c r="AE148" s="11" t="n">
        <f aca="false">IF($Z148=1,$E148-8*IF($F148="w",1,-1),0)</f>
        <v>0</v>
      </c>
      <c r="AF148" s="11" t="str">
        <f aca="false">IF($B148="","",IF($P148=1,LOWER(INDEX($CV$2:$CV$13,MATCH($G148,$CU$2:$CU$13,0)))&amp;" "&amp;MID("abcdefgh",MOD($D148-1,8)+1,1)&amp;(INT(($D148-1)/8)+1)&amp;"→"&amp;MID("abcdefgh",MOD($E148-1,8)+1,1)&amp;(INT(($E148-1)/8)+1)&amp;IF(OR($H148&lt;&gt;"",$Z148=1)," ×","")&amp;IF($Y148=1," castles","")&amp;IF($Z148=1," e.p.","")&amp;IF($AA148=1," =" &amp;LOWER(INDEX($CV$2:$CV$13,MATCH($F148&amp;$AB148,$CU$2:$CU$13,0))),""),"X "&amp;$Q148))</f>
        <v/>
      </c>
      <c r="AG148" s="11"/>
      <c r="AH148" s="11" t="str">
        <f aca="false">IF($P148=0,AH147,IF(AH$3=$E148,IF($AA148=1,$F148&amp;$AB148,$G148),IF(OR(AH$3=$D148,AH$3=$AC148,AH$3=$AE148),"",IF(AH$3=$AD148,$F148&amp;"R",AH147))))</f>
        <v>wR</v>
      </c>
      <c r="AI148" s="11" t="str">
        <f aca="false">IF($P148=0,AI147,IF(AI$3=$E148,IF($AA148=1,$F148&amp;$AB148,$G148),IF(OR(AI$3=$D148,AI$3=$AC148,AI$3=$AE148),"",IF(AI$3=$AD148,$F148&amp;"R",AI147))))</f>
        <v>wN</v>
      </c>
      <c r="AJ148" s="11" t="str">
        <f aca="false">IF($P148=0,AJ147,IF(AJ$3=$E148,IF($AA148=1,$F148&amp;$AB148,$G148),IF(OR(AJ$3=$D148,AJ$3=$AC148,AJ$3=$AE148),"",IF(AJ$3=$AD148,$F148&amp;"R",AJ147))))</f>
        <v>wB</v>
      </c>
      <c r="AK148" s="11" t="str">
        <f aca="false">IF($P148=0,AK147,IF(AK$3=$E148,IF($AA148=1,$F148&amp;$AB148,$G148),IF(OR(AK$3=$D148,AK$3=$AC148,AK$3=$AE148),"",IF(AK$3=$AD148,$F148&amp;"R",AK147))))</f>
        <v>wQ</v>
      </c>
      <c r="AL148" s="11" t="str">
        <f aca="false">IF($P148=0,AL147,IF(AL$3=$E148,IF($AA148=1,$F148&amp;$AB148,$G148),IF(OR(AL$3=$D148,AL$3=$AC148,AL$3=$AE148),"",IF(AL$3=$AD148,$F148&amp;"R",AL147))))</f>
        <v>wK</v>
      </c>
      <c r="AM148" s="11" t="str">
        <f aca="false">IF($P148=0,AM147,IF(AM$3=$E148,IF($AA148=1,$F148&amp;$AB148,$G148),IF(OR(AM$3=$D148,AM$3=$AC148,AM$3=$AE148),"",IF(AM$3=$AD148,$F148&amp;"R",AM147))))</f>
        <v>wB</v>
      </c>
      <c r="AN148" s="11" t="str">
        <f aca="false">IF($P148=0,AN147,IF(AN$3=$E148,IF($AA148=1,$F148&amp;$AB148,$G148),IF(OR(AN$3=$D148,AN$3=$AC148,AN$3=$AE148),"",IF(AN$3=$AD148,$F148&amp;"R",AN147))))</f>
        <v>wN</v>
      </c>
      <c r="AO148" s="11" t="str">
        <f aca="false">IF($P148=0,AO147,IF(AO$3=$E148,IF($AA148=1,$F148&amp;$AB148,$G148),IF(OR(AO$3=$D148,AO$3=$AC148,AO$3=$AE148),"",IF(AO$3=$AD148,$F148&amp;"R",AO147))))</f>
        <v>wR</v>
      </c>
      <c r="AP148" s="11" t="str">
        <f aca="false">IF($P148=0,AP147,IF(AP$3=$E148,IF($AA148=1,$F148&amp;$AB148,$G148),IF(OR(AP$3=$D148,AP$3=$AC148,AP$3=$AE148),"",IF(AP$3=$AD148,$F148&amp;"R",AP147))))</f>
        <v>wP</v>
      </c>
      <c r="AQ148" s="11" t="str">
        <f aca="false">IF($P148=0,AQ147,IF(AQ$3=$E148,IF($AA148=1,$F148&amp;$AB148,$G148),IF(OR(AQ$3=$D148,AQ$3=$AC148,AQ$3=$AE148),"",IF(AQ$3=$AD148,$F148&amp;"R",AQ147))))</f>
        <v>wP</v>
      </c>
      <c r="AR148" s="11" t="str">
        <f aca="false">IF($P148=0,AR147,IF(AR$3=$E148,IF($AA148=1,$F148&amp;$AB148,$G148),IF(OR(AR$3=$D148,AR$3=$AC148,AR$3=$AE148),"",IF(AR$3=$AD148,$F148&amp;"R",AR147))))</f>
        <v>wP</v>
      </c>
      <c r="AS148" s="11" t="str">
        <f aca="false">IF($P148=0,AS147,IF(AS$3=$E148,IF($AA148=1,$F148&amp;$AB148,$G148),IF(OR(AS$3=$D148,AS$3=$AC148,AS$3=$AE148),"",IF(AS$3=$AD148,$F148&amp;"R",AS147))))</f>
        <v>wP</v>
      </c>
      <c r="AT148" s="11" t="str">
        <f aca="false">IF($P148=0,AT147,IF(AT$3=$E148,IF($AA148=1,$F148&amp;$AB148,$G148),IF(OR(AT$3=$D148,AT$3=$AC148,AT$3=$AE148),"",IF(AT$3=$AD148,$F148&amp;"R",AT147))))</f>
        <v>wP</v>
      </c>
      <c r="AU148" s="11" t="str">
        <f aca="false">IF($P148=0,AU147,IF(AU$3=$E148,IF($AA148=1,$F148&amp;$AB148,$G148),IF(OR(AU$3=$D148,AU$3=$AC148,AU$3=$AE148),"",IF(AU$3=$AD148,$F148&amp;"R",AU147))))</f>
        <v>wP</v>
      </c>
      <c r="AV148" s="11" t="str">
        <f aca="false">IF($P148=0,AV147,IF(AV$3=$E148,IF($AA148=1,$F148&amp;$AB148,$G148),IF(OR(AV$3=$D148,AV$3=$AC148,AV$3=$AE148),"",IF(AV$3=$AD148,$F148&amp;"R",AV147))))</f>
        <v>wP</v>
      </c>
      <c r="AW148" s="11" t="str">
        <f aca="false">IF($P148=0,AW147,IF(AW$3=$E148,IF($AA148=1,$F148&amp;$AB148,$G148),IF(OR(AW$3=$D148,AW$3=$AC148,AW$3=$AE148),"",IF(AW$3=$AD148,$F148&amp;"R",AW147))))</f>
        <v>wP</v>
      </c>
      <c r="AX148" s="11" t="str">
        <f aca="false">IF($P148=0,AX147,IF(AX$3=$E148,IF($AA148=1,$F148&amp;$AB148,$G148),IF(OR(AX$3=$D148,AX$3=$AC148,AX$3=$AE148),"",IF(AX$3=$AD148,$F148&amp;"R",AX147))))</f>
        <v/>
      </c>
      <c r="AY148" s="11" t="str">
        <f aca="false">IF($P148=0,AY147,IF(AY$3=$E148,IF($AA148=1,$F148&amp;$AB148,$G148),IF(OR(AY$3=$D148,AY$3=$AC148,AY$3=$AE148),"",IF(AY$3=$AD148,$F148&amp;"R",AY147))))</f>
        <v/>
      </c>
      <c r="AZ148" s="11" t="str">
        <f aca="false">IF($P148=0,AZ147,IF(AZ$3=$E148,IF($AA148=1,$F148&amp;$AB148,$G148),IF(OR(AZ$3=$D148,AZ$3=$AC148,AZ$3=$AE148),"",IF(AZ$3=$AD148,$F148&amp;"R",AZ147))))</f>
        <v/>
      </c>
      <c r="BA148" s="11" t="str">
        <f aca="false">IF($P148=0,BA147,IF(BA$3=$E148,IF($AA148=1,$F148&amp;$AB148,$G148),IF(OR(BA$3=$D148,BA$3=$AC148,BA$3=$AE148),"",IF(BA$3=$AD148,$F148&amp;"R",BA147))))</f>
        <v/>
      </c>
      <c r="BB148" s="11" t="str">
        <f aca="false">IF($P148=0,BB147,IF(BB$3=$E148,IF($AA148=1,$F148&amp;$AB148,$G148),IF(OR(BB$3=$D148,BB$3=$AC148,BB$3=$AE148),"",IF(BB$3=$AD148,$F148&amp;"R",BB147))))</f>
        <v/>
      </c>
      <c r="BC148" s="11" t="str">
        <f aca="false">IF($P148=0,BC147,IF(BC$3=$E148,IF($AA148=1,$F148&amp;$AB148,$G148),IF(OR(BC$3=$D148,BC$3=$AC148,BC$3=$AE148),"",IF(BC$3=$AD148,$F148&amp;"R",BC147))))</f>
        <v/>
      </c>
      <c r="BD148" s="11" t="str">
        <f aca="false">IF($P148=0,BD147,IF(BD$3=$E148,IF($AA148=1,$F148&amp;$AB148,$G148),IF(OR(BD$3=$D148,BD$3=$AC148,BD$3=$AE148),"",IF(BD$3=$AD148,$F148&amp;"R",BD147))))</f>
        <v/>
      </c>
      <c r="BE148" s="11" t="str">
        <f aca="false">IF($P148=0,BE147,IF(BE$3=$E148,IF($AA148=1,$F148&amp;$AB148,$G148),IF(OR(BE$3=$D148,BE$3=$AC148,BE$3=$AE148),"",IF(BE$3=$AD148,$F148&amp;"R",BE147))))</f>
        <v/>
      </c>
      <c r="BF148" s="11" t="str">
        <f aca="false">IF($P148=0,BF147,IF(BF$3=$E148,IF($AA148=1,$F148&amp;$AB148,$G148),IF(OR(BF$3=$D148,BF$3=$AC148,BF$3=$AE148),"",IF(BF$3=$AD148,$F148&amp;"R",BF147))))</f>
        <v/>
      </c>
      <c r="BG148" s="11" t="str">
        <f aca="false">IF($P148=0,BG147,IF(BG$3=$E148,IF($AA148=1,$F148&amp;$AB148,$G148),IF(OR(BG$3=$D148,BG$3=$AC148,BG$3=$AE148),"",IF(BG$3=$AD148,$F148&amp;"R",BG147))))</f>
        <v/>
      </c>
      <c r="BH148" s="11" t="str">
        <f aca="false">IF($P148=0,BH147,IF(BH$3=$E148,IF($AA148=1,$F148&amp;$AB148,$G148),IF(OR(BH$3=$D148,BH$3=$AC148,BH$3=$AE148),"",IF(BH$3=$AD148,$F148&amp;"R",BH147))))</f>
        <v/>
      </c>
      <c r="BI148" s="11" t="str">
        <f aca="false">IF($P148=0,BI147,IF(BI$3=$E148,IF($AA148=1,$F148&amp;$AB148,$G148),IF(OR(BI$3=$D148,BI$3=$AC148,BI$3=$AE148),"",IF(BI$3=$AD148,$F148&amp;"R",BI147))))</f>
        <v/>
      </c>
      <c r="BJ148" s="11" t="str">
        <f aca="false">IF($P148=0,BJ147,IF(BJ$3=$E148,IF($AA148=1,$F148&amp;$AB148,$G148),IF(OR(BJ$3=$D148,BJ$3=$AC148,BJ$3=$AE148),"",IF(BJ$3=$AD148,$F148&amp;"R",BJ147))))</f>
        <v/>
      </c>
      <c r="BK148" s="11" t="str">
        <f aca="false">IF($P148=0,BK147,IF(BK$3=$E148,IF($AA148=1,$F148&amp;$AB148,$G148),IF(OR(BK$3=$D148,BK$3=$AC148,BK$3=$AE148),"",IF(BK$3=$AD148,$F148&amp;"R",BK147))))</f>
        <v/>
      </c>
      <c r="BL148" s="11" t="str">
        <f aca="false">IF($P148=0,BL147,IF(BL$3=$E148,IF($AA148=1,$F148&amp;$AB148,$G148),IF(OR(BL$3=$D148,BL$3=$AC148,BL$3=$AE148),"",IF(BL$3=$AD148,$F148&amp;"R",BL147))))</f>
        <v/>
      </c>
      <c r="BM148" s="11" t="str">
        <f aca="false">IF($P148=0,BM147,IF(BM$3=$E148,IF($AA148=1,$F148&amp;$AB148,$G148),IF(OR(BM$3=$D148,BM$3=$AC148,BM$3=$AE148),"",IF(BM$3=$AD148,$F148&amp;"R",BM147))))</f>
        <v/>
      </c>
      <c r="BN148" s="11" t="str">
        <f aca="false">IF($P148=0,BN147,IF(BN$3=$E148,IF($AA148=1,$F148&amp;$AB148,$G148),IF(OR(BN$3=$D148,BN$3=$AC148,BN$3=$AE148),"",IF(BN$3=$AD148,$F148&amp;"R",BN147))))</f>
        <v/>
      </c>
      <c r="BO148" s="11" t="str">
        <f aca="false">IF($P148=0,BO147,IF(BO$3=$E148,IF($AA148=1,$F148&amp;$AB148,$G148),IF(OR(BO$3=$D148,BO$3=$AC148,BO$3=$AE148),"",IF(BO$3=$AD148,$F148&amp;"R",BO147))))</f>
        <v/>
      </c>
      <c r="BP148" s="11" t="str">
        <f aca="false">IF($P148=0,BP147,IF(BP$3=$E148,IF($AA148=1,$F148&amp;$AB148,$G148),IF(OR(BP$3=$D148,BP$3=$AC148,BP$3=$AE148),"",IF(BP$3=$AD148,$F148&amp;"R",BP147))))</f>
        <v/>
      </c>
      <c r="BQ148" s="11" t="str">
        <f aca="false">IF($P148=0,BQ147,IF(BQ$3=$E148,IF($AA148=1,$F148&amp;$AB148,$G148),IF(OR(BQ$3=$D148,BQ$3=$AC148,BQ$3=$AE148),"",IF(BQ$3=$AD148,$F148&amp;"R",BQ147))))</f>
        <v/>
      </c>
      <c r="BR148" s="11" t="str">
        <f aca="false">IF($P148=0,BR147,IF(BR$3=$E148,IF($AA148=1,$F148&amp;$AB148,$G148),IF(OR(BR$3=$D148,BR$3=$AC148,BR$3=$AE148),"",IF(BR$3=$AD148,$F148&amp;"R",BR147))))</f>
        <v/>
      </c>
      <c r="BS148" s="11" t="str">
        <f aca="false">IF($P148=0,BS147,IF(BS$3=$E148,IF($AA148=1,$F148&amp;$AB148,$G148),IF(OR(BS$3=$D148,BS$3=$AC148,BS$3=$AE148),"",IF(BS$3=$AD148,$F148&amp;"R",BS147))))</f>
        <v/>
      </c>
      <c r="BT148" s="11" t="str">
        <f aca="false">IF($P148=0,BT147,IF(BT$3=$E148,IF($AA148=1,$F148&amp;$AB148,$G148),IF(OR(BT$3=$D148,BT$3=$AC148,BT$3=$AE148),"",IF(BT$3=$AD148,$F148&amp;"R",BT147))))</f>
        <v/>
      </c>
      <c r="BU148" s="11" t="str">
        <f aca="false">IF($P148=0,BU147,IF(BU$3=$E148,IF($AA148=1,$F148&amp;$AB148,$G148),IF(OR(BU$3=$D148,BU$3=$AC148,BU$3=$AE148),"",IF(BU$3=$AD148,$F148&amp;"R",BU147))))</f>
        <v/>
      </c>
      <c r="BV148" s="11" t="str">
        <f aca="false">IF($P148=0,BV147,IF(BV$3=$E148,IF($AA148=1,$F148&amp;$AB148,$G148),IF(OR(BV$3=$D148,BV$3=$AC148,BV$3=$AE148),"",IF(BV$3=$AD148,$F148&amp;"R",BV147))))</f>
        <v/>
      </c>
      <c r="BW148" s="11" t="str">
        <f aca="false">IF($P148=0,BW147,IF(BW$3=$E148,IF($AA148=1,$F148&amp;$AB148,$G148),IF(OR(BW$3=$D148,BW$3=$AC148,BW$3=$AE148),"",IF(BW$3=$AD148,$F148&amp;"R",BW147))))</f>
        <v/>
      </c>
      <c r="BX148" s="11" t="str">
        <f aca="false">IF($P148=0,BX147,IF(BX$3=$E148,IF($AA148=1,$F148&amp;$AB148,$G148),IF(OR(BX$3=$D148,BX$3=$AC148,BX$3=$AE148),"",IF(BX$3=$AD148,$F148&amp;"R",BX147))))</f>
        <v/>
      </c>
      <c r="BY148" s="11" t="str">
        <f aca="false">IF($P148=0,BY147,IF(BY$3=$E148,IF($AA148=1,$F148&amp;$AB148,$G148),IF(OR(BY$3=$D148,BY$3=$AC148,BY$3=$AE148),"",IF(BY$3=$AD148,$F148&amp;"R",BY147))))</f>
        <v/>
      </c>
      <c r="BZ148" s="11" t="str">
        <f aca="false">IF($P148=0,BZ147,IF(BZ$3=$E148,IF($AA148=1,$F148&amp;$AB148,$G148),IF(OR(BZ$3=$D148,BZ$3=$AC148,BZ$3=$AE148),"",IF(BZ$3=$AD148,$F148&amp;"R",BZ147))))</f>
        <v/>
      </c>
      <c r="CA148" s="11" t="str">
        <f aca="false">IF($P148=0,CA147,IF(CA$3=$E148,IF($AA148=1,$F148&amp;$AB148,$G148),IF(OR(CA$3=$D148,CA$3=$AC148,CA$3=$AE148),"",IF(CA$3=$AD148,$F148&amp;"R",CA147))))</f>
        <v/>
      </c>
      <c r="CB148" s="11" t="str">
        <f aca="false">IF($P148=0,CB147,IF(CB$3=$E148,IF($AA148=1,$F148&amp;$AB148,$G148),IF(OR(CB$3=$D148,CB$3=$AC148,CB$3=$AE148),"",IF(CB$3=$AD148,$F148&amp;"R",CB147))))</f>
        <v/>
      </c>
      <c r="CC148" s="11" t="str">
        <f aca="false">IF($P148=0,CC147,IF(CC$3=$E148,IF($AA148=1,$F148&amp;$AB148,$G148),IF(OR(CC$3=$D148,CC$3=$AC148,CC$3=$AE148),"",IF(CC$3=$AD148,$F148&amp;"R",CC147))))</f>
        <v/>
      </c>
      <c r="CD148" s="11" t="str">
        <f aca="false">IF($P148=0,CD147,IF(CD$3=$E148,IF($AA148=1,$F148&amp;$AB148,$G148),IF(OR(CD$3=$D148,CD$3=$AC148,CD$3=$AE148),"",IF(CD$3=$AD148,$F148&amp;"R",CD147))))</f>
        <v>bP</v>
      </c>
      <c r="CE148" s="11" t="str">
        <f aca="false">IF($P148=0,CE147,IF(CE$3=$E148,IF($AA148=1,$F148&amp;$AB148,$G148),IF(OR(CE$3=$D148,CE$3=$AC148,CE$3=$AE148),"",IF(CE$3=$AD148,$F148&amp;"R",CE147))))</f>
        <v>bP</v>
      </c>
      <c r="CF148" s="11" t="str">
        <f aca="false">IF($P148=0,CF147,IF(CF$3=$E148,IF($AA148=1,$F148&amp;$AB148,$G148),IF(OR(CF$3=$D148,CF$3=$AC148,CF$3=$AE148),"",IF(CF$3=$AD148,$F148&amp;"R",CF147))))</f>
        <v>bP</v>
      </c>
      <c r="CG148" s="11" t="str">
        <f aca="false">IF($P148=0,CG147,IF(CG$3=$E148,IF($AA148=1,$F148&amp;$AB148,$G148),IF(OR(CG$3=$D148,CG$3=$AC148,CG$3=$AE148),"",IF(CG$3=$AD148,$F148&amp;"R",CG147))))</f>
        <v>bP</v>
      </c>
      <c r="CH148" s="11" t="str">
        <f aca="false">IF($P148=0,CH147,IF(CH$3=$E148,IF($AA148=1,$F148&amp;$AB148,$G148),IF(OR(CH$3=$D148,CH$3=$AC148,CH$3=$AE148),"",IF(CH$3=$AD148,$F148&amp;"R",CH147))))</f>
        <v>bP</v>
      </c>
      <c r="CI148" s="11" t="str">
        <f aca="false">IF($P148=0,CI147,IF(CI$3=$E148,IF($AA148=1,$F148&amp;$AB148,$G148),IF(OR(CI$3=$D148,CI$3=$AC148,CI$3=$AE148),"",IF(CI$3=$AD148,$F148&amp;"R",CI147))))</f>
        <v>bP</v>
      </c>
      <c r="CJ148" s="11" t="str">
        <f aca="false">IF($P148=0,CJ147,IF(CJ$3=$E148,IF($AA148=1,$F148&amp;$AB148,$G148),IF(OR(CJ$3=$D148,CJ$3=$AC148,CJ$3=$AE148),"",IF(CJ$3=$AD148,$F148&amp;"R",CJ147))))</f>
        <v>bP</v>
      </c>
      <c r="CK148" s="11" t="str">
        <f aca="false">IF($P148=0,CK147,IF(CK$3=$E148,IF($AA148=1,$F148&amp;$AB148,$G148),IF(OR(CK$3=$D148,CK$3=$AC148,CK$3=$AE148),"",IF(CK$3=$AD148,$F148&amp;"R",CK147))))</f>
        <v>bP</v>
      </c>
      <c r="CL148" s="11" t="str">
        <f aca="false">IF($P148=0,CL147,IF(CL$3=$E148,IF($AA148=1,$F148&amp;$AB148,$G148),IF(OR(CL$3=$D148,CL$3=$AC148,CL$3=$AE148),"",IF(CL$3=$AD148,$F148&amp;"R",CL147))))</f>
        <v>bR</v>
      </c>
      <c r="CM148" s="11" t="str">
        <f aca="false">IF($P148=0,CM147,IF(CM$3=$E148,IF($AA148=1,$F148&amp;$AB148,$G148),IF(OR(CM$3=$D148,CM$3=$AC148,CM$3=$AE148),"",IF(CM$3=$AD148,$F148&amp;"R",CM147))))</f>
        <v>bN</v>
      </c>
      <c r="CN148" s="11" t="str">
        <f aca="false">IF($P148=0,CN147,IF(CN$3=$E148,IF($AA148=1,$F148&amp;$AB148,$G148),IF(OR(CN$3=$D148,CN$3=$AC148,CN$3=$AE148),"",IF(CN$3=$AD148,$F148&amp;"R",CN147))))</f>
        <v>bB</v>
      </c>
      <c r="CO148" s="11" t="str">
        <f aca="false">IF($P148=0,CO147,IF(CO$3=$E148,IF($AA148=1,$F148&amp;$AB148,$G148),IF(OR(CO$3=$D148,CO$3=$AC148,CO$3=$AE148),"",IF(CO$3=$AD148,$F148&amp;"R",CO147))))</f>
        <v>bQ</v>
      </c>
      <c r="CP148" s="11" t="str">
        <f aca="false">IF($P148=0,CP147,IF(CP$3=$E148,IF($AA148=1,$F148&amp;$AB148,$G148),IF(OR(CP$3=$D148,CP$3=$AC148,CP$3=$AE148),"",IF(CP$3=$AD148,$F148&amp;"R",CP147))))</f>
        <v>bK</v>
      </c>
      <c r="CQ148" s="11" t="str">
        <f aca="false">IF($P148=0,CQ147,IF(CQ$3=$E148,IF($AA148=1,$F148&amp;$AB148,$G148),IF(OR(CQ$3=$D148,CQ$3=$AC148,CQ$3=$AE148),"",IF(CQ$3=$AD148,$F148&amp;"R",CQ147))))</f>
        <v>bB</v>
      </c>
      <c r="CR148" s="11" t="str">
        <f aca="false">IF($P148=0,CR147,IF(CR$3=$E148,IF($AA148=1,$F148&amp;$AB148,$G148),IF(OR(CR$3=$D148,CR$3=$AC148,CR$3=$AE148),"",IF(CR$3=$AD148,$F148&amp;"R",CR147))))</f>
        <v>bN</v>
      </c>
      <c r="CS148" s="11" t="str">
        <f aca="false">IF($P148=0,CS147,IF(CS$3=$E148,IF($AA148=1,$F148&amp;$AB148,$G148),IF(OR(CS$3=$D148,CS$3=$AC148,CS$3=$AE148),"",IF(CS$3=$AD148,$F148&amp;"R",CS147))))</f>
        <v>bR</v>
      </c>
      <c r="CT148" s="11"/>
      <c r="CU148" s="11"/>
      <c r="CV148" s="11"/>
    </row>
    <row r="149" customFormat="false" ht="15" hidden="false" customHeight="false" outlineLevel="0" collapsed="false">
      <c r="A149" s="11" t="n">
        <v>144</v>
      </c>
      <c r="B149" s="11" t="str">
        <f aca="false">IF(Chess!$L$153="","",Chess!$L$153&amp;"")</f>
        <v/>
      </c>
      <c r="C149" s="11" t="str">
        <f aca="false">LOWER(SUBSTITUTE(SUBSTITUTE(SUBSTITUTE(SUBSTITUTE(TRIM($B149),"-",""),"=","")," ",""),"x",""))</f>
        <v/>
      </c>
      <c r="D149" s="11" t="n">
        <f aca="false">IF(LEN($C149)&lt;4,0,IFERROR(IF(AND(CODE(MID($C149,1,1))&gt;=97,CODE(MID($C149,1,1))&lt;=104,VALUE(MID($C149,2,1))&gt;=1,VALUE(MID($C149,2,1))&lt;=8),(VALUE(MID($C149,2,1))-1)*8+CODE(MID($C149,1,1))-96,0),0))</f>
        <v>0</v>
      </c>
      <c r="E149" s="11" t="n">
        <f aca="false">IF(LEN($C149)&lt;4,0,IFERROR(IF(AND(CODE(MID($C149,3,1))&gt;=97,CODE(MID($C149,3,1))&lt;=104,VALUE(MID($C149,4,1))&gt;=1,VALUE(MID($C149,4,1))&lt;=8),(VALUE(MID($C149,4,1))-1)*8+CODE(MID($C149,3,1))-96,0),0))</f>
        <v>0</v>
      </c>
      <c r="F149" s="11" t="str">
        <f aca="false">IF(MOD(SUM($P$5:$P148),2)=0,"w","b")</f>
        <v>w</v>
      </c>
      <c r="G149" s="11" t="str">
        <f aca="false">IF($D149=0,"",INDEX($AH148:$CS148,1,$D149)&amp;"")</f>
        <v/>
      </c>
      <c r="H149" s="11" t="str">
        <f aca="false">IF($E149=0,"",INDEX($AH148:$CS148,1,$E149)&amp;"")</f>
        <v/>
      </c>
      <c r="I149" s="11" t="n">
        <f aca="false">IF(OR($D149=0,$E149=0),0,MOD($E149-1,8)-MOD($D149-1,8))</f>
        <v>0</v>
      </c>
      <c r="J149" s="11" t="n">
        <f aca="false">IF(OR($D149=0,$E149=0),0,INT(($E149-1)/8)-INT(($D149-1)/8))</f>
        <v>0</v>
      </c>
      <c r="K149" s="11" t="str">
        <f aca="false">IF($G149="","",RIGHT($G149,1))</f>
        <v/>
      </c>
      <c r="L149" s="11" t="n">
        <f aca="false">IF(OR($D149=0,$E149=0),0,SUMPRODUCT(($AH$3:$CS$3&gt;MIN($D149,$E149))*($AH$3:$CS$3&lt;MAX($D149,$E149))*(MOD($AH$3:$CS$3-MIN($D149,$E149),MAX(1,ABS(SIGN($J149)*8+SIGN($I149))))=0)*($AH148:$CS148&lt;&gt;"")))</f>
        <v>0</v>
      </c>
      <c r="M149" s="11" t="n">
        <f aca="false">IF($K149&lt;&gt;"K",0,IFERROR(--AND($J149=0,ABS($I149)=2,$D149=IF($F149="w",5,61),IF($F149="w",$S148,$V148)=0,IF($I149=2,AND(IF($F149="w",$U148,$X148)=0,INDEX($AH148:$CS148,1,$D149+1)&amp;""="",INDEX($AH148:$CS148,1,$D149+2)&amp;""=""),AND(IF($F149="w",$T148,$W148)=0,INDEX($AH148:$CS148,1,$D149-1)&amp;""="",INDEX($AH148:$CS148,1,$D149-2)&amp;""="",INDEX($AH148:$CS148,1,$D149-3)&amp;""=""))),0))</f>
        <v>0</v>
      </c>
      <c r="N149" s="11" t="n">
        <f aca="false">IF($K149&lt;&gt;"P",0,IFERROR(--OR(AND($I149=0,$J149=IF($F149="w",1,-1),$H149=""),AND($I149=0,$J149=2*IF($F149="w",1,-1),$H149="",INT(($D149-1)/8)=IF($F149="w",1,6),INDEX($AH148:$CS148,1,MAX(1,MIN(64,$D149+8*IF($F149="w",1,-1))))&amp;""=""),AND(ABS($I149)=1,$J149=IF($F149="w",1,-1),$H149&lt;&gt;""),AND(ABS($I149)=1,$J149=IF($F149="w",1,-1),$H149="",$R148&gt;0,$E149=$R148)),0))</f>
        <v>0</v>
      </c>
      <c r="O149" s="11" t="n">
        <f aca="false">IF(OR($D149=0,$E149=0,$G149=""),0,IF($K149="N",--OR(AND(ABS($I149)=1,ABS($J149)=2),AND(ABS($I149)=2,ABS($J149)=1)),IF($K149="B",--AND(ABS($I149)=ABS($J149),$I149&lt;&gt;0,$L149=0),IF($K149="R",--AND(OR($I149=0,$J149=0),OR($I149&lt;&gt;0,$J149&lt;&gt;0),$L149=0),IF($K149="Q",--AND(OR(AND(ABS($I149)=ABS($J149),$I149&lt;&gt;0),AND(OR($I149=0,$J149=0),OR($I149&lt;&gt;0,$J149&lt;&gt;0))),$L149=0),IF($K149="K",--OR(MAX(ABS($I149),ABS($J149))=1,$M149=1),$N149))))))</f>
        <v>0</v>
      </c>
      <c r="P149" s="11" t="n">
        <f aca="false">IF($Q149="OK",1,0)</f>
        <v>0</v>
      </c>
      <c r="Q149" s="11" t="str">
        <f aca="false">IF($B149="","",IF(OR(COUNTIF($AH148:$CS148,"wK")=0,COUNTIF($AH148:$CS148,"bK")=0),"Game is over",IF(OR($D149=0,$E149=0),"Use the format e2e4",IF($G149="","No piece on that square",IF(LEFT($G149,1)&lt;&gt;$F149,"Not your piece ("&amp;IF($F149="w","White","Black")&amp;" to move)",IF($D149=$E149,"Piece must move",IF(AND($H149&lt;&gt;"",LEFT($H149,1)=$F149),"Cannot capture your own piece",IF($O149=0,"Illegal move for that piece (or path blocked)","OK"))))))))</f>
        <v/>
      </c>
      <c r="R149" s="11" t="n">
        <f aca="false">IF($P149=1,IF(AND($K149="P",ABS($J149)=2),($D149+$E149)/2,0),$R148)</f>
        <v>0</v>
      </c>
      <c r="S149" s="12" t="b">
        <f aca="false">--OR($S148=1,AND($P149=1,OR($D149=5,$E149=5)))</f>
        <v>0</v>
      </c>
      <c r="T149" s="12" t="b">
        <f aca="false">--OR($T148=1,AND($P149=1,OR($D149=1,$E149=1)))</f>
        <v>0</v>
      </c>
      <c r="U149" s="12" t="b">
        <f aca="false">--OR($U148=1,AND($P149=1,OR($D149=8,$E149=8)))</f>
        <v>0</v>
      </c>
      <c r="V149" s="12" t="b">
        <f aca="false">--OR($V148=1,AND($P149=1,OR($D149=61,$E149=61)))</f>
        <v>0</v>
      </c>
      <c r="W149" s="12" t="b">
        <f aca="false">--OR($W148=1,AND($P149=1,OR($D149=57,$E149=57)))</f>
        <v>0</v>
      </c>
      <c r="X149" s="12" t="b">
        <f aca="false">--OR($X148=1,AND($P149=1,OR($D149=64,$E149=64)))</f>
        <v>0</v>
      </c>
      <c r="Y149" s="12" t="b">
        <f aca="false">--AND($P149=1,$K149="K",ABS($I149)=2)</f>
        <v>0</v>
      </c>
      <c r="Z149" s="12" t="b">
        <f aca="false">--AND($P149=1,$K149="P",ABS($I149)=1,$H149="")</f>
        <v>0</v>
      </c>
      <c r="AA149" s="12" t="b">
        <f aca="false">--AND($P149=1,$K149="P",INT(($E149-1)/8)=IF($F149="w",7,0))</f>
        <v>0</v>
      </c>
      <c r="AB149" s="11" t="str">
        <f aca="false">IF(LEN($C149)&gt;=5,IF(ISNUMBER(FIND(MID($C149,5,1),"qrbn")),UPPER(MID($C149,5,1)),"Q"),"Q")</f>
        <v>Q</v>
      </c>
      <c r="AC149" s="11" t="n">
        <f aca="false">IF($Y149=1,IF($I149=2,$D149+3,$D149-4),0)</f>
        <v>0</v>
      </c>
      <c r="AD149" s="11" t="n">
        <f aca="false">IF($Y149=1,IF($I149=2,$D149+1,$D149-1),0)</f>
        <v>0</v>
      </c>
      <c r="AE149" s="11" t="n">
        <f aca="false">IF($Z149=1,$E149-8*IF($F149="w",1,-1),0)</f>
        <v>0</v>
      </c>
      <c r="AF149" s="11" t="str">
        <f aca="false">IF($B149="","",IF($P149=1,LOWER(INDEX($CV$2:$CV$13,MATCH($G149,$CU$2:$CU$13,0)))&amp;" "&amp;MID("abcdefgh",MOD($D149-1,8)+1,1)&amp;(INT(($D149-1)/8)+1)&amp;"→"&amp;MID("abcdefgh",MOD($E149-1,8)+1,1)&amp;(INT(($E149-1)/8)+1)&amp;IF(OR($H149&lt;&gt;"",$Z149=1)," ×","")&amp;IF($Y149=1," castles","")&amp;IF($Z149=1," e.p.","")&amp;IF($AA149=1," =" &amp;LOWER(INDEX($CV$2:$CV$13,MATCH($F149&amp;$AB149,$CU$2:$CU$13,0))),""),"X "&amp;$Q149))</f>
        <v/>
      </c>
      <c r="AG149" s="11"/>
      <c r="AH149" s="11" t="str">
        <f aca="false">IF($P149=0,AH148,IF(AH$3=$E149,IF($AA149=1,$F149&amp;$AB149,$G149),IF(OR(AH$3=$D149,AH$3=$AC149,AH$3=$AE149),"",IF(AH$3=$AD149,$F149&amp;"R",AH148))))</f>
        <v>wR</v>
      </c>
      <c r="AI149" s="11" t="str">
        <f aca="false">IF($P149=0,AI148,IF(AI$3=$E149,IF($AA149=1,$F149&amp;$AB149,$G149),IF(OR(AI$3=$D149,AI$3=$AC149,AI$3=$AE149),"",IF(AI$3=$AD149,$F149&amp;"R",AI148))))</f>
        <v>wN</v>
      </c>
      <c r="AJ149" s="11" t="str">
        <f aca="false">IF($P149=0,AJ148,IF(AJ$3=$E149,IF($AA149=1,$F149&amp;$AB149,$G149),IF(OR(AJ$3=$D149,AJ$3=$AC149,AJ$3=$AE149),"",IF(AJ$3=$AD149,$F149&amp;"R",AJ148))))</f>
        <v>wB</v>
      </c>
      <c r="AK149" s="11" t="str">
        <f aca="false">IF($P149=0,AK148,IF(AK$3=$E149,IF($AA149=1,$F149&amp;$AB149,$G149),IF(OR(AK$3=$D149,AK$3=$AC149,AK$3=$AE149),"",IF(AK$3=$AD149,$F149&amp;"R",AK148))))</f>
        <v>wQ</v>
      </c>
      <c r="AL149" s="11" t="str">
        <f aca="false">IF($P149=0,AL148,IF(AL$3=$E149,IF($AA149=1,$F149&amp;$AB149,$G149),IF(OR(AL$3=$D149,AL$3=$AC149,AL$3=$AE149),"",IF(AL$3=$AD149,$F149&amp;"R",AL148))))</f>
        <v>wK</v>
      </c>
      <c r="AM149" s="11" t="str">
        <f aca="false">IF($P149=0,AM148,IF(AM$3=$E149,IF($AA149=1,$F149&amp;$AB149,$G149),IF(OR(AM$3=$D149,AM$3=$AC149,AM$3=$AE149),"",IF(AM$3=$AD149,$F149&amp;"R",AM148))))</f>
        <v>wB</v>
      </c>
      <c r="AN149" s="11" t="str">
        <f aca="false">IF($P149=0,AN148,IF(AN$3=$E149,IF($AA149=1,$F149&amp;$AB149,$G149),IF(OR(AN$3=$D149,AN$3=$AC149,AN$3=$AE149),"",IF(AN$3=$AD149,$F149&amp;"R",AN148))))</f>
        <v>wN</v>
      </c>
      <c r="AO149" s="11" t="str">
        <f aca="false">IF($P149=0,AO148,IF(AO$3=$E149,IF($AA149=1,$F149&amp;$AB149,$G149),IF(OR(AO$3=$D149,AO$3=$AC149,AO$3=$AE149),"",IF(AO$3=$AD149,$F149&amp;"R",AO148))))</f>
        <v>wR</v>
      </c>
      <c r="AP149" s="11" t="str">
        <f aca="false">IF($P149=0,AP148,IF(AP$3=$E149,IF($AA149=1,$F149&amp;$AB149,$G149),IF(OR(AP$3=$D149,AP$3=$AC149,AP$3=$AE149),"",IF(AP$3=$AD149,$F149&amp;"R",AP148))))</f>
        <v>wP</v>
      </c>
      <c r="AQ149" s="11" t="str">
        <f aca="false">IF($P149=0,AQ148,IF(AQ$3=$E149,IF($AA149=1,$F149&amp;$AB149,$G149),IF(OR(AQ$3=$D149,AQ$3=$AC149,AQ$3=$AE149),"",IF(AQ$3=$AD149,$F149&amp;"R",AQ148))))</f>
        <v>wP</v>
      </c>
      <c r="AR149" s="11" t="str">
        <f aca="false">IF($P149=0,AR148,IF(AR$3=$E149,IF($AA149=1,$F149&amp;$AB149,$G149),IF(OR(AR$3=$D149,AR$3=$AC149,AR$3=$AE149),"",IF(AR$3=$AD149,$F149&amp;"R",AR148))))</f>
        <v>wP</v>
      </c>
      <c r="AS149" s="11" t="str">
        <f aca="false">IF($P149=0,AS148,IF(AS$3=$E149,IF($AA149=1,$F149&amp;$AB149,$G149),IF(OR(AS$3=$D149,AS$3=$AC149,AS$3=$AE149),"",IF(AS$3=$AD149,$F149&amp;"R",AS148))))</f>
        <v>wP</v>
      </c>
      <c r="AT149" s="11" t="str">
        <f aca="false">IF($P149=0,AT148,IF(AT$3=$E149,IF($AA149=1,$F149&amp;$AB149,$G149),IF(OR(AT$3=$D149,AT$3=$AC149,AT$3=$AE149),"",IF(AT$3=$AD149,$F149&amp;"R",AT148))))</f>
        <v>wP</v>
      </c>
      <c r="AU149" s="11" t="str">
        <f aca="false">IF($P149=0,AU148,IF(AU$3=$E149,IF($AA149=1,$F149&amp;$AB149,$G149),IF(OR(AU$3=$D149,AU$3=$AC149,AU$3=$AE149),"",IF(AU$3=$AD149,$F149&amp;"R",AU148))))</f>
        <v>wP</v>
      </c>
      <c r="AV149" s="11" t="str">
        <f aca="false">IF($P149=0,AV148,IF(AV$3=$E149,IF($AA149=1,$F149&amp;$AB149,$G149),IF(OR(AV$3=$D149,AV$3=$AC149,AV$3=$AE149),"",IF(AV$3=$AD149,$F149&amp;"R",AV148))))</f>
        <v>wP</v>
      </c>
      <c r="AW149" s="11" t="str">
        <f aca="false">IF($P149=0,AW148,IF(AW$3=$E149,IF($AA149=1,$F149&amp;$AB149,$G149),IF(OR(AW$3=$D149,AW$3=$AC149,AW$3=$AE149),"",IF(AW$3=$AD149,$F149&amp;"R",AW148))))</f>
        <v>wP</v>
      </c>
      <c r="AX149" s="11" t="str">
        <f aca="false">IF($P149=0,AX148,IF(AX$3=$E149,IF($AA149=1,$F149&amp;$AB149,$G149),IF(OR(AX$3=$D149,AX$3=$AC149,AX$3=$AE149),"",IF(AX$3=$AD149,$F149&amp;"R",AX148))))</f>
        <v/>
      </c>
      <c r="AY149" s="11" t="str">
        <f aca="false">IF($P149=0,AY148,IF(AY$3=$E149,IF($AA149=1,$F149&amp;$AB149,$G149),IF(OR(AY$3=$D149,AY$3=$AC149,AY$3=$AE149),"",IF(AY$3=$AD149,$F149&amp;"R",AY148))))</f>
        <v/>
      </c>
      <c r="AZ149" s="11" t="str">
        <f aca="false">IF($P149=0,AZ148,IF(AZ$3=$E149,IF($AA149=1,$F149&amp;$AB149,$G149),IF(OR(AZ$3=$D149,AZ$3=$AC149,AZ$3=$AE149),"",IF(AZ$3=$AD149,$F149&amp;"R",AZ148))))</f>
        <v/>
      </c>
      <c r="BA149" s="11" t="str">
        <f aca="false">IF($P149=0,BA148,IF(BA$3=$E149,IF($AA149=1,$F149&amp;$AB149,$G149),IF(OR(BA$3=$D149,BA$3=$AC149,BA$3=$AE149),"",IF(BA$3=$AD149,$F149&amp;"R",BA148))))</f>
        <v/>
      </c>
      <c r="BB149" s="11" t="str">
        <f aca="false">IF($P149=0,BB148,IF(BB$3=$E149,IF($AA149=1,$F149&amp;$AB149,$G149),IF(OR(BB$3=$D149,BB$3=$AC149,BB$3=$AE149),"",IF(BB$3=$AD149,$F149&amp;"R",BB148))))</f>
        <v/>
      </c>
      <c r="BC149" s="11" t="str">
        <f aca="false">IF($P149=0,BC148,IF(BC$3=$E149,IF($AA149=1,$F149&amp;$AB149,$G149),IF(OR(BC$3=$D149,BC$3=$AC149,BC$3=$AE149),"",IF(BC$3=$AD149,$F149&amp;"R",BC148))))</f>
        <v/>
      </c>
      <c r="BD149" s="11" t="str">
        <f aca="false">IF($P149=0,BD148,IF(BD$3=$E149,IF($AA149=1,$F149&amp;$AB149,$G149),IF(OR(BD$3=$D149,BD$3=$AC149,BD$3=$AE149),"",IF(BD$3=$AD149,$F149&amp;"R",BD148))))</f>
        <v/>
      </c>
      <c r="BE149" s="11" t="str">
        <f aca="false">IF($P149=0,BE148,IF(BE$3=$E149,IF($AA149=1,$F149&amp;$AB149,$G149),IF(OR(BE$3=$D149,BE$3=$AC149,BE$3=$AE149),"",IF(BE$3=$AD149,$F149&amp;"R",BE148))))</f>
        <v/>
      </c>
      <c r="BF149" s="11" t="str">
        <f aca="false">IF($P149=0,BF148,IF(BF$3=$E149,IF($AA149=1,$F149&amp;$AB149,$G149),IF(OR(BF$3=$D149,BF$3=$AC149,BF$3=$AE149),"",IF(BF$3=$AD149,$F149&amp;"R",BF148))))</f>
        <v/>
      </c>
      <c r="BG149" s="11" t="str">
        <f aca="false">IF($P149=0,BG148,IF(BG$3=$E149,IF($AA149=1,$F149&amp;$AB149,$G149),IF(OR(BG$3=$D149,BG$3=$AC149,BG$3=$AE149),"",IF(BG$3=$AD149,$F149&amp;"R",BG148))))</f>
        <v/>
      </c>
      <c r="BH149" s="11" t="str">
        <f aca="false">IF($P149=0,BH148,IF(BH$3=$E149,IF($AA149=1,$F149&amp;$AB149,$G149),IF(OR(BH$3=$D149,BH$3=$AC149,BH$3=$AE149),"",IF(BH$3=$AD149,$F149&amp;"R",BH148))))</f>
        <v/>
      </c>
      <c r="BI149" s="11" t="str">
        <f aca="false">IF($P149=0,BI148,IF(BI$3=$E149,IF($AA149=1,$F149&amp;$AB149,$G149),IF(OR(BI$3=$D149,BI$3=$AC149,BI$3=$AE149),"",IF(BI$3=$AD149,$F149&amp;"R",BI148))))</f>
        <v/>
      </c>
      <c r="BJ149" s="11" t="str">
        <f aca="false">IF($P149=0,BJ148,IF(BJ$3=$E149,IF($AA149=1,$F149&amp;$AB149,$G149),IF(OR(BJ$3=$D149,BJ$3=$AC149,BJ$3=$AE149),"",IF(BJ$3=$AD149,$F149&amp;"R",BJ148))))</f>
        <v/>
      </c>
      <c r="BK149" s="11" t="str">
        <f aca="false">IF($P149=0,BK148,IF(BK$3=$E149,IF($AA149=1,$F149&amp;$AB149,$G149),IF(OR(BK$3=$D149,BK$3=$AC149,BK$3=$AE149),"",IF(BK$3=$AD149,$F149&amp;"R",BK148))))</f>
        <v/>
      </c>
      <c r="BL149" s="11" t="str">
        <f aca="false">IF($P149=0,BL148,IF(BL$3=$E149,IF($AA149=1,$F149&amp;$AB149,$G149),IF(OR(BL$3=$D149,BL$3=$AC149,BL$3=$AE149),"",IF(BL$3=$AD149,$F149&amp;"R",BL148))))</f>
        <v/>
      </c>
      <c r="BM149" s="11" t="str">
        <f aca="false">IF($P149=0,BM148,IF(BM$3=$E149,IF($AA149=1,$F149&amp;$AB149,$G149),IF(OR(BM$3=$D149,BM$3=$AC149,BM$3=$AE149),"",IF(BM$3=$AD149,$F149&amp;"R",BM148))))</f>
        <v/>
      </c>
      <c r="BN149" s="11" t="str">
        <f aca="false">IF($P149=0,BN148,IF(BN$3=$E149,IF($AA149=1,$F149&amp;$AB149,$G149),IF(OR(BN$3=$D149,BN$3=$AC149,BN$3=$AE149),"",IF(BN$3=$AD149,$F149&amp;"R",BN148))))</f>
        <v/>
      </c>
      <c r="BO149" s="11" t="str">
        <f aca="false">IF($P149=0,BO148,IF(BO$3=$E149,IF($AA149=1,$F149&amp;$AB149,$G149),IF(OR(BO$3=$D149,BO$3=$AC149,BO$3=$AE149),"",IF(BO$3=$AD149,$F149&amp;"R",BO148))))</f>
        <v/>
      </c>
      <c r="BP149" s="11" t="str">
        <f aca="false">IF($P149=0,BP148,IF(BP$3=$E149,IF($AA149=1,$F149&amp;$AB149,$G149),IF(OR(BP$3=$D149,BP$3=$AC149,BP$3=$AE149),"",IF(BP$3=$AD149,$F149&amp;"R",BP148))))</f>
        <v/>
      </c>
      <c r="BQ149" s="11" t="str">
        <f aca="false">IF($P149=0,BQ148,IF(BQ$3=$E149,IF($AA149=1,$F149&amp;$AB149,$G149),IF(OR(BQ$3=$D149,BQ$3=$AC149,BQ$3=$AE149),"",IF(BQ$3=$AD149,$F149&amp;"R",BQ148))))</f>
        <v/>
      </c>
      <c r="BR149" s="11" t="str">
        <f aca="false">IF($P149=0,BR148,IF(BR$3=$E149,IF($AA149=1,$F149&amp;$AB149,$G149),IF(OR(BR$3=$D149,BR$3=$AC149,BR$3=$AE149),"",IF(BR$3=$AD149,$F149&amp;"R",BR148))))</f>
        <v/>
      </c>
      <c r="BS149" s="11" t="str">
        <f aca="false">IF($P149=0,BS148,IF(BS$3=$E149,IF($AA149=1,$F149&amp;$AB149,$G149),IF(OR(BS$3=$D149,BS$3=$AC149,BS$3=$AE149),"",IF(BS$3=$AD149,$F149&amp;"R",BS148))))</f>
        <v/>
      </c>
      <c r="BT149" s="11" t="str">
        <f aca="false">IF($P149=0,BT148,IF(BT$3=$E149,IF($AA149=1,$F149&amp;$AB149,$G149),IF(OR(BT$3=$D149,BT$3=$AC149,BT$3=$AE149),"",IF(BT$3=$AD149,$F149&amp;"R",BT148))))</f>
        <v/>
      </c>
      <c r="BU149" s="11" t="str">
        <f aca="false">IF($P149=0,BU148,IF(BU$3=$E149,IF($AA149=1,$F149&amp;$AB149,$G149),IF(OR(BU$3=$D149,BU$3=$AC149,BU$3=$AE149),"",IF(BU$3=$AD149,$F149&amp;"R",BU148))))</f>
        <v/>
      </c>
      <c r="BV149" s="11" t="str">
        <f aca="false">IF($P149=0,BV148,IF(BV$3=$E149,IF($AA149=1,$F149&amp;$AB149,$G149),IF(OR(BV$3=$D149,BV$3=$AC149,BV$3=$AE149),"",IF(BV$3=$AD149,$F149&amp;"R",BV148))))</f>
        <v/>
      </c>
      <c r="BW149" s="11" t="str">
        <f aca="false">IF($P149=0,BW148,IF(BW$3=$E149,IF($AA149=1,$F149&amp;$AB149,$G149),IF(OR(BW$3=$D149,BW$3=$AC149,BW$3=$AE149),"",IF(BW$3=$AD149,$F149&amp;"R",BW148))))</f>
        <v/>
      </c>
      <c r="BX149" s="11" t="str">
        <f aca="false">IF($P149=0,BX148,IF(BX$3=$E149,IF($AA149=1,$F149&amp;$AB149,$G149),IF(OR(BX$3=$D149,BX$3=$AC149,BX$3=$AE149),"",IF(BX$3=$AD149,$F149&amp;"R",BX148))))</f>
        <v/>
      </c>
      <c r="BY149" s="11" t="str">
        <f aca="false">IF($P149=0,BY148,IF(BY$3=$E149,IF($AA149=1,$F149&amp;$AB149,$G149),IF(OR(BY$3=$D149,BY$3=$AC149,BY$3=$AE149),"",IF(BY$3=$AD149,$F149&amp;"R",BY148))))</f>
        <v/>
      </c>
      <c r="BZ149" s="11" t="str">
        <f aca="false">IF($P149=0,BZ148,IF(BZ$3=$E149,IF($AA149=1,$F149&amp;$AB149,$G149),IF(OR(BZ$3=$D149,BZ$3=$AC149,BZ$3=$AE149),"",IF(BZ$3=$AD149,$F149&amp;"R",BZ148))))</f>
        <v/>
      </c>
      <c r="CA149" s="11" t="str">
        <f aca="false">IF($P149=0,CA148,IF(CA$3=$E149,IF($AA149=1,$F149&amp;$AB149,$G149),IF(OR(CA$3=$D149,CA$3=$AC149,CA$3=$AE149),"",IF(CA$3=$AD149,$F149&amp;"R",CA148))))</f>
        <v/>
      </c>
      <c r="CB149" s="11" t="str">
        <f aca="false">IF($P149=0,CB148,IF(CB$3=$E149,IF($AA149=1,$F149&amp;$AB149,$G149),IF(OR(CB$3=$D149,CB$3=$AC149,CB$3=$AE149),"",IF(CB$3=$AD149,$F149&amp;"R",CB148))))</f>
        <v/>
      </c>
      <c r="CC149" s="11" t="str">
        <f aca="false">IF($P149=0,CC148,IF(CC$3=$E149,IF($AA149=1,$F149&amp;$AB149,$G149),IF(OR(CC$3=$D149,CC$3=$AC149,CC$3=$AE149),"",IF(CC$3=$AD149,$F149&amp;"R",CC148))))</f>
        <v/>
      </c>
      <c r="CD149" s="11" t="str">
        <f aca="false">IF($P149=0,CD148,IF(CD$3=$E149,IF($AA149=1,$F149&amp;$AB149,$G149),IF(OR(CD$3=$D149,CD$3=$AC149,CD$3=$AE149),"",IF(CD$3=$AD149,$F149&amp;"R",CD148))))</f>
        <v>bP</v>
      </c>
      <c r="CE149" s="11" t="str">
        <f aca="false">IF($P149=0,CE148,IF(CE$3=$E149,IF($AA149=1,$F149&amp;$AB149,$G149),IF(OR(CE$3=$D149,CE$3=$AC149,CE$3=$AE149),"",IF(CE$3=$AD149,$F149&amp;"R",CE148))))</f>
        <v>bP</v>
      </c>
      <c r="CF149" s="11" t="str">
        <f aca="false">IF($P149=0,CF148,IF(CF$3=$E149,IF($AA149=1,$F149&amp;$AB149,$G149),IF(OR(CF$3=$D149,CF$3=$AC149,CF$3=$AE149),"",IF(CF$3=$AD149,$F149&amp;"R",CF148))))</f>
        <v>bP</v>
      </c>
      <c r="CG149" s="11" t="str">
        <f aca="false">IF($P149=0,CG148,IF(CG$3=$E149,IF($AA149=1,$F149&amp;$AB149,$G149),IF(OR(CG$3=$D149,CG$3=$AC149,CG$3=$AE149),"",IF(CG$3=$AD149,$F149&amp;"R",CG148))))</f>
        <v>bP</v>
      </c>
      <c r="CH149" s="11" t="str">
        <f aca="false">IF($P149=0,CH148,IF(CH$3=$E149,IF($AA149=1,$F149&amp;$AB149,$G149),IF(OR(CH$3=$D149,CH$3=$AC149,CH$3=$AE149),"",IF(CH$3=$AD149,$F149&amp;"R",CH148))))</f>
        <v>bP</v>
      </c>
      <c r="CI149" s="11" t="str">
        <f aca="false">IF($P149=0,CI148,IF(CI$3=$E149,IF($AA149=1,$F149&amp;$AB149,$G149),IF(OR(CI$3=$D149,CI$3=$AC149,CI$3=$AE149),"",IF(CI$3=$AD149,$F149&amp;"R",CI148))))</f>
        <v>bP</v>
      </c>
      <c r="CJ149" s="11" t="str">
        <f aca="false">IF($P149=0,CJ148,IF(CJ$3=$E149,IF($AA149=1,$F149&amp;$AB149,$G149),IF(OR(CJ$3=$D149,CJ$3=$AC149,CJ$3=$AE149),"",IF(CJ$3=$AD149,$F149&amp;"R",CJ148))))</f>
        <v>bP</v>
      </c>
      <c r="CK149" s="11" t="str">
        <f aca="false">IF($P149=0,CK148,IF(CK$3=$E149,IF($AA149=1,$F149&amp;$AB149,$G149),IF(OR(CK$3=$D149,CK$3=$AC149,CK$3=$AE149),"",IF(CK$3=$AD149,$F149&amp;"R",CK148))))</f>
        <v>bP</v>
      </c>
      <c r="CL149" s="11" t="str">
        <f aca="false">IF($P149=0,CL148,IF(CL$3=$E149,IF($AA149=1,$F149&amp;$AB149,$G149),IF(OR(CL$3=$D149,CL$3=$AC149,CL$3=$AE149),"",IF(CL$3=$AD149,$F149&amp;"R",CL148))))</f>
        <v>bR</v>
      </c>
      <c r="CM149" s="11" t="str">
        <f aca="false">IF($P149=0,CM148,IF(CM$3=$E149,IF($AA149=1,$F149&amp;$AB149,$G149),IF(OR(CM$3=$D149,CM$3=$AC149,CM$3=$AE149),"",IF(CM$3=$AD149,$F149&amp;"R",CM148))))</f>
        <v>bN</v>
      </c>
      <c r="CN149" s="11" t="str">
        <f aca="false">IF($P149=0,CN148,IF(CN$3=$E149,IF($AA149=1,$F149&amp;$AB149,$G149),IF(OR(CN$3=$D149,CN$3=$AC149,CN$3=$AE149),"",IF(CN$3=$AD149,$F149&amp;"R",CN148))))</f>
        <v>bB</v>
      </c>
      <c r="CO149" s="11" t="str">
        <f aca="false">IF($P149=0,CO148,IF(CO$3=$E149,IF($AA149=1,$F149&amp;$AB149,$G149),IF(OR(CO$3=$D149,CO$3=$AC149,CO$3=$AE149),"",IF(CO$3=$AD149,$F149&amp;"R",CO148))))</f>
        <v>bQ</v>
      </c>
      <c r="CP149" s="11" t="str">
        <f aca="false">IF($P149=0,CP148,IF(CP$3=$E149,IF($AA149=1,$F149&amp;$AB149,$G149),IF(OR(CP$3=$D149,CP$3=$AC149,CP$3=$AE149),"",IF(CP$3=$AD149,$F149&amp;"R",CP148))))</f>
        <v>bK</v>
      </c>
      <c r="CQ149" s="11" t="str">
        <f aca="false">IF($P149=0,CQ148,IF(CQ$3=$E149,IF($AA149=1,$F149&amp;$AB149,$G149),IF(OR(CQ$3=$D149,CQ$3=$AC149,CQ$3=$AE149),"",IF(CQ$3=$AD149,$F149&amp;"R",CQ148))))</f>
        <v>bB</v>
      </c>
      <c r="CR149" s="11" t="str">
        <f aca="false">IF($P149=0,CR148,IF(CR$3=$E149,IF($AA149=1,$F149&amp;$AB149,$G149),IF(OR(CR$3=$D149,CR$3=$AC149,CR$3=$AE149),"",IF(CR$3=$AD149,$F149&amp;"R",CR148))))</f>
        <v>bN</v>
      </c>
      <c r="CS149" s="11" t="str">
        <f aca="false">IF($P149=0,CS148,IF(CS$3=$E149,IF($AA149=1,$F149&amp;$AB149,$G149),IF(OR(CS$3=$D149,CS$3=$AC149,CS$3=$AE149),"",IF(CS$3=$AD149,$F149&amp;"R",CS148))))</f>
        <v>bR</v>
      </c>
      <c r="CT149" s="11"/>
      <c r="CU149" s="11"/>
      <c r="CV149" s="11"/>
    </row>
    <row r="150" customFormat="false" ht="15" hidden="false" customHeight="false" outlineLevel="0" collapsed="false">
      <c r="A150" s="11" t="n">
        <v>145</v>
      </c>
      <c r="B150" s="11" t="str">
        <f aca="false">IF(Chess!$L$154="","",Chess!$L$154&amp;"")</f>
        <v/>
      </c>
      <c r="C150" s="11" t="str">
        <f aca="false">LOWER(SUBSTITUTE(SUBSTITUTE(SUBSTITUTE(SUBSTITUTE(TRIM($B150),"-",""),"=","")," ",""),"x",""))</f>
        <v/>
      </c>
      <c r="D150" s="11" t="n">
        <f aca="false">IF(LEN($C150)&lt;4,0,IFERROR(IF(AND(CODE(MID($C150,1,1))&gt;=97,CODE(MID($C150,1,1))&lt;=104,VALUE(MID($C150,2,1))&gt;=1,VALUE(MID($C150,2,1))&lt;=8),(VALUE(MID($C150,2,1))-1)*8+CODE(MID($C150,1,1))-96,0),0))</f>
        <v>0</v>
      </c>
      <c r="E150" s="11" t="n">
        <f aca="false">IF(LEN($C150)&lt;4,0,IFERROR(IF(AND(CODE(MID($C150,3,1))&gt;=97,CODE(MID($C150,3,1))&lt;=104,VALUE(MID($C150,4,1))&gt;=1,VALUE(MID($C150,4,1))&lt;=8),(VALUE(MID($C150,4,1))-1)*8+CODE(MID($C150,3,1))-96,0),0))</f>
        <v>0</v>
      </c>
      <c r="F150" s="11" t="str">
        <f aca="false">IF(MOD(SUM($P$5:$P149),2)=0,"w","b")</f>
        <v>w</v>
      </c>
      <c r="G150" s="11" t="str">
        <f aca="false">IF($D150=0,"",INDEX($AH149:$CS149,1,$D150)&amp;"")</f>
        <v/>
      </c>
      <c r="H150" s="11" t="str">
        <f aca="false">IF($E150=0,"",INDEX($AH149:$CS149,1,$E150)&amp;"")</f>
        <v/>
      </c>
      <c r="I150" s="11" t="n">
        <f aca="false">IF(OR($D150=0,$E150=0),0,MOD($E150-1,8)-MOD($D150-1,8))</f>
        <v>0</v>
      </c>
      <c r="J150" s="11" t="n">
        <f aca="false">IF(OR($D150=0,$E150=0),0,INT(($E150-1)/8)-INT(($D150-1)/8))</f>
        <v>0</v>
      </c>
      <c r="K150" s="11" t="str">
        <f aca="false">IF($G150="","",RIGHT($G150,1))</f>
        <v/>
      </c>
      <c r="L150" s="11" t="n">
        <f aca="false">IF(OR($D150=0,$E150=0),0,SUMPRODUCT(($AH$3:$CS$3&gt;MIN($D150,$E150))*($AH$3:$CS$3&lt;MAX($D150,$E150))*(MOD($AH$3:$CS$3-MIN($D150,$E150),MAX(1,ABS(SIGN($J150)*8+SIGN($I150))))=0)*($AH149:$CS149&lt;&gt;"")))</f>
        <v>0</v>
      </c>
      <c r="M150" s="11" t="n">
        <f aca="false">IF($K150&lt;&gt;"K",0,IFERROR(--AND($J150=0,ABS($I150)=2,$D150=IF($F150="w",5,61),IF($F150="w",$S149,$V149)=0,IF($I150=2,AND(IF($F150="w",$U149,$X149)=0,INDEX($AH149:$CS149,1,$D150+1)&amp;""="",INDEX($AH149:$CS149,1,$D150+2)&amp;""=""),AND(IF($F150="w",$T149,$W149)=0,INDEX($AH149:$CS149,1,$D150-1)&amp;""="",INDEX($AH149:$CS149,1,$D150-2)&amp;""="",INDEX($AH149:$CS149,1,$D150-3)&amp;""=""))),0))</f>
        <v>0</v>
      </c>
      <c r="N150" s="11" t="n">
        <f aca="false">IF($K150&lt;&gt;"P",0,IFERROR(--OR(AND($I150=0,$J150=IF($F150="w",1,-1),$H150=""),AND($I150=0,$J150=2*IF($F150="w",1,-1),$H150="",INT(($D150-1)/8)=IF($F150="w",1,6),INDEX($AH149:$CS149,1,MAX(1,MIN(64,$D150+8*IF($F150="w",1,-1))))&amp;""=""),AND(ABS($I150)=1,$J150=IF($F150="w",1,-1),$H150&lt;&gt;""),AND(ABS($I150)=1,$J150=IF($F150="w",1,-1),$H150="",$R149&gt;0,$E150=$R149)),0))</f>
        <v>0</v>
      </c>
      <c r="O150" s="11" t="n">
        <f aca="false">IF(OR($D150=0,$E150=0,$G150=""),0,IF($K150="N",--OR(AND(ABS($I150)=1,ABS($J150)=2),AND(ABS($I150)=2,ABS($J150)=1)),IF($K150="B",--AND(ABS($I150)=ABS($J150),$I150&lt;&gt;0,$L150=0),IF($K150="R",--AND(OR($I150=0,$J150=0),OR($I150&lt;&gt;0,$J150&lt;&gt;0),$L150=0),IF($K150="Q",--AND(OR(AND(ABS($I150)=ABS($J150),$I150&lt;&gt;0),AND(OR($I150=0,$J150=0),OR($I150&lt;&gt;0,$J150&lt;&gt;0))),$L150=0),IF($K150="K",--OR(MAX(ABS($I150),ABS($J150))=1,$M150=1),$N150))))))</f>
        <v>0</v>
      </c>
      <c r="P150" s="11" t="n">
        <f aca="false">IF($Q150="OK",1,0)</f>
        <v>0</v>
      </c>
      <c r="Q150" s="11" t="str">
        <f aca="false">IF($B150="","",IF(OR(COUNTIF($AH149:$CS149,"wK")=0,COUNTIF($AH149:$CS149,"bK")=0),"Game is over",IF(OR($D150=0,$E150=0),"Use the format e2e4",IF($G150="","No piece on that square",IF(LEFT($G150,1)&lt;&gt;$F150,"Not your piece ("&amp;IF($F150="w","White","Black")&amp;" to move)",IF($D150=$E150,"Piece must move",IF(AND($H150&lt;&gt;"",LEFT($H150,1)=$F150),"Cannot capture your own piece",IF($O150=0,"Illegal move for that piece (or path blocked)","OK"))))))))</f>
        <v/>
      </c>
      <c r="R150" s="11" t="n">
        <f aca="false">IF($P150=1,IF(AND($K150="P",ABS($J150)=2),($D150+$E150)/2,0),$R149)</f>
        <v>0</v>
      </c>
      <c r="S150" s="12" t="b">
        <f aca="false">--OR($S149=1,AND($P150=1,OR($D150=5,$E150=5)))</f>
        <v>0</v>
      </c>
      <c r="T150" s="12" t="b">
        <f aca="false">--OR($T149=1,AND($P150=1,OR($D150=1,$E150=1)))</f>
        <v>0</v>
      </c>
      <c r="U150" s="12" t="b">
        <f aca="false">--OR($U149=1,AND($P150=1,OR($D150=8,$E150=8)))</f>
        <v>0</v>
      </c>
      <c r="V150" s="12" t="b">
        <f aca="false">--OR($V149=1,AND($P150=1,OR($D150=61,$E150=61)))</f>
        <v>0</v>
      </c>
      <c r="W150" s="12" t="b">
        <f aca="false">--OR($W149=1,AND($P150=1,OR($D150=57,$E150=57)))</f>
        <v>0</v>
      </c>
      <c r="X150" s="12" t="b">
        <f aca="false">--OR($X149=1,AND($P150=1,OR($D150=64,$E150=64)))</f>
        <v>0</v>
      </c>
      <c r="Y150" s="12" t="b">
        <f aca="false">--AND($P150=1,$K150="K",ABS($I150)=2)</f>
        <v>0</v>
      </c>
      <c r="Z150" s="12" t="b">
        <f aca="false">--AND($P150=1,$K150="P",ABS($I150)=1,$H150="")</f>
        <v>0</v>
      </c>
      <c r="AA150" s="12" t="b">
        <f aca="false">--AND($P150=1,$K150="P",INT(($E150-1)/8)=IF($F150="w",7,0))</f>
        <v>0</v>
      </c>
      <c r="AB150" s="11" t="str">
        <f aca="false">IF(LEN($C150)&gt;=5,IF(ISNUMBER(FIND(MID($C150,5,1),"qrbn")),UPPER(MID($C150,5,1)),"Q"),"Q")</f>
        <v>Q</v>
      </c>
      <c r="AC150" s="11" t="n">
        <f aca="false">IF($Y150=1,IF($I150=2,$D150+3,$D150-4),0)</f>
        <v>0</v>
      </c>
      <c r="AD150" s="11" t="n">
        <f aca="false">IF($Y150=1,IF($I150=2,$D150+1,$D150-1),0)</f>
        <v>0</v>
      </c>
      <c r="AE150" s="11" t="n">
        <f aca="false">IF($Z150=1,$E150-8*IF($F150="w",1,-1),0)</f>
        <v>0</v>
      </c>
      <c r="AF150" s="11" t="str">
        <f aca="false">IF($B150="","",IF($P150=1,LOWER(INDEX($CV$2:$CV$13,MATCH($G150,$CU$2:$CU$13,0)))&amp;" "&amp;MID("abcdefgh",MOD($D150-1,8)+1,1)&amp;(INT(($D150-1)/8)+1)&amp;"→"&amp;MID("abcdefgh",MOD($E150-1,8)+1,1)&amp;(INT(($E150-1)/8)+1)&amp;IF(OR($H150&lt;&gt;"",$Z150=1)," ×","")&amp;IF($Y150=1," castles","")&amp;IF($Z150=1," e.p.","")&amp;IF($AA150=1," =" &amp;LOWER(INDEX($CV$2:$CV$13,MATCH($F150&amp;$AB150,$CU$2:$CU$13,0))),""),"X "&amp;$Q150))</f>
        <v/>
      </c>
      <c r="AG150" s="11"/>
      <c r="AH150" s="11" t="str">
        <f aca="false">IF($P150=0,AH149,IF(AH$3=$E150,IF($AA150=1,$F150&amp;$AB150,$G150),IF(OR(AH$3=$D150,AH$3=$AC150,AH$3=$AE150),"",IF(AH$3=$AD150,$F150&amp;"R",AH149))))</f>
        <v>wR</v>
      </c>
      <c r="AI150" s="11" t="str">
        <f aca="false">IF($P150=0,AI149,IF(AI$3=$E150,IF($AA150=1,$F150&amp;$AB150,$G150),IF(OR(AI$3=$D150,AI$3=$AC150,AI$3=$AE150),"",IF(AI$3=$AD150,$F150&amp;"R",AI149))))</f>
        <v>wN</v>
      </c>
      <c r="AJ150" s="11" t="str">
        <f aca="false">IF($P150=0,AJ149,IF(AJ$3=$E150,IF($AA150=1,$F150&amp;$AB150,$G150),IF(OR(AJ$3=$D150,AJ$3=$AC150,AJ$3=$AE150),"",IF(AJ$3=$AD150,$F150&amp;"R",AJ149))))</f>
        <v>wB</v>
      </c>
      <c r="AK150" s="11" t="str">
        <f aca="false">IF($P150=0,AK149,IF(AK$3=$E150,IF($AA150=1,$F150&amp;$AB150,$G150),IF(OR(AK$3=$D150,AK$3=$AC150,AK$3=$AE150),"",IF(AK$3=$AD150,$F150&amp;"R",AK149))))</f>
        <v>wQ</v>
      </c>
      <c r="AL150" s="11" t="str">
        <f aca="false">IF($P150=0,AL149,IF(AL$3=$E150,IF($AA150=1,$F150&amp;$AB150,$G150),IF(OR(AL$3=$D150,AL$3=$AC150,AL$3=$AE150),"",IF(AL$3=$AD150,$F150&amp;"R",AL149))))</f>
        <v>wK</v>
      </c>
      <c r="AM150" s="11" t="str">
        <f aca="false">IF($P150=0,AM149,IF(AM$3=$E150,IF($AA150=1,$F150&amp;$AB150,$G150),IF(OR(AM$3=$D150,AM$3=$AC150,AM$3=$AE150),"",IF(AM$3=$AD150,$F150&amp;"R",AM149))))</f>
        <v>wB</v>
      </c>
      <c r="AN150" s="11" t="str">
        <f aca="false">IF($P150=0,AN149,IF(AN$3=$E150,IF($AA150=1,$F150&amp;$AB150,$G150),IF(OR(AN$3=$D150,AN$3=$AC150,AN$3=$AE150),"",IF(AN$3=$AD150,$F150&amp;"R",AN149))))</f>
        <v>wN</v>
      </c>
      <c r="AO150" s="11" t="str">
        <f aca="false">IF($P150=0,AO149,IF(AO$3=$E150,IF($AA150=1,$F150&amp;$AB150,$G150),IF(OR(AO$3=$D150,AO$3=$AC150,AO$3=$AE150),"",IF(AO$3=$AD150,$F150&amp;"R",AO149))))</f>
        <v>wR</v>
      </c>
      <c r="AP150" s="11" t="str">
        <f aca="false">IF($P150=0,AP149,IF(AP$3=$E150,IF($AA150=1,$F150&amp;$AB150,$G150),IF(OR(AP$3=$D150,AP$3=$AC150,AP$3=$AE150),"",IF(AP$3=$AD150,$F150&amp;"R",AP149))))</f>
        <v>wP</v>
      </c>
      <c r="AQ150" s="11" t="str">
        <f aca="false">IF($P150=0,AQ149,IF(AQ$3=$E150,IF($AA150=1,$F150&amp;$AB150,$G150),IF(OR(AQ$3=$D150,AQ$3=$AC150,AQ$3=$AE150),"",IF(AQ$3=$AD150,$F150&amp;"R",AQ149))))</f>
        <v>wP</v>
      </c>
      <c r="AR150" s="11" t="str">
        <f aca="false">IF($P150=0,AR149,IF(AR$3=$E150,IF($AA150=1,$F150&amp;$AB150,$G150),IF(OR(AR$3=$D150,AR$3=$AC150,AR$3=$AE150),"",IF(AR$3=$AD150,$F150&amp;"R",AR149))))</f>
        <v>wP</v>
      </c>
      <c r="AS150" s="11" t="str">
        <f aca="false">IF($P150=0,AS149,IF(AS$3=$E150,IF($AA150=1,$F150&amp;$AB150,$G150),IF(OR(AS$3=$D150,AS$3=$AC150,AS$3=$AE150),"",IF(AS$3=$AD150,$F150&amp;"R",AS149))))</f>
        <v>wP</v>
      </c>
      <c r="AT150" s="11" t="str">
        <f aca="false">IF($P150=0,AT149,IF(AT$3=$E150,IF($AA150=1,$F150&amp;$AB150,$G150),IF(OR(AT$3=$D150,AT$3=$AC150,AT$3=$AE150),"",IF(AT$3=$AD150,$F150&amp;"R",AT149))))</f>
        <v>wP</v>
      </c>
      <c r="AU150" s="11" t="str">
        <f aca="false">IF($P150=0,AU149,IF(AU$3=$E150,IF($AA150=1,$F150&amp;$AB150,$G150),IF(OR(AU$3=$D150,AU$3=$AC150,AU$3=$AE150),"",IF(AU$3=$AD150,$F150&amp;"R",AU149))))</f>
        <v>wP</v>
      </c>
      <c r="AV150" s="11" t="str">
        <f aca="false">IF($P150=0,AV149,IF(AV$3=$E150,IF($AA150=1,$F150&amp;$AB150,$G150),IF(OR(AV$3=$D150,AV$3=$AC150,AV$3=$AE150),"",IF(AV$3=$AD150,$F150&amp;"R",AV149))))</f>
        <v>wP</v>
      </c>
      <c r="AW150" s="11" t="str">
        <f aca="false">IF($P150=0,AW149,IF(AW$3=$E150,IF($AA150=1,$F150&amp;$AB150,$G150),IF(OR(AW$3=$D150,AW$3=$AC150,AW$3=$AE150),"",IF(AW$3=$AD150,$F150&amp;"R",AW149))))</f>
        <v>wP</v>
      </c>
      <c r="AX150" s="11" t="str">
        <f aca="false">IF($P150=0,AX149,IF(AX$3=$E150,IF($AA150=1,$F150&amp;$AB150,$G150),IF(OR(AX$3=$D150,AX$3=$AC150,AX$3=$AE150),"",IF(AX$3=$AD150,$F150&amp;"R",AX149))))</f>
        <v/>
      </c>
      <c r="AY150" s="11" t="str">
        <f aca="false">IF($P150=0,AY149,IF(AY$3=$E150,IF($AA150=1,$F150&amp;$AB150,$G150),IF(OR(AY$3=$D150,AY$3=$AC150,AY$3=$AE150),"",IF(AY$3=$AD150,$F150&amp;"R",AY149))))</f>
        <v/>
      </c>
      <c r="AZ150" s="11" t="str">
        <f aca="false">IF($P150=0,AZ149,IF(AZ$3=$E150,IF($AA150=1,$F150&amp;$AB150,$G150),IF(OR(AZ$3=$D150,AZ$3=$AC150,AZ$3=$AE150),"",IF(AZ$3=$AD150,$F150&amp;"R",AZ149))))</f>
        <v/>
      </c>
      <c r="BA150" s="11" t="str">
        <f aca="false">IF($P150=0,BA149,IF(BA$3=$E150,IF($AA150=1,$F150&amp;$AB150,$G150),IF(OR(BA$3=$D150,BA$3=$AC150,BA$3=$AE150),"",IF(BA$3=$AD150,$F150&amp;"R",BA149))))</f>
        <v/>
      </c>
      <c r="BB150" s="11" t="str">
        <f aca="false">IF($P150=0,BB149,IF(BB$3=$E150,IF($AA150=1,$F150&amp;$AB150,$G150),IF(OR(BB$3=$D150,BB$3=$AC150,BB$3=$AE150),"",IF(BB$3=$AD150,$F150&amp;"R",BB149))))</f>
        <v/>
      </c>
      <c r="BC150" s="11" t="str">
        <f aca="false">IF($P150=0,BC149,IF(BC$3=$E150,IF($AA150=1,$F150&amp;$AB150,$G150),IF(OR(BC$3=$D150,BC$3=$AC150,BC$3=$AE150),"",IF(BC$3=$AD150,$F150&amp;"R",BC149))))</f>
        <v/>
      </c>
      <c r="BD150" s="11" t="str">
        <f aca="false">IF($P150=0,BD149,IF(BD$3=$E150,IF($AA150=1,$F150&amp;$AB150,$G150),IF(OR(BD$3=$D150,BD$3=$AC150,BD$3=$AE150),"",IF(BD$3=$AD150,$F150&amp;"R",BD149))))</f>
        <v/>
      </c>
      <c r="BE150" s="11" t="str">
        <f aca="false">IF($P150=0,BE149,IF(BE$3=$E150,IF($AA150=1,$F150&amp;$AB150,$G150),IF(OR(BE$3=$D150,BE$3=$AC150,BE$3=$AE150),"",IF(BE$3=$AD150,$F150&amp;"R",BE149))))</f>
        <v/>
      </c>
      <c r="BF150" s="11" t="str">
        <f aca="false">IF($P150=0,BF149,IF(BF$3=$E150,IF($AA150=1,$F150&amp;$AB150,$G150),IF(OR(BF$3=$D150,BF$3=$AC150,BF$3=$AE150),"",IF(BF$3=$AD150,$F150&amp;"R",BF149))))</f>
        <v/>
      </c>
      <c r="BG150" s="11" t="str">
        <f aca="false">IF($P150=0,BG149,IF(BG$3=$E150,IF($AA150=1,$F150&amp;$AB150,$G150),IF(OR(BG$3=$D150,BG$3=$AC150,BG$3=$AE150),"",IF(BG$3=$AD150,$F150&amp;"R",BG149))))</f>
        <v/>
      </c>
      <c r="BH150" s="11" t="str">
        <f aca="false">IF($P150=0,BH149,IF(BH$3=$E150,IF($AA150=1,$F150&amp;$AB150,$G150),IF(OR(BH$3=$D150,BH$3=$AC150,BH$3=$AE150),"",IF(BH$3=$AD150,$F150&amp;"R",BH149))))</f>
        <v/>
      </c>
      <c r="BI150" s="11" t="str">
        <f aca="false">IF($P150=0,BI149,IF(BI$3=$E150,IF($AA150=1,$F150&amp;$AB150,$G150),IF(OR(BI$3=$D150,BI$3=$AC150,BI$3=$AE150),"",IF(BI$3=$AD150,$F150&amp;"R",BI149))))</f>
        <v/>
      </c>
      <c r="BJ150" s="11" t="str">
        <f aca="false">IF($P150=0,BJ149,IF(BJ$3=$E150,IF($AA150=1,$F150&amp;$AB150,$G150),IF(OR(BJ$3=$D150,BJ$3=$AC150,BJ$3=$AE150),"",IF(BJ$3=$AD150,$F150&amp;"R",BJ149))))</f>
        <v/>
      </c>
      <c r="BK150" s="11" t="str">
        <f aca="false">IF($P150=0,BK149,IF(BK$3=$E150,IF($AA150=1,$F150&amp;$AB150,$G150),IF(OR(BK$3=$D150,BK$3=$AC150,BK$3=$AE150),"",IF(BK$3=$AD150,$F150&amp;"R",BK149))))</f>
        <v/>
      </c>
      <c r="BL150" s="11" t="str">
        <f aca="false">IF($P150=0,BL149,IF(BL$3=$E150,IF($AA150=1,$F150&amp;$AB150,$G150),IF(OR(BL$3=$D150,BL$3=$AC150,BL$3=$AE150),"",IF(BL$3=$AD150,$F150&amp;"R",BL149))))</f>
        <v/>
      </c>
      <c r="BM150" s="11" t="str">
        <f aca="false">IF($P150=0,BM149,IF(BM$3=$E150,IF($AA150=1,$F150&amp;$AB150,$G150),IF(OR(BM$3=$D150,BM$3=$AC150,BM$3=$AE150),"",IF(BM$3=$AD150,$F150&amp;"R",BM149))))</f>
        <v/>
      </c>
      <c r="BN150" s="11" t="str">
        <f aca="false">IF($P150=0,BN149,IF(BN$3=$E150,IF($AA150=1,$F150&amp;$AB150,$G150),IF(OR(BN$3=$D150,BN$3=$AC150,BN$3=$AE150),"",IF(BN$3=$AD150,$F150&amp;"R",BN149))))</f>
        <v/>
      </c>
      <c r="BO150" s="11" t="str">
        <f aca="false">IF($P150=0,BO149,IF(BO$3=$E150,IF($AA150=1,$F150&amp;$AB150,$G150),IF(OR(BO$3=$D150,BO$3=$AC150,BO$3=$AE150),"",IF(BO$3=$AD150,$F150&amp;"R",BO149))))</f>
        <v/>
      </c>
      <c r="BP150" s="11" t="str">
        <f aca="false">IF($P150=0,BP149,IF(BP$3=$E150,IF($AA150=1,$F150&amp;$AB150,$G150),IF(OR(BP$3=$D150,BP$3=$AC150,BP$3=$AE150),"",IF(BP$3=$AD150,$F150&amp;"R",BP149))))</f>
        <v/>
      </c>
      <c r="BQ150" s="11" t="str">
        <f aca="false">IF($P150=0,BQ149,IF(BQ$3=$E150,IF($AA150=1,$F150&amp;$AB150,$G150),IF(OR(BQ$3=$D150,BQ$3=$AC150,BQ$3=$AE150),"",IF(BQ$3=$AD150,$F150&amp;"R",BQ149))))</f>
        <v/>
      </c>
      <c r="BR150" s="11" t="str">
        <f aca="false">IF($P150=0,BR149,IF(BR$3=$E150,IF($AA150=1,$F150&amp;$AB150,$G150),IF(OR(BR$3=$D150,BR$3=$AC150,BR$3=$AE150),"",IF(BR$3=$AD150,$F150&amp;"R",BR149))))</f>
        <v/>
      </c>
      <c r="BS150" s="11" t="str">
        <f aca="false">IF($P150=0,BS149,IF(BS$3=$E150,IF($AA150=1,$F150&amp;$AB150,$G150),IF(OR(BS$3=$D150,BS$3=$AC150,BS$3=$AE150),"",IF(BS$3=$AD150,$F150&amp;"R",BS149))))</f>
        <v/>
      </c>
      <c r="BT150" s="11" t="str">
        <f aca="false">IF($P150=0,BT149,IF(BT$3=$E150,IF($AA150=1,$F150&amp;$AB150,$G150),IF(OR(BT$3=$D150,BT$3=$AC150,BT$3=$AE150),"",IF(BT$3=$AD150,$F150&amp;"R",BT149))))</f>
        <v/>
      </c>
      <c r="BU150" s="11" t="str">
        <f aca="false">IF($P150=0,BU149,IF(BU$3=$E150,IF($AA150=1,$F150&amp;$AB150,$G150),IF(OR(BU$3=$D150,BU$3=$AC150,BU$3=$AE150),"",IF(BU$3=$AD150,$F150&amp;"R",BU149))))</f>
        <v/>
      </c>
      <c r="BV150" s="11" t="str">
        <f aca="false">IF($P150=0,BV149,IF(BV$3=$E150,IF($AA150=1,$F150&amp;$AB150,$G150),IF(OR(BV$3=$D150,BV$3=$AC150,BV$3=$AE150),"",IF(BV$3=$AD150,$F150&amp;"R",BV149))))</f>
        <v/>
      </c>
      <c r="BW150" s="11" t="str">
        <f aca="false">IF($P150=0,BW149,IF(BW$3=$E150,IF($AA150=1,$F150&amp;$AB150,$G150),IF(OR(BW$3=$D150,BW$3=$AC150,BW$3=$AE150),"",IF(BW$3=$AD150,$F150&amp;"R",BW149))))</f>
        <v/>
      </c>
      <c r="BX150" s="11" t="str">
        <f aca="false">IF($P150=0,BX149,IF(BX$3=$E150,IF($AA150=1,$F150&amp;$AB150,$G150),IF(OR(BX$3=$D150,BX$3=$AC150,BX$3=$AE150),"",IF(BX$3=$AD150,$F150&amp;"R",BX149))))</f>
        <v/>
      </c>
      <c r="BY150" s="11" t="str">
        <f aca="false">IF($P150=0,BY149,IF(BY$3=$E150,IF($AA150=1,$F150&amp;$AB150,$G150),IF(OR(BY$3=$D150,BY$3=$AC150,BY$3=$AE150),"",IF(BY$3=$AD150,$F150&amp;"R",BY149))))</f>
        <v/>
      </c>
      <c r="BZ150" s="11" t="str">
        <f aca="false">IF($P150=0,BZ149,IF(BZ$3=$E150,IF($AA150=1,$F150&amp;$AB150,$G150),IF(OR(BZ$3=$D150,BZ$3=$AC150,BZ$3=$AE150),"",IF(BZ$3=$AD150,$F150&amp;"R",BZ149))))</f>
        <v/>
      </c>
      <c r="CA150" s="11" t="str">
        <f aca="false">IF($P150=0,CA149,IF(CA$3=$E150,IF($AA150=1,$F150&amp;$AB150,$G150),IF(OR(CA$3=$D150,CA$3=$AC150,CA$3=$AE150),"",IF(CA$3=$AD150,$F150&amp;"R",CA149))))</f>
        <v/>
      </c>
      <c r="CB150" s="11" t="str">
        <f aca="false">IF($P150=0,CB149,IF(CB$3=$E150,IF($AA150=1,$F150&amp;$AB150,$G150),IF(OR(CB$3=$D150,CB$3=$AC150,CB$3=$AE150),"",IF(CB$3=$AD150,$F150&amp;"R",CB149))))</f>
        <v/>
      </c>
      <c r="CC150" s="11" t="str">
        <f aca="false">IF($P150=0,CC149,IF(CC$3=$E150,IF($AA150=1,$F150&amp;$AB150,$G150),IF(OR(CC$3=$D150,CC$3=$AC150,CC$3=$AE150),"",IF(CC$3=$AD150,$F150&amp;"R",CC149))))</f>
        <v/>
      </c>
      <c r="CD150" s="11" t="str">
        <f aca="false">IF($P150=0,CD149,IF(CD$3=$E150,IF($AA150=1,$F150&amp;$AB150,$G150),IF(OR(CD$3=$D150,CD$3=$AC150,CD$3=$AE150),"",IF(CD$3=$AD150,$F150&amp;"R",CD149))))</f>
        <v>bP</v>
      </c>
      <c r="CE150" s="11" t="str">
        <f aca="false">IF($P150=0,CE149,IF(CE$3=$E150,IF($AA150=1,$F150&amp;$AB150,$G150),IF(OR(CE$3=$D150,CE$3=$AC150,CE$3=$AE150),"",IF(CE$3=$AD150,$F150&amp;"R",CE149))))</f>
        <v>bP</v>
      </c>
      <c r="CF150" s="11" t="str">
        <f aca="false">IF($P150=0,CF149,IF(CF$3=$E150,IF($AA150=1,$F150&amp;$AB150,$G150),IF(OR(CF$3=$D150,CF$3=$AC150,CF$3=$AE150),"",IF(CF$3=$AD150,$F150&amp;"R",CF149))))</f>
        <v>bP</v>
      </c>
      <c r="CG150" s="11" t="str">
        <f aca="false">IF($P150=0,CG149,IF(CG$3=$E150,IF($AA150=1,$F150&amp;$AB150,$G150),IF(OR(CG$3=$D150,CG$3=$AC150,CG$3=$AE150),"",IF(CG$3=$AD150,$F150&amp;"R",CG149))))</f>
        <v>bP</v>
      </c>
      <c r="CH150" s="11" t="str">
        <f aca="false">IF($P150=0,CH149,IF(CH$3=$E150,IF($AA150=1,$F150&amp;$AB150,$G150),IF(OR(CH$3=$D150,CH$3=$AC150,CH$3=$AE150),"",IF(CH$3=$AD150,$F150&amp;"R",CH149))))</f>
        <v>bP</v>
      </c>
      <c r="CI150" s="11" t="str">
        <f aca="false">IF($P150=0,CI149,IF(CI$3=$E150,IF($AA150=1,$F150&amp;$AB150,$G150),IF(OR(CI$3=$D150,CI$3=$AC150,CI$3=$AE150),"",IF(CI$3=$AD150,$F150&amp;"R",CI149))))</f>
        <v>bP</v>
      </c>
      <c r="CJ150" s="11" t="str">
        <f aca="false">IF($P150=0,CJ149,IF(CJ$3=$E150,IF($AA150=1,$F150&amp;$AB150,$G150),IF(OR(CJ$3=$D150,CJ$3=$AC150,CJ$3=$AE150),"",IF(CJ$3=$AD150,$F150&amp;"R",CJ149))))</f>
        <v>bP</v>
      </c>
      <c r="CK150" s="11" t="str">
        <f aca="false">IF($P150=0,CK149,IF(CK$3=$E150,IF($AA150=1,$F150&amp;$AB150,$G150),IF(OR(CK$3=$D150,CK$3=$AC150,CK$3=$AE150),"",IF(CK$3=$AD150,$F150&amp;"R",CK149))))</f>
        <v>bP</v>
      </c>
      <c r="CL150" s="11" t="str">
        <f aca="false">IF($P150=0,CL149,IF(CL$3=$E150,IF($AA150=1,$F150&amp;$AB150,$G150),IF(OR(CL$3=$D150,CL$3=$AC150,CL$3=$AE150),"",IF(CL$3=$AD150,$F150&amp;"R",CL149))))</f>
        <v>bR</v>
      </c>
      <c r="CM150" s="11" t="str">
        <f aca="false">IF($P150=0,CM149,IF(CM$3=$E150,IF($AA150=1,$F150&amp;$AB150,$G150),IF(OR(CM$3=$D150,CM$3=$AC150,CM$3=$AE150),"",IF(CM$3=$AD150,$F150&amp;"R",CM149))))</f>
        <v>bN</v>
      </c>
      <c r="CN150" s="11" t="str">
        <f aca="false">IF($P150=0,CN149,IF(CN$3=$E150,IF($AA150=1,$F150&amp;$AB150,$G150),IF(OR(CN$3=$D150,CN$3=$AC150,CN$3=$AE150),"",IF(CN$3=$AD150,$F150&amp;"R",CN149))))</f>
        <v>bB</v>
      </c>
      <c r="CO150" s="11" t="str">
        <f aca="false">IF($P150=0,CO149,IF(CO$3=$E150,IF($AA150=1,$F150&amp;$AB150,$G150),IF(OR(CO$3=$D150,CO$3=$AC150,CO$3=$AE150),"",IF(CO$3=$AD150,$F150&amp;"R",CO149))))</f>
        <v>bQ</v>
      </c>
      <c r="CP150" s="11" t="str">
        <f aca="false">IF($P150=0,CP149,IF(CP$3=$E150,IF($AA150=1,$F150&amp;$AB150,$G150),IF(OR(CP$3=$D150,CP$3=$AC150,CP$3=$AE150),"",IF(CP$3=$AD150,$F150&amp;"R",CP149))))</f>
        <v>bK</v>
      </c>
      <c r="CQ150" s="11" t="str">
        <f aca="false">IF($P150=0,CQ149,IF(CQ$3=$E150,IF($AA150=1,$F150&amp;$AB150,$G150),IF(OR(CQ$3=$D150,CQ$3=$AC150,CQ$3=$AE150),"",IF(CQ$3=$AD150,$F150&amp;"R",CQ149))))</f>
        <v>bB</v>
      </c>
      <c r="CR150" s="11" t="str">
        <f aca="false">IF($P150=0,CR149,IF(CR$3=$E150,IF($AA150=1,$F150&amp;$AB150,$G150),IF(OR(CR$3=$D150,CR$3=$AC150,CR$3=$AE150),"",IF(CR$3=$AD150,$F150&amp;"R",CR149))))</f>
        <v>bN</v>
      </c>
      <c r="CS150" s="11" t="str">
        <f aca="false">IF($P150=0,CS149,IF(CS$3=$E150,IF($AA150=1,$F150&amp;$AB150,$G150),IF(OR(CS$3=$D150,CS$3=$AC150,CS$3=$AE150),"",IF(CS$3=$AD150,$F150&amp;"R",CS149))))</f>
        <v>bR</v>
      </c>
      <c r="CT150" s="11"/>
      <c r="CU150" s="11"/>
      <c r="CV150" s="11"/>
    </row>
    <row r="151" customFormat="false" ht="15" hidden="false" customHeight="false" outlineLevel="0" collapsed="false">
      <c r="A151" s="11" t="n">
        <v>146</v>
      </c>
      <c r="B151" s="11" t="str">
        <f aca="false">IF(Chess!$L$155="","",Chess!$L$155&amp;"")</f>
        <v/>
      </c>
      <c r="C151" s="11" t="str">
        <f aca="false">LOWER(SUBSTITUTE(SUBSTITUTE(SUBSTITUTE(SUBSTITUTE(TRIM($B151),"-",""),"=","")," ",""),"x",""))</f>
        <v/>
      </c>
      <c r="D151" s="11" t="n">
        <f aca="false">IF(LEN($C151)&lt;4,0,IFERROR(IF(AND(CODE(MID($C151,1,1))&gt;=97,CODE(MID($C151,1,1))&lt;=104,VALUE(MID($C151,2,1))&gt;=1,VALUE(MID($C151,2,1))&lt;=8),(VALUE(MID($C151,2,1))-1)*8+CODE(MID($C151,1,1))-96,0),0))</f>
        <v>0</v>
      </c>
      <c r="E151" s="11" t="n">
        <f aca="false">IF(LEN($C151)&lt;4,0,IFERROR(IF(AND(CODE(MID($C151,3,1))&gt;=97,CODE(MID($C151,3,1))&lt;=104,VALUE(MID($C151,4,1))&gt;=1,VALUE(MID($C151,4,1))&lt;=8),(VALUE(MID($C151,4,1))-1)*8+CODE(MID($C151,3,1))-96,0),0))</f>
        <v>0</v>
      </c>
      <c r="F151" s="11" t="str">
        <f aca="false">IF(MOD(SUM($P$5:$P150),2)=0,"w","b")</f>
        <v>w</v>
      </c>
      <c r="G151" s="11" t="str">
        <f aca="false">IF($D151=0,"",INDEX($AH150:$CS150,1,$D151)&amp;"")</f>
        <v/>
      </c>
      <c r="H151" s="11" t="str">
        <f aca="false">IF($E151=0,"",INDEX($AH150:$CS150,1,$E151)&amp;"")</f>
        <v/>
      </c>
      <c r="I151" s="11" t="n">
        <f aca="false">IF(OR($D151=0,$E151=0),0,MOD($E151-1,8)-MOD($D151-1,8))</f>
        <v>0</v>
      </c>
      <c r="J151" s="11" t="n">
        <f aca="false">IF(OR($D151=0,$E151=0),0,INT(($E151-1)/8)-INT(($D151-1)/8))</f>
        <v>0</v>
      </c>
      <c r="K151" s="11" t="str">
        <f aca="false">IF($G151="","",RIGHT($G151,1))</f>
        <v/>
      </c>
      <c r="L151" s="11" t="n">
        <f aca="false">IF(OR($D151=0,$E151=0),0,SUMPRODUCT(($AH$3:$CS$3&gt;MIN($D151,$E151))*($AH$3:$CS$3&lt;MAX($D151,$E151))*(MOD($AH$3:$CS$3-MIN($D151,$E151),MAX(1,ABS(SIGN($J151)*8+SIGN($I151))))=0)*($AH150:$CS150&lt;&gt;"")))</f>
        <v>0</v>
      </c>
      <c r="M151" s="11" t="n">
        <f aca="false">IF($K151&lt;&gt;"K",0,IFERROR(--AND($J151=0,ABS($I151)=2,$D151=IF($F151="w",5,61),IF($F151="w",$S150,$V150)=0,IF($I151=2,AND(IF($F151="w",$U150,$X150)=0,INDEX($AH150:$CS150,1,$D151+1)&amp;""="",INDEX($AH150:$CS150,1,$D151+2)&amp;""=""),AND(IF($F151="w",$T150,$W150)=0,INDEX($AH150:$CS150,1,$D151-1)&amp;""="",INDEX($AH150:$CS150,1,$D151-2)&amp;""="",INDEX($AH150:$CS150,1,$D151-3)&amp;""=""))),0))</f>
        <v>0</v>
      </c>
      <c r="N151" s="11" t="n">
        <f aca="false">IF($K151&lt;&gt;"P",0,IFERROR(--OR(AND($I151=0,$J151=IF($F151="w",1,-1),$H151=""),AND($I151=0,$J151=2*IF($F151="w",1,-1),$H151="",INT(($D151-1)/8)=IF($F151="w",1,6),INDEX($AH150:$CS150,1,MAX(1,MIN(64,$D151+8*IF($F151="w",1,-1))))&amp;""=""),AND(ABS($I151)=1,$J151=IF($F151="w",1,-1),$H151&lt;&gt;""),AND(ABS($I151)=1,$J151=IF($F151="w",1,-1),$H151="",$R150&gt;0,$E151=$R150)),0))</f>
        <v>0</v>
      </c>
      <c r="O151" s="11" t="n">
        <f aca="false">IF(OR($D151=0,$E151=0,$G151=""),0,IF($K151="N",--OR(AND(ABS($I151)=1,ABS($J151)=2),AND(ABS($I151)=2,ABS($J151)=1)),IF($K151="B",--AND(ABS($I151)=ABS($J151),$I151&lt;&gt;0,$L151=0),IF($K151="R",--AND(OR($I151=0,$J151=0),OR($I151&lt;&gt;0,$J151&lt;&gt;0),$L151=0),IF($K151="Q",--AND(OR(AND(ABS($I151)=ABS($J151),$I151&lt;&gt;0),AND(OR($I151=0,$J151=0),OR($I151&lt;&gt;0,$J151&lt;&gt;0))),$L151=0),IF($K151="K",--OR(MAX(ABS($I151),ABS($J151))=1,$M151=1),$N151))))))</f>
        <v>0</v>
      </c>
      <c r="P151" s="11" t="n">
        <f aca="false">IF($Q151="OK",1,0)</f>
        <v>0</v>
      </c>
      <c r="Q151" s="11" t="str">
        <f aca="false">IF($B151="","",IF(OR(COUNTIF($AH150:$CS150,"wK")=0,COUNTIF($AH150:$CS150,"bK")=0),"Game is over",IF(OR($D151=0,$E151=0),"Use the format e2e4",IF($G151="","No piece on that square",IF(LEFT($G151,1)&lt;&gt;$F151,"Not your piece ("&amp;IF($F151="w","White","Black")&amp;" to move)",IF($D151=$E151,"Piece must move",IF(AND($H151&lt;&gt;"",LEFT($H151,1)=$F151),"Cannot capture your own piece",IF($O151=0,"Illegal move for that piece (or path blocked)","OK"))))))))</f>
        <v/>
      </c>
      <c r="R151" s="11" t="n">
        <f aca="false">IF($P151=1,IF(AND($K151="P",ABS($J151)=2),($D151+$E151)/2,0),$R150)</f>
        <v>0</v>
      </c>
      <c r="S151" s="12" t="b">
        <f aca="false">--OR($S150=1,AND($P151=1,OR($D151=5,$E151=5)))</f>
        <v>0</v>
      </c>
      <c r="T151" s="12" t="b">
        <f aca="false">--OR($T150=1,AND($P151=1,OR($D151=1,$E151=1)))</f>
        <v>0</v>
      </c>
      <c r="U151" s="12" t="b">
        <f aca="false">--OR($U150=1,AND($P151=1,OR($D151=8,$E151=8)))</f>
        <v>0</v>
      </c>
      <c r="V151" s="12" t="b">
        <f aca="false">--OR($V150=1,AND($P151=1,OR($D151=61,$E151=61)))</f>
        <v>0</v>
      </c>
      <c r="W151" s="12" t="b">
        <f aca="false">--OR($W150=1,AND($P151=1,OR($D151=57,$E151=57)))</f>
        <v>0</v>
      </c>
      <c r="X151" s="12" t="b">
        <f aca="false">--OR($X150=1,AND($P151=1,OR($D151=64,$E151=64)))</f>
        <v>0</v>
      </c>
      <c r="Y151" s="12" t="b">
        <f aca="false">--AND($P151=1,$K151="K",ABS($I151)=2)</f>
        <v>0</v>
      </c>
      <c r="Z151" s="12" t="b">
        <f aca="false">--AND($P151=1,$K151="P",ABS($I151)=1,$H151="")</f>
        <v>0</v>
      </c>
      <c r="AA151" s="12" t="b">
        <f aca="false">--AND($P151=1,$K151="P",INT(($E151-1)/8)=IF($F151="w",7,0))</f>
        <v>0</v>
      </c>
      <c r="AB151" s="11" t="str">
        <f aca="false">IF(LEN($C151)&gt;=5,IF(ISNUMBER(FIND(MID($C151,5,1),"qrbn")),UPPER(MID($C151,5,1)),"Q"),"Q")</f>
        <v>Q</v>
      </c>
      <c r="AC151" s="11" t="n">
        <f aca="false">IF($Y151=1,IF($I151=2,$D151+3,$D151-4),0)</f>
        <v>0</v>
      </c>
      <c r="AD151" s="11" t="n">
        <f aca="false">IF($Y151=1,IF($I151=2,$D151+1,$D151-1),0)</f>
        <v>0</v>
      </c>
      <c r="AE151" s="11" t="n">
        <f aca="false">IF($Z151=1,$E151-8*IF($F151="w",1,-1),0)</f>
        <v>0</v>
      </c>
      <c r="AF151" s="11" t="str">
        <f aca="false">IF($B151="","",IF($P151=1,LOWER(INDEX($CV$2:$CV$13,MATCH($G151,$CU$2:$CU$13,0)))&amp;" "&amp;MID("abcdefgh",MOD($D151-1,8)+1,1)&amp;(INT(($D151-1)/8)+1)&amp;"→"&amp;MID("abcdefgh",MOD($E151-1,8)+1,1)&amp;(INT(($E151-1)/8)+1)&amp;IF(OR($H151&lt;&gt;"",$Z151=1)," ×","")&amp;IF($Y151=1," castles","")&amp;IF($Z151=1," e.p.","")&amp;IF($AA151=1," =" &amp;LOWER(INDEX($CV$2:$CV$13,MATCH($F151&amp;$AB151,$CU$2:$CU$13,0))),""),"X "&amp;$Q151))</f>
        <v/>
      </c>
      <c r="AG151" s="11"/>
      <c r="AH151" s="11" t="str">
        <f aca="false">IF($P151=0,AH150,IF(AH$3=$E151,IF($AA151=1,$F151&amp;$AB151,$G151),IF(OR(AH$3=$D151,AH$3=$AC151,AH$3=$AE151),"",IF(AH$3=$AD151,$F151&amp;"R",AH150))))</f>
        <v>wR</v>
      </c>
      <c r="AI151" s="11" t="str">
        <f aca="false">IF($P151=0,AI150,IF(AI$3=$E151,IF($AA151=1,$F151&amp;$AB151,$G151),IF(OR(AI$3=$D151,AI$3=$AC151,AI$3=$AE151),"",IF(AI$3=$AD151,$F151&amp;"R",AI150))))</f>
        <v>wN</v>
      </c>
      <c r="AJ151" s="11" t="str">
        <f aca="false">IF($P151=0,AJ150,IF(AJ$3=$E151,IF($AA151=1,$F151&amp;$AB151,$G151),IF(OR(AJ$3=$D151,AJ$3=$AC151,AJ$3=$AE151),"",IF(AJ$3=$AD151,$F151&amp;"R",AJ150))))</f>
        <v>wB</v>
      </c>
      <c r="AK151" s="11" t="str">
        <f aca="false">IF($P151=0,AK150,IF(AK$3=$E151,IF($AA151=1,$F151&amp;$AB151,$G151),IF(OR(AK$3=$D151,AK$3=$AC151,AK$3=$AE151),"",IF(AK$3=$AD151,$F151&amp;"R",AK150))))</f>
        <v>wQ</v>
      </c>
      <c r="AL151" s="11" t="str">
        <f aca="false">IF($P151=0,AL150,IF(AL$3=$E151,IF($AA151=1,$F151&amp;$AB151,$G151),IF(OR(AL$3=$D151,AL$3=$AC151,AL$3=$AE151),"",IF(AL$3=$AD151,$F151&amp;"R",AL150))))</f>
        <v>wK</v>
      </c>
      <c r="AM151" s="11" t="str">
        <f aca="false">IF($P151=0,AM150,IF(AM$3=$E151,IF($AA151=1,$F151&amp;$AB151,$G151),IF(OR(AM$3=$D151,AM$3=$AC151,AM$3=$AE151),"",IF(AM$3=$AD151,$F151&amp;"R",AM150))))</f>
        <v>wB</v>
      </c>
      <c r="AN151" s="11" t="str">
        <f aca="false">IF($P151=0,AN150,IF(AN$3=$E151,IF($AA151=1,$F151&amp;$AB151,$G151),IF(OR(AN$3=$D151,AN$3=$AC151,AN$3=$AE151),"",IF(AN$3=$AD151,$F151&amp;"R",AN150))))</f>
        <v>wN</v>
      </c>
      <c r="AO151" s="11" t="str">
        <f aca="false">IF($P151=0,AO150,IF(AO$3=$E151,IF($AA151=1,$F151&amp;$AB151,$G151),IF(OR(AO$3=$D151,AO$3=$AC151,AO$3=$AE151),"",IF(AO$3=$AD151,$F151&amp;"R",AO150))))</f>
        <v>wR</v>
      </c>
      <c r="AP151" s="11" t="str">
        <f aca="false">IF($P151=0,AP150,IF(AP$3=$E151,IF($AA151=1,$F151&amp;$AB151,$G151),IF(OR(AP$3=$D151,AP$3=$AC151,AP$3=$AE151),"",IF(AP$3=$AD151,$F151&amp;"R",AP150))))</f>
        <v>wP</v>
      </c>
      <c r="AQ151" s="11" t="str">
        <f aca="false">IF($P151=0,AQ150,IF(AQ$3=$E151,IF($AA151=1,$F151&amp;$AB151,$G151),IF(OR(AQ$3=$D151,AQ$3=$AC151,AQ$3=$AE151),"",IF(AQ$3=$AD151,$F151&amp;"R",AQ150))))</f>
        <v>wP</v>
      </c>
      <c r="AR151" s="11" t="str">
        <f aca="false">IF($P151=0,AR150,IF(AR$3=$E151,IF($AA151=1,$F151&amp;$AB151,$G151),IF(OR(AR$3=$D151,AR$3=$AC151,AR$3=$AE151),"",IF(AR$3=$AD151,$F151&amp;"R",AR150))))</f>
        <v>wP</v>
      </c>
      <c r="AS151" s="11" t="str">
        <f aca="false">IF($P151=0,AS150,IF(AS$3=$E151,IF($AA151=1,$F151&amp;$AB151,$G151),IF(OR(AS$3=$D151,AS$3=$AC151,AS$3=$AE151),"",IF(AS$3=$AD151,$F151&amp;"R",AS150))))</f>
        <v>wP</v>
      </c>
      <c r="AT151" s="11" t="str">
        <f aca="false">IF($P151=0,AT150,IF(AT$3=$E151,IF($AA151=1,$F151&amp;$AB151,$G151),IF(OR(AT$3=$D151,AT$3=$AC151,AT$3=$AE151),"",IF(AT$3=$AD151,$F151&amp;"R",AT150))))</f>
        <v>wP</v>
      </c>
      <c r="AU151" s="11" t="str">
        <f aca="false">IF($P151=0,AU150,IF(AU$3=$E151,IF($AA151=1,$F151&amp;$AB151,$G151),IF(OR(AU$3=$D151,AU$3=$AC151,AU$3=$AE151),"",IF(AU$3=$AD151,$F151&amp;"R",AU150))))</f>
        <v>wP</v>
      </c>
      <c r="AV151" s="11" t="str">
        <f aca="false">IF($P151=0,AV150,IF(AV$3=$E151,IF($AA151=1,$F151&amp;$AB151,$G151),IF(OR(AV$3=$D151,AV$3=$AC151,AV$3=$AE151),"",IF(AV$3=$AD151,$F151&amp;"R",AV150))))</f>
        <v>wP</v>
      </c>
      <c r="AW151" s="11" t="str">
        <f aca="false">IF($P151=0,AW150,IF(AW$3=$E151,IF($AA151=1,$F151&amp;$AB151,$G151),IF(OR(AW$3=$D151,AW$3=$AC151,AW$3=$AE151),"",IF(AW$3=$AD151,$F151&amp;"R",AW150))))</f>
        <v>wP</v>
      </c>
      <c r="AX151" s="11" t="str">
        <f aca="false">IF($P151=0,AX150,IF(AX$3=$E151,IF($AA151=1,$F151&amp;$AB151,$G151),IF(OR(AX$3=$D151,AX$3=$AC151,AX$3=$AE151),"",IF(AX$3=$AD151,$F151&amp;"R",AX150))))</f>
        <v/>
      </c>
      <c r="AY151" s="11" t="str">
        <f aca="false">IF($P151=0,AY150,IF(AY$3=$E151,IF($AA151=1,$F151&amp;$AB151,$G151),IF(OR(AY$3=$D151,AY$3=$AC151,AY$3=$AE151),"",IF(AY$3=$AD151,$F151&amp;"R",AY150))))</f>
        <v/>
      </c>
      <c r="AZ151" s="11" t="str">
        <f aca="false">IF($P151=0,AZ150,IF(AZ$3=$E151,IF($AA151=1,$F151&amp;$AB151,$G151),IF(OR(AZ$3=$D151,AZ$3=$AC151,AZ$3=$AE151),"",IF(AZ$3=$AD151,$F151&amp;"R",AZ150))))</f>
        <v/>
      </c>
      <c r="BA151" s="11" t="str">
        <f aca="false">IF($P151=0,BA150,IF(BA$3=$E151,IF($AA151=1,$F151&amp;$AB151,$G151),IF(OR(BA$3=$D151,BA$3=$AC151,BA$3=$AE151),"",IF(BA$3=$AD151,$F151&amp;"R",BA150))))</f>
        <v/>
      </c>
      <c r="BB151" s="11" t="str">
        <f aca="false">IF($P151=0,BB150,IF(BB$3=$E151,IF($AA151=1,$F151&amp;$AB151,$G151),IF(OR(BB$3=$D151,BB$3=$AC151,BB$3=$AE151),"",IF(BB$3=$AD151,$F151&amp;"R",BB150))))</f>
        <v/>
      </c>
      <c r="BC151" s="11" t="str">
        <f aca="false">IF($P151=0,BC150,IF(BC$3=$E151,IF($AA151=1,$F151&amp;$AB151,$G151),IF(OR(BC$3=$D151,BC$3=$AC151,BC$3=$AE151),"",IF(BC$3=$AD151,$F151&amp;"R",BC150))))</f>
        <v/>
      </c>
      <c r="BD151" s="11" t="str">
        <f aca="false">IF($P151=0,BD150,IF(BD$3=$E151,IF($AA151=1,$F151&amp;$AB151,$G151),IF(OR(BD$3=$D151,BD$3=$AC151,BD$3=$AE151),"",IF(BD$3=$AD151,$F151&amp;"R",BD150))))</f>
        <v/>
      </c>
      <c r="BE151" s="11" t="str">
        <f aca="false">IF($P151=0,BE150,IF(BE$3=$E151,IF($AA151=1,$F151&amp;$AB151,$G151),IF(OR(BE$3=$D151,BE$3=$AC151,BE$3=$AE151),"",IF(BE$3=$AD151,$F151&amp;"R",BE150))))</f>
        <v/>
      </c>
      <c r="BF151" s="11" t="str">
        <f aca="false">IF($P151=0,BF150,IF(BF$3=$E151,IF($AA151=1,$F151&amp;$AB151,$G151),IF(OR(BF$3=$D151,BF$3=$AC151,BF$3=$AE151),"",IF(BF$3=$AD151,$F151&amp;"R",BF150))))</f>
        <v/>
      </c>
      <c r="BG151" s="11" t="str">
        <f aca="false">IF($P151=0,BG150,IF(BG$3=$E151,IF($AA151=1,$F151&amp;$AB151,$G151),IF(OR(BG$3=$D151,BG$3=$AC151,BG$3=$AE151),"",IF(BG$3=$AD151,$F151&amp;"R",BG150))))</f>
        <v/>
      </c>
      <c r="BH151" s="11" t="str">
        <f aca="false">IF($P151=0,BH150,IF(BH$3=$E151,IF($AA151=1,$F151&amp;$AB151,$G151),IF(OR(BH$3=$D151,BH$3=$AC151,BH$3=$AE151),"",IF(BH$3=$AD151,$F151&amp;"R",BH150))))</f>
        <v/>
      </c>
      <c r="BI151" s="11" t="str">
        <f aca="false">IF($P151=0,BI150,IF(BI$3=$E151,IF($AA151=1,$F151&amp;$AB151,$G151),IF(OR(BI$3=$D151,BI$3=$AC151,BI$3=$AE151),"",IF(BI$3=$AD151,$F151&amp;"R",BI150))))</f>
        <v/>
      </c>
      <c r="BJ151" s="11" t="str">
        <f aca="false">IF($P151=0,BJ150,IF(BJ$3=$E151,IF($AA151=1,$F151&amp;$AB151,$G151),IF(OR(BJ$3=$D151,BJ$3=$AC151,BJ$3=$AE151),"",IF(BJ$3=$AD151,$F151&amp;"R",BJ150))))</f>
        <v/>
      </c>
      <c r="BK151" s="11" t="str">
        <f aca="false">IF($P151=0,BK150,IF(BK$3=$E151,IF($AA151=1,$F151&amp;$AB151,$G151),IF(OR(BK$3=$D151,BK$3=$AC151,BK$3=$AE151),"",IF(BK$3=$AD151,$F151&amp;"R",BK150))))</f>
        <v/>
      </c>
      <c r="BL151" s="11" t="str">
        <f aca="false">IF($P151=0,BL150,IF(BL$3=$E151,IF($AA151=1,$F151&amp;$AB151,$G151),IF(OR(BL$3=$D151,BL$3=$AC151,BL$3=$AE151),"",IF(BL$3=$AD151,$F151&amp;"R",BL150))))</f>
        <v/>
      </c>
      <c r="BM151" s="11" t="str">
        <f aca="false">IF($P151=0,BM150,IF(BM$3=$E151,IF($AA151=1,$F151&amp;$AB151,$G151),IF(OR(BM$3=$D151,BM$3=$AC151,BM$3=$AE151),"",IF(BM$3=$AD151,$F151&amp;"R",BM150))))</f>
        <v/>
      </c>
      <c r="BN151" s="11" t="str">
        <f aca="false">IF($P151=0,BN150,IF(BN$3=$E151,IF($AA151=1,$F151&amp;$AB151,$G151),IF(OR(BN$3=$D151,BN$3=$AC151,BN$3=$AE151),"",IF(BN$3=$AD151,$F151&amp;"R",BN150))))</f>
        <v/>
      </c>
      <c r="BO151" s="11" t="str">
        <f aca="false">IF($P151=0,BO150,IF(BO$3=$E151,IF($AA151=1,$F151&amp;$AB151,$G151),IF(OR(BO$3=$D151,BO$3=$AC151,BO$3=$AE151),"",IF(BO$3=$AD151,$F151&amp;"R",BO150))))</f>
        <v/>
      </c>
      <c r="BP151" s="11" t="str">
        <f aca="false">IF($P151=0,BP150,IF(BP$3=$E151,IF($AA151=1,$F151&amp;$AB151,$G151),IF(OR(BP$3=$D151,BP$3=$AC151,BP$3=$AE151),"",IF(BP$3=$AD151,$F151&amp;"R",BP150))))</f>
        <v/>
      </c>
      <c r="BQ151" s="11" t="str">
        <f aca="false">IF($P151=0,BQ150,IF(BQ$3=$E151,IF($AA151=1,$F151&amp;$AB151,$G151),IF(OR(BQ$3=$D151,BQ$3=$AC151,BQ$3=$AE151),"",IF(BQ$3=$AD151,$F151&amp;"R",BQ150))))</f>
        <v/>
      </c>
      <c r="BR151" s="11" t="str">
        <f aca="false">IF($P151=0,BR150,IF(BR$3=$E151,IF($AA151=1,$F151&amp;$AB151,$G151),IF(OR(BR$3=$D151,BR$3=$AC151,BR$3=$AE151),"",IF(BR$3=$AD151,$F151&amp;"R",BR150))))</f>
        <v/>
      </c>
      <c r="BS151" s="11" t="str">
        <f aca="false">IF($P151=0,BS150,IF(BS$3=$E151,IF($AA151=1,$F151&amp;$AB151,$G151),IF(OR(BS$3=$D151,BS$3=$AC151,BS$3=$AE151),"",IF(BS$3=$AD151,$F151&amp;"R",BS150))))</f>
        <v/>
      </c>
      <c r="BT151" s="11" t="str">
        <f aca="false">IF($P151=0,BT150,IF(BT$3=$E151,IF($AA151=1,$F151&amp;$AB151,$G151),IF(OR(BT$3=$D151,BT$3=$AC151,BT$3=$AE151),"",IF(BT$3=$AD151,$F151&amp;"R",BT150))))</f>
        <v/>
      </c>
      <c r="BU151" s="11" t="str">
        <f aca="false">IF($P151=0,BU150,IF(BU$3=$E151,IF($AA151=1,$F151&amp;$AB151,$G151),IF(OR(BU$3=$D151,BU$3=$AC151,BU$3=$AE151),"",IF(BU$3=$AD151,$F151&amp;"R",BU150))))</f>
        <v/>
      </c>
      <c r="BV151" s="11" t="str">
        <f aca="false">IF($P151=0,BV150,IF(BV$3=$E151,IF($AA151=1,$F151&amp;$AB151,$G151),IF(OR(BV$3=$D151,BV$3=$AC151,BV$3=$AE151),"",IF(BV$3=$AD151,$F151&amp;"R",BV150))))</f>
        <v/>
      </c>
      <c r="BW151" s="11" t="str">
        <f aca="false">IF($P151=0,BW150,IF(BW$3=$E151,IF($AA151=1,$F151&amp;$AB151,$G151),IF(OR(BW$3=$D151,BW$3=$AC151,BW$3=$AE151),"",IF(BW$3=$AD151,$F151&amp;"R",BW150))))</f>
        <v/>
      </c>
      <c r="BX151" s="11" t="str">
        <f aca="false">IF($P151=0,BX150,IF(BX$3=$E151,IF($AA151=1,$F151&amp;$AB151,$G151),IF(OR(BX$3=$D151,BX$3=$AC151,BX$3=$AE151),"",IF(BX$3=$AD151,$F151&amp;"R",BX150))))</f>
        <v/>
      </c>
      <c r="BY151" s="11" t="str">
        <f aca="false">IF($P151=0,BY150,IF(BY$3=$E151,IF($AA151=1,$F151&amp;$AB151,$G151),IF(OR(BY$3=$D151,BY$3=$AC151,BY$3=$AE151),"",IF(BY$3=$AD151,$F151&amp;"R",BY150))))</f>
        <v/>
      </c>
      <c r="BZ151" s="11" t="str">
        <f aca="false">IF($P151=0,BZ150,IF(BZ$3=$E151,IF($AA151=1,$F151&amp;$AB151,$G151),IF(OR(BZ$3=$D151,BZ$3=$AC151,BZ$3=$AE151),"",IF(BZ$3=$AD151,$F151&amp;"R",BZ150))))</f>
        <v/>
      </c>
      <c r="CA151" s="11" t="str">
        <f aca="false">IF($P151=0,CA150,IF(CA$3=$E151,IF($AA151=1,$F151&amp;$AB151,$G151),IF(OR(CA$3=$D151,CA$3=$AC151,CA$3=$AE151),"",IF(CA$3=$AD151,$F151&amp;"R",CA150))))</f>
        <v/>
      </c>
      <c r="CB151" s="11" t="str">
        <f aca="false">IF($P151=0,CB150,IF(CB$3=$E151,IF($AA151=1,$F151&amp;$AB151,$G151),IF(OR(CB$3=$D151,CB$3=$AC151,CB$3=$AE151),"",IF(CB$3=$AD151,$F151&amp;"R",CB150))))</f>
        <v/>
      </c>
      <c r="CC151" s="11" t="str">
        <f aca="false">IF($P151=0,CC150,IF(CC$3=$E151,IF($AA151=1,$F151&amp;$AB151,$G151),IF(OR(CC$3=$D151,CC$3=$AC151,CC$3=$AE151),"",IF(CC$3=$AD151,$F151&amp;"R",CC150))))</f>
        <v/>
      </c>
      <c r="CD151" s="11" t="str">
        <f aca="false">IF($P151=0,CD150,IF(CD$3=$E151,IF($AA151=1,$F151&amp;$AB151,$G151),IF(OR(CD$3=$D151,CD$3=$AC151,CD$3=$AE151),"",IF(CD$3=$AD151,$F151&amp;"R",CD150))))</f>
        <v>bP</v>
      </c>
      <c r="CE151" s="11" t="str">
        <f aca="false">IF($P151=0,CE150,IF(CE$3=$E151,IF($AA151=1,$F151&amp;$AB151,$G151),IF(OR(CE$3=$D151,CE$3=$AC151,CE$3=$AE151),"",IF(CE$3=$AD151,$F151&amp;"R",CE150))))</f>
        <v>bP</v>
      </c>
      <c r="CF151" s="11" t="str">
        <f aca="false">IF($P151=0,CF150,IF(CF$3=$E151,IF($AA151=1,$F151&amp;$AB151,$G151),IF(OR(CF$3=$D151,CF$3=$AC151,CF$3=$AE151),"",IF(CF$3=$AD151,$F151&amp;"R",CF150))))</f>
        <v>bP</v>
      </c>
      <c r="CG151" s="11" t="str">
        <f aca="false">IF($P151=0,CG150,IF(CG$3=$E151,IF($AA151=1,$F151&amp;$AB151,$G151),IF(OR(CG$3=$D151,CG$3=$AC151,CG$3=$AE151),"",IF(CG$3=$AD151,$F151&amp;"R",CG150))))</f>
        <v>bP</v>
      </c>
      <c r="CH151" s="11" t="str">
        <f aca="false">IF($P151=0,CH150,IF(CH$3=$E151,IF($AA151=1,$F151&amp;$AB151,$G151),IF(OR(CH$3=$D151,CH$3=$AC151,CH$3=$AE151),"",IF(CH$3=$AD151,$F151&amp;"R",CH150))))</f>
        <v>bP</v>
      </c>
      <c r="CI151" s="11" t="str">
        <f aca="false">IF($P151=0,CI150,IF(CI$3=$E151,IF($AA151=1,$F151&amp;$AB151,$G151),IF(OR(CI$3=$D151,CI$3=$AC151,CI$3=$AE151),"",IF(CI$3=$AD151,$F151&amp;"R",CI150))))</f>
        <v>bP</v>
      </c>
      <c r="CJ151" s="11" t="str">
        <f aca="false">IF($P151=0,CJ150,IF(CJ$3=$E151,IF($AA151=1,$F151&amp;$AB151,$G151),IF(OR(CJ$3=$D151,CJ$3=$AC151,CJ$3=$AE151),"",IF(CJ$3=$AD151,$F151&amp;"R",CJ150))))</f>
        <v>bP</v>
      </c>
      <c r="CK151" s="11" t="str">
        <f aca="false">IF($P151=0,CK150,IF(CK$3=$E151,IF($AA151=1,$F151&amp;$AB151,$G151),IF(OR(CK$3=$D151,CK$3=$AC151,CK$3=$AE151),"",IF(CK$3=$AD151,$F151&amp;"R",CK150))))</f>
        <v>bP</v>
      </c>
      <c r="CL151" s="11" t="str">
        <f aca="false">IF($P151=0,CL150,IF(CL$3=$E151,IF($AA151=1,$F151&amp;$AB151,$G151),IF(OR(CL$3=$D151,CL$3=$AC151,CL$3=$AE151),"",IF(CL$3=$AD151,$F151&amp;"R",CL150))))</f>
        <v>bR</v>
      </c>
      <c r="CM151" s="11" t="str">
        <f aca="false">IF($P151=0,CM150,IF(CM$3=$E151,IF($AA151=1,$F151&amp;$AB151,$G151),IF(OR(CM$3=$D151,CM$3=$AC151,CM$3=$AE151),"",IF(CM$3=$AD151,$F151&amp;"R",CM150))))</f>
        <v>bN</v>
      </c>
      <c r="CN151" s="11" t="str">
        <f aca="false">IF($P151=0,CN150,IF(CN$3=$E151,IF($AA151=1,$F151&amp;$AB151,$G151),IF(OR(CN$3=$D151,CN$3=$AC151,CN$3=$AE151),"",IF(CN$3=$AD151,$F151&amp;"R",CN150))))</f>
        <v>bB</v>
      </c>
      <c r="CO151" s="11" t="str">
        <f aca="false">IF($P151=0,CO150,IF(CO$3=$E151,IF($AA151=1,$F151&amp;$AB151,$G151),IF(OR(CO$3=$D151,CO$3=$AC151,CO$3=$AE151),"",IF(CO$3=$AD151,$F151&amp;"R",CO150))))</f>
        <v>bQ</v>
      </c>
      <c r="CP151" s="11" t="str">
        <f aca="false">IF($P151=0,CP150,IF(CP$3=$E151,IF($AA151=1,$F151&amp;$AB151,$G151),IF(OR(CP$3=$D151,CP$3=$AC151,CP$3=$AE151),"",IF(CP$3=$AD151,$F151&amp;"R",CP150))))</f>
        <v>bK</v>
      </c>
      <c r="CQ151" s="11" t="str">
        <f aca="false">IF($P151=0,CQ150,IF(CQ$3=$E151,IF($AA151=1,$F151&amp;$AB151,$G151),IF(OR(CQ$3=$D151,CQ$3=$AC151,CQ$3=$AE151),"",IF(CQ$3=$AD151,$F151&amp;"R",CQ150))))</f>
        <v>bB</v>
      </c>
      <c r="CR151" s="11" t="str">
        <f aca="false">IF($P151=0,CR150,IF(CR$3=$E151,IF($AA151=1,$F151&amp;$AB151,$G151),IF(OR(CR$3=$D151,CR$3=$AC151,CR$3=$AE151),"",IF(CR$3=$AD151,$F151&amp;"R",CR150))))</f>
        <v>bN</v>
      </c>
      <c r="CS151" s="11" t="str">
        <f aca="false">IF($P151=0,CS150,IF(CS$3=$E151,IF($AA151=1,$F151&amp;$AB151,$G151),IF(OR(CS$3=$D151,CS$3=$AC151,CS$3=$AE151),"",IF(CS$3=$AD151,$F151&amp;"R",CS150))))</f>
        <v>bR</v>
      </c>
      <c r="CT151" s="11"/>
      <c r="CU151" s="11"/>
      <c r="CV151" s="11"/>
    </row>
    <row r="152" customFormat="false" ht="15" hidden="false" customHeight="false" outlineLevel="0" collapsed="false">
      <c r="A152" s="11" t="n">
        <v>147</v>
      </c>
      <c r="B152" s="11" t="str">
        <f aca="false">IF(Chess!$L$156="","",Chess!$L$156&amp;"")</f>
        <v/>
      </c>
      <c r="C152" s="11" t="str">
        <f aca="false">LOWER(SUBSTITUTE(SUBSTITUTE(SUBSTITUTE(SUBSTITUTE(TRIM($B152),"-",""),"=","")," ",""),"x",""))</f>
        <v/>
      </c>
      <c r="D152" s="11" t="n">
        <f aca="false">IF(LEN($C152)&lt;4,0,IFERROR(IF(AND(CODE(MID($C152,1,1))&gt;=97,CODE(MID($C152,1,1))&lt;=104,VALUE(MID($C152,2,1))&gt;=1,VALUE(MID($C152,2,1))&lt;=8),(VALUE(MID($C152,2,1))-1)*8+CODE(MID($C152,1,1))-96,0),0))</f>
        <v>0</v>
      </c>
      <c r="E152" s="11" t="n">
        <f aca="false">IF(LEN($C152)&lt;4,0,IFERROR(IF(AND(CODE(MID($C152,3,1))&gt;=97,CODE(MID($C152,3,1))&lt;=104,VALUE(MID($C152,4,1))&gt;=1,VALUE(MID($C152,4,1))&lt;=8),(VALUE(MID($C152,4,1))-1)*8+CODE(MID($C152,3,1))-96,0),0))</f>
        <v>0</v>
      </c>
      <c r="F152" s="11" t="str">
        <f aca="false">IF(MOD(SUM($P$5:$P151),2)=0,"w","b")</f>
        <v>w</v>
      </c>
      <c r="G152" s="11" t="str">
        <f aca="false">IF($D152=0,"",INDEX($AH151:$CS151,1,$D152)&amp;"")</f>
        <v/>
      </c>
      <c r="H152" s="11" t="str">
        <f aca="false">IF($E152=0,"",INDEX($AH151:$CS151,1,$E152)&amp;"")</f>
        <v/>
      </c>
      <c r="I152" s="11" t="n">
        <f aca="false">IF(OR($D152=0,$E152=0),0,MOD($E152-1,8)-MOD($D152-1,8))</f>
        <v>0</v>
      </c>
      <c r="J152" s="11" t="n">
        <f aca="false">IF(OR($D152=0,$E152=0),0,INT(($E152-1)/8)-INT(($D152-1)/8))</f>
        <v>0</v>
      </c>
      <c r="K152" s="11" t="str">
        <f aca="false">IF($G152="","",RIGHT($G152,1))</f>
        <v/>
      </c>
      <c r="L152" s="11" t="n">
        <f aca="false">IF(OR($D152=0,$E152=0),0,SUMPRODUCT(($AH$3:$CS$3&gt;MIN($D152,$E152))*($AH$3:$CS$3&lt;MAX($D152,$E152))*(MOD($AH$3:$CS$3-MIN($D152,$E152),MAX(1,ABS(SIGN($J152)*8+SIGN($I152))))=0)*($AH151:$CS151&lt;&gt;"")))</f>
        <v>0</v>
      </c>
      <c r="M152" s="11" t="n">
        <f aca="false">IF($K152&lt;&gt;"K",0,IFERROR(--AND($J152=0,ABS($I152)=2,$D152=IF($F152="w",5,61),IF($F152="w",$S151,$V151)=0,IF($I152=2,AND(IF($F152="w",$U151,$X151)=0,INDEX($AH151:$CS151,1,$D152+1)&amp;""="",INDEX($AH151:$CS151,1,$D152+2)&amp;""=""),AND(IF($F152="w",$T151,$W151)=0,INDEX($AH151:$CS151,1,$D152-1)&amp;""="",INDEX($AH151:$CS151,1,$D152-2)&amp;""="",INDEX($AH151:$CS151,1,$D152-3)&amp;""=""))),0))</f>
        <v>0</v>
      </c>
      <c r="N152" s="11" t="n">
        <f aca="false">IF($K152&lt;&gt;"P",0,IFERROR(--OR(AND($I152=0,$J152=IF($F152="w",1,-1),$H152=""),AND($I152=0,$J152=2*IF($F152="w",1,-1),$H152="",INT(($D152-1)/8)=IF($F152="w",1,6),INDEX($AH151:$CS151,1,MAX(1,MIN(64,$D152+8*IF($F152="w",1,-1))))&amp;""=""),AND(ABS($I152)=1,$J152=IF($F152="w",1,-1),$H152&lt;&gt;""),AND(ABS($I152)=1,$J152=IF($F152="w",1,-1),$H152="",$R151&gt;0,$E152=$R151)),0))</f>
        <v>0</v>
      </c>
      <c r="O152" s="11" t="n">
        <f aca="false">IF(OR($D152=0,$E152=0,$G152=""),0,IF($K152="N",--OR(AND(ABS($I152)=1,ABS($J152)=2),AND(ABS($I152)=2,ABS($J152)=1)),IF($K152="B",--AND(ABS($I152)=ABS($J152),$I152&lt;&gt;0,$L152=0),IF($K152="R",--AND(OR($I152=0,$J152=0),OR($I152&lt;&gt;0,$J152&lt;&gt;0),$L152=0),IF($K152="Q",--AND(OR(AND(ABS($I152)=ABS($J152),$I152&lt;&gt;0),AND(OR($I152=0,$J152=0),OR($I152&lt;&gt;0,$J152&lt;&gt;0))),$L152=0),IF($K152="K",--OR(MAX(ABS($I152),ABS($J152))=1,$M152=1),$N152))))))</f>
        <v>0</v>
      </c>
      <c r="P152" s="11" t="n">
        <f aca="false">IF($Q152="OK",1,0)</f>
        <v>0</v>
      </c>
      <c r="Q152" s="11" t="str">
        <f aca="false">IF($B152="","",IF(OR(COUNTIF($AH151:$CS151,"wK")=0,COUNTIF($AH151:$CS151,"bK")=0),"Game is over",IF(OR($D152=0,$E152=0),"Use the format e2e4",IF($G152="","No piece on that square",IF(LEFT($G152,1)&lt;&gt;$F152,"Not your piece ("&amp;IF($F152="w","White","Black")&amp;" to move)",IF($D152=$E152,"Piece must move",IF(AND($H152&lt;&gt;"",LEFT($H152,1)=$F152),"Cannot capture your own piece",IF($O152=0,"Illegal move for that piece (or path blocked)","OK"))))))))</f>
        <v/>
      </c>
      <c r="R152" s="11" t="n">
        <f aca="false">IF($P152=1,IF(AND($K152="P",ABS($J152)=2),($D152+$E152)/2,0),$R151)</f>
        <v>0</v>
      </c>
      <c r="S152" s="12" t="b">
        <f aca="false">--OR($S151=1,AND($P152=1,OR($D152=5,$E152=5)))</f>
        <v>0</v>
      </c>
      <c r="T152" s="12" t="b">
        <f aca="false">--OR($T151=1,AND($P152=1,OR($D152=1,$E152=1)))</f>
        <v>0</v>
      </c>
      <c r="U152" s="12" t="b">
        <f aca="false">--OR($U151=1,AND($P152=1,OR($D152=8,$E152=8)))</f>
        <v>0</v>
      </c>
      <c r="V152" s="12" t="b">
        <f aca="false">--OR($V151=1,AND($P152=1,OR($D152=61,$E152=61)))</f>
        <v>0</v>
      </c>
      <c r="W152" s="12" t="b">
        <f aca="false">--OR($W151=1,AND($P152=1,OR($D152=57,$E152=57)))</f>
        <v>0</v>
      </c>
      <c r="X152" s="12" t="b">
        <f aca="false">--OR($X151=1,AND($P152=1,OR($D152=64,$E152=64)))</f>
        <v>0</v>
      </c>
      <c r="Y152" s="12" t="b">
        <f aca="false">--AND($P152=1,$K152="K",ABS($I152)=2)</f>
        <v>0</v>
      </c>
      <c r="Z152" s="12" t="b">
        <f aca="false">--AND($P152=1,$K152="P",ABS($I152)=1,$H152="")</f>
        <v>0</v>
      </c>
      <c r="AA152" s="12" t="b">
        <f aca="false">--AND($P152=1,$K152="P",INT(($E152-1)/8)=IF($F152="w",7,0))</f>
        <v>0</v>
      </c>
      <c r="AB152" s="11" t="str">
        <f aca="false">IF(LEN($C152)&gt;=5,IF(ISNUMBER(FIND(MID($C152,5,1),"qrbn")),UPPER(MID($C152,5,1)),"Q"),"Q")</f>
        <v>Q</v>
      </c>
      <c r="AC152" s="11" t="n">
        <f aca="false">IF($Y152=1,IF($I152=2,$D152+3,$D152-4),0)</f>
        <v>0</v>
      </c>
      <c r="AD152" s="11" t="n">
        <f aca="false">IF($Y152=1,IF($I152=2,$D152+1,$D152-1),0)</f>
        <v>0</v>
      </c>
      <c r="AE152" s="11" t="n">
        <f aca="false">IF($Z152=1,$E152-8*IF($F152="w",1,-1),0)</f>
        <v>0</v>
      </c>
      <c r="AF152" s="11" t="str">
        <f aca="false">IF($B152="","",IF($P152=1,LOWER(INDEX($CV$2:$CV$13,MATCH($G152,$CU$2:$CU$13,0)))&amp;" "&amp;MID("abcdefgh",MOD($D152-1,8)+1,1)&amp;(INT(($D152-1)/8)+1)&amp;"→"&amp;MID("abcdefgh",MOD($E152-1,8)+1,1)&amp;(INT(($E152-1)/8)+1)&amp;IF(OR($H152&lt;&gt;"",$Z152=1)," ×","")&amp;IF($Y152=1," castles","")&amp;IF($Z152=1," e.p.","")&amp;IF($AA152=1," =" &amp;LOWER(INDEX($CV$2:$CV$13,MATCH($F152&amp;$AB152,$CU$2:$CU$13,0))),""),"X "&amp;$Q152))</f>
        <v/>
      </c>
      <c r="AG152" s="11"/>
      <c r="AH152" s="11" t="str">
        <f aca="false">IF($P152=0,AH151,IF(AH$3=$E152,IF($AA152=1,$F152&amp;$AB152,$G152),IF(OR(AH$3=$D152,AH$3=$AC152,AH$3=$AE152),"",IF(AH$3=$AD152,$F152&amp;"R",AH151))))</f>
        <v>wR</v>
      </c>
      <c r="AI152" s="11" t="str">
        <f aca="false">IF($P152=0,AI151,IF(AI$3=$E152,IF($AA152=1,$F152&amp;$AB152,$G152),IF(OR(AI$3=$D152,AI$3=$AC152,AI$3=$AE152),"",IF(AI$3=$AD152,$F152&amp;"R",AI151))))</f>
        <v>wN</v>
      </c>
      <c r="AJ152" s="11" t="str">
        <f aca="false">IF($P152=0,AJ151,IF(AJ$3=$E152,IF($AA152=1,$F152&amp;$AB152,$G152),IF(OR(AJ$3=$D152,AJ$3=$AC152,AJ$3=$AE152),"",IF(AJ$3=$AD152,$F152&amp;"R",AJ151))))</f>
        <v>wB</v>
      </c>
      <c r="AK152" s="11" t="str">
        <f aca="false">IF($P152=0,AK151,IF(AK$3=$E152,IF($AA152=1,$F152&amp;$AB152,$G152),IF(OR(AK$3=$D152,AK$3=$AC152,AK$3=$AE152),"",IF(AK$3=$AD152,$F152&amp;"R",AK151))))</f>
        <v>wQ</v>
      </c>
      <c r="AL152" s="11" t="str">
        <f aca="false">IF($P152=0,AL151,IF(AL$3=$E152,IF($AA152=1,$F152&amp;$AB152,$G152),IF(OR(AL$3=$D152,AL$3=$AC152,AL$3=$AE152),"",IF(AL$3=$AD152,$F152&amp;"R",AL151))))</f>
        <v>wK</v>
      </c>
      <c r="AM152" s="11" t="str">
        <f aca="false">IF($P152=0,AM151,IF(AM$3=$E152,IF($AA152=1,$F152&amp;$AB152,$G152),IF(OR(AM$3=$D152,AM$3=$AC152,AM$3=$AE152),"",IF(AM$3=$AD152,$F152&amp;"R",AM151))))</f>
        <v>wB</v>
      </c>
      <c r="AN152" s="11" t="str">
        <f aca="false">IF($P152=0,AN151,IF(AN$3=$E152,IF($AA152=1,$F152&amp;$AB152,$G152),IF(OR(AN$3=$D152,AN$3=$AC152,AN$3=$AE152),"",IF(AN$3=$AD152,$F152&amp;"R",AN151))))</f>
        <v>wN</v>
      </c>
      <c r="AO152" s="11" t="str">
        <f aca="false">IF($P152=0,AO151,IF(AO$3=$E152,IF($AA152=1,$F152&amp;$AB152,$G152),IF(OR(AO$3=$D152,AO$3=$AC152,AO$3=$AE152),"",IF(AO$3=$AD152,$F152&amp;"R",AO151))))</f>
        <v>wR</v>
      </c>
      <c r="AP152" s="11" t="str">
        <f aca="false">IF($P152=0,AP151,IF(AP$3=$E152,IF($AA152=1,$F152&amp;$AB152,$G152),IF(OR(AP$3=$D152,AP$3=$AC152,AP$3=$AE152),"",IF(AP$3=$AD152,$F152&amp;"R",AP151))))</f>
        <v>wP</v>
      </c>
      <c r="AQ152" s="11" t="str">
        <f aca="false">IF($P152=0,AQ151,IF(AQ$3=$E152,IF($AA152=1,$F152&amp;$AB152,$G152),IF(OR(AQ$3=$D152,AQ$3=$AC152,AQ$3=$AE152),"",IF(AQ$3=$AD152,$F152&amp;"R",AQ151))))</f>
        <v>wP</v>
      </c>
      <c r="AR152" s="11" t="str">
        <f aca="false">IF($P152=0,AR151,IF(AR$3=$E152,IF($AA152=1,$F152&amp;$AB152,$G152),IF(OR(AR$3=$D152,AR$3=$AC152,AR$3=$AE152),"",IF(AR$3=$AD152,$F152&amp;"R",AR151))))</f>
        <v>wP</v>
      </c>
      <c r="AS152" s="11" t="str">
        <f aca="false">IF($P152=0,AS151,IF(AS$3=$E152,IF($AA152=1,$F152&amp;$AB152,$G152),IF(OR(AS$3=$D152,AS$3=$AC152,AS$3=$AE152),"",IF(AS$3=$AD152,$F152&amp;"R",AS151))))</f>
        <v>wP</v>
      </c>
      <c r="AT152" s="11" t="str">
        <f aca="false">IF($P152=0,AT151,IF(AT$3=$E152,IF($AA152=1,$F152&amp;$AB152,$G152),IF(OR(AT$3=$D152,AT$3=$AC152,AT$3=$AE152),"",IF(AT$3=$AD152,$F152&amp;"R",AT151))))</f>
        <v>wP</v>
      </c>
      <c r="AU152" s="11" t="str">
        <f aca="false">IF($P152=0,AU151,IF(AU$3=$E152,IF($AA152=1,$F152&amp;$AB152,$G152),IF(OR(AU$3=$D152,AU$3=$AC152,AU$3=$AE152),"",IF(AU$3=$AD152,$F152&amp;"R",AU151))))</f>
        <v>wP</v>
      </c>
      <c r="AV152" s="11" t="str">
        <f aca="false">IF($P152=0,AV151,IF(AV$3=$E152,IF($AA152=1,$F152&amp;$AB152,$G152),IF(OR(AV$3=$D152,AV$3=$AC152,AV$3=$AE152),"",IF(AV$3=$AD152,$F152&amp;"R",AV151))))</f>
        <v>wP</v>
      </c>
      <c r="AW152" s="11" t="str">
        <f aca="false">IF($P152=0,AW151,IF(AW$3=$E152,IF($AA152=1,$F152&amp;$AB152,$G152),IF(OR(AW$3=$D152,AW$3=$AC152,AW$3=$AE152),"",IF(AW$3=$AD152,$F152&amp;"R",AW151))))</f>
        <v>wP</v>
      </c>
      <c r="AX152" s="11" t="str">
        <f aca="false">IF($P152=0,AX151,IF(AX$3=$E152,IF($AA152=1,$F152&amp;$AB152,$G152),IF(OR(AX$3=$D152,AX$3=$AC152,AX$3=$AE152),"",IF(AX$3=$AD152,$F152&amp;"R",AX151))))</f>
        <v/>
      </c>
      <c r="AY152" s="11" t="str">
        <f aca="false">IF($P152=0,AY151,IF(AY$3=$E152,IF($AA152=1,$F152&amp;$AB152,$G152),IF(OR(AY$3=$D152,AY$3=$AC152,AY$3=$AE152),"",IF(AY$3=$AD152,$F152&amp;"R",AY151))))</f>
        <v/>
      </c>
      <c r="AZ152" s="11" t="str">
        <f aca="false">IF($P152=0,AZ151,IF(AZ$3=$E152,IF($AA152=1,$F152&amp;$AB152,$G152),IF(OR(AZ$3=$D152,AZ$3=$AC152,AZ$3=$AE152),"",IF(AZ$3=$AD152,$F152&amp;"R",AZ151))))</f>
        <v/>
      </c>
      <c r="BA152" s="11" t="str">
        <f aca="false">IF($P152=0,BA151,IF(BA$3=$E152,IF($AA152=1,$F152&amp;$AB152,$G152),IF(OR(BA$3=$D152,BA$3=$AC152,BA$3=$AE152),"",IF(BA$3=$AD152,$F152&amp;"R",BA151))))</f>
        <v/>
      </c>
      <c r="BB152" s="11" t="str">
        <f aca="false">IF($P152=0,BB151,IF(BB$3=$E152,IF($AA152=1,$F152&amp;$AB152,$G152),IF(OR(BB$3=$D152,BB$3=$AC152,BB$3=$AE152),"",IF(BB$3=$AD152,$F152&amp;"R",BB151))))</f>
        <v/>
      </c>
      <c r="BC152" s="11" t="str">
        <f aca="false">IF($P152=0,BC151,IF(BC$3=$E152,IF($AA152=1,$F152&amp;$AB152,$G152),IF(OR(BC$3=$D152,BC$3=$AC152,BC$3=$AE152),"",IF(BC$3=$AD152,$F152&amp;"R",BC151))))</f>
        <v/>
      </c>
      <c r="BD152" s="11" t="str">
        <f aca="false">IF($P152=0,BD151,IF(BD$3=$E152,IF($AA152=1,$F152&amp;$AB152,$G152),IF(OR(BD$3=$D152,BD$3=$AC152,BD$3=$AE152),"",IF(BD$3=$AD152,$F152&amp;"R",BD151))))</f>
        <v/>
      </c>
      <c r="BE152" s="11" t="str">
        <f aca="false">IF($P152=0,BE151,IF(BE$3=$E152,IF($AA152=1,$F152&amp;$AB152,$G152),IF(OR(BE$3=$D152,BE$3=$AC152,BE$3=$AE152),"",IF(BE$3=$AD152,$F152&amp;"R",BE151))))</f>
        <v/>
      </c>
      <c r="BF152" s="11" t="str">
        <f aca="false">IF($P152=0,BF151,IF(BF$3=$E152,IF($AA152=1,$F152&amp;$AB152,$G152),IF(OR(BF$3=$D152,BF$3=$AC152,BF$3=$AE152),"",IF(BF$3=$AD152,$F152&amp;"R",BF151))))</f>
        <v/>
      </c>
      <c r="BG152" s="11" t="str">
        <f aca="false">IF($P152=0,BG151,IF(BG$3=$E152,IF($AA152=1,$F152&amp;$AB152,$G152),IF(OR(BG$3=$D152,BG$3=$AC152,BG$3=$AE152),"",IF(BG$3=$AD152,$F152&amp;"R",BG151))))</f>
        <v/>
      </c>
      <c r="BH152" s="11" t="str">
        <f aca="false">IF($P152=0,BH151,IF(BH$3=$E152,IF($AA152=1,$F152&amp;$AB152,$G152),IF(OR(BH$3=$D152,BH$3=$AC152,BH$3=$AE152),"",IF(BH$3=$AD152,$F152&amp;"R",BH151))))</f>
        <v/>
      </c>
      <c r="BI152" s="11" t="str">
        <f aca="false">IF($P152=0,BI151,IF(BI$3=$E152,IF($AA152=1,$F152&amp;$AB152,$G152),IF(OR(BI$3=$D152,BI$3=$AC152,BI$3=$AE152),"",IF(BI$3=$AD152,$F152&amp;"R",BI151))))</f>
        <v/>
      </c>
      <c r="BJ152" s="11" t="str">
        <f aca="false">IF($P152=0,BJ151,IF(BJ$3=$E152,IF($AA152=1,$F152&amp;$AB152,$G152),IF(OR(BJ$3=$D152,BJ$3=$AC152,BJ$3=$AE152),"",IF(BJ$3=$AD152,$F152&amp;"R",BJ151))))</f>
        <v/>
      </c>
      <c r="BK152" s="11" t="str">
        <f aca="false">IF($P152=0,BK151,IF(BK$3=$E152,IF($AA152=1,$F152&amp;$AB152,$G152),IF(OR(BK$3=$D152,BK$3=$AC152,BK$3=$AE152),"",IF(BK$3=$AD152,$F152&amp;"R",BK151))))</f>
        <v/>
      </c>
      <c r="BL152" s="11" t="str">
        <f aca="false">IF($P152=0,BL151,IF(BL$3=$E152,IF($AA152=1,$F152&amp;$AB152,$G152),IF(OR(BL$3=$D152,BL$3=$AC152,BL$3=$AE152),"",IF(BL$3=$AD152,$F152&amp;"R",BL151))))</f>
        <v/>
      </c>
      <c r="BM152" s="11" t="str">
        <f aca="false">IF($P152=0,BM151,IF(BM$3=$E152,IF($AA152=1,$F152&amp;$AB152,$G152),IF(OR(BM$3=$D152,BM$3=$AC152,BM$3=$AE152),"",IF(BM$3=$AD152,$F152&amp;"R",BM151))))</f>
        <v/>
      </c>
      <c r="BN152" s="11" t="str">
        <f aca="false">IF($P152=0,BN151,IF(BN$3=$E152,IF($AA152=1,$F152&amp;$AB152,$G152),IF(OR(BN$3=$D152,BN$3=$AC152,BN$3=$AE152),"",IF(BN$3=$AD152,$F152&amp;"R",BN151))))</f>
        <v/>
      </c>
      <c r="BO152" s="11" t="str">
        <f aca="false">IF($P152=0,BO151,IF(BO$3=$E152,IF($AA152=1,$F152&amp;$AB152,$G152),IF(OR(BO$3=$D152,BO$3=$AC152,BO$3=$AE152),"",IF(BO$3=$AD152,$F152&amp;"R",BO151))))</f>
        <v/>
      </c>
      <c r="BP152" s="11" t="str">
        <f aca="false">IF($P152=0,BP151,IF(BP$3=$E152,IF($AA152=1,$F152&amp;$AB152,$G152),IF(OR(BP$3=$D152,BP$3=$AC152,BP$3=$AE152),"",IF(BP$3=$AD152,$F152&amp;"R",BP151))))</f>
        <v/>
      </c>
      <c r="BQ152" s="11" t="str">
        <f aca="false">IF($P152=0,BQ151,IF(BQ$3=$E152,IF($AA152=1,$F152&amp;$AB152,$G152),IF(OR(BQ$3=$D152,BQ$3=$AC152,BQ$3=$AE152),"",IF(BQ$3=$AD152,$F152&amp;"R",BQ151))))</f>
        <v/>
      </c>
      <c r="BR152" s="11" t="str">
        <f aca="false">IF($P152=0,BR151,IF(BR$3=$E152,IF($AA152=1,$F152&amp;$AB152,$G152),IF(OR(BR$3=$D152,BR$3=$AC152,BR$3=$AE152),"",IF(BR$3=$AD152,$F152&amp;"R",BR151))))</f>
        <v/>
      </c>
      <c r="BS152" s="11" t="str">
        <f aca="false">IF($P152=0,BS151,IF(BS$3=$E152,IF($AA152=1,$F152&amp;$AB152,$G152),IF(OR(BS$3=$D152,BS$3=$AC152,BS$3=$AE152),"",IF(BS$3=$AD152,$F152&amp;"R",BS151))))</f>
        <v/>
      </c>
      <c r="BT152" s="11" t="str">
        <f aca="false">IF($P152=0,BT151,IF(BT$3=$E152,IF($AA152=1,$F152&amp;$AB152,$G152),IF(OR(BT$3=$D152,BT$3=$AC152,BT$3=$AE152),"",IF(BT$3=$AD152,$F152&amp;"R",BT151))))</f>
        <v/>
      </c>
      <c r="BU152" s="11" t="str">
        <f aca="false">IF($P152=0,BU151,IF(BU$3=$E152,IF($AA152=1,$F152&amp;$AB152,$G152),IF(OR(BU$3=$D152,BU$3=$AC152,BU$3=$AE152),"",IF(BU$3=$AD152,$F152&amp;"R",BU151))))</f>
        <v/>
      </c>
      <c r="BV152" s="11" t="str">
        <f aca="false">IF($P152=0,BV151,IF(BV$3=$E152,IF($AA152=1,$F152&amp;$AB152,$G152),IF(OR(BV$3=$D152,BV$3=$AC152,BV$3=$AE152),"",IF(BV$3=$AD152,$F152&amp;"R",BV151))))</f>
        <v/>
      </c>
      <c r="BW152" s="11" t="str">
        <f aca="false">IF($P152=0,BW151,IF(BW$3=$E152,IF($AA152=1,$F152&amp;$AB152,$G152),IF(OR(BW$3=$D152,BW$3=$AC152,BW$3=$AE152),"",IF(BW$3=$AD152,$F152&amp;"R",BW151))))</f>
        <v/>
      </c>
      <c r="BX152" s="11" t="str">
        <f aca="false">IF($P152=0,BX151,IF(BX$3=$E152,IF($AA152=1,$F152&amp;$AB152,$G152),IF(OR(BX$3=$D152,BX$3=$AC152,BX$3=$AE152),"",IF(BX$3=$AD152,$F152&amp;"R",BX151))))</f>
        <v/>
      </c>
      <c r="BY152" s="11" t="str">
        <f aca="false">IF($P152=0,BY151,IF(BY$3=$E152,IF($AA152=1,$F152&amp;$AB152,$G152),IF(OR(BY$3=$D152,BY$3=$AC152,BY$3=$AE152),"",IF(BY$3=$AD152,$F152&amp;"R",BY151))))</f>
        <v/>
      </c>
      <c r="BZ152" s="11" t="str">
        <f aca="false">IF($P152=0,BZ151,IF(BZ$3=$E152,IF($AA152=1,$F152&amp;$AB152,$G152),IF(OR(BZ$3=$D152,BZ$3=$AC152,BZ$3=$AE152),"",IF(BZ$3=$AD152,$F152&amp;"R",BZ151))))</f>
        <v/>
      </c>
      <c r="CA152" s="11" t="str">
        <f aca="false">IF($P152=0,CA151,IF(CA$3=$E152,IF($AA152=1,$F152&amp;$AB152,$G152),IF(OR(CA$3=$D152,CA$3=$AC152,CA$3=$AE152),"",IF(CA$3=$AD152,$F152&amp;"R",CA151))))</f>
        <v/>
      </c>
      <c r="CB152" s="11" t="str">
        <f aca="false">IF($P152=0,CB151,IF(CB$3=$E152,IF($AA152=1,$F152&amp;$AB152,$G152),IF(OR(CB$3=$D152,CB$3=$AC152,CB$3=$AE152),"",IF(CB$3=$AD152,$F152&amp;"R",CB151))))</f>
        <v/>
      </c>
      <c r="CC152" s="11" t="str">
        <f aca="false">IF($P152=0,CC151,IF(CC$3=$E152,IF($AA152=1,$F152&amp;$AB152,$G152),IF(OR(CC$3=$D152,CC$3=$AC152,CC$3=$AE152),"",IF(CC$3=$AD152,$F152&amp;"R",CC151))))</f>
        <v/>
      </c>
      <c r="CD152" s="11" t="str">
        <f aca="false">IF($P152=0,CD151,IF(CD$3=$E152,IF($AA152=1,$F152&amp;$AB152,$G152),IF(OR(CD$3=$D152,CD$3=$AC152,CD$3=$AE152),"",IF(CD$3=$AD152,$F152&amp;"R",CD151))))</f>
        <v>bP</v>
      </c>
      <c r="CE152" s="11" t="str">
        <f aca="false">IF($P152=0,CE151,IF(CE$3=$E152,IF($AA152=1,$F152&amp;$AB152,$G152),IF(OR(CE$3=$D152,CE$3=$AC152,CE$3=$AE152),"",IF(CE$3=$AD152,$F152&amp;"R",CE151))))</f>
        <v>bP</v>
      </c>
      <c r="CF152" s="11" t="str">
        <f aca="false">IF($P152=0,CF151,IF(CF$3=$E152,IF($AA152=1,$F152&amp;$AB152,$G152),IF(OR(CF$3=$D152,CF$3=$AC152,CF$3=$AE152),"",IF(CF$3=$AD152,$F152&amp;"R",CF151))))</f>
        <v>bP</v>
      </c>
      <c r="CG152" s="11" t="str">
        <f aca="false">IF($P152=0,CG151,IF(CG$3=$E152,IF($AA152=1,$F152&amp;$AB152,$G152),IF(OR(CG$3=$D152,CG$3=$AC152,CG$3=$AE152),"",IF(CG$3=$AD152,$F152&amp;"R",CG151))))</f>
        <v>bP</v>
      </c>
      <c r="CH152" s="11" t="str">
        <f aca="false">IF($P152=0,CH151,IF(CH$3=$E152,IF($AA152=1,$F152&amp;$AB152,$G152),IF(OR(CH$3=$D152,CH$3=$AC152,CH$3=$AE152),"",IF(CH$3=$AD152,$F152&amp;"R",CH151))))</f>
        <v>bP</v>
      </c>
      <c r="CI152" s="11" t="str">
        <f aca="false">IF($P152=0,CI151,IF(CI$3=$E152,IF($AA152=1,$F152&amp;$AB152,$G152),IF(OR(CI$3=$D152,CI$3=$AC152,CI$3=$AE152),"",IF(CI$3=$AD152,$F152&amp;"R",CI151))))</f>
        <v>bP</v>
      </c>
      <c r="CJ152" s="11" t="str">
        <f aca="false">IF($P152=0,CJ151,IF(CJ$3=$E152,IF($AA152=1,$F152&amp;$AB152,$G152),IF(OR(CJ$3=$D152,CJ$3=$AC152,CJ$3=$AE152),"",IF(CJ$3=$AD152,$F152&amp;"R",CJ151))))</f>
        <v>bP</v>
      </c>
      <c r="CK152" s="11" t="str">
        <f aca="false">IF($P152=0,CK151,IF(CK$3=$E152,IF($AA152=1,$F152&amp;$AB152,$G152),IF(OR(CK$3=$D152,CK$3=$AC152,CK$3=$AE152),"",IF(CK$3=$AD152,$F152&amp;"R",CK151))))</f>
        <v>bP</v>
      </c>
      <c r="CL152" s="11" t="str">
        <f aca="false">IF($P152=0,CL151,IF(CL$3=$E152,IF($AA152=1,$F152&amp;$AB152,$G152),IF(OR(CL$3=$D152,CL$3=$AC152,CL$3=$AE152),"",IF(CL$3=$AD152,$F152&amp;"R",CL151))))</f>
        <v>bR</v>
      </c>
      <c r="CM152" s="11" t="str">
        <f aca="false">IF($P152=0,CM151,IF(CM$3=$E152,IF($AA152=1,$F152&amp;$AB152,$G152),IF(OR(CM$3=$D152,CM$3=$AC152,CM$3=$AE152),"",IF(CM$3=$AD152,$F152&amp;"R",CM151))))</f>
        <v>bN</v>
      </c>
      <c r="CN152" s="11" t="str">
        <f aca="false">IF($P152=0,CN151,IF(CN$3=$E152,IF($AA152=1,$F152&amp;$AB152,$G152),IF(OR(CN$3=$D152,CN$3=$AC152,CN$3=$AE152),"",IF(CN$3=$AD152,$F152&amp;"R",CN151))))</f>
        <v>bB</v>
      </c>
      <c r="CO152" s="11" t="str">
        <f aca="false">IF($P152=0,CO151,IF(CO$3=$E152,IF($AA152=1,$F152&amp;$AB152,$G152),IF(OR(CO$3=$D152,CO$3=$AC152,CO$3=$AE152),"",IF(CO$3=$AD152,$F152&amp;"R",CO151))))</f>
        <v>bQ</v>
      </c>
      <c r="CP152" s="11" t="str">
        <f aca="false">IF($P152=0,CP151,IF(CP$3=$E152,IF($AA152=1,$F152&amp;$AB152,$G152),IF(OR(CP$3=$D152,CP$3=$AC152,CP$3=$AE152),"",IF(CP$3=$AD152,$F152&amp;"R",CP151))))</f>
        <v>bK</v>
      </c>
      <c r="CQ152" s="11" t="str">
        <f aca="false">IF($P152=0,CQ151,IF(CQ$3=$E152,IF($AA152=1,$F152&amp;$AB152,$G152),IF(OR(CQ$3=$D152,CQ$3=$AC152,CQ$3=$AE152),"",IF(CQ$3=$AD152,$F152&amp;"R",CQ151))))</f>
        <v>bB</v>
      </c>
      <c r="CR152" s="11" t="str">
        <f aca="false">IF($P152=0,CR151,IF(CR$3=$E152,IF($AA152=1,$F152&amp;$AB152,$G152),IF(OR(CR$3=$D152,CR$3=$AC152,CR$3=$AE152),"",IF(CR$3=$AD152,$F152&amp;"R",CR151))))</f>
        <v>bN</v>
      </c>
      <c r="CS152" s="11" t="str">
        <f aca="false">IF($P152=0,CS151,IF(CS$3=$E152,IF($AA152=1,$F152&amp;$AB152,$G152),IF(OR(CS$3=$D152,CS$3=$AC152,CS$3=$AE152),"",IF(CS$3=$AD152,$F152&amp;"R",CS151))))</f>
        <v>bR</v>
      </c>
      <c r="CT152" s="11"/>
      <c r="CU152" s="11"/>
      <c r="CV152" s="11"/>
    </row>
    <row r="153" customFormat="false" ht="15" hidden="false" customHeight="false" outlineLevel="0" collapsed="false">
      <c r="A153" s="11" t="n">
        <v>148</v>
      </c>
      <c r="B153" s="11" t="str">
        <f aca="false">IF(Chess!$L$157="","",Chess!$L$157&amp;"")</f>
        <v/>
      </c>
      <c r="C153" s="11" t="str">
        <f aca="false">LOWER(SUBSTITUTE(SUBSTITUTE(SUBSTITUTE(SUBSTITUTE(TRIM($B153),"-",""),"=","")," ",""),"x",""))</f>
        <v/>
      </c>
      <c r="D153" s="11" t="n">
        <f aca="false">IF(LEN($C153)&lt;4,0,IFERROR(IF(AND(CODE(MID($C153,1,1))&gt;=97,CODE(MID($C153,1,1))&lt;=104,VALUE(MID($C153,2,1))&gt;=1,VALUE(MID($C153,2,1))&lt;=8),(VALUE(MID($C153,2,1))-1)*8+CODE(MID($C153,1,1))-96,0),0))</f>
        <v>0</v>
      </c>
      <c r="E153" s="11" t="n">
        <f aca="false">IF(LEN($C153)&lt;4,0,IFERROR(IF(AND(CODE(MID($C153,3,1))&gt;=97,CODE(MID($C153,3,1))&lt;=104,VALUE(MID($C153,4,1))&gt;=1,VALUE(MID($C153,4,1))&lt;=8),(VALUE(MID($C153,4,1))-1)*8+CODE(MID($C153,3,1))-96,0),0))</f>
        <v>0</v>
      </c>
      <c r="F153" s="11" t="str">
        <f aca="false">IF(MOD(SUM($P$5:$P152),2)=0,"w","b")</f>
        <v>w</v>
      </c>
      <c r="G153" s="11" t="str">
        <f aca="false">IF($D153=0,"",INDEX($AH152:$CS152,1,$D153)&amp;"")</f>
        <v/>
      </c>
      <c r="H153" s="11" t="str">
        <f aca="false">IF($E153=0,"",INDEX($AH152:$CS152,1,$E153)&amp;"")</f>
        <v/>
      </c>
      <c r="I153" s="11" t="n">
        <f aca="false">IF(OR($D153=0,$E153=0),0,MOD($E153-1,8)-MOD($D153-1,8))</f>
        <v>0</v>
      </c>
      <c r="J153" s="11" t="n">
        <f aca="false">IF(OR($D153=0,$E153=0),0,INT(($E153-1)/8)-INT(($D153-1)/8))</f>
        <v>0</v>
      </c>
      <c r="K153" s="11" t="str">
        <f aca="false">IF($G153="","",RIGHT($G153,1))</f>
        <v/>
      </c>
      <c r="L153" s="11" t="n">
        <f aca="false">IF(OR($D153=0,$E153=0),0,SUMPRODUCT(($AH$3:$CS$3&gt;MIN($D153,$E153))*($AH$3:$CS$3&lt;MAX($D153,$E153))*(MOD($AH$3:$CS$3-MIN($D153,$E153),MAX(1,ABS(SIGN($J153)*8+SIGN($I153))))=0)*($AH152:$CS152&lt;&gt;"")))</f>
        <v>0</v>
      </c>
      <c r="M153" s="11" t="n">
        <f aca="false">IF($K153&lt;&gt;"K",0,IFERROR(--AND($J153=0,ABS($I153)=2,$D153=IF($F153="w",5,61),IF($F153="w",$S152,$V152)=0,IF($I153=2,AND(IF($F153="w",$U152,$X152)=0,INDEX($AH152:$CS152,1,$D153+1)&amp;""="",INDEX($AH152:$CS152,1,$D153+2)&amp;""=""),AND(IF($F153="w",$T152,$W152)=0,INDEX($AH152:$CS152,1,$D153-1)&amp;""="",INDEX($AH152:$CS152,1,$D153-2)&amp;""="",INDEX($AH152:$CS152,1,$D153-3)&amp;""=""))),0))</f>
        <v>0</v>
      </c>
      <c r="N153" s="11" t="n">
        <f aca="false">IF($K153&lt;&gt;"P",0,IFERROR(--OR(AND($I153=0,$J153=IF($F153="w",1,-1),$H153=""),AND($I153=0,$J153=2*IF($F153="w",1,-1),$H153="",INT(($D153-1)/8)=IF($F153="w",1,6),INDEX($AH152:$CS152,1,MAX(1,MIN(64,$D153+8*IF($F153="w",1,-1))))&amp;""=""),AND(ABS($I153)=1,$J153=IF($F153="w",1,-1),$H153&lt;&gt;""),AND(ABS($I153)=1,$J153=IF($F153="w",1,-1),$H153="",$R152&gt;0,$E153=$R152)),0))</f>
        <v>0</v>
      </c>
      <c r="O153" s="11" t="n">
        <f aca="false">IF(OR($D153=0,$E153=0,$G153=""),0,IF($K153="N",--OR(AND(ABS($I153)=1,ABS($J153)=2),AND(ABS($I153)=2,ABS($J153)=1)),IF($K153="B",--AND(ABS($I153)=ABS($J153),$I153&lt;&gt;0,$L153=0),IF($K153="R",--AND(OR($I153=0,$J153=0),OR($I153&lt;&gt;0,$J153&lt;&gt;0),$L153=0),IF($K153="Q",--AND(OR(AND(ABS($I153)=ABS($J153),$I153&lt;&gt;0),AND(OR($I153=0,$J153=0),OR($I153&lt;&gt;0,$J153&lt;&gt;0))),$L153=0),IF($K153="K",--OR(MAX(ABS($I153),ABS($J153))=1,$M153=1),$N153))))))</f>
        <v>0</v>
      </c>
      <c r="P153" s="11" t="n">
        <f aca="false">IF($Q153="OK",1,0)</f>
        <v>0</v>
      </c>
      <c r="Q153" s="11" t="str">
        <f aca="false">IF($B153="","",IF(OR(COUNTIF($AH152:$CS152,"wK")=0,COUNTIF($AH152:$CS152,"bK")=0),"Game is over",IF(OR($D153=0,$E153=0),"Use the format e2e4",IF($G153="","No piece on that square",IF(LEFT($G153,1)&lt;&gt;$F153,"Not your piece ("&amp;IF($F153="w","White","Black")&amp;" to move)",IF($D153=$E153,"Piece must move",IF(AND($H153&lt;&gt;"",LEFT($H153,1)=$F153),"Cannot capture your own piece",IF($O153=0,"Illegal move for that piece (or path blocked)","OK"))))))))</f>
        <v/>
      </c>
      <c r="R153" s="11" t="n">
        <f aca="false">IF($P153=1,IF(AND($K153="P",ABS($J153)=2),($D153+$E153)/2,0),$R152)</f>
        <v>0</v>
      </c>
      <c r="S153" s="12" t="b">
        <f aca="false">--OR($S152=1,AND($P153=1,OR($D153=5,$E153=5)))</f>
        <v>0</v>
      </c>
      <c r="T153" s="12" t="b">
        <f aca="false">--OR($T152=1,AND($P153=1,OR($D153=1,$E153=1)))</f>
        <v>0</v>
      </c>
      <c r="U153" s="12" t="b">
        <f aca="false">--OR($U152=1,AND($P153=1,OR($D153=8,$E153=8)))</f>
        <v>0</v>
      </c>
      <c r="V153" s="12" t="b">
        <f aca="false">--OR($V152=1,AND($P153=1,OR($D153=61,$E153=61)))</f>
        <v>0</v>
      </c>
      <c r="W153" s="12" t="b">
        <f aca="false">--OR($W152=1,AND($P153=1,OR($D153=57,$E153=57)))</f>
        <v>0</v>
      </c>
      <c r="X153" s="12" t="b">
        <f aca="false">--OR($X152=1,AND($P153=1,OR($D153=64,$E153=64)))</f>
        <v>0</v>
      </c>
      <c r="Y153" s="12" t="b">
        <f aca="false">--AND($P153=1,$K153="K",ABS($I153)=2)</f>
        <v>0</v>
      </c>
      <c r="Z153" s="12" t="b">
        <f aca="false">--AND($P153=1,$K153="P",ABS($I153)=1,$H153="")</f>
        <v>0</v>
      </c>
      <c r="AA153" s="12" t="b">
        <f aca="false">--AND($P153=1,$K153="P",INT(($E153-1)/8)=IF($F153="w",7,0))</f>
        <v>0</v>
      </c>
      <c r="AB153" s="11" t="str">
        <f aca="false">IF(LEN($C153)&gt;=5,IF(ISNUMBER(FIND(MID($C153,5,1),"qrbn")),UPPER(MID($C153,5,1)),"Q"),"Q")</f>
        <v>Q</v>
      </c>
      <c r="AC153" s="11" t="n">
        <f aca="false">IF($Y153=1,IF($I153=2,$D153+3,$D153-4),0)</f>
        <v>0</v>
      </c>
      <c r="AD153" s="11" t="n">
        <f aca="false">IF($Y153=1,IF($I153=2,$D153+1,$D153-1),0)</f>
        <v>0</v>
      </c>
      <c r="AE153" s="11" t="n">
        <f aca="false">IF($Z153=1,$E153-8*IF($F153="w",1,-1),0)</f>
        <v>0</v>
      </c>
      <c r="AF153" s="11" t="str">
        <f aca="false">IF($B153="","",IF($P153=1,LOWER(INDEX($CV$2:$CV$13,MATCH($G153,$CU$2:$CU$13,0)))&amp;" "&amp;MID("abcdefgh",MOD($D153-1,8)+1,1)&amp;(INT(($D153-1)/8)+1)&amp;"→"&amp;MID("abcdefgh",MOD($E153-1,8)+1,1)&amp;(INT(($E153-1)/8)+1)&amp;IF(OR($H153&lt;&gt;"",$Z153=1)," ×","")&amp;IF($Y153=1," castles","")&amp;IF($Z153=1," e.p.","")&amp;IF($AA153=1," =" &amp;LOWER(INDEX($CV$2:$CV$13,MATCH($F153&amp;$AB153,$CU$2:$CU$13,0))),""),"X "&amp;$Q153))</f>
        <v/>
      </c>
      <c r="AG153" s="11"/>
      <c r="AH153" s="11" t="str">
        <f aca="false">IF($P153=0,AH152,IF(AH$3=$E153,IF($AA153=1,$F153&amp;$AB153,$G153),IF(OR(AH$3=$D153,AH$3=$AC153,AH$3=$AE153),"",IF(AH$3=$AD153,$F153&amp;"R",AH152))))</f>
        <v>wR</v>
      </c>
      <c r="AI153" s="11" t="str">
        <f aca="false">IF($P153=0,AI152,IF(AI$3=$E153,IF($AA153=1,$F153&amp;$AB153,$G153),IF(OR(AI$3=$D153,AI$3=$AC153,AI$3=$AE153),"",IF(AI$3=$AD153,$F153&amp;"R",AI152))))</f>
        <v>wN</v>
      </c>
      <c r="AJ153" s="11" t="str">
        <f aca="false">IF($P153=0,AJ152,IF(AJ$3=$E153,IF($AA153=1,$F153&amp;$AB153,$G153),IF(OR(AJ$3=$D153,AJ$3=$AC153,AJ$3=$AE153),"",IF(AJ$3=$AD153,$F153&amp;"R",AJ152))))</f>
        <v>wB</v>
      </c>
      <c r="AK153" s="11" t="str">
        <f aca="false">IF($P153=0,AK152,IF(AK$3=$E153,IF($AA153=1,$F153&amp;$AB153,$G153),IF(OR(AK$3=$D153,AK$3=$AC153,AK$3=$AE153),"",IF(AK$3=$AD153,$F153&amp;"R",AK152))))</f>
        <v>wQ</v>
      </c>
      <c r="AL153" s="11" t="str">
        <f aca="false">IF($P153=0,AL152,IF(AL$3=$E153,IF($AA153=1,$F153&amp;$AB153,$G153),IF(OR(AL$3=$D153,AL$3=$AC153,AL$3=$AE153),"",IF(AL$3=$AD153,$F153&amp;"R",AL152))))</f>
        <v>wK</v>
      </c>
      <c r="AM153" s="11" t="str">
        <f aca="false">IF($P153=0,AM152,IF(AM$3=$E153,IF($AA153=1,$F153&amp;$AB153,$G153),IF(OR(AM$3=$D153,AM$3=$AC153,AM$3=$AE153),"",IF(AM$3=$AD153,$F153&amp;"R",AM152))))</f>
        <v>wB</v>
      </c>
      <c r="AN153" s="11" t="str">
        <f aca="false">IF($P153=0,AN152,IF(AN$3=$E153,IF($AA153=1,$F153&amp;$AB153,$G153),IF(OR(AN$3=$D153,AN$3=$AC153,AN$3=$AE153),"",IF(AN$3=$AD153,$F153&amp;"R",AN152))))</f>
        <v>wN</v>
      </c>
      <c r="AO153" s="11" t="str">
        <f aca="false">IF($P153=0,AO152,IF(AO$3=$E153,IF($AA153=1,$F153&amp;$AB153,$G153),IF(OR(AO$3=$D153,AO$3=$AC153,AO$3=$AE153),"",IF(AO$3=$AD153,$F153&amp;"R",AO152))))</f>
        <v>wR</v>
      </c>
      <c r="AP153" s="11" t="str">
        <f aca="false">IF($P153=0,AP152,IF(AP$3=$E153,IF($AA153=1,$F153&amp;$AB153,$G153),IF(OR(AP$3=$D153,AP$3=$AC153,AP$3=$AE153),"",IF(AP$3=$AD153,$F153&amp;"R",AP152))))</f>
        <v>wP</v>
      </c>
      <c r="AQ153" s="11" t="str">
        <f aca="false">IF($P153=0,AQ152,IF(AQ$3=$E153,IF($AA153=1,$F153&amp;$AB153,$G153),IF(OR(AQ$3=$D153,AQ$3=$AC153,AQ$3=$AE153),"",IF(AQ$3=$AD153,$F153&amp;"R",AQ152))))</f>
        <v>wP</v>
      </c>
      <c r="AR153" s="11" t="str">
        <f aca="false">IF($P153=0,AR152,IF(AR$3=$E153,IF($AA153=1,$F153&amp;$AB153,$G153),IF(OR(AR$3=$D153,AR$3=$AC153,AR$3=$AE153),"",IF(AR$3=$AD153,$F153&amp;"R",AR152))))</f>
        <v>wP</v>
      </c>
      <c r="AS153" s="11" t="str">
        <f aca="false">IF($P153=0,AS152,IF(AS$3=$E153,IF($AA153=1,$F153&amp;$AB153,$G153),IF(OR(AS$3=$D153,AS$3=$AC153,AS$3=$AE153),"",IF(AS$3=$AD153,$F153&amp;"R",AS152))))</f>
        <v>wP</v>
      </c>
      <c r="AT153" s="11" t="str">
        <f aca="false">IF($P153=0,AT152,IF(AT$3=$E153,IF($AA153=1,$F153&amp;$AB153,$G153),IF(OR(AT$3=$D153,AT$3=$AC153,AT$3=$AE153),"",IF(AT$3=$AD153,$F153&amp;"R",AT152))))</f>
        <v>wP</v>
      </c>
      <c r="AU153" s="11" t="str">
        <f aca="false">IF($P153=0,AU152,IF(AU$3=$E153,IF($AA153=1,$F153&amp;$AB153,$G153),IF(OR(AU$3=$D153,AU$3=$AC153,AU$3=$AE153),"",IF(AU$3=$AD153,$F153&amp;"R",AU152))))</f>
        <v>wP</v>
      </c>
      <c r="AV153" s="11" t="str">
        <f aca="false">IF($P153=0,AV152,IF(AV$3=$E153,IF($AA153=1,$F153&amp;$AB153,$G153),IF(OR(AV$3=$D153,AV$3=$AC153,AV$3=$AE153),"",IF(AV$3=$AD153,$F153&amp;"R",AV152))))</f>
        <v>wP</v>
      </c>
      <c r="AW153" s="11" t="str">
        <f aca="false">IF($P153=0,AW152,IF(AW$3=$E153,IF($AA153=1,$F153&amp;$AB153,$G153),IF(OR(AW$3=$D153,AW$3=$AC153,AW$3=$AE153),"",IF(AW$3=$AD153,$F153&amp;"R",AW152))))</f>
        <v>wP</v>
      </c>
      <c r="AX153" s="11" t="str">
        <f aca="false">IF($P153=0,AX152,IF(AX$3=$E153,IF($AA153=1,$F153&amp;$AB153,$G153),IF(OR(AX$3=$D153,AX$3=$AC153,AX$3=$AE153),"",IF(AX$3=$AD153,$F153&amp;"R",AX152))))</f>
        <v/>
      </c>
      <c r="AY153" s="11" t="str">
        <f aca="false">IF($P153=0,AY152,IF(AY$3=$E153,IF($AA153=1,$F153&amp;$AB153,$G153),IF(OR(AY$3=$D153,AY$3=$AC153,AY$3=$AE153),"",IF(AY$3=$AD153,$F153&amp;"R",AY152))))</f>
        <v/>
      </c>
      <c r="AZ153" s="11" t="str">
        <f aca="false">IF($P153=0,AZ152,IF(AZ$3=$E153,IF($AA153=1,$F153&amp;$AB153,$G153),IF(OR(AZ$3=$D153,AZ$3=$AC153,AZ$3=$AE153),"",IF(AZ$3=$AD153,$F153&amp;"R",AZ152))))</f>
        <v/>
      </c>
      <c r="BA153" s="11" t="str">
        <f aca="false">IF($P153=0,BA152,IF(BA$3=$E153,IF($AA153=1,$F153&amp;$AB153,$G153),IF(OR(BA$3=$D153,BA$3=$AC153,BA$3=$AE153),"",IF(BA$3=$AD153,$F153&amp;"R",BA152))))</f>
        <v/>
      </c>
      <c r="BB153" s="11" t="str">
        <f aca="false">IF($P153=0,BB152,IF(BB$3=$E153,IF($AA153=1,$F153&amp;$AB153,$G153),IF(OR(BB$3=$D153,BB$3=$AC153,BB$3=$AE153),"",IF(BB$3=$AD153,$F153&amp;"R",BB152))))</f>
        <v/>
      </c>
      <c r="BC153" s="11" t="str">
        <f aca="false">IF($P153=0,BC152,IF(BC$3=$E153,IF($AA153=1,$F153&amp;$AB153,$G153),IF(OR(BC$3=$D153,BC$3=$AC153,BC$3=$AE153),"",IF(BC$3=$AD153,$F153&amp;"R",BC152))))</f>
        <v/>
      </c>
      <c r="BD153" s="11" t="str">
        <f aca="false">IF($P153=0,BD152,IF(BD$3=$E153,IF($AA153=1,$F153&amp;$AB153,$G153),IF(OR(BD$3=$D153,BD$3=$AC153,BD$3=$AE153),"",IF(BD$3=$AD153,$F153&amp;"R",BD152))))</f>
        <v/>
      </c>
      <c r="BE153" s="11" t="str">
        <f aca="false">IF($P153=0,BE152,IF(BE$3=$E153,IF($AA153=1,$F153&amp;$AB153,$G153),IF(OR(BE$3=$D153,BE$3=$AC153,BE$3=$AE153),"",IF(BE$3=$AD153,$F153&amp;"R",BE152))))</f>
        <v/>
      </c>
      <c r="BF153" s="11" t="str">
        <f aca="false">IF($P153=0,BF152,IF(BF$3=$E153,IF($AA153=1,$F153&amp;$AB153,$G153),IF(OR(BF$3=$D153,BF$3=$AC153,BF$3=$AE153),"",IF(BF$3=$AD153,$F153&amp;"R",BF152))))</f>
        <v/>
      </c>
      <c r="BG153" s="11" t="str">
        <f aca="false">IF($P153=0,BG152,IF(BG$3=$E153,IF($AA153=1,$F153&amp;$AB153,$G153),IF(OR(BG$3=$D153,BG$3=$AC153,BG$3=$AE153),"",IF(BG$3=$AD153,$F153&amp;"R",BG152))))</f>
        <v/>
      </c>
      <c r="BH153" s="11" t="str">
        <f aca="false">IF($P153=0,BH152,IF(BH$3=$E153,IF($AA153=1,$F153&amp;$AB153,$G153),IF(OR(BH$3=$D153,BH$3=$AC153,BH$3=$AE153),"",IF(BH$3=$AD153,$F153&amp;"R",BH152))))</f>
        <v/>
      </c>
      <c r="BI153" s="11" t="str">
        <f aca="false">IF($P153=0,BI152,IF(BI$3=$E153,IF($AA153=1,$F153&amp;$AB153,$G153),IF(OR(BI$3=$D153,BI$3=$AC153,BI$3=$AE153),"",IF(BI$3=$AD153,$F153&amp;"R",BI152))))</f>
        <v/>
      </c>
      <c r="BJ153" s="11" t="str">
        <f aca="false">IF($P153=0,BJ152,IF(BJ$3=$E153,IF($AA153=1,$F153&amp;$AB153,$G153),IF(OR(BJ$3=$D153,BJ$3=$AC153,BJ$3=$AE153),"",IF(BJ$3=$AD153,$F153&amp;"R",BJ152))))</f>
        <v/>
      </c>
      <c r="BK153" s="11" t="str">
        <f aca="false">IF($P153=0,BK152,IF(BK$3=$E153,IF($AA153=1,$F153&amp;$AB153,$G153),IF(OR(BK$3=$D153,BK$3=$AC153,BK$3=$AE153),"",IF(BK$3=$AD153,$F153&amp;"R",BK152))))</f>
        <v/>
      </c>
      <c r="BL153" s="11" t="str">
        <f aca="false">IF($P153=0,BL152,IF(BL$3=$E153,IF($AA153=1,$F153&amp;$AB153,$G153),IF(OR(BL$3=$D153,BL$3=$AC153,BL$3=$AE153),"",IF(BL$3=$AD153,$F153&amp;"R",BL152))))</f>
        <v/>
      </c>
      <c r="BM153" s="11" t="str">
        <f aca="false">IF($P153=0,BM152,IF(BM$3=$E153,IF($AA153=1,$F153&amp;$AB153,$G153),IF(OR(BM$3=$D153,BM$3=$AC153,BM$3=$AE153),"",IF(BM$3=$AD153,$F153&amp;"R",BM152))))</f>
        <v/>
      </c>
      <c r="BN153" s="11" t="str">
        <f aca="false">IF($P153=0,BN152,IF(BN$3=$E153,IF($AA153=1,$F153&amp;$AB153,$G153),IF(OR(BN$3=$D153,BN$3=$AC153,BN$3=$AE153),"",IF(BN$3=$AD153,$F153&amp;"R",BN152))))</f>
        <v/>
      </c>
      <c r="BO153" s="11" t="str">
        <f aca="false">IF($P153=0,BO152,IF(BO$3=$E153,IF($AA153=1,$F153&amp;$AB153,$G153),IF(OR(BO$3=$D153,BO$3=$AC153,BO$3=$AE153),"",IF(BO$3=$AD153,$F153&amp;"R",BO152))))</f>
        <v/>
      </c>
      <c r="BP153" s="11" t="str">
        <f aca="false">IF($P153=0,BP152,IF(BP$3=$E153,IF($AA153=1,$F153&amp;$AB153,$G153),IF(OR(BP$3=$D153,BP$3=$AC153,BP$3=$AE153),"",IF(BP$3=$AD153,$F153&amp;"R",BP152))))</f>
        <v/>
      </c>
      <c r="BQ153" s="11" t="str">
        <f aca="false">IF($P153=0,BQ152,IF(BQ$3=$E153,IF($AA153=1,$F153&amp;$AB153,$G153),IF(OR(BQ$3=$D153,BQ$3=$AC153,BQ$3=$AE153),"",IF(BQ$3=$AD153,$F153&amp;"R",BQ152))))</f>
        <v/>
      </c>
      <c r="BR153" s="11" t="str">
        <f aca="false">IF($P153=0,BR152,IF(BR$3=$E153,IF($AA153=1,$F153&amp;$AB153,$G153),IF(OR(BR$3=$D153,BR$3=$AC153,BR$3=$AE153),"",IF(BR$3=$AD153,$F153&amp;"R",BR152))))</f>
        <v/>
      </c>
      <c r="BS153" s="11" t="str">
        <f aca="false">IF($P153=0,BS152,IF(BS$3=$E153,IF($AA153=1,$F153&amp;$AB153,$G153),IF(OR(BS$3=$D153,BS$3=$AC153,BS$3=$AE153),"",IF(BS$3=$AD153,$F153&amp;"R",BS152))))</f>
        <v/>
      </c>
      <c r="BT153" s="11" t="str">
        <f aca="false">IF($P153=0,BT152,IF(BT$3=$E153,IF($AA153=1,$F153&amp;$AB153,$G153),IF(OR(BT$3=$D153,BT$3=$AC153,BT$3=$AE153),"",IF(BT$3=$AD153,$F153&amp;"R",BT152))))</f>
        <v/>
      </c>
      <c r="BU153" s="11" t="str">
        <f aca="false">IF($P153=0,BU152,IF(BU$3=$E153,IF($AA153=1,$F153&amp;$AB153,$G153),IF(OR(BU$3=$D153,BU$3=$AC153,BU$3=$AE153),"",IF(BU$3=$AD153,$F153&amp;"R",BU152))))</f>
        <v/>
      </c>
      <c r="BV153" s="11" t="str">
        <f aca="false">IF($P153=0,BV152,IF(BV$3=$E153,IF($AA153=1,$F153&amp;$AB153,$G153),IF(OR(BV$3=$D153,BV$3=$AC153,BV$3=$AE153),"",IF(BV$3=$AD153,$F153&amp;"R",BV152))))</f>
        <v/>
      </c>
      <c r="BW153" s="11" t="str">
        <f aca="false">IF($P153=0,BW152,IF(BW$3=$E153,IF($AA153=1,$F153&amp;$AB153,$G153),IF(OR(BW$3=$D153,BW$3=$AC153,BW$3=$AE153),"",IF(BW$3=$AD153,$F153&amp;"R",BW152))))</f>
        <v/>
      </c>
      <c r="BX153" s="11" t="str">
        <f aca="false">IF($P153=0,BX152,IF(BX$3=$E153,IF($AA153=1,$F153&amp;$AB153,$G153),IF(OR(BX$3=$D153,BX$3=$AC153,BX$3=$AE153),"",IF(BX$3=$AD153,$F153&amp;"R",BX152))))</f>
        <v/>
      </c>
      <c r="BY153" s="11" t="str">
        <f aca="false">IF($P153=0,BY152,IF(BY$3=$E153,IF($AA153=1,$F153&amp;$AB153,$G153),IF(OR(BY$3=$D153,BY$3=$AC153,BY$3=$AE153),"",IF(BY$3=$AD153,$F153&amp;"R",BY152))))</f>
        <v/>
      </c>
      <c r="BZ153" s="11" t="str">
        <f aca="false">IF($P153=0,BZ152,IF(BZ$3=$E153,IF($AA153=1,$F153&amp;$AB153,$G153),IF(OR(BZ$3=$D153,BZ$3=$AC153,BZ$3=$AE153),"",IF(BZ$3=$AD153,$F153&amp;"R",BZ152))))</f>
        <v/>
      </c>
      <c r="CA153" s="11" t="str">
        <f aca="false">IF($P153=0,CA152,IF(CA$3=$E153,IF($AA153=1,$F153&amp;$AB153,$G153),IF(OR(CA$3=$D153,CA$3=$AC153,CA$3=$AE153),"",IF(CA$3=$AD153,$F153&amp;"R",CA152))))</f>
        <v/>
      </c>
      <c r="CB153" s="11" t="str">
        <f aca="false">IF($P153=0,CB152,IF(CB$3=$E153,IF($AA153=1,$F153&amp;$AB153,$G153),IF(OR(CB$3=$D153,CB$3=$AC153,CB$3=$AE153),"",IF(CB$3=$AD153,$F153&amp;"R",CB152))))</f>
        <v/>
      </c>
      <c r="CC153" s="11" t="str">
        <f aca="false">IF($P153=0,CC152,IF(CC$3=$E153,IF($AA153=1,$F153&amp;$AB153,$G153),IF(OR(CC$3=$D153,CC$3=$AC153,CC$3=$AE153),"",IF(CC$3=$AD153,$F153&amp;"R",CC152))))</f>
        <v/>
      </c>
      <c r="CD153" s="11" t="str">
        <f aca="false">IF($P153=0,CD152,IF(CD$3=$E153,IF($AA153=1,$F153&amp;$AB153,$G153),IF(OR(CD$3=$D153,CD$3=$AC153,CD$3=$AE153),"",IF(CD$3=$AD153,$F153&amp;"R",CD152))))</f>
        <v>bP</v>
      </c>
      <c r="CE153" s="11" t="str">
        <f aca="false">IF($P153=0,CE152,IF(CE$3=$E153,IF($AA153=1,$F153&amp;$AB153,$G153),IF(OR(CE$3=$D153,CE$3=$AC153,CE$3=$AE153),"",IF(CE$3=$AD153,$F153&amp;"R",CE152))))</f>
        <v>bP</v>
      </c>
      <c r="CF153" s="11" t="str">
        <f aca="false">IF($P153=0,CF152,IF(CF$3=$E153,IF($AA153=1,$F153&amp;$AB153,$G153),IF(OR(CF$3=$D153,CF$3=$AC153,CF$3=$AE153),"",IF(CF$3=$AD153,$F153&amp;"R",CF152))))</f>
        <v>bP</v>
      </c>
      <c r="CG153" s="11" t="str">
        <f aca="false">IF($P153=0,CG152,IF(CG$3=$E153,IF($AA153=1,$F153&amp;$AB153,$G153),IF(OR(CG$3=$D153,CG$3=$AC153,CG$3=$AE153),"",IF(CG$3=$AD153,$F153&amp;"R",CG152))))</f>
        <v>bP</v>
      </c>
      <c r="CH153" s="11" t="str">
        <f aca="false">IF($P153=0,CH152,IF(CH$3=$E153,IF($AA153=1,$F153&amp;$AB153,$G153),IF(OR(CH$3=$D153,CH$3=$AC153,CH$3=$AE153),"",IF(CH$3=$AD153,$F153&amp;"R",CH152))))</f>
        <v>bP</v>
      </c>
      <c r="CI153" s="11" t="str">
        <f aca="false">IF($P153=0,CI152,IF(CI$3=$E153,IF($AA153=1,$F153&amp;$AB153,$G153),IF(OR(CI$3=$D153,CI$3=$AC153,CI$3=$AE153),"",IF(CI$3=$AD153,$F153&amp;"R",CI152))))</f>
        <v>bP</v>
      </c>
      <c r="CJ153" s="11" t="str">
        <f aca="false">IF($P153=0,CJ152,IF(CJ$3=$E153,IF($AA153=1,$F153&amp;$AB153,$G153),IF(OR(CJ$3=$D153,CJ$3=$AC153,CJ$3=$AE153),"",IF(CJ$3=$AD153,$F153&amp;"R",CJ152))))</f>
        <v>bP</v>
      </c>
      <c r="CK153" s="11" t="str">
        <f aca="false">IF($P153=0,CK152,IF(CK$3=$E153,IF($AA153=1,$F153&amp;$AB153,$G153),IF(OR(CK$3=$D153,CK$3=$AC153,CK$3=$AE153),"",IF(CK$3=$AD153,$F153&amp;"R",CK152))))</f>
        <v>bP</v>
      </c>
      <c r="CL153" s="11" t="str">
        <f aca="false">IF($P153=0,CL152,IF(CL$3=$E153,IF($AA153=1,$F153&amp;$AB153,$G153),IF(OR(CL$3=$D153,CL$3=$AC153,CL$3=$AE153),"",IF(CL$3=$AD153,$F153&amp;"R",CL152))))</f>
        <v>bR</v>
      </c>
      <c r="CM153" s="11" t="str">
        <f aca="false">IF($P153=0,CM152,IF(CM$3=$E153,IF($AA153=1,$F153&amp;$AB153,$G153),IF(OR(CM$3=$D153,CM$3=$AC153,CM$3=$AE153),"",IF(CM$3=$AD153,$F153&amp;"R",CM152))))</f>
        <v>bN</v>
      </c>
      <c r="CN153" s="11" t="str">
        <f aca="false">IF($P153=0,CN152,IF(CN$3=$E153,IF($AA153=1,$F153&amp;$AB153,$G153),IF(OR(CN$3=$D153,CN$3=$AC153,CN$3=$AE153),"",IF(CN$3=$AD153,$F153&amp;"R",CN152))))</f>
        <v>bB</v>
      </c>
      <c r="CO153" s="11" t="str">
        <f aca="false">IF($P153=0,CO152,IF(CO$3=$E153,IF($AA153=1,$F153&amp;$AB153,$G153),IF(OR(CO$3=$D153,CO$3=$AC153,CO$3=$AE153),"",IF(CO$3=$AD153,$F153&amp;"R",CO152))))</f>
        <v>bQ</v>
      </c>
      <c r="CP153" s="11" t="str">
        <f aca="false">IF($P153=0,CP152,IF(CP$3=$E153,IF($AA153=1,$F153&amp;$AB153,$G153),IF(OR(CP$3=$D153,CP$3=$AC153,CP$3=$AE153),"",IF(CP$3=$AD153,$F153&amp;"R",CP152))))</f>
        <v>bK</v>
      </c>
      <c r="CQ153" s="11" t="str">
        <f aca="false">IF($P153=0,CQ152,IF(CQ$3=$E153,IF($AA153=1,$F153&amp;$AB153,$G153),IF(OR(CQ$3=$D153,CQ$3=$AC153,CQ$3=$AE153),"",IF(CQ$3=$AD153,$F153&amp;"R",CQ152))))</f>
        <v>bB</v>
      </c>
      <c r="CR153" s="11" t="str">
        <f aca="false">IF($P153=0,CR152,IF(CR$3=$E153,IF($AA153=1,$F153&amp;$AB153,$G153),IF(OR(CR$3=$D153,CR$3=$AC153,CR$3=$AE153),"",IF(CR$3=$AD153,$F153&amp;"R",CR152))))</f>
        <v>bN</v>
      </c>
      <c r="CS153" s="11" t="str">
        <f aca="false">IF($P153=0,CS152,IF(CS$3=$E153,IF($AA153=1,$F153&amp;$AB153,$G153),IF(OR(CS$3=$D153,CS$3=$AC153,CS$3=$AE153),"",IF(CS$3=$AD153,$F153&amp;"R",CS152))))</f>
        <v>bR</v>
      </c>
      <c r="CT153" s="11"/>
      <c r="CU153" s="11"/>
      <c r="CV153" s="11"/>
    </row>
    <row r="154" customFormat="false" ht="15" hidden="false" customHeight="false" outlineLevel="0" collapsed="false">
      <c r="A154" s="11" t="n">
        <v>149</v>
      </c>
      <c r="B154" s="11" t="str">
        <f aca="false">IF(Chess!$L$158="","",Chess!$L$158&amp;"")</f>
        <v/>
      </c>
      <c r="C154" s="11" t="str">
        <f aca="false">LOWER(SUBSTITUTE(SUBSTITUTE(SUBSTITUTE(SUBSTITUTE(TRIM($B154),"-",""),"=","")," ",""),"x",""))</f>
        <v/>
      </c>
      <c r="D154" s="11" t="n">
        <f aca="false">IF(LEN($C154)&lt;4,0,IFERROR(IF(AND(CODE(MID($C154,1,1))&gt;=97,CODE(MID($C154,1,1))&lt;=104,VALUE(MID($C154,2,1))&gt;=1,VALUE(MID($C154,2,1))&lt;=8),(VALUE(MID($C154,2,1))-1)*8+CODE(MID($C154,1,1))-96,0),0))</f>
        <v>0</v>
      </c>
      <c r="E154" s="11" t="n">
        <f aca="false">IF(LEN($C154)&lt;4,0,IFERROR(IF(AND(CODE(MID($C154,3,1))&gt;=97,CODE(MID($C154,3,1))&lt;=104,VALUE(MID($C154,4,1))&gt;=1,VALUE(MID($C154,4,1))&lt;=8),(VALUE(MID($C154,4,1))-1)*8+CODE(MID($C154,3,1))-96,0),0))</f>
        <v>0</v>
      </c>
      <c r="F154" s="11" t="str">
        <f aca="false">IF(MOD(SUM($P$5:$P153),2)=0,"w","b")</f>
        <v>w</v>
      </c>
      <c r="G154" s="11" t="str">
        <f aca="false">IF($D154=0,"",INDEX($AH153:$CS153,1,$D154)&amp;"")</f>
        <v/>
      </c>
      <c r="H154" s="11" t="str">
        <f aca="false">IF($E154=0,"",INDEX($AH153:$CS153,1,$E154)&amp;"")</f>
        <v/>
      </c>
      <c r="I154" s="11" t="n">
        <f aca="false">IF(OR($D154=0,$E154=0),0,MOD($E154-1,8)-MOD($D154-1,8))</f>
        <v>0</v>
      </c>
      <c r="J154" s="11" t="n">
        <f aca="false">IF(OR($D154=0,$E154=0),0,INT(($E154-1)/8)-INT(($D154-1)/8))</f>
        <v>0</v>
      </c>
      <c r="K154" s="11" t="str">
        <f aca="false">IF($G154="","",RIGHT($G154,1))</f>
        <v/>
      </c>
      <c r="L154" s="11" t="n">
        <f aca="false">IF(OR($D154=0,$E154=0),0,SUMPRODUCT(($AH$3:$CS$3&gt;MIN($D154,$E154))*($AH$3:$CS$3&lt;MAX($D154,$E154))*(MOD($AH$3:$CS$3-MIN($D154,$E154),MAX(1,ABS(SIGN($J154)*8+SIGN($I154))))=0)*($AH153:$CS153&lt;&gt;"")))</f>
        <v>0</v>
      </c>
      <c r="M154" s="11" t="n">
        <f aca="false">IF($K154&lt;&gt;"K",0,IFERROR(--AND($J154=0,ABS($I154)=2,$D154=IF($F154="w",5,61),IF($F154="w",$S153,$V153)=0,IF($I154=2,AND(IF($F154="w",$U153,$X153)=0,INDEX($AH153:$CS153,1,$D154+1)&amp;""="",INDEX($AH153:$CS153,1,$D154+2)&amp;""=""),AND(IF($F154="w",$T153,$W153)=0,INDEX($AH153:$CS153,1,$D154-1)&amp;""="",INDEX($AH153:$CS153,1,$D154-2)&amp;""="",INDEX($AH153:$CS153,1,$D154-3)&amp;""=""))),0))</f>
        <v>0</v>
      </c>
      <c r="N154" s="11" t="n">
        <f aca="false">IF($K154&lt;&gt;"P",0,IFERROR(--OR(AND($I154=0,$J154=IF($F154="w",1,-1),$H154=""),AND($I154=0,$J154=2*IF($F154="w",1,-1),$H154="",INT(($D154-1)/8)=IF($F154="w",1,6),INDEX($AH153:$CS153,1,MAX(1,MIN(64,$D154+8*IF($F154="w",1,-1))))&amp;""=""),AND(ABS($I154)=1,$J154=IF($F154="w",1,-1),$H154&lt;&gt;""),AND(ABS($I154)=1,$J154=IF($F154="w",1,-1),$H154="",$R153&gt;0,$E154=$R153)),0))</f>
        <v>0</v>
      </c>
      <c r="O154" s="11" t="n">
        <f aca="false">IF(OR($D154=0,$E154=0,$G154=""),0,IF($K154="N",--OR(AND(ABS($I154)=1,ABS($J154)=2),AND(ABS($I154)=2,ABS($J154)=1)),IF($K154="B",--AND(ABS($I154)=ABS($J154),$I154&lt;&gt;0,$L154=0),IF($K154="R",--AND(OR($I154=0,$J154=0),OR($I154&lt;&gt;0,$J154&lt;&gt;0),$L154=0),IF($K154="Q",--AND(OR(AND(ABS($I154)=ABS($J154),$I154&lt;&gt;0),AND(OR($I154=0,$J154=0),OR($I154&lt;&gt;0,$J154&lt;&gt;0))),$L154=0),IF($K154="K",--OR(MAX(ABS($I154),ABS($J154))=1,$M154=1),$N154))))))</f>
        <v>0</v>
      </c>
      <c r="P154" s="11" t="n">
        <f aca="false">IF($Q154="OK",1,0)</f>
        <v>0</v>
      </c>
      <c r="Q154" s="11" t="str">
        <f aca="false">IF($B154="","",IF(OR(COUNTIF($AH153:$CS153,"wK")=0,COUNTIF($AH153:$CS153,"bK")=0),"Game is over",IF(OR($D154=0,$E154=0),"Use the format e2e4",IF($G154="","No piece on that square",IF(LEFT($G154,1)&lt;&gt;$F154,"Not your piece ("&amp;IF($F154="w","White","Black")&amp;" to move)",IF($D154=$E154,"Piece must move",IF(AND($H154&lt;&gt;"",LEFT($H154,1)=$F154),"Cannot capture your own piece",IF($O154=0,"Illegal move for that piece (or path blocked)","OK"))))))))</f>
        <v/>
      </c>
      <c r="R154" s="11" t="n">
        <f aca="false">IF($P154=1,IF(AND($K154="P",ABS($J154)=2),($D154+$E154)/2,0),$R153)</f>
        <v>0</v>
      </c>
      <c r="S154" s="12" t="b">
        <f aca="false">--OR($S153=1,AND($P154=1,OR($D154=5,$E154=5)))</f>
        <v>0</v>
      </c>
      <c r="T154" s="12" t="b">
        <f aca="false">--OR($T153=1,AND($P154=1,OR($D154=1,$E154=1)))</f>
        <v>0</v>
      </c>
      <c r="U154" s="12" t="b">
        <f aca="false">--OR($U153=1,AND($P154=1,OR($D154=8,$E154=8)))</f>
        <v>0</v>
      </c>
      <c r="V154" s="12" t="b">
        <f aca="false">--OR($V153=1,AND($P154=1,OR($D154=61,$E154=61)))</f>
        <v>0</v>
      </c>
      <c r="W154" s="12" t="b">
        <f aca="false">--OR($W153=1,AND($P154=1,OR($D154=57,$E154=57)))</f>
        <v>0</v>
      </c>
      <c r="X154" s="12" t="b">
        <f aca="false">--OR($X153=1,AND($P154=1,OR($D154=64,$E154=64)))</f>
        <v>0</v>
      </c>
      <c r="Y154" s="12" t="b">
        <f aca="false">--AND($P154=1,$K154="K",ABS($I154)=2)</f>
        <v>0</v>
      </c>
      <c r="Z154" s="12" t="b">
        <f aca="false">--AND($P154=1,$K154="P",ABS($I154)=1,$H154="")</f>
        <v>0</v>
      </c>
      <c r="AA154" s="12" t="b">
        <f aca="false">--AND($P154=1,$K154="P",INT(($E154-1)/8)=IF($F154="w",7,0))</f>
        <v>0</v>
      </c>
      <c r="AB154" s="11" t="str">
        <f aca="false">IF(LEN($C154)&gt;=5,IF(ISNUMBER(FIND(MID($C154,5,1),"qrbn")),UPPER(MID($C154,5,1)),"Q"),"Q")</f>
        <v>Q</v>
      </c>
      <c r="AC154" s="11" t="n">
        <f aca="false">IF($Y154=1,IF($I154=2,$D154+3,$D154-4),0)</f>
        <v>0</v>
      </c>
      <c r="AD154" s="11" t="n">
        <f aca="false">IF($Y154=1,IF($I154=2,$D154+1,$D154-1),0)</f>
        <v>0</v>
      </c>
      <c r="AE154" s="11" t="n">
        <f aca="false">IF($Z154=1,$E154-8*IF($F154="w",1,-1),0)</f>
        <v>0</v>
      </c>
      <c r="AF154" s="11" t="str">
        <f aca="false">IF($B154="","",IF($P154=1,LOWER(INDEX($CV$2:$CV$13,MATCH($G154,$CU$2:$CU$13,0)))&amp;" "&amp;MID("abcdefgh",MOD($D154-1,8)+1,1)&amp;(INT(($D154-1)/8)+1)&amp;"→"&amp;MID("abcdefgh",MOD($E154-1,8)+1,1)&amp;(INT(($E154-1)/8)+1)&amp;IF(OR($H154&lt;&gt;"",$Z154=1)," ×","")&amp;IF($Y154=1," castles","")&amp;IF($Z154=1," e.p.","")&amp;IF($AA154=1," =" &amp;LOWER(INDEX($CV$2:$CV$13,MATCH($F154&amp;$AB154,$CU$2:$CU$13,0))),""),"X "&amp;$Q154))</f>
        <v/>
      </c>
      <c r="AG154" s="11"/>
      <c r="AH154" s="11" t="str">
        <f aca="false">IF($P154=0,AH153,IF(AH$3=$E154,IF($AA154=1,$F154&amp;$AB154,$G154),IF(OR(AH$3=$D154,AH$3=$AC154,AH$3=$AE154),"",IF(AH$3=$AD154,$F154&amp;"R",AH153))))</f>
        <v>wR</v>
      </c>
      <c r="AI154" s="11" t="str">
        <f aca="false">IF($P154=0,AI153,IF(AI$3=$E154,IF($AA154=1,$F154&amp;$AB154,$G154),IF(OR(AI$3=$D154,AI$3=$AC154,AI$3=$AE154),"",IF(AI$3=$AD154,$F154&amp;"R",AI153))))</f>
        <v>wN</v>
      </c>
      <c r="AJ154" s="11" t="str">
        <f aca="false">IF($P154=0,AJ153,IF(AJ$3=$E154,IF($AA154=1,$F154&amp;$AB154,$G154),IF(OR(AJ$3=$D154,AJ$3=$AC154,AJ$3=$AE154),"",IF(AJ$3=$AD154,$F154&amp;"R",AJ153))))</f>
        <v>wB</v>
      </c>
      <c r="AK154" s="11" t="str">
        <f aca="false">IF($P154=0,AK153,IF(AK$3=$E154,IF($AA154=1,$F154&amp;$AB154,$G154),IF(OR(AK$3=$D154,AK$3=$AC154,AK$3=$AE154),"",IF(AK$3=$AD154,$F154&amp;"R",AK153))))</f>
        <v>wQ</v>
      </c>
      <c r="AL154" s="11" t="str">
        <f aca="false">IF($P154=0,AL153,IF(AL$3=$E154,IF($AA154=1,$F154&amp;$AB154,$G154),IF(OR(AL$3=$D154,AL$3=$AC154,AL$3=$AE154),"",IF(AL$3=$AD154,$F154&amp;"R",AL153))))</f>
        <v>wK</v>
      </c>
      <c r="AM154" s="11" t="str">
        <f aca="false">IF($P154=0,AM153,IF(AM$3=$E154,IF($AA154=1,$F154&amp;$AB154,$G154),IF(OR(AM$3=$D154,AM$3=$AC154,AM$3=$AE154),"",IF(AM$3=$AD154,$F154&amp;"R",AM153))))</f>
        <v>wB</v>
      </c>
      <c r="AN154" s="11" t="str">
        <f aca="false">IF($P154=0,AN153,IF(AN$3=$E154,IF($AA154=1,$F154&amp;$AB154,$G154),IF(OR(AN$3=$D154,AN$3=$AC154,AN$3=$AE154),"",IF(AN$3=$AD154,$F154&amp;"R",AN153))))</f>
        <v>wN</v>
      </c>
      <c r="AO154" s="11" t="str">
        <f aca="false">IF($P154=0,AO153,IF(AO$3=$E154,IF($AA154=1,$F154&amp;$AB154,$G154),IF(OR(AO$3=$D154,AO$3=$AC154,AO$3=$AE154),"",IF(AO$3=$AD154,$F154&amp;"R",AO153))))</f>
        <v>wR</v>
      </c>
      <c r="AP154" s="11" t="str">
        <f aca="false">IF($P154=0,AP153,IF(AP$3=$E154,IF($AA154=1,$F154&amp;$AB154,$G154),IF(OR(AP$3=$D154,AP$3=$AC154,AP$3=$AE154),"",IF(AP$3=$AD154,$F154&amp;"R",AP153))))</f>
        <v>wP</v>
      </c>
      <c r="AQ154" s="11" t="str">
        <f aca="false">IF($P154=0,AQ153,IF(AQ$3=$E154,IF($AA154=1,$F154&amp;$AB154,$G154),IF(OR(AQ$3=$D154,AQ$3=$AC154,AQ$3=$AE154),"",IF(AQ$3=$AD154,$F154&amp;"R",AQ153))))</f>
        <v>wP</v>
      </c>
      <c r="AR154" s="11" t="str">
        <f aca="false">IF($P154=0,AR153,IF(AR$3=$E154,IF($AA154=1,$F154&amp;$AB154,$G154),IF(OR(AR$3=$D154,AR$3=$AC154,AR$3=$AE154),"",IF(AR$3=$AD154,$F154&amp;"R",AR153))))</f>
        <v>wP</v>
      </c>
      <c r="AS154" s="11" t="str">
        <f aca="false">IF($P154=0,AS153,IF(AS$3=$E154,IF($AA154=1,$F154&amp;$AB154,$G154),IF(OR(AS$3=$D154,AS$3=$AC154,AS$3=$AE154),"",IF(AS$3=$AD154,$F154&amp;"R",AS153))))</f>
        <v>wP</v>
      </c>
      <c r="AT154" s="11" t="str">
        <f aca="false">IF($P154=0,AT153,IF(AT$3=$E154,IF($AA154=1,$F154&amp;$AB154,$G154),IF(OR(AT$3=$D154,AT$3=$AC154,AT$3=$AE154),"",IF(AT$3=$AD154,$F154&amp;"R",AT153))))</f>
        <v>wP</v>
      </c>
      <c r="AU154" s="11" t="str">
        <f aca="false">IF($P154=0,AU153,IF(AU$3=$E154,IF($AA154=1,$F154&amp;$AB154,$G154),IF(OR(AU$3=$D154,AU$3=$AC154,AU$3=$AE154),"",IF(AU$3=$AD154,$F154&amp;"R",AU153))))</f>
        <v>wP</v>
      </c>
      <c r="AV154" s="11" t="str">
        <f aca="false">IF($P154=0,AV153,IF(AV$3=$E154,IF($AA154=1,$F154&amp;$AB154,$G154),IF(OR(AV$3=$D154,AV$3=$AC154,AV$3=$AE154),"",IF(AV$3=$AD154,$F154&amp;"R",AV153))))</f>
        <v>wP</v>
      </c>
      <c r="AW154" s="11" t="str">
        <f aca="false">IF($P154=0,AW153,IF(AW$3=$E154,IF($AA154=1,$F154&amp;$AB154,$G154),IF(OR(AW$3=$D154,AW$3=$AC154,AW$3=$AE154),"",IF(AW$3=$AD154,$F154&amp;"R",AW153))))</f>
        <v>wP</v>
      </c>
      <c r="AX154" s="11" t="str">
        <f aca="false">IF($P154=0,AX153,IF(AX$3=$E154,IF($AA154=1,$F154&amp;$AB154,$G154),IF(OR(AX$3=$D154,AX$3=$AC154,AX$3=$AE154),"",IF(AX$3=$AD154,$F154&amp;"R",AX153))))</f>
        <v/>
      </c>
      <c r="AY154" s="11" t="str">
        <f aca="false">IF($P154=0,AY153,IF(AY$3=$E154,IF($AA154=1,$F154&amp;$AB154,$G154),IF(OR(AY$3=$D154,AY$3=$AC154,AY$3=$AE154),"",IF(AY$3=$AD154,$F154&amp;"R",AY153))))</f>
        <v/>
      </c>
      <c r="AZ154" s="11" t="str">
        <f aca="false">IF($P154=0,AZ153,IF(AZ$3=$E154,IF($AA154=1,$F154&amp;$AB154,$G154),IF(OR(AZ$3=$D154,AZ$3=$AC154,AZ$3=$AE154),"",IF(AZ$3=$AD154,$F154&amp;"R",AZ153))))</f>
        <v/>
      </c>
      <c r="BA154" s="11" t="str">
        <f aca="false">IF($P154=0,BA153,IF(BA$3=$E154,IF($AA154=1,$F154&amp;$AB154,$G154),IF(OR(BA$3=$D154,BA$3=$AC154,BA$3=$AE154),"",IF(BA$3=$AD154,$F154&amp;"R",BA153))))</f>
        <v/>
      </c>
      <c r="BB154" s="11" t="str">
        <f aca="false">IF($P154=0,BB153,IF(BB$3=$E154,IF($AA154=1,$F154&amp;$AB154,$G154),IF(OR(BB$3=$D154,BB$3=$AC154,BB$3=$AE154),"",IF(BB$3=$AD154,$F154&amp;"R",BB153))))</f>
        <v/>
      </c>
      <c r="BC154" s="11" t="str">
        <f aca="false">IF($P154=0,BC153,IF(BC$3=$E154,IF($AA154=1,$F154&amp;$AB154,$G154),IF(OR(BC$3=$D154,BC$3=$AC154,BC$3=$AE154),"",IF(BC$3=$AD154,$F154&amp;"R",BC153))))</f>
        <v/>
      </c>
      <c r="BD154" s="11" t="str">
        <f aca="false">IF($P154=0,BD153,IF(BD$3=$E154,IF($AA154=1,$F154&amp;$AB154,$G154),IF(OR(BD$3=$D154,BD$3=$AC154,BD$3=$AE154),"",IF(BD$3=$AD154,$F154&amp;"R",BD153))))</f>
        <v/>
      </c>
      <c r="BE154" s="11" t="str">
        <f aca="false">IF($P154=0,BE153,IF(BE$3=$E154,IF($AA154=1,$F154&amp;$AB154,$G154),IF(OR(BE$3=$D154,BE$3=$AC154,BE$3=$AE154),"",IF(BE$3=$AD154,$F154&amp;"R",BE153))))</f>
        <v/>
      </c>
      <c r="BF154" s="11" t="str">
        <f aca="false">IF($P154=0,BF153,IF(BF$3=$E154,IF($AA154=1,$F154&amp;$AB154,$G154),IF(OR(BF$3=$D154,BF$3=$AC154,BF$3=$AE154),"",IF(BF$3=$AD154,$F154&amp;"R",BF153))))</f>
        <v/>
      </c>
      <c r="BG154" s="11" t="str">
        <f aca="false">IF($P154=0,BG153,IF(BG$3=$E154,IF($AA154=1,$F154&amp;$AB154,$G154),IF(OR(BG$3=$D154,BG$3=$AC154,BG$3=$AE154),"",IF(BG$3=$AD154,$F154&amp;"R",BG153))))</f>
        <v/>
      </c>
      <c r="BH154" s="11" t="str">
        <f aca="false">IF($P154=0,BH153,IF(BH$3=$E154,IF($AA154=1,$F154&amp;$AB154,$G154),IF(OR(BH$3=$D154,BH$3=$AC154,BH$3=$AE154),"",IF(BH$3=$AD154,$F154&amp;"R",BH153))))</f>
        <v/>
      </c>
      <c r="BI154" s="11" t="str">
        <f aca="false">IF($P154=0,BI153,IF(BI$3=$E154,IF($AA154=1,$F154&amp;$AB154,$G154),IF(OR(BI$3=$D154,BI$3=$AC154,BI$3=$AE154),"",IF(BI$3=$AD154,$F154&amp;"R",BI153))))</f>
        <v/>
      </c>
      <c r="BJ154" s="11" t="str">
        <f aca="false">IF($P154=0,BJ153,IF(BJ$3=$E154,IF($AA154=1,$F154&amp;$AB154,$G154),IF(OR(BJ$3=$D154,BJ$3=$AC154,BJ$3=$AE154),"",IF(BJ$3=$AD154,$F154&amp;"R",BJ153))))</f>
        <v/>
      </c>
      <c r="BK154" s="11" t="str">
        <f aca="false">IF($P154=0,BK153,IF(BK$3=$E154,IF($AA154=1,$F154&amp;$AB154,$G154),IF(OR(BK$3=$D154,BK$3=$AC154,BK$3=$AE154),"",IF(BK$3=$AD154,$F154&amp;"R",BK153))))</f>
        <v/>
      </c>
      <c r="BL154" s="11" t="str">
        <f aca="false">IF($P154=0,BL153,IF(BL$3=$E154,IF($AA154=1,$F154&amp;$AB154,$G154),IF(OR(BL$3=$D154,BL$3=$AC154,BL$3=$AE154),"",IF(BL$3=$AD154,$F154&amp;"R",BL153))))</f>
        <v/>
      </c>
      <c r="BM154" s="11" t="str">
        <f aca="false">IF($P154=0,BM153,IF(BM$3=$E154,IF($AA154=1,$F154&amp;$AB154,$G154),IF(OR(BM$3=$D154,BM$3=$AC154,BM$3=$AE154),"",IF(BM$3=$AD154,$F154&amp;"R",BM153))))</f>
        <v/>
      </c>
      <c r="BN154" s="11" t="str">
        <f aca="false">IF($P154=0,BN153,IF(BN$3=$E154,IF($AA154=1,$F154&amp;$AB154,$G154),IF(OR(BN$3=$D154,BN$3=$AC154,BN$3=$AE154),"",IF(BN$3=$AD154,$F154&amp;"R",BN153))))</f>
        <v/>
      </c>
      <c r="BO154" s="11" t="str">
        <f aca="false">IF($P154=0,BO153,IF(BO$3=$E154,IF($AA154=1,$F154&amp;$AB154,$G154),IF(OR(BO$3=$D154,BO$3=$AC154,BO$3=$AE154),"",IF(BO$3=$AD154,$F154&amp;"R",BO153))))</f>
        <v/>
      </c>
      <c r="BP154" s="11" t="str">
        <f aca="false">IF($P154=0,BP153,IF(BP$3=$E154,IF($AA154=1,$F154&amp;$AB154,$G154),IF(OR(BP$3=$D154,BP$3=$AC154,BP$3=$AE154),"",IF(BP$3=$AD154,$F154&amp;"R",BP153))))</f>
        <v/>
      </c>
      <c r="BQ154" s="11" t="str">
        <f aca="false">IF($P154=0,BQ153,IF(BQ$3=$E154,IF($AA154=1,$F154&amp;$AB154,$G154),IF(OR(BQ$3=$D154,BQ$3=$AC154,BQ$3=$AE154),"",IF(BQ$3=$AD154,$F154&amp;"R",BQ153))))</f>
        <v/>
      </c>
      <c r="BR154" s="11" t="str">
        <f aca="false">IF($P154=0,BR153,IF(BR$3=$E154,IF($AA154=1,$F154&amp;$AB154,$G154),IF(OR(BR$3=$D154,BR$3=$AC154,BR$3=$AE154),"",IF(BR$3=$AD154,$F154&amp;"R",BR153))))</f>
        <v/>
      </c>
      <c r="BS154" s="11" t="str">
        <f aca="false">IF($P154=0,BS153,IF(BS$3=$E154,IF($AA154=1,$F154&amp;$AB154,$G154),IF(OR(BS$3=$D154,BS$3=$AC154,BS$3=$AE154),"",IF(BS$3=$AD154,$F154&amp;"R",BS153))))</f>
        <v/>
      </c>
      <c r="BT154" s="11" t="str">
        <f aca="false">IF($P154=0,BT153,IF(BT$3=$E154,IF($AA154=1,$F154&amp;$AB154,$G154),IF(OR(BT$3=$D154,BT$3=$AC154,BT$3=$AE154),"",IF(BT$3=$AD154,$F154&amp;"R",BT153))))</f>
        <v/>
      </c>
      <c r="BU154" s="11" t="str">
        <f aca="false">IF($P154=0,BU153,IF(BU$3=$E154,IF($AA154=1,$F154&amp;$AB154,$G154),IF(OR(BU$3=$D154,BU$3=$AC154,BU$3=$AE154),"",IF(BU$3=$AD154,$F154&amp;"R",BU153))))</f>
        <v/>
      </c>
      <c r="BV154" s="11" t="str">
        <f aca="false">IF($P154=0,BV153,IF(BV$3=$E154,IF($AA154=1,$F154&amp;$AB154,$G154),IF(OR(BV$3=$D154,BV$3=$AC154,BV$3=$AE154),"",IF(BV$3=$AD154,$F154&amp;"R",BV153))))</f>
        <v/>
      </c>
      <c r="BW154" s="11" t="str">
        <f aca="false">IF($P154=0,BW153,IF(BW$3=$E154,IF($AA154=1,$F154&amp;$AB154,$G154),IF(OR(BW$3=$D154,BW$3=$AC154,BW$3=$AE154),"",IF(BW$3=$AD154,$F154&amp;"R",BW153))))</f>
        <v/>
      </c>
      <c r="BX154" s="11" t="str">
        <f aca="false">IF($P154=0,BX153,IF(BX$3=$E154,IF($AA154=1,$F154&amp;$AB154,$G154),IF(OR(BX$3=$D154,BX$3=$AC154,BX$3=$AE154),"",IF(BX$3=$AD154,$F154&amp;"R",BX153))))</f>
        <v/>
      </c>
      <c r="BY154" s="11" t="str">
        <f aca="false">IF($P154=0,BY153,IF(BY$3=$E154,IF($AA154=1,$F154&amp;$AB154,$G154),IF(OR(BY$3=$D154,BY$3=$AC154,BY$3=$AE154),"",IF(BY$3=$AD154,$F154&amp;"R",BY153))))</f>
        <v/>
      </c>
      <c r="BZ154" s="11" t="str">
        <f aca="false">IF($P154=0,BZ153,IF(BZ$3=$E154,IF($AA154=1,$F154&amp;$AB154,$G154),IF(OR(BZ$3=$D154,BZ$3=$AC154,BZ$3=$AE154),"",IF(BZ$3=$AD154,$F154&amp;"R",BZ153))))</f>
        <v/>
      </c>
      <c r="CA154" s="11" t="str">
        <f aca="false">IF($P154=0,CA153,IF(CA$3=$E154,IF($AA154=1,$F154&amp;$AB154,$G154),IF(OR(CA$3=$D154,CA$3=$AC154,CA$3=$AE154),"",IF(CA$3=$AD154,$F154&amp;"R",CA153))))</f>
        <v/>
      </c>
      <c r="CB154" s="11" t="str">
        <f aca="false">IF($P154=0,CB153,IF(CB$3=$E154,IF($AA154=1,$F154&amp;$AB154,$G154),IF(OR(CB$3=$D154,CB$3=$AC154,CB$3=$AE154),"",IF(CB$3=$AD154,$F154&amp;"R",CB153))))</f>
        <v/>
      </c>
      <c r="CC154" s="11" t="str">
        <f aca="false">IF($P154=0,CC153,IF(CC$3=$E154,IF($AA154=1,$F154&amp;$AB154,$G154),IF(OR(CC$3=$D154,CC$3=$AC154,CC$3=$AE154),"",IF(CC$3=$AD154,$F154&amp;"R",CC153))))</f>
        <v/>
      </c>
      <c r="CD154" s="11" t="str">
        <f aca="false">IF($P154=0,CD153,IF(CD$3=$E154,IF($AA154=1,$F154&amp;$AB154,$G154),IF(OR(CD$3=$D154,CD$3=$AC154,CD$3=$AE154),"",IF(CD$3=$AD154,$F154&amp;"R",CD153))))</f>
        <v>bP</v>
      </c>
      <c r="CE154" s="11" t="str">
        <f aca="false">IF($P154=0,CE153,IF(CE$3=$E154,IF($AA154=1,$F154&amp;$AB154,$G154),IF(OR(CE$3=$D154,CE$3=$AC154,CE$3=$AE154),"",IF(CE$3=$AD154,$F154&amp;"R",CE153))))</f>
        <v>bP</v>
      </c>
      <c r="CF154" s="11" t="str">
        <f aca="false">IF($P154=0,CF153,IF(CF$3=$E154,IF($AA154=1,$F154&amp;$AB154,$G154),IF(OR(CF$3=$D154,CF$3=$AC154,CF$3=$AE154),"",IF(CF$3=$AD154,$F154&amp;"R",CF153))))</f>
        <v>bP</v>
      </c>
      <c r="CG154" s="11" t="str">
        <f aca="false">IF($P154=0,CG153,IF(CG$3=$E154,IF($AA154=1,$F154&amp;$AB154,$G154),IF(OR(CG$3=$D154,CG$3=$AC154,CG$3=$AE154),"",IF(CG$3=$AD154,$F154&amp;"R",CG153))))</f>
        <v>bP</v>
      </c>
      <c r="CH154" s="11" t="str">
        <f aca="false">IF($P154=0,CH153,IF(CH$3=$E154,IF($AA154=1,$F154&amp;$AB154,$G154),IF(OR(CH$3=$D154,CH$3=$AC154,CH$3=$AE154),"",IF(CH$3=$AD154,$F154&amp;"R",CH153))))</f>
        <v>bP</v>
      </c>
      <c r="CI154" s="11" t="str">
        <f aca="false">IF($P154=0,CI153,IF(CI$3=$E154,IF($AA154=1,$F154&amp;$AB154,$G154),IF(OR(CI$3=$D154,CI$3=$AC154,CI$3=$AE154),"",IF(CI$3=$AD154,$F154&amp;"R",CI153))))</f>
        <v>bP</v>
      </c>
      <c r="CJ154" s="11" t="str">
        <f aca="false">IF($P154=0,CJ153,IF(CJ$3=$E154,IF($AA154=1,$F154&amp;$AB154,$G154),IF(OR(CJ$3=$D154,CJ$3=$AC154,CJ$3=$AE154),"",IF(CJ$3=$AD154,$F154&amp;"R",CJ153))))</f>
        <v>bP</v>
      </c>
      <c r="CK154" s="11" t="str">
        <f aca="false">IF($P154=0,CK153,IF(CK$3=$E154,IF($AA154=1,$F154&amp;$AB154,$G154),IF(OR(CK$3=$D154,CK$3=$AC154,CK$3=$AE154),"",IF(CK$3=$AD154,$F154&amp;"R",CK153))))</f>
        <v>bP</v>
      </c>
      <c r="CL154" s="11" t="str">
        <f aca="false">IF($P154=0,CL153,IF(CL$3=$E154,IF($AA154=1,$F154&amp;$AB154,$G154),IF(OR(CL$3=$D154,CL$3=$AC154,CL$3=$AE154),"",IF(CL$3=$AD154,$F154&amp;"R",CL153))))</f>
        <v>bR</v>
      </c>
      <c r="CM154" s="11" t="str">
        <f aca="false">IF($P154=0,CM153,IF(CM$3=$E154,IF($AA154=1,$F154&amp;$AB154,$G154),IF(OR(CM$3=$D154,CM$3=$AC154,CM$3=$AE154),"",IF(CM$3=$AD154,$F154&amp;"R",CM153))))</f>
        <v>bN</v>
      </c>
      <c r="CN154" s="11" t="str">
        <f aca="false">IF($P154=0,CN153,IF(CN$3=$E154,IF($AA154=1,$F154&amp;$AB154,$G154),IF(OR(CN$3=$D154,CN$3=$AC154,CN$3=$AE154),"",IF(CN$3=$AD154,$F154&amp;"R",CN153))))</f>
        <v>bB</v>
      </c>
      <c r="CO154" s="11" t="str">
        <f aca="false">IF($P154=0,CO153,IF(CO$3=$E154,IF($AA154=1,$F154&amp;$AB154,$G154),IF(OR(CO$3=$D154,CO$3=$AC154,CO$3=$AE154),"",IF(CO$3=$AD154,$F154&amp;"R",CO153))))</f>
        <v>bQ</v>
      </c>
      <c r="CP154" s="11" t="str">
        <f aca="false">IF($P154=0,CP153,IF(CP$3=$E154,IF($AA154=1,$F154&amp;$AB154,$G154),IF(OR(CP$3=$D154,CP$3=$AC154,CP$3=$AE154),"",IF(CP$3=$AD154,$F154&amp;"R",CP153))))</f>
        <v>bK</v>
      </c>
      <c r="CQ154" s="11" t="str">
        <f aca="false">IF($P154=0,CQ153,IF(CQ$3=$E154,IF($AA154=1,$F154&amp;$AB154,$G154),IF(OR(CQ$3=$D154,CQ$3=$AC154,CQ$3=$AE154),"",IF(CQ$3=$AD154,$F154&amp;"R",CQ153))))</f>
        <v>bB</v>
      </c>
      <c r="CR154" s="11" t="str">
        <f aca="false">IF($P154=0,CR153,IF(CR$3=$E154,IF($AA154=1,$F154&amp;$AB154,$G154),IF(OR(CR$3=$D154,CR$3=$AC154,CR$3=$AE154),"",IF(CR$3=$AD154,$F154&amp;"R",CR153))))</f>
        <v>bN</v>
      </c>
      <c r="CS154" s="11" t="str">
        <f aca="false">IF($P154=0,CS153,IF(CS$3=$E154,IF($AA154=1,$F154&amp;$AB154,$G154),IF(OR(CS$3=$D154,CS$3=$AC154,CS$3=$AE154),"",IF(CS$3=$AD154,$F154&amp;"R",CS153))))</f>
        <v>bR</v>
      </c>
      <c r="CT154" s="11"/>
      <c r="CU154" s="11"/>
      <c r="CV154" s="11"/>
    </row>
    <row r="155" customFormat="false" ht="15" hidden="false" customHeight="false" outlineLevel="0" collapsed="false">
      <c r="A155" s="11" t="n">
        <v>150</v>
      </c>
      <c r="B155" s="11" t="str">
        <f aca="false">IF(Chess!$L$159="","",Chess!$L$159&amp;"")</f>
        <v/>
      </c>
      <c r="C155" s="11" t="str">
        <f aca="false">LOWER(SUBSTITUTE(SUBSTITUTE(SUBSTITUTE(SUBSTITUTE(TRIM($B155),"-",""),"=","")," ",""),"x",""))</f>
        <v/>
      </c>
      <c r="D155" s="11" t="n">
        <f aca="false">IF(LEN($C155)&lt;4,0,IFERROR(IF(AND(CODE(MID($C155,1,1))&gt;=97,CODE(MID($C155,1,1))&lt;=104,VALUE(MID($C155,2,1))&gt;=1,VALUE(MID($C155,2,1))&lt;=8),(VALUE(MID($C155,2,1))-1)*8+CODE(MID($C155,1,1))-96,0),0))</f>
        <v>0</v>
      </c>
      <c r="E155" s="11" t="n">
        <f aca="false">IF(LEN($C155)&lt;4,0,IFERROR(IF(AND(CODE(MID($C155,3,1))&gt;=97,CODE(MID($C155,3,1))&lt;=104,VALUE(MID($C155,4,1))&gt;=1,VALUE(MID($C155,4,1))&lt;=8),(VALUE(MID($C155,4,1))-1)*8+CODE(MID($C155,3,1))-96,0),0))</f>
        <v>0</v>
      </c>
      <c r="F155" s="11" t="str">
        <f aca="false">IF(MOD(SUM($P$5:$P154),2)=0,"w","b")</f>
        <v>w</v>
      </c>
      <c r="G155" s="11" t="str">
        <f aca="false">IF($D155=0,"",INDEX($AH154:$CS154,1,$D155)&amp;"")</f>
        <v/>
      </c>
      <c r="H155" s="11" t="str">
        <f aca="false">IF($E155=0,"",INDEX($AH154:$CS154,1,$E155)&amp;"")</f>
        <v/>
      </c>
      <c r="I155" s="11" t="n">
        <f aca="false">IF(OR($D155=0,$E155=0),0,MOD($E155-1,8)-MOD($D155-1,8))</f>
        <v>0</v>
      </c>
      <c r="J155" s="11" t="n">
        <f aca="false">IF(OR($D155=0,$E155=0),0,INT(($E155-1)/8)-INT(($D155-1)/8))</f>
        <v>0</v>
      </c>
      <c r="K155" s="11" t="str">
        <f aca="false">IF($G155="","",RIGHT($G155,1))</f>
        <v/>
      </c>
      <c r="L155" s="11" t="n">
        <f aca="false">IF(OR($D155=0,$E155=0),0,SUMPRODUCT(($AH$3:$CS$3&gt;MIN($D155,$E155))*($AH$3:$CS$3&lt;MAX($D155,$E155))*(MOD($AH$3:$CS$3-MIN($D155,$E155),MAX(1,ABS(SIGN($J155)*8+SIGN($I155))))=0)*($AH154:$CS154&lt;&gt;"")))</f>
        <v>0</v>
      </c>
      <c r="M155" s="11" t="n">
        <f aca="false">IF($K155&lt;&gt;"K",0,IFERROR(--AND($J155=0,ABS($I155)=2,$D155=IF($F155="w",5,61),IF($F155="w",$S154,$V154)=0,IF($I155=2,AND(IF($F155="w",$U154,$X154)=0,INDEX($AH154:$CS154,1,$D155+1)&amp;""="",INDEX($AH154:$CS154,1,$D155+2)&amp;""=""),AND(IF($F155="w",$T154,$W154)=0,INDEX($AH154:$CS154,1,$D155-1)&amp;""="",INDEX($AH154:$CS154,1,$D155-2)&amp;""="",INDEX($AH154:$CS154,1,$D155-3)&amp;""=""))),0))</f>
        <v>0</v>
      </c>
      <c r="N155" s="11" t="n">
        <f aca="false">IF($K155&lt;&gt;"P",0,IFERROR(--OR(AND($I155=0,$J155=IF($F155="w",1,-1),$H155=""),AND($I155=0,$J155=2*IF($F155="w",1,-1),$H155="",INT(($D155-1)/8)=IF($F155="w",1,6),INDEX($AH154:$CS154,1,MAX(1,MIN(64,$D155+8*IF($F155="w",1,-1))))&amp;""=""),AND(ABS($I155)=1,$J155=IF($F155="w",1,-1),$H155&lt;&gt;""),AND(ABS($I155)=1,$J155=IF($F155="w",1,-1),$H155="",$R154&gt;0,$E155=$R154)),0))</f>
        <v>0</v>
      </c>
      <c r="O155" s="11" t="n">
        <f aca="false">IF(OR($D155=0,$E155=0,$G155=""),0,IF($K155="N",--OR(AND(ABS($I155)=1,ABS($J155)=2),AND(ABS($I155)=2,ABS($J155)=1)),IF($K155="B",--AND(ABS($I155)=ABS($J155),$I155&lt;&gt;0,$L155=0),IF($K155="R",--AND(OR($I155=0,$J155=0),OR($I155&lt;&gt;0,$J155&lt;&gt;0),$L155=0),IF($K155="Q",--AND(OR(AND(ABS($I155)=ABS($J155),$I155&lt;&gt;0),AND(OR($I155=0,$J155=0),OR($I155&lt;&gt;0,$J155&lt;&gt;0))),$L155=0),IF($K155="K",--OR(MAX(ABS($I155),ABS($J155))=1,$M155=1),$N155))))))</f>
        <v>0</v>
      </c>
      <c r="P155" s="11" t="n">
        <f aca="false">IF($Q155="OK",1,0)</f>
        <v>0</v>
      </c>
      <c r="Q155" s="11" t="str">
        <f aca="false">IF($B155="","",IF(OR(COUNTIF($AH154:$CS154,"wK")=0,COUNTIF($AH154:$CS154,"bK")=0),"Game is over",IF(OR($D155=0,$E155=0),"Use the format e2e4",IF($G155="","No piece on that square",IF(LEFT($G155,1)&lt;&gt;$F155,"Not your piece ("&amp;IF($F155="w","White","Black")&amp;" to move)",IF($D155=$E155,"Piece must move",IF(AND($H155&lt;&gt;"",LEFT($H155,1)=$F155),"Cannot capture your own piece",IF($O155=0,"Illegal move for that piece (or path blocked)","OK"))))))))</f>
        <v/>
      </c>
      <c r="R155" s="11" t="n">
        <f aca="false">IF($P155=1,IF(AND($K155="P",ABS($J155)=2),($D155+$E155)/2,0),$R154)</f>
        <v>0</v>
      </c>
      <c r="S155" s="12" t="b">
        <f aca="false">--OR($S154=1,AND($P155=1,OR($D155=5,$E155=5)))</f>
        <v>0</v>
      </c>
      <c r="T155" s="12" t="b">
        <f aca="false">--OR($T154=1,AND($P155=1,OR($D155=1,$E155=1)))</f>
        <v>0</v>
      </c>
      <c r="U155" s="12" t="b">
        <f aca="false">--OR($U154=1,AND($P155=1,OR($D155=8,$E155=8)))</f>
        <v>0</v>
      </c>
      <c r="V155" s="12" t="b">
        <f aca="false">--OR($V154=1,AND($P155=1,OR($D155=61,$E155=61)))</f>
        <v>0</v>
      </c>
      <c r="W155" s="12" t="b">
        <f aca="false">--OR($W154=1,AND($P155=1,OR($D155=57,$E155=57)))</f>
        <v>0</v>
      </c>
      <c r="X155" s="12" t="b">
        <f aca="false">--OR($X154=1,AND($P155=1,OR($D155=64,$E155=64)))</f>
        <v>0</v>
      </c>
      <c r="Y155" s="12" t="b">
        <f aca="false">--AND($P155=1,$K155="K",ABS($I155)=2)</f>
        <v>0</v>
      </c>
      <c r="Z155" s="12" t="b">
        <f aca="false">--AND($P155=1,$K155="P",ABS($I155)=1,$H155="")</f>
        <v>0</v>
      </c>
      <c r="AA155" s="12" t="b">
        <f aca="false">--AND($P155=1,$K155="P",INT(($E155-1)/8)=IF($F155="w",7,0))</f>
        <v>0</v>
      </c>
      <c r="AB155" s="11" t="str">
        <f aca="false">IF(LEN($C155)&gt;=5,IF(ISNUMBER(FIND(MID($C155,5,1),"qrbn")),UPPER(MID($C155,5,1)),"Q"),"Q")</f>
        <v>Q</v>
      </c>
      <c r="AC155" s="11" t="n">
        <f aca="false">IF($Y155=1,IF($I155=2,$D155+3,$D155-4),0)</f>
        <v>0</v>
      </c>
      <c r="AD155" s="11" t="n">
        <f aca="false">IF($Y155=1,IF($I155=2,$D155+1,$D155-1),0)</f>
        <v>0</v>
      </c>
      <c r="AE155" s="11" t="n">
        <f aca="false">IF($Z155=1,$E155-8*IF($F155="w",1,-1),0)</f>
        <v>0</v>
      </c>
      <c r="AF155" s="11" t="str">
        <f aca="false">IF($B155="","",IF($P155=1,LOWER(INDEX($CV$2:$CV$13,MATCH($G155,$CU$2:$CU$13,0)))&amp;" "&amp;MID("abcdefgh",MOD($D155-1,8)+1,1)&amp;(INT(($D155-1)/8)+1)&amp;"→"&amp;MID("abcdefgh",MOD($E155-1,8)+1,1)&amp;(INT(($E155-1)/8)+1)&amp;IF(OR($H155&lt;&gt;"",$Z155=1)," ×","")&amp;IF($Y155=1," castles","")&amp;IF($Z155=1," e.p.","")&amp;IF($AA155=1," =" &amp;LOWER(INDEX($CV$2:$CV$13,MATCH($F155&amp;$AB155,$CU$2:$CU$13,0))),""),"X "&amp;$Q155))</f>
        <v/>
      </c>
      <c r="AG155" s="11"/>
      <c r="AH155" s="11" t="str">
        <f aca="false">IF($P155=0,AH154,IF(AH$3=$E155,IF($AA155=1,$F155&amp;$AB155,$G155),IF(OR(AH$3=$D155,AH$3=$AC155,AH$3=$AE155),"",IF(AH$3=$AD155,$F155&amp;"R",AH154))))</f>
        <v>wR</v>
      </c>
      <c r="AI155" s="11" t="str">
        <f aca="false">IF($P155=0,AI154,IF(AI$3=$E155,IF($AA155=1,$F155&amp;$AB155,$G155),IF(OR(AI$3=$D155,AI$3=$AC155,AI$3=$AE155),"",IF(AI$3=$AD155,$F155&amp;"R",AI154))))</f>
        <v>wN</v>
      </c>
      <c r="AJ155" s="11" t="str">
        <f aca="false">IF($P155=0,AJ154,IF(AJ$3=$E155,IF($AA155=1,$F155&amp;$AB155,$G155),IF(OR(AJ$3=$D155,AJ$3=$AC155,AJ$3=$AE155),"",IF(AJ$3=$AD155,$F155&amp;"R",AJ154))))</f>
        <v>wB</v>
      </c>
      <c r="AK155" s="11" t="str">
        <f aca="false">IF($P155=0,AK154,IF(AK$3=$E155,IF($AA155=1,$F155&amp;$AB155,$G155),IF(OR(AK$3=$D155,AK$3=$AC155,AK$3=$AE155),"",IF(AK$3=$AD155,$F155&amp;"R",AK154))))</f>
        <v>wQ</v>
      </c>
      <c r="AL155" s="11" t="str">
        <f aca="false">IF($P155=0,AL154,IF(AL$3=$E155,IF($AA155=1,$F155&amp;$AB155,$G155),IF(OR(AL$3=$D155,AL$3=$AC155,AL$3=$AE155),"",IF(AL$3=$AD155,$F155&amp;"R",AL154))))</f>
        <v>wK</v>
      </c>
      <c r="AM155" s="11" t="str">
        <f aca="false">IF($P155=0,AM154,IF(AM$3=$E155,IF($AA155=1,$F155&amp;$AB155,$G155),IF(OR(AM$3=$D155,AM$3=$AC155,AM$3=$AE155),"",IF(AM$3=$AD155,$F155&amp;"R",AM154))))</f>
        <v>wB</v>
      </c>
      <c r="AN155" s="11" t="str">
        <f aca="false">IF($P155=0,AN154,IF(AN$3=$E155,IF($AA155=1,$F155&amp;$AB155,$G155),IF(OR(AN$3=$D155,AN$3=$AC155,AN$3=$AE155),"",IF(AN$3=$AD155,$F155&amp;"R",AN154))))</f>
        <v>wN</v>
      </c>
      <c r="AO155" s="11" t="str">
        <f aca="false">IF($P155=0,AO154,IF(AO$3=$E155,IF($AA155=1,$F155&amp;$AB155,$G155),IF(OR(AO$3=$D155,AO$3=$AC155,AO$3=$AE155),"",IF(AO$3=$AD155,$F155&amp;"R",AO154))))</f>
        <v>wR</v>
      </c>
      <c r="AP155" s="11" t="str">
        <f aca="false">IF($P155=0,AP154,IF(AP$3=$E155,IF($AA155=1,$F155&amp;$AB155,$G155),IF(OR(AP$3=$D155,AP$3=$AC155,AP$3=$AE155),"",IF(AP$3=$AD155,$F155&amp;"R",AP154))))</f>
        <v>wP</v>
      </c>
      <c r="AQ155" s="11" t="str">
        <f aca="false">IF($P155=0,AQ154,IF(AQ$3=$E155,IF($AA155=1,$F155&amp;$AB155,$G155),IF(OR(AQ$3=$D155,AQ$3=$AC155,AQ$3=$AE155),"",IF(AQ$3=$AD155,$F155&amp;"R",AQ154))))</f>
        <v>wP</v>
      </c>
      <c r="AR155" s="11" t="str">
        <f aca="false">IF($P155=0,AR154,IF(AR$3=$E155,IF($AA155=1,$F155&amp;$AB155,$G155),IF(OR(AR$3=$D155,AR$3=$AC155,AR$3=$AE155),"",IF(AR$3=$AD155,$F155&amp;"R",AR154))))</f>
        <v>wP</v>
      </c>
      <c r="AS155" s="11" t="str">
        <f aca="false">IF($P155=0,AS154,IF(AS$3=$E155,IF($AA155=1,$F155&amp;$AB155,$G155),IF(OR(AS$3=$D155,AS$3=$AC155,AS$3=$AE155),"",IF(AS$3=$AD155,$F155&amp;"R",AS154))))</f>
        <v>wP</v>
      </c>
      <c r="AT155" s="11" t="str">
        <f aca="false">IF($P155=0,AT154,IF(AT$3=$E155,IF($AA155=1,$F155&amp;$AB155,$G155),IF(OR(AT$3=$D155,AT$3=$AC155,AT$3=$AE155),"",IF(AT$3=$AD155,$F155&amp;"R",AT154))))</f>
        <v>wP</v>
      </c>
      <c r="AU155" s="11" t="str">
        <f aca="false">IF($P155=0,AU154,IF(AU$3=$E155,IF($AA155=1,$F155&amp;$AB155,$G155),IF(OR(AU$3=$D155,AU$3=$AC155,AU$3=$AE155),"",IF(AU$3=$AD155,$F155&amp;"R",AU154))))</f>
        <v>wP</v>
      </c>
      <c r="AV155" s="11" t="str">
        <f aca="false">IF($P155=0,AV154,IF(AV$3=$E155,IF($AA155=1,$F155&amp;$AB155,$G155),IF(OR(AV$3=$D155,AV$3=$AC155,AV$3=$AE155),"",IF(AV$3=$AD155,$F155&amp;"R",AV154))))</f>
        <v>wP</v>
      </c>
      <c r="AW155" s="11" t="str">
        <f aca="false">IF($P155=0,AW154,IF(AW$3=$E155,IF($AA155=1,$F155&amp;$AB155,$G155),IF(OR(AW$3=$D155,AW$3=$AC155,AW$3=$AE155),"",IF(AW$3=$AD155,$F155&amp;"R",AW154))))</f>
        <v>wP</v>
      </c>
      <c r="AX155" s="11" t="str">
        <f aca="false">IF($P155=0,AX154,IF(AX$3=$E155,IF($AA155=1,$F155&amp;$AB155,$G155),IF(OR(AX$3=$D155,AX$3=$AC155,AX$3=$AE155),"",IF(AX$3=$AD155,$F155&amp;"R",AX154))))</f>
        <v/>
      </c>
      <c r="AY155" s="11" t="str">
        <f aca="false">IF($P155=0,AY154,IF(AY$3=$E155,IF($AA155=1,$F155&amp;$AB155,$G155),IF(OR(AY$3=$D155,AY$3=$AC155,AY$3=$AE155),"",IF(AY$3=$AD155,$F155&amp;"R",AY154))))</f>
        <v/>
      </c>
      <c r="AZ155" s="11" t="str">
        <f aca="false">IF($P155=0,AZ154,IF(AZ$3=$E155,IF($AA155=1,$F155&amp;$AB155,$G155),IF(OR(AZ$3=$D155,AZ$3=$AC155,AZ$3=$AE155),"",IF(AZ$3=$AD155,$F155&amp;"R",AZ154))))</f>
        <v/>
      </c>
      <c r="BA155" s="11" t="str">
        <f aca="false">IF($P155=0,BA154,IF(BA$3=$E155,IF($AA155=1,$F155&amp;$AB155,$G155),IF(OR(BA$3=$D155,BA$3=$AC155,BA$3=$AE155),"",IF(BA$3=$AD155,$F155&amp;"R",BA154))))</f>
        <v/>
      </c>
      <c r="BB155" s="11" t="str">
        <f aca="false">IF($P155=0,BB154,IF(BB$3=$E155,IF($AA155=1,$F155&amp;$AB155,$G155),IF(OR(BB$3=$D155,BB$3=$AC155,BB$3=$AE155),"",IF(BB$3=$AD155,$F155&amp;"R",BB154))))</f>
        <v/>
      </c>
      <c r="BC155" s="11" t="str">
        <f aca="false">IF($P155=0,BC154,IF(BC$3=$E155,IF($AA155=1,$F155&amp;$AB155,$G155),IF(OR(BC$3=$D155,BC$3=$AC155,BC$3=$AE155),"",IF(BC$3=$AD155,$F155&amp;"R",BC154))))</f>
        <v/>
      </c>
      <c r="BD155" s="11" t="str">
        <f aca="false">IF($P155=0,BD154,IF(BD$3=$E155,IF($AA155=1,$F155&amp;$AB155,$G155),IF(OR(BD$3=$D155,BD$3=$AC155,BD$3=$AE155),"",IF(BD$3=$AD155,$F155&amp;"R",BD154))))</f>
        <v/>
      </c>
      <c r="BE155" s="11" t="str">
        <f aca="false">IF($P155=0,BE154,IF(BE$3=$E155,IF($AA155=1,$F155&amp;$AB155,$G155),IF(OR(BE$3=$D155,BE$3=$AC155,BE$3=$AE155),"",IF(BE$3=$AD155,$F155&amp;"R",BE154))))</f>
        <v/>
      </c>
      <c r="BF155" s="11" t="str">
        <f aca="false">IF($P155=0,BF154,IF(BF$3=$E155,IF($AA155=1,$F155&amp;$AB155,$G155),IF(OR(BF$3=$D155,BF$3=$AC155,BF$3=$AE155),"",IF(BF$3=$AD155,$F155&amp;"R",BF154))))</f>
        <v/>
      </c>
      <c r="BG155" s="11" t="str">
        <f aca="false">IF($P155=0,BG154,IF(BG$3=$E155,IF($AA155=1,$F155&amp;$AB155,$G155),IF(OR(BG$3=$D155,BG$3=$AC155,BG$3=$AE155),"",IF(BG$3=$AD155,$F155&amp;"R",BG154))))</f>
        <v/>
      </c>
      <c r="BH155" s="11" t="str">
        <f aca="false">IF($P155=0,BH154,IF(BH$3=$E155,IF($AA155=1,$F155&amp;$AB155,$G155),IF(OR(BH$3=$D155,BH$3=$AC155,BH$3=$AE155),"",IF(BH$3=$AD155,$F155&amp;"R",BH154))))</f>
        <v/>
      </c>
      <c r="BI155" s="11" t="str">
        <f aca="false">IF($P155=0,BI154,IF(BI$3=$E155,IF($AA155=1,$F155&amp;$AB155,$G155),IF(OR(BI$3=$D155,BI$3=$AC155,BI$3=$AE155),"",IF(BI$3=$AD155,$F155&amp;"R",BI154))))</f>
        <v/>
      </c>
      <c r="BJ155" s="11" t="str">
        <f aca="false">IF($P155=0,BJ154,IF(BJ$3=$E155,IF($AA155=1,$F155&amp;$AB155,$G155),IF(OR(BJ$3=$D155,BJ$3=$AC155,BJ$3=$AE155),"",IF(BJ$3=$AD155,$F155&amp;"R",BJ154))))</f>
        <v/>
      </c>
      <c r="BK155" s="11" t="str">
        <f aca="false">IF($P155=0,BK154,IF(BK$3=$E155,IF($AA155=1,$F155&amp;$AB155,$G155),IF(OR(BK$3=$D155,BK$3=$AC155,BK$3=$AE155),"",IF(BK$3=$AD155,$F155&amp;"R",BK154))))</f>
        <v/>
      </c>
      <c r="BL155" s="11" t="str">
        <f aca="false">IF($P155=0,BL154,IF(BL$3=$E155,IF($AA155=1,$F155&amp;$AB155,$G155),IF(OR(BL$3=$D155,BL$3=$AC155,BL$3=$AE155),"",IF(BL$3=$AD155,$F155&amp;"R",BL154))))</f>
        <v/>
      </c>
      <c r="BM155" s="11" t="str">
        <f aca="false">IF($P155=0,BM154,IF(BM$3=$E155,IF($AA155=1,$F155&amp;$AB155,$G155),IF(OR(BM$3=$D155,BM$3=$AC155,BM$3=$AE155),"",IF(BM$3=$AD155,$F155&amp;"R",BM154))))</f>
        <v/>
      </c>
      <c r="BN155" s="11" t="str">
        <f aca="false">IF($P155=0,BN154,IF(BN$3=$E155,IF($AA155=1,$F155&amp;$AB155,$G155),IF(OR(BN$3=$D155,BN$3=$AC155,BN$3=$AE155),"",IF(BN$3=$AD155,$F155&amp;"R",BN154))))</f>
        <v/>
      </c>
      <c r="BO155" s="11" t="str">
        <f aca="false">IF($P155=0,BO154,IF(BO$3=$E155,IF($AA155=1,$F155&amp;$AB155,$G155),IF(OR(BO$3=$D155,BO$3=$AC155,BO$3=$AE155),"",IF(BO$3=$AD155,$F155&amp;"R",BO154))))</f>
        <v/>
      </c>
      <c r="BP155" s="11" t="str">
        <f aca="false">IF($P155=0,BP154,IF(BP$3=$E155,IF($AA155=1,$F155&amp;$AB155,$G155),IF(OR(BP$3=$D155,BP$3=$AC155,BP$3=$AE155),"",IF(BP$3=$AD155,$F155&amp;"R",BP154))))</f>
        <v/>
      </c>
      <c r="BQ155" s="11" t="str">
        <f aca="false">IF($P155=0,BQ154,IF(BQ$3=$E155,IF($AA155=1,$F155&amp;$AB155,$G155),IF(OR(BQ$3=$D155,BQ$3=$AC155,BQ$3=$AE155),"",IF(BQ$3=$AD155,$F155&amp;"R",BQ154))))</f>
        <v/>
      </c>
      <c r="BR155" s="11" t="str">
        <f aca="false">IF($P155=0,BR154,IF(BR$3=$E155,IF($AA155=1,$F155&amp;$AB155,$G155),IF(OR(BR$3=$D155,BR$3=$AC155,BR$3=$AE155),"",IF(BR$3=$AD155,$F155&amp;"R",BR154))))</f>
        <v/>
      </c>
      <c r="BS155" s="11" t="str">
        <f aca="false">IF($P155=0,BS154,IF(BS$3=$E155,IF($AA155=1,$F155&amp;$AB155,$G155),IF(OR(BS$3=$D155,BS$3=$AC155,BS$3=$AE155),"",IF(BS$3=$AD155,$F155&amp;"R",BS154))))</f>
        <v/>
      </c>
      <c r="BT155" s="11" t="str">
        <f aca="false">IF($P155=0,BT154,IF(BT$3=$E155,IF($AA155=1,$F155&amp;$AB155,$G155),IF(OR(BT$3=$D155,BT$3=$AC155,BT$3=$AE155),"",IF(BT$3=$AD155,$F155&amp;"R",BT154))))</f>
        <v/>
      </c>
      <c r="BU155" s="11" t="str">
        <f aca="false">IF($P155=0,BU154,IF(BU$3=$E155,IF($AA155=1,$F155&amp;$AB155,$G155),IF(OR(BU$3=$D155,BU$3=$AC155,BU$3=$AE155),"",IF(BU$3=$AD155,$F155&amp;"R",BU154))))</f>
        <v/>
      </c>
      <c r="BV155" s="11" t="str">
        <f aca="false">IF($P155=0,BV154,IF(BV$3=$E155,IF($AA155=1,$F155&amp;$AB155,$G155),IF(OR(BV$3=$D155,BV$3=$AC155,BV$3=$AE155),"",IF(BV$3=$AD155,$F155&amp;"R",BV154))))</f>
        <v/>
      </c>
      <c r="BW155" s="11" t="str">
        <f aca="false">IF($P155=0,BW154,IF(BW$3=$E155,IF($AA155=1,$F155&amp;$AB155,$G155),IF(OR(BW$3=$D155,BW$3=$AC155,BW$3=$AE155),"",IF(BW$3=$AD155,$F155&amp;"R",BW154))))</f>
        <v/>
      </c>
      <c r="BX155" s="11" t="str">
        <f aca="false">IF($P155=0,BX154,IF(BX$3=$E155,IF($AA155=1,$F155&amp;$AB155,$G155),IF(OR(BX$3=$D155,BX$3=$AC155,BX$3=$AE155),"",IF(BX$3=$AD155,$F155&amp;"R",BX154))))</f>
        <v/>
      </c>
      <c r="BY155" s="11" t="str">
        <f aca="false">IF($P155=0,BY154,IF(BY$3=$E155,IF($AA155=1,$F155&amp;$AB155,$G155),IF(OR(BY$3=$D155,BY$3=$AC155,BY$3=$AE155),"",IF(BY$3=$AD155,$F155&amp;"R",BY154))))</f>
        <v/>
      </c>
      <c r="BZ155" s="11" t="str">
        <f aca="false">IF($P155=0,BZ154,IF(BZ$3=$E155,IF($AA155=1,$F155&amp;$AB155,$G155),IF(OR(BZ$3=$D155,BZ$3=$AC155,BZ$3=$AE155),"",IF(BZ$3=$AD155,$F155&amp;"R",BZ154))))</f>
        <v/>
      </c>
      <c r="CA155" s="11" t="str">
        <f aca="false">IF($P155=0,CA154,IF(CA$3=$E155,IF($AA155=1,$F155&amp;$AB155,$G155),IF(OR(CA$3=$D155,CA$3=$AC155,CA$3=$AE155),"",IF(CA$3=$AD155,$F155&amp;"R",CA154))))</f>
        <v/>
      </c>
      <c r="CB155" s="11" t="str">
        <f aca="false">IF($P155=0,CB154,IF(CB$3=$E155,IF($AA155=1,$F155&amp;$AB155,$G155),IF(OR(CB$3=$D155,CB$3=$AC155,CB$3=$AE155),"",IF(CB$3=$AD155,$F155&amp;"R",CB154))))</f>
        <v/>
      </c>
      <c r="CC155" s="11" t="str">
        <f aca="false">IF($P155=0,CC154,IF(CC$3=$E155,IF($AA155=1,$F155&amp;$AB155,$G155),IF(OR(CC$3=$D155,CC$3=$AC155,CC$3=$AE155),"",IF(CC$3=$AD155,$F155&amp;"R",CC154))))</f>
        <v/>
      </c>
      <c r="CD155" s="11" t="str">
        <f aca="false">IF($P155=0,CD154,IF(CD$3=$E155,IF($AA155=1,$F155&amp;$AB155,$G155),IF(OR(CD$3=$D155,CD$3=$AC155,CD$3=$AE155),"",IF(CD$3=$AD155,$F155&amp;"R",CD154))))</f>
        <v>bP</v>
      </c>
      <c r="CE155" s="11" t="str">
        <f aca="false">IF($P155=0,CE154,IF(CE$3=$E155,IF($AA155=1,$F155&amp;$AB155,$G155),IF(OR(CE$3=$D155,CE$3=$AC155,CE$3=$AE155),"",IF(CE$3=$AD155,$F155&amp;"R",CE154))))</f>
        <v>bP</v>
      </c>
      <c r="CF155" s="11" t="str">
        <f aca="false">IF($P155=0,CF154,IF(CF$3=$E155,IF($AA155=1,$F155&amp;$AB155,$G155),IF(OR(CF$3=$D155,CF$3=$AC155,CF$3=$AE155),"",IF(CF$3=$AD155,$F155&amp;"R",CF154))))</f>
        <v>bP</v>
      </c>
      <c r="CG155" s="11" t="str">
        <f aca="false">IF($P155=0,CG154,IF(CG$3=$E155,IF($AA155=1,$F155&amp;$AB155,$G155),IF(OR(CG$3=$D155,CG$3=$AC155,CG$3=$AE155),"",IF(CG$3=$AD155,$F155&amp;"R",CG154))))</f>
        <v>bP</v>
      </c>
      <c r="CH155" s="11" t="str">
        <f aca="false">IF($P155=0,CH154,IF(CH$3=$E155,IF($AA155=1,$F155&amp;$AB155,$G155),IF(OR(CH$3=$D155,CH$3=$AC155,CH$3=$AE155),"",IF(CH$3=$AD155,$F155&amp;"R",CH154))))</f>
        <v>bP</v>
      </c>
      <c r="CI155" s="11" t="str">
        <f aca="false">IF($P155=0,CI154,IF(CI$3=$E155,IF($AA155=1,$F155&amp;$AB155,$G155),IF(OR(CI$3=$D155,CI$3=$AC155,CI$3=$AE155),"",IF(CI$3=$AD155,$F155&amp;"R",CI154))))</f>
        <v>bP</v>
      </c>
      <c r="CJ155" s="11" t="str">
        <f aca="false">IF($P155=0,CJ154,IF(CJ$3=$E155,IF($AA155=1,$F155&amp;$AB155,$G155),IF(OR(CJ$3=$D155,CJ$3=$AC155,CJ$3=$AE155),"",IF(CJ$3=$AD155,$F155&amp;"R",CJ154))))</f>
        <v>bP</v>
      </c>
      <c r="CK155" s="11" t="str">
        <f aca="false">IF($P155=0,CK154,IF(CK$3=$E155,IF($AA155=1,$F155&amp;$AB155,$G155),IF(OR(CK$3=$D155,CK$3=$AC155,CK$3=$AE155),"",IF(CK$3=$AD155,$F155&amp;"R",CK154))))</f>
        <v>bP</v>
      </c>
      <c r="CL155" s="11" t="str">
        <f aca="false">IF($P155=0,CL154,IF(CL$3=$E155,IF($AA155=1,$F155&amp;$AB155,$G155),IF(OR(CL$3=$D155,CL$3=$AC155,CL$3=$AE155),"",IF(CL$3=$AD155,$F155&amp;"R",CL154))))</f>
        <v>bR</v>
      </c>
      <c r="CM155" s="11" t="str">
        <f aca="false">IF($P155=0,CM154,IF(CM$3=$E155,IF($AA155=1,$F155&amp;$AB155,$G155),IF(OR(CM$3=$D155,CM$3=$AC155,CM$3=$AE155),"",IF(CM$3=$AD155,$F155&amp;"R",CM154))))</f>
        <v>bN</v>
      </c>
      <c r="CN155" s="11" t="str">
        <f aca="false">IF($P155=0,CN154,IF(CN$3=$E155,IF($AA155=1,$F155&amp;$AB155,$G155),IF(OR(CN$3=$D155,CN$3=$AC155,CN$3=$AE155),"",IF(CN$3=$AD155,$F155&amp;"R",CN154))))</f>
        <v>bB</v>
      </c>
      <c r="CO155" s="11" t="str">
        <f aca="false">IF($P155=0,CO154,IF(CO$3=$E155,IF($AA155=1,$F155&amp;$AB155,$G155),IF(OR(CO$3=$D155,CO$3=$AC155,CO$3=$AE155),"",IF(CO$3=$AD155,$F155&amp;"R",CO154))))</f>
        <v>bQ</v>
      </c>
      <c r="CP155" s="11" t="str">
        <f aca="false">IF($P155=0,CP154,IF(CP$3=$E155,IF($AA155=1,$F155&amp;$AB155,$G155),IF(OR(CP$3=$D155,CP$3=$AC155,CP$3=$AE155),"",IF(CP$3=$AD155,$F155&amp;"R",CP154))))</f>
        <v>bK</v>
      </c>
      <c r="CQ155" s="11" t="str">
        <f aca="false">IF($P155=0,CQ154,IF(CQ$3=$E155,IF($AA155=1,$F155&amp;$AB155,$G155),IF(OR(CQ$3=$D155,CQ$3=$AC155,CQ$3=$AE155),"",IF(CQ$3=$AD155,$F155&amp;"R",CQ154))))</f>
        <v>bB</v>
      </c>
      <c r="CR155" s="11" t="str">
        <f aca="false">IF($P155=0,CR154,IF(CR$3=$E155,IF($AA155=1,$F155&amp;$AB155,$G155),IF(OR(CR$3=$D155,CR$3=$AC155,CR$3=$AE155),"",IF(CR$3=$AD155,$F155&amp;"R",CR154))))</f>
        <v>bN</v>
      </c>
      <c r="CS155" s="11" t="str">
        <f aca="false">IF($P155=0,CS154,IF(CS$3=$E155,IF($AA155=1,$F155&amp;$AB155,$G155),IF(OR(CS$3=$D155,CS$3=$AC155,CS$3=$AE155),"",IF(CS$3=$AD155,$F155&amp;"R",CS154))))</f>
        <v>bR</v>
      </c>
      <c r="CT155" s="11"/>
      <c r="CU155" s="11"/>
      <c r="CV155" s="11"/>
    </row>
    <row r="156" customFormat="false" ht="15" hidden="false" customHeight="false" outlineLevel="0" collapsed="false">
      <c r="A156" s="11" t="n">
        <v>151</v>
      </c>
      <c r="B156" s="11" t="str">
        <f aca="false">IF(Chess!$L$160="","",Chess!$L$160&amp;"")</f>
        <v/>
      </c>
      <c r="C156" s="11" t="str">
        <f aca="false">LOWER(SUBSTITUTE(SUBSTITUTE(SUBSTITUTE(SUBSTITUTE(TRIM($B156),"-",""),"=","")," ",""),"x",""))</f>
        <v/>
      </c>
      <c r="D156" s="11" t="n">
        <f aca="false">IF(LEN($C156)&lt;4,0,IFERROR(IF(AND(CODE(MID($C156,1,1))&gt;=97,CODE(MID($C156,1,1))&lt;=104,VALUE(MID($C156,2,1))&gt;=1,VALUE(MID($C156,2,1))&lt;=8),(VALUE(MID($C156,2,1))-1)*8+CODE(MID($C156,1,1))-96,0),0))</f>
        <v>0</v>
      </c>
      <c r="E156" s="11" t="n">
        <f aca="false">IF(LEN($C156)&lt;4,0,IFERROR(IF(AND(CODE(MID($C156,3,1))&gt;=97,CODE(MID($C156,3,1))&lt;=104,VALUE(MID($C156,4,1))&gt;=1,VALUE(MID($C156,4,1))&lt;=8),(VALUE(MID($C156,4,1))-1)*8+CODE(MID($C156,3,1))-96,0),0))</f>
        <v>0</v>
      </c>
      <c r="F156" s="11" t="str">
        <f aca="false">IF(MOD(SUM($P$5:$P155),2)=0,"w","b")</f>
        <v>w</v>
      </c>
      <c r="G156" s="11" t="str">
        <f aca="false">IF($D156=0,"",INDEX($AH155:$CS155,1,$D156)&amp;"")</f>
        <v/>
      </c>
      <c r="H156" s="11" t="str">
        <f aca="false">IF($E156=0,"",INDEX($AH155:$CS155,1,$E156)&amp;"")</f>
        <v/>
      </c>
      <c r="I156" s="11" t="n">
        <f aca="false">IF(OR($D156=0,$E156=0),0,MOD($E156-1,8)-MOD($D156-1,8))</f>
        <v>0</v>
      </c>
      <c r="J156" s="11" t="n">
        <f aca="false">IF(OR($D156=0,$E156=0),0,INT(($E156-1)/8)-INT(($D156-1)/8))</f>
        <v>0</v>
      </c>
      <c r="K156" s="11" t="str">
        <f aca="false">IF($G156="","",RIGHT($G156,1))</f>
        <v/>
      </c>
      <c r="L156" s="11" t="n">
        <f aca="false">IF(OR($D156=0,$E156=0),0,SUMPRODUCT(($AH$3:$CS$3&gt;MIN($D156,$E156))*($AH$3:$CS$3&lt;MAX($D156,$E156))*(MOD($AH$3:$CS$3-MIN($D156,$E156),MAX(1,ABS(SIGN($J156)*8+SIGN($I156))))=0)*($AH155:$CS155&lt;&gt;"")))</f>
        <v>0</v>
      </c>
      <c r="M156" s="11" t="n">
        <f aca="false">IF($K156&lt;&gt;"K",0,IFERROR(--AND($J156=0,ABS($I156)=2,$D156=IF($F156="w",5,61),IF($F156="w",$S155,$V155)=0,IF($I156=2,AND(IF($F156="w",$U155,$X155)=0,INDEX($AH155:$CS155,1,$D156+1)&amp;""="",INDEX($AH155:$CS155,1,$D156+2)&amp;""=""),AND(IF($F156="w",$T155,$W155)=0,INDEX($AH155:$CS155,1,$D156-1)&amp;""="",INDEX($AH155:$CS155,1,$D156-2)&amp;""="",INDEX($AH155:$CS155,1,$D156-3)&amp;""=""))),0))</f>
        <v>0</v>
      </c>
      <c r="N156" s="11" t="n">
        <f aca="false">IF($K156&lt;&gt;"P",0,IFERROR(--OR(AND($I156=0,$J156=IF($F156="w",1,-1),$H156=""),AND($I156=0,$J156=2*IF($F156="w",1,-1),$H156="",INT(($D156-1)/8)=IF($F156="w",1,6),INDEX($AH155:$CS155,1,MAX(1,MIN(64,$D156+8*IF($F156="w",1,-1))))&amp;""=""),AND(ABS($I156)=1,$J156=IF($F156="w",1,-1),$H156&lt;&gt;""),AND(ABS($I156)=1,$J156=IF($F156="w",1,-1),$H156="",$R155&gt;0,$E156=$R155)),0))</f>
        <v>0</v>
      </c>
      <c r="O156" s="11" t="n">
        <f aca="false">IF(OR($D156=0,$E156=0,$G156=""),0,IF($K156="N",--OR(AND(ABS($I156)=1,ABS($J156)=2),AND(ABS($I156)=2,ABS($J156)=1)),IF($K156="B",--AND(ABS($I156)=ABS($J156),$I156&lt;&gt;0,$L156=0),IF($K156="R",--AND(OR($I156=0,$J156=0),OR($I156&lt;&gt;0,$J156&lt;&gt;0),$L156=0),IF($K156="Q",--AND(OR(AND(ABS($I156)=ABS($J156),$I156&lt;&gt;0),AND(OR($I156=0,$J156=0),OR($I156&lt;&gt;0,$J156&lt;&gt;0))),$L156=0),IF($K156="K",--OR(MAX(ABS($I156),ABS($J156))=1,$M156=1),$N156))))))</f>
        <v>0</v>
      </c>
      <c r="P156" s="11" t="n">
        <f aca="false">IF($Q156="OK",1,0)</f>
        <v>0</v>
      </c>
      <c r="Q156" s="11" t="str">
        <f aca="false">IF($B156="","",IF(OR(COUNTIF($AH155:$CS155,"wK")=0,COUNTIF($AH155:$CS155,"bK")=0),"Game is over",IF(OR($D156=0,$E156=0),"Use the format e2e4",IF($G156="","No piece on that square",IF(LEFT($G156,1)&lt;&gt;$F156,"Not your piece ("&amp;IF($F156="w","White","Black")&amp;" to move)",IF($D156=$E156,"Piece must move",IF(AND($H156&lt;&gt;"",LEFT($H156,1)=$F156),"Cannot capture your own piece",IF($O156=0,"Illegal move for that piece (or path blocked)","OK"))))))))</f>
        <v/>
      </c>
      <c r="R156" s="11" t="n">
        <f aca="false">IF($P156=1,IF(AND($K156="P",ABS($J156)=2),($D156+$E156)/2,0),$R155)</f>
        <v>0</v>
      </c>
      <c r="S156" s="12" t="b">
        <f aca="false">--OR($S155=1,AND($P156=1,OR($D156=5,$E156=5)))</f>
        <v>0</v>
      </c>
      <c r="T156" s="12" t="b">
        <f aca="false">--OR($T155=1,AND($P156=1,OR($D156=1,$E156=1)))</f>
        <v>0</v>
      </c>
      <c r="U156" s="12" t="b">
        <f aca="false">--OR($U155=1,AND($P156=1,OR($D156=8,$E156=8)))</f>
        <v>0</v>
      </c>
      <c r="V156" s="12" t="b">
        <f aca="false">--OR($V155=1,AND($P156=1,OR($D156=61,$E156=61)))</f>
        <v>0</v>
      </c>
      <c r="W156" s="12" t="b">
        <f aca="false">--OR($W155=1,AND($P156=1,OR($D156=57,$E156=57)))</f>
        <v>0</v>
      </c>
      <c r="X156" s="12" t="b">
        <f aca="false">--OR($X155=1,AND($P156=1,OR($D156=64,$E156=64)))</f>
        <v>0</v>
      </c>
      <c r="Y156" s="12" t="b">
        <f aca="false">--AND($P156=1,$K156="K",ABS($I156)=2)</f>
        <v>0</v>
      </c>
      <c r="Z156" s="12" t="b">
        <f aca="false">--AND($P156=1,$K156="P",ABS($I156)=1,$H156="")</f>
        <v>0</v>
      </c>
      <c r="AA156" s="12" t="b">
        <f aca="false">--AND($P156=1,$K156="P",INT(($E156-1)/8)=IF($F156="w",7,0))</f>
        <v>0</v>
      </c>
      <c r="AB156" s="11" t="str">
        <f aca="false">IF(LEN($C156)&gt;=5,IF(ISNUMBER(FIND(MID($C156,5,1),"qrbn")),UPPER(MID($C156,5,1)),"Q"),"Q")</f>
        <v>Q</v>
      </c>
      <c r="AC156" s="11" t="n">
        <f aca="false">IF($Y156=1,IF($I156=2,$D156+3,$D156-4),0)</f>
        <v>0</v>
      </c>
      <c r="AD156" s="11" t="n">
        <f aca="false">IF($Y156=1,IF($I156=2,$D156+1,$D156-1),0)</f>
        <v>0</v>
      </c>
      <c r="AE156" s="11" t="n">
        <f aca="false">IF($Z156=1,$E156-8*IF($F156="w",1,-1),0)</f>
        <v>0</v>
      </c>
      <c r="AF156" s="11" t="str">
        <f aca="false">IF($B156="","",IF($P156=1,LOWER(INDEX($CV$2:$CV$13,MATCH($G156,$CU$2:$CU$13,0)))&amp;" "&amp;MID("abcdefgh",MOD($D156-1,8)+1,1)&amp;(INT(($D156-1)/8)+1)&amp;"→"&amp;MID("abcdefgh",MOD($E156-1,8)+1,1)&amp;(INT(($E156-1)/8)+1)&amp;IF(OR($H156&lt;&gt;"",$Z156=1)," ×","")&amp;IF($Y156=1," castles","")&amp;IF($Z156=1," e.p.","")&amp;IF($AA156=1," =" &amp;LOWER(INDEX($CV$2:$CV$13,MATCH($F156&amp;$AB156,$CU$2:$CU$13,0))),""),"X "&amp;$Q156))</f>
        <v/>
      </c>
      <c r="AG156" s="11"/>
      <c r="AH156" s="11" t="str">
        <f aca="false">IF($P156=0,AH155,IF(AH$3=$E156,IF($AA156=1,$F156&amp;$AB156,$G156),IF(OR(AH$3=$D156,AH$3=$AC156,AH$3=$AE156),"",IF(AH$3=$AD156,$F156&amp;"R",AH155))))</f>
        <v>wR</v>
      </c>
      <c r="AI156" s="11" t="str">
        <f aca="false">IF($P156=0,AI155,IF(AI$3=$E156,IF($AA156=1,$F156&amp;$AB156,$G156),IF(OR(AI$3=$D156,AI$3=$AC156,AI$3=$AE156),"",IF(AI$3=$AD156,$F156&amp;"R",AI155))))</f>
        <v>wN</v>
      </c>
      <c r="AJ156" s="11" t="str">
        <f aca="false">IF($P156=0,AJ155,IF(AJ$3=$E156,IF($AA156=1,$F156&amp;$AB156,$G156),IF(OR(AJ$3=$D156,AJ$3=$AC156,AJ$3=$AE156),"",IF(AJ$3=$AD156,$F156&amp;"R",AJ155))))</f>
        <v>wB</v>
      </c>
      <c r="AK156" s="11" t="str">
        <f aca="false">IF($P156=0,AK155,IF(AK$3=$E156,IF($AA156=1,$F156&amp;$AB156,$G156),IF(OR(AK$3=$D156,AK$3=$AC156,AK$3=$AE156),"",IF(AK$3=$AD156,$F156&amp;"R",AK155))))</f>
        <v>wQ</v>
      </c>
      <c r="AL156" s="11" t="str">
        <f aca="false">IF($P156=0,AL155,IF(AL$3=$E156,IF($AA156=1,$F156&amp;$AB156,$G156),IF(OR(AL$3=$D156,AL$3=$AC156,AL$3=$AE156),"",IF(AL$3=$AD156,$F156&amp;"R",AL155))))</f>
        <v>wK</v>
      </c>
      <c r="AM156" s="11" t="str">
        <f aca="false">IF($P156=0,AM155,IF(AM$3=$E156,IF($AA156=1,$F156&amp;$AB156,$G156),IF(OR(AM$3=$D156,AM$3=$AC156,AM$3=$AE156),"",IF(AM$3=$AD156,$F156&amp;"R",AM155))))</f>
        <v>wB</v>
      </c>
      <c r="AN156" s="11" t="str">
        <f aca="false">IF($P156=0,AN155,IF(AN$3=$E156,IF($AA156=1,$F156&amp;$AB156,$G156),IF(OR(AN$3=$D156,AN$3=$AC156,AN$3=$AE156),"",IF(AN$3=$AD156,$F156&amp;"R",AN155))))</f>
        <v>wN</v>
      </c>
      <c r="AO156" s="11" t="str">
        <f aca="false">IF($P156=0,AO155,IF(AO$3=$E156,IF($AA156=1,$F156&amp;$AB156,$G156),IF(OR(AO$3=$D156,AO$3=$AC156,AO$3=$AE156),"",IF(AO$3=$AD156,$F156&amp;"R",AO155))))</f>
        <v>wR</v>
      </c>
      <c r="AP156" s="11" t="str">
        <f aca="false">IF($P156=0,AP155,IF(AP$3=$E156,IF($AA156=1,$F156&amp;$AB156,$G156),IF(OR(AP$3=$D156,AP$3=$AC156,AP$3=$AE156),"",IF(AP$3=$AD156,$F156&amp;"R",AP155))))</f>
        <v>wP</v>
      </c>
      <c r="AQ156" s="11" t="str">
        <f aca="false">IF($P156=0,AQ155,IF(AQ$3=$E156,IF($AA156=1,$F156&amp;$AB156,$G156),IF(OR(AQ$3=$D156,AQ$3=$AC156,AQ$3=$AE156),"",IF(AQ$3=$AD156,$F156&amp;"R",AQ155))))</f>
        <v>wP</v>
      </c>
      <c r="AR156" s="11" t="str">
        <f aca="false">IF($P156=0,AR155,IF(AR$3=$E156,IF($AA156=1,$F156&amp;$AB156,$G156),IF(OR(AR$3=$D156,AR$3=$AC156,AR$3=$AE156),"",IF(AR$3=$AD156,$F156&amp;"R",AR155))))</f>
        <v>wP</v>
      </c>
      <c r="AS156" s="11" t="str">
        <f aca="false">IF($P156=0,AS155,IF(AS$3=$E156,IF($AA156=1,$F156&amp;$AB156,$G156),IF(OR(AS$3=$D156,AS$3=$AC156,AS$3=$AE156),"",IF(AS$3=$AD156,$F156&amp;"R",AS155))))</f>
        <v>wP</v>
      </c>
      <c r="AT156" s="11" t="str">
        <f aca="false">IF($P156=0,AT155,IF(AT$3=$E156,IF($AA156=1,$F156&amp;$AB156,$G156),IF(OR(AT$3=$D156,AT$3=$AC156,AT$3=$AE156),"",IF(AT$3=$AD156,$F156&amp;"R",AT155))))</f>
        <v>wP</v>
      </c>
      <c r="AU156" s="11" t="str">
        <f aca="false">IF($P156=0,AU155,IF(AU$3=$E156,IF($AA156=1,$F156&amp;$AB156,$G156),IF(OR(AU$3=$D156,AU$3=$AC156,AU$3=$AE156),"",IF(AU$3=$AD156,$F156&amp;"R",AU155))))</f>
        <v>wP</v>
      </c>
      <c r="AV156" s="11" t="str">
        <f aca="false">IF($P156=0,AV155,IF(AV$3=$E156,IF($AA156=1,$F156&amp;$AB156,$G156),IF(OR(AV$3=$D156,AV$3=$AC156,AV$3=$AE156),"",IF(AV$3=$AD156,$F156&amp;"R",AV155))))</f>
        <v>wP</v>
      </c>
      <c r="AW156" s="11" t="str">
        <f aca="false">IF($P156=0,AW155,IF(AW$3=$E156,IF($AA156=1,$F156&amp;$AB156,$G156),IF(OR(AW$3=$D156,AW$3=$AC156,AW$3=$AE156),"",IF(AW$3=$AD156,$F156&amp;"R",AW155))))</f>
        <v>wP</v>
      </c>
      <c r="AX156" s="11" t="str">
        <f aca="false">IF($P156=0,AX155,IF(AX$3=$E156,IF($AA156=1,$F156&amp;$AB156,$G156),IF(OR(AX$3=$D156,AX$3=$AC156,AX$3=$AE156),"",IF(AX$3=$AD156,$F156&amp;"R",AX155))))</f>
        <v/>
      </c>
      <c r="AY156" s="11" t="str">
        <f aca="false">IF($P156=0,AY155,IF(AY$3=$E156,IF($AA156=1,$F156&amp;$AB156,$G156),IF(OR(AY$3=$D156,AY$3=$AC156,AY$3=$AE156),"",IF(AY$3=$AD156,$F156&amp;"R",AY155))))</f>
        <v/>
      </c>
      <c r="AZ156" s="11" t="str">
        <f aca="false">IF($P156=0,AZ155,IF(AZ$3=$E156,IF($AA156=1,$F156&amp;$AB156,$G156),IF(OR(AZ$3=$D156,AZ$3=$AC156,AZ$3=$AE156),"",IF(AZ$3=$AD156,$F156&amp;"R",AZ155))))</f>
        <v/>
      </c>
      <c r="BA156" s="11" t="str">
        <f aca="false">IF($P156=0,BA155,IF(BA$3=$E156,IF($AA156=1,$F156&amp;$AB156,$G156),IF(OR(BA$3=$D156,BA$3=$AC156,BA$3=$AE156),"",IF(BA$3=$AD156,$F156&amp;"R",BA155))))</f>
        <v/>
      </c>
      <c r="BB156" s="11" t="str">
        <f aca="false">IF($P156=0,BB155,IF(BB$3=$E156,IF($AA156=1,$F156&amp;$AB156,$G156),IF(OR(BB$3=$D156,BB$3=$AC156,BB$3=$AE156),"",IF(BB$3=$AD156,$F156&amp;"R",BB155))))</f>
        <v/>
      </c>
      <c r="BC156" s="11" t="str">
        <f aca="false">IF($P156=0,BC155,IF(BC$3=$E156,IF($AA156=1,$F156&amp;$AB156,$G156),IF(OR(BC$3=$D156,BC$3=$AC156,BC$3=$AE156),"",IF(BC$3=$AD156,$F156&amp;"R",BC155))))</f>
        <v/>
      </c>
      <c r="BD156" s="11" t="str">
        <f aca="false">IF($P156=0,BD155,IF(BD$3=$E156,IF($AA156=1,$F156&amp;$AB156,$G156),IF(OR(BD$3=$D156,BD$3=$AC156,BD$3=$AE156),"",IF(BD$3=$AD156,$F156&amp;"R",BD155))))</f>
        <v/>
      </c>
      <c r="BE156" s="11" t="str">
        <f aca="false">IF($P156=0,BE155,IF(BE$3=$E156,IF($AA156=1,$F156&amp;$AB156,$G156),IF(OR(BE$3=$D156,BE$3=$AC156,BE$3=$AE156),"",IF(BE$3=$AD156,$F156&amp;"R",BE155))))</f>
        <v/>
      </c>
      <c r="BF156" s="11" t="str">
        <f aca="false">IF($P156=0,BF155,IF(BF$3=$E156,IF($AA156=1,$F156&amp;$AB156,$G156),IF(OR(BF$3=$D156,BF$3=$AC156,BF$3=$AE156),"",IF(BF$3=$AD156,$F156&amp;"R",BF155))))</f>
        <v/>
      </c>
      <c r="BG156" s="11" t="str">
        <f aca="false">IF($P156=0,BG155,IF(BG$3=$E156,IF($AA156=1,$F156&amp;$AB156,$G156),IF(OR(BG$3=$D156,BG$3=$AC156,BG$3=$AE156),"",IF(BG$3=$AD156,$F156&amp;"R",BG155))))</f>
        <v/>
      </c>
      <c r="BH156" s="11" t="str">
        <f aca="false">IF($P156=0,BH155,IF(BH$3=$E156,IF($AA156=1,$F156&amp;$AB156,$G156),IF(OR(BH$3=$D156,BH$3=$AC156,BH$3=$AE156),"",IF(BH$3=$AD156,$F156&amp;"R",BH155))))</f>
        <v/>
      </c>
      <c r="BI156" s="11" t="str">
        <f aca="false">IF($P156=0,BI155,IF(BI$3=$E156,IF($AA156=1,$F156&amp;$AB156,$G156),IF(OR(BI$3=$D156,BI$3=$AC156,BI$3=$AE156),"",IF(BI$3=$AD156,$F156&amp;"R",BI155))))</f>
        <v/>
      </c>
      <c r="BJ156" s="11" t="str">
        <f aca="false">IF($P156=0,BJ155,IF(BJ$3=$E156,IF($AA156=1,$F156&amp;$AB156,$G156),IF(OR(BJ$3=$D156,BJ$3=$AC156,BJ$3=$AE156),"",IF(BJ$3=$AD156,$F156&amp;"R",BJ155))))</f>
        <v/>
      </c>
      <c r="BK156" s="11" t="str">
        <f aca="false">IF($P156=0,BK155,IF(BK$3=$E156,IF($AA156=1,$F156&amp;$AB156,$G156),IF(OR(BK$3=$D156,BK$3=$AC156,BK$3=$AE156),"",IF(BK$3=$AD156,$F156&amp;"R",BK155))))</f>
        <v/>
      </c>
      <c r="BL156" s="11" t="str">
        <f aca="false">IF($P156=0,BL155,IF(BL$3=$E156,IF($AA156=1,$F156&amp;$AB156,$G156),IF(OR(BL$3=$D156,BL$3=$AC156,BL$3=$AE156),"",IF(BL$3=$AD156,$F156&amp;"R",BL155))))</f>
        <v/>
      </c>
      <c r="BM156" s="11" t="str">
        <f aca="false">IF($P156=0,BM155,IF(BM$3=$E156,IF($AA156=1,$F156&amp;$AB156,$G156),IF(OR(BM$3=$D156,BM$3=$AC156,BM$3=$AE156),"",IF(BM$3=$AD156,$F156&amp;"R",BM155))))</f>
        <v/>
      </c>
      <c r="BN156" s="11" t="str">
        <f aca="false">IF($P156=0,BN155,IF(BN$3=$E156,IF($AA156=1,$F156&amp;$AB156,$G156),IF(OR(BN$3=$D156,BN$3=$AC156,BN$3=$AE156),"",IF(BN$3=$AD156,$F156&amp;"R",BN155))))</f>
        <v/>
      </c>
      <c r="BO156" s="11" t="str">
        <f aca="false">IF($P156=0,BO155,IF(BO$3=$E156,IF($AA156=1,$F156&amp;$AB156,$G156),IF(OR(BO$3=$D156,BO$3=$AC156,BO$3=$AE156),"",IF(BO$3=$AD156,$F156&amp;"R",BO155))))</f>
        <v/>
      </c>
      <c r="BP156" s="11" t="str">
        <f aca="false">IF($P156=0,BP155,IF(BP$3=$E156,IF($AA156=1,$F156&amp;$AB156,$G156),IF(OR(BP$3=$D156,BP$3=$AC156,BP$3=$AE156),"",IF(BP$3=$AD156,$F156&amp;"R",BP155))))</f>
        <v/>
      </c>
      <c r="BQ156" s="11" t="str">
        <f aca="false">IF($P156=0,BQ155,IF(BQ$3=$E156,IF($AA156=1,$F156&amp;$AB156,$G156),IF(OR(BQ$3=$D156,BQ$3=$AC156,BQ$3=$AE156),"",IF(BQ$3=$AD156,$F156&amp;"R",BQ155))))</f>
        <v/>
      </c>
      <c r="BR156" s="11" t="str">
        <f aca="false">IF($P156=0,BR155,IF(BR$3=$E156,IF($AA156=1,$F156&amp;$AB156,$G156),IF(OR(BR$3=$D156,BR$3=$AC156,BR$3=$AE156),"",IF(BR$3=$AD156,$F156&amp;"R",BR155))))</f>
        <v/>
      </c>
      <c r="BS156" s="11" t="str">
        <f aca="false">IF($P156=0,BS155,IF(BS$3=$E156,IF($AA156=1,$F156&amp;$AB156,$G156),IF(OR(BS$3=$D156,BS$3=$AC156,BS$3=$AE156),"",IF(BS$3=$AD156,$F156&amp;"R",BS155))))</f>
        <v/>
      </c>
      <c r="BT156" s="11" t="str">
        <f aca="false">IF($P156=0,BT155,IF(BT$3=$E156,IF($AA156=1,$F156&amp;$AB156,$G156),IF(OR(BT$3=$D156,BT$3=$AC156,BT$3=$AE156),"",IF(BT$3=$AD156,$F156&amp;"R",BT155))))</f>
        <v/>
      </c>
      <c r="BU156" s="11" t="str">
        <f aca="false">IF($P156=0,BU155,IF(BU$3=$E156,IF($AA156=1,$F156&amp;$AB156,$G156),IF(OR(BU$3=$D156,BU$3=$AC156,BU$3=$AE156),"",IF(BU$3=$AD156,$F156&amp;"R",BU155))))</f>
        <v/>
      </c>
      <c r="BV156" s="11" t="str">
        <f aca="false">IF($P156=0,BV155,IF(BV$3=$E156,IF($AA156=1,$F156&amp;$AB156,$G156),IF(OR(BV$3=$D156,BV$3=$AC156,BV$3=$AE156),"",IF(BV$3=$AD156,$F156&amp;"R",BV155))))</f>
        <v/>
      </c>
      <c r="BW156" s="11" t="str">
        <f aca="false">IF($P156=0,BW155,IF(BW$3=$E156,IF($AA156=1,$F156&amp;$AB156,$G156),IF(OR(BW$3=$D156,BW$3=$AC156,BW$3=$AE156),"",IF(BW$3=$AD156,$F156&amp;"R",BW155))))</f>
        <v/>
      </c>
      <c r="BX156" s="11" t="str">
        <f aca="false">IF($P156=0,BX155,IF(BX$3=$E156,IF($AA156=1,$F156&amp;$AB156,$G156),IF(OR(BX$3=$D156,BX$3=$AC156,BX$3=$AE156),"",IF(BX$3=$AD156,$F156&amp;"R",BX155))))</f>
        <v/>
      </c>
      <c r="BY156" s="11" t="str">
        <f aca="false">IF($P156=0,BY155,IF(BY$3=$E156,IF($AA156=1,$F156&amp;$AB156,$G156),IF(OR(BY$3=$D156,BY$3=$AC156,BY$3=$AE156),"",IF(BY$3=$AD156,$F156&amp;"R",BY155))))</f>
        <v/>
      </c>
      <c r="BZ156" s="11" t="str">
        <f aca="false">IF($P156=0,BZ155,IF(BZ$3=$E156,IF($AA156=1,$F156&amp;$AB156,$G156),IF(OR(BZ$3=$D156,BZ$3=$AC156,BZ$3=$AE156),"",IF(BZ$3=$AD156,$F156&amp;"R",BZ155))))</f>
        <v/>
      </c>
      <c r="CA156" s="11" t="str">
        <f aca="false">IF($P156=0,CA155,IF(CA$3=$E156,IF($AA156=1,$F156&amp;$AB156,$G156),IF(OR(CA$3=$D156,CA$3=$AC156,CA$3=$AE156),"",IF(CA$3=$AD156,$F156&amp;"R",CA155))))</f>
        <v/>
      </c>
      <c r="CB156" s="11" t="str">
        <f aca="false">IF($P156=0,CB155,IF(CB$3=$E156,IF($AA156=1,$F156&amp;$AB156,$G156),IF(OR(CB$3=$D156,CB$3=$AC156,CB$3=$AE156),"",IF(CB$3=$AD156,$F156&amp;"R",CB155))))</f>
        <v/>
      </c>
      <c r="CC156" s="11" t="str">
        <f aca="false">IF($P156=0,CC155,IF(CC$3=$E156,IF($AA156=1,$F156&amp;$AB156,$G156),IF(OR(CC$3=$D156,CC$3=$AC156,CC$3=$AE156),"",IF(CC$3=$AD156,$F156&amp;"R",CC155))))</f>
        <v/>
      </c>
      <c r="CD156" s="11" t="str">
        <f aca="false">IF($P156=0,CD155,IF(CD$3=$E156,IF($AA156=1,$F156&amp;$AB156,$G156),IF(OR(CD$3=$D156,CD$3=$AC156,CD$3=$AE156),"",IF(CD$3=$AD156,$F156&amp;"R",CD155))))</f>
        <v>bP</v>
      </c>
      <c r="CE156" s="11" t="str">
        <f aca="false">IF($P156=0,CE155,IF(CE$3=$E156,IF($AA156=1,$F156&amp;$AB156,$G156),IF(OR(CE$3=$D156,CE$3=$AC156,CE$3=$AE156),"",IF(CE$3=$AD156,$F156&amp;"R",CE155))))</f>
        <v>bP</v>
      </c>
      <c r="CF156" s="11" t="str">
        <f aca="false">IF($P156=0,CF155,IF(CF$3=$E156,IF($AA156=1,$F156&amp;$AB156,$G156),IF(OR(CF$3=$D156,CF$3=$AC156,CF$3=$AE156),"",IF(CF$3=$AD156,$F156&amp;"R",CF155))))</f>
        <v>bP</v>
      </c>
      <c r="CG156" s="11" t="str">
        <f aca="false">IF($P156=0,CG155,IF(CG$3=$E156,IF($AA156=1,$F156&amp;$AB156,$G156),IF(OR(CG$3=$D156,CG$3=$AC156,CG$3=$AE156),"",IF(CG$3=$AD156,$F156&amp;"R",CG155))))</f>
        <v>bP</v>
      </c>
      <c r="CH156" s="11" t="str">
        <f aca="false">IF($P156=0,CH155,IF(CH$3=$E156,IF($AA156=1,$F156&amp;$AB156,$G156),IF(OR(CH$3=$D156,CH$3=$AC156,CH$3=$AE156),"",IF(CH$3=$AD156,$F156&amp;"R",CH155))))</f>
        <v>bP</v>
      </c>
      <c r="CI156" s="11" t="str">
        <f aca="false">IF($P156=0,CI155,IF(CI$3=$E156,IF($AA156=1,$F156&amp;$AB156,$G156),IF(OR(CI$3=$D156,CI$3=$AC156,CI$3=$AE156),"",IF(CI$3=$AD156,$F156&amp;"R",CI155))))</f>
        <v>bP</v>
      </c>
      <c r="CJ156" s="11" t="str">
        <f aca="false">IF($P156=0,CJ155,IF(CJ$3=$E156,IF($AA156=1,$F156&amp;$AB156,$G156),IF(OR(CJ$3=$D156,CJ$3=$AC156,CJ$3=$AE156),"",IF(CJ$3=$AD156,$F156&amp;"R",CJ155))))</f>
        <v>bP</v>
      </c>
      <c r="CK156" s="11" t="str">
        <f aca="false">IF($P156=0,CK155,IF(CK$3=$E156,IF($AA156=1,$F156&amp;$AB156,$G156),IF(OR(CK$3=$D156,CK$3=$AC156,CK$3=$AE156),"",IF(CK$3=$AD156,$F156&amp;"R",CK155))))</f>
        <v>bP</v>
      </c>
      <c r="CL156" s="11" t="str">
        <f aca="false">IF($P156=0,CL155,IF(CL$3=$E156,IF($AA156=1,$F156&amp;$AB156,$G156),IF(OR(CL$3=$D156,CL$3=$AC156,CL$3=$AE156),"",IF(CL$3=$AD156,$F156&amp;"R",CL155))))</f>
        <v>bR</v>
      </c>
      <c r="CM156" s="11" t="str">
        <f aca="false">IF($P156=0,CM155,IF(CM$3=$E156,IF($AA156=1,$F156&amp;$AB156,$G156),IF(OR(CM$3=$D156,CM$3=$AC156,CM$3=$AE156),"",IF(CM$3=$AD156,$F156&amp;"R",CM155))))</f>
        <v>bN</v>
      </c>
      <c r="CN156" s="11" t="str">
        <f aca="false">IF($P156=0,CN155,IF(CN$3=$E156,IF($AA156=1,$F156&amp;$AB156,$G156),IF(OR(CN$3=$D156,CN$3=$AC156,CN$3=$AE156),"",IF(CN$3=$AD156,$F156&amp;"R",CN155))))</f>
        <v>bB</v>
      </c>
      <c r="CO156" s="11" t="str">
        <f aca="false">IF($P156=0,CO155,IF(CO$3=$E156,IF($AA156=1,$F156&amp;$AB156,$G156),IF(OR(CO$3=$D156,CO$3=$AC156,CO$3=$AE156),"",IF(CO$3=$AD156,$F156&amp;"R",CO155))))</f>
        <v>bQ</v>
      </c>
      <c r="CP156" s="11" t="str">
        <f aca="false">IF($P156=0,CP155,IF(CP$3=$E156,IF($AA156=1,$F156&amp;$AB156,$G156),IF(OR(CP$3=$D156,CP$3=$AC156,CP$3=$AE156),"",IF(CP$3=$AD156,$F156&amp;"R",CP155))))</f>
        <v>bK</v>
      </c>
      <c r="CQ156" s="11" t="str">
        <f aca="false">IF($P156=0,CQ155,IF(CQ$3=$E156,IF($AA156=1,$F156&amp;$AB156,$G156),IF(OR(CQ$3=$D156,CQ$3=$AC156,CQ$3=$AE156),"",IF(CQ$3=$AD156,$F156&amp;"R",CQ155))))</f>
        <v>bB</v>
      </c>
      <c r="CR156" s="11" t="str">
        <f aca="false">IF($P156=0,CR155,IF(CR$3=$E156,IF($AA156=1,$F156&amp;$AB156,$G156),IF(OR(CR$3=$D156,CR$3=$AC156,CR$3=$AE156),"",IF(CR$3=$AD156,$F156&amp;"R",CR155))))</f>
        <v>bN</v>
      </c>
      <c r="CS156" s="11" t="str">
        <f aca="false">IF($P156=0,CS155,IF(CS$3=$E156,IF($AA156=1,$F156&amp;$AB156,$G156),IF(OR(CS$3=$D156,CS$3=$AC156,CS$3=$AE156),"",IF(CS$3=$AD156,$F156&amp;"R",CS155))))</f>
        <v>bR</v>
      </c>
      <c r="CT156" s="11"/>
      <c r="CU156" s="11"/>
      <c r="CV156" s="11"/>
    </row>
    <row r="157" customFormat="false" ht="15" hidden="false" customHeight="false" outlineLevel="0" collapsed="false">
      <c r="A157" s="11" t="n">
        <v>152</v>
      </c>
      <c r="B157" s="11" t="str">
        <f aca="false">IF(Chess!$L$161="","",Chess!$L$161&amp;"")</f>
        <v/>
      </c>
      <c r="C157" s="11" t="str">
        <f aca="false">LOWER(SUBSTITUTE(SUBSTITUTE(SUBSTITUTE(SUBSTITUTE(TRIM($B157),"-",""),"=","")," ",""),"x",""))</f>
        <v/>
      </c>
      <c r="D157" s="11" t="n">
        <f aca="false">IF(LEN($C157)&lt;4,0,IFERROR(IF(AND(CODE(MID($C157,1,1))&gt;=97,CODE(MID($C157,1,1))&lt;=104,VALUE(MID($C157,2,1))&gt;=1,VALUE(MID($C157,2,1))&lt;=8),(VALUE(MID($C157,2,1))-1)*8+CODE(MID($C157,1,1))-96,0),0))</f>
        <v>0</v>
      </c>
      <c r="E157" s="11" t="n">
        <f aca="false">IF(LEN($C157)&lt;4,0,IFERROR(IF(AND(CODE(MID($C157,3,1))&gt;=97,CODE(MID($C157,3,1))&lt;=104,VALUE(MID($C157,4,1))&gt;=1,VALUE(MID($C157,4,1))&lt;=8),(VALUE(MID($C157,4,1))-1)*8+CODE(MID($C157,3,1))-96,0),0))</f>
        <v>0</v>
      </c>
      <c r="F157" s="11" t="str">
        <f aca="false">IF(MOD(SUM($P$5:$P156),2)=0,"w","b")</f>
        <v>w</v>
      </c>
      <c r="G157" s="11" t="str">
        <f aca="false">IF($D157=0,"",INDEX($AH156:$CS156,1,$D157)&amp;"")</f>
        <v/>
      </c>
      <c r="H157" s="11" t="str">
        <f aca="false">IF($E157=0,"",INDEX($AH156:$CS156,1,$E157)&amp;"")</f>
        <v/>
      </c>
      <c r="I157" s="11" t="n">
        <f aca="false">IF(OR($D157=0,$E157=0),0,MOD($E157-1,8)-MOD($D157-1,8))</f>
        <v>0</v>
      </c>
      <c r="J157" s="11" t="n">
        <f aca="false">IF(OR($D157=0,$E157=0),0,INT(($E157-1)/8)-INT(($D157-1)/8))</f>
        <v>0</v>
      </c>
      <c r="K157" s="11" t="str">
        <f aca="false">IF($G157="","",RIGHT($G157,1))</f>
        <v/>
      </c>
      <c r="L157" s="11" t="n">
        <f aca="false">IF(OR($D157=0,$E157=0),0,SUMPRODUCT(($AH$3:$CS$3&gt;MIN($D157,$E157))*($AH$3:$CS$3&lt;MAX($D157,$E157))*(MOD($AH$3:$CS$3-MIN($D157,$E157),MAX(1,ABS(SIGN($J157)*8+SIGN($I157))))=0)*($AH156:$CS156&lt;&gt;"")))</f>
        <v>0</v>
      </c>
      <c r="M157" s="11" t="n">
        <f aca="false">IF($K157&lt;&gt;"K",0,IFERROR(--AND($J157=0,ABS($I157)=2,$D157=IF($F157="w",5,61),IF($F157="w",$S156,$V156)=0,IF($I157=2,AND(IF($F157="w",$U156,$X156)=0,INDEX($AH156:$CS156,1,$D157+1)&amp;""="",INDEX($AH156:$CS156,1,$D157+2)&amp;""=""),AND(IF($F157="w",$T156,$W156)=0,INDEX($AH156:$CS156,1,$D157-1)&amp;""="",INDEX($AH156:$CS156,1,$D157-2)&amp;""="",INDEX($AH156:$CS156,1,$D157-3)&amp;""=""))),0))</f>
        <v>0</v>
      </c>
      <c r="N157" s="11" t="n">
        <f aca="false">IF($K157&lt;&gt;"P",0,IFERROR(--OR(AND($I157=0,$J157=IF($F157="w",1,-1),$H157=""),AND($I157=0,$J157=2*IF($F157="w",1,-1),$H157="",INT(($D157-1)/8)=IF($F157="w",1,6),INDEX($AH156:$CS156,1,MAX(1,MIN(64,$D157+8*IF($F157="w",1,-1))))&amp;""=""),AND(ABS($I157)=1,$J157=IF($F157="w",1,-1),$H157&lt;&gt;""),AND(ABS($I157)=1,$J157=IF($F157="w",1,-1),$H157="",$R156&gt;0,$E157=$R156)),0))</f>
        <v>0</v>
      </c>
      <c r="O157" s="11" t="n">
        <f aca="false">IF(OR($D157=0,$E157=0,$G157=""),0,IF($K157="N",--OR(AND(ABS($I157)=1,ABS($J157)=2),AND(ABS($I157)=2,ABS($J157)=1)),IF($K157="B",--AND(ABS($I157)=ABS($J157),$I157&lt;&gt;0,$L157=0),IF($K157="R",--AND(OR($I157=0,$J157=0),OR($I157&lt;&gt;0,$J157&lt;&gt;0),$L157=0),IF($K157="Q",--AND(OR(AND(ABS($I157)=ABS($J157),$I157&lt;&gt;0),AND(OR($I157=0,$J157=0),OR($I157&lt;&gt;0,$J157&lt;&gt;0))),$L157=0),IF($K157="K",--OR(MAX(ABS($I157),ABS($J157))=1,$M157=1),$N157))))))</f>
        <v>0</v>
      </c>
      <c r="P157" s="11" t="n">
        <f aca="false">IF($Q157="OK",1,0)</f>
        <v>0</v>
      </c>
      <c r="Q157" s="11" t="str">
        <f aca="false">IF($B157="","",IF(OR(COUNTIF($AH156:$CS156,"wK")=0,COUNTIF($AH156:$CS156,"bK")=0),"Game is over",IF(OR($D157=0,$E157=0),"Use the format e2e4",IF($G157="","No piece on that square",IF(LEFT($G157,1)&lt;&gt;$F157,"Not your piece ("&amp;IF($F157="w","White","Black")&amp;" to move)",IF($D157=$E157,"Piece must move",IF(AND($H157&lt;&gt;"",LEFT($H157,1)=$F157),"Cannot capture your own piece",IF($O157=0,"Illegal move for that piece (or path blocked)","OK"))))))))</f>
        <v/>
      </c>
      <c r="R157" s="11" t="n">
        <f aca="false">IF($P157=1,IF(AND($K157="P",ABS($J157)=2),($D157+$E157)/2,0),$R156)</f>
        <v>0</v>
      </c>
      <c r="S157" s="12" t="b">
        <f aca="false">--OR($S156=1,AND($P157=1,OR($D157=5,$E157=5)))</f>
        <v>0</v>
      </c>
      <c r="T157" s="12" t="b">
        <f aca="false">--OR($T156=1,AND($P157=1,OR($D157=1,$E157=1)))</f>
        <v>0</v>
      </c>
      <c r="U157" s="12" t="b">
        <f aca="false">--OR($U156=1,AND($P157=1,OR($D157=8,$E157=8)))</f>
        <v>0</v>
      </c>
      <c r="V157" s="12" t="b">
        <f aca="false">--OR($V156=1,AND($P157=1,OR($D157=61,$E157=61)))</f>
        <v>0</v>
      </c>
      <c r="W157" s="12" t="b">
        <f aca="false">--OR($W156=1,AND($P157=1,OR($D157=57,$E157=57)))</f>
        <v>0</v>
      </c>
      <c r="X157" s="12" t="b">
        <f aca="false">--OR($X156=1,AND($P157=1,OR($D157=64,$E157=64)))</f>
        <v>0</v>
      </c>
      <c r="Y157" s="12" t="b">
        <f aca="false">--AND($P157=1,$K157="K",ABS($I157)=2)</f>
        <v>0</v>
      </c>
      <c r="Z157" s="12" t="b">
        <f aca="false">--AND($P157=1,$K157="P",ABS($I157)=1,$H157="")</f>
        <v>0</v>
      </c>
      <c r="AA157" s="12" t="b">
        <f aca="false">--AND($P157=1,$K157="P",INT(($E157-1)/8)=IF($F157="w",7,0))</f>
        <v>0</v>
      </c>
      <c r="AB157" s="11" t="str">
        <f aca="false">IF(LEN($C157)&gt;=5,IF(ISNUMBER(FIND(MID($C157,5,1),"qrbn")),UPPER(MID($C157,5,1)),"Q"),"Q")</f>
        <v>Q</v>
      </c>
      <c r="AC157" s="11" t="n">
        <f aca="false">IF($Y157=1,IF($I157=2,$D157+3,$D157-4),0)</f>
        <v>0</v>
      </c>
      <c r="AD157" s="11" t="n">
        <f aca="false">IF($Y157=1,IF($I157=2,$D157+1,$D157-1),0)</f>
        <v>0</v>
      </c>
      <c r="AE157" s="11" t="n">
        <f aca="false">IF($Z157=1,$E157-8*IF($F157="w",1,-1),0)</f>
        <v>0</v>
      </c>
      <c r="AF157" s="11" t="str">
        <f aca="false">IF($B157="","",IF($P157=1,LOWER(INDEX($CV$2:$CV$13,MATCH($G157,$CU$2:$CU$13,0)))&amp;" "&amp;MID("abcdefgh",MOD($D157-1,8)+1,1)&amp;(INT(($D157-1)/8)+1)&amp;"→"&amp;MID("abcdefgh",MOD($E157-1,8)+1,1)&amp;(INT(($E157-1)/8)+1)&amp;IF(OR($H157&lt;&gt;"",$Z157=1)," ×","")&amp;IF($Y157=1," castles","")&amp;IF($Z157=1," e.p.","")&amp;IF($AA157=1," =" &amp;LOWER(INDEX($CV$2:$CV$13,MATCH($F157&amp;$AB157,$CU$2:$CU$13,0))),""),"X "&amp;$Q157))</f>
        <v/>
      </c>
      <c r="AG157" s="11"/>
      <c r="AH157" s="11" t="str">
        <f aca="false">IF($P157=0,AH156,IF(AH$3=$E157,IF($AA157=1,$F157&amp;$AB157,$G157),IF(OR(AH$3=$D157,AH$3=$AC157,AH$3=$AE157),"",IF(AH$3=$AD157,$F157&amp;"R",AH156))))</f>
        <v>wR</v>
      </c>
      <c r="AI157" s="11" t="str">
        <f aca="false">IF($P157=0,AI156,IF(AI$3=$E157,IF($AA157=1,$F157&amp;$AB157,$G157),IF(OR(AI$3=$D157,AI$3=$AC157,AI$3=$AE157),"",IF(AI$3=$AD157,$F157&amp;"R",AI156))))</f>
        <v>wN</v>
      </c>
      <c r="AJ157" s="11" t="str">
        <f aca="false">IF($P157=0,AJ156,IF(AJ$3=$E157,IF($AA157=1,$F157&amp;$AB157,$G157),IF(OR(AJ$3=$D157,AJ$3=$AC157,AJ$3=$AE157),"",IF(AJ$3=$AD157,$F157&amp;"R",AJ156))))</f>
        <v>wB</v>
      </c>
      <c r="AK157" s="11" t="str">
        <f aca="false">IF($P157=0,AK156,IF(AK$3=$E157,IF($AA157=1,$F157&amp;$AB157,$G157),IF(OR(AK$3=$D157,AK$3=$AC157,AK$3=$AE157),"",IF(AK$3=$AD157,$F157&amp;"R",AK156))))</f>
        <v>wQ</v>
      </c>
      <c r="AL157" s="11" t="str">
        <f aca="false">IF($P157=0,AL156,IF(AL$3=$E157,IF($AA157=1,$F157&amp;$AB157,$G157),IF(OR(AL$3=$D157,AL$3=$AC157,AL$3=$AE157),"",IF(AL$3=$AD157,$F157&amp;"R",AL156))))</f>
        <v>wK</v>
      </c>
      <c r="AM157" s="11" t="str">
        <f aca="false">IF($P157=0,AM156,IF(AM$3=$E157,IF($AA157=1,$F157&amp;$AB157,$G157),IF(OR(AM$3=$D157,AM$3=$AC157,AM$3=$AE157),"",IF(AM$3=$AD157,$F157&amp;"R",AM156))))</f>
        <v>wB</v>
      </c>
      <c r="AN157" s="11" t="str">
        <f aca="false">IF($P157=0,AN156,IF(AN$3=$E157,IF($AA157=1,$F157&amp;$AB157,$G157),IF(OR(AN$3=$D157,AN$3=$AC157,AN$3=$AE157),"",IF(AN$3=$AD157,$F157&amp;"R",AN156))))</f>
        <v>wN</v>
      </c>
      <c r="AO157" s="11" t="str">
        <f aca="false">IF($P157=0,AO156,IF(AO$3=$E157,IF($AA157=1,$F157&amp;$AB157,$G157),IF(OR(AO$3=$D157,AO$3=$AC157,AO$3=$AE157),"",IF(AO$3=$AD157,$F157&amp;"R",AO156))))</f>
        <v>wR</v>
      </c>
      <c r="AP157" s="11" t="str">
        <f aca="false">IF($P157=0,AP156,IF(AP$3=$E157,IF($AA157=1,$F157&amp;$AB157,$G157),IF(OR(AP$3=$D157,AP$3=$AC157,AP$3=$AE157),"",IF(AP$3=$AD157,$F157&amp;"R",AP156))))</f>
        <v>wP</v>
      </c>
      <c r="AQ157" s="11" t="str">
        <f aca="false">IF($P157=0,AQ156,IF(AQ$3=$E157,IF($AA157=1,$F157&amp;$AB157,$G157),IF(OR(AQ$3=$D157,AQ$3=$AC157,AQ$3=$AE157),"",IF(AQ$3=$AD157,$F157&amp;"R",AQ156))))</f>
        <v>wP</v>
      </c>
      <c r="AR157" s="11" t="str">
        <f aca="false">IF($P157=0,AR156,IF(AR$3=$E157,IF($AA157=1,$F157&amp;$AB157,$G157),IF(OR(AR$3=$D157,AR$3=$AC157,AR$3=$AE157),"",IF(AR$3=$AD157,$F157&amp;"R",AR156))))</f>
        <v>wP</v>
      </c>
      <c r="AS157" s="11" t="str">
        <f aca="false">IF($P157=0,AS156,IF(AS$3=$E157,IF($AA157=1,$F157&amp;$AB157,$G157),IF(OR(AS$3=$D157,AS$3=$AC157,AS$3=$AE157),"",IF(AS$3=$AD157,$F157&amp;"R",AS156))))</f>
        <v>wP</v>
      </c>
      <c r="AT157" s="11" t="str">
        <f aca="false">IF($P157=0,AT156,IF(AT$3=$E157,IF($AA157=1,$F157&amp;$AB157,$G157),IF(OR(AT$3=$D157,AT$3=$AC157,AT$3=$AE157),"",IF(AT$3=$AD157,$F157&amp;"R",AT156))))</f>
        <v>wP</v>
      </c>
      <c r="AU157" s="11" t="str">
        <f aca="false">IF($P157=0,AU156,IF(AU$3=$E157,IF($AA157=1,$F157&amp;$AB157,$G157),IF(OR(AU$3=$D157,AU$3=$AC157,AU$3=$AE157),"",IF(AU$3=$AD157,$F157&amp;"R",AU156))))</f>
        <v>wP</v>
      </c>
      <c r="AV157" s="11" t="str">
        <f aca="false">IF($P157=0,AV156,IF(AV$3=$E157,IF($AA157=1,$F157&amp;$AB157,$G157),IF(OR(AV$3=$D157,AV$3=$AC157,AV$3=$AE157),"",IF(AV$3=$AD157,$F157&amp;"R",AV156))))</f>
        <v>wP</v>
      </c>
      <c r="AW157" s="11" t="str">
        <f aca="false">IF($P157=0,AW156,IF(AW$3=$E157,IF($AA157=1,$F157&amp;$AB157,$G157),IF(OR(AW$3=$D157,AW$3=$AC157,AW$3=$AE157),"",IF(AW$3=$AD157,$F157&amp;"R",AW156))))</f>
        <v>wP</v>
      </c>
      <c r="AX157" s="11" t="str">
        <f aca="false">IF($P157=0,AX156,IF(AX$3=$E157,IF($AA157=1,$F157&amp;$AB157,$G157),IF(OR(AX$3=$D157,AX$3=$AC157,AX$3=$AE157),"",IF(AX$3=$AD157,$F157&amp;"R",AX156))))</f>
        <v/>
      </c>
      <c r="AY157" s="11" t="str">
        <f aca="false">IF($P157=0,AY156,IF(AY$3=$E157,IF($AA157=1,$F157&amp;$AB157,$G157),IF(OR(AY$3=$D157,AY$3=$AC157,AY$3=$AE157),"",IF(AY$3=$AD157,$F157&amp;"R",AY156))))</f>
        <v/>
      </c>
      <c r="AZ157" s="11" t="str">
        <f aca="false">IF($P157=0,AZ156,IF(AZ$3=$E157,IF($AA157=1,$F157&amp;$AB157,$G157),IF(OR(AZ$3=$D157,AZ$3=$AC157,AZ$3=$AE157),"",IF(AZ$3=$AD157,$F157&amp;"R",AZ156))))</f>
        <v/>
      </c>
      <c r="BA157" s="11" t="str">
        <f aca="false">IF($P157=0,BA156,IF(BA$3=$E157,IF($AA157=1,$F157&amp;$AB157,$G157),IF(OR(BA$3=$D157,BA$3=$AC157,BA$3=$AE157),"",IF(BA$3=$AD157,$F157&amp;"R",BA156))))</f>
        <v/>
      </c>
      <c r="BB157" s="11" t="str">
        <f aca="false">IF($P157=0,BB156,IF(BB$3=$E157,IF($AA157=1,$F157&amp;$AB157,$G157),IF(OR(BB$3=$D157,BB$3=$AC157,BB$3=$AE157),"",IF(BB$3=$AD157,$F157&amp;"R",BB156))))</f>
        <v/>
      </c>
      <c r="BC157" s="11" t="str">
        <f aca="false">IF($P157=0,BC156,IF(BC$3=$E157,IF($AA157=1,$F157&amp;$AB157,$G157),IF(OR(BC$3=$D157,BC$3=$AC157,BC$3=$AE157),"",IF(BC$3=$AD157,$F157&amp;"R",BC156))))</f>
        <v/>
      </c>
      <c r="BD157" s="11" t="str">
        <f aca="false">IF($P157=0,BD156,IF(BD$3=$E157,IF($AA157=1,$F157&amp;$AB157,$G157),IF(OR(BD$3=$D157,BD$3=$AC157,BD$3=$AE157),"",IF(BD$3=$AD157,$F157&amp;"R",BD156))))</f>
        <v/>
      </c>
      <c r="BE157" s="11" t="str">
        <f aca="false">IF($P157=0,BE156,IF(BE$3=$E157,IF($AA157=1,$F157&amp;$AB157,$G157),IF(OR(BE$3=$D157,BE$3=$AC157,BE$3=$AE157),"",IF(BE$3=$AD157,$F157&amp;"R",BE156))))</f>
        <v/>
      </c>
      <c r="BF157" s="11" t="str">
        <f aca="false">IF($P157=0,BF156,IF(BF$3=$E157,IF($AA157=1,$F157&amp;$AB157,$G157),IF(OR(BF$3=$D157,BF$3=$AC157,BF$3=$AE157),"",IF(BF$3=$AD157,$F157&amp;"R",BF156))))</f>
        <v/>
      </c>
      <c r="BG157" s="11" t="str">
        <f aca="false">IF($P157=0,BG156,IF(BG$3=$E157,IF($AA157=1,$F157&amp;$AB157,$G157),IF(OR(BG$3=$D157,BG$3=$AC157,BG$3=$AE157),"",IF(BG$3=$AD157,$F157&amp;"R",BG156))))</f>
        <v/>
      </c>
      <c r="BH157" s="11" t="str">
        <f aca="false">IF($P157=0,BH156,IF(BH$3=$E157,IF($AA157=1,$F157&amp;$AB157,$G157),IF(OR(BH$3=$D157,BH$3=$AC157,BH$3=$AE157),"",IF(BH$3=$AD157,$F157&amp;"R",BH156))))</f>
        <v/>
      </c>
      <c r="BI157" s="11" t="str">
        <f aca="false">IF($P157=0,BI156,IF(BI$3=$E157,IF($AA157=1,$F157&amp;$AB157,$G157),IF(OR(BI$3=$D157,BI$3=$AC157,BI$3=$AE157),"",IF(BI$3=$AD157,$F157&amp;"R",BI156))))</f>
        <v/>
      </c>
      <c r="BJ157" s="11" t="str">
        <f aca="false">IF($P157=0,BJ156,IF(BJ$3=$E157,IF($AA157=1,$F157&amp;$AB157,$G157),IF(OR(BJ$3=$D157,BJ$3=$AC157,BJ$3=$AE157),"",IF(BJ$3=$AD157,$F157&amp;"R",BJ156))))</f>
        <v/>
      </c>
      <c r="BK157" s="11" t="str">
        <f aca="false">IF($P157=0,BK156,IF(BK$3=$E157,IF($AA157=1,$F157&amp;$AB157,$G157),IF(OR(BK$3=$D157,BK$3=$AC157,BK$3=$AE157),"",IF(BK$3=$AD157,$F157&amp;"R",BK156))))</f>
        <v/>
      </c>
      <c r="BL157" s="11" t="str">
        <f aca="false">IF($P157=0,BL156,IF(BL$3=$E157,IF($AA157=1,$F157&amp;$AB157,$G157),IF(OR(BL$3=$D157,BL$3=$AC157,BL$3=$AE157),"",IF(BL$3=$AD157,$F157&amp;"R",BL156))))</f>
        <v/>
      </c>
      <c r="BM157" s="11" t="str">
        <f aca="false">IF($P157=0,BM156,IF(BM$3=$E157,IF($AA157=1,$F157&amp;$AB157,$G157),IF(OR(BM$3=$D157,BM$3=$AC157,BM$3=$AE157),"",IF(BM$3=$AD157,$F157&amp;"R",BM156))))</f>
        <v/>
      </c>
      <c r="BN157" s="11" t="str">
        <f aca="false">IF($P157=0,BN156,IF(BN$3=$E157,IF($AA157=1,$F157&amp;$AB157,$G157),IF(OR(BN$3=$D157,BN$3=$AC157,BN$3=$AE157),"",IF(BN$3=$AD157,$F157&amp;"R",BN156))))</f>
        <v/>
      </c>
      <c r="BO157" s="11" t="str">
        <f aca="false">IF($P157=0,BO156,IF(BO$3=$E157,IF($AA157=1,$F157&amp;$AB157,$G157),IF(OR(BO$3=$D157,BO$3=$AC157,BO$3=$AE157),"",IF(BO$3=$AD157,$F157&amp;"R",BO156))))</f>
        <v/>
      </c>
      <c r="BP157" s="11" t="str">
        <f aca="false">IF($P157=0,BP156,IF(BP$3=$E157,IF($AA157=1,$F157&amp;$AB157,$G157),IF(OR(BP$3=$D157,BP$3=$AC157,BP$3=$AE157),"",IF(BP$3=$AD157,$F157&amp;"R",BP156))))</f>
        <v/>
      </c>
      <c r="BQ157" s="11" t="str">
        <f aca="false">IF($P157=0,BQ156,IF(BQ$3=$E157,IF($AA157=1,$F157&amp;$AB157,$G157),IF(OR(BQ$3=$D157,BQ$3=$AC157,BQ$3=$AE157),"",IF(BQ$3=$AD157,$F157&amp;"R",BQ156))))</f>
        <v/>
      </c>
      <c r="BR157" s="11" t="str">
        <f aca="false">IF($P157=0,BR156,IF(BR$3=$E157,IF($AA157=1,$F157&amp;$AB157,$G157),IF(OR(BR$3=$D157,BR$3=$AC157,BR$3=$AE157),"",IF(BR$3=$AD157,$F157&amp;"R",BR156))))</f>
        <v/>
      </c>
      <c r="BS157" s="11" t="str">
        <f aca="false">IF($P157=0,BS156,IF(BS$3=$E157,IF($AA157=1,$F157&amp;$AB157,$G157),IF(OR(BS$3=$D157,BS$3=$AC157,BS$3=$AE157),"",IF(BS$3=$AD157,$F157&amp;"R",BS156))))</f>
        <v/>
      </c>
      <c r="BT157" s="11" t="str">
        <f aca="false">IF($P157=0,BT156,IF(BT$3=$E157,IF($AA157=1,$F157&amp;$AB157,$G157),IF(OR(BT$3=$D157,BT$3=$AC157,BT$3=$AE157),"",IF(BT$3=$AD157,$F157&amp;"R",BT156))))</f>
        <v/>
      </c>
      <c r="BU157" s="11" t="str">
        <f aca="false">IF($P157=0,BU156,IF(BU$3=$E157,IF($AA157=1,$F157&amp;$AB157,$G157),IF(OR(BU$3=$D157,BU$3=$AC157,BU$3=$AE157),"",IF(BU$3=$AD157,$F157&amp;"R",BU156))))</f>
        <v/>
      </c>
      <c r="BV157" s="11" t="str">
        <f aca="false">IF($P157=0,BV156,IF(BV$3=$E157,IF($AA157=1,$F157&amp;$AB157,$G157),IF(OR(BV$3=$D157,BV$3=$AC157,BV$3=$AE157),"",IF(BV$3=$AD157,$F157&amp;"R",BV156))))</f>
        <v/>
      </c>
      <c r="BW157" s="11" t="str">
        <f aca="false">IF($P157=0,BW156,IF(BW$3=$E157,IF($AA157=1,$F157&amp;$AB157,$G157),IF(OR(BW$3=$D157,BW$3=$AC157,BW$3=$AE157),"",IF(BW$3=$AD157,$F157&amp;"R",BW156))))</f>
        <v/>
      </c>
      <c r="BX157" s="11" t="str">
        <f aca="false">IF($P157=0,BX156,IF(BX$3=$E157,IF($AA157=1,$F157&amp;$AB157,$G157),IF(OR(BX$3=$D157,BX$3=$AC157,BX$3=$AE157),"",IF(BX$3=$AD157,$F157&amp;"R",BX156))))</f>
        <v/>
      </c>
      <c r="BY157" s="11" t="str">
        <f aca="false">IF($P157=0,BY156,IF(BY$3=$E157,IF($AA157=1,$F157&amp;$AB157,$G157),IF(OR(BY$3=$D157,BY$3=$AC157,BY$3=$AE157),"",IF(BY$3=$AD157,$F157&amp;"R",BY156))))</f>
        <v/>
      </c>
      <c r="BZ157" s="11" t="str">
        <f aca="false">IF($P157=0,BZ156,IF(BZ$3=$E157,IF($AA157=1,$F157&amp;$AB157,$G157),IF(OR(BZ$3=$D157,BZ$3=$AC157,BZ$3=$AE157),"",IF(BZ$3=$AD157,$F157&amp;"R",BZ156))))</f>
        <v/>
      </c>
      <c r="CA157" s="11" t="str">
        <f aca="false">IF($P157=0,CA156,IF(CA$3=$E157,IF($AA157=1,$F157&amp;$AB157,$G157),IF(OR(CA$3=$D157,CA$3=$AC157,CA$3=$AE157),"",IF(CA$3=$AD157,$F157&amp;"R",CA156))))</f>
        <v/>
      </c>
      <c r="CB157" s="11" t="str">
        <f aca="false">IF($P157=0,CB156,IF(CB$3=$E157,IF($AA157=1,$F157&amp;$AB157,$G157),IF(OR(CB$3=$D157,CB$3=$AC157,CB$3=$AE157),"",IF(CB$3=$AD157,$F157&amp;"R",CB156))))</f>
        <v/>
      </c>
      <c r="CC157" s="11" t="str">
        <f aca="false">IF($P157=0,CC156,IF(CC$3=$E157,IF($AA157=1,$F157&amp;$AB157,$G157),IF(OR(CC$3=$D157,CC$3=$AC157,CC$3=$AE157),"",IF(CC$3=$AD157,$F157&amp;"R",CC156))))</f>
        <v/>
      </c>
      <c r="CD157" s="11" t="str">
        <f aca="false">IF($P157=0,CD156,IF(CD$3=$E157,IF($AA157=1,$F157&amp;$AB157,$G157),IF(OR(CD$3=$D157,CD$3=$AC157,CD$3=$AE157),"",IF(CD$3=$AD157,$F157&amp;"R",CD156))))</f>
        <v>bP</v>
      </c>
      <c r="CE157" s="11" t="str">
        <f aca="false">IF($P157=0,CE156,IF(CE$3=$E157,IF($AA157=1,$F157&amp;$AB157,$G157),IF(OR(CE$3=$D157,CE$3=$AC157,CE$3=$AE157),"",IF(CE$3=$AD157,$F157&amp;"R",CE156))))</f>
        <v>bP</v>
      </c>
      <c r="CF157" s="11" t="str">
        <f aca="false">IF($P157=0,CF156,IF(CF$3=$E157,IF($AA157=1,$F157&amp;$AB157,$G157),IF(OR(CF$3=$D157,CF$3=$AC157,CF$3=$AE157),"",IF(CF$3=$AD157,$F157&amp;"R",CF156))))</f>
        <v>bP</v>
      </c>
      <c r="CG157" s="11" t="str">
        <f aca="false">IF($P157=0,CG156,IF(CG$3=$E157,IF($AA157=1,$F157&amp;$AB157,$G157),IF(OR(CG$3=$D157,CG$3=$AC157,CG$3=$AE157),"",IF(CG$3=$AD157,$F157&amp;"R",CG156))))</f>
        <v>bP</v>
      </c>
      <c r="CH157" s="11" t="str">
        <f aca="false">IF($P157=0,CH156,IF(CH$3=$E157,IF($AA157=1,$F157&amp;$AB157,$G157),IF(OR(CH$3=$D157,CH$3=$AC157,CH$3=$AE157),"",IF(CH$3=$AD157,$F157&amp;"R",CH156))))</f>
        <v>bP</v>
      </c>
      <c r="CI157" s="11" t="str">
        <f aca="false">IF($P157=0,CI156,IF(CI$3=$E157,IF($AA157=1,$F157&amp;$AB157,$G157),IF(OR(CI$3=$D157,CI$3=$AC157,CI$3=$AE157),"",IF(CI$3=$AD157,$F157&amp;"R",CI156))))</f>
        <v>bP</v>
      </c>
      <c r="CJ157" s="11" t="str">
        <f aca="false">IF($P157=0,CJ156,IF(CJ$3=$E157,IF($AA157=1,$F157&amp;$AB157,$G157),IF(OR(CJ$3=$D157,CJ$3=$AC157,CJ$3=$AE157),"",IF(CJ$3=$AD157,$F157&amp;"R",CJ156))))</f>
        <v>bP</v>
      </c>
      <c r="CK157" s="11" t="str">
        <f aca="false">IF($P157=0,CK156,IF(CK$3=$E157,IF($AA157=1,$F157&amp;$AB157,$G157),IF(OR(CK$3=$D157,CK$3=$AC157,CK$3=$AE157),"",IF(CK$3=$AD157,$F157&amp;"R",CK156))))</f>
        <v>bP</v>
      </c>
      <c r="CL157" s="11" t="str">
        <f aca="false">IF($P157=0,CL156,IF(CL$3=$E157,IF($AA157=1,$F157&amp;$AB157,$G157),IF(OR(CL$3=$D157,CL$3=$AC157,CL$3=$AE157),"",IF(CL$3=$AD157,$F157&amp;"R",CL156))))</f>
        <v>bR</v>
      </c>
      <c r="CM157" s="11" t="str">
        <f aca="false">IF($P157=0,CM156,IF(CM$3=$E157,IF($AA157=1,$F157&amp;$AB157,$G157),IF(OR(CM$3=$D157,CM$3=$AC157,CM$3=$AE157),"",IF(CM$3=$AD157,$F157&amp;"R",CM156))))</f>
        <v>bN</v>
      </c>
      <c r="CN157" s="11" t="str">
        <f aca="false">IF($P157=0,CN156,IF(CN$3=$E157,IF($AA157=1,$F157&amp;$AB157,$G157),IF(OR(CN$3=$D157,CN$3=$AC157,CN$3=$AE157),"",IF(CN$3=$AD157,$F157&amp;"R",CN156))))</f>
        <v>bB</v>
      </c>
      <c r="CO157" s="11" t="str">
        <f aca="false">IF($P157=0,CO156,IF(CO$3=$E157,IF($AA157=1,$F157&amp;$AB157,$G157),IF(OR(CO$3=$D157,CO$3=$AC157,CO$3=$AE157),"",IF(CO$3=$AD157,$F157&amp;"R",CO156))))</f>
        <v>bQ</v>
      </c>
      <c r="CP157" s="11" t="str">
        <f aca="false">IF($P157=0,CP156,IF(CP$3=$E157,IF($AA157=1,$F157&amp;$AB157,$G157),IF(OR(CP$3=$D157,CP$3=$AC157,CP$3=$AE157),"",IF(CP$3=$AD157,$F157&amp;"R",CP156))))</f>
        <v>bK</v>
      </c>
      <c r="CQ157" s="11" t="str">
        <f aca="false">IF($P157=0,CQ156,IF(CQ$3=$E157,IF($AA157=1,$F157&amp;$AB157,$G157),IF(OR(CQ$3=$D157,CQ$3=$AC157,CQ$3=$AE157),"",IF(CQ$3=$AD157,$F157&amp;"R",CQ156))))</f>
        <v>bB</v>
      </c>
      <c r="CR157" s="11" t="str">
        <f aca="false">IF($P157=0,CR156,IF(CR$3=$E157,IF($AA157=1,$F157&amp;$AB157,$G157),IF(OR(CR$3=$D157,CR$3=$AC157,CR$3=$AE157),"",IF(CR$3=$AD157,$F157&amp;"R",CR156))))</f>
        <v>bN</v>
      </c>
      <c r="CS157" s="11" t="str">
        <f aca="false">IF($P157=0,CS156,IF(CS$3=$E157,IF($AA157=1,$F157&amp;$AB157,$G157),IF(OR(CS$3=$D157,CS$3=$AC157,CS$3=$AE157),"",IF(CS$3=$AD157,$F157&amp;"R",CS156))))</f>
        <v>bR</v>
      </c>
      <c r="CT157" s="11"/>
      <c r="CU157" s="11"/>
      <c r="CV157" s="11"/>
    </row>
    <row r="158" customFormat="false" ht="15" hidden="false" customHeight="false" outlineLevel="0" collapsed="false">
      <c r="A158" s="11" t="n">
        <v>153</v>
      </c>
      <c r="B158" s="11" t="str">
        <f aca="false">IF(Chess!$L$162="","",Chess!$L$162&amp;"")</f>
        <v/>
      </c>
      <c r="C158" s="11" t="str">
        <f aca="false">LOWER(SUBSTITUTE(SUBSTITUTE(SUBSTITUTE(SUBSTITUTE(TRIM($B158),"-",""),"=","")," ",""),"x",""))</f>
        <v/>
      </c>
      <c r="D158" s="11" t="n">
        <f aca="false">IF(LEN($C158)&lt;4,0,IFERROR(IF(AND(CODE(MID($C158,1,1))&gt;=97,CODE(MID($C158,1,1))&lt;=104,VALUE(MID($C158,2,1))&gt;=1,VALUE(MID($C158,2,1))&lt;=8),(VALUE(MID($C158,2,1))-1)*8+CODE(MID($C158,1,1))-96,0),0))</f>
        <v>0</v>
      </c>
      <c r="E158" s="11" t="n">
        <f aca="false">IF(LEN($C158)&lt;4,0,IFERROR(IF(AND(CODE(MID($C158,3,1))&gt;=97,CODE(MID($C158,3,1))&lt;=104,VALUE(MID($C158,4,1))&gt;=1,VALUE(MID($C158,4,1))&lt;=8),(VALUE(MID($C158,4,1))-1)*8+CODE(MID($C158,3,1))-96,0),0))</f>
        <v>0</v>
      </c>
      <c r="F158" s="11" t="str">
        <f aca="false">IF(MOD(SUM($P$5:$P157),2)=0,"w","b")</f>
        <v>w</v>
      </c>
      <c r="G158" s="11" t="str">
        <f aca="false">IF($D158=0,"",INDEX($AH157:$CS157,1,$D158)&amp;"")</f>
        <v/>
      </c>
      <c r="H158" s="11" t="str">
        <f aca="false">IF($E158=0,"",INDEX($AH157:$CS157,1,$E158)&amp;"")</f>
        <v/>
      </c>
      <c r="I158" s="11" t="n">
        <f aca="false">IF(OR($D158=0,$E158=0),0,MOD($E158-1,8)-MOD($D158-1,8))</f>
        <v>0</v>
      </c>
      <c r="J158" s="11" t="n">
        <f aca="false">IF(OR($D158=0,$E158=0),0,INT(($E158-1)/8)-INT(($D158-1)/8))</f>
        <v>0</v>
      </c>
      <c r="K158" s="11" t="str">
        <f aca="false">IF($G158="","",RIGHT($G158,1))</f>
        <v/>
      </c>
      <c r="L158" s="11" t="n">
        <f aca="false">IF(OR($D158=0,$E158=0),0,SUMPRODUCT(($AH$3:$CS$3&gt;MIN($D158,$E158))*($AH$3:$CS$3&lt;MAX($D158,$E158))*(MOD($AH$3:$CS$3-MIN($D158,$E158),MAX(1,ABS(SIGN($J158)*8+SIGN($I158))))=0)*($AH157:$CS157&lt;&gt;"")))</f>
        <v>0</v>
      </c>
      <c r="M158" s="11" t="n">
        <f aca="false">IF($K158&lt;&gt;"K",0,IFERROR(--AND($J158=0,ABS($I158)=2,$D158=IF($F158="w",5,61),IF($F158="w",$S157,$V157)=0,IF($I158=2,AND(IF($F158="w",$U157,$X157)=0,INDEX($AH157:$CS157,1,$D158+1)&amp;""="",INDEX($AH157:$CS157,1,$D158+2)&amp;""=""),AND(IF($F158="w",$T157,$W157)=0,INDEX($AH157:$CS157,1,$D158-1)&amp;""="",INDEX($AH157:$CS157,1,$D158-2)&amp;""="",INDEX($AH157:$CS157,1,$D158-3)&amp;""=""))),0))</f>
        <v>0</v>
      </c>
      <c r="N158" s="11" t="n">
        <f aca="false">IF($K158&lt;&gt;"P",0,IFERROR(--OR(AND($I158=0,$J158=IF($F158="w",1,-1),$H158=""),AND($I158=0,$J158=2*IF($F158="w",1,-1),$H158="",INT(($D158-1)/8)=IF($F158="w",1,6),INDEX($AH157:$CS157,1,MAX(1,MIN(64,$D158+8*IF($F158="w",1,-1))))&amp;""=""),AND(ABS($I158)=1,$J158=IF($F158="w",1,-1),$H158&lt;&gt;""),AND(ABS($I158)=1,$J158=IF($F158="w",1,-1),$H158="",$R157&gt;0,$E158=$R157)),0))</f>
        <v>0</v>
      </c>
      <c r="O158" s="11" t="n">
        <f aca="false">IF(OR($D158=0,$E158=0,$G158=""),0,IF($K158="N",--OR(AND(ABS($I158)=1,ABS($J158)=2),AND(ABS($I158)=2,ABS($J158)=1)),IF($K158="B",--AND(ABS($I158)=ABS($J158),$I158&lt;&gt;0,$L158=0),IF($K158="R",--AND(OR($I158=0,$J158=0),OR($I158&lt;&gt;0,$J158&lt;&gt;0),$L158=0),IF($K158="Q",--AND(OR(AND(ABS($I158)=ABS($J158),$I158&lt;&gt;0),AND(OR($I158=0,$J158=0),OR($I158&lt;&gt;0,$J158&lt;&gt;0))),$L158=0),IF($K158="K",--OR(MAX(ABS($I158),ABS($J158))=1,$M158=1),$N158))))))</f>
        <v>0</v>
      </c>
      <c r="P158" s="11" t="n">
        <f aca="false">IF($Q158="OK",1,0)</f>
        <v>0</v>
      </c>
      <c r="Q158" s="11" t="str">
        <f aca="false">IF($B158="","",IF(OR(COUNTIF($AH157:$CS157,"wK")=0,COUNTIF($AH157:$CS157,"bK")=0),"Game is over",IF(OR($D158=0,$E158=0),"Use the format e2e4",IF($G158="","No piece on that square",IF(LEFT($G158,1)&lt;&gt;$F158,"Not your piece ("&amp;IF($F158="w","White","Black")&amp;" to move)",IF($D158=$E158,"Piece must move",IF(AND($H158&lt;&gt;"",LEFT($H158,1)=$F158),"Cannot capture your own piece",IF($O158=0,"Illegal move for that piece (or path blocked)","OK"))))))))</f>
        <v/>
      </c>
      <c r="R158" s="11" t="n">
        <f aca="false">IF($P158=1,IF(AND($K158="P",ABS($J158)=2),($D158+$E158)/2,0),$R157)</f>
        <v>0</v>
      </c>
      <c r="S158" s="12" t="b">
        <f aca="false">--OR($S157=1,AND($P158=1,OR($D158=5,$E158=5)))</f>
        <v>0</v>
      </c>
      <c r="T158" s="12" t="b">
        <f aca="false">--OR($T157=1,AND($P158=1,OR($D158=1,$E158=1)))</f>
        <v>0</v>
      </c>
      <c r="U158" s="12" t="b">
        <f aca="false">--OR($U157=1,AND($P158=1,OR($D158=8,$E158=8)))</f>
        <v>0</v>
      </c>
      <c r="V158" s="12" t="b">
        <f aca="false">--OR($V157=1,AND($P158=1,OR($D158=61,$E158=61)))</f>
        <v>0</v>
      </c>
      <c r="W158" s="12" t="b">
        <f aca="false">--OR($W157=1,AND($P158=1,OR($D158=57,$E158=57)))</f>
        <v>0</v>
      </c>
      <c r="X158" s="12" t="b">
        <f aca="false">--OR($X157=1,AND($P158=1,OR($D158=64,$E158=64)))</f>
        <v>0</v>
      </c>
      <c r="Y158" s="12" t="b">
        <f aca="false">--AND($P158=1,$K158="K",ABS($I158)=2)</f>
        <v>0</v>
      </c>
      <c r="Z158" s="12" t="b">
        <f aca="false">--AND($P158=1,$K158="P",ABS($I158)=1,$H158="")</f>
        <v>0</v>
      </c>
      <c r="AA158" s="12" t="b">
        <f aca="false">--AND($P158=1,$K158="P",INT(($E158-1)/8)=IF($F158="w",7,0))</f>
        <v>0</v>
      </c>
      <c r="AB158" s="11" t="str">
        <f aca="false">IF(LEN($C158)&gt;=5,IF(ISNUMBER(FIND(MID($C158,5,1),"qrbn")),UPPER(MID($C158,5,1)),"Q"),"Q")</f>
        <v>Q</v>
      </c>
      <c r="AC158" s="11" t="n">
        <f aca="false">IF($Y158=1,IF($I158=2,$D158+3,$D158-4),0)</f>
        <v>0</v>
      </c>
      <c r="AD158" s="11" t="n">
        <f aca="false">IF($Y158=1,IF($I158=2,$D158+1,$D158-1),0)</f>
        <v>0</v>
      </c>
      <c r="AE158" s="11" t="n">
        <f aca="false">IF($Z158=1,$E158-8*IF($F158="w",1,-1),0)</f>
        <v>0</v>
      </c>
      <c r="AF158" s="11" t="str">
        <f aca="false">IF($B158="","",IF($P158=1,LOWER(INDEX($CV$2:$CV$13,MATCH($G158,$CU$2:$CU$13,0)))&amp;" "&amp;MID("abcdefgh",MOD($D158-1,8)+1,1)&amp;(INT(($D158-1)/8)+1)&amp;"→"&amp;MID("abcdefgh",MOD($E158-1,8)+1,1)&amp;(INT(($E158-1)/8)+1)&amp;IF(OR($H158&lt;&gt;"",$Z158=1)," ×","")&amp;IF($Y158=1," castles","")&amp;IF($Z158=1," e.p.","")&amp;IF($AA158=1," =" &amp;LOWER(INDEX($CV$2:$CV$13,MATCH($F158&amp;$AB158,$CU$2:$CU$13,0))),""),"X "&amp;$Q158))</f>
        <v/>
      </c>
      <c r="AG158" s="11"/>
      <c r="AH158" s="11" t="str">
        <f aca="false">IF($P158=0,AH157,IF(AH$3=$E158,IF($AA158=1,$F158&amp;$AB158,$G158),IF(OR(AH$3=$D158,AH$3=$AC158,AH$3=$AE158),"",IF(AH$3=$AD158,$F158&amp;"R",AH157))))</f>
        <v>wR</v>
      </c>
      <c r="AI158" s="11" t="str">
        <f aca="false">IF($P158=0,AI157,IF(AI$3=$E158,IF($AA158=1,$F158&amp;$AB158,$G158),IF(OR(AI$3=$D158,AI$3=$AC158,AI$3=$AE158),"",IF(AI$3=$AD158,$F158&amp;"R",AI157))))</f>
        <v>wN</v>
      </c>
      <c r="AJ158" s="11" t="str">
        <f aca="false">IF($P158=0,AJ157,IF(AJ$3=$E158,IF($AA158=1,$F158&amp;$AB158,$G158),IF(OR(AJ$3=$D158,AJ$3=$AC158,AJ$3=$AE158),"",IF(AJ$3=$AD158,$F158&amp;"R",AJ157))))</f>
        <v>wB</v>
      </c>
      <c r="AK158" s="11" t="str">
        <f aca="false">IF($P158=0,AK157,IF(AK$3=$E158,IF($AA158=1,$F158&amp;$AB158,$G158),IF(OR(AK$3=$D158,AK$3=$AC158,AK$3=$AE158),"",IF(AK$3=$AD158,$F158&amp;"R",AK157))))</f>
        <v>wQ</v>
      </c>
      <c r="AL158" s="11" t="str">
        <f aca="false">IF($P158=0,AL157,IF(AL$3=$E158,IF($AA158=1,$F158&amp;$AB158,$G158),IF(OR(AL$3=$D158,AL$3=$AC158,AL$3=$AE158),"",IF(AL$3=$AD158,$F158&amp;"R",AL157))))</f>
        <v>wK</v>
      </c>
      <c r="AM158" s="11" t="str">
        <f aca="false">IF($P158=0,AM157,IF(AM$3=$E158,IF($AA158=1,$F158&amp;$AB158,$G158),IF(OR(AM$3=$D158,AM$3=$AC158,AM$3=$AE158),"",IF(AM$3=$AD158,$F158&amp;"R",AM157))))</f>
        <v>wB</v>
      </c>
      <c r="AN158" s="11" t="str">
        <f aca="false">IF($P158=0,AN157,IF(AN$3=$E158,IF($AA158=1,$F158&amp;$AB158,$G158),IF(OR(AN$3=$D158,AN$3=$AC158,AN$3=$AE158),"",IF(AN$3=$AD158,$F158&amp;"R",AN157))))</f>
        <v>wN</v>
      </c>
      <c r="AO158" s="11" t="str">
        <f aca="false">IF($P158=0,AO157,IF(AO$3=$E158,IF($AA158=1,$F158&amp;$AB158,$G158),IF(OR(AO$3=$D158,AO$3=$AC158,AO$3=$AE158),"",IF(AO$3=$AD158,$F158&amp;"R",AO157))))</f>
        <v>wR</v>
      </c>
      <c r="AP158" s="11" t="str">
        <f aca="false">IF($P158=0,AP157,IF(AP$3=$E158,IF($AA158=1,$F158&amp;$AB158,$G158),IF(OR(AP$3=$D158,AP$3=$AC158,AP$3=$AE158),"",IF(AP$3=$AD158,$F158&amp;"R",AP157))))</f>
        <v>wP</v>
      </c>
      <c r="AQ158" s="11" t="str">
        <f aca="false">IF($P158=0,AQ157,IF(AQ$3=$E158,IF($AA158=1,$F158&amp;$AB158,$G158),IF(OR(AQ$3=$D158,AQ$3=$AC158,AQ$3=$AE158),"",IF(AQ$3=$AD158,$F158&amp;"R",AQ157))))</f>
        <v>wP</v>
      </c>
      <c r="AR158" s="11" t="str">
        <f aca="false">IF($P158=0,AR157,IF(AR$3=$E158,IF($AA158=1,$F158&amp;$AB158,$G158),IF(OR(AR$3=$D158,AR$3=$AC158,AR$3=$AE158),"",IF(AR$3=$AD158,$F158&amp;"R",AR157))))</f>
        <v>wP</v>
      </c>
      <c r="AS158" s="11" t="str">
        <f aca="false">IF($P158=0,AS157,IF(AS$3=$E158,IF($AA158=1,$F158&amp;$AB158,$G158),IF(OR(AS$3=$D158,AS$3=$AC158,AS$3=$AE158),"",IF(AS$3=$AD158,$F158&amp;"R",AS157))))</f>
        <v>wP</v>
      </c>
      <c r="AT158" s="11" t="str">
        <f aca="false">IF($P158=0,AT157,IF(AT$3=$E158,IF($AA158=1,$F158&amp;$AB158,$G158),IF(OR(AT$3=$D158,AT$3=$AC158,AT$3=$AE158),"",IF(AT$3=$AD158,$F158&amp;"R",AT157))))</f>
        <v>wP</v>
      </c>
      <c r="AU158" s="11" t="str">
        <f aca="false">IF($P158=0,AU157,IF(AU$3=$E158,IF($AA158=1,$F158&amp;$AB158,$G158),IF(OR(AU$3=$D158,AU$3=$AC158,AU$3=$AE158),"",IF(AU$3=$AD158,$F158&amp;"R",AU157))))</f>
        <v>wP</v>
      </c>
      <c r="AV158" s="11" t="str">
        <f aca="false">IF($P158=0,AV157,IF(AV$3=$E158,IF($AA158=1,$F158&amp;$AB158,$G158),IF(OR(AV$3=$D158,AV$3=$AC158,AV$3=$AE158),"",IF(AV$3=$AD158,$F158&amp;"R",AV157))))</f>
        <v>wP</v>
      </c>
      <c r="AW158" s="11" t="str">
        <f aca="false">IF($P158=0,AW157,IF(AW$3=$E158,IF($AA158=1,$F158&amp;$AB158,$G158),IF(OR(AW$3=$D158,AW$3=$AC158,AW$3=$AE158),"",IF(AW$3=$AD158,$F158&amp;"R",AW157))))</f>
        <v>wP</v>
      </c>
      <c r="AX158" s="11" t="str">
        <f aca="false">IF($P158=0,AX157,IF(AX$3=$E158,IF($AA158=1,$F158&amp;$AB158,$G158),IF(OR(AX$3=$D158,AX$3=$AC158,AX$3=$AE158),"",IF(AX$3=$AD158,$F158&amp;"R",AX157))))</f>
        <v/>
      </c>
      <c r="AY158" s="11" t="str">
        <f aca="false">IF($P158=0,AY157,IF(AY$3=$E158,IF($AA158=1,$F158&amp;$AB158,$G158),IF(OR(AY$3=$D158,AY$3=$AC158,AY$3=$AE158),"",IF(AY$3=$AD158,$F158&amp;"R",AY157))))</f>
        <v/>
      </c>
      <c r="AZ158" s="11" t="str">
        <f aca="false">IF($P158=0,AZ157,IF(AZ$3=$E158,IF($AA158=1,$F158&amp;$AB158,$G158),IF(OR(AZ$3=$D158,AZ$3=$AC158,AZ$3=$AE158),"",IF(AZ$3=$AD158,$F158&amp;"R",AZ157))))</f>
        <v/>
      </c>
      <c r="BA158" s="11" t="str">
        <f aca="false">IF($P158=0,BA157,IF(BA$3=$E158,IF($AA158=1,$F158&amp;$AB158,$G158),IF(OR(BA$3=$D158,BA$3=$AC158,BA$3=$AE158),"",IF(BA$3=$AD158,$F158&amp;"R",BA157))))</f>
        <v/>
      </c>
      <c r="BB158" s="11" t="str">
        <f aca="false">IF($P158=0,BB157,IF(BB$3=$E158,IF($AA158=1,$F158&amp;$AB158,$G158),IF(OR(BB$3=$D158,BB$3=$AC158,BB$3=$AE158),"",IF(BB$3=$AD158,$F158&amp;"R",BB157))))</f>
        <v/>
      </c>
      <c r="BC158" s="11" t="str">
        <f aca="false">IF($P158=0,BC157,IF(BC$3=$E158,IF($AA158=1,$F158&amp;$AB158,$G158),IF(OR(BC$3=$D158,BC$3=$AC158,BC$3=$AE158),"",IF(BC$3=$AD158,$F158&amp;"R",BC157))))</f>
        <v/>
      </c>
      <c r="BD158" s="11" t="str">
        <f aca="false">IF($P158=0,BD157,IF(BD$3=$E158,IF($AA158=1,$F158&amp;$AB158,$G158),IF(OR(BD$3=$D158,BD$3=$AC158,BD$3=$AE158),"",IF(BD$3=$AD158,$F158&amp;"R",BD157))))</f>
        <v/>
      </c>
      <c r="BE158" s="11" t="str">
        <f aca="false">IF($P158=0,BE157,IF(BE$3=$E158,IF($AA158=1,$F158&amp;$AB158,$G158),IF(OR(BE$3=$D158,BE$3=$AC158,BE$3=$AE158),"",IF(BE$3=$AD158,$F158&amp;"R",BE157))))</f>
        <v/>
      </c>
      <c r="BF158" s="11" t="str">
        <f aca="false">IF($P158=0,BF157,IF(BF$3=$E158,IF($AA158=1,$F158&amp;$AB158,$G158),IF(OR(BF$3=$D158,BF$3=$AC158,BF$3=$AE158),"",IF(BF$3=$AD158,$F158&amp;"R",BF157))))</f>
        <v/>
      </c>
      <c r="BG158" s="11" t="str">
        <f aca="false">IF($P158=0,BG157,IF(BG$3=$E158,IF($AA158=1,$F158&amp;$AB158,$G158),IF(OR(BG$3=$D158,BG$3=$AC158,BG$3=$AE158),"",IF(BG$3=$AD158,$F158&amp;"R",BG157))))</f>
        <v/>
      </c>
      <c r="BH158" s="11" t="str">
        <f aca="false">IF($P158=0,BH157,IF(BH$3=$E158,IF($AA158=1,$F158&amp;$AB158,$G158),IF(OR(BH$3=$D158,BH$3=$AC158,BH$3=$AE158),"",IF(BH$3=$AD158,$F158&amp;"R",BH157))))</f>
        <v/>
      </c>
      <c r="BI158" s="11" t="str">
        <f aca="false">IF($P158=0,BI157,IF(BI$3=$E158,IF($AA158=1,$F158&amp;$AB158,$G158),IF(OR(BI$3=$D158,BI$3=$AC158,BI$3=$AE158),"",IF(BI$3=$AD158,$F158&amp;"R",BI157))))</f>
        <v/>
      </c>
      <c r="BJ158" s="11" t="str">
        <f aca="false">IF($P158=0,BJ157,IF(BJ$3=$E158,IF($AA158=1,$F158&amp;$AB158,$G158),IF(OR(BJ$3=$D158,BJ$3=$AC158,BJ$3=$AE158),"",IF(BJ$3=$AD158,$F158&amp;"R",BJ157))))</f>
        <v/>
      </c>
      <c r="BK158" s="11" t="str">
        <f aca="false">IF($P158=0,BK157,IF(BK$3=$E158,IF($AA158=1,$F158&amp;$AB158,$G158),IF(OR(BK$3=$D158,BK$3=$AC158,BK$3=$AE158),"",IF(BK$3=$AD158,$F158&amp;"R",BK157))))</f>
        <v/>
      </c>
      <c r="BL158" s="11" t="str">
        <f aca="false">IF($P158=0,BL157,IF(BL$3=$E158,IF($AA158=1,$F158&amp;$AB158,$G158),IF(OR(BL$3=$D158,BL$3=$AC158,BL$3=$AE158),"",IF(BL$3=$AD158,$F158&amp;"R",BL157))))</f>
        <v/>
      </c>
      <c r="BM158" s="11" t="str">
        <f aca="false">IF($P158=0,BM157,IF(BM$3=$E158,IF($AA158=1,$F158&amp;$AB158,$G158),IF(OR(BM$3=$D158,BM$3=$AC158,BM$3=$AE158),"",IF(BM$3=$AD158,$F158&amp;"R",BM157))))</f>
        <v/>
      </c>
      <c r="BN158" s="11" t="str">
        <f aca="false">IF($P158=0,BN157,IF(BN$3=$E158,IF($AA158=1,$F158&amp;$AB158,$G158),IF(OR(BN$3=$D158,BN$3=$AC158,BN$3=$AE158),"",IF(BN$3=$AD158,$F158&amp;"R",BN157))))</f>
        <v/>
      </c>
      <c r="BO158" s="11" t="str">
        <f aca="false">IF($P158=0,BO157,IF(BO$3=$E158,IF($AA158=1,$F158&amp;$AB158,$G158),IF(OR(BO$3=$D158,BO$3=$AC158,BO$3=$AE158),"",IF(BO$3=$AD158,$F158&amp;"R",BO157))))</f>
        <v/>
      </c>
      <c r="BP158" s="11" t="str">
        <f aca="false">IF($P158=0,BP157,IF(BP$3=$E158,IF($AA158=1,$F158&amp;$AB158,$G158),IF(OR(BP$3=$D158,BP$3=$AC158,BP$3=$AE158),"",IF(BP$3=$AD158,$F158&amp;"R",BP157))))</f>
        <v/>
      </c>
      <c r="BQ158" s="11" t="str">
        <f aca="false">IF($P158=0,BQ157,IF(BQ$3=$E158,IF($AA158=1,$F158&amp;$AB158,$G158),IF(OR(BQ$3=$D158,BQ$3=$AC158,BQ$3=$AE158),"",IF(BQ$3=$AD158,$F158&amp;"R",BQ157))))</f>
        <v/>
      </c>
      <c r="BR158" s="11" t="str">
        <f aca="false">IF($P158=0,BR157,IF(BR$3=$E158,IF($AA158=1,$F158&amp;$AB158,$G158),IF(OR(BR$3=$D158,BR$3=$AC158,BR$3=$AE158),"",IF(BR$3=$AD158,$F158&amp;"R",BR157))))</f>
        <v/>
      </c>
      <c r="BS158" s="11" t="str">
        <f aca="false">IF($P158=0,BS157,IF(BS$3=$E158,IF($AA158=1,$F158&amp;$AB158,$G158),IF(OR(BS$3=$D158,BS$3=$AC158,BS$3=$AE158),"",IF(BS$3=$AD158,$F158&amp;"R",BS157))))</f>
        <v/>
      </c>
      <c r="BT158" s="11" t="str">
        <f aca="false">IF($P158=0,BT157,IF(BT$3=$E158,IF($AA158=1,$F158&amp;$AB158,$G158),IF(OR(BT$3=$D158,BT$3=$AC158,BT$3=$AE158),"",IF(BT$3=$AD158,$F158&amp;"R",BT157))))</f>
        <v/>
      </c>
      <c r="BU158" s="11" t="str">
        <f aca="false">IF($P158=0,BU157,IF(BU$3=$E158,IF($AA158=1,$F158&amp;$AB158,$G158),IF(OR(BU$3=$D158,BU$3=$AC158,BU$3=$AE158),"",IF(BU$3=$AD158,$F158&amp;"R",BU157))))</f>
        <v/>
      </c>
      <c r="BV158" s="11" t="str">
        <f aca="false">IF($P158=0,BV157,IF(BV$3=$E158,IF($AA158=1,$F158&amp;$AB158,$G158),IF(OR(BV$3=$D158,BV$3=$AC158,BV$3=$AE158),"",IF(BV$3=$AD158,$F158&amp;"R",BV157))))</f>
        <v/>
      </c>
      <c r="BW158" s="11" t="str">
        <f aca="false">IF($P158=0,BW157,IF(BW$3=$E158,IF($AA158=1,$F158&amp;$AB158,$G158),IF(OR(BW$3=$D158,BW$3=$AC158,BW$3=$AE158),"",IF(BW$3=$AD158,$F158&amp;"R",BW157))))</f>
        <v/>
      </c>
      <c r="BX158" s="11" t="str">
        <f aca="false">IF($P158=0,BX157,IF(BX$3=$E158,IF($AA158=1,$F158&amp;$AB158,$G158),IF(OR(BX$3=$D158,BX$3=$AC158,BX$3=$AE158),"",IF(BX$3=$AD158,$F158&amp;"R",BX157))))</f>
        <v/>
      </c>
      <c r="BY158" s="11" t="str">
        <f aca="false">IF($P158=0,BY157,IF(BY$3=$E158,IF($AA158=1,$F158&amp;$AB158,$G158),IF(OR(BY$3=$D158,BY$3=$AC158,BY$3=$AE158),"",IF(BY$3=$AD158,$F158&amp;"R",BY157))))</f>
        <v/>
      </c>
      <c r="BZ158" s="11" t="str">
        <f aca="false">IF($P158=0,BZ157,IF(BZ$3=$E158,IF($AA158=1,$F158&amp;$AB158,$G158),IF(OR(BZ$3=$D158,BZ$3=$AC158,BZ$3=$AE158),"",IF(BZ$3=$AD158,$F158&amp;"R",BZ157))))</f>
        <v/>
      </c>
      <c r="CA158" s="11" t="str">
        <f aca="false">IF($P158=0,CA157,IF(CA$3=$E158,IF($AA158=1,$F158&amp;$AB158,$G158),IF(OR(CA$3=$D158,CA$3=$AC158,CA$3=$AE158),"",IF(CA$3=$AD158,$F158&amp;"R",CA157))))</f>
        <v/>
      </c>
      <c r="CB158" s="11" t="str">
        <f aca="false">IF($P158=0,CB157,IF(CB$3=$E158,IF($AA158=1,$F158&amp;$AB158,$G158),IF(OR(CB$3=$D158,CB$3=$AC158,CB$3=$AE158),"",IF(CB$3=$AD158,$F158&amp;"R",CB157))))</f>
        <v/>
      </c>
      <c r="CC158" s="11" t="str">
        <f aca="false">IF($P158=0,CC157,IF(CC$3=$E158,IF($AA158=1,$F158&amp;$AB158,$G158),IF(OR(CC$3=$D158,CC$3=$AC158,CC$3=$AE158),"",IF(CC$3=$AD158,$F158&amp;"R",CC157))))</f>
        <v/>
      </c>
      <c r="CD158" s="11" t="str">
        <f aca="false">IF($P158=0,CD157,IF(CD$3=$E158,IF($AA158=1,$F158&amp;$AB158,$G158),IF(OR(CD$3=$D158,CD$3=$AC158,CD$3=$AE158),"",IF(CD$3=$AD158,$F158&amp;"R",CD157))))</f>
        <v>bP</v>
      </c>
      <c r="CE158" s="11" t="str">
        <f aca="false">IF($P158=0,CE157,IF(CE$3=$E158,IF($AA158=1,$F158&amp;$AB158,$G158),IF(OR(CE$3=$D158,CE$3=$AC158,CE$3=$AE158),"",IF(CE$3=$AD158,$F158&amp;"R",CE157))))</f>
        <v>bP</v>
      </c>
      <c r="CF158" s="11" t="str">
        <f aca="false">IF($P158=0,CF157,IF(CF$3=$E158,IF($AA158=1,$F158&amp;$AB158,$G158),IF(OR(CF$3=$D158,CF$3=$AC158,CF$3=$AE158),"",IF(CF$3=$AD158,$F158&amp;"R",CF157))))</f>
        <v>bP</v>
      </c>
      <c r="CG158" s="11" t="str">
        <f aca="false">IF($P158=0,CG157,IF(CG$3=$E158,IF($AA158=1,$F158&amp;$AB158,$G158),IF(OR(CG$3=$D158,CG$3=$AC158,CG$3=$AE158),"",IF(CG$3=$AD158,$F158&amp;"R",CG157))))</f>
        <v>bP</v>
      </c>
      <c r="CH158" s="11" t="str">
        <f aca="false">IF($P158=0,CH157,IF(CH$3=$E158,IF($AA158=1,$F158&amp;$AB158,$G158),IF(OR(CH$3=$D158,CH$3=$AC158,CH$3=$AE158),"",IF(CH$3=$AD158,$F158&amp;"R",CH157))))</f>
        <v>bP</v>
      </c>
      <c r="CI158" s="11" t="str">
        <f aca="false">IF($P158=0,CI157,IF(CI$3=$E158,IF($AA158=1,$F158&amp;$AB158,$G158),IF(OR(CI$3=$D158,CI$3=$AC158,CI$3=$AE158),"",IF(CI$3=$AD158,$F158&amp;"R",CI157))))</f>
        <v>bP</v>
      </c>
      <c r="CJ158" s="11" t="str">
        <f aca="false">IF($P158=0,CJ157,IF(CJ$3=$E158,IF($AA158=1,$F158&amp;$AB158,$G158),IF(OR(CJ$3=$D158,CJ$3=$AC158,CJ$3=$AE158),"",IF(CJ$3=$AD158,$F158&amp;"R",CJ157))))</f>
        <v>bP</v>
      </c>
      <c r="CK158" s="11" t="str">
        <f aca="false">IF($P158=0,CK157,IF(CK$3=$E158,IF($AA158=1,$F158&amp;$AB158,$G158),IF(OR(CK$3=$D158,CK$3=$AC158,CK$3=$AE158),"",IF(CK$3=$AD158,$F158&amp;"R",CK157))))</f>
        <v>bP</v>
      </c>
      <c r="CL158" s="11" t="str">
        <f aca="false">IF($P158=0,CL157,IF(CL$3=$E158,IF($AA158=1,$F158&amp;$AB158,$G158),IF(OR(CL$3=$D158,CL$3=$AC158,CL$3=$AE158),"",IF(CL$3=$AD158,$F158&amp;"R",CL157))))</f>
        <v>bR</v>
      </c>
      <c r="CM158" s="11" t="str">
        <f aca="false">IF($P158=0,CM157,IF(CM$3=$E158,IF($AA158=1,$F158&amp;$AB158,$G158),IF(OR(CM$3=$D158,CM$3=$AC158,CM$3=$AE158),"",IF(CM$3=$AD158,$F158&amp;"R",CM157))))</f>
        <v>bN</v>
      </c>
      <c r="CN158" s="11" t="str">
        <f aca="false">IF($P158=0,CN157,IF(CN$3=$E158,IF($AA158=1,$F158&amp;$AB158,$G158),IF(OR(CN$3=$D158,CN$3=$AC158,CN$3=$AE158),"",IF(CN$3=$AD158,$F158&amp;"R",CN157))))</f>
        <v>bB</v>
      </c>
      <c r="CO158" s="11" t="str">
        <f aca="false">IF($P158=0,CO157,IF(CO$3=$E158,IF($AA158=1,$F158&amp;$AB158,$G158),IF(OR(CO$3=$D158,CO$3=$AC158,CO$3=$AE158),"",IF(CO$3=$AD158,$F158&amp;"R",CO157))))</f>
        <v>bQ</v>
      </c>
      <c r="CP158" s="11" t="str">
        <f aca="false">IF($P158=0,CP157,IF(CP$3=$E158,IF($AA158=1,$F158&amp;$AB158,$G158),IF(OR(CP$3=$D158,CP$3=$AC158,CP$3=$AE158),"",IF(CP$3=$AD158,$F158&amp;"R",CP157))))</f>
        <v>bK</v>
      </c>
      <c r="CQ158" s="11" t="str">
        <f aca="false">IF($P158=0,CQ157,IF(CQ$3=$E158,IF($AA158=1,$F158&amp;$AB158,$G158),IF(OR(CQ$3=$D158,CQ$3=$AC158,CQ$3=$AE158),"",IF(CQ$3=$AD158,$F158&amp;"R",CQ157))))</f>
        <v>bB</v>
      </c>
      <c r="CR158" s="11" t="str">
        <f aca="false">IF($P158=0,CR157,IF(CR$3=$E158,IF($AA158=1,$F158&amp;$AB158,$G158),IF(OR(CR$3=$D158,CR$3=$AC158,CR$3=$AE158),"",IF(CR$3=$AD158,$F158&amp;"R",CR157))))</f>
        <v>bN</v>
      </c>
      <c r="CS158" s="11" t="str">
        <f aca="false">IF($P158=0,CS157,IF(CS$3=$E158,IF($AA158=1,$F158&amp;$AB158,$G158),IF(OR(CS$3=$D158,CS$3=$AC158,CS$3=$AE158),"",IF(CS$3=$AD158,$F158&amp;"R",CS157))))</f>
        <v>bR</v>
      </c>
      <c r="CT158" s="11"/>
      <c r="CU158" s="11"/>
      <c r="CV158" s="11"/>
    </row>
    <row r="159" customFormat="false" ht="15" hidden="false" customHeight="false" outlineLevel="0" collapsed="false">
      <c r="A159" s="11" t="n">
        <v>154</v>
      </c>
      <c r="B159" s="11" t="str">
        <f aca="false">IF(Chess!$L$163="","",Chess!$L$163&amp;"")</f>
        <v/>
      </c>
      <c r="C159" s="11" t="str">
        <f aca="false">LOWER(SUBSTITUTE(SUBSTITUTE(SUBSTITUTE(SUBSTITUTE(TRIM($B159),"-",""),"=","")," ",""),"x",""))</f>
        <v/>
      </c>
      <c r="D159" s="11" t="n">
        <f aca="false">IF(LEN($C159)&lt;4,0,IFERROR(IF(AND(CODE(MID($C159,1,1))&gt;=97,CODE(MID($C159,1,1))&lt;=104,VALUE(MID($C159,2,1))&gt;=1,VALUE(MID($C159,2,1))&lt;=8),(VALUE(MID($C159,2,1))-1)*8+CODE(MID($C159,1,1))-96,0),0))</f>
        <v>0</v>
      </c>
      <c r="E159" s="11" t="n">
        <f aca="false">IF(LEN($C159)&lt;4,0,IFERROR(IF(AND(CODE(MID($C159,3,1))&gt;=97,CODE(MID($C159,3,1))&lt;=104,VALUE(MID($C159,4,1))&gt;=1,VALUE(MID($C159,4,1))&lt;=8),(VALUE(MID($C159,4,1))-1)*8+CODE(MID($C159,3,1))-96,0),0))</f>
        <v>0</v>
      </c>
      <c r="F159" s="11" t="str">
        <f aca="false">IF(MOD(SUM($P$5:$P158),2)=0,"w","b")</f>
        <v>w</v>
      </c>
      <c r="G159" s="11" t="str">
        <f aca="false">IF($D159=0,"",INDEX($AH158:$CS158,1,$D159)&amp;"")</f>
        <v/>
      </c>
      <c r="H159" s="11" t="str">
        <f aca="false">IF($E159=0,"",INDEX($AH158:$CS158,1,$E159)&amp;"")</f>
        <v/>
      </c>
      <c r="I159" s="11" t="n">
        <f aca="false">IF(OR($D159=0,$E159=0),0,MOD($E159-1,8)-MOD($D159-1,8))</f>
        <v>0</v>
      </c>
      <c r="J159" s="11" t="n">
        <f aca="false">IF(OR($D159=0,$E159=0),0,INT(($E159-1)/8)-INT(($D159-1)/8))</f>
        <v>0</v>
      </c>
      <c r="K159" s="11" t="str">
        <f aca="false">IF($G159="","",RIGHT($G159,1))</f>
        <v/>
      </c>
      <c r="L159" s="11" t="n">
        <f aca="false">IF(OR($D159=0,$E159=0),0,SUMPRODUCT(($AH$3:$CS$3&gt;MIN($D159,$E159))*($AH$3:$CS$3&lt;MAX($D159,$E159))*(MOD($AH$3:$CS$3-MIN($D159,$E159),MAX(1,ABS(SIGN($J159)*8+SIGN($I159))))=0)*($AH158:$CS158&lt;&gt;"")))</f>
        <v>0</v>
      </c>
      <c r="M159" s="11" t="n">
        <f aca="false">IF($K159&lt;&gt;"K",0,IFERROR(--AND($J159=0,ABS($I159)=2,$D159=IF($F159="w",5,61),IF($F159="w",$S158,$V158)=0,IF($I159=2,AND(IF($F159="w",$U158,$X158)=0,INDEX($AH158:$CS158,1,$D159+1)&amp;""="",INDEX($AH158:$CS158,1,$D159+2)&amp;""=""),AND(IF($F159="w",$T158,$W158)=0,INDEX($AH158:$CS158,1,$D159-1)&amp;""="",INDEX($AH158:$CS158,1,$D159-2)&amp;""="",INDEX($AH158:$CS158,1,$D159-3)&amp;""=""))),0))</f>
        <v>0</v>
      </c>
      <c r="N159" s="11" t="n">
        <f aca="false">IF($K159&lt;&gt;"P",0,IFERROR(--OR(AND($I159=0,$J159=IF($F159="w",1,-1),$H159=""),AND($I159=0,$J159=2*IF($F159="w",1,-1),$H159="",INT(($D159-1)/8)=IF($F159="w",1,6),INDEX($AH158:$CS158,1,MAX(1,MIN(64,$D159+8*IF($F159="w",1,-1))))&amp;""=""),AND(ABS($I159)=1,$J159=IF($F159="w",1,-1),$H159&lt;&gt;""),AND(ABS($I159)=1,$J159=IF($F159="w",1,-1),$H159="",$R158&gt;0,$E159=$R158)),0))</f>
        <v>0</v>
      </c>
      <c r="O159" s="11" t="n">
        <f aca="false">IF(OR($D159=0,$E159=0,$G159=""),0,IF($K159="N",--OR(AND(ABS($I159)=1,ABS($J159)=2),AND(ABS($I159)=2,ABS($J159)=1)),IF($K159="B",--AND(ABS($I159)=ABS($J159),$I159&lt;&gt;0,$L159=0),IF($K159="R",--AND(OR($I159=0,$J159=0),OR($I159&lt;&gt;0,$J159&lt;&gt;0),$L159=0),IF($K159="Q",--AND(OR(AND(ABS($I159)=ABS($J159),$I159&lt;&gt;0),AND(OR($I159=0,$J159=0),OR($I159&lt;&gt;0,$J159&lt;&gt;0))),$L159=0),IF($K159="K",--OR(MAX(ABS($I159),ABS($J159))=1,$M159=1),$N159))))))</f>
        <v>0</v>
      </c>
      <c r="P159" s="11" t="n">
        <f aca="false">IF($Q159="OK",1,0)</f>
        <v>0</v>
      </c>
      <c r="Q159" s="11" t="str">
        <f aca="false">IF($B159="","",IF(OR(COUNTIF($AH158:$CS158,"wK")=0,COUNTIF($AH158:$CS158,"bK")=0),"Game is over",IF(OR($D159=0,$E159=0),"Use the format e2e4",IF($G159="","No piece on that square",IF(LEFT($G159,1)&lt;&gt;$F159,"Not your piece ("&amp;IF($F159="w","White","Black")&amp;" to move)",IF($D159=$E159,"Piece must move",IF(AND($H159&lt;&gt;"",LEFT($H159,1)=$F159),"Cannot capture your own piece",IF($O159=0,"Illegal move for that piece (or path blocked)","OK"))))))))</f>
        <v/>
      </c>
      <c r="R159" s="11" t="n">
        <f aca="false">IF($P159=1,IF(AND($K159="P",ABS($J159)=2),($D159+$E159)/2,0),$R158)</f>
        <v>0</v>
      </c>
      <c r="S159" s="12" t="b">
        <f aca="false">--OR($S158=1,AND($P159=1,OR($D159=5,$E159=5)))</f>
        <v>0</v>
      </c>
      <c r="T159" s="12" t="b">
        <f aca="false">--OR($T158=1,AND($P159=1,OR($D159=1,$E159=1)))</f>
        <v>0</v>
      </c>
      <c r="U159" s="12" t="b">
        <f aca="false">--OR($U158=1,AND($P159=1,OR($D159=8,$E159=8)))</f>
        <v>0</v>
      </c>
      <c r="V159" s="12" t="b">
        <f aca="false">--OR($V158=1,AND($P159=1,OR($D159=61,$E159=61)))</f>
        <v>0</v>
      </c>
      <c r="W159" s="12" t="b">
        <f aca="false">--OR($W158=1,AND($P159=1,OR($D159=57,$E159=57)))</f>
        <v>0</v>
      </c>
      <c r="X159" s="12" t="b">
        <f aca="false">--OR($X158=1,AND($P159=1,OR($D159=64,$E159=64)))</f>
        <v>0</v>
      </c>
      <c r="Y159" s="12" t="b">
        <f aca="false">--AND($P159=1,$K159="K",ABS($I159)=2)</f>
        <v>0</v>
      </c>
      <c r="Z159" s="12" t="b">
        <f aca="false">--AND($P159=1,$K159="P",ABS($I159)=1,$H159="")</f>
        <v>0</v>
      </c>
      <c r="AA159" s="12" t="b">
        <f aca="false">--AND($P159=1,$K159="P",INT(($E159-1)/8)=IF($F159="w",7,0))</f>
        <v>0</v>
      </c>
      <c r="AB159" s="11" t="str">
        <f aca="false">IF(LEN($C159)&gt;=5,IF(ISNUMBER(FIND(MID($C159,5,1),"qrbn")),UPPER(MID($C159,5,1)),"Q"),"Q")</f>
        <v>Q</v>
      </c>
      <c r="AC159" s="11" t="n">
        <f aca="false">IF($Y159=1,IF($I159=2,$D159+3,$D159-4),0)</f>
        <v>0</v>
      </c>
      <c r="AD159" s="11" t="n">
        <f aca="false">IF($Y159=1,IF($I159=2,$D159+1,$D159-1),0)</f>
        <v>0</v>
      </c>
      <c r="AE159" s="11" t="n">
        <f aca="false">IF($Z159=1,$E159-8*IF($F159="w",1,-1),0)</f>
        <v>0</v>
      </c>
      <c r="AF159" s="11" t="str">
        <f aca="false">IF($B159="","",IF($P159=1,LOWER(INDEX($CV$2:$CV$13,MATCH($G159,$CU$2:$CU$13,0)))&amp;" "&amp;MID("abcdefgh",MOD($D159-1,8)+1,1)&amp;(INT(($D159-1)/8)+1)&amp;"→"&amp;MID("abcdefgh",MOD($E159-1,8)+1,1)&amp;(INT(($E159-1)/8)+1)&amp;IF(OR($H159&lt;&gt;"",$Z159=1)," ×","")&amp;IF($Y159=1," castles","")&amp;IF($Z159=1," e.p.","")&amp;IF($AA159=1," =" &amp;LOWER(INDEX($CV$2:$CV$13,MATCH($F159&amp;$AB159,$CU$2:$CU$13,0))),""),"X "&amp;$Q159))</f>
        <v/>
      </c>
      <c r="AG159" s="11"/>
      <c r="AH159" s="11" t="str">
        <f aca="false">IF($P159=0,AH158,IF(AH$3=$E159,IF($AA159=1,$F159&amp;$AB159,$G159),IF(OR(AH$3=$D159,AH$3=$AC159,AH$3=$AE159),"",IF(AH$3=$AD159,$F159&amp;"R",AH158))))</f>
        <v>wR</v>
      </c>
      <c r="AI159" s="11" t="str">
        <f aca="false">IF($P159=0,AI158,IF(AI$3=$E159,IF($AA159=1,$F159&amp;$AB159,$G159),IF(OR(AI$3=$D159,AI$3=$AC159,AI$3=$AE159),"",IF(AI$3=$AD159,$F159&amp;"R",AI158))))</f>
        <v>wN</v>
      </c>
      <c r="AJ159" s="11" t="str">
        <f aca="false">IF($P159=0,AJ158,IF(AJ$3=$E159,IF($AA159=1,$F159&amp;$AB159,$G159),IF(OR(AJ$3=$D159,AJ$3=$AC159,AJ$3=$AE159),"",IF(AJ$3=$AD159,$F159&amp;"R",AJ158))))</f>
        <v>wB</v>
      </c>
      <c r="AK159" s="11" t="str">
        <f aca="false">IF($P159=0,AK158,IF(AK$3=$E159,IF($AA159=1,$F159&amp;$AB159,$G159),IF(OR(AK$3=$D159,AK$3=$AC159,AK$3=$AE159),"",IF(AK$3=$AD159,$F159&amp;"R",AK158))))</f>
        <v>wQ</v>
      </c>
      <c r="AL159" s="11" t="str">
        <f aca="false">IF($P159=0,AL158,IF(AL$3=$E159,IF($AA159=1,$F159&amp;$AB159,$G159),IF(OR(AL$3=$D159,AL$3=$AC159,AL$3=$AE159),"",IF(AL$3=$AD159,$F159&amp;"R",AL158))))</f>
        <v>wK</v>
      </c>
      <c r="AM159" s="11" t="str">
        <f aca="false">IF($P159=0,AM158,IF(AM$3=$E159,IF($AA159=1,$F159&amp;$AB159,$G159),IF(OR(AM$3=$D159,AM$3=$AC159,AM$3=$AE159),"",IF(AM$3=$AD159,$F159&amp;"R",AM158))))</f>
        <v>wB</v>
      </c>
      <c r="AN159" s="11" t="str">
        <f aca="false">IF($P159=0,AN158,IF(AN$3=$E159,IF($AA159=1,$F159&amp;$AB159,$G159),IF(OR(AN$3=$D159,AN$3=$AC159,AN$3=$AE159),"",IF(AN$3=$AD159,$F159&amp;"R",AN158))))</f>
        <v>wN</v>
      </c>
      <c r="AO159" s="11" t="str">
        <f aca="false">IF($P159=0,AO158,IF(AO$3=$E159,IF($AA159=1,$F159&amp;$AB159,$G159),IF(OR(AO$3=$D159,AO$3=$AC159,AO$3=$AE159),"",IF(AO$3=$AD159,$F159&amp;"R",AO158))))</f>
        <v>wR</v>
      </c>
      <c r="AP159" s="11" t="str">
        <f aca="false">IF($P159=0,AP158,IF(AP$3=$E159,IF($AA159=1,$F159&amp;$AB159,$G159),IF(OR(AP$3=$D159,AP$3=$AC159,AP$3=$AE159),"",IF(AP$3=$AD159,$F159&amp;"R",AP158))))</f>
        <v>wP</v>
      </c>
      <c r="AQ159" s="11" t="str">
        <f aca="false">IF($P159=0,AQ158,IF(AQ$3=$E159,IF($AA159=1,$F159&amp;$AB159,$G159),IF(OR(AQ$3=$D159,AQ$3=$AC159,AQ$3=$AE159),"",IF(AQ$3=$AD159,$F159&amp;"R",AQ158))))</f>
        <v>wP</v>
      </c>
      <c r="AR159" s="11" t="str">
        <f aca="false">IF($P159=0,AR158,IF(AR$3=$E159,IF($AA159=1,$F159&amp;$AB159,$G159),IF(OR(AR$3=$D159,AR$3=$AC159,AR$3=$AE159),"",IF(AR$3=$AD159,$F159&amp;"R",AR158))))</f>
        <v>wP</v>
      </c>
      <c r="AS159" s="11" t="str">
        <f aca="false">IF($P159=0,AS158,IF(AS$3=$E159,IF($AA159=1,$F159&amp;$AB159,$G159),IF(OR(AS$3=$D159,AS$3=$AC159,AS$3=$AE159),"",IF(AS$3=$AD159,$F159&amp;"R",AS158))))</f>
        <v>wP</v>
      </c>
      <c r="AT159" s="11" t="str">
        <f aca="false">IF($P159=0,AT158,IF(AT$3=$E159,IF($AA159=1,$F159&amp;$AB159,$G159),IF(OR(AT$3=$D159,AT$3=$AC159,AT$3=$AE159),"",IF(AT$3=$AD159,$F159&amp;"R",AT158))))</f>
        <v>wP</v>
      </c>
      <c r="AU159" s="11" t="str">
        <f aca="false">IF($P159=0,AU158,IF(AU$3=$E159,IF($AA159=1,$F159&amp;$AB159,$G159),IF(OR(AU$3=$D159,AU$3=$AC159,AU$3=$AE159),"",IF(AU$3=$AD159,$F159&amp;"R",AU158))))</f>
        <v>wP</v>
      </c>
      <c r="AV159" s="11" t="str">
        <f aca="false">IF($P159=0,AV158,IF(AV$3=$E159,IF($AA159=1,$F159&amp;$AB159,$G159),IF(OR(AV$3=$D159,AV$3=$AC159,AV$3=$AE159),"",IF(AV$3=$AD159,$F159&amp;"R",AV158))))</f>
        <v>wP</v>
      </c>
      <c r="AW159" s="11" t="str">
        <f aca="false">IF($P159=0,AW158,IF(AW$3=$E159,IF($AA159=1,$F159&amp;$AB159,$G159),IF(OR(AW$3=$D159,AW$3=$AC159,AW$3=$AE159),"",IF(AW$3=$AD159,$F159&amp;"R",AW158))))</f>
        <v>wP</v>
      </c>
      <c r="AX159" s="11" t="str">
        <f aca="false">IF($P159=0,AX158,IF(AX$3=$E159,IF($AA159=1,$F159&amp;$AB159,$G159),IF(OR(AX$3=$D159,AX$3=$AC159,AX$3=$AE159),"",IF(AX$3=$AD159,$F159&amp;"R",AX158))))</f>
        <v/>
      </c>
      <c r="AY159" s="11" t="str">
        <f aca="false">IF($P159=0,AY158,IF(AY$3=$E159,IF($AA159=1,$F159&amp;$AB159,$G159),IF(OR(AY$3=$D159,AY$3=$AC159,AY$3=$AE159),"",IF(AY$3=$AD159,$F159&amp;"R",AY158))))</f>
        <v/>
      </c>
      <c r="AZ159" s="11" t="str">
        <f aca="false">IF($P159=0,AZ158,IF(AZ$3=$E159,IF($AA159=1,$F159&amp;$AB159,$G159),IF(OR(AZ$3=$D159,AZ$3=$AC159,AZ$3=$AE159),"",IF(AZ$3=$AD159,$F159&amp;"R",AZ158))))</f>
        <v/>
      </c>
      <c r="BA159" s="11" t="str">
        <f aca="false">IF($P159=0,BA158,IF(BA$3=$E159,IF($AA159=1,$F159&amp;$AB159,$G159),IF(OR(BA$3=$D159,BA$3=$AC159,BA$3=$AE159),"",IF(BA$3=$AD159,$F159&amp;"R",BA158))))</f>
        <v/>
      </c>
      <c r="BB159" s="11" t="str">
        <f aca="false">IF($P159=0,BB158,IF(BB$3=$E159,IF($AA159=1,$F159&amp;$AB159,$G159),IF(OR(BB$3=$D159,BB$3=$AC159,BB$3=$AE159),"",IF(BB$3=$AD159,$F159&amp;"R",BB158))))</f>
        <v/>
      </c>
      <c r="BC159" s="11" t="str">
        <f aca="false">IF($P159=0,BC158,IF(BC$3=$E159,IF($AA159=1,$F159&amp;$AB159,$G159),IF(OR(BC$3=$D159,BC$3=$AC159,BC$3=$AE159),"",IF(BC$3=$AD159,$F159&amp;"R",BC158))))</f>
        <v/>
      </c>
      <c r="BD159" s="11" t="str">
        <f aca="false">IF($P159=0,BD158,IF(BD$3=$E159,IF($AA159=1,$F159&amp;$AB159,$G159),IF(OR(BD$3=$D159,BD$3=$AC159,BD$3=$AE159),"",IF(BD$3=$AD159,$F159&amp;"R",BD158))))</f>
        <v/>
      </c>
      <c r="BE159" s="11" t="str">
        <f aca="false">IF($P159=0,BE158,IF(BE$3=$E159,IF($AA159=1,$F159&amp;$AB159,$G159),IF(OR(BE$3=$D159,BE$3=$AC159,BE$3=$AE159),"",IF(BE$3=$AD159,$F159&amp;"R",BE158))))</f>
        <v/>
      </c>
      <c r="BF159" s="11" t="str">
        <f aca="false">IF($P159=0,BF158,IF(BF$3=$E159,IF($AA159=1,$F159&amp;$AB159,$G159),IF(OR(BF$3=$D159,BF$3=$AC159,BF$3=$AE159),"",IF(BF$3=$AD159,$F159&amp;"R",BF158))))</f>
        <v/>
      </c>
      <c r="BG159" s="11" t="str">
        <f aca="false">IF($P159=0,BG158,IF(BG$3=$E159,IF($AA159=1,$F159&amp;$AB159,$G159),IF(OR(BG$3=$D159,BG$3=$AC159,BG$3=$AE159),"",IF(BG$3=$AD159,$F159&amp;"R",BG158))))</f>
        <v/>
      </c>
      <c r="BH159" s="11" t="str">
        <f aca="false">IF($P159=0,BH158,IF(BH$3=$E159,IF($AA159=1,$F159&amp;$AB159,$G159),IF(OR(BH$3=$D159,BH$3=$AC159,BH$3=$AE159),"",IF(BH$3=$AD159,$F159&amp;"R",BH158))))</f>
        <v/>
      </c>
      <c r="BI159" s="11" t="str">
        <f aca="false">IF($P159=0,BI158,IF(BI$3=$E159,IF($AA159=1,$F159&amp;$AB159,$G159),IF(OR(BI$3=$D159,BI$3=$AC159,BI$3=$AE159),"",IF(BI$3=$AD159,$F159&amp;"R",BI158))))</f>
        <v/>
      </c>
      <c r="BJ159" s="11" t="str">
        <f aca="false">IF($P159=0,BJ158,IF(BJ$3=$E159,IF($AA159=1,$F159&amp;$AB159,$G159),IF(OR(BJ$3=$D159,BJ$3=$AC159,BJ$3=$AE159),"",IF(BJ$3=$AD159,$F159&amp;"R",BJ158))))</f>
        <v/>
      </c>
      <c r="BK159" s="11" t="str">
        <f aca="false">IF($P159=0,BK158,IF(BK$3=$E159,IF($AA159=1,$F159&amp;$AB159,$G159),IF(OR(BK$3=$D159,BK$3=$AC159,BK$3=$AE159),"",IF(BK$3=$AD159,$F159&amp;"R",BK158))))</f>
        <v/>
      </c>
      <c r="BL159" s="11" t="str">
        <f aca="false">IF($P159=0,BL158,IF(BL$3=$E159,IF($AA159=1,$F159&amp;$AB159,$G159),IF(OR(BL$3=$D159,BL$3=$AC159,BL$3=$AE159),"",IF(BL$3=$AD159,$F159&amp;"R",BL158))))</f>
        <v/>
      </c>
      <c r="BM159" s="11" t="str">
        <f aca="false">IF($P159=0,BM158,IF(BM$3=$E159,IF($AA159=1,$F159&amp;$AB159,$G159),IF(OR(BM$3=$D159,BM$3=$AC159,BM$3=$AE159),"",IF(BM$3=$AD159,$F159&amp;"R",BM158))))</f>
        <v/>
      </c>
      <c r="BN159" s="11" t="str">
        <f aca="false">IF($P159=0,BN158,IF(BN$3=$E159,IF($AA159=1,$F159&amp;$AB159,$G159),IF(OR(BN$3=$D159,BN$3=$AC159,BN$3=$AE159),"",IF(BN$3=$AD159,$F159&amp;"R",BN158))))</f>
        <v/>
      </c>
      <c r="BO159" s="11" t="str">
        <f aca="false">IF($P159=0,BO158,IF(BO$3=$E159,IF($AA159=1,$F159&amp;$AB159,$G159),IF(OR(BO$3=$D159,BO$3=$AC159,BO$3=$AE159),"",IF(BO$3=$AD159,$F159&amp;"R",BO158))))</f>
        <v/>
      </c>
      <c r="BP159" s="11" t="str">
        <f aca="false">IF($P159=0,BP158,IF(BP$3=$E159,IF($AA159=1,$F159&amp;$AB159,$G159),IF(OR(BP$3=$D159,BP$3=$AC159,BP$3=$AE159),"",IF(BP$3=$AD159,$F159&amp;"R",BP158))))</f>
        <v/>
      </c>
      <c r="BQ159" s="11" t="str">
        <f aca="false">IF($P159=0,BQ158,IF(BQ$3=$E159,IF($AA159=1,$F159&amp;$AB159,$G159),IF(OR(BQ$3=$D159,BQ$3=$AC159,BQ$3=$AE159),"",IF(BQ$3=$AD159,$F159&amp;"R",BQ158))))</f>
        <v/>
      </c>
      <c r="BR159" s="11" t="str">
        <f aca="false">IF($P159=0,BR158,IF(BR$3=$E159,IF($AA159=1,$F159&amp;$AB159,$G159),IF(OR(BR$3=$D159,BR$3=$AC159,BR$3=$AE159),"",IF(BR$3=$AD159,$F159&amp;"R",BR158))))</f>
        <v/>
      </c>
      <c r="BS159" s="11" t="str">
        <f aca="false">IF($P159=0,BS158,IF(BS$3=$E159,IF($AA159=1,$F159&amp;$AB159,$G159),IF(OR(BS$3=$D159,BS$3=$AC159,BS$3=$AE159),"",IF(BS$3=$AD159,$F159&amp;"R",BS158))))</f>
        <v/>
      </c>
      <c r="BT159" s="11" t="str">
        <f aca="false">IF($P159=0,BT158,IF(BT$3=$E159,IF($AA159=1,$F159&amp;$AB159,$G159),IF(OR(BT$3=$D159,BT$3=$AC159,BT$3=$AE159),"",IF(BT$3=$AD159,$F159&amp;"R",BT158))))</f>
        <v/>
      </c>
      <c r="BU159" s="11" t="str">
        <f aca="false">IF($P159=0,BU158,IF(BU$3=$E159,IF($AA159=1,$F159&amp;$AB159,$G159),IF(OR(BU$3=$D159,BU$3=$AC159,BU$3=$AE159),"",IF(BU$3=$AD159,$F159&amp;"R",BU158))))</f>
        <v/>
      </c>
      <c r="BV159" s="11" t="str">
        <f aca="false">IF($P159=0,BV158,IF(BV$3=$E159,IF($AA159=1,$F159&amp;$AB159,$G159),IF(OR(BV$3=$D159,BV$3=$AC159,BV$3=$AE159),"",IF(BV$3=$AD159,$F159&amp;"R",BV158))))</f>
        <v/>
      </c>
      <c r="BW159" s="11" t="str">
        <f aca="false">IF($P159=0,BW158,IF(BW$3=$E159,IF($AA159=1,$F159&amp;$AB159,$G159),IF(OR(BW$3=$D159,BW$3=$AC159,BW$3=$AE159),"",IF(BW$3=$AD159,$F159&amp;"R",BW158))))</f>
        <v/>
      </c>
      <c r="BX159" s="11" t="str">
        <f aca="false">IF($P159=0,BX158,IF(BX$3=$E159,IF($AA159=1,$F159&amp;$AB159,$G159),IF(OR(BX$3=$D159,BX$3=$AC159,BX$3=$AE159),"",IF(BX$3=$AD159,$F159&amp;"R",BX158))))</f>
        <v/>
      </c>
      <c r="BY159" s="11" t="str">
        <f aca="false">IF($P159=0,BY158,IF(BY$3=$E159,IF($AA159=1,$F159&amp;$AB159,$G159),IF(OR(BY$3=$D159,BY$3=$AC159,BY$3=$AE159),"",IF(BY$3=$AD159,$F159&amp;"R",BY158))))</f>
        <v/>
      </c>
      <c r="BZ159" s="11" t="str">
        <f aca="false">IF($P159=0,BZ158,IF(BZ$3=$E159,IF($AA159=1,$F159&amp;$AB159,$G159),IF(OR(BZ$3=$D159,BZ$3=$AC159,BZ$3=$AE159),"",IF(BZ$3=$AD159,$F159&amp;"R",BZ158))))</f>
        <v/>
      </c>
      <c r="CA159" s="11" t="str">
        <f aca="false">IF($P159=0,CA158,IF(CA$3=$E159,IF($AA159=1,$F159&amp;$AB159,$G159),IF(OR(CA$3=$D159,CA$3=$AC159,CA$3=$AE159),"",IF(CA$3=$AD159,$F159&amp;"R",CA158))))</f>
        <v/>
      </c>
      <c r="CB159" s="11" t="str">
        <f aca="false">IF($P159=0,CB158,IF(CB$3=$E159,IF($AA159=1,$F159&amp;$AB159,$G159),IF(OR(CB$3=$D159,CB$3=$AC159,CB$3=$AE159),"",IF(CB$3=$AD159,$F159&amp;"R",CB158))))</f>
        <v/>
      </c>
      <c r="CC159" s="11" t="str">
        <f aca="false">IF($P159=0,CC158,IF(CC$3=$E159,IF($AA159=1,$F159&amp;$AB159,$G159),IF(OR(CC$3=$D159,CC$3=$AC159,CC$3=$AE159),"",IF(CC$3=$AD159,$F159&amp;"R",CC158))))</f>
        <v/>
      </c>
      <c r="CD159" s="11" t="str">
        <f aca="false">IF($P159=0,CD158,IF(CD$3=$E159,IF($AA159=1,$F159&amp;$AB159,$G159),IF(OR(CD$3=$D159,CD$3=$AC159,CD$3=$AE159),"",IF(CD$3=$AD159,$F159&amp;"R",CD158))))</f>
        <v>bP</v>
      </c>
      <c r="CE159" s="11" t="str">
        <f aca="false">IF($P159=0,CE158,IF(CE$3=$E159,IF($AA159=1,$F159&amp;$AB159,$G159),IF(OR(CE$3=$D159,CE$3=$AC159,CE$3=$AE159),"",IF(CE$3=$AD159,$F159&amp;"R",CE158))))</f>
        <v>bP</v>
      </c>
      <c r="CF159" s="11" t="str">
        <f aca="false">IF($P159=0,CF158,IF(CF$3=$E159,IF($AA159=1,$F159&amp;$AB159,$G159),IF(OR(CF$3=$D159,CF$3=$AC159,CF$3=$AE159),"",IF(CF$3=$AD159,$F159&amp;"R",CF158))))</f>
        <v>bP</v>
      </c>
      <c r="CG159" s="11" t="str">
        <f aca="false">IF($P159=0,CG158,IF(CG$3=$E159,IF($AA159=1,$F159&amp;$AB159,$G159),IF(OR(CG$3=$D159,CG$3=$AC159,CG$3=$AE159),"",IF(CG$3=$AD159,$F159&amp;"R",CG158))))</f>
        <v>bP</v>
      </c>
      <c r="CH159" s="11" t="str">
        <f aca="false">IF($P159=0,CH158,IF(CH$3=$E159,IF($AA159=1,$F159&amp;$AB159,$G159),IF(OR(CH$3=$D159,CH$3=$AC159,CH$3=$AE159),"",IF(CH$3=$AD159,$F159&amp;"R",CH158))))</f>
        <v>bP</v>
      </c>
      <c r="CI159" s="11" t="str">
        <f aca="false">IF($P159=0,CI158,IF(CI$3=$E159,IF($AA159=1,$F159&amp;$AB159,$G159),IF(OR(CI$3=$D159,CI$3=$AC159,CI$3=$AE159),"",IF(CI$3=$AD159,$F159&amp;"R",CI158))))</f>
        <v>bP</v>
      </c>
      <c r="CJ159" s="11" t="str">
        <f aca="false">IF($P159=0,CJ158,IF(CJ$3=$E159,IF($AA159=1,$F159&amp;$AB159,$G159),IF(OR(CJ$3=$D159,CJ$3=$AC159,CJ$3=$AE159),"",IF(CJ$3=$AD159,$F159&amp;"R",CJ158))))</f>
        <v>bP</v>
      </c>
      <c r="CK159" s="11" t="str">
        <f aca="false">IF($P159=0,CK158,IF(CK$3=$E159,IF($AA159=1,$F159&amp;$AB159,$G159),IF(OR(CK$3=$D159,CK$3=$AC159,CK$3=$AE159),"",IF(CK$3=$AD159,$F159&amp;"R",CK158))))</f>
        <v>bP</v>
      </c>
      <c r="CL159" s="11" t="str">
        <f aca="false">IF($P159=0,CL158,IF(CL$3=$E159,IF($AA159=1,$F159&amp;$AB159,$G159),IF(OR(CL$3=$D159,CL$3=$AC159,CL$3=$AE159),"",IF(CL$3=$AD159,$F159&amp;"R",CL158))))</f>
        <v>bR</v>
      </c>
      <c r="CM159" s="11" t="str">
        <f aca="false">IF($P159=0,CM158,IF(CM$3=$E159,IF($AA159=1,$F159&amp;$AB159,$G159),IF(OR(CM$3=$D159,CM$3=$AC159,CM$3=$AE159),"",IF(CM$3=$AD159,$F159&amp;"R",CM158))))</f>
        <v>bN</v>
      </c>
      <c r="CN159" s="11" t="str">
        <f aca="false">IF($P159=0,CN158,IF(CN$3=$E159,IF($AA159=1,$F159&amp;$AB159,$G159),IF(OR(CN$3=$D159,CN$3=$AC159,CN$3=$AE159),"",IF(CN$3=$AD159,$F159&amp;"R",CN158))))</f>
        <v>bB</v>
      </c>
      <c r="CO159" s="11" t="str">
        <f aca="false">IF($P159=0,CO158,IF(CO$3=$E159,IF($AA159=1,$F159&amp;$AB159,$G159),IF(OR(CO$3=$D159,CO$3=$AC159,CO$3=$AE159),"",IF(CO$3=$AD159,$F159&amp;"R",CO158))))</f>
        <v>bQ</v>
      </c>
      <c r="CP159" s="11" t="str">
        <f aca="false">IF($P159=0,CP158,IF(CP$3=$E159,IF($AA159=1,$F159&amp;$AB159,$G159),IF(OR(CP$3=$D159,CP$3=$AC159,CP$3=$AE159),"",IF(CP$3=$AD159,$F159&amp;"R",CP158))))</f>
        <v>bK</v>
      </c>
      <c r="CQ159" s="11" t="str">
        <f aca="false">IF($P159=0,CQ158,IF(CQ$3=$E159,IF($AA159=1,$F159&amp;$AB159,$G159),IF(OR(CQ$3=$D159,CQ$3=$AC159,CQ$3=$AE159),"",IF(CQ$3=$AD159,$F159&amp;"R",CQ158))))</f>
        <v>bB</v>
      </c>
      <c r="CR159" s="11" t="str">
        <f aca="false">IF($P159=0,CR158,IF(CR$3=$E159,IF($AA159=1,$F159&amp;$AB159,$G159),IF(OR(CR$3=$D159,CR$3=$AC159,CR$3=$AE159),"",IF(CR$3=$AD159,$F159&amp;"R",CR158))))</f>
        <v>bN</v>
      </c>
      <c r="CS159" s="11" t="str">
        <f aca="false">IF($P159=0,CS158,IF(CS$3=$E159,IF($AA159=1,$F159&amp;$AB159,$G159),IF(OR(CS$3=$D159,CS$3=$AC159,CS$3=$AE159),"",IF(CS$3=$AD159,$F159&amp;"R",CS158))))</f>
        <v>bR</v>
      </c>
      <c r="CT159" s="11"/>
      <c r="CU159" s="11"/>
      <c r="CV159" s="11"/>
    </row>
    <row r="160" customFormat="false" ht="15" hidden="false" customHeight="false" outlineLevel="0" collapsed="false">
      <c r="A160" s="11" t="n">
        <v>155</v>
      </c>
      <c r="B160" s="11" t="str">
        <f aca="false">IF(Chess!$L$164="","",Chess!$L$164&amp;"")</f>
        <v/>
      </c>
      <c r="C160" s="11" t="str">
        <f aca="false">LOWER(SUBSTITUTE(SUBSTITUTE(SUBSTITUTE(SUBSTITUTE(TRIM($B160),"-",""),"=","")," ",""),"x",""))</f>
        <v/>
      </c>
      <c r="D160" s="11" t="n">
        <f aca="false">IF(LEN($C160)&lt;4,0,IFERROR(IF(AND(CODE(MID($C160,1,1))&gt;=97,CODE(MID($C160,1,1))&lt;=104,VALUE(MID($C160,2,1))&gt;=1,VALUE(MID($C160,2,1))&lt;=8),(VALUE(MID($C160,2,1))-1)*8+CODE(MID($C160,1,1))-96,0),0))</f>
        <v>0</v>
      </c>
      <c r="E160" s="11" t="n">
        <f aca="false">IF(LEN($C160)&lt;4,0,IFERROR(IF(AND(CODE(MID($C160,3,1))&gt;=97,CODE(MID($C160,3,1))&lt;=104,VALUE(MID($C160,4,1))&gt;=1,VALUE(MID($C160,4,1))&lt;=8),(VALUE(MID($C160,4,1))-1)*8+CODE(MID($C160,3,1))-96,0),0))</f>
        <v>0</v>
      </c>
      <c r="F160" s="11" t="str">
        <f aca="false">IF(MOD(SUM($P$5:$P159),2)=0,"w","b")</f>
        <v>w</v>
      </c>
      <c r="G160" s="11" t="str">
        <f aca="false">IF($D160=0,"",INDEX($AH159:$CS159,1,$D160)&amp;"")</f>
        <v/>
      </c>
      <c r="H160" s="11" t="str">
        <f aca="false">IF($E160=0,"",INDEX($AH159:$CS159,1,$E160)&amp;"")</f>
        <v/>
      </c>
      <c r="I160" s="11" t="n">
        <f aca="false">IF(OR($D160=0,$E160=0),0,MOD($E160-1,8)-MOD($D160-1,8))</f>
        <v>0</v>
      </c>
      <c r="J160" s="11" t="n">
        <f aca="false">IF(OR($D160=0,$E160=0),0,INT(($E160-1)/8)-INT(($D160-1)/8))</f>
        <v>0</v>
      </c>
      <c r="K160" s="11" t="str">
        <f aca="false">IF($G160="","",RIGHT($G160,1))</f>
        <v/>
      </c>
      <c r="L160" s="11" t="n">
        <f aca="false">IF(OR($D160=0,$E160=0),0,SUMPRODUCT(($AH$3:$CS$3&gt;MIN($D160,$E160))*($AH$3:$CS$3&lt;MAX($D160,$E160))*(MOD($AH$3:$CS$3-MIN($D160,$E160),MAX(1,ABS(SIGN($J160)*8+SIGN($I160))))=0)*($AH159:$CS159&lt;&gt;"")))</f>
        <v>0</v>
      </c>
      <c r="M160" s="11" t="n">
        <f aca="false">IF($K160&lt;&gt;"K",0,IFERROR(--AND($J160=0,ABS($I160)=2,$D160=IF($F160="w",5,61),IF($F160="w",$S159,$V159)=0,IF($I160=2,AND(IF($F160="w",$U159,$X159)=0,INDEX($AH159:$CS159,1,$D160+1)&amp;""="",INDEX($AH159:$CS159,1,$D160+2)&amp;""=""),AND(IF($F160="w",$T159,$W159)=0,INDEX($AH159:$CS159,1,$D160-1)&amp;""="",INDEX($AH159:$CS159,1,$D160-2)&amp;""="",INDEX($AH159:$CS159,1,$D160-3)&amp;""=""))),0))</f>
        <v>0</v>
      </c>
      <c r="N160" s="11" t="n">
        <f aca="false">IF($K160&lt;&gt;"P",0,IFERROR(--OR(AND($I160=0,$J160=IF($F160="w",1,-1),$H160=""),AND($I160=0,$J160=2*IF($F160="w",1,-1),$H160="",INT(($D160-1)/8)=IF($F160="w",1,6),INDEX($AH159:$CS159,1,MAX(1,MIN(64,$D160+8*IF($F160="w",1,-1))))&amp;""=""),AND(ABS($I160)=1,$J160=IF($F160="w",1,-1),$H160&lt;&gt;""),AND(ABS($I160)=1,$J160=IF($F160="w",1,-1),$H160="",$R159&gt;0,$E160=$R159)),0))</f>
        <v>0</v>
      </c>
      <c r="O160" s="11" t="n">
        <f aca="false">IF(OR($D160=0,$E160=0,$G160=""),0,IF($K160="N",--OR(AND(ABS($I160)=1,ABS($J160)=2),AND(ABS($I160)=2,ABS($J160)=1)),IF($K160="B",--AND(ABS($I160)=ABS($J160),$I160&lt;&gt;0,$L160=0),IF($K160="R",--AND(OR($I160=0,$J160=0),OR($I160&lt;&gt;0,$J160&lt;&gt;0),$L160=0),IF($K160="Q",--AND(OR(AND(ABS($I160)=ABS($J160),$I160&lt;&gt;0),AND(OR($I160=0,$J160=0),OR($I160&lt;&gt;0,$J160&lt;&gt;0))),$L160=0),IF($K160="K",--OR(MAX(ABS($I160),ABS($J160))=1,$M160=1),$N160))))))</f>
        <v>0</v>
      </c>
      <c r="P160" s="11" t="n">
        <f aca="false">IF($Q160="OK",1,0)</f>
        <v>0</v>
      </c>
      <c r="Q160" s="11" t="str">
        <f aca="false">IF($B160="","",IF(OR(COUNTIF($AH159:$CS159,"wK")=0,COUNTIF($AH159:$CS159,"bK")=0),"Game is over",IF(OR($D160=0,$E160=0),"Use the format e2e4",IF($G160="","No piece on that square",IF(LEFT($G160,1)&lt;&gt;$F160,"Not your piece ("&amp;IF($F160="w","White","Black")&amp;" to move)",IF($D160=$E160,"Piece must move",IF(AND($H160&lt;&gt;"",LEFT($H160,1)=$F160),"Cannot capture your own piece",IF($O160=0,"Illegal move for that piece (or path blocked)","OK"))))))))</f>
        <v/>
      </c>
      <c r="R160" s="11" t="n">
        <f aca="false">IF($P160=1,IF(AND($K160="P",ABS($J160)=2),($D160+$E160)/2,0),$R159)</f>
        <v>0</v>
      </c>
      <c r="S160" s="12" t="b">
        <f aca="false">--OR($S159=1,AND($P160=1,OR($D160=5,$E160=5)))</f>
        <v>0</v>
      </c>
      <c r="T160" s="12" t="b">
        <f aca="false">--OR($T159=1,AND($P160=1,OR($D160=1,$E160=1)))</f>
        <v>0</v>
      </c>
      <c r="U160" s="12" t="b">
        <f aca="false">--OR($U159=1,AND($P160=1,OR($D160=8,$E160=8)))</f>
        <v>0</v>
      </c>
      <c r="V160" s="12" t="b">
        <f aca="false">--OR($V159=1,AND($P160=1,OR($D160=61,$E160=61)))</f>
        <v>0</v>
      </c>
      <c r="W160" s="12" t="b">
        <f aca="false">--OR($W159=1,AND($P160=1,OR($D160=57,$E160=57)))</f>
        <v>0</v>
      </c>
      <c r="X160" s="12" t="b">
        <f aca="false">--OR($X159=1,AND($P160=1,OR($D160=64,$E160=64)))</f>
        <v>0</v>
      </c>
      <c r="Y160" s="12" t="b">
        <f aca="false">--AND($P160=1,$K160="K",ABS($I160)=2)</f>
        <v>0</v>
      </c>
      <c r="Z160" s="12" t="b">
        <f aca="false">--AND($P160=1,$K160="P",ABS($I160)=1,$H160="")</f>
        <v>0</v>
      </c>
      <c r="AA160" s="12" t="b">
        <f aca="false">--AND($P160=1,$K160="P",INT(($E160-1)/8)=IF($F160="w",7,0))</f>
        <v>0</v>
      </c>
      <c r="AB160" s="11" t="str">
        <f aca="false">IF(LEN($C160)&gt;=5,IF(ISNUMBER(FIND(MID($C160,5,1),"qrbn")),UPPER(MID($C160,5,1)),"Q"),"Q")</f>
        <v>Q</v>
      </c>
      <c r="AC160" s="11" t="n">
        <f aca="false">IF($Y160=1,IF($I160=2,$D160+3,$D160-4),0)</f>
        <v>0</v>
      </c>
      <c r="AD160" s="11" t="n">
        <f aca="false">IF($Y160=1,IF($I160=2,$D160+1,$D160-1),0)</f>
        <v>0</v>
      </c>
      <c r="AE160" s="11" t="n">
        <f aca="false">IF($Z160=1,$E160-8*IF($F160="w",1,-1),0)</f>
        <v>0</v>
      </c>
      <c r="AF160" s="11" t="str">
        <f aca="false">IF($B160="","",IF($P160=1,LOWER(INDEX($CV$2:$CV$13,MATCH($G160,$CU$2:$CU$13,0)))&amp;" "&amp;MID("abcdefgh",MOD($D160-1,8)+1,1)&amp;(INT(($D160-1)/8)+1)&amp;"→"&amp;MID("abcdefgh",MOD($E160-1,8)+1,1)&amp;(INT(($E160-1)/8)+1)&amp;IF(OR($H160&lt;&gt;"",$Z160=1)," ×","")&amp;IF($Y160=1," castles","")&amp;IF($Z160=1," e.p.","")&amp;IF($AA160=1," =" &amp;LOWER(INDEX($CV$2:$CV$13,MATCH($F160&amp;$AB160,$CU$2:$CU$13,0))),""),"X "&amp;$Q160))</f>
        <v/>
      </c>
      <c r="AG160" s="11"/>
      <c r="AH160" s="11" t="str">
        <f aca="false">IF($P160=0,AH159,IF(AH$3=$E160,IF($AA160=1,$F160&amp;$AB160,$G160),IF(OR(AH$3=$D160,AH$3=$AC160,AH$3=$AE160),"",IF(AH$3=$AD160,$F160&amp;"R",AH159))))</f>
        <v>wR</v>
      </c>
      <c r="AI160" s="11" t="str">
        <f aca="false">IF($P160=0,AI159,IF(AI$3=$E160,IF($AA160=1,$F160&amp;$AB160,$G160),IF(OR(AI$3=$D160,AI$3=$AC160,AI$3=$AE160),"",IF(AI$3=$AD160,$F160&amp;"R",AI159))))</f>
        <v>wN</v>
      </c>
      <c r="AJ160" s="11" t="str">
        <f aca="false">IF($P160=0,AJ159,IF(AJ$3=$E160,IF($AA160=1,$F160&amp;$AB160,$G160),IF(OR(AJ$3=$D160,AJ$3=$AC160,AJ$3=$AE160),"",IF(AJ$3=$AD160,$F160&amp;"R",AJ159))))</f>
        <v>wB</v>
      </c>
      <c r="AK160" s="11" t="str">
        <f aca="false">IF($P160=0,AK159,IF(AK$3=$E160,IF($AA160=1,$F160&amp;$AB160,$G160),IF(OR(AK$3=$D160,AK$3=$AC160,AK$3=$AE160),"",IF(AK$3=$AD160,$F160&amp;"R",AK159))))</f>
        <v>wQ</v>
      </c>
      <c r="AL160" s="11" t="str">
        <f aca="false">IF($P160=0,AL159,IF(AL$3=$E160,IF($AA160=1,$F160&amp;$AB160,$G160),IF(OR(AL$3=$D160,AL$3=$AC160,AL$3=$AE160),"",IF(AL$3=$AD160,$F160&amp;"R",AL159))))</f>
        <v>wK</v>
      </c>
      <c r="AM160" s="11" t="str">
        <f aca="false">IF($P160=0,AM159,IF(AM$3=$E160,IF($AA160=1,$F160&amp;$AB160,$G160),IF(OR(AM$3=$D160,AM$3=$AC160,AM$3=$AE160),"",IF(AM$3=$AD160,$F160&amp;"R",AM159))))</f>
        <v>wB</v>
      </c>
      <c r="AN160" s="11" t="str">
        <f aca="false">IF($P160=0,AN159,IF(AN$3=$E160,IF($AA160=1,$F160&amp;$AB160,$G160),IF(OR(AN$3=$D160,AN$3=$AC160,AN$3=$AE160),"",IF(AN$3=$AD160,$F160&amp;"R",AN159))))</f>
        <v>wN</v>
      </c>
      <c r="AO160" s="11" t="str">
        <f aca="false">IF($P160=0,AO159,IF(AO$3=$E160,IF($AA160=1,$F160&amp;$AB160,$G160),IF(OR(AO$3=$D160,AO$3=$AC160,AO$3=$AE160),"",IF(AO$3=$AD160,$F160&amp;"R",AO159))))</f>
        <v>wR</v>
      </c>
      <c r="AP160" s="11" t="str">
        <f aca="false">IF($P160=0,AP159,IF(AP$3=$E160,IF($AA160=1,$F160&amp;$AB160,$G160),IF(OR(AP$3=$D160,AP$3=$AC160,AP$3=$AE160),"",IF(AP$3=$AD160,$F160&amp;"R",AP159))))</f>
        <v>wP</v>
      </c>
      <c r="AQ160" s="11" t="str">
        <f aca="false">IF($P160=0,AQ159,IF(AQ$3=$E160,IF($AA160=1,$F160&amp;$AB160,$G160),IF(OR(AQ$3=$D160,AQ$3=$AC160,AQ$3=$AE160),"",IF(AQ$3=$AD160,$F160&amp;"R",AQ159))))</f>
        <v>wP</v>
      </c>
      <c r="AR160" s="11" t="str">
        <f aca="false">IF($P160=0,AR159,IF(AR$3=$E160,IF($AA160=1,$F160&amp;$AB160,$G160),IF(OR(AR$3=$D160,AR$3=$AC160,AR$3=$AE160),"",IF(AR$3=$AD160,$F160&amp;"R",AR159))))</f>
        <v>wP</v>
      </c>
      <c r="AS160" s="11" t="str">
        <f aca="false">IF($P160=0,AS159,IF(AS$3=$E160,IF($AA160=1,$F160&amp;$AB160,$G160),IF(OR(AS$3=$D160,AS$3=$AC160,AS$3=$AE160),"",IF(AS$3=$AD160,$F160&amp;"R",AS159))))</f>
        <v>wP</v>
      </c>
      <c r="AT160" s="11" t="str">
        <f aca="false">IF($P160=0,AT159,IF(AT$3=$E160,IF($AA160=1,$F160&amp;$AB160,$G160),IF(OR(AT$3=$D160,AT$3=$AC160,AT$3=$AE160),"",IF(AT$3=$AD160,$F160&amp;"R",AT159))))</f>
        <v>wP</v>
      </c>
      <c r="AU160" s="11" t="str">
        <f aca="false">IF($P160=0,AU159,IF(AU$3=$E160,IF($AA160=1,$F160&amp;$AB160,$G160),IF(OR(AU$3=$D160,AU$3=$AC160,AU$3=$AE160),"",IF(AU$3=$AD160,$F160&amp;"R",AU159))))</f>
        <v>wP</v>
      </c>
      <c r="AV160" s="11" t="str">
        <f aca="false">IF($P160=0,AV159,IF(AV$3=$E160,IF($AA160=1,$F160&amp;$AB160,$G160),IF(OR(AV$3=$D160,AV$3=$AC160,AV$3=$AE160),"",IF(AV$3=$AD160,$F160&amp;"R",AV159))))</f>
        <v>wP</v>
      </c>
      <c r="AW160" s="11" t="str">
        <f aca="false">IF($P160=0,AW159,IF(AW$3=$E160,IF($AA160=1,$F160&amp;$AB160,$G160),IF(OR(AW$3=$D160,AW$3=$AC160,AW$3=$AE160),"",IF(AW$3=$AD160,$F160&amp;"R",AW159))))</f>
        <v>wP</v>
      </c>
      <c r="AX160" s="11" t="str">
        <f aca="false">IF($P160=0,AX159,IF(AX$3=$E160,IF($AA160=1,$F160&amp;$AB160,$G160),IF(OR(AX$3=$D160,AX$3=$AC160,AX$3=$AE160),"",IF(AX$3=$AD160,$F160&amp;"R",AX159))))</f>
        <v/>
      </c>
      <c r="AY160" s="11" t="str">
        <f aca="false">IF($P160=0,AY159,IF(AY$3=$E160,IF($AA160=1,$F160&amp;$AB160,$G160),IF(OR(AY$3=$D160,AY$3=$AC160,AY$3=$AE160),"",IF(AY$3=$AD160,$F160&amp;"R",AY159))))</f>
        <v/>
      </c>
      <c r="AZ160" s="11" t="str">
        <f aca="false">IF($P160=0,AZ159,IF(AZ$3=$E160,IF($AA160=1,$F160&amp;$AB160,$G160),IF(OR(AZ$3=$D160,AZ$3=$AC160,AZ$3=$AE160),"",IF(AZ$3=$AD160,$F160&amp;"R",AZ159))))</f>
        <v/>
      </c>
      <c r="BA160" s="11" t="str">
        <f aca="false">IF($P160=0,BA159,IF(BA$3=$E160,IF($AA160=1,$F160&amp;$AB160,$G160),IF(OR(BA$3=$D160,BA$3=$AC160,BA$3=$AE160),"",IF(BA$3=$AD160,$F160&amp;"R",BA159))))</f>
        <v/>
      </c>
      <c r="BB160" s="11" t="str">
        <f aca="false">IF($P160=0,BB159,IF(BB$3=$E160,IF($AA160=1,$F160&amp;$AB160,$G160),IF(OR(BB$3=$D160,BB$3=$AC160,BB$3=$AE160),"",IF(BB$3=$AD160,$F160&amp;"R",BB159))))</f>
        <v/>
      </c>
      <c r="BC160" s="11" t="str">
        <f aca="false">IF($P160=0,BC159,IF(BC$3=$E160,IF($AA160=1,$F160&amp;$AB160,$G160),IF(OR(BC$3=$D160,BC$3=$AC160,BC$3=$AE160),"",IF(BC$3=$AD160,$F160&amp;"R",BC159))))</f>
        <v/>
      </c>
      <c r="BD160" s="11" t="str">
        <f aca="false">IF($P160=0,BD159,IF(BD$3=$E160,IF($AA160=1,$F160&amp;$AB160,$G160),IF(OR(BD$3=$D160,BD$3=$AC160,BD$3=$AE160),"",IF(BD$3=$AD160,$F160&amp;"R",BD159))))</f>
        <v/>
      </c>
      <c r="BE160" s="11" t="str">
        <f aca="false">IF($P160=0,BE159,IF(BE$3=$E160,IF($AA160=1,$F160&amp;$AB160,$G160),IF(OR(BE$3=$D160,BE$3=$AC160,BE$3=$AE160),"",IF(BE$3=$AD160,$F160&amp;"R",BE159))))</f>
        <v/>
      </c>
      <c r="BF160" s="11" t="str">
        <f aca="false">IF($P160=0,BF159,IF(BF$3=$E160,IF($AA160=1,$F160&amp;$AB160,$G160),IF(OR(BF$3=$D160,BF$3=$AC160,BF$3=$AE160),"",IF(BF$3=$AD160,$F160&amp;"R",BF159))))</f>
        <v/>
      </c>
      <c r="BG160" s="11" t="str">
        <f aca="false">IF($P160=0,BG159,IF(BG$3=$E160,IF($AA160=1,$F160&amp;$AB160,$G160),IF(OR(BG$3=$D160,BG$3=$AC160,BG$3=$AE160),"",IF(BG$3=$AD160,$F160&amp;"R",BG159))))</f>
        <v/>
      </c>
      <c r="BH160" s="11" t="str">
        <f aca="false">IF($P160=0,BH159,IF(BH$3=$E160,IF($AA160=1,$F160&amp;$AB160,$G160),IF(OR(BH$3=$D160,BH$3=$AC160,BH$3=$AE160),"",IF(BH$3=$AD160,$F160&amp;"R",BH159))))</f>
        <v/>
      </c>
      <c r="BI160" s="11" t="str">
        <f aca="false">IF($P160=0,BI159,IF(BI$3=$E160,IF($AA160=1,$F160&amp;$AB160,$G160),IF(OR(BI$3=$D160,BI$3=$AC160,BI$3=$AE160),"",IF(BI$3=$AD160,$F160&amp;"R",BI159))))</f>
        <v/>
      </c>
      <c r="BJ160" s="11" t="str">
        <f aca="false">IF($P160=0,BJ159,IF(BJ$3=$E160,IF($AA160=1,$F160&amp;$AB160,$G160),IF(OR(BJ$3=$D160,BJ$3=$AC160,BJ$3=$AE160),"",IF(BJ$3=$AD160,$F160&amp;"R",BJ159))))</f>
        <v/>
      </c>
      <c r="BK160" s="11" t="str">
        <f aca="false">IF($P160=0,BK159,IF(BK$3=$E160,IF($AA160=1,$F160&amp;$AB160,$G160),IF(OR(BK$3=$D160,BK$3=$AC160,BK$3=$AE160),"",IF(BK$3=$AD160,$F160&amp;"R",BK159))))</f>
        <v/>
      </c>
      <c r="BL160" s="11" t="str">
        <f aca="false">IF($P160=0,BL159,IF(BL$3=$E160,IF($AA160=1,$F160&amp;$AB160,$G160),IF(OR(BL$3=$D160,BL$3=$AC160,BL$3=$AE160),"",IF(BL$3=$AD160,$F160&amp;"R",BL159))))</f>
        <v/>
      </c>
      <c r="BM160" s="11" t="str">
        <f aca="false">IF($P160=0,BM159,IF(BM$3=$E160,IF($AA160=1,$F160&amp;$AB160,$G160),IF(OR(BM$3=$D160,BM$3=$AC160,BM$3=$AE160),"",IF(BM$3=$AD160,$F160&amp;"R",BM159))))</f>
        <v/>
      </c>
      <c r="BN160" s="11" t="str">
        <f aca="false">IF($P160=0,BN159,IF(BN$3=$E160,IF($AA160=1,$F160&amp;$AB160,$G160),IF(OR(BN$3=$D160,BN$3=$AC160,BN$3=$AE160),"",IF(BN$3=$AD160,$F160&amp;"R",BN159))))</f>
        <v/>
      </c>
      <c r="BO160" s="11" t="str">
        <f aca="false">IF($P160=0,BO159,IF(BO$3=$E160,IF($AA160=1,$F160&amp;$AB160,$G160),IF(OR(BO$3=$D160,BO$3=$AC160,BO$3=$AE160),"",IF(BO$3=$AD160,$F160&amp;"R",BO159))))</f>
        <v/>
      </c>
      <c r="BP160" s="11" t="str">
        <f aca="false">IF($P160=0,BP159,IF(BP$3=$E160,IF($AA160=1,$F160&amp;$AB160,$G160),IF(OR(BP$3=$D160,BP$3=$AC160,BP$3=$AE160),"",IF(BP$3=$AD160,$F160&amp;"R",BP159))))</f>
        <v/>
      </c>
      <c r="BQ160" s="11" t="str">
        <f aca="false">IF($P160=0,BQ159,IF(BQ$3=$E160,IF($AA160=1,$F160&amp;$AB160,$G160),IF(OR(BQ$3=$D160,BQ$3=$AC160,BQ$3=$AE160),"",IF(BQ$3=$AD160,$F160&amp;"R",BQ159))))</f>
        <v/>
      </c>
      <c r="BR160" s="11" t="str">
        <f aca="false">IF($P160=0,BR159,IF(BR$3=$E160,IF($AA160=1,$F160&amp;$AB160,$G160),IF(OR(BR$3=$D160,BR$3=$AC160,BR$3=$AE160),"",IF(BR$3=$AD160,$F160&amp;"R",BR159))))</f>
        <v/>
      </c>
      <c r="BS160" s="11" t="str">
        <f aca="false">IF($P160=0,BS159,IF(BS$3=$E160,IF($AA160=1,$F160&amp;$AB160,$G160),IF(OR(BS$3=$D160,BS$3=$AC160,BS$3=$AE160),"",IF(BS$3=$AD160,$F160&amp;"R",BS159))))</f>
        <v/>
      </c>
      <c r="BT160" s="11" t="str">
        <f aca="false">IF($P160=0,BT159,IF(BT$3=$E160,IF($AA160=1,$F160&amp;$AB160,$G160),IF(OR(BT$3=$D160,BT$3=$AC160,BT$3=$AE160),"",IF(BT$3=$AD160,$F160&amp;"R",BT159))))</f>
        <v/>
      </c>
      <c r="BU160" s="11" t="str">
        <f aca="false">IF($P160=0,BU159,IF(BU$3=$E160,IF($AA160=1,$F160&amp;$AB160,$G160),IF(OR(BU$3=$D160,BU$3=$AC160,BU$3=$AE160),"",IF(BU$3=$AD160,$F160&amp;"R",BU159))))</f>
        <v/>
      </c>
      <c r="BV160" s="11" t="str">
        <f aca="false">IF($P160=0,BV159,IF(BV$3=$E160,IF($AA160=1,$F160&amp;$AB160,$G160),IF(OR(BV$3=$D160,BV$3=$AC160,BV$3=$AE160),"",IF(BV$3=$AD160,$F160&amp;"R",BV159))))</f>
        <v/>
      </c>
      <c r="BW160" s="11" t="str">
        <f aca="false">IF($P160=0,BW159,IF(BW$3=$E160,IF($AA160=1,$F160&amp;$AB160,$G160),IF(OR(BW$3=$D160,BW$3=$AC160,BW$3=$AE160),"",IF(BW$3=$AD160,$F160&amp;"R",BW159))))</f>
        <v/>
      </c>
      <c r="BX160" s="11" t="str">
        <f aca="false">IF($P160=0,BX159,IF(BX$3=$E160,IF($AA160=1,$F160&amp;$AB160,$G160),IF(OR(BX$3=$D160,BX$3=$AC160,BX$3=$AE160),"",IF(BX$3=$AD160,$F160&amp;"R",BX159))))</f>
        <v/>
      </c>
      <c r="BY160" s="11" t="str">
        <f aca="false">IF($P160=0,BY159,IF(BY$3=$E160,IF($AA160=1,$F160&amp;$AB160,$G160),IF(OR(BY$3=$D160,BY$3=$AC160,BY$3=$AE160),"",IF(BY$3=$AD160,$F160&amp;"R",BY159))))</f>
        <v/>
      </c>
      <c r="BZ160" s="11" t="str">
        <f aca="false">IF($P160=0,BZ159,IF(BZ$3=$E160,IF($AA160=1,$F160&amp;$AB160,$G160),IF(OR(BZ$3=$D160,BZ$3=$AC160,BZ$3=$AE160),"",IF(BZ$3=$AD160,$F160&amp;"R",BZ159))))</f>
        <v/>
      </c>
      <c r="CA160" s="11" t="str">
        <f aca="false">IF($P160=0,CA159,IF(CA$3=$E160,IF($AA160=1,$F160&amp;$AB160,$G160),IF(OR(CA$3=$D160,CA$3=$AC160,CA$3=$AE160),"",IF(CA$3=$AD160,$F160&amp;"R",CA159))))</f>
        <v/>
      </c>
      <c r="CB160" s="11" t="str">
        <f aca="false">IF($P160=0,CB159,IF(CB$3=$E160,IF($AA160=1,$F160&amp;$AB160,$G160),IF(OR(CB$3=$D160,CB$3=$AC160,CB$3=$AE160),"",IF(CB$3=$AD160,$F160&amp;"R",CB159))))</f>
        <v/>
      </c>
      <c r="CC160" s="11" t="str">
        <f aca="false">IF($P160=0,CC159,IF(CC$3=$E160,IF($AA160=1,$F160&amp;$AB160,$G160),IF(OR(CC$3=$D160,CC$3=$AC160,CC$3=$AE160),"",IF(CC$3=$AD160,$F160&amp;"R",CC159))))</f>
        <v/>
      </c>
      <c r="CD160" s="11" t="str">
        <f aca="false">IF($P160=0,CD159,IF(CD$3=$E160,IF($AA160=1,$F160&amp;$AB160,$G160),IF(OR(CD$3=$D160,CD$3=$AC160,CD$3=$AE160),"",IF(CD$3=$AD160,$F160&amp;"R",CD159))))</f>
        <v>bP</v>
      </c>
      <c r="CE160" s="11" t="str">
        <f aca="false">IF($P160=0,CE159,IF(CE$3=$E160,IF($AA160=1,$F160&amp;$AB160,$G160),IF(OR(CE$3=$D160,CE$3=$AC160,CE$3=$AE160),"",IF(CE$3=$AD160,$F160&amp;"R",CE159))))</f>
        <v>bP</v>
      </c>
      <c r="CF160" s="11" t="str">
        <f aca="false">IF($P160=0,CF159,IF(CF$3=$E160,IF($AA160=1,$F160&amp;$AB160,$G160),IF(OR(CF$3=$D160,CF$3=$AC160,CF$3=$AE160),"",IF(CF$3=$AD160,$F160&amp;"R",CF159))))</f>
        <v>bP</v>
      </c>
      <c r="CG160" s="11" t="str">
        <f aca="false">IF($P160=0,CG159,IF(CG$3=$E160,IF($AA160=1,$F160&amp;$AB160,$G160),IF(OR(CG$3=$D160,CG$3=$AC160,CG$3=$AE160),"",IF(CG$3=$AD160,$F160&amp;"R",CG159))))</f>
        <v>bP</v>
      </c>
      <c r="CH160" s="11" t="str">
        <f aca="false">IF($P160=0,CH159,IF(CH$3=$E160,IF($AA160=1,$F160&amp;$AB160,$G160),IF(OR(CH$3=$D160,CH$3=$AC160,CH$3=$AE160),"",IF(CH$3=$AD160,$F160&amp;"R",CH159))))</f>
        <v>bP</v>
      </c>
      <c r="CI160" s="11" t="str">
        <f aca="false">IF($P160=0,CI159,IF(CI$3=$E160,IF($AA160=1,$F160&amp;$AB160,$G160),IF(OR(CI$3=$D160,CI$3=$AC160,CI$3=$AE160),"",IF(CI$3=$AD160,$F160&amp;"R",CI159))))</f>
        <v>bP</v>
      </c>
      <c r="CJ160" s="11" t="str">
        <f aca="false">IF($P160=0,CJ159,IF(CJ$3=$E160,IF($AA160=1,$F160&amp;$AB160,$G160),IF(OR(CJ$3=$D160,CJ$3=$AC160,CJ$3=$AE160),"",IF(CJ$3=$AD160,$F160&amp;"R",CJ159))))</f>
        <v>bP</v>
      </c>
      <c r="CK160" s="11" t="str">
        <f aca="false">IF($P160=0,CK159,IF(CK$3=$E160,IF($AA160=1,$F160&amp;$AB160,$G160),IF(OR(CK$3=$D160,CK$3=$AC160,CK$3=$AE160),"",IF(CK$3=$AD160,$F160&amp;"R",CK159))))</f>
        <v>bP</v>
      </c>
      <c r="CL160" s="11" t="str">
        <f aca="false">IF($P160=0,CL159,IF(CL$3=$E160,IF($AA160=1,$F160&amp;$AB160,$G160),IF(OR(CL$3=$D160,CL$3=$AC160,CL$3=$AE160),"",IF(CL$3=$AD160,$F160&amp;"R",CL159))))</f>
        <v>bR</v>
      </c>
      <c r="CM160" s="11" t="str">
        <f aca="false">IF($P160=0,CM159,IF(CM$3=$E160,IF($AA160=1,$F160&amp;$AB160,$G160),IF(OR(CM$3=$D160,CM$3=$AC160,CM$3=$AE160),"",IF(CM$3=$AD160,$F160&amp;"R",CM159))))</f>
        <v>bN</v>
      </c>
      <c r="CN160" s="11" t="str">
        <f aca="false">IF($P160=0,CN159,IF(CN$3=$E160,IF($AA160=1,$F160&amp;$AB160,$G160),IF(OR(CN$3=$D160,CN$3=$AC160,CN$3=$AE160),"",IF(CN$3=$AD160,$F160&amp;"R",CN159))))</f>
        <v>bB</v>
      </c>
      <c r="CO160" s="11" t="str">
        <f aca="false">IF($P160=0,CO159,IF(CO$3=$E160,IF($AA160=1,$F160&amp;$AB160,$G160),IF(OR(CO$3=$D160,CO$3=$AC160,CO$3=$AE160),"",IF(CO$3=$AD160,$F160&amp;"R",CO159))))</f>
        <v>bQ</v>
      </c>
      <c r="CP160" s="11" t="str">
        <f aca="false">IF($P160=0,CP159,IF(CP$3=$E160,IF($AA160=1,$F160&amp;$AB160,$G160),IF(OR(CP$3=$D160,CP$3=$AC160,CP$3=$AE160),"",IF(CP$3=$AD160,$F160&amp;"R",CP159))))</f>
        <v>bK</v>
      </c>
      <c r="CQ160" s="11" t="str">
        <f aca="false">IF($P160=0,CQ159,IF(CQ$3=$E160,IF($AA160=1,$F160&amp;$AB160,$G160),IF(OR(CQ$3=$D160,CQ$3=$AC160,CQ$3=$AE160),"",IF(CQ$3=$AD160,$F160&amp;"R",CQ159))))</f>
        <v>bB</v>
      </c>
      <c r="CR160" s="11" t="str">
        <f aca="false">IF($P160=0,CR159,IF(CR$3=$E160,IF($AA160=1,$F160&amp;$AB160,$G160),IF(OR(CR$3=$D160,CR$3=$AC160,CR$3=$AE160),"",IF(CR$3=$AD160,$F160&amp;"R",CR159))))</f>
        <v>bN</v>
      </c>
      <c r="CS160" s="11" t="str">
        <f aca="false">IF($P160=0,CS159,IF(CS$3=$E160,IF($AA160=1,$F160&amp;$AB160,$G160),IF(OR(CS$3=$D160,CS$3=$AC160,CS$3=$AE160),"",IF(CS$3=$AD160,$F160&amp;"R",CS159))))</f>
        <v>bR</v>
      </c>
      <c r="CT160" s="11"/>
      <c r="CU160" s="11"/>
      <c r="CV160" s="11"/>
    </row>
    <row r="161" customFormat="false" ht="15" hidden="false" customHeight="false" outlineLevel="0" collapsed="false">
      <c r="A161" s="11" t="n">
        <v>156</v>
      </c>
      <c r="B161" s="11" t="str">
        <f aca="false">IF(Chess!$L$165="","",Chess!$L$165&amp;"")</f>
        <v/>
      </c>
      <c r="C161" s="11" t="str">
        <f aca="false">LOWER(SUBSTITUTE(SUBSTITUTE(SUBSTITUTE(SUBSTITUTE(TRIM($B161),"-",""),"=","")," ",""),"x",""))</f>
        <v/>
      </c>
      <c r="D161" s="11" t="n">
        <f aca="false">IF(LEN($C161)&lt;4,0,IFERROR(IF(AND(CODE(MID($C161,1,1))&gt;=97,CODE(MID($C161,1,1))&lt;=104,VALUE(MID($C161,2,1))&gt;=1,VALUE(MID($C161,2,1))&lt;=8),(VALUE(MID($C161,2,1))-1)*8+CODE(MID($C161,1,1))-96,0),0))</f>
        <v>0</v>
      </c>
      <c r="E161" s="11" t="n">
        <f aca="false">IF(LEN($C161)&lt;4,0,IFERROR(IF(AND(CODE(MID($C161,3,1))&gt;=97,CODE(MID($C161,3,1))&lt;=104,VALUE(MID($C161,4,1))&gt;=1,VALUE(MID($C161,4,1))&lt;=8),(VALUE(MID($C161,4,1))-1)*8+CODE(MID($C161,3,1))-96,0),0))</f>
        <v>0</v>
      </c>
      <c r="F161" s="11" t="str">
        <f aca="false">IF(MOD(SUM($P$5:$P160),2)=0,"w","b")</f>
        <v>w</v>
      </c>
      <c r="G161" s="11" t="str">
        <f aca="false">IF($D161=0,"",INDEX($AH160:$CS160,1,$D161)&amp;"")</f>
        <v/>
      </c>
      <c r="H161" s="11" t="str">
        <f aca="false">IF($E161=0,"",INDEX($AH160:$CS160,1,$E161)&amp;"")</f>
        <v/>
      </c>
      <c r="I161" s="11" t="n">
        <f aca="false">IF(OR($D161=0,$E161=0),0,MOD($E161-1,8)-MOD($D161-1,8))</f>
        <v>0</v>
      </c>
      <c r="J161" s="11" t="n">
        <f aca="false">IF(OR($D161=0,$E161=0),0,INT(($E161-1)/8)-INT(($D161-1)/8))</f>
        <v>0</v>
      </c>
      <c r="K161" s="11" t="str">
        <f aca="false">IF($G161="","",RIGHT($G161,1))</f>
        <v/>
      </c>
      <c r="L161" s="11" t="n">
        <f aca="false">IF(OR($D161=0,$E161=0),0,SUMPRODUCT(($AH$3:$CS$3&gt;MIN($D161,$E161))*($AH$3:$CS$3&lt;MAX($D161,$E161))*(MOD($AH$3:$CS$3-MIN($D161,$E161),MAX(1,ABS(SIGN($J161)*8+SIGN($I161))))=0)*($AH160:$CS160&lt;&gt;"")))</f>
        <v>0</v>
      </c>
      <c r="M161" s="11" t="n">
        <f aca="false">IF($K161&lt;&gt;"K",0,IFERROR(--AND($J161=0,ABS($I161)=2,$D161=IF($F161="w",5,61),IF($F161="w",$S160,$V160)=0,IF($I161=2,AND(IF($F161="w",$U160,$X160)=0,INDEX($AH160:$CS160,1,$D161+1)&amp;""="",INDEX($AH160:$CS160,1,$D161+2)&amp;""=""),AND(IF($F161="w",$T160,$W160)=0,INDEX($AH160:$CS160,1,$D161-1)&amp;""="",INDEX($AH160:$CS160,1,$D161-2)&amp;""="",INDEX($AH160:$CS160,1,$D161-3)&amp;""=""))),0))</f>
        <v>0</v>
      </c>
      <c r="N161" s="11" t="n">
        <f aca="false">IF($K161&lt;&gt;"P",0,IFERROR(--OR(AND($I161=0,$J161=IF($F161="w",1,-1),$H161=""),AND($I161=0,$J161=2*IF($F161="w",1,-1),$H161="",INT(($D161-1)/8)=IF($F161="w",1,6),INDEX($AH160:$CS160,1,MAX(1,MIN(64,$D161+8*IF($F161="w",1,-1))))&amp;""=""),AND(ABS($I161)=1,$J161=IF($F161="w",1,-1),$H161&lt;&gt;""),AND(ABS($I161)=1,$J161=IF($F161="w",1,-1),$H161="",$R160&gt;0,$E161=$R160)),0))</f>
        <v>0</v>
      </c>
      <c r="O161" s="11" t="n">
        <f aca="false">IF(OR($D161=0,$E161=0,$G161=""),0,IF($K161="N",--OR(AND(ABS($I161)=1,ABS($J161)=2),AND(ABS($I161)=2,ABS($J161)=1)),IF($K161="B",--AND(ABS($I161)=ABS($J161),$I161&lt;&gt;0,$L161=0),IF($K161="R",--AND(OR($I161=0,$J161=0),OR($I161&lt;&gt;0,$J161&lt;&gt;0),$L161=0),IF($K161="Q",--AND(OR(AND(ABS($I161)=ABS($J161),$I161&lt;&gt;0),AND(OR($I161=0,$J161=0),OR($I161&lt;&gt;0,$J161&lt;&gt;0))),$L161=0),IF($K161="K",--OR(MAX(ABS($I161),ABS($J161))=1,$M161=1),$N161))))))</f>
        <v>0</v>
      </c>
      <c r="P161" s="11" t="n">
        <f aca="false">IF($Q161="OK",1,0)</f>
        <v>0</v>
      </c>
      <c r="Q161" s="11" t="str">
        <f aca="false">IF($B161="","",IF(OR(COUNTIF($AH160:$CS160,"wK")=0,COUNTIF($AH160:$CS160,"bK")=0),"Game is over",IF(OR($D161=0,$E161=0),"Use the format e2e4",IF($G161="","No piece on that square",IF(LEFT($G161,1)&lt;&gt;$F161,"Not your piece ("&amp;IF($F161="w","White","Black")&amp;" to move)",IF($D161=$E161,"Piece must move",IF(AND($H161&lt;&gt;"",LEFT($H161,1)=$F161),"Cannot capture your own piece",IF($O161=0,"Illegal move for that piece (or path blocked)","OK"))))))))</f>
        <v/>
      </c>
      <c r="R161" s="11" t="n">
        <f aca="false">IF($P161=1,IF(AND($K161="P",ABS($J161)=2),($D161+$E161)/2,0),$R160)</f>
        <v>0</v>
      </c>
      <c r="S161" s="12" t="b">
        <f aca="false">--OR($S160=1,AND($P161=1,OR($D161=5,$E161=5)))</f>
        <v>0</v>
      </c>
      <c r="T161" s="12" t="b">
        <f aca="false">--OR($T160=1,AND($P161=1,OR($D161=1,$E161=1)))</f>
        <v>0</v>
      </c>
      <c r="U161" s="12" t="b">
        <f aca="false">--OR($U160=1,AND($P161=1,OR($D161=8,$E161=8)))</f>
        <v>0</v>
      </c>
      <c r="V161" s="12" t="b">
        <f aca="false">--OR($V160=1,AND($P161=1,OR($D161=61,$E161=61)))</f>
        <v>0</v>
      </c>
      <c r="W161" s="12" t="b">
        <f aca="false">--OR($W160=1,AND($P161=1,OR($D161=57,$E161=57)))</f>
        <v>0</v>
      </c>
      <c r="X161" s="12" t="b">
        <f aca="false">--OR($X160=1,AND($P161=1,OR($D161=64,$E161=64)))</f>
        <v>0</v>
      </c>
      <c r="Y161" s="12" t="b">
        <f aca="false">--AND($P161=1,$K161="K",ABS($I161)=2)</f>
        <v>0</v>
      </c>
      <c r="Z161" s="12" t="b">
        <f aca="false">--AND($P161=1,$K161="P",ABS($I161)=1,$H161="")</f>
        <v>0</v>
      </c>
      <c r="AA161" s="12" t="b">
        <f aca="false">--AND($P161=1,$K161="P",INT(($E161-1)/8)=IF($F161="w",7,0))</f>
        <v>0</v>
      </c>
      <c r="AB161" s="11" t="str">
        <f aca="false">IF(LEN($C161)&gt;=5,IF(ISNUMBER(FIND(MID($C161,5,1),"qrbn")),UPPER(MID($C161,5,1)),"Q"),"Q")</f>
        <v>Q</v>
      </c>
      <c r="AC161" s="11" t="n">
        <f aca="false">IF($Y161=1,IF($I161=2,$D161+3,$D161-4),0)</f>
        <v>0</v>
      </c>
      <c r="AD161" s="11" t="n">
        <f aca="false">IF($Y161=1,IF($I161=2,$D161+1,$D161-1),0)</f>
        <v>0</v>
      </c>
      <c r="AE161" s="11" t="n">
        <f aca="false">IF($Z161=1,$E161-8*IF($F161="w",1,-1),0)</f>
        <v>0</v>
      </c>
      <c r="AF161" s="11" t="str">
        <f aca="false">IF($B161="","",IF($P161=1,LOWER(INDEX($CV$2:$CV$13,MATCH($G161,$CU$2:$CU$13,0)))&amp;" "&amp;MID("abcdefgh",MOD($D161-1,8)+1,1)&amp;(INT(($D161-1)/8)+1)&amp;"→"&amp;MID("abcdefgh",MOD($E161-1,8)+1,1)&amp;(INT(($E161-1)/8)+1)&amp;IF(OR($H161&lt;&gt;"",$Z161=1)," ×","")&amp;IF($Y161=1," castles","")&amp;IF($Z161=1," e.p.","")&amp;IF($AA161=1," =" &amp;LOWER(INDEX($CV$2:$CV$13,MATCH($F161&amp;$AB161,$CU$2:$CU$13,0))),""),"X "&amp;$Q161))</f>
        <v/>
      </c>
      <c r="AG161" s="11"/>
      <c r="AH161" s="11" t="str">
        <f aca="false">IF($P161=0,AH160,IF(AH$3=$E161,IF($AA161=1,$F161&amp;$AB161,$G161),IF(OR(AH$3=$D161,AH$3=$AC161,AH$3=$AE161),"",IF(AH$3=$AD161,$F161&amp;"R",AH160))))</f>
        <v>wR</v>
      </c>
      <c r="AI161" s="11" t="str">
        <f aca="false">IF($P161=0,AI160,IF(AI$3=$E161,IF($AA161=1,$F161&amp;$AB161,$G161),IF(OR(AI$3=$D161,AI$3=$AC161,AI$3=$AE161),"",IF(AI$3=$AD161,$F161&amp;"R",AI160))))</f>
        <v>wN</v>
      </c>
      <c r="AJ161" s="11" t="str">
        <f aca="false">IF($P161=0,AJ160,IF(AJ$3=$E161,IF($AA161=1,$F161&amp;$AB161,$G161),IF(OR(AJ$3=$D161,AJ$3=$AC161,AJ$3=$AE161),"",IF(AJ$3=$AD161,$F161&amp;"R",AJ160))))</f>
        <v>wB</v>
      </c>
      <c r="AK161" s="11" t="str">
        <f aca="false">IF($P161=0,AK160,IF(AK$3=$E161,IF($AA161=1,$F161&amp;$AB161,$G161),IF(OR(AK$3=$D161,AK$3=$AC161,AK$3=$AE161),"",IF(AK$3=$AD161,$F161&amp;"R",AK160))))</f>
        <v>wQ</v>
      </c>
      <c r="AL161" s="11" t="str">
        <f aca="false">IF($P161=0,AL160,IF(AL$3=$E161,IF($AA161=1,$F161&amp;$AB161,$G161),IF(OR(AL$3=$D161,AL$3=$AC161,AL$3=$AE161),"",IF(AL$3=$AD161,$F161&amp;"R",AL160))))</f>
        <v>wK</v>
      </c>
      <c r="AM161" s="11" t="str">
        <f aca="false">IF($P161=0,AM160,IF(AM$3=$E161,IF($AA161=1,$F161&amp;$AB161,$G161),IF(OR(AM$3=$D161,AM$3=$AC161,AM$3=$AE161),"",IF(AM$3=$AD161,$F161&amp;"R",AM160))))</f>
        <v>wB</v>
      </c>
      <c r="AN161" s="11" t="str">
        <f aca="false">IF($P161=0,AN160,IF(AN$3=$E161,IF($AA161=1,$F161&amp;$AB161,$G161),IF(OR(AN$3=$D161,AN$3=$AC161,AN$3=$AE161),"",IF(AN$3=$AD161,$F161&amp;"R",AN160))))</f>
        <v>wN</v>
      </c>
      <c r="AO161" s="11" t="str">
        <f aca="false">IF($P161=0,AO160,IF(AO$3=$E161,IF($AA161=1,$F161&amp;$AB161,$G161),IF(OR(AO$3=$D161,AO$3=$AC161,AO$3=$AE161),"",IF(AO$3=$AD161,$F161&amp;"R",AO160))))</f>
        <v>wR</v>
      </c>
      <c r="AP161" s="11" t="str">
        <f aca="false">IF($P161=0,AP160,IF(AP$3=$E161,IF($AA161=1,$F161&amp;$AB161,$G161),IF(OR(AP$3=$D161,AP$3=$AC161,AP$3=$AE161),"",IF(AP$3=$AD161,$F161&amp;"R",AP160))))</f>
        <v>wP</v>
      </c>
      <c r="AQ161" s="11" t="str">
        <f aca="false">IF($P161=0,AQ160,IF(AQ$3=$E161,IF($AA161=1,$F161&amp;$AB161,$G161),IF(OR(AQ$3=$D161,AQ$3=$AC161,AQ$3=$AE161),"",IF(AQ$3=$AD161,$F161&amp;"R",AQ160))))</f>
        <v>wP</v>
      </c>
      <c r="AR161" s="11" t="str">
        <f aca="false">IF($P161=0,AR160,IF(AR$3=$E161,IF($AA161=1,$F161&amp;$AB161,$G161),IF(OR(AR$3=$D161,AR$3=$AC161,AR$3=$AE161),"",IF(AR$3=$AD161,$F161&amp;"R",AR160))))</f>
        <v>wP</v>
      </c>
      <c r="AS161" s="11" t="str">
        <f aca="false">IF($P161=0,AS160,IF(AS$3=$E161,IF($AA161=1,$F161&amp;$AB161,$G161),IF(OR(AS$3=$D161,AS$3=$AC161,AS$3=$AE161),"",IF(AS$3=$AD161,$F161&amp;"R",AS160))))</f>
        <v>wP</v>
      </c>
      <c r="AT161" s="11" t="str">
        <f aca="false">IF($P161=0,AT160,IF(AT$3=$E161,IF($AA161=1,$F161&amp;$AB161,$G161),IF(OR(AT$3=$D161,AT$3=$AC161,AT$3=$AE161),"",IF(AT$3=$AD161,$F161&amp;"R",AT160))))</f>
        <v>wP</v>
      </c>
      <c r="AU161" s="11" t="str">
        <f aca="false">IF($P161=0,AU160,IF(AU$3=$E161,IF($AA161=1,$F161&amp;$AB161,$G161),IF(OR(AU$3=$D161,AU$3=$AC161,AU$3=$AE161),"",IF(AU$3=$AD161,$F161&amp;"R",AU160))))</f>
        <v>wP</v>
      </c>
      <c r="AV161" s="11" t="str">
        <f aca="false">IF($P161=0,AV160,IF(AV$3=$E161,IF($AA161=1,$F161&amp;$AB161,$G161),IF(OR(AV$3=$D161,AV$3=$AC161,AV$3=$AE161),"",IF(AV$3=$AD161,$F161&amp;"R",AV160))))</f>
        <v>wP</v>
      </c>
      <c r="AW161" s="11" t="str">
        <f aca="false">IF($P161=0,AW160,IF(AW$3=$E161,IF($AA161=1,$F161&amp;$AB161,$G161),IF(OR(AW$3=$D161,AW$3=$AC161,AW$3=$AE161),"",IF(AW$3=$AD161,$F161&amp;"R",AW160))))</f>
        <v>wP</v>
      </c>
      <c r="AX161" s="11" t="str">
        <f aca="false">IF($P161=0,AX160,IF(AX$3=$E161,IF($AA161=1,$F161&amp;$AB161,$G161),IF(OR(AX$3=$D161,AX$3=$AC161,AX$3=$AE161),"",IF(AX$3=$AD161,$F161&amp;"R",AX160))))</f>
        <v/>
      </c>
      <c r="AY161" s="11" t="str">
        <f aca="false">IF($P161=0,AY160,IF(AY$3=$E161,IF($AA161=1,$F161&amp;$AB161,$G161),IF(OR(AY$3=$D161,AY$3=$AC161,AY$3=$AE161),"",IF(AY$3=$AD161,$F161&amp;"R",AY160))))</f>
        <v/>
      </c>
      <c r="AZ161" s="11" t="str">
        <f aca="false">IF($P161=0,AZ160,IF(AZ$3=$E161,IF($AA161=1,$F161&amp;$AB161,$G161),IF(OR(AZ$3=$D161,AZ$3=$AC161,AZ$3=$AE161),"",IF(AZ$3=$AD161,$F161&amp;"R",AZ160))))</f>
        <v/>
      </c>
      <c r="BA161" s="11" t="str">
        <f aca="false">IF($P161=0,BA160,IF(BA$3=$E161,IF($AA161=1,$F161&amp;$AB161,$G161),IF(OR(BA$3=$D161,BA$3=$AC161,BA$3=$AE161),"",IF(BA$3=$AD161,$F161&amp;"R",BA160))))</f>
        <v/>
      </c>
      <c r="BB161" s="11" t="str">
        <f aca="false">IF($P161=0,BB160,IF(BB$3=$E161,IF($AA161=1,$F161&amp;$AB161,$G161),IF(OR(BB$3=$D161,BB$3=$AC161,BB$3=$AE161),"",IF(BB$3=$AD161,$F161&amp;"R",BB160))))</f>
        <v/>
      </c>
      <c r="BC161" s="11" t="str">
        <f aca="false">IF($P161=0,BC160,IF(BC$3=$E161,IF($AA161=1,$F161&amp;$AB161,$G161),IF(OR(BC$3=$D161,BC$3=$AC161,BC$3=$AE161),"",IF(BC$3=$AD161,$F161&amp;"R",BC160))))</f>
        <v/>
      </c>
      <c r="BD161" s="11" t="str">
        <f aca="false">IF($P161=0,BD160,IF(BD$3=$E161,IF($AA161=1,$F161&amp;$AB161,$G161),IF(OR(BD$3=$D161,BD$3=$AC161,BD$3=$AE161),"",IF(BD$3=$AD161,$F161&amp;"R",BD160))))</f>
        <v/>
      </c>
      <c r="BE161" s="11" t="str">
        <f aca="false">IF($P161=0,BE160,IF(BE$3=$E161,IF($AA161=1,$F161&amp;$AB161,$G161),IF(OR(BE$3=$D161,BE$3=$AC161,BE$3=$AE161),"",IF(BE$3=$AD161,$F161&amp;"R",BE160))))</f>
        <v/>
      </c>
      <c r="BF161" s="11" t="str">
        <f aca="false">IF($P161=0,BF160,IF(BF$3=$E161,IF($AA161=1,$F161&amp;$AB161,$G161),IF(OR(BF$3=$D161,BF$3=$AC161,BF$3=$AE161),"",IF(BF$3=$AD161,$F161&amp;"R",BF160))))</f>
        <v/>
      </c>
      <c r="BG161" s="11" t="str">
        <f aca="false">IF($P161=0,BG160,IF(BG$3=$E161,IF($AA161=1,$F161&amp;$AB161,$G161),IF(OR(BG$3=$D161,BG$3=$AC161,BG$3=$AE161),"",IF(BG$3=$AD161,$F161&amp;"R",BG160))))</f>
        <v/>
      </c>
      <c r="BH161" s="11" t="str">
        <f aca="false">IF($P161=0,BH160,IF(BH$3=$E161,IF($AA161=1,$F161&amp;$AB161,$G161),IF(OR(BH$3=$D161,BH$3=$AC161,BH$3=$AE161),"",IF(BH$3=$AD161,$F161&amp;"R",BH160))))</f>
        <v/>
      </c>
      <c r="BI161" s="11" t="str">
        <f aca="false">IF($P161=0,BI160,IF(BI$3=$E161,IF($AA161=1,$F161&amp;$AB161,$G161),IF(OR(BI$3=$D161,BI$3=$AC161,BI$3=$AE161),"",IF(BI$3=$AD161,$F161&amp;"R",BI160))))</f>
        <v/>
      </c>
      <c r="BJ161" s="11" t="str">
        <f aca="false">IF($P161=0,BJ160,IF(BJ$3=$E161,IF($AA161=1,$F161&amp;$AB161,$G161),IF(OR(BJ$3=$D161,BJ$3=$AC161,BJ$3=$AE161),"",IF(BJ$3=$AD161,$F161&amp;"R",BJ160))))</f>
        <v/>
      </c>
      <c r="BK161" s="11" t="str">
        <f aca="false">IF($P161=0,BK160,IF(BK$3=$E161,IF($AA161=1,$F161&amp;$AB161,$G161),IF(OR(BK$3=$D161,BK$3=$AC161,BK$3=$AE161),"",IF(BK$3=$AD161,$F161&amp;"R",BK160))))</f>
        <v/>
      </c>
      <c r="BL161" s="11" t="str">
        <f aca="false">IF($P161=0,BL160,IF(BL$3=$E161,IF($AA161=1,$F161&amp;$AB161,$G161),IF(OR(BL$3=$D161,BL$3=$AC161,BL$3=$AE161),"",IF(BL$3=$AD161,$F161&amp;"R",BL160))))</f>
        <v/>
      </c>
      <c r="BM161" s="11" t="str">
        <f aca="false">IF($P161=0,BM160,IF(BM$3=$E161,IF($AA161=1,$F161&amp;$AB161,$G161),IF(OR(BM$3=$D161,BM$3=$AC161,BM$3=$AE161),"",IF(BM$3=$AD161,$F161&amp;"R",BM160))))</f>
        <v/>
      </c>
      <c r="BN161" s="11" t="str">
        <f aca="false">IF($P161=0,BN160,IF(BN$3=$E161,IF($AA161=1,$F161&amp;$AB161,$G161),IF(OR(BN$3=$D161,BN$3=$AC161,BN$3=$AE161),"",IF(BN$3=$AD161,$F161&amp;"R",BN160))))</f>
        <v/>
      </c>
      <c r="BO161" s="11" t="str">
        <f aca="false">IF($P161=0,BO160,IF(BO$3=$E161,IF($AA161=1,$F161&amp;$AB161,$G161),IF(OR(BO$3=$D161,BO$3=$AC161,BO$3=$AE161),"",IF(BO$3=$AD161,$F161&amp;"R",BO160))))</f>
        <v/>
      </c>
      <c r="BP161" s="11" t="str">
        <f aca="false">IF($P161=0,BP160,IF(BP$3=$E161,IF($AA161=1,$F161&amp;$AB161,$G161),IF(OR(BP$3=$D161,BP$3=$AC161,BP$3=$AE161),"",IF(BP$3=$AD161,$F161&amp;"R",BP160))))</f>
        <v/>
      </c>
      <c r="BQ161" s="11" t="str">
        <f aca="false">IF($P161=0,BQ160,IF(BQ$3=$E161,IF($AA161=1,$F161&amp;$AB161,$G161),IF(OR(BQ$3=$D161,BQ$3=$AC161,BQ$3=$AE161),"",IF(BQ$3=$AD161,$F161&amp;"R",BQ160))))</f>
        <v/>
      </c>
      <c r="BR161" s="11" t="str">
        <f aca="false">IF($P161=0,BR160,IF(BR$3=$E161,IF($AA161=1,$F161&amp;$AB161,$G161),IF(OR(BR$3=$D161,BR$3=$AC161,BR$3=$AE161),"",IF(BR$3=$AD161,$F161&amp;"R",BR160))))</f>
        <v/>
      </c>
      <c r="BS161" s="11" t="str">
        <f aca="false">IF($P161=0,BS160,IF(BS$3=$E161,IF($AA161=1,$F161&amp;$AB161,$G161),IF(OR(BS$3=$D161,BS$3=$AC161,BS$3=$AE161),"",IF(BS$3=$AD161,$F161&amp;"R",BS160))))</f>
        <v/>
      </c>
      <c r="BT161" s="11" t="str">
        <f aca="false">IF($P161=0,BT160,IF(BT$3=$E161,IF($AA161=1,$F161&amp;$AB161,$G161),IF(OR(BT$3=$D161,BT$3=$AC161,BT$3=$AE161),"",IF(BT$3=$AD161,$F161&amp;"R",BT160))))</f>
        <v/>
      </c>
      <c r="BU161" s="11" t="str">
        <f aca="false">IF($P161=0,BU160,IF(BU$3=$E161,IF($AA161=1,$F161&amp;$AB161,$G161),IF(OR(BU$3=$D161,BU$3=$AC161,BU$3=$AE161),"",IF(BU$3=$AD161,$F161&amp;"R",BU160))))</f>
        <v/>
      </c>
      <c r="BV161" s="11" t="str">
        <f aca="false">IF($P161=0,BV160,IF(BV$3=$E161,IF($AA161=1,$F161&amp;$AB161,$G161),IF(OR(BV$3=$D161,BV$3=$AC161,BV$3=$AE161),"",IF(BV$3=$AD161,$F161&amp;"R",BV160))))</f>
        <v/>
      </c>
      <c r="BW161" s="11" t="str">
        <f aca="false">IF($P161=0,BW160,IF(BW$3=$E161,IF($AA161=1,$F161&amp;$AB161,$G161),IF(OR(BW$3=$D161,BW$3=$AC161,BW$3=$AE161),"",IF(BW$3=$AD161,$F161&amp;"R",BW160))))</f>
        <v/>
      </c>
      <c r="BX161" s="11" t="str">
        <f aca="false">IF($P161=0,BX160,IF(BX$3=$E161,IF($AA161=1,$F161&amp;$AB161,$G161),IF(OR(BX$3=$D161,BX$3=$AC161,BX$3=$AE161),"",IF(BX$3=$AD161,$F161&amp;"R",BX160))))</f>
        <v/>
      </c>
      <c r="BY161" s="11" t="str">
        <f aca="false">IF($P161=0,BY160,IF(BY$3=$E161,IF($AA161=1,$F161&amp;$AB161,$G161),IF(OR(BY$3=$D161,BY$3=$AC161,BY$3=$AE161),"",IF(BY$3=$AD161,$F161&amp;"R",BY160))))</f>
        <v/>
      </c>
      <c r="BZ161" s="11" t="str">
        <f aca="false">IF($P161=0,BZ160,IF(BZ$3=$E161,IF($AA161=1,$F161&amp;$AB161,$G161),IF(OR(BZ$3=$D161,BZ$3=$AC161,BZ$3=$AE161),"",IF(BZ$3=$AD161,$F161&amp;"R",BZ160))))</f>
        <v/>
      </c>
      <c r="CA161" s="11" t="str">
        <f aca="false">IF($P161=0,CA160,IF(CA$3=$E161,IF($AA161=1,$F161&amp;$AB161,$G161),IF(OR(CA$3=$D161,CA$3=$AC161,CA$3=$AE161),"",IF(CA$3=$AD161,$F161&amp;"R",CA160))))</f>
        <v/>
      </c>
      <c r="CB161" s="11" t="str">
        <f aca="false">IF($P161=0,CB160,IF(CB$3=$E161,IF($AA161=1,$F161&amp;$AB161,$G161),IF(OR(CB$3=$D161,CB$3=$AC161,CB$3=$AE161),"",IF(CB$3=$AD161,$F161&amp;"R",CB160))))</f>
        <v/>
      </c>
      <c r="CC161" s="11" t="str">
        <f aca="false">IF($P161=0,CC160,IF(CC$3=$E161,IF($AA161=1,$F161&amp;$AB161,$G161),IF(OR(CC$3=$D161,CC$3=$AC161,CC$3=$AE161),"",IF(CC$3=$AD161,$F161&amp;"R",CC160))))</f>
        <v/>
      </c>
      <c r="CD161" s="11" t="str">
        <f aca="false">IF($P161=0,CD160,IF(CD$3=$E161,IF($AA161=1,$F161&amp;$AB161,$G161),IF(OR(CD$3=$D161,CD$3=$AC161,CD$3=$AE161),"",IF(CD$3=$AD161,$F161&amp;"R",CD160))))</f>
        <v>bP</v>
      </c>
      <c r="CE161" s="11" t="str">
        <f aca="false">IF($P161=0,CE160,IF(CE$3=$E161,IF($AA161=1,$F161&amp;$AB161,$G161),IF(OR(CE$3=$D161,CE$3=$AC161,CE$3=$AE161),"",IF(CE$3=$AD161,$F161&amp;"R",CE160))))</f>
        <v>bP</v>
      </c>
      <c r="CF161" s="11" t="str">
        <f aca="false">IF($P161=0,CF160,IF(CF$3=$E161,IF($AA161=1,$F161&amp;$AB161,$G161),IF(OR(CF$3=$D161,CF$3=$AC161,CF$3=$AE161),"",IF(CF$3=$AD161,$F161&amp;"R",CF160))))</f>
        <v>bP</v>
      </c>
      <c r="CG161" s="11" t="str">
        <f aca="false">IF($P161=0,CG160,IF(CG$3=$E161,IF($AA161=1,$F161&amp;$AB161,$G161),IF(OR(CG$3=$D161,CG$3=$AC161,CG$3=$AE161),"",IF(CG$3=$AD161,$F161&amp;"R",CG160))))</f>
        <v>bP</v>
      </c>
      <c r="CH161" s="11" t="str">
        <f aca="false">IF($P161=0,CH160,IF(CH$3=$E161,IF($AA161=1,$F161&amp;$AB161,$G161),IF(OR(CH$3=$D161,CH$3=$AC161,CH$3=$AE161),"",IF(CH$3=$AD161,$F161&amp;"R",CH160))))</f>
        <v>bP</v>
      </c>
      <c r="CI161" s="11" t="str">
        <f aca="false">IF($P161=0,CI160,IF(CI$3=$E161,IF($AA161=1,$F161&amp;$AB161,$G161),IF(OR(CI$3=$D161,CI$3=$AC161,CI$3=$AE161),"",IF(CI$3=$AD161,$F161&amp;"R",CI160))))</f>
        <v>bP</v>
      </c>
      <c r="CJ161" s="11" t="str">
        <f aca="false">IF($P161=0,CJ160,IF(CJ$3=$E161,IF($AA161=1,$F161&amp;$AB161,$G161),IF(OR(CJ$3=$D161,CJ$3=$AC161,CJ$3=$AE161),"",IF(CJ$3=$AD161,$F161&amp;"R",CJ160))))</f>
        <v>bP</v>
      </c>
      <c r="CK161" s="11" t="str">
        <f aca="false">IF($P161=0,CK160,IF(CK$3=$E161,IF($AA161=1,$F161&amp;$AB161,$G161),IF(OR(CK$3=$D161,CK$3=$AC161,CK$3=$AE161),"",IF(CK$3=$AD161,$F161&amp;"R",CK160))))</f>
        <v>bP</v>
      </c>
      <c r="CL161" s="11" t="str">
        <f aca="false">IF($P161=0,CL160,IF(CL$3=$E161,IF($AA161=1,$F161&amp;$AB161,$G161),IF(OR(CL$3=$D161,CL$3=$AC161,CL$3=$AE161),"",IF(CL$3=$AD161,$F161&amp;"R",CL160))))</f>
        <v>bR</v>
      </c>
      <c r="CM161" s="11" t="str">
        <f aca="false">IF($P161=0,CM160,IF(CM$3=$E161,IF($AA161=1,$F161&amp;$AB161,$G161),IF(OR(CM$3=$D161,CM$3=$AC161,CM$3=$AE161),"",IF(CM$3=$AD161,$F161&amp;"R",CM160))))</f>
        <v>bN</v>
      </c>
      <c r="CN161" s="11" t="str">
        <f aca="false">IF($P161=0,CN160,IF(CN$3=$E161,IF($AA161=1,$F161&amp;$AB161,$G161),IF(OR(CN$3=$D161,CN$3=$AC161,CN$3=$AE161),"",IF(CN$3=$AD161,$F161&amp;"R",CN160))))</f>
        <v>bB</v>
      </c>
      <c r="CO161" s="11" t="str">
        <f aca="false">IF($P161=0,CO160,IF(CO$3=$E161,IF($AA161=1,$F161&amp;$AB161,$G161),IF(OR(CO$3=$D161,CO$3=$AC161,CO$3=$AE161),"",IF(CO$3=$AD161,$F161&amp;"R",CO160))))</f>
        <v>bQ</v>
      </c>
      <c r="CP161" s="11" t="str">
        <f aca="false">IF($P161=0,CP160,IF(CP$3=$E161,IF($AA161=1,$F161&amp;$AB161,$G161),IF(OR(CP$3=$D161,CP$3=$AC161,CP$3=$AE161),"",IF(CP$3=$AD161,$F161&amp;"R",CP160))))</f>
        <v>bK</v>
      </c>
      <c r="CQ161" s="11" t="str">
        <f aca="false">IF($P161=0,CQ160,IF(CQ$3=$E161,IF($AA161=1,$F161&amp;$AB161,$G161),IF(OR(CQ$3=$D161,CQ$3=$AC161,CQ$3=$AE161),"",IF(CQ$3=$AD161,$F161&amp;"R",CQ160))))</f>
        <v>bB</v>
      </c>
      <c r="CR161" s="11" t="str">
        <f aca="false">IF($P161=0,CR160,IF(CR$3=$E161,IF($AA161=1,$F161&amp;$AB161,$G161),IF(OR(CR$3=$D161,CR$3=$AC161,CR$3=$AE161),"",IF(CR$3=$AD161,$F161&amp;"R",CR160))))</f>
        <v>bN</v>
      </c>
      <c r="CS161" s="11" t="str">
        <f aca="false">IF($P161=0,CS160,IF(CS$3=$E161,IF($AA161=1,$F161&amp;$AB161,$G161),IF(OR(CS$3=$D161,CS$3=$AC161,CS$3=$AE161),"",IF(CS$3=$AD161,$F161&amp;"R",CS160))))</f>
        <v>bR</v>
      </c>
      <c r="CT161" s="11"/>
      <c r="CU161" s="11"/>
      <c r="CV161" s="11"/>
    </row>
    <row r="162" customFormat="false" ht="15" hidden="false" customHeight="false" outlineLevel="0" collapsed="false">
      <c r="A162" s="11" t="n">
        <v>157</v>
      </c>
      <c r="B162" s="11" t="str">
        <f aca="false">IF(Chess!$L$166="","",Chess!$L$166&amp;"")</f>
        <v/>
      </c>
      <c r="C162" s="11" t="str">
        <f aca="false">LOWER(SUBSTITUTE(SUBSTITUTE(SUBSTITUTE(SUBSTITUTE(TRIM($B162),"-",""),"=","")," ",""),"x",""))</f>
        <v/>
      </c>
      <c r="D162" s="11" t="n">
        <f aca="false">IF(LEN($C162)&lt;4,0,IFERROR(IF(AND(CODE(MID($C162,1,1))&gt;=97,CODE(MID($C162,1,1))&lt;=104,VALUE(MID($C162,2,1))&gt;=1,VALUE(MID($C162,2,1))&lt;=8),(VALUE(MID($C162,2,1))-1)*8+CODE(MID($C162,1,1))-96,0),0))</f>
        <v>0</v>
      </c>
      <c r="E162" s="11" t="n">
        <f aca="false">IF(LEN($C162)&lt;4,0,IFERROR(IF(AND(CODE(MID($C162,3,1))&gt;=97,CODE(MID($C162,3,1))&lt;=104,VALUE(MID($C162,4,1))&gt;=1,VALUE(MID($C162,4,1))&lt;=8),(VALUE(MID($C162,4,1))-1)*8+CODE(MID($C162,3,1))-96,0),0))</f>
        <v>0</v>
      </c>
      <c r="F162" s="11" t="str">
        <f aca="false">IF(MOD(SUM($P$5:$P161),2)=0,"w","b")</f>
        <v>w</v>
      </c>
      <c r="G162" s="11" t="str">
        <f aca="false">IF($D162=0,"",INDEX($AH161:$CS161,1,$D162)&amp;"")</f>
        <v/>
      </c>
      <c r="H162" s="11" t="str">
        <f aca="false">IF($E162=0,"",INDEX($AH161:$CS161,1,$E162)&amp;"")</f>
        <v/>
      </c>
      <c r="I162" s="11" t="n">
        <f aca="false">IF(OR($D162=0,$E162=0),0,MOD($E162-1,8)-MOD($D162-1,8))</f>
        <v>0</v>
      </c>
      <c r="J162" s="11" t="n">
        <f aca="false">IF(OR($D162=0,$E162=0),0,INT(($E162-1)/8)-INT(($D162-1)/8))</f>
        <v>0</v>
      </c>
      <c r="K162" s="11" t="str">
        <f aca="false">IF($G162="","",RIGHT($G162,1))</f>
        <v/>
      </c>
      <c r="L162" s="11" t="n">
        <f aca="false">IF(OR($D162=0,$E162=0),0,SUMPRODUCT(($AH$3:$CS$3&gt;MIN($D162,$E162))*($AH$3:$CS$3&lt;MAX($D162,$E162))*(MOD($AH$3:$CS$3-MIN($D162,$E162),MAX(1,ABS(SIGN($J162)*8+SIGN($I162))))=0)*($AH161:$CS161&lt;&gt;"")))</f>
        <v>0</v>
      </c>
      <c r="M162" s="11" t="n">
        <f aca="false">IF($K162&lt;&gt;"K",0,IFERROR(--AND($J162=0,ABS($I162)=2,$D162=IF($F162="w",5,61),IF($F162="w",$S161,$V161)=0,IF($I162=2,AND(IF($F162="w",$U161,$X161)=0,INDEX($AH161:$CS161,1,$D162+1)&amp;""="",INDEX($AH161:$CS161,1,$D162+2)&amp;""=""),AND(IF($F162="w",$T161,$W161)=0,INDEX($AH161:$CS161,1,$D162-1)&amp;""="",INDEX($AH161:$CS161,1,$D162-2)&amp;""="",INDEX($AH161:$CS161,1,$D162-3)&amp;""=""))),0))</f>
        <v>0</v>
      </c>
      <c r="N162" s="11" t="n">
        <f aca="false">IF($K162&lt;&gt;"P",0,IFERROR(--OR(AND($I162=0,$J162=IF($F162="w",1,-1),$H162=""),AND($I162=0,$J162=2*IF($F162="w",1,-1),$H162="",INT(($D162-1)/8)=IF($F162="w",1,6),INDEX($AH161:$CS161,1,MAX(1,MIN(64,$D162+8*IF($F162="w",1,-1))))&amp;""=""),AND(ABS($I162)=1,$J162=IF($F162="w",1,-1),$H162&lt;&gt;""),AND(ABS($I162)=1,$J162=IF($F162="w",1,-1),$H162="",$R161&gt;0,$E162=$R161)),0))</f>
        <v>0</v>
      </c>
      <c r="O162" s="11" t="n">
        <f aca="false">IF(OR($D162=0,$E162=0,$G162=""),0,IF($K162="N",--OR(AND(ABS($I162)=1,ABS($J162)=2),AND(ABS($I162)=2,ABS($J162)=1)),IF($K162="B",--AND(ABS($I162)=ABS($J162),$I162&lt;&gt;0,$L162=0),IF($K162="R",--AND(OR($I162=0,$J162=0),OR($I162&lt;&gt;0,$J162&lt;&gt;0),$L162=0),IF($K162="Q",--AND(OR(AND(ABS($I162)=ABS($J162),$I162&lt;&gt;0),AND(OR($I162=0,$J162=0),OR($I162&lt;&gt;0,$J162&lt;&gt;0))),$L162=0),IF($K162="K",--OR(MAX(ABS($I162),ABS($J162))=1,$M162=1),$N162))))))</f>
        <v>0</v>
      </c>
      <c r="P162" s="11" t="n">
        <f aca="false">IF($Q162="OK",1,0)</f>
        <v>0</v>
      </c>
      <c r="Q162" s="11" t="str">
        <f aca="false">IF($B162="","",IF(OR(COUNTIF($AH161:$CS161,"wK")=0,COUNTIF($AH161:$CS161,"bK")=0),"Game is over",IF(OR($D162=0,$E162=0),"Use the format e2e4",IF($G162="","No piece on that square",IF(LEFT($G162,1)&lt;&gt;$F162,"Not your piece ("&amp;IF($F162="w","White","Black")&amp;" to move)",IF($D162=$E162,"Piece must move",IF(AND($H162&lt;&gt;"",LEFT($H162,1)=$F162),"Cannot capture your own piece",IF($O162=0,"Illegal move for that piece (or path blocked)","OK"))))))))</f>
        <v/>
      </c>
      <c r="R162" s="11" t="n">
        <f aca="false">IF($P162=1,IF(AND($K162="P",ABS($J162)=2),($D162+$E162)/2,0),$R161)</f>
        <v>0</v>
      </c>
      <c r="S162" s="12" t="b">
        <f aca="false">--OR($S161=1,AND($P162=1,OR($D162=5,$E162=5)))</f>
        <v>0</v>
      </c>
      <c r="T162" s="12" t="b">
        <f aca="false">--OR($T161=1,AND($P162=1,OR($D162=1,$E162=1)))</f>
        <v>0</v>
      </c>
      <c r="U162" s="12" t="b">
        <f aca="false">--OR($U161=1,AND($P162=1,OR($D162=8,$E162=8)))</f>
        <v>0</v>
      </c>
      <c r="V162" s="12" t="b">
        <f aca="false">--OR($V161=1,AND($P162=1,OR($D162=61,$E162=61)))</f>
        <v>0</v>
      </c>
      <c r="W162" s="12" t="b">
        <f aca="false">--OR($W161=1,AND($P162=1,OR($D162=57,$E162=57)))</f>
        <v>0</v>
      </c>
      <c r="X162" s="12" t="b">
        <f aca="false">--OR($X161=1,AND($P162=1,OR($D162=64,$E162=64)))</f>
        <v>0</v>
      </c>
      <c r="Y162" s="12" t="b">
        <f aca="false">--AND($P162=1,$K162="K",ABS($I162)=2)</f>
        <v>0</v>
      </c>
      <c r="Z162" s="12" t="b">
        <f aca="false">--AND($P162=1,$K162="P",ABS($I162)=1,$H162="")</f>
        <v>0</v>
      </c>
      <c r="AA162" s="12" t="b">
        <f aca="false">--AND($P162=1,$K162="P",INT(($E162-1)/8)=IF($F162="w",7,0))</f>
        <v>0</v>
      </c>
      <c r="AB162" s="11" t="str">
        <f aca="false">IF(LEN($C162)&gt;=5,IF(ISNUMBER(FIND(MID($C162,5,1),"qrbn")),UPPER(MID($C162,5,1)),"Q"),"Q")</f>
        <v>Q</v>
      </c>
      <c r="AC162" s="11" t="n">
        <f aca="false">IF($Y162=1,IF($I162=2,$D162+3,$D162-4),0)</f>
        <v>0</v>
      </c>
      <c r="AD162" s="11" t="n">
        <f aca="false">IF($Y162=1,IF($I162=2,$D162+1,$D162-1),0)</f>
        <v>0</v>
      </c>
      <c r="AE162" s="11" t="n">
        <f aca="false">IF($Z162=1,$E162-8*IF($F162="w",1,-1),0)</f>
        <v>0</v>
      </c>
      <c r="AF162" s="11" t="str">
        <f aca="false">IF($B162="","",IF($P162=1,LOWER(INDEX($CV$2:$CV$13,MATCH($G162,$CU$2:$CU$13,0)))&amp;" "&amp;MID("abcdefgh",MOD($D162-1,8)+1,1)&amp;(INT(($D162-1)/8)+1)&amp;"→"&amp;MID("abcdefgh",MOD($E162-1,8)+1,1)&amp;(INT(($E162-1)/8)+1)&amp;IF(OR($H162&lt;&gt;"",$Z162=1)," ×","")&amp;IF($Y162=1," castles","")&amp;IF($Z162=1," e.p.","")&amp;IF($AA162=1," =" &amp;LOWER(INDEX($CV$2:$CV$13,MATCH($F162&amp;$AB162,$CU$2:$CU$13,0))),""),"X "&amp;$Q162))</f>
        <v/>
      </c>
      <c r="AG162" s="11"/>
      <c r="AH162" s="11" t="str">
        <f aca="false">IF($P162=0,AH161,IF(AH$3=$E162,IF($AA162=1,$F162&amp;$AB162,$G162),IF(OR(AH$3=$D162,AH$3=$AC162,AH$3=$AE162),"",IF(AH$3=$AD162,$F162&amp;"R",AH161))))</f>
        <v>wR</v>
      </c>
      <c r="AI162" s="11" t="str">
        <f aca="false">IF($P162=0,AI161,IF(AI$3=$E162,IF($AA162=1,$F162&amp;$AB162,$G162),IF(OR(AI$3=$D162,AI$3=$AC162,AI$3=$AE162),"",IF(AI$3=$AD162,$F162&amp;"R",AI161))))</f>
        <v>wN</v>
      </c>
      <c r="AJ162" s="11" t="str">
        <f aca="false">IF($P162=0,AJ161,IF(AJ$3=$E162,IF($AA162=1,$F162&amp;$AB162,$G162),IF(OR(AJ$3=$D162,AJ$3=$AC162,AJ$3=$AE162),"",IF(AJ$3=$AD162,$F162&amp;"R",AJ161))))</f>
        <v>wB</v>
      </c>
      <c r="AK162" s="11" t="str">
        <f aca="false">IF($P162=0,AK161,IF(AK$3=$E162,IF($AA162=1,$F162&amp;$AB162,$G162),IF(OR(AK$3=$D162,AK$3=$AC162,AK$3=$AE162),"",IF(AK$3=$AD162,$F162&amp;"R",AK161))))</f>
        <v>wQ</v>
      </c>
      <c r="AL162" s="11" t="str">
        <f aca="false">IF($P162=0,AL161,IF(AL$3=$E162,IF($AA162=1,$F162&amp;$AB162,$G162),IF(OR(AL$3=$D162,AL$3=$AC162,AL$3=$AE162),"",IF(AL$3=$AD162,$F162&amp;"R",AL161))))</f>
        <v>wK</v>
      </c>
      <c r="AM162" s="11" t="str">
        <f aca="false">IF($P162=0,AM161,IF(AM$3=$E162,IF($AA162=1,$F162&amp;$AB162,$G162),IF(OR(AM$3=$D162,AM$3=$AC162,AM$3=$AE162),"",IF(AM$3=$AD162,$F162&amp;"R",AM161))))</f>
        <v>wB</v>
      </c>
      <c r="AN162" s="11" t="str">
        <f aca="false">IF($P162=0,AN161,IF(AN$3=$E162,IF($AA162=1,$F162&amp;$AB162,$G162),IF(OR(AN$3=$D162,AN$3=$AC162,AN$3=$AE162),"",IF(AN$3=$AD162,$F162&amp;"R",AN161))))</f>
        <v>wN</v>
      </c>
      <c r="AO162" s="11" t="str">
        <f aca="false">IF($P162=0,AO161,IF(AO$3=$E162,IF($AA162=1,$F162&amp;$AB162,$G162),IF(OR(AO$3=$D162,AO$3=$AC162,AO$3=$AE162),"",IF(AO$3=$AD162,$F162&amp;"R",AO161))))</f>
        <v>wR</v>
      </c>
      <c r="AP162" s="11" t="str">
        <f aca="false">IF($P162=0,AP161,IF(AP$3=$E162,IF($AA162=1,$F162&amp;$AB162,$G162),IF(OR(AP$3=$D162,AP$3=$AC162,AP$3=$AE162),"",IF(AP$3=$AD162,$F162&amp;"R",AP161))))</f>
        <v>wP</v>
      </c>
      <c r="AQ162" s="11" t="str">
        <f aca="false">IF($P162=0,AQ161,IF(AQ$3=$E162,IF($AA162=1,$F162&amp;$AB162,$G162),IF(OR(AQ$3=$D162,AQ$3=$AC162,AQ$3=$AE162),"",IF(AQ$3=$AD162,$F162&amp;"R",AQ161))))</f>
        <v>wP</v>
      </c>
      <c r="AR162" s="11" t="str">
        <f aca="false">IF($P162=0,AR161,IF(AR$3=$E162,IF($AA162=1,$F162&amp;$AB162,$G162),IF(OR(AR$3=$D162,AR$3=$AC162,AR$3=$AE162),"",IF(AR$3=$AD162,$F162&amp;"R",AR161))))</f>
        <v>wP</v>
      </c>
      <c r="AS162" s="11" t="str">
        <f aca="false">IF($P162=0,AS161,IF(AS$3=$E162,IF($AA162=1,$F162&amp;$AB162,$G162),IF(OR(AS$3=$D162,AS$3=$AC162,AS$3=$AE162),"",IF(AS$3=$AD162,$F162&amp;"R",AS161))))</f>
        <v>wP</v>
      </c>
      <c r="AT162" s="11" t="str">
        <f aca="false">IF($P162=0,AT161,IF(AT$3=$E162,IF($AA162=1,$F162&amp;$AB162,$G162),IF(OR(AT$3=$D162,AT$3=$AC162,AT$3=$AE162),"",IF(AT$3=$AD162,$F162&amp;"R",AT161))))</f>
        <v>wP</v>
      </c>
      <c r="AU162" s="11" t="str">
        <f aca="false">IF($P162=0,AU161,IF(AU$3=$E162,IF($AA162=1,$F162&amp;$AB162,$G162),IF(OR(AU$3=$D162,AU$3=$AC162,AU$3=$AE162),"",IF(AU$3=$AD162,$F162&amp;"R",AU161))))</f>
        <v>wP</v>
      </c>
      <c r="AV162" s="11" t="str">
        <f aca="false">IF($P162=0,AV161,IF(AV$3=$E162,IF($AA162=1,$F162&amp;$AB162,$G162),IF(OR(AV$3=$D162,AV$3=$AC162,AV$3=$AE162),"",IF(AV$3=$AD162,$F162&amp;"R",AV161))))</f>
        <v>wP</v>
      </c>
      <c r="AW162" s="11" t="str">
        <f aca="false">IF($P162=0,AW161,IF(AW$3=$E162,IF($AA162=1,$F162&amp;$AB162,$G162),IF(OR(AW$3=$D162,AW$3=$AC162,AW$3=$AE162),"",IF(AW$3=$AD162,$F162&amp;"R",AW161))))</f>
        <v>wP</v>
      </c>
      <c r="AX162" s="11" t="str">
        <f aca="false">IF($P162=0,AX161,IF(AX$3=$E162,IF($AA162=1,$F162&amp;$AB162,$G162),IF(OR(AX$3=$D162,AX$3=$AC162,AX$3=$AE162),"",IF(AX$3=$AD162,$F162&amp;"R",AX161))))</f>
        <v/>
      </c>
      <c r="AY162" s="11" t="str">
        <f aca="false">IF($P162=0,AY161,IF(AY$3=$E162,IF($AA162=1,$F162&amp;$AB162,$G162),IF(OR(AY$3=$D162,AY$3=$AC162,AY$3=$AE162),"",IF(AY$3=$AD162,$F162&amp;"R",AY161))))</f>
        <v/>
      </c>
      <c r="AZ162" s="11" t="str">
        <f aca="false">IF($P162=0,AZ161,IF(AZ$3=$E162,IF($AA162=1,$F162&amp;$AB162,$G162),IF(OR(AZ$3=$D162,AZ$3=$AC162,AZ$3=$AE162),"",IF(AZ$3=$AD162,$F162&amp;"R",AZ161))))</f>
        <v/>
      </c>
      <c r="BA162" s="11" t="str">
        <f aca="false">IF($P162=0,BA161,IF(BA$3=$E162,IF($AA162=1,$F162&amp;$AB162,$G162),IF(OR(BA$3=$D162,BA$3=$AC162,BA$3=$AE162),"",IF(BA$3=$AD162,$F162&amp;"R",BA161))))</f>
        <v/>
      </c>
      <c r="BB162" s="11" t="str">
        <f aca="false">IF($P162=0,BB161,IF(BB$3=$E162,IF($AA162=1,$F162&amp;$AB162,$G162),IF(OR(BB$3=$D162,BB$3=$AC162,BB$3=$AE162),"",IF(BB$3=$AD162,$F162&amp;"R",BB161))))</f>
        <v/>
      </c>
      <c r="BC162" s="11" t="str">
        <f aca="false">IF($P162=0,BC161,IF(BC$3=$E162,IF($AA162=1,$F162&amp;$AB162,$G162),IF(OR(BC$3=$D162,BC$3=$AC162,BC$3=$AE162),"",IF(BC$3=$AD162,$F162&amp;"R",BC161))))</f>
        <v/>
      </c>
      <c r="BD162" s="11" t="str">
        <f aca="false">IF($P162=0,BD161,IF(BD$3=$E162,IF($AA162=1,$F162&amp;$AB162,$G162),IF(OR(BD$3=$D162,BD$3=$AC162,BD$3=$AE162),"",IF(BD$3=$AD162,$F162&amp;"R",BD161))))</f>
        <v/>
      </c>
      <c r="BE162" s="11" t="str">
        <f aca="false">IF($P162=0,BE161,IF(BE$3=$E162,IF($AA162=1,$F162&amp;$AB162,$G162),IF(OR(BE$3=$D162,BE$3=$AC162,BE$3=$AE162),"",IF(BE$3=$AD162,$F162&amp;"R",BE161))))</f>
        <v/>
      </c>
      <c r="BF162" s="11" t="str">
        <f aca="false">IF($P162=0,BF161,IF(BF$3=$E162,IF($AA162=1,$F162&amp;$AB162,$G162),IF(OR(BF$3=$D162,BF$3=$AC162,BF$3=$AE162),"",IF(BF$3=$AD162,$F162&amp;"R",BF161))))</f>
        <v/>
      </c>
      <c r="BG162" s="11" t="str">
        <f aca="false">IF($P162=0,BG161,IF(BG$3=$E162,IF($AA162=1,$F162&amp;$AB162,$G162),IF(OR(BG$3=$D162,BG$3=$AC162,BG$3=$AE162),"",IF(BG$3=$AD162,$F162&amp;"R",BG161))))</f>
        <v/>
      </c>
      <c r="BH162" s="11" t="str">
        <f aca="false">IF($P162=0,BH161,IF(BH$3=$E162,IF($AA162=1,$F162&amp;$AB162,$G162),IF(OR(BH$3=$D162,BH$3=$AC162,BH$3=$AE162),"",IF(BH$3=$AD162,$F162&amp;"R",BH161))))</f>
        <v/>
      </c>
      <c r="BI162" s="11" t="str">
        <f aca="false">IF($P162=0,BI161,IF(BI$3=$E162,IF($AA162=1,$F162&amp;$AB162,$G162),IF(OR(BI$3=$D162,BI$3=$AC162,BI$3=$AE162),"",IF(BI$3=$AD162,$F162&amp;"R",BI161))))</f>
        <v/>
      </c>
      <c r="BJ162" s="11" t="str">
        <f aca="false">IF($P162=0,BJ161,IF(BJ$3=$E162,IF($AA162=1,$F162&amp;$AB162,$G162),IF(OR(BJ$3=$D162,BJ$3=$AC162,BJ$3=$AE162),"",IF(BJ$3=$AD162,$F162&amp;"R",BJ161))))</f>
        <v/>
      </c>
      <c r="BK162" s="11" t="str">
        <f aca="false">IF($P162=0,BK161,IF(BK$3=$E162,IF($AA162=1,$F162&amp;$AB162,$G162),IF(OR(BK$3=$D162,BK$3=$AC162,BK$3=$AE162),"",IF(BK$3=$AD162,$F162&amp;"R",BK161))))</f>
        <v/>
      </c>
      <c r="BL162" s="11" t="str">
        <f aca="false">IF($P162=0,BL161,IF(BL$3=$E162,IF($AA162=1,$F162&amp;$AB162,$G162),IF(OR(BL$3=$D162,BL$3=$AC162,BL$3=$AE162),"",IF(BL$3=$AD162,$F162&amp;"R",BL161))))</f>
        <v/>
      </c>
      <c r="BM162" s="11" t="str">
        <f aca="false">IF($P162=0,BM161,IF(BM$3=$E162,IF($AA162=1,$F162&amp;$AB162,$G162),IF(OR(BM$3=$D162,BM$3=$AC162,BM$3=$AE162),"",IF(BM$3=$AD162,$F162&amp;"R",BM161))))</f>
        <v/>
      </c>
      <c r="BN162" s="11" t="str">
        <f aca="false">IF($P162=0,BN161,IF(BN$3=$E162,IF($AA162=1,$F162&amp;$AB162,$G162),IF(OR(BN$3=$D162,BN$3=$AC162,BN$3=$AE162),"",IF(BN$3=$AD162,$F162&amp;"R",BN161))))</f>
        <v/>
      </c>
      <c r="BO162" s="11" t="str">
        <f aca="false">IF($P162=0,BO161,IF(BO$3=$E162,IF($AA162=1,$F162&amp;$AB162,$G162),IF(OR(BO$3=$D162,BO$3=$AC162,BO$3=$AE162),"",IF(BO$3=$AD162,$F162&amp;"R",BO161))))</f>
        <v/>
      </c>
      <c r="BP162" s="11" t="str">
        <f aca="false">IF($P162=0,BP161,IF(BP$3=$E162,IF($AA162=1,$F162&amp;$AB162,$G162),IF(OR(BP$3=$D162,BP$3=$AC162,BP$3=$AE162),"",IF(BP$3=$AD162,$F162&amp;"R",BP161))))</f>
        <v/>
      </c>
      <c r="BQ162" s="11" t="str">
        <f aca="false">IF($P162=0,BQ161,IF(BQ$3=$E162,IF($AA162=1,$F162&amp;$AB162,$G162),IF(OR(BQ$3=$D162,BQ$3=$AC162,BQ$3=$AE162),"",IF(BQ$3=$AD162,$F162&amp;"R",BQ161))))</f>
        <v/>
      </c>
      <c r="BR162" s="11" t="str">
        <f aca="false">IF($P162=0,BR161,IF(BR$3=$E162,IF($AA162=1,$F162&amp;$AB162,$G162),IF(OR(BR$3=$D162,BR$3=$AC162,BR$3=$AE162),"",IF(BR$3=$AD162,$F162&amp;"R",BR161))))</f>
        <v/>
      </c>
      <c r="BS162" s="11" t="str">
        <f aca="false">IF($P162=0,BS161,IF(BS$3=$E162,IF($AA162=1,$F162&amp;$AB162,$G162),IF(OR(BS$3=$D162,BS$3=$AC162,BS$3=$AE162),"",IF(BS$3=$AD162,$F162&amp;"R",BS161))))</f>
        <v/>
      </c>
      <c r="BT162" s="11" t="str">
        <f aca="false">IF($P162=0,BT161,IF(BT$3=$E162,IF($AA162=1,$F162&amp;$AB162,$G162),IF(OR(BT$3=$D162,BT$3=$AC162,BT$3=$AE162),"",IF(BT$3=$AD162,$F162&amp;"R",BT161))))</f>
        <v/>
      </c>
      <c r="BU162" s="11" t="str">
        <f aca="false">IF($P162=0,BU161,IF(BU$3=$E162,IF($AA162=1,$F162&amp;$AB162,$G162),IF(OR(BU$3=$D162,BU$3=$AC162,BU$3=$AE162),"",IF(BU$3=$AD162,$F162&amp;"R",BU161))))</f>
        <v/>
      </c>
      <c r="BV162" s="11" t="str">
        <f aca="false">IF($P162=0,BV161,IF(BV$3=$E162,IF($AA162=1,$F162&amp;$AB162,$G162),IF(OR(BV$3=$D162,BV$3=$AC162,BV$3=$AE162),"",IF(BV$3=$AD162,$F162&amp;"R",BV161))))</f>
        <v/>
      </c>
      <c r="BW162" s="11" t="str">
        <f aca="false">IF($P162=0,BW161,IF(BW$3=$E162,IF($AA162=1,$F162&amp;$AB162,$G162),IF(OR(BW$3=$D162,BW$3=$AC162,BW$3=$AE162),"",IF(BW$3=$AD162,$F162&amp;"R",BW161))))</f>
        <v/>
      </c>
      <c r="BX162" s="11" t="str">
        <f aca="false">IF($P162=0,BX161,IF(BX$3=$E162,IF($AA162=1,$F162&amp;$AB162,$G162),IF(OR(BX$3=$D162,BX$3=$AC162,BX$3=$AE162),"",IF(BX$3=$AD162,$F162&amp;"R",BX161))))</f>
        <v/>
      </c>
      <c r="BY162" s="11" t="str">
        <f aca="false">IF($P162=0,BY161,IF(BY$3=$E162,IF($AA162=1,$F162&amp;$AB162,$G162),IF(OR(BY$3=$D162,BY$3=$AC162,BY$3=$AE162),"",IF(BY$3=$AD162,$F162&amp;"R",BY161))))</f>
        <v/>
      </c>
      <c r="BZ162" s="11" t="str">
        <f aca="false">IF($P162=0,BZ161,IF(BZ$3=$E162,IF($AA162=1,$F162&amp;$AB162,$G162),IF(OR(BZ$3=$D162,BZ$3=$AC162,BZ$3=$AE162),"",IF(BZ$3=$AD162,$F162&amp;"R",BZ161))))</f>
        <v/>
      </c>
      <c r="CA162" s="11" t="str">
        <f aca="false">IF($P162=0,CA161,IF(CA$3=$E162,IF($AA162=1,$F162&amp;$AB162,$G162),IF(OR(CA$3=$D162,CA$3=$AC162,CA$3=$AE162),"",IF(CA$3=$AD162,$F162&amp;"R",CA161))))</f>
        <v/>
      </c>
      <c r="CB162" s="11" t="str">
        <f aca="false">IF($P162=0,CB161,IF(CB$3=$E162,IF($AA162=1,$F162&amp;$AB162,$G162),IF(OR(CB$3=$D162,CB$3=$AC162,CB$3=$AE162),"",IF(CB$3=$AD162,$F162&amp;"R",CB161))))</f>
        <v/>
      </c>
      <c r="CC162" s="11" t="str">
        <f aca="false">IF($P162=0,CC161,IF(CC$3=$E162,IF($AA162=1,$F162&amp;$AB162,$G162),IF(OR(CC$3=$D162,CC$3=$AC162,CC$3=$AE162),"",IF(CC$3=$AD162,$F162&amp;"R",CC161))))</f>
        <v/>
      </c>
      <c r="CD162" s="11" t="str">
        <f aca="false">IF($P162=0,CD161,IF(CD$3=$E162,IF($AA162=1,$F162&amp;$AB162,$G162),IF(OR(CD$3=$D162,CD$3=$AC162,CD$3=$AE162),"",IF(CD$3=$AD162,$F162&amp;"R",CD161))))</f>
        <v>bP</v>
      </c>
      <c r="CE162" s="11" t="str">
        <f aca="false">IF($P162=0,CE161,IF(CE$3=$E162,IF($AA162=1,$F162&amp;$AB162,$G162),IF(OR(CE$3=$D162,CE$3=$AC162,CE$3=$AE162),"",IF(CE$3=$AD162,$F162&amp;"R",CE161))))</f>
        <v>bP</v>
      </c>
      <c r="CF162" s="11" t="str">
        <f aca="false">IF($P162=0,CF161,IF(CF$3=$E162,IF($AA162=1,$F162&amp;$AB162,$G162),IF(OR(CF$3=$D162,CF$3=$AC162,CF$3=$AE162),"",IF(CF$3=$AD162,$F162&amp;"R",CF161))))</f>
        <v>bP</v>
      </c>
      <c r="CG162" s="11" t="str">
        <f aca="false">IF($P162=0,CG161,IF(CG$3=$E162,IF($AA162=1,$F162&amp;$AB162,$G162),IF(OR(CG$3=$D162,CG$3=$AC162,CG$3=$AE162),"",IF(CG$3=$AD162,$F162&amp;"R",CG161))))</f>
        <v>bP</v>
      </c>
      <c r="CH162" s="11" t="str">
        <f aca="false">IF($P162=0,CH161,IF(CH$3=$E162,IF($AA162=1,$F162&amp;$AB162,$G162),IF(OR(CH$3=$D162,CH$3=$AC162,CH$3=$AE162),"",IF(CH$3=$AD162,$F162&amp;"R",CH161))))</f>
        <v>bP</v>
      </c>
      <c r="CI162" s="11" t="str">
        <f aca="false">IF($P162=0,CI161,IF(CI$3=$E162,IF($AA162=1,$F162&amp;$AB162,$G162),IF(OR(CI$3=$D162,CI$3=$AC162,CI$3=$AE162),"",IF(CI$3=$AD162,$F162&amp;"R",CI161))))</f>
        <v>bP</v>
      </c>
      <c r="CJ162" s="11" t="str">
        <f aca="false">IF($P162=0,CJ161,IF(CJ$3=$E162,IF($AA162=1,$F162&amp;$AB162,$G162),IF(OR(CJ$3=$D162,CJ$3=$AC162,CJ$3=$AE162),"",IF(CJ$3=$AD162,$F162&amp;"R",CJ161))))</f>
        <v>bP</v>
      </c>
      <c r="CK162" s="11" t="str">
        <f aca="false">IF($P162=0,CK161,IF(CK$3=$E162,IF($AA162=1,$F162&amp;$AB162,$G162),IF(OR(CK$3=$D162,CK$3=$AC162,CK$3=$AE162),"",IF(CK$3=$AD162,$F162&amp;"R",CK161))))</f>
        <v>bP</v>
      </c>
      <c r="CL162" s="11" t="str">
        <f aca="false">IF($P162=0,CL161,IF(CL$3=$E162,IF($AA162=1,$F162&amp;$AB162,$G162),IF(OR(CL$3=$D162,CL$3=$AC162,CL$3=$AE162),"",IF(CL$3=$AD162,$F162&amp;"R",CL161))))</f>
        <v>bR</v>
      </c>
      <c r="CM162" s="11" t="str">
        <f aca="false">IF($P162=0,CM161,IF(CM$3=$E162,IF($AA162=1,$F162&amp;$AB162,$G162),IF(OR(CM$3=$D162,CM$3=$AC162,CM$3=$AE162),"",IF(CM$3=$AD162,$F162&amp;"R",CM161))))</f>
        <v>bN</v>
      </c>
      <c r="CN162" s="11" t="str">
        <f aca="false">IF($P162=0,CN161,IF(CN$3=$E162,IF($AA162=1,$F162&amp;$AB162,$G162),IF(OR(CN$3=$D162,CN$3=$AC162,CN$3=$AE162),"",IF(CN$3=$AD162,$F162&amp;"R",CN161))))</f>
        <v>bB</v>
      </c>
      <c r="CO162" s="11" t="str">
        <f aca="false">IF($P162=0,CO161,IF(CO$3=$E162,IF($AA162=1,$F162&amp;$AB162,$G162),IF(OR(CO$3=$D162,CO$3=$AC162,CO$3=$AE162),"",IF(CO$3=$AD162,$F162&amp;"R",CO161))))</f>
        <v>bQ</v>
      </c>
      <c r="CP162" s="11" t="str">
        <f aca="false">IF($P162=0,CP161,IF(CP$3=$E162,IF($AA162=1,$F162&amp;$AB162,$G162),IF(OR(CP$3=$D162,CP$3=$AC162,CP$3=$AE162),"",IF(CP$3=$AD162,$F162&amp;"R",CP161))))</f>
        <v>bK</v>
      </c>
      <c r="CQ162" s="11" t="str">
        <f aca="false">IF($P162=0,CQ161,IF(CQ$3=$E162,IF($AA162=1,$F162&amp;$AB162,$G162),IF(OR(CQ$3=$D162,CQ$3=$AC162,CQ$3=$AE162),"",IF(CQ$3=$AD162,$F162&amp;"R",CQ161))))</f>
        <v>bB</v>
      </c>
      <c r="CR162" s="11" t="str">
        <f aca="false">IF($P162=0,CR161,IF(CR$3=$E162,IF($AA162=1,$F162&amp;$AB162,$G162),IF(OR(CR$3=$D162,CR$3=$AC162,CR$3=$AE162),"",IF(CR$3=$AD162,$F162&amp;"R",CR161))))</f>
        <v>bN</v>
      </c>
      <c r="CS162" s="11" t="str">
        <f aca="false">IF($P162=0,CS161,IF(CS$3=$E162,IF($AA162=1,$F162&amp;$AB162,$G162),IF(OR(CS$3=$D162,CS$3=$AC162,CS$3=$AE162),"",IF(CS$3=$AD162,$F162&amp;"R",CS161))))</f>
        <v>bR</v>
      </c>
      <c r="CT162" s="11"/>
      <c r="CU162" s="11"/>
      <c r="CV162" s="11"/>
    </row>
    <row r="163" customFormat="false" ht="15" hidden="false" customHeight="false" outlineLevel="0" collapsed="false">
      <c r="A163" s="11" t="n">
        <v>158</v>
      </c>
      <c r="B163" s="11" t="str">
        <f aca="false">IF(Chess!$L$167="","",Chess!$L$167&amp;"")</f>
        <v/>
      </c>
      <c r="C163" s="11" t="str">
        <f aca="false">LOWER(SUBSTITUTE(SUBSTITUTE(SUBSTITUTE(SUBSTITUTE(TRIM($B163),"-",""),"=","")," ",""),"x",""))</f>
        <v/>
      </c>
      <c r="D163" s="11" t="n">
        <f aca="false">IF(LEN($C163)&lt;4,0,IFERROR(IF(AND(CODE(MID($C163,1,1))&gt;=97,CODE(MID($C163,1,1))&lt;=104,VALUE(MID($C163,2,1))&gt;=1,VALUE(MID($C163,2,1))&lt;=8),(VALUE(MID($C163,2,1))-1)*8+CODE(MID($C163,1,1))-96,0),0))</f>
        <v>0</v>
      </c>
      <c r="E163" s="11" t="n">
        <f aca="false">IF(LEN($C163)&lt;4,0,IFERROR(IF(AND(CODE(MID($C163,3,1))&gt;=97,CODE(MID($C163,3,1))&lt;=104,VALUE(MID($C163,4,1))&gt;=1,VALUE(MID($C163,4,1))&lt;=8),(VALUE(MID($C163,4,1))-1)*8+CODE(MID($C163,3,1))-96,0),0))</f>
        <v>0</v>
      </c>
      <c r="F163" s="11" t="str">
        <f aca="false">IF(MOD(SUM($P$5:$P162),2)=0,"w","b")</f>
        <v>w</v>
      </c>
      <c r="G163" s="11" t="str">
        <f aca="false">IF($D163=0,"",INDEX($AH162:$CS162,1,$D163)&amp;"")</f>
        <v/>
      </c>
      <c r="H163" s="11" t="str">
        <f aca="false">IF($E163=0,"",INDEX($AH162:$CS162,1,$E163)&amp;"")</f>
        <v/>
      </c>
      <c r="I163" s="11" t="n">
        <f aca="false">IF(OR($D163=0,$E163=0),0,MOD($E163-1,8)-MOD($D163-1,8))</f>
        <v>0</v>
      </c>
      <c r="J163" s="11" t="n">
        <f aca="false">IF(OR($D163=0,$E163=0),0,INT(($E163-1)/8)-INT(($D163-1)/8))</f>
        <v>0</v>
      </c>
      <c r="K163" s="11" t="str">
        <f aca="false">IF($G163="","",RIGHT($G163,1))</f>
        <v/>
      </c>
      <c r="L163" s="11" t="n">
        <f aca="false">IF(OR($D163=0,$E163=0),0,SUMPRODUCT(($AH$3:$CS$3&gt;MIN($D163,$E163))*($AH$3:$CS$3&lt;MAX($D163,$E163))*(MOD($AH$3:$CS$3-MIN($D163,$E163),MAX(1,ABS(SIGN($J163)*8+SIGN($I163))))=0)*($AH162:$CS162&lt;&gt;"")))</f>
        <v>0</v>
      </c>
      <c r="M163" s="11" t="n">
        <f aca="false">IF($K163&lt;&gt;"K",0,IFERROR(--AND($J163=0,ABS($I163)=2,$D163=IF($F163="w",5,61),IF($F163="w",$S162,$V162)=0,IF($I163=2,AND(IF($F163="w",$U162,$X162)=0,INDEX($AH162:$CS162,1,$D163+1)&amp;""="",INDEX($AH162:$CS162,1,$D163+2)&amp;""=""),AND(IF($F163="w",$T162,$W162)=0,INDEX($AH162:$CS162,1,$D163-1)&amp;""="",INDEX($AH162:$CS162,1,$D163-2)&amp;""="",INDEX($AH162:$CS162,1,$D163-3)&amp;""=""))),0))</f>
        <v>0</v>
      </c>
      <c r="N163" s="11" t="n">
        <f aca="false">IF($K163&lt;&gt;"P",0,IFERROR(--OR(AND($I163=0,$J163=IF($F163="w",1,-1),$H163=""),AND($I163=0,$J163=2*IF($F163="w",1,-1),$H163="",INT(($D163-1)/8)=IF($F163="w",1,6),INDEX($AH162:$CS162,1,MAX(1,MIN(64,$D163+8*IF($F163="w",1,-1))))&amp;""=""),AND(ABS($I163)=1,$J163=IF($F163="w",1,-1),$H163&lt;&gt;""),AND(ABS($I163)=1,$J163=IF($F163="w",1,-1),$H163="",$R162&gt;0,$E163=$R162)),0))</f>
        <v>0</v>
      </c>
      <c r="O163" s="11" t="n">
        <f aca="false">IF(OR($D163=0,$E163=0,$G163=""),0,IF($K163="N",--OR(AND(ABS($I163)=1,ABS($J163)=2),AND(ABS($I163)=2,ABS($J163)=1)),IF($K163="B",--AND(ABS($I163)=ABS($J163),$I163&lt;&gt;0,$L163=0),IF($K163="R",--AND(OR($I163=0,$J163=0),OR($I163&lt;&gt;0,$J163&lt;&gt;0),$L163=0),IF($K163="Q",--AND(OR(AND(ABS($I163)=ABS($J163),$I163&lt;&gt;0),AND(OR($I163=0,$J163=0),OR($I163&lt;&gt;0,$J163&lt;&gt;0))),$L163=0),IF($K163="K",--OR(MAX(ABS($I163),ABS($J163))=1,$M163=1),$N163))))))</f>
        <v>0</v>
      </c>
      <c r="P163" s="11" t="n">
        <f aca="false">IF($Q163="OK",1,0)</f>
        <v>0</v>
      </c>
      <c r="Q163" s="11" t="str">
        <f aca="false">IF($B163="","",IF(OR(COUNTIF($AH162:$CS162,"wK")=0,COUNTIF($AH162:$CS162,"bK")=0),"Game is over",IF(OR($D163=0,$E163=0),"Use the format e2e4",IF($G163="","No piece on that square",IF(LEFT($G163,1)&lt;&gt;$F163,"Not your piece ("&amp;IF($F163="w","White","Black")&amp;" to move)",IF($D163=$E163,"Piece must move",IF(AND($H163&lt;&gt;"",LEFT($H163,1)=$F163),"Cannot capture your own piece",IF($O163=0,"Illegal move for that piece (or path blocked)","OK"))))))))</f>
        <v/>
      </c>
      <c r="R163" s="11" t="n">
        <f aca="false">IF($P163=1,IF(AND($K163="P",ABS($J163)=2),($D163+$E163)/2,0),$R162)</f>
        <v>0</v>
      </c>
      <c r="S163" s="12" t="b">
        <f aca="false">--OR($S162=1,AND($P163=1,OR($D163=5,$E163=5)))</f>
        <v>0</v>
      </c>
      <c r="T163" s="12" t="b">
        <f aca="false">--OR($T162=1,AND($P163=1,OR($D163=1,$E163=1)))</f>
        <v>0</v>
      </c>
      <c r="U163" s="12" t="b">
        <f aca="false">--OR($U162=1,AND($P163=1,OR($D163=8,$E163=8)))</f>
        <v>0</v>
      </c>
      <c r="V163" s="12" t="b">
        <f aca="false">--OR($V162=1,AND($P163=1,OR($D163=61,$E163=61)))</f>
        <v>0</v>
      </c>
      <c r="W163" s="12" t="b">
        <f aca="false">--OR($W162=1,AND($P163=1,OR($D163=57,$E163=57)))</f>
        <v>0</v>
      </c>
      <c r="X163" s="12" t="b">
        <f aca="false">--OR($X162=1,AND($P163=1,OR($D163=64,$E163=64)))</f>
        <v>0</v>
      </c>
      <c r="Y163" s="12" t="b">
        <f aca="false">--AND($P163=1,$K163="K",ABS($I163)=2)</f>
        <v>0</v>
      </c>
      <c r="Z163" s="12" t="b">
        <f aca="false">--AND($P163=1,$K163="P",ABS($I163)=1,$H163="")</f>
        <v>0</v>
      </c>
      <c r="AA163" s="12" t="b">
        <f aca="false">--AND($P163=1,$K163="P",INT(($E163-1)/8)=IF($F163="w",7,0))</f>
        <v>0</v>
      </c>
      <c r="AB163" s="11" t="str">
        <f aca="false">IF(LEN($C163)&gt;=5,IF(ISNUMBER(FIND(MID($C163,5,1),"qrbn")),UPPER(MID($C163,5,1)),"Q"),"Q")</f>
        <v>Q</v>
      </c>
      <c r="AC163" s="11" t="n">
        <f aca="false">IF($Y163=1,IF($I163=2,$D163+3,$D163-4),0)</f>
        <v>0</v>
      </c>
      <c r="AD163" s="11" t="n">
        <f aca="false">IF($Y163=1,IF($I163=2,$D163+1,$D163-1),0)</f>
        <v>0</v>
      </c>
      <c r="AE163" s="11" t="n">
        <f aca="false">IF($Z163=1,$E163-8*IF($F163="w",1,-1),0)</f>
        <v>0</v>
      </c>
      <c r="AF163" s="11" t="str">
        <f aca="false">IF($B163="","",IF($P163=1,LOWER(INDEX($CV$2:$CV$13,MATCH($G163,$CU$2:$CU$13,0)))&amp;" "&amp;MID("abcdefgh",MOD($D163-1,8)+1,1)&amp;(INT(($D163-1)/8)+1)&amp;"→"&amp;MID("abcdefgh",MOD($E163-1,8)+1,1)&amp;(INT(($E163-1)/8)+1)&amp;IF(OR($H163&lt;&gt;"",$Z163=1)," ×","")&amp;IF($Y163=1," castles","")&amp;IF($Z163=1," e.p.","")&amp;IF($AA163=1," =" &amp;LOWER(INDEX($CV$2:$CV$13,MATCH($F163&amp;$AB163,$CU$2:$CU$13,0))),""),"X "&amp;$Q163))</f>
        <v/>
      </c>
      <c r="AG163" s="11"/>
      <c r="AH163" s="11" t="str">
        <f aca="false">IF($P163=0,AH162,IF(AH$3=$E163,IF($AA163=1,$F163&amp;$AB163,$G163),IF(OR(AH$3=$D163,AH$3=$AC163,AH$3=$AE163),"",IF(AH$3=$AD163,$F163&amp;"R",AH162))))</f>
        <v>wR</v>
      </c>
      <c r="AI163" s="11" t="str">
        <f aca="false">IF($P163=0,AI162,IF(AI$3=$E163,IF($AA163=1,$F163&amp;$AB163,$G163),IF(OR(AI$3=$D163,AI$3=$AC163,AI$3=$AE163),"",IF(AI$3=$AD163,$F163&amp;"R",AI162))))</f>
        <v>wN</v>
      </c>
      <c r="AJ163" s="11" t="str">
        <f aca="false">IF($P163=0,AJ162,IF(AJ$3=$E163,IF($AA163=1,$F163&amp;$AB163,$G163),IF(OR(AJ$3=$D163,AJ$3=$AC163,AJ$3=$AE163),"",IF(AJ$3=$AD163,$F163&amp;"R",AJ162))))</f>
        <v>wB</v>
      </c>
      <c r="AK163" s="11" t="str">
        <f aca="false">IF($P163=0,AK162,IF(AK$3=$E163,IF($AA163=1,$F163&amp;$AB163,$G163),IF(OR(AK$3=$D163,AK$3=$AC163,AK$3=$AE163),"",IF(AK$3=$AD163,$F163&amp;"R",AK162))))</f>
        <v>wQ</v>
      </c>
      <c r="AL163" s="11" t="str">
        <f aca="false">IF($P163=0,AL162,IF(AL$3=$E163,IF($AA163=1,$F163&amp;$AB163,$G163),IF(OR(AL$3=$D163,AL$3=$AC163,AL$3=$AE163),"",IF(AL$3=$AD163,$F163&amp;"R",AL162))))</f>
        <v>wK</v>
      </c>
      <c r="AM163" s="11" t="str">
        <f aca="false">IF($P163=0,AM162,IF(AM$3=$E163,IF($AA163=1,$F163&amp;$AB163,$G163),IF(OR(AM$3=$D163,AM$3=$AC163,AM$3=$AE163),"",IF(AM$3=$AD163,$F163&amp;"R",AM162))))</f>
        <v>wB</v>
      </c>
      <c r="AN163" s="11" t="str">
        <f aca="false">IF($P163=0,AN162,IF(AN$3=$E163,IF($AA163=1,$F163&amp;$AB163,$G163),IF(OR(AN$3=$D163,AN$3=$AC163,AN$3=$AE163),"",IF(AN$3=$AD163,$F163&amp;"R",AN162))))</f>
        <v>wN</v>
      </c>
      <c r="AO163" s="11" t="str">
        <f aca="false">IF($P163=0,AO162,IF(AO$3=$E163,IF($AA163=1,$F163&amp;$AB163,$G163),IF(OR(AO$3=$D163,AO$3=$AC163,AO$3=$AE163),"",IF(AO$3=$AD163,$F163&amp;"R",AO162))))</f>
        <v>wR</v>
      </c>
      <c r="AP163" s="11" t="str">
        <f aca="false">IF($P163=0,AP162,IF(AP$3=$E163,IF($AA163=1,$F163&amp;$AB163,$G163),IF(OR(AP$3=$D163,AP$3=$AC163,AP$3=$AE163),"",IF(AP$3=$AD163,$F163&amp;"R",AP162))))</f>
        <v>wP</v>
      </c>
      <c r="AQ163" s="11" t="str">
        <f aca="false">IF($P163=0,AQ162,IF(AQ$3=$E163,IF($AA163=1,$F163&amp;$AB163,$G163),IF(OR(AQ$3=$D163,AQ$3=$AC163,AQ$3=$AE163),"",IF(AQ$3=$AD163,$F163&amp;"R",AQ162))))</f>
        <v>wP</v>
      </c>
      <c r="AR163" s="11" t="str">
        <f aca="false">IF($P163=0,AR162,IF(AR$3=$E163,IF($AA163=1,$F163&amp;$AB163,$G163),IF(OR(AR$3=$D163,AR$3=$AC163,AR$3=$AE163),"",IF(AR$3=$AD163,$F163&amp;"R",AR162))))</f>
        <v>wP</v>
      </c>
      <c r="AS163" s="11" t="str">
        <f aca="false">IF($P163=0,AS162,IF(AS$3=$E163,IF($AA163=1,$F163&amp;$AB163,$G163),IF(OR(AS$3=$D163,AS$3=$AC163,AS$3=$AE163),"",IF(AS$3=$AD163,$F163&amp;"R",AS162))))</f>
        <v>wP</v>
      </c>
      <c r="AT163" s="11" t="str">
        <f aca="false">IF($P163=0,AT162,IF(AT$3=$E163,IF($AA163=1,$F163&amp;$AB163,$G163),IF(OR(AT$3=$D163,AT$3=$AC163,AT$3=$AE163),"",IF(AT$3=$AD163,$F163&amp;"R",AT162))))</f>
        <v>wP</v>
      </c>
      <c r="AU163" s="11" t="str">
        <f aca="false">IF($P163=0,AU162,IF(AU$3=$E163,IF($AA163=1,$F163&amp;$AB163,$G163),IF(OR(AU$3=$D163,AU$3=$AC163,AU$3=$AE163),"",IF(AU$3=$AD163,$F163&amp;"R",AU162))))</f>
        <v>wP</v>
      </c>
      <c r="AV163" s="11" t="str">
        <f aca="false">IF($P163=0,AV162,IF(AV$3=$E163,IF($AA163=1,$F163&amp;$AB163,$G163),IF(OR(AV$3=$D163,AV$3=$AC163,AV$3=$AE163),"",IF(AV$3=$AD163,$F163&amp;"R",AV162))))</f>
        <v>wP</v>
      </c>
      <c r="AW163" s="11" t="str">
        <f aca="false">IF($P163=0,AW162,IF(AW$3=$E163,IF($AA163=1,$F163&amp;$AB163,$G163),IF(OR(AW$3=$D163,AW$3=$AC163,AW$3=$AE163),"",IF(AW$3=$AD163,$F163&amp;"R",AW162))))</f>
        <v>wP</v>
      </c>
      <c r="AX163" s="11" t="str">
        <f aca="false">IF($P163=0,AX162,IF(AX$3=$E163,IF($AA163=1,$F163&amp;$AB163,$G163),IF(OR(AX$3=$D163,AX$3=$AC163,AX$3=$AE163),"",IF(AX$3=$AD163,$F163&amp;"R",AX162))))</f>
        <v/>
      </c>
      <c r="AY163" s="11" t="str">
        <f aca="false">IF($P163=0,AY162,IF(AY$3=$E163,IF($AA163=1,$F163&amp;$AB163,$G163),IF(OR(AY$3=$D163,AY$3=$AC163,AY$3=$AE163),"",IF(AY$3=$AD163,$F163&amp;"R",AY162))))</f>
        <v/>
      </c>
      <c r="AZ163" s="11" t="str">
        <f aca="false">IF($P163=0,AZ162,IF(AZ$3=$E163,IF($AA163=1,$F163&amp;$AB163,$G163),IF(OR(AZ$3=$D163,AZ$3=$AC163,AZ$3=$AE163),"",IF(AZ$3=$AD163,$F163&amp;"R",AZ162))))</f>
        <v/>
      </c>
      <c r="BA163" s="11" t="str">
        <f aca="false">IF($P163=0,BA162,IF(BA$3=$E163,IF($AA163=1,$F163&amp;$AB163,$G163),IF(OR(BA$3=$D163,BA$3=$AC163,BA$3=$AE163),"",IF(BA$3=$AD163,$F163&amp;"R",BA162))))</f>
        <v/>
      </c>
      <c r="BB163" s="11" t="str">
        <f aca="false">IF($P163=0,BB162,IF(BB$3=$E163,IF($AA163=1,$F163&amp;$AB163,$G163),IF(OR(BB$3=$D163,BB$3=$AC163,BB$3=$AE163),"",IF(BB$3=$AD163,$F163&amp;"R",BB162))))</f>
        <v/>
      </c>
      <c r="BC163" s="11" t="str">
        <f aca="false">IF($P163=0,BC162,IF(BC$3=$E163,IF($AA163=1,$F163&amp;$AB163,$G163),IF(OR(BC$3=$D163,BC$3=$AC163,BC$3=$AE163),"",IF(BC$3=$AD163,$F163&amp;"R",BC162))))</f>
        <v/>
      </c>
      <c r="BD163" s="11" t="str">
        <f aca="false">IF($P163=0,BD162,IF(BD$3=$E163,IF($AA163=1,$F163&amp;$AB163,$G163),IF(OR(BD$3=$D163,BD$3=$AC163,BD$3=$AE163),"",IF(BD$3=$AD163,$F163&amp;"R",BD162))))</f>
        <v/>
      </c>
      <c r="BE163" s="11" t="str">
        <f aca="false">IF($P163=0,BE162,IF(BE$3=$E163,IF($AA163=1,$F163&amp;$AB163,$G163),IF(OR(BE$3=$D163,BE$3=$AC163,BE$3=$AE163),"",IF(BE$3=$AD163,$F163&amp;"R",BE162))))</f>
        <v/>
      </c>
      <c r="BF163" s="11" t="str">
        <f aca="false">IF($P163=0,BF162,IF(BF$3=$E163,IF($AA163=1,$F163&amp;$AB163,$G163),IF(OR(BF$3=$D163,BF$3=$AC163,BF$3=$AE163),"",IF(BF$3=$AD163,$F163&amp;"R",BF162))))</f>
        <v/>
      </c>
      <c r="BG163" s="11" t="str">
        <f aca="false">IF($P163=0,BG162,IF(BG$3=$E163,IF($AA163=1,$F163&amp;$AB163,$G163),IF(OR(BG$3=$D163,BG$3=$AC163,BG$3=$AE163),"",IF(BG$3=$AD163,$F163&amp;"R",BG162))))</f>
        <v/>
      </c>
      <c r="BH163" s="11" t="str">
        <f aca="false">IF($P163=0,BH162,IF(BH$3=$E163,IF($AA163=1,$F163&amp;$AB163,$G163),IF(OR(BH$3=$D163,BH$3=$AC163,BH$3=$AE163),"",IF(BH$3=$AD163,$F163&amp;"R",BH162))))</f>
        <v/>
      </c>
      <c r="BI163" s="11" t="str">
        <f aca="false">IF($P163=0,BI162,IF(BI$3=$E163,IF($AA163=1,$F163&amp;$AB163,$G163),IF(OR(BI$3=$D163,BI$3=$AC163,BI$3=$AE163),"",IF(BI$3=$AD163,$F163&amp;"R",BI162))))</f>
        <v/>
      </c>
      <c r="BJ163" s="11" t="str">
        <f aca="false">IF($P163=0,BJ162,IF(BJ$3=$E163,IF($AA163=1,$F163&amp;$AB163,$G163),IF(OR(BJ$3=$D163,BJ$3=$AC163,BJ$3=$AE163),"",IF(BJ$3=$AD163,$F163&amp;"R",BJ162))))</f>
        <v/>
      </c>
      <c r="BK163" s="11" t="str">
        <f aca="false">IF($P163=0,BK162,IF(BK$3=$E163,IF($AA163=1,$F163&amp;$AB163,$G163),IF(OR(BK$3=$D163,BK$3=$AC163,BK$3=$AE163),"",IF(BK$3=$AD163,$F163&amp;"R",BK162))))</f>
        <v/>
      </c>
      <c r="BL163" s="11" t="str">
        <f aca="false">IF($P163=0,BL162,IF(BL$3=$E163,IF($AA163=1,$F163&amp;$AB163,$G163),IF(OR(BL$3=$D163,BL$3=$AC163,BL$3=$AE163),"",IF(BL$3=$AD163,$F163&amp;"R",BL162))))</f>
        <v/>
      </c>
      <c r="BM163" s="11" t="str">
        <f aca="false">IF($P163=0,BM162,IF(BM$3=$E163,IF($AA163=1,$F163&amp;$AB163,$G163),IF(OR(BM$3=$D163,BM$3=$AC163,BM$3=$AE163),"",IF(BM$3=$AD163,$F163&amp;"R",BM162))))</f>
        <v/>
      </c>
      <c r="BN163" s="11" t="str">
        <f aca="false">IF($P163=0,BN162,IF(BN$3=$E163,IF($AA163=1,$F163&amp;$AB163,$G163),IF(OR(BN$3=$D163,BN$3=$AC163,BN$3=$AE163),"",IF(BN$3=$AD163,$F163&amp;"R",BN162))))</f>
        <v/>
      </c>
      <c r="BO163" s="11" t="str">
        <f aca="false">IF($P163=0,BO162,IF(BO$3=$E163,IF($AA163=1,$F163&amp;$AB163,$G163),IF(OR(BO$3=$D163,BO$3=$AC163,BO$3=$AE163),"",IF(BO$3=$AD163,$F163&amp;"R",BO162))))</f>
        <v/>
      </c>
      <c r="BP163" s="11" t="str">
        <f aca="false">IF($P163=0,BP162,IF(BP$3=$E163,IF($AA163=1,$F163&amp;$AB163,$G163),IF(OR(BP$3=$D163,BP$3=$AC163,BP$3=$AE163),"",IF(BP$3=$AD163,$F163&amp;"R",BP162))))</f>
        <v/>
      </c>
      <c r="BQ163" s="11" t="str">
        <f aca="false">IF($P163=0,BQ162,IF(BQ$3=$E163,IF($AA163=1,$F163&amp;$AB163,$G163),IF(OR(BQ$3=$D163,BQ$3=$AC163,BQ$3=$AE163),"",IF(BQ$3=$AD163,$F163&amp;"R",BQ162))))</f>
        <v/>
      </c>
      <c r="BR163" s="11" t="str">
        <f aca="false">IF($P163=0,BR162,IF(BR$3=$E163,IF($AA163=1,$F163&amp;$AB163,$G163),IF(OR(BR$3=$D163,BR$3=$AC163,BR$3=$AE163),"",IF(BR$3=$AD163,$F163&amp;"R",BR162))))</f>
        <v/>
      </c>
      <c r="BS163" s="11" t="str">
        <f aca="false">IF($P163=0,BS162,IF(BS$3=$E163,IF($AA163=1,$F163&amp;$AB163,$G163),IF(OR(BS$3=$D163,BS$3=$AC163,BS$3=$AE163),"",IF(BS$3=$AD163,$F163&amp;"R",BS162))))</f>
        <v/>
      </c>
      <c r="BT163" s="11" t="str">
        <f aca="false">IF($P163=0,BT162,IF(BT$3=$E163,IF($AA163=1,$F163&amp;$AB163,$G163),IF(OR(BT$3=$D163,BT$3=$AC163,BT$3=$AE163),"",IF(BT$3=$AD163,$F163&amp;"R",BT162))))</f>
        <v/>
      </c>
      <c r="BU163" s="11" t="str">
        <f aca="false">IF($P163=0,BU162,IF(BU$3=$E163,IF($AA163=1,$F163&amp;$AB163,$G163),IF(OR(BU$3=$D163,BU$3=$AC163,BU$3=$AE163),"",IF(BU$3=$AD163,$F163&amp;"R",BU162))))</f>
        <v/>
      </c>
      <c r="BV163" s="11" t="str">
        <f aca="false">IF($P163=0,BV162,IF(BV$3=$E163,IF($AA163=1,$F163&amp;$AB163,$G163),IF(OR(BV$3=$D163,BV$3=$AC163,BV$3=$AE163),"",IF(BV$3=$AD163,$F163&amp;"R",BV162))))</f>
        <v/>
      </c>
      <c r="BW163" s="11" t="str">
        <f aca="false">IF($P163=0,BW162,IF(BW$3=$E163,IF($AA163=1,$F163&amp;$AB163,$G163),IF(OR(BW$3=$D163,BW$3=$AC163,BW$3=$AE163),"",IF(BW$3=$AD163,$F163&amp;"R",BW162))))</f>
        <v/>
      </c>
      <c r="BX163" s="11" t="str">
        <f aca="false">IF($P163=0,BX162,IF(BX$3=$E163,IF($AA163=1,$F163&amp;$AB163,$G163),IF(OR(BX$3=$D163,BX$3=$AC163,BX$3=$AE163),"",IF(BX$3=$AD163,$F163&amp;"R",BX162))))</f>
        <v/>
      </c>
      <c r="BY163" s="11" t="str">
        <f aca="false">IF($P163=0,BY162,IF(BY$3=$E163,IF($AA163=1,$F163&amp;$AB163,$G163),IF(OR(BY$3=$D163,BY$3=$AC163,BY$3=$AE163),"",IF(BY$3=$AD163,$F163&amp;"R",BY162))))</f>
        <v/>
      </c>
      <c r="BZ163" s="11" t="str">
        <f aca="false">IF($P163=0,BZ162,IF(BZ$3=$E163,IF($AA163=1,$F163&amp;$AB163,$G163),IF(OR(BZ$3=$D163,BZ$3=$AC163,BZ$3=$AE163),"",IF(BZ$3=$AD163,$F163&amp;"R",BZ162))))</f>
        <v/>
      </c>
      <c r="CA163" s="11" t="str">
        <f aca="false">IF($P163=0,CA162,IF(CA$3=$E163,IF($AA163=1,$F163&amp;$AB163,$G163),IF(OR(CA$3=$D163,CA$3=$AC163,CA$3=$AE163),"",IF(CA$3=$AD163,$F163&amp;"R",CA162))))</f>
        <v/>
      </c>
      <c r="CB163" s="11" t="str">
        <f aca="false">IF($P163=0,CB162,IF(CB$3=$E163,IF($AA163=1,$F163&amp;$AB163,$G163),IF(OR(CB$3=$D163,CB$3=$AC163,CB$3=$AE163),"",IF(CB$3=$AD163,$F163&amp;"R",CB162))))</f>
        <v/>
      </c>
      <c r="CC163" s="11" t="str">
        <f aca="false">IF($P163=0,CC162,IF(CC$3=$E163,IF($AA163=1,$F163&amp;$AB163,$G163),IF(OR(CC$3=$D163,CC$3=$AC163,CC$3=$AE163),"",IF(CC$3=$AD163,$F163&amp;"R",CC162))))</f>
        <v/>
      </c>
      <c r="CD163" s="11" t="str">
        <f aca="false">IF($P163=0,CD162,IF(CD$3=$E163,IF($AA163=1,$F163&amp;$AB163,$G163),IF(OR(CD$3=$D163,CD$3=$AC163,CD$3=$AE163),"",IF(CD$3=$AD163,$F163&amp;"R",CD162))))</f>
        <v>bP</v>
      </c>
      <c r="CE163" s="11" t="str">
        <f aca="false">IF($P163=0,CE162,IF(CE$3=$E163,IF($AA163=1,$F163&amp;$AB163,$G163),IF(OR(CE$3=$D163,CE$3=$AC163,CE$3=$AE163),"",IF(CE$3=$AD163,$F163&amp;"R",CE162))))</f>
        <v>bP</v>
      </c>
      <c r="CF163" s="11" t="str">
        <f aca="false">IF($P163=0,CF162,IF(CF$3=$E163,IF($AA163=1,$F163&amp;$AB163,$G163),IF(OR(CF$3=$D163,CF$3=$AC163,CF$3=$AE163),"",IF(CF$3=$AD163,$F163&amp;"R",CF162))))</f>
        <v>bP</v>
      </c>
      <c r="CG163" s="11" t="str">
        <f aca="false">IF($P163=0,CG162,IF(CG$3=$E163,IF($AA163=1,$F163&amp;$AB163,$G163),IF(OR(CG$3=$D163,CG$3=$AC163,CG$3=$AE163),"",IF(CG$3=$AD163,$F163&amp;"R",CG162))))</f>
        <v>bP</v>
      </c>
      <c r="CH163" s="11" t="str">
        <f aca="false">IF($P163=0,CH162,IF(CH$3=$E163,IF($AA163=1,$F163&amp;$AB163,$G163),IF(OR(CH$3=$D163,CH$3=$AC163,CH$3=$AE163),"",IF(CH$3=$AD163,$F163&amp;"R",CH162))))</f>
        <v>bP</v>
      </c>
      <c r="CI163" s="11" t="str">
        <f aca="false">IF($P163=0,CI162,IF(CI$3=$E163,IF($AA163=1,$F163&amp;$AB163,$G163),IF(OR(CI$3=$D163,CI$3=$AC163,CI$3=$AE163),"",IF(CI$3=$AD163,$F163&amp;"R",CI162))))</f>
        <v>bP</v>
      </c>
      <c r="CJ163" s="11" t="str">
        <f aca="false">IF($P163=0,CJ162,IF(CJ$3=$E163,IF($AA163=1,$F163&amp;$AB163,$G163),IF(OR(CJ$3=$D163,CJ$3=$AC163,CJ$3=$AE163),"",IF(CJ$3=$AD163,$F163&amp;"R",CJ162))))</f>
        <v>bP</v>
      </c>
      <c r="CK163" s="11" t="str">
        <f aca="false">IF($P163=0,CK162,IF(CK$3=$E163,IF($AA163=1,$F163&amp;$AB163,$G163),IF(OR(CK$3=$D163,CK$3=$AC163,CK$3=$AE163),"",IF(CK$3=$AD163,$F163&amp;"R",CK162))))</f>
        <v>bP</v>
      </c>
      <c r="CL163" s="11" t="str">
        <f aca="false">IF($P163=0,CL162,IF(CL$3=$E163,IF($AA163=1,$F163&amp;$AB163,$G163),IF(OR(CL$3=$D163,CL$3=$AC163,CL$3=$AE163),"",IF(CL$3=$AD163,$F163&amp;"R",CL162))))</f>
        <v>bR</v>
      </c>
      <c r="CM163" s="11" t="str">
        <f aca="false">IF($P163=0,CM162,IF(CM$3=$E163,IF($AA163=1,$F163&amp;$AB163,$G163),IF(OR(CM$3=$D163,CM$3=$AC163,CM$3=$AE163),"",IF(CM$3=$AD163,$F163&amp;"R",CM162))))</f>
        <v>bN</v>
      </c>
      <c r="CN163" s="11" t="str">
        <f aca="false">IF($P163=0,CN162,IF(CN$3=$E163,IF($AA163=1,$F163&amp;$AB163,$G163),IF(OR(CN$3=$D163,CN$3=$AC163,CN$3=$AE163),"",IF(CN$3=$AD163,$F163&amp;"R",CN162))))</f>
        <v>bB</v>
      </c>
      <c r="CO163" s="11" t="str">
        <f aca="false">IF($P163=0,CO162,IF(CO$3=$E163,IF($AA163=1,$F163&amp;$AB163,$G163),IF(OR(CO$3=$D163,CO$3=$AC163,CO$3=$AE163),"",IF(CO$3=$AD163,$F163&amp;"R",CO162))))</f>
        <v>bQ</v>
      </c>
      <c r="CP163" s="11" t="str">
        <f aca="false">IF($P163=0,CP162,IF(CP$3=$E163,IF($AA163=1,$F163&amp;$AB163,$G163),IF(OR(CP$3=$D163,CP$3=$AC163,CP$3=$AE163),"",IF(CP$3=$AD163,$F163&amp;"R",CP162))))</f>
        <v>bK</v>
      </c>
      <c r="CQ163" s="11" t="str">
        <f aca="false">IF($P163=0,CQ162,IF(CQ$3=$E163,IF($AA163=1,$F163&amp;$AB163,$G163),IF(OR(CQ$3=$D163,CQ$3=$AC163,CQ$3=$AE163),"",IF(CQ$3=$AD163,$F163&amp;"R",CQ162))))</f>
        <v>bB</v>
      </c>
      <c r="CR163" s="11" t="str">
        <f aca="false">IF($P163=0,CR162,IF(CR$3=$E163,IF($AA163=1,$F163&amp;$AB163,$G163),IF(OR(CR$3=$D163,CR$3=$AC163,CR$3=$AE163),"",IF(CR$3=$AD163,$F163&amp;"R",CR162))))</f>
        <v>bN</v>
      </c>
      <c r="CS163" s="11" t="str">
        <f aca="false">IF($P163=0,CS162,IF(CS$3=$E163,IF($AA163=1,$F163&amp;$AB163,$G163),IF(OR(CS$3=$D163,CS$3=$AC163,CS$3=$AE163),"",IF(CS$3=$AD163,$F163&amp;"R",CS162))))</f>
        <v>bR</v>
      </c>
      <c r="CT163" s="11"/>
      <c r="CU163" s="11"/>
      <c r="CV163" s="11"/>
    </row>
    <row r="164" customFormat="false" ht="15" hidden="false" customHeight="false" outlineLevel="0" collapsed="false">
      <c r="A164" s="11" t="n">
        <v>159</v>
      </c>
      <c r="B164" s="11" t="str">
        <f aca="false">IF(Chess!$L$168="","",Chess!$L$168&amp;"")</f>
        <v/>
      </c>
      <c r="C164" s="11" t="str">
        <f aca="false">LOWER(SUBSTITUTE(SUBSTITUTE(SUBSTITUTE(SUBSTITUTE(TRIM($B164),"-",""),"=","")," ",""),"x",""))</f>
        <v/>
      </c>
      <c r="D164" s="11" t="n">
        <f aca="false">IF(LEN($C164)&lt;4,0,IFERROR(IF(AND(CODE(MID($C164,1,1))&gt;=97,CODE(MID($C164,1,1))&lt;=104,VALUE(MID($C164,2,1))&gt;=1,VALUE(MID($C164,2,1))&lt;=8),(VALUE(MID($C164,2,1))-1)*8+CODE(MID($C164,1,1))-96,0),0))</f>
        <v>0</v>
      </c>
      <c r="E164" s="11" t="n">
        <f aca="false">IF(LEN($C164)&lt;4,0,IFERROR(IF(AND(CODE(MID($C164,3,1))&gt;=97,CODE(MID($C164,3,1))&lt;=104,VALUE(MID($C164,4,1))&gt;=1,VALUE(MID($C164,4,1))&lt;=8),(VALUE(MID($C164,4,1))-1)*8+CODE(MID($C164,3,1))-96,0),0))</f>
        <v>0</v>
      </c>
      <c r="F164" s="11" t="str">
        <f aca="false">IF(MOD(SUM($P$5:$P163),2)=0,"w","b")</f>
        <v>w</v>
      </c>
      <c r="G164" s="11" t="str">
        <f aca="false">IF($D164=0,"",INDEX($AH163:$CS163,1,$D164)&amp;"")</f>
        <v/>
      </c>
      <c r="H164" s="11" t="str">
        <f aca="false">IF($E164=0,"",INDEX($AH163:$CS163,1,$E164)&amp;"")</f>
        <v/>
      </c>
      <c r="I164" s="11" t="n">
        <f aca="false">IF(OR($D164=0,$E164=0),0,MOD($E164-1,8)-MOD($D164-1,8))</f>
        <v>0</v>
      </c>
      <c r="J164" s="11" t="n">
        <f aca="false">IF(OR($D164=0,$E164=0),0,INT(($E164-1)/8)-INT(($D164-1)/8))</f>
        <v>0</v>
      </c>
      <c r="K164" s="11" t="str">
        <f aca="false">IF($G164="","",RIGHT($G164,1))</f>
        <v/>
      </c>
      <c r="L164" s="11" t="n">
        <f aca="false">IF(OR($D164=0,$E164=0),0,SUMPRODUCT(($AH$3:$CS$3&gt;MIN($D164,$E164))*($AH$3:$CS$3&lt;MAX($D164,$E164))*(MOD($AH$3:$CS$3-MIN($D164,$E164),MAX(1,ABS(SIGN($J164)*8+SIGN($I164))))=0)*($AH163:$CS163&lt;&gt;"")))</f>
        <v>0</v>
      </c>
      <c r="M164" s="11" t="n">
        <f aca="false">IF($K164&lt;&gt;"K",0,IFERROR(--AND($J164=0,ABS($I164)=2,$D164=IF($F164="w",5,61),IF($F164="w",$S163,$V163)=0,IF($I164=2,AND(IF($F164="w",$U163,$X163)=0,INDEX($AH163:$CS163,1,$D164+1)&amp;""="",INDEX($AH163:$CS163,1,$D164+2)&amp;""=""),AND(IF($F164="w",$T163,$W163)=0,INDEX($AH163:$CS163,1,$D164-1)&amp;""="",INDEX($AH163:$CS163,1,$D164-2)&amp;""="",INDEX($AH163:$CS163,1,$D164-3)&amp;""=""))),0))</f>
        <v>0</v>
      </c>
      <c r="N164" s="11" t="n">
        <f aca="false">IF($K164&lt;&gt;"P",0,IFERROR(--OR(AND($I164=0,$J164=IF($F164="w",1,-1),$H164=""),AND($I164=0,$J164=2*IF($F164="w",1,-1),$H164="",INT(($D164-1)/8)=IF($F164="w",1,6),INDEX($AH163:$CS163,1,MAX(1,MIN(64,$D164+8*IF($F164="w",1,-1))))&amp;""=""),AND(ABS($I164)=1,$J164=IF($F164="w",1,-1),$H164&lt;&gt;""),AND(ABS($I164)=1,$J164=IF($F164="w",1,-1),$H164="",$R163&gt;0,$E164=$R163)),0))</f>
        <v>0</v>
      </c>
      <c r="O164" s="11" t="n">
        <f aca="false">IF(OR($D164=0,$E164=0,$G164=""),0,IF($K164="N",--OR(AND(ABS($I164)=1,ABS($J164)=2),AND(ABS($I164)=2,ABS($J164)=1)),IF($K164="B",--AND(ABS($I164)=ABS($J164),$I164&lt;&gt;0,$L164=0),IF($K164="R",--AND(OR($I164=0,$J164=0),OR($I164&lt;&gt;0,$J164&lt;&gt;0),$L164=0),IF($K164="Q",--AND(OR(AND(ABS($I164)=ABS($J164),$I164&lt;&gt;0),AND(OR($I164=0,$J164=0),OR($I164&lt;&gt;0,$J164&lt;&gt;0))),$L164=0),IF($K164="K",--OR(MAX(ABS($I164),ABS($J164))=1,$M164=1),$N164))))))</f>
        <v>0</v>
      </c>
      <c r="P164" s="11" t="n">
        <f aca="false">IF($Q164="OK",1,0)</f>
        <v>0</v>
      </c>
      <c r="Q164" s="11" t="str">
        <f aca="false">IF($B164="","",IF(OR(COUNTIF($AH163:$CS163,"wK")=0,COUNTIF($AH163:$CS163,"bK")=0),"Game is over",IF(OR($D164=0,$E164=0),"Use the format e2e4",IF($G164="","No piece on that square",IF(LEFT($G164,1)&lt;&gt;$F164,"Not your piece ("&amp;IF($F164="w","White","Black")&amp;" to move)",IF($D164=$E164,"Piece must move",IF(AND($H164&lt;&gt;"",LEFT($H164,1)=$F164),"Cannot capture your own piece",IF($O164=0,"Illegal move for that piece (or path blocked)","OK"))))))))</f>
        <v/>
      </c>
      <c r="R164" s="11" t="n">
        <f aca="false">IF($P164=1,IF(AND($K164="P",ABS($J164)=2),($D164+$E164)/2,0),$R163)</f>
        <v>0</v>
      </c>
      <c r="S164" s="12" t="b">
        <f aca="false">--OR($S163=1,AND($P164=1,OR($D164=5,$E164=5)))</f>
        <v>0</v>
      </c>
      <c r="T164" s="12" t="b">
        <f aca="false">--OR($T163=1,AND($P164=1,OR($D164=1,$E164=1)))</f>
        <v>0</v>
      </c>
      <c r="U164" s="12" t="b">
        <f aca="false">--OR($U163=1,AND($P164=1,OR($D164=8,$E164=8)))</f>
        <v>0</v>
      </c>
      <c r="V164" s="12" t="b">
        <f aca="false">--OR($V163=1,AND($P164=1,OR($D164=61,$E164=61)))</f>
        <v>0</v>
      </c>
      <c r="W164" s="12" t="b">
        <f aca="false">--OR($W163=1,AND($P164=1,OR($D164=57,$E164=57)))</f>
        <v>0</v>
      </c>
      <c r="X164" s="12" t="b">
        <f aca="false">--OR($X163=1,AND($P164=1,OR($D164=64,$E164=64)))</f>
        <v>0</v>
      </c>
      <c r="Y164" s="12" t="b">
        <f aca="false">--AND($P164=1,$K164="K",ABS($I164)=2)</f>
        <v>0</v>
      </c>
      <c r="Z164" s="12" t="b">
        <f aca="false">--AND($P164=1,$K164="P",ABS($I164)=1,$H164="")</f>
        <v>0</v>
      </c>
      <c r="AA164" s="12" t="b">
        <f aca="false">--AND($P164=1,$K164="P",INT(($E164-1)/8)=IF($F164="w",7,0))</f>
        <v>0</v>
      </c>
      <c r="AB164" s="11" t="str">
        <f aca="false">IF(LEN($C164)&gt;=5,IF(ISNUMBER(FIND(MID($C164,5,1),"qrbn")),UPPER(MID($C164,5,1)),"Q"),"Q")</f>
        <v>Q</v>
      </c>
      <c r="AC164" s="11" t="n">
        <f aca="false">IF($Y164=1,IF($I164=2,$D164+3,$D164-4),0)</f>
        <v>0</v>
      </c>
      <c r="AD164" s="11" t="n">
        <f aca="false">IF($Y164=1,IF($I164=2,$D164+1,$D164-1),0)</f>
        <v>0</v>
      </c>
      <c r="AE164" s="11" t="n">
        <f aca="false">IF($Z164=1,$E164-8*IF($F164="w",1,-1),0)</f>
        <v>0</v>
      </c>
      <c r="AF164" s="11" t="str">
        <f aca="false">IF($B164="","",IF($P164=1,LOWER(INDEX($CV$2:$CV$13,MATCH($G164,$CU$2:$CU$13,0)))&amp;" "&amp;MID("abcdefgh",MOD($D164-1,8)+1,1)&amp;(INT(($D164-1)/8)+1)&amp;"→"&amp;MID("abcdefgh",MOD($E164-1,8)+1,1)&amp;(INT(($E164-1)/8)+1)&amp;IF(OR($H164&lt;&gt;"",$Z164=1)," ×","")&amp;IF($Y164=1," castles","")&amp;IF($Z164=1," e.p.","")&amp;IF($AA164=1," =" &amp;LOWER(INDEX($CV$2:$CV$13,MATCH($F164&amp;$AB164,$CU$2:$CU$13,0))),""),"X "&amp;$Q164))</f>
        <v/>
      </c>
      <c r="AG164" s="11"/>
      <c r="AH164" s="11" t="str">
        <f aca="false">IF($P164=0,AH163,IF(AH$3=$E164,IF($AA164=1,$F164&amp;$AB164,$G164),IF(OR(AH$3=$D164,AH$3=$AC164,AH$3=$AE164),"",IF(AH$3=$AD164,$F164&amp;"R",AH163))))</f>
        <v>wR</v>
      </c>
      <c r="AI164" s="11" t="str">
        <f aca="false">IF($P164=0,AI163,IF(AI$3=$E164,IF($AA164=1,$F164&amp;$AB164,$G164),IF(OR(AI$3=$D164,AI$3=$AC164,AI$3=$AE164),"",IF(AI$3=$AD164,$F164&amp;"R",AI163))))</f>
        <v>wN</v>
      </c>
      <c r="AJ164" s="11" t="str">
        <f aca="false">IF($P164=0,AJ163,IF(AJ$3=$E164,IF($AA164=1,$F164&amp;$AB164,$G164),IF(OR(AJ$3=$D164,AJ$3=$AC164,AJ$3=$AE164),"",IF(AJ$3=$AD164,$F164&amp;"R",AJ163))))</f>
        <v>wB</v>
      </c>
      <c r="AK164" s="11" t="str">
        <f aca="false">IF($P164=0,AK163,IF(AK$3=$E164,IF($AA164=1,$F164&amp;$AB164,$G164),IF(OR(AK$3=$D164,AK$3=$AC164,AK$3=$AE164),"",IF(AK$3=$AD164,$F164&amp;"R",AK163))))</f>
        <v>wQ</v>
      </c>
      <c r="AL164" s="11" t="str">
        <f aca="false">IF($P164=0,AL163,IF(AL$3=$E164,IF($AA164=1,$F164&amp;$AB164,$G164),IF(OR(AL$3=$D164,AL$3=$AC164,AL$3=$AE164),"",IF(AL$3=$AD164,$F164&amp;"R",AL163))))</f>
        <v>wK</v>
      </c>
      <c r="AM164" s="11" t="str">
        <f aca="false">IF($P164=0,AM163,IF(AM$3=$E164,IF($AA164=1,$F164&amp;$AB164,$G164),IF(OR(AM$3=$D164,AM$3=$AC164,AM$3=$AE164),"",IF(AM$3=$AD164,$F164&amp;"R",AM163))))</f>
        <v>wB</v>
      </c>
      <c r="AN164" s="11" t="str">
        <f aca="false">IF($P164=0,AN163,IF(AN$3=$E164,IF($AA164=1,$F164&amp;$AB164,$G164),IF(OR(AN$3=$D164,AN$3=$AC164,AN$3=$AE164),"",IF(AN$3=$AD164,$F164&amp;"R",AN163))))</f>
        <v>wN</v>
      </c>
      <c r="AO164" s="11" t="str">
        <f aca="false">IF($P164=0,AO163,IF(AO$3=$E164,IF($AA164=1,$F164&amp;$AB164,$G164),IF(OR(AO$3=$D164,AO$3=$AC164,AO$3=$AE164),"",IF(AO$3=$AD164,$F164&amp;"R",AO163))))</f>
        <v>wR</v>
      </c>
      <c r="AP164" s="11" t="str">
        <f aca="false">IF($P164=0,AP163,IF(AP$3=$E164,IF($AA164=1,$F164&amp;$AB164,$G164),IF(OR(AP$3=$D164,AP$3=$AC164,AP$3=$AE164),"",IF(AP$3=$AD164,$F164&amp;"R",AP163))))</f>
        <v>wP</v>
      </c>
      <c r="AQ164" s="11" t="str">
        <f aca="false">IF($P164=0,AQ163,IF(AQ$3=$E164,IF($AA164=1,$F164&amp;$AB164,$G164),IF(OR(AQ$3=$D164,AQ$3=$AC164,AQ$3=$AE164),"",IF(AQ$3=$AD164,$F164&amp;"R",AQ163))))</f>
        <v>wP</v>
      </c>
      <c r="AR164" s="11" t="str">
        <f aca="false">IF($P164=0,AR163,IF(AR$3=$E164,IF($AA164=1,$F164&amp;$AB164,$G164),IF(OR(AR$3=$D164,AR$3=$AC164,AR$3=$AE164),"",IF(AR$3=$AD164,$F164&amp;"R",AR163))))</f>
        <v>wP</v>
      </c>
      <c r="AS164" s="11" t="str">
        <f aca="false">IF($P164=0,AS163,IF(AS$3=$E164,IF($AA164=1,$F164&amp;$AB164,$G164),IF(OR(AS$3=$D164,AS$3=$AC164,AS$3=$AE164),"",IF(AS$3=$AD164,$F164&amp;"R",AS163))))</f>
        <v>wP</v>
      </c>
      <c r="AT164" s="11" t="str">
        <f aca="false">IF($P164=0,AT163,IF(AT$3=$E164,IF($AA164=1,$F164&amp;$AB164,$G164),IF(OR(AT$3=$D164,AT$3=$AC164,AT$3=$AE164),"",IF(AT$3=$AD164,$F164&amp;"R",AT163))))</f>
        <v>wP</v>
      </c>
      <c r="AU164" s="11" t="str">
        <f aca="false">IF($P164=0,AU163,IF(AU$3=$E164,IF($AA164=1,$F164&amp;$AB164,$G164),IF(OR(AU$3=$D164,AU$3=$AC164,AU$3=$AE164),"",IF(AU$3=$AD164,$F164&amp;"R",AU163))))</f>
        <v>wP</v>
      </c>
      <c r="AV164" s="11" t="str">
        <f aca="false">IF($P164=0,AV163,IF(AV$3=$E164,IF($AA164=1,$F164&amp;$AB164,$G164),IF(OR(AV$3=$D164,AV$3=$AC164,AV$3=$AE164),"",IF(AV$3=$AD164,$F164&amp;"R",AV163))))</f>
        <v>wP</v>
      </c>
      <c r="AW164" s="11" t="str">
        <f aca="false">IF($P164=0,AW163,IF(AW$3=$E164,IF($AA164=1,$F164&amp;$AB164,$G164),IF(OR(AW$3=$D164,AW$3=$AC164,AW$3=$AE164),"",IF(AW$3=$AD164,$F164&amp;"R",AW163))))</f>
        <v>wP</v>
      </c>
      <c r="AX164" s="11" t="str">
        <f aca="false">IF($P164=0,AX163,IF(AX$3=$E164,IF($AA164=1,$F164&amp;$AB164,$G164),IF(OR(AX$3=$D164,AX$3=$AC164,AX$3=$AE164),"",IF(AX$3=$AD164,$F164&amp;"R",AX163))))</f>
        <v/>
      </c>
      <c r="AY164" s="11" t="str">
        <f aca="false">IF($P164=0,AY163,IF(AY$3=$E164,IF($AA164=1,$F164&amp;$AB164,$G164),IF(OR(AY$3=$D164,AY$3=$AC164,AY$3=$AE164),"",IF(AY$3=$AD164,$F164&amp;"R",AY163))))</f>
        <v/>
      </c>
      <c r="AZ164" s="11" t="str">
        <f aca="false">IF($P164=0,AZ163,IF(AZ$3=$E164,IF($AA164=1,$F164&amp;$AB164,$G164),IF(OR(AZ$3=$D164,AZ$3=$AC164,AZ$3=$AE164),"",IF(AZ$3=$AD164,$F164&amp;"R",AZ163))))</f>
        <v/>
      </c>
      <c r="BA164" s="11" t="str">
        <f aca="false">IF($P164=0,BA163,IF(BA$3=$E164,IF($AA164=1,$F164&amp;$AB164,$G164),IF(OR(BA$3=$D164,BA$3=$AC164,BA$3=$AE164),"",IF(BA$3=$AD164,$F164&amp;"R",BA163))))</f>
        <v/>
      </c>
      <c r="BB164" s="11" t="str">
        <f aca="false">IF($P164=0,BB163,IF(BB$3=$E164,IF($AA164=1,$F164&amp;$AB164,$G164),IF(OR(BB$3=$D164,BB$3=$AC164,BB$3=$AE164),"",IF(BB$3=$AD164,$F164&amp;"R",BB163))))</f>
        <v/>
      </c>
      <c r="BC164" s="11" t="str">
        <f aca="false">IF($P164=0,BC163,IF(BC$3=$E164,IF($AA164=1,$F164&amp;$AB164,$G164),IF(OR(BC$3=$D164,BC$3=$AC164,BC$3=$AE164),"",IF(BC$3=$AD164,$F164&amp;"R",BC163))))</f>
        <v/>
      </c>
      <c r="BD164" s="11" t="str">
        <f aca="false">IF($P164=0,BD163,IF(BD$3=$E164,IF($AA164=1,$F164&amp;$AB164,$G164),IF(OR(BD$3=$D164,BD$3=$AC164,BD$3=$AE164),"",IF(BD$3=$AD164,$F164&amp;"R",BD163))))</f>
        <v/>
      </c>
      <c r="BE164" s="11" t="str">
        <f aca="false">IF($P164=0,BE163,IF(BE$3=$E164,IF($AA164=1,$F164&amp;$AB164,$G164),IF(OR(BE$3=$D164,BE$3=$AC164,BE$3=$AE164),"",IF(BE$3=$AD164,$F164&amp;"R",BE163))))</f>
        <v/>
      </c>
      <c r="BF164" s="11" t="str">
        <f aca="false">IF($P164=0,BF163,IF(BF$3=$E164,IF($AA164=1,$F164&amp;$AB164,$G164),IF(OR(BF$3=$D164,BF$3=$AC164,BF$3=$AE164),"",IF(BF$3=$AD164,$F164&amp;"R",BF163))))</f>
        <v/>
      </c>
      <c r="BG164" s="11" t="str">
        <f aca="false">IF($P164=0,BG163,IF(BG$3=$E164,IF($AA164=1,$F164&amp;$AB164,$G164),IF(OR(BG$3=$D164,BG$3=$AC164,BG$3=$AE164),"",IF(BG$3=$AD164,$F164&amp;"R",BG163))))</f>
        <v/>
      </c>
      <c r="BH164" s="11" t="str">
        <f aca="false">IF($P164=0,BH163,IF(BH$3=$E164,IF($AA164=1,$F164&amp;$AB164,$G164),IF(OR(BH$3=$D164,BH$3=$AC164,BH$3=$AE164),"",IF(BH$3=$AD164,$F164&amp;"R",BH163))))</f>
        <v/>
      </c>
      <c r="BI164" s="11" t="str">
        <f aca="false">IF($P164=0,BI163,IF(BI$3=$E164,IF($AA164=1,$F164&amp;$AB164,$G164),IF(OR(BI$3=$D164,BI$3=$AC164,BI$3=$AE164),"",IF(BI$3=$AD164,$F164&amp;"R",BI163))))</f>
        <v/>
      </c>
      <c r="BJ164" s="11" t="str">
        <f aca="false">IF($P164=0,BJ163,IF(BJ$3=$E164,IF($AA164=1,$F164&amp;$AB164,$G164),IF(OR(BJ$3=$D164,BJ$3=$AC164,BJ$3=$AE164),"",IF(BJ$3=$AD164,$F164&amp;"R",BJ163))))</f>
        <v/>
      </c>
      <c r="BK164" s="11" t="str">
        <f aca="false">IF($P164=0,BK163,IF(BK$3=$E164,IF($AA164=1,$F164&amp;$AB164,$G164),IF(OR(BK$3=$D164,BK$3=$AC164,BK$3=$AE164),"",IF(BK$3=$AD164,$F164&amp;"R",BK163))))</f>
        <v/>
      </c>
      <c r="BL164" s="11" t="str">
        <f aca="false">IF($P164=0,BL163,IF(BL$3=$E164,IF($AA164=1,$F164&amp;$AB164,$G164),IF(OR(BL$3=$D164,BL$3=$AC164,BL$3=$AE164),"",IF(BL$3=$AD164,$F164&amp;"R",BL163))))</f>
        <v/>
      </c>
      <c r="BM164" s="11" t="str">
        <f aca="false">IF($P164=0,BM163,IF(BM$3=$E164,IF($AA164=1,$F164&amp;$AB164,$G164),IF(OR(BM$3=$D164,BM$3=$AC164,BM$3=$AE164),"",IF(BM$3=$AD164,$F164&amp;"R",BM163))))</f>
        <v/>
      </c>
      <c r="BN164" s="11" t="str">
        <f aca="false">IF($P164=0,BN163,IF(BN$3=$E164,IF($AA164=1,$F164&amp;$AB164,$G164),IF(OR(BN$3=$D164,BN$3=$AC164,BN$3=$AE164),"",IF(BN$3=$AD164,$F164&amp;"R",BN163))))</f>
        <v/>
      </c>
      <c r="BO164" s="11" t="str">
        <f aca="false">IF($P164=0,BO163,IF(BO$3=$E164,IF($AA164=1,$F164&amp;$AB164,$G164),IF(OR(BO$3=$D164,BO$3=$AC164,BO$3=$AE164),"",IF(BO$3=$AD164,$F164&amp;"R",BO163))))</f>
        <v/>
      </c>
      <c r="BP164" s="11" t="str">
        <f aca="false">IF($P164=0,BP163,IF(BP$3=$E164,IF($AA164=1,$F164&amp;$AB164,$G164),IF(OR(BP$3=$D164,BP$3=$AC164,BP$3=$AE164),"",IF(BP$3=$AD164,$F164&amp;"R",BP163))))</f>
        <v/>
      </c>
      <c r="BQ164" s="11" t="str">
        <f aca="false">IF($P164=0,BQ163,IF(BQ$3=$E164,IF($AA164=1,$F164&amp;$AB164,$G164),IF(OR(BQ$3=$D164,BQ$3=$AC164,BQ$3=$AE164),"",IF(BQ$3=$AD164,$F164&amp;"R",BQ163))))</f>
        <v/>
      </c>
      <c r="BR164" s="11" t="str">
        <f aca="false">IF($P164=0,BR163,IF(BR$3=$E164,IF($AA164=1,$F164&amp;$AB164,$G164),IF(OR(BR$3=$D164,BR$3=$AC164,BR$3=$AE164),"",IF(BR$3=$AD164,$F164&amp;"R",BR163))))</f>
        <v/>
      </c>
      <c r="BS164" s="11" t="str">
        <f aca="false">IF($P164=0,BS163,IF(BS$3=$E164,IF($AA164=1,$F164&amp;$AB164,$G164),IF(OR(BS$3=$D164,BS$3=$AC164,BS$3=$AE164),"",IF(BS$3=$AD164,$F164&amp;"R",BS163))))</f>
        <v/>
      </c>
      <c r="BT164" s="11" t="str">
        <f aca="false">IF($P164=0,BT163,IF(BT$3=$E164,IF($AA164=1,$F164&amp;$AB164,$G164),IF(OR(BT$3=$D164,BT$3=$AC164,BT$3=$AE164),"",IF(BT$3=$AD164,$F164&amp;"R",BT163))))</f>
        <v/>
      </c>
      <c r="BU164" s="11" t="str">
        <f aca="false">IF($P164=0,BU163,IF(BU$3=$E164,IF($AA164=1,$F164&amp;$AB164,$G164),IF(OR(BU$3=$D164,BU$3=$AC164,BU$3=$AE164),"",IF(BU$3=$AD164,$F164&amp;"R",BU163))))</f>
        <v/>
      </c>
      <c r="BV164" s="11" t="str">
        <f aca="false">IF($P164=0,BV163,IF(BV$3=$E164,IF($AA164=1,$F164&amp;$AB164,$G164),IF(OR(BV$3=$D164,BV$3=$AC164,BV$3=$AE164),"",IF(BV$3=$AD164,$F164&amp;"R",BV163))))</f>
        <v/>
      </c>
      <c r="BW164" s="11" t="str">
        <f aca="false">IF($P164=0,BW163,IF(BW$3=$E164,IF($AA164=1,$F164&amp;$AB164,$G164),IF(OR(BW$3=$D164,BW$3=$AC164,BW$3=$AE164),"",IF(BW$3=$AD164,$F164&amp;"R",BW163))))</f>
        <v/>
      </c>
      <c r="BX164" s="11" t="str">
        <f aca="false">IF($P164=0,BX163,IF(BX$3=$E164,IF($AA164=1,$F164&amp;$AB164,$G164),IF(OR(BX$3=$D164,BX$3=$AC164,BX$3=$AE164),"",IF(BX$3=$AD164,$F164&amp;"R",BX163))))</f>
        <v/>
      </c>
      <c r="BY164" s="11" t="str">
        <f aca="false">IF($P164=0,BY163,IF(BY$3=$E164,IF($AA164=1,$F164&amp;$AB164,$G164),IF(OR(BY$3=$D164,BY$3=$AC164,BY$3=$AE164),"",IF(BY$3=$AD164,$F164&amp;"R",BY163))))</f>
        <v/>
      </c>
      <c r="BZ164" s="11" t="str">
        <f aca="false">IF($P164=0,BZ163,IF(BZ$3=$E164,IF($AA164=1,$F164&amp;$AB164,$G164),IF(OR(BZ$3=$D164,BZ$3=$AC164,BZ$3=$AE164),"",IF(BZ$3=$AD164,$F164&amp;"R",BZ163))))</f>
        <v/>
      </c>
      <c r="CA164" s="11" t="str">
        <f aca="false">IF($P164=0,CA163,IF(CA$3=$E164,IF($AA164=1,$F164&amp;$AB164,$G164),IF(OR(CA$3=$D164,CA$3=$AC164,CA$3=$AE164),"",IF(CA$3=$AD164,$F164&amp;"R",CA163))))</f>
        <v/>
      </c>
      <c r="CB164" s="11" t="str">
        <f aca="false">IF($P164=0,CB163,IF(CB$3=$E164,IF($AA164=1,$F164&amp;$AB164,$G164),IF(OR(CB$3=$D164,CB$3=$AC164,CB$3=$AE164),"",IF(CB$3=$AD164,$F164&amp;"R",CB163))))</f>
        <v/>
      </c>
      <c r="CC164" s="11" t="str">
        <f aca="false">IF($P164=0,CC163,IF(CC$3=$E164,IF($AA164=1,$F164&amp;$AB164,$G164),IF(OR(CC$3=$D164,CC$3=$AC164,CC$3=$AE164),"",IF(CC$3=$AD164,$F164&amp;"R",CC163))))</f>
        <v/>
      </c>
      <c r="CD164" s="11" t="str">
        <f aca="false">IF($P164=0,CD163,IF(CD$3=$E164,IF($AA164=1,$F164&amp;$AB164,$G164),IF(OR(CD$3=$D164,CD$3=$AC164,CD$3=$AE164),"",IF(CD$3=$AD164,$F164&amp;"R",CD163))))</f>
        <v>bP</v>
      </c>
      <c r="CE164" s="11" t="str">
        <f aca="false">IF($P164=0,CE163,IF(CE$3=$E164,IF($AA164=1,$F164&amp;$AB164,$G164),IF(OR(CE$3=$D164,CE$3=$AC164,CE$3=$AE164),"",IF(CE$3=$AD164,$F164&amp;"R",CE163))))</f>
        <v>bP</v>
      </c>
      <c r="CF164" s="11" t="str">
        <f aca="false">IF($P164=0,CF163,IF(CF$3=$E164,IF($AA164=1,$F164&amp;$AB164,$G164),IF(OR(CF$3=$D164,CF$3=$AC164,CF$3=$AE164),"",IF(CF$3=$AD164,$F164&amp;"R",CF163))))</f>
        <v>bP</v>
      </c>
      <c r="CG164" s="11" t="str">
        <f aca="false">IF($P164=0,CG163,IF(CG$3=$E164,IF($AA164=1,$F164&amp;$AB164,$G164),IF(OR(CG$3=$D164,CG$3=$AC164,CG$3=$AE164),"",IF(CG$3=$AD164,$F164&amp;"R",CG163))))</f>
        <v>bP</v>
      </c>
      <c r="CH164" s="11" t="str">
        <f aca="false">IF($P164=0,CH163,IF(CH$3=$E164,IF($AA164=1,$F164&amp;$AB164,$G164),IF(OR(CH$3=$D164,CH$3=$AC164,CH$3=$AE164),"",IF(CH$3=$AD164,$F164&amp;"R",CH163))))</f>
        <v>bP</v>
      </c>
      <c r="CI164" s="11" t="str">
        <f aca="false">IF($P164=0,CI163,IF(CI$3=$E164,IF($AA164=1,$F164&amp;$AB164,$G164),IF(OR(CI$3=$D164,CI$3=$AC164,CI$3=$AE164),"",IF(CI$3=$AD164,$F164&amp;"R",CI163))))</f>
        <v>bP</v>
      </c>
      <c r="CJ164" s="11" t="str">
        <f aca="false">IF($P164=0,CJ163,IF(CJ$3=$E164,IF($AA164=1,$F164&amp;$AB164,$G164),IF(OR(CJ$3=$D164,CJ$3=$AC164,CJ$3=$AE164),"",IF(CJ$3=$AD164,$F164&amp;"R",CJ163))))</f>
        <v>bP</v>
      </c>
      <c r="CK164" s="11" t="str">
        <f aca="false">IF($P164=0,CK163,IF(CK$3=$E164,IF($AA164=1,$F164&amp;$AB164,$G164),IF(OR(CK$3=$D164,CK$3=$AC164,CK$3=$AE164),"",IF(CK$3=$AD164,$F164&amp;"R",CK163))))</f>
        <v>bP</v>
      </c>
      <c r="CL164" s="11" t="str">
        <f aca="false">IF($P164=0,CL163,IF(CL$3=$E164,IF($AA164=1,$F164&amp;$AB164,$G164),IF(OR(CL$3=$D164,CL$3=$AC164,CL$3=$AE164),"",IF(CL$3=$AD164,$F164&amp;"R",CL163))))</f>
        <v>bR</v>
      </c>
      <c r="CM164" s="11" t="str">
        <f aca="false">IF($P164=0,CM163,IF(CM$3=$E164,IF($AA164=1,$F164&amp;$AB164,$G164),IF(OR(CM$3=$D164,CM$3=$AC164,CM$3=$AE164),"",IF(CM$3=$AD164,$F164&amp;"R",CM163))))</f>
        <v>bN</v>
      </c>
      <c r="CN164" s="11" t="str">
        <f aca="false">IF($P164=0,CN163,IF(CN$3=$E164,IF($AA164=1,$F164&amp;$AB164,$G164),IF(OR(CN$3=$D164,CN$3=$AC164,CN$3=$AE164),"",IF(CN$3=$AD164,$F164&amp;"R",CN163))))</f>
        <v>bB</v>
      </c>
      <c r="CO164" s="11" t="str">
        <f aca="false">IF($P164=0,CO163,IF(CO$3=$E164,IF($AA164=1,$F164&amp;$AB164,$G164),IF(OR(CO$3=$D164,CO$3=$AC164,CO$3=$AE164),"",IF(CO$3=$AD164,$F164&amp;"R",CO163))))</f>
        <v>bQ</v>
      </c>
      <c r="CP164" s="11" t="str">
        <f aca="false">IF($P164=0,CP163,IF(CP$3=$E164,IF($AA164=1,$F164&amp;$AB164,$G164),IF(OR(CP$3=$D164,CP$3=$AC164,CP$3=$AE164),"",IF(CP$3=$AD164,$F164&amp;"R",CP163))))</f>
        <v>bK</v>
      </c>
      <c r="CQ164" s="11" t="str">
        <f aca="false">IF($P164=0,CQ163,IF(CQ$3=$E164,IF($AA164=1,$F164&amp;$AB164,$G164),IF(OR(CQ$3=$D164,CQ$3=$AC164,CQ$3=$AE164),"",IF(CQ$3=$AD164,$F164&amp;"R",CQ163))))</f>
        <v>bB</v>
      </c>
      <c r="CR164" s="11" t="str">
        <f aca="false">IF($P164=0,CR163,IF(CR$3=$E164,IF($AA164=1,$F164&amp;$AB164,$G164),IF(OR(CR$3=$D164,CR$3=$AC164,CR$3=$AE164),"",IF(CR$3=$AD164,$F164&amp;"R",CR163))))</f>
        <v>bN</v>
      </c>
      <c r="CS164" s="11" t="str">
        <f aca="false">IF($P164=0,CS163,IF(CS$3=$E164,IF($AA164=1,$F164&amp;$AB164,$G164),IF(OR(CS$3=$D164,CS$3=$AC164,CS$3=$AE164),"",IF(CS$3=$AD164,$F164&amp;"R",CS163))))</f>
        <v>bR</v>
      </c>
      <c r="CT164" s="11"/>
      <c r="CU164" s="11"/>
      <c r="CV164" s="11"/>
    </row>
    <row r="165" customFormat="false" ht="15" hidden="false" customHeight="false" outlineLevel="0" collapsed="false">
      <c r="A165" s="11" t="n">
        <v>160</v>
      </c>
      <c r="B165" s="11" t="str">
        <f aca="false">IF(Chess!$L$169="","",Chess!$L$169&amp;"")</f>
        <v/>
      </c>
      <c r="C165" s="11" t="str">
        <f aca="false">LOWER(SUBSTITUTE(SUBSTITUTE(SUBSTITUTE(SUBSTITUTE(TRIM($B165),"-",""),"=","")," ",""),"x",""))</f>
        <v/>
      </c>
      <c r="D165" s="11" t="n">
        <f aca="false">IF(LEN($C165)&lt;4,0,IFERROR(IF(AND(CODE(MID($C165,1,1))&gt;=97,CODE(MID($C165,1,1))&lt;=104,VALUE(MID($C165,2,1))&gt;=1,VALUE(MID($C165,2,1))&lt;=8),(VALUE(MID($C165,2,1))-1)*8+CODE(MID($C165,1,1))-96,0),0))</f>
        <v>0</v>
      </c>
      <c r="E165" s="11" t="n">
        <f aca="false">IF(LEN($C165)&lt;4,0,IFERROR(IF(AND(CODE(MID($C165,3,1))&gt;=97,CODE(MID($C165,3,1))&lt;=104,VALUE(MID($C165,4,1))&gt;=1,VALUE(MID($C165,4,1))&lt;=8),(VALUE(MID($C165,4,1))-1)*8+CODE(MID($C165,3,1))-96,0),0))</f>
        <v>0</v>
      </c>
      <c r="F165" s="11" t="str">
        <f aca="false">IF(MOD(SUM($P$5:$P164),2)=0,"w","b")</f>
        <v>w</v>
      </c>
      <c r="G165" s="11" t="str">
        <f aca="false">IF($D165=0,"",INDEX($AH164:$CS164,1,$D165)&amp;"")</f>
        <v/>
      </c>
      <c r="H165" s="11" t="str">
        <f aca="false">IF($E165=0,"",INDEX($AH164:$CS164,1,$E165)&amp;"")</f>
        <v/>
      </c>
      <c r="I165" s="11" t="n">
        <f aca="false">IF(OR($D165=0,$E165=0),0,MOD($E165-1,8)-MOD($D165-1,8))</f>
        <v>0</v>
      </c>
      <c r="J165" s="11" t="n">
        <f aca="false">IF(OR($D165=0,$E165=0),0,INT(($E165-1)/8)-INT(($D165-1)/8))</f>
        <v>0</v>
      </c>
      <c r="K165" s="11" t="str">
        <f aca="false">IF($G165="","",RIGHT($G165,1))</f>
        <v/>
      </c>
      <c r="L165" s="11" t="n">
        <f aca="false">IF(OR($D165=0,$E165=0),0,SUMPRODUCT(($AH$3:$CS$3&gt;MIN($D165,$E165))*($AH$3:$CS$3&lt;MAX($D165,$E165))*(MOD($AH$3:$CS$3-MIN($D165,$E165),MAX(1,ABS(SIGN($J165)*8+SIGN($I165))))=0)*($AH164:$CS164&lt;&gt;"")))</f>
        <v>0</v>
      </c>
      <c r="M165" s="11" t="n">
        <f aca="false">IF($K165&lt;&gt;"K",0,IFERROR(--AND($J165=0,ABS($I165)=2,$D165=IF($F165="w",5,61),IF($F165="w",$S164,$V164)=0,IF($I165=2,AND(IF($F165="w",$U164,$X164)=0,INDEX($AH164:$CS164,1,$D165+1)&amp;""="",INDEX($AH164:$CS164,1,$D165+2)&amp;""=""),AND(IF($F165="w",$T164,$W164)=0,INDEX($AH164:$CS164,1,$D165-1)&amp;""="",INDEX($AH164:$CS164,1,$D165-2)&amp;""="",INDEX($AH164:$CS164,1,$D165-3)&amp;""=""))),0))</f>
        <v>0</v>
      </c>
      <c r="N165" s="11" t="n">
        <f aca="false">IF($K165&lt;&gt;"P",0,IFERROR(--OR(AND($I165=0,$J165=IF($F165="w",1,-1),$H165=""),AND($I165=0,$J165=2*IF($F165="w",1,-1),$H165="",INT(($D165-1)/8)=IF($F165="w",1,6),INDEX($AH164:$CS164,1,MAX(1,MIN(64,$D165+8*IF($F165="w",1,-1))))&amp;""=""),AND(ABS($I165)=1,$J165=IF($F165="w",1,-1),$H165&lt;&gt;""),AND(ABS($I165)=1,$J165=IF($F165="w",1,-1),$H165="",$R164&gt;0,$E165=$R164)),0))</f>
        <v>0</v>
      </c>
      <c r="O165" s="11" t="n">
        <f aca="false">IF(OR($D165=0,$E165=0,$G165=""),0,IF($K165="N",--OR(AND(ABS($I165)=1,ABS($J165)=2),AND(ABS($I165)=2,ABS($J165)=1)),IF($K165="B",--AND(ABS($I165)=ABS($J165),$I165&lt;&gt;0,$L165=0),IF($K165="R",--AND(OR($I165=0,$J165=0),OR($I165&lt;&gt;0,$J165&lt;&gt;0),$L165=0),IF($K165="Q",--AND(OR(AND(ABS($I165)=ABS($J165),$I165&lt;&gt;0),AND(OR($I165=0,$J165=0),OR($I165&lt;&gt;0,$J165&lt;&gt;0))),$L165=0),IF($K165="K",--OR(MAX(ABS($I165),ABS($J165))=1,$M165=1),$N165))))))</f>
        <v>0</v>
      </c>
      <c r="P165" s="11" t="n">
        <f aca="false">IF($Q165="OK",1,0)</f>
        <v>0</v>
      </c>
      <c r="Q165" s="11" t="str">
        <f aca="false">IF($B165="","",IF(OR(COUNTIF($AH164:$CS164,"wK")=0,COUNTIF($AH164:$CS164,"bK")=0),"Game is over",IF(OR($D165=0,$E165=0),"Use the format e2e4",IF($G165="","No piece on that square",IF(LEFT($G165,1)&lt;&gt;$F165,"Not your piece ("&amp;IF($F165="w","White","Black")&amp;" to move)",IF($D165=$E165,"Piece must move",IF(AND($H165&lt;&gt;"",LEFT($H165,1)=$F165),"Cannot capture your own piece",IF($O165=0,"Illegal move for that piece (or path blocked)","OK"))))))))</f>
        <v/>
      </c>
      <c r="R165" s="11" t="n">
        <f aca="false">IF($P165=1,IF(AND($K165="P",ABS($J165)=2),($D165+$E165)/2,0),$R164)</f>
        <v>0</v>
      </c>
      <c r="S165" s="12" t="b">
        <f aca="false">--OR($S164=1,AND($P165=1,OR($D165=5,$E165=5)))</f>
        <v>0</v>
      </c>
      <c r="T165" s="12" t="b">
        <f aca="false">--OR($T164=1,AND($P165=1,OR($D165=1,$E165=1)))</f>
        <v>0</v>
      </c>
      <c r="U165" s="12" t="b">
        <f aca="false">--OR($U164=1,AND($P165=1,OR($D165=8,$E165=8)))</f>
        <v>0</v>
      </c>
      <c r="V165" s="12" t="b">
        <f aca="false">--OR($V164=1,AND($P165=1,OR($D165=61,$E165=61)))</f>
        <v>0</v>
      </c>
      <c r="W165" s="12" t="b">
        <f aca="false">--OR($W164=1,AND($P165=1,OR($D165=57,$E165=57)))</f>
        <v>0</v>
      </c>
      <c r="X165" s="12" t="b">
        <f aca="false">--OR($X164=1,AND($P165=1,OR($D165=64,$E165=64)))</f>
        <v>0</v>
      </c>
      <c r="Y165" s="12" t="b">
        <f aca="false">--AND($P165=1,$K165="K",ABS($I165)=2)</f>
        <v>0</v>
      </c>
      <c r="Z165" s="12" t="b">
        <f aca="false">--AND($P165=1,$K165="P",ABS($I165)=1,$H165="")</f>
        <v>0</v>
      </c>
      <c r="AA165" s="12" t="b">
        <f aca="false">--AND($P165=1,$K165="P",INT(($E165-1)/8)=IF($F165="w",7,0))</f>
        <v>0</v>
      </c>
      <c r="AB165" s="11" t="str">
        <f aca="false">IF(LEN($C165)&gt;=5,IF(ISNUMBER(FIND(MID($C165,5,1),"qrbn")),UPPER(MID($C165,5,1)),"Q"),"Q")</f>
        <v>Q</v>
      </c>
      <c r="AC165" s="11" t="n">
        <f aca="false">IF($Y165=1,IF($I165=2,$D165+3,$D165-4),0)</f>
        <v>0</v>
      </c>
      <c r="AD165" s="11" t="n">
        <f aca="false">IF($Y165=1,IF($I165=2,$D165+1,$D165-1),0)</f>
        <v>0</v>
      </c>
      <c r="AE165" s="11" t="n">
        <f aca="false">IF($Z165=1,$E165-8*IF($F165="w",1,-1),0)</f>
        <v>0</v>
      </c>
      <c r="AF165" s="11" t="str">
        <f aca="false">IF($B165="","",IF($P165=1,LOWER(INDEX($CV$2:$CV$13,MATCH($G165,$CU$2:$CU$13,0)))&amp;" "&amp;MID("abcdefgh",MOD($D165-1,8)+1,1)&amp;(INT(($D165-1)/8)+1)&amp;"→"&amp;MID("abcdefgh",MOD($E165-1,8)+1,1)&amp;(INT(($E165-1)/8)+1)&amp;IF(OR($H165&lt;&gt;"",$Z165=1)," ×","")&amp;IF($Y165=1," castles","")&amp;IF($Z165=1," e.p.","")&amp;IF($AA165=1," =" &amp;LOWER(INDEX($CV$2:$CV$13,MATCH($F165&amp;$AB165,$CU$2:$CU$13,0))),""),"X "&amp;$Q165))</f>
        <v/>
      </c>
      <c r="AG165" s="11"/>
      <c r="AH165" s="11" t="str">
        <f aca="false">IF($P165=0,AH164,IF(AH$3=$E165,IF($AA165=1,$F165&amp;$AB165,$G165),IF(OR(AH$3=$D165,AH$3=$AC165,AH$3=$AE165),"",IF(AH$3=$AD165,$F165&amp;"R",AH164))))</f>
        <v>wR</v>
      </c>
      <c r="AI165" s="11" t="str">
        <f aca="false">IF($P165=0,AI164,IF(AI$3=$E165,IF($AA165=1,$F165&amp;$AB165,$G165),IF(OR(AI$3=$D165,AI$3=$AC165,AI$3=$AE165),"",IF(AI$3=$AD165,$F165&amp;"R",AI164))))</f>
        <v>wN</v>
      </c>
      <c r="AJ165" s="11" t="str">
        <f aca="false">IF($P165=0,AJ164,IF(AJ$3=$E165,IF($AA165=1,$F165&amp;$AB165,$G165),IF(OR(AJ$3=$D165,AJ$3=$AC165,AJ$3=$AE165),"",IF(AJ$3=$AD165,$F165&amp;"R",AJ164))))</f>
        <v>wB</v>
      </c>
      <c r="AK165" s="11" t="str">
        <f aca="false">IF($P165=0,AK164,IF(AK$3=$E165,IF($AA165=1,$F165&amp;$AB165,$G165),IF(OR(AK$3=$D165,AK$3=$AC165,AK$3=$AE165),"",IF(AK$3=$AD165,$F165&amp;"R",AK164))))</f>
        <v>wQ</v>
      </c>
      <c r="AL165" s="11" t="str">
        <f aca="false">IF($P165=0,AL164,IF(AL$3=$E165,IF($AA165=1,$F165&amp;$AB165,$G165),IF(OR(AL$3=$D165,AL$3=$AC165,AL$3=$AE165),"",IF(AL$3=$AD165,$F165&amp;"R",AL164))))</f>
        <v>wK</v>
      </c>
      <c r="AM165" s="11" t="str">
        <f aca="false">IF($P165=0,AM164,IF(AM$3=$E165,IF($AA165=1,$F165&amp;$AB165,$G165),IF(OR(AM$3=$D165,AM$3=$AC165,AM$3=$AE165),"",IF(AM$3=$AD165,$F165&amp;"R",AM164))))</f>
        <v>wB</v>
      </c>
      <c r="AN165" s="11" t="str">
        <f aca="false">IF($P165=0,AN164,IF(AN$3=$E165,IF($AA165=1,$F165&amp;$AB165,$G165),IF(OR(AN$3=$D165,AN$3=$AC165,AN$3=$AE165),"",IF(AN$3=$AD165,$F165&amp;"R",AN164))))</f>
        <v>wN</v>
      </c>
      <c r="AO165" s="11" t="str">
        <f aca="false">IF($P165=0,AO164,IF(AO$3=$E165,IF($AA165=1,$F165&amp;$AB165,$G165),IF(OR(AO$3=$D165,AO$3=$AC165,AO$3=$AE165),"",IF(AO$3=$AD165,$F165&amp;"R",AO164))))</f>
        <v>wR</v>
      </c>
      <c r="AP165" s="11" t="str">
        <f aca="false">IF($P165=0,AP164,IF(AP$3=$E165,IF($AA165=1,$F165&amp;$AB165,$G165),IF(OR(AP$3=$D165,AP$3=$AC165,AP$3=$AE165),"",IF(AP$3=$AD165,$F165&amp;"R",AP164))))</f>
        <v>wP</v>
      </c>
      <c r="AQ165" s="11" t="str">
        <f aca="false">IF($P165=0,AQ164,IF(AQ$3=$E165,IF($AA165=1,$F165&amp;$AB165,$G165),IF(OR(AQ$3=$D165,AQ$3=$AC165,AQ$3=$AE165),"",IF(AQ$3=$AD165,$F165&amp;"R",AQ164))))</f>
        <v>wP</v>
      </c>
      <c r="AR165" s="11" t="str">
        <f aca="false">IF($P165=0,AR164,IF(AR$3=$E165,IF($AA165=1,$F165&amp;$AB165,$G165),IF(OR(AR$3=$D165,AR$3=$AC165,AR$3=$AE165),"",IF(AR$3=$AD165,$F165&amp;"R",AR164))))</f>
        <v>wP</v>
      </c>
      <c r="AS165" s="11" t="str">
        <f aca="false">IF($P165=0,AS164,IF(AS$3=$E165,IF($AA165=1,$F165&amp;$AB165,$G165),IF(OR(AS$3=$D165,AS$3=$AC165,AS$3=$AE165),"",IF(AS$3=$AD165,$F165&amp;"R",AS164))))</f>
        <v>wP</v>
      </c>
      <c r="AT165" s="11" t="str">
        <f aca="false">IF($P165=0,AT164,IF(AT$3=$E165,IF($AA165=1,$F165&amp;$AB165,$G165),IF(OR(AT$3=$D165,AT$3=$AC165,AT$3=$AE165),"",IF(AT$3=$AD165,$F165&amp;"R",AT164))))</f>
        <v>wP</v>
      </c>
      <c r="AU165" s="11" t="str">
        <f aca="false">IF($P165=0,AU164,IF(AU$3=$E165,IF($AA165=1,$F165&amp;$AB165,$G165),IF(OR(AU$3=$D165,AU$3=$AC165,AU$3=$AE165),"",IF(AU$3=$AD165,$F165&amp;"R",AU164))))</f>
        <v>wP</v>
      </c>
      <c r="AV165" s="11" t="str">
        <f aca="false">IF($P165=0,AV164,IF(AV$3=$E165,IF($AA165=1,$F165&amp;$AB165,$G165),IF(OR(AV$3=$D165,AV$3=$AC165,AV$3=$AE165),"",IF(AV$3=$AD165,$F165&amp;"R",AV164))))</f>
        <v>wP</v>
      </c>
      <c r="AW165" s="11" t="str">
        <f aca="false">IF($P165=0,AW164,IF(AW$3=$E165,IF($AA165=1,$F165&amp;$AB165,$G165),IF(OR(AW$3=$D165,AW$3=$AC165,AW$3=$AE165),"",IF(AW$3=$AD165,$F165&amp;"R",AW164))))</f>
        <v>wP</v>
      </c>
      <c r="AX165" s="11" t="str">
        <f aca="false">IF($P165=0,AX164,IF(AX$3=$E165,IF($AA165=1,$F165&amp;$AB165,$G165),IF(OR(AX$3=$D165,AX$3=$AC165,AX$3=$AE165),"",IF(AX$3=$AD165,$F165&amp;"R",AX164))))</f>
        <v/>
      </c>
      <c r="AY165" s="11" t="str">
        <f aca="false">IF($P165=0,AY164,IF(AY$3=$E165,IF($AA165=1,$F165&amp;$AB165,$G165),IF(OR(AY$3=$D165,AY$3=$AC165,AY$3=$AE165),"",IF(AY$3=$AD165,$F165&amp;"R",AY164))))</f>
        <v/>
      </c>
      <c r="AZ165" s="11" t="str">
        <f aca="false">IF($P165=0,AZ164,IF(AZ$3=$E165,IF($AA165=1,$F165&amp;$AB165,$G165),IF(OR(AZ$3=$D165,AZ$3=$AC165,AZ$3=$AE165),"",IF(AZ$3=$AD165,$F165&amp;"R",AZ164))))</f>
        <v/>
      </c>
      <c r="BA165" s="11" t="str">
        <f aca="false">IF($P165=0,BA164,IF(BA$3=$E165,IF($AA165=1,$F165&amp;$AB165,$G165),IF(OR(BA$3=$D165,BA$3=$AC165,BA$3=$AE165),"",IF(BA$3=$AD165,$F165&amp;"R",BA164))))</f>
        <v/>
      </c>
      <c r="BB165" s="11" t="str">
        <f aca="false">IF($P165=0,BB164,IF(BB$3=$E165,IF($AA165=1,$F165&amp;$AB165,$G165),IF(OR(BB$3=$D165,BB$3=$AC165,BB$3=$AE165),"",IF(BB$3=$AD165,$F165&amp;"R",BB164))))</f>
        <v/>
      </c>
      <c r="BC165" s="11" t="str">
        <f aca="false">IF($P165=0,BC164,IF(BC$3=$E165,IF($AA165=1,$F165&amp;$AB165,$G165),IF(OR(BC$3=$D165,BC$3=$AC165,BC$3=$AE165),"",IF(BC$3=$AD165,$F165&amp;"R",BC164))))</f>
        <v/>
      </c>
      <c r="BD165" s="11" t="str">
        <f aca="false">IF($P165=0,BD164,IF(BD$3=$E165,IF($AA165=1,$F165&amp;$AB165,$G165),IF(OR(BD$3=$D165,BD$3=$AC165,BD$3=$AE165),"",IF(BD$3=$AD165,$F165&amp;"R",BD164))))</f>
        <v/>
      </c>
      <c r="BE165" s="11" t="str">
        <f aca="false">IF($P165=0,BE164,IF(BE$3=$E165,IF($AA165=1,$F165&amp;$AB165,$G165),IF(OR(BE$3=$D165,BE$3=$AC165,BE$3=$AE165),"",IF(BE$3=$AD165,$F165&amp;"R",BE164))))</f>
        <v/>
      </c>
      <c r="BF165" s="11" t="str">
        <f aca="false">IF($P165=0,BF164,IF(BF$3=$E165,IF($AA165=1,$F165&amp;$AB165,$G165),IF(OR(BF$3=$D165,BF$3=$AC165,BF$3=$AE165),"",IF(BF$3=$AD165,$F165&amp;"R",BF164))))</f>
        <v/>
      </c>
      <c r="BG165" s="11" t="str">
        <f aca="false">IF($P165=0,BG164,IF(BG$3=$E165,IF($AA165=1,$F165&amp;$AB165,$G165),IF(OR(BG$3=$D165,BG$3=$AC165,BG$3=$AE165),"",IF(BG$3=$AD165,$F165&amp;"R",BG164))))</f>
        <v/>
      </c>
      <c r="BH165" s="11" t="str">
        <f aca="false">IF($P165=0,BH164,IF(BH$3=$E165,IF($AA165=1,$F165&amp;$AB165,$G165),IF(OR(BH$3=$D165,BH$3=$AC165,BH$3=$AE165),"",IF(BH$3=$AD165,$F165&amp;"R",BH164))))</f>
        <v/>
      </c>
      <c r="BI165" s="11" t="str">
        <f aca="false">IF($P165=0,BI164,IF(BI$3=$E165,IF($AA165=1,$F165&amp;$AB165,$G165),IF(OR(BI$3=$D165,BI$3=$AC165,BI$3=$AE165),"",IF(BI$3=$AD165,$F165&amp;"R",BI164))))</f>
        <v/>
      </c>
      <c r="BJ165" s="11" t="str">
        <f aca="false">IF($P165=0,BJ164,IF(BJ$3=$E165,IF($AA165=1,$F165&amp;$AB165,$G165),IF(OR(BJ$3=$D165,BJ$3=$AC165,BJ$3=$AE165),"",IF(BJ$3=$AD165,$F165&amp;"R",BJ164))))</f>
        <v/>
      </c>
      <c r="BK165" s="11" t="str">
        <f aca="false">IF($P165=0,BK164,IF(BK$3=$E165,IF($AA165=1,$F165&amp;$AB165,$G165),IF(OR(BK$3=$D165,BK$3=$AC165,BK$3=$AE165),"",IF(BK$3=$AD165,$F165&amp;"R",BK164))))</f>
        <v/>
      </c>
      <c r="BL165" s="11" t="str">
        <f aca="false">IF($P165=0,BL164,IF(BL$3=$E165,IF($AA165=1,$F165&amp;$AB165,$G165),IF(OR(BL$3=$D165,BL$3=$AC165,BL$3=$AE165),"",IF(BL$3=$AD165,$F165&amp;"R",BL164))))</f>
        <v/>
      </c>
      <c r="BM165" s="11" t="str">
        <f aca="false">IF($P165=0,BM164,IF(BM$3=$E165,IF($AA165=1,$F165&amp;$AB165,$G165),IF(OR(BM$3=$D165,BM$3=$AC165,BM$3=$AE165),"",IF(BM$3=$AD165,$F165&amp;"R",BM164))))</f>
        <v/>
      </c>
      <c r="BN165" s="11" t="str">
        <f aca="false">IF($P165=0,BN164,IF(BN$3=$E165,IF($AA165=1,$F165&amp;$AB165,$G165),IF(OR(BN$3=$D165,BN$3=$AC165,BN$3=$AE165),"",IF(BN$3=$AD165,$F165&amp;"R",BN164))))</f>
        <v/>
      </c>
      <c r="BO165" s="11" t="str">
        <f aca="false">IF($P165=0,BO164,IF(BO$3=$E165,IF($AA165=1,$F165&amp;$AB165,$G165),IF(OR(BO$3=$D165,BO$3=$AC165,BO$3=$AE165),"",IF(BO$3=$AD165,$F165&amp;"R",BO164))))</f>
        <v/>
      </c>
      <c r="BP165" s="11" t="str">
        <f aca="false">IF($P165=0,BP164,IF(BP$3=$E165,IF($AA165=1,$F165&amp;$AB165,$G165),IF(OR(BP$3=$D165,BP$3=$AC165,BP$3=$AE165),"",IF(BP$3=$AD165,$F165&amp;"R",BP164))))</f>
        <v/>
      </c>
      <c r="BQ165" s="11" t="str">
        <f aca="false">IF($P165=0,BQ164,IF(BQ$3=$E165,IF($AA165=1,$F165&amp;$AB165,$G165),IF(OR(BQ$3=$D165,BQ$3=$AC165,BQ$3=$AE165),"",IF(BQ$3=$AD165,$F165&amp;"R",BQ164))))</f>
        <v/>
      </c>
      <c r="BR165" s="11" t="str">
        <f aca="false">IF($P165=0,BR164,IF(BR$3=$E165,IF($AA165=1,$F165&amp;$AB165,$G165),IF(OR(BR$3=$D165,BR$3=$AC165,BR$3=$AE165),"",IF(BR$3=$AD165,$F165&amp;"R",BR164))))</f>
        <v/>
      </c>
      <c r="BS165" s="11" t="str">
        <f aca="false">IF($P165=0,BS164,IF(BS$3=$E165,IF($AA165=1,$F165&amp;$AB165,$G165),IF(OR(BS$3=$D165,BS$3=$AC165,BS$3=$AE165),"",IF(BS$3=$AD165,$F165&amp;"R",BS164))))</f>
        <v/>
      </c>
      <c r="BT165" s="11" t="str">
        <f aca="false">IF($P165=0,BT164,IF(BT$3=$E165,IF($AA165=1,$F165&amp;$AB165,$G165),IF(OR(BT$3=$D165,BT$3=$AC165,BT$3=$AE165),"",IF(BT$3=$AD165,$F165&amp;"R",BT164))))</f>
        <v/>
      </c>
      <c r="BU165" s="11" t="str">
        <f aca="false">IF($P165=0,BU164,IF(BU$3=$E165,IF($AA165=1,$F165&amp;$AB165,$G165),IF(OR(BU$3=$D165,BU$3=$AC165,BU$3=$AE165),"",IF(BU$3=$AD165,$F165&amp;"R",BU164))))</f>
        <v/>
      </c>
      <c r="BV165" s="11" t="str">
        <f aca="false">IF($P165=0,BV164,IF(BV$3=$E165,IF($AA165=1,$F165&amp;$AB165,$G165),IF(OR(BV$3=$D165,BV$3=$AC165,BV$3=$AE165),"",IF(BV$3=$AD165,$F165&amp;"R",BV164))))</f>
        <v/>
      </c>
      <c r="BW165" s="11" t="str">
        <f aca="false">IF($P165=0,BW164,IF(BW$3=$E165,IF($AA165=1,$F165&amp;$AB165,$G165),IF(OR(BW$3=$D165,BW$3=$AC165,BW$3=$AE165),"",IF(BW$3=$AD165,$F165&amp;"R",BW164))))</f>
        <v/>
      </c>
      <c r="BX165" s="11" t="str">
        <f aca="false">IF($P165=0,BX164,IF(BX$3=$E165,IF($AA165=1,$F165&amp;$AB165,$G165),IF(OR(BX$3=$D165,BX$3=$AC165,BX$3=$AE165),"",IF(BX$3=$AD165,$F165&amp;"R",BX164))))</f>
        <v/>
      </c>
      <c r="BY165" s="11" t="str">
        <f aca="false">IF($P165=0,BY164,IF(BY$3=$E165,IF($AA165=1,$F165&amp;$AB165,$G165),IF(OR(BY$3=$D165,BY$3=$AC165,BY$3=$AE165),"",IF(BY$3=$AD165,$F165&amp;"R",BY164))))</f>
        <v/>
      </c>
      <c r="BZ165" s="11" t="str">
        <f aca="false">IF($P165=0,BZ164,IF(BZ$3=$E165,IF($AA165=1,$F165&amp;$AB165,$G165),IF(OR(BZ$3=$D165,BZ$3=$AC165,BZ$3=$AE165),"",IF(BZ$3=$AD165,$F165&amp;"R",BZ164))))</f>
        <v/>
      </c>
      <c r="CA165" s="11" t="str">
        <f aca="false">IF($P165=0,CA164,IF(CA$3=$E165,IF($AA165=1,$F165&amp;$AB165,$G165),IF(OR(CA$3=$D165,CA$3=$AC165,CA$3=$AE165),"",IF(CA$3=$AD165,$F165&amp;"R",CA164))))</f>
        <v/>
      </c>
      <c r="CB165" s="11" t="str">
        <f aca="false">IF($P165=0,CB164,IF(CB$3=$E165,IF($AA165=1,$F165&amp;$AB165,$G165),IF(OR(CB$3=$D165,CB$3=$AC165,CB$3=$AE165),"",IF(CB$3=$AD165,$F165&amp;"R",CB164))))</f>
        <v/>
      </c>
      <c r="CC165" s="11" t="str">
        <f aca="false">IF($P165=0,CC164,IF(CC$3=$E165,IF($AA165=1,$F165&amp;$AB165,$G165),IF(OR(CC$3=$D165,CC$3=$AC165,CC$3=$AE165),"",IF(CC$3=$AD165,$F165&amp;"R",CC164))))</f>
        <v/>
      </c>
      <c r="CD165" s="11" t="str">
        <f aca="false">IF($P165=0,CD164,IF(CD$3=$E165,IF($AA165=1,$F165&amp;$AB165,$G165),IF(OR(CD$3=$D165,CD$3=$AC165,CD$3=$AE165),"",IF(CD$3=$AD165,$F165&amp;"R",CD164))))</f>
        <v>bP</v>
      </c>
      <c r="CE165" s="11" t="str">
        <f aca="false">IF($P165=0,CE164,IF(CE$3=$E165,IF($AA165=1,$F165&amp;$AB165,$G165),IF(OR(CE$3=$D165,CE$3=$AC165,CE$3=$AE165),"",IF(CE$3=$AD165,$F165&amp;"R",CE164))))</f>
        <v>bP</v>
      </c>
      <c r="CF165" s="11" t="str">
        <f aca="false">IF($P165=0,CF164,IF(CF$3=$E165,IF($AA165=1,$F165&amp;$AB165,$G165),IF(OR(CF$3=$D165,CF$3=$AC165,CF$3=$AE165),"",IF(CF$3=$AD165,$F165&amp;"R",CF164))))</f>
        <v>bP</v>
      </c>
      <c r="CG165" s="11" t="str">
        <f aca="false">IF($P165=0,CG164,IF(CG$3=$E165,IF($AA165=1,$F165&amp;$AB165,$G165),IF(OR(CG$3=$D165,CG$3=$AC165,CG$3=$AE165),"",IF(CG$3=$AD165,$F165&amp;"R",CG164))))</f>
        <v>bP</v>
      </c>
      <c r="CH165" s="11" t="str">
        <f aca="false">IF($P165=0,CH164,IF(CH$3=$E165,IF($AA165=1,$F165&amp;$AB165,$G165),IF(OR(CH$3=$D165,CH$3=$AC165,CH$3=$AE165),"",IF(CH$3=$AD165,$F165&amp;"R",CH164))))</f>
        <v>bP</v>
      </c>
      <c r="CI165" s="11" t="str">
        <f aca="false">IF($P165=0,CI164,IF(CI$3=$E165,IF($AA165=1,$F165&amp;$AB165,$G165),IF(OR(CI$3=$D165,CI$3=$AC165,CI$3=$AE165),"",IF(CI$3=$AD165,$F165&amp;"R",CI164))))</f>
        <v>bP</v>
      </c>
      <c r="CJ165" s="11" t="str">
        <f aca="false">IF($P165=0,CJ164,IF(CJ$3=$E165,IF($AA165=1,$F165&amp;$AB165,$G165),IF(OR(CJ$3=$D165,CJ$3=$AC165,CJ$3=$AE165),"",IF(CJ$3=$AD165,$F165&amp;"R",CJ164))))</f>
        <v>bP</v>
      </c>
      <c r="CK165" s="11" t="str">
        <f aca="false">IF($P165=0,CK164,IF(CK$3=$E165,IF($AA165=1,$F165&amp;$AB165,$G165),IF(OR(CK$3=$D165,CK$3=$AC165,CK$3=$AE165),"",IF(CK$3=$AD165,$F165&amp;"R",CK164))))</f>
        <v>bP</v>
      </c>
      <c r="CL165" s="11" t="str">
        <f aca="false">IF($P165=0,CL164,IF(CL$3=$E165,IF($AA165=1,$F165&amp;$AB165,$G165),IF(OR(CL$3=$D165,CL$3=$AC165,CL$3=$AE165),"",IF(CL$3=$AD165,$F165&amp;"R",CL164))))</f>
        <v>bR</v>
      </c>
      <c r="CM165" s="11" t="str">
        <f aca="false">IF($P165=0,CM164,IF(CM$3=$E165,IF($AA165=1,$F165&amp;$AB165,$G165),IF(OR(CM$3=$D165,CM$3=$AC165,CM$3=$AE165),"",IF(CM$3=$AD165,$F165&amp;"R",CM164))))</f>
        <v>bN</v>
      </c>
      <c r="CN165" s="11" t="str">
        <f aca="false">IF($P165=0,CN164,IF(CN$3=$E165,IF($AA165=1,$F165&amp;$AB165,$G165),IF(OR(CN$3=$D165,CN$3=$AC165,CN$3=$AE165),"",IF(CN$3=$AD165,$F165&amp;"R",CN164))))</f>
        <v>bB</v>
      </c>
      <c r="CO165" s="11" t="str">
        <f aca="false">IF($P165=0,CO164,IF(CO$3=$E165,IF($AA165=1,$F165&amp;$AB165,$G165),IF(OR(CO$3=$D165,CO$3=$AC165,CO$3=$AE165),"",IF(CO$3=$AD165,$F165&amp;"R",CO164))))</f>
        <v>bQ</v>
      </c>
      <c r="CP165" s="11" t="str">
        <f aca="false">IF($P165=0,CP164,IF(CP$3=$E165,IF($AA165=1,$F165&amp;$AB165,$G165),IF(OR(CP$3=$D165,CP$3=$AC165,CP$3=$AE165),"",IF(CP$3=$AD165,$F165&amp;"R",CP164))))</f>
        <v>bK</v>
      </c>
      <c r="CQ165" s="11" t="str">
        <f aca="false">IF($P165=0,CQ164,IF(CQ$3=$E165,IF($AA165=1,$F165&amp;$AB165,$G165),IF(OR(CQ$3=$D165,CQ$3=$AC165,CQ$3=$AE165),"",IF(CQ$3=$AD165,$F165&amp;"R",CQ164))))</f>
        <v>bB</v>
      </c>
      <c r="CR165" s="11" t="str">
        <f aca="false">IF($P165=0,CR164,IF(CR$3=$E165,IF($AA165=1,$F165&amp;$AB165,$G165),IF(OR(CR$3=$D165,CR$3=$AC165,CR$3=$AE165),"",IF(CR$3=$AD165,$F165&amp;"R",CR164))))</f>
        <v>bN</v>
      </c>
      <c r="CS165" s="11" t="str">
        <f aca="false">IF($P165=0,CS164,IF(CS$3=$E165,IF($AA165=1,$F165&amp;$AB165,$G165),IF(OR(CS$3=$D165,CS$3=$AC165,CS$3=$AE165),"",IF(CS$3=$AD165,$F165&amp;"R",CS164))))</f>
        <v>bR</v>
      </c>
      <c r="CT165" s="11"/>
      <c r="CU165" s="11"/>
      <c r="CV165" s="11"/>
    </row>
    <row r="166" customFormat="false" ht="15" hidden="false" customHeight="false" outlineLevel="0" collapsed="false">
      <c r="A166" s="11" t="n">
        <v>161</v>
      </c>
      <c r="B166" s="11" t="str">
        <f aca="false">IF(Chess!$L$170="","",Chess!$L$170&amp;"")</f>
        <v/>
      </c>
      <c r="C166" s="11" t="str">
        <f aca="false">LOWER(SUBSTITUTE(SUBSTITUTE(SUBSTITUTE(SUBSTITUTE(TRIM($B166),"-",""),"=","")," ",""),"x",""))</f>
        <v/>
      </c>
      <c r="D166" s="11" t="n">
        <f aca="false">IF(LEN($C166)&lt;4,0,IFERROR(IF(AND(CODE(MID($C166,1,1))&gt;=97,CODE(MID($C166,1,1))&lt;=104,VALUE(MID($C166,2,1))&gt;=1,VALUE(MID($C166,2,1))&lt;=8),(VALUE(MID($C166,2,1))-1)*8+CODE(MID($C166,1,1))-96,0),0))</f>
        <v>0</v>
      </c>
      <c r="E166" s="11" t="n">
        <f aca="false">IF(LEN($C166)&lt;4,0,IFERROR(IF(AND(CODE(MID($C166,3,1))&gt;=97,CODE(MID($C166,3,1))&lt;=104,VALUE(MID($C166,4,1))&gt;=1,VALUE(MID($C166,4,1))&lt;=8),(VALUE(MID($C166,4,1))-1)*8+CODE(MID($C166,3,1))-96,0),0))</f>
        <v>0</v>
      </c>
      <c r="F166" s="11" t="str">
        <f aca="false">IF(MOD(SUM($P$5:$P165),2)=0,"w","b")</f>
        <v>w</v>
      </c>
      <c r="G166" s="11" t="str">
        <f aca="false">IF($D166=0,"",INDEX($AH165:$CS165,1,$D166)&amp;"")</f>
        <v/>
      </c>
      <c r="H166" s="11" t="str">
        <f aca="false">IF($E166=0,"",INDEX($AH165:$CS165,1,$E166)&amp;"")</f>
        <v/>
      </c>
      <c r="I166" s="11" t="n">
        <f aca="false">IF(OR($D166=0,$E166=0),0,MOD($E166-1,8)-MOD($D166-1,8))</f>
        <v>0</v>
      </c>
      <c r="J166" s="11" t="n">
        <f aca="false">IF(OR($D166=0,$E166=0),0,INT(($E166-1)/8)-INT(($D166-1)/8))</f>
        <v>0</v>
      </c>
      <c r="K166" s="11" t="str">
        <f aca="false">IF($G166="","",RIGHT($G166,1))</f>
        <v/>
      </c>
      <c r="L166" s="11" t="n">
        <f aca="false">IF(OR($D166=0,$E166=0),0,SUMPRODUCT(($AH$3:$CS$3&gt;MIN($D166,$E166))*($AH$3:$CS$3&lt;MAX($D166,$E166))*(MOD($AH$3:$CS$3-MIN($D166,$E166),MAX(1,ABS(SIGN($J166)*8+SIGN($I166))))=0)*($AH165:$CS165&lt;&gt;"")))</f>
        <v>0</v>
      </c>
      <c r="M166" s="11" t="n">
        <f aca="false">IF($K166&lt;&gt;"K",0,IFERROR(--AND($J166=0,ABS($I166)=2,$D166=IF($F166="w",5,61),IF($F166="w",$S165,$V165)=0,IF($I166=2,AND(IF($F166="w",$U165,$X165)=0,INDEX($AH165:$CS165,1,$D166+1)&amp;""="",INDEX($AH165:$CS165,1,$D166+2)&amp;""=""),AND(IF($F166="w",$T165,$W165)=0,INDEX($AH165:$CS165,1,$D166-1)&amp;""="",INDEX($AH165:$CS165,1,$D166-2)&amp;""="",INDEX($AH165:$CS165,1,$D166-3)&amp;""=""))),0))</f>
        <v>0</v>
      </c>
      <c r="N166" s="11" t="n">
        <f aca="false">IF($K166&lt;&gt;"P",0,IFERROR(--OR(AND($I166=0,$J166=IF($F166="w",1,-1),$H166=""),AND($I166=0,$J166=2*IF($F166="w",1,-1),$H166="",INT(($D166-1)/8)=IF($F166="w",1,6),INDEX($AH165:$CS165,1,MAX(1,MIN(64,$D166+8*IF($F166="w",1,-1))))&amp;""=""),AND(ABS($I166)=1,$J166=IF($F166="w",1,-1),$H166&lt;&gt;""),AND(ABS($I166)=1,$J166=IF($F166="w",1,-1),$H166="",$R165&gt;0,$E166=$R165)),0))</f>
        <v>0</v>
      </c>
      <c r="O166" s="11" t="n">
        <f aca="false">IF(OR($D166=0,$E166=0,$G166=""),0,IF($K166="N",--OR(AND(ABS($I166)=1,ABS($J166)=2),AND(ABS($I166)=2,ABS($J166)=1)),IF($K166="B",--AND(ABS($I166)=ABS($J166),$I166&lt;&gt;0,$L166=0),IF($K166="R",--AND(OR($I166=0,$J166=0),OR($I166&lt;&gt;0,$J166&lt;&gt;0),$L166=0),IF($K166="Q",--AND(OR(AND(ABS($I166)=ABS($J166),$I166&lt;&gt;0),AND(OR($I166=0,$J166=0),OR($I166&lt;&gt;0,$J166&lt;&gt;0))),$L166=0),IF($K166="K",--OR(MAX(ABS($I166),ABS($J166))=1,$M166=1),$N166))))))</f>
        <v>0</v>
      </c>
      <c r="P166" s="11" t="n">
        <f aca="false">IF($Q166="OK",1,0)</f>
        <v>0</v>
      </c>
      <c r="Q166" s="11" t="str">
        <f aca="false">IF($B166="","",IF(OR(COUNTIF($AH165:$CS165,"wK")=0,COUNTIF($AH165:$CS165,"bK")=0),"Game is over",IF(OR($D166=0,$E166=0),"Use the format e2e4",IF($G166="","No piece on that square",IF(LEFT($G166,1)&lt;&gt;$F166,"Not your piece ("&amp;IF($F166="w","White","Black")&amp;" to move)",IF($D166=$E166,"Piece must move",IF(AND($H166&lt;&gt;"",LEFT($H166,1)=$F166),"Cannot capture your own piece",IF($O166=0,"Illegal move for that piece (or path blocked)","OK"))))))))</f>
        <v/>
      </c>
      <c r="R166" s="11" t="n">
        <f aca="false">IF($P166=1,IF(AND($K166="P",ABS($J166)=2),($D166+$E166)/2,0),$R165)</f>
        <v>0</v>
      </c>
      <c r="S166" s="12" t="b">
        <f aca="false">--OR($S165=1,AND($P166=1,OR($D166=5,$E166=5)))</f>
        <v>0</v>
      </c>
      <c r="T166" s="12" t="b">
        <f aca="false">--OR($T165=1,AND($P166=1,OR($D166=1,$E166=1)))</f>
        <v>0</v>
      </c>
      <c r="U166" s="12" t="b">
        <f aca="false">--OR($U165=1,AND($P166=1,OR($D166=8,$E166=8)))</f>
        <v>0</v>
      </c>
      <c r="V166" s="12" t="b">
        <f aca="false">--OR($V165=1,AND($P166=1,OR($D166=61,$E166=61)))</f>
        <v>0</v>
      </c>
      <c r="W166" s="12" t="b">
        <f aca="false">--OR($W165=1,AND($P166=1,OR($D166=57,$E166=57)))</f>
        <v>0</v>
      </c>
      <c r="X166" s="12" t="b">
        <f aca="false">--OR($X165=1,AND($P166=1,OR($D166=64,$E166=64)))</f>
        <v>0</v>
      </c>
      <c r="Y166" s="12" t="b">
        <f aca="false">--AND($P166=1,$K166="K",ABS($I166)=2)</f>
        <v>0</v>
      </c>
      <c r="Z166" s="12" t="b">
        <f aca="false">--AND($P166=1,$K166="P",ABS($I166)=1,$H166="")</f>
        <v>0</v>
      </c>
      <c r="AA166" s="12" t="b">
        <f aca="false">--AND($P166=1,$K166="P",INT(($E166-1)/8)=IF($F166="w",7,0))</f>
        <v>0</v>
      </c>
      <c r="AB166" s="11" t="str">
        <f aca="false">IF(LEN($C166)&gt;=5,IF(ISNUMBER(FIND(MID($C166,5,1),"qrbn")),UPPER(MID($C166,5,1)),"Q"),"Q")</f>
        <v>Q</v>
      </c>
      <c r="AC166" s="11" t="n">
        <f aca="false">IF($Y166=1,IF($I166=2,$D166+3,$D166-4),0)</f>
        <v>0</v>
      </c>
      <c r="AD166" s="11" t="n">
        <f aca="false">IF($Y166=1,IF($I166=2,$D166+1,$D166-1),0)</f>
        <v>0</v>
      </c>
      <c r="AE166" s="11" t="n">
        <f aca="false">IF($Z166=1,$E166-8*IF($F166="w",1,-1),0)</f>
        <v>0</v>
      </c>
      <c r="AF166" s="11" t="str">
        <f aca="false">IF($B166="","",IF($P166=1,LOWER(INDEX($CV$2:$CV$13,MATCH($G166,$CU$2:$CU$13,0)))&amp;" "&amp;MID("abcdefgh",MOD($D166-1,8)+1,1)&amp;(INT(($D166-1)/8)+1)&amp;"→"&amp;MID("abcdefgh",MOD($E166-1,8)+1,1)&amp;(INT(($E166-1)/8)+1)&amp;IF(OR($H166&lt;&gt;"",$Z166=1)," ×","")&amp;IF($Y166=1," castles","")&amp;IF($Z166=1," e.p.","")&amp;IF($AA166=1," =" &amp;LOWER(INDEX($CV$2:$CV$13,MATCH($F166&amp;$AB166,$CU$2:$CU$13,0))),""),"X "&amp;$Q166))</f>
        <v/>
      </c>
      <c r="AG166" s="11"/>
      <c r="AH166" s="11" t="str">
        <f aca="false">IF($P166=0,AH165,IF(AH$3=$E166,IF($AA166=1,$F166&amp;$AB166,$G166),IF(OR(AH$3=$D166,AH$3=$AC166,AH$3=$AE166),"",IF(AH$3=$AD166,$F166&amp;"R",AH165))))</f>
        <v>wR</v>
      </c>
      <c r="AI166" s="11" t="str">
        <f aca="false">IF($P166=0,AI165,IF(AI$3=$E166,IF($AA166=1,$F166&amp;$AB166,$G166),IF(OR(AI$3=$D166,AI$3=$AC166,AI$3=$AE166),"",IF(AI$3=$AD166,$F166&amp;"R",AI165))))</f>
        <v>wN</v>
      </c>
      <c r="AJ166" s="11" t="str">
        <f aca="false">IF($P166=0,AJ165,IF(AJ$3=$E166,IF($AA166=1,$F166&amp;$AB166,$G166),IF(OR(AJ$3=$D166,AJ$3=$AC166,AJ$3=$AE166),"",IF(AJ$3=$AD166,$F166&amp;"R",AJ165))))</f>
        <v>wB</v>
      </c>
      <c r="AK166" s="11" t="str">
        <f aca="false">IF($P166=0,AK165,IF(AK$3=$E166,IF($AA166=1,$F166&amp;$AB166,$G166),IF(OR(AK$3=$D166,AK$3=$AC166,AK$3=$AE166),"",IF(AK$3=$AD166,$F166&amp;"R",AK165))))</f>
        <v>wQ</v>
      </c>
      <c r="AL166" s="11" t="str">
        <f aca="false">IF($P166=0,AL165,IF(AL$3=$E166,IF($AA166=1,$F166&amp;$AB166,$G166),IF(OR(AL$3=$D166,AL$3=$AC166,AL$3=$AE166),"",IF(AL$3=$AD166,$F166&amp;"R",AL165))))</f>
        <v>wK</v>
      </c>
      <c r="AM166" s="11" t="str">
        <f aca="false">IF($P166=0,AM165,IF(AM$3=$E166,IF($AA166=1,$F166&amp;$AB166,$G166),IF(OR(AM$3=$D166,AM$3=$AC166,AM$3=$AE166),"",IF(AM$3=$AD166,$F166&amp;"R",AM165))))</f>
        <v>wB</v>
      </c>
      <c r="AN166" s="11" t="str">
        <f aca="false">IF($P166=0,AN165,IF(AN$3=$E166,IF($AA166=1,$F166&amp;$AB166,$G166),IF(OR(AN$3=$D166,AN$3=$AC166,AN$3=$AE166),"",IF(AN$3=$AD166,$F166&amp;"R",AN165))))</f>
        <v>wN</v>
      </c>
      <c r="AO166" s="11" t="str">
        <f aca="false">IF($P166=0,AO165,IF(AO$3=$E166,IF($AA166=1,$F166&amp;$AB166,$G166),IF(OR(AO$3=$D166,AO$3=$AC166,AO$3=$AE166),"",IF(AO$3=$AD166,$F166&amp;"R",AO165))))</f>
        <v>wR</v>
      </c>
      <c r="AP166" s="11" t="str">
        <f aca="false">IF($P166=0,AP165,IF(AP$3=$E166,IF($AA166=1,$F166&amp;$AB166,$G166),IF(OR(AP$3=$D166,AP$3=$AC166,AP$3=$AE166),"",IF(AP$3=$AD166,$F166&amp;"R",AP165))))</f>
        <v>wP</v>
      </c>
      <c r="AQ166" s="11" t="str">
        <f aca="false">IF($P166=0,AQ165,IF(AQ$3=$E166,IF($AA166=1,$F166&amp;$AB166,$G166),IF(OR(AQ$3=$D166,AQ$3=$AC166,AQ$3=$AE166),"",IF(AQ$3=$AD166,$F166&amp;"R",AQ165))))</f>
        <v>wP</v>
      </c>
      <c r="AR166" s="11" t="str">
        <f aca="false">IF($P166=0,AR165,IF(AR$3=$E166,IF($AA166=1,$F166&amp;$AB166,$G166),IF(OR(AR$3=$D166,AR$3=$AC166,AR$3=$AE166),"",IF(AR$3=$AD166,$F166&amp;"R",AR165))))</f>
        <v>wP</v>
      </c>
      <c r="AS166" s="11" t="str">
        <f aca="false">IF($P166=0,AS165,IF(AS$3=$E166,IF($AA166=1,$F166&amp;$AB166,$G166),IF(OR(AS$3=$D166,AS$3=$AC166,AS$3=$AE166),"",IF(AS$3=$AD166,$F166&amp;"R",AS165))))</f>
        <v>wP</v>
      </c>
      <c r="AT166" s="11" t="str">
        <f aca="false">IF($P166=0,AT165,IF(AT$3=$E166,IF($AA166=1,$F166&amp;$AB166,$G166),IF(OR(AT$3=$D166,AT$3=$AC166,AT$3=$AE166),"",IF(AT$3=$AD166,$F166&amp;"R",AT165))))</f>
        <v>wP</v>
      </c>
      <c r="AU166" s="11" t="str">
        <f aca="false">IF($P166=0,AU165,IF(AU$3=$E166,IF($AA166=1,$F166&amp;$AB166,$G166),IF(OR(AU$3=$D166,AU$3=$AC166,AU$3=$AE166),"",IF(AU$3=$AD166,$F166&amp;"R",AU165))))</f>
        <v>wP</v>
      </c>
      <c r="AV166" s="11" t="str">
        <f aca="false">IF($P166=0,AV165,IF(AV$3=$E166,IF($AA166=1,$F166&amp;$AB166,$G166),IF(OR(AV$3=$D166,AV$3=$AC166,AV$3=$AE166),"",IF(AV$3=$AD166,$F166&amp;"R",AV165))))</f>
        <v>wP</v>
      </c>
      <c r="AW166" s="11" t="str">
        <f aca="false">IF($P166=0,AW165,IF(AW$3=$E166,IF($AA166=1,$F166&amp;$AB166,$G166),IF(OR(AW$3=$D166,AW$3=$AC166,AW$3=$AE166),"",IF(AW$3=$AD166,$F166&amp;"R",AW165))))</f>
        <v>wP</v>
      </c>
      <c r="AX166" s="11" t="str">
        <f aca="false">IF($P166=0,AX165,IF(AX$3=$E166,IF($AA166=1,$F166&amp;$AB166,$G166),IF(OR(AX$3=$D166,AX$3=$AC166,AX$3=$AE166),"",IF(AX$3=$AD166,$F166&amp;"R",AX165))))</f>
        <v/>
      </c>
      <c r="AY166" s="11" t="str">
        <f aca="false">IF($P166=0,AY165,IF(AY$3=$E166,IF($AA166=1,$F166&amp;$AB166,$G166),IF(OR(AY$3=$D166,AY$3=$AC166,AY$3=$AE166),"",IF(AY$3=$AD166,$F166&amp;"R",AY165))))</f>
        <v/>
      </c>
      <c r="AZ166" s="11" t="str">
        <f aca="false">IF($P166=0,AZ165,IF(AZ$3=$E166,IF($AA166=1,$F166&amp;$AB166,$G166),IF(OR(AZ$3=$D166,AZ$3=$AC166,AZ$3=$AE166),"",IF(AZ$3=$AD166,$F166&amp;"R",AZ165))))</f>
        <v/>
      </c>
      <c r="BA166" s="11" t="str">
        <f aca="false">IF($P166=0,BA165,IF(BA$3=$E166,IF($AA166=1,$F166&amp;$AB166,$G166),IF(OR(BA$3=$D166,BA$3=$AC166,BA$3=$AE166),"",IF(BA$3=$AD166,$F166&amp;"R",BA165))))</f>
        <v/>
      </c>
      <c r="BB166" s="11" t="str">
        <f aca="false">IF($P166=0,BB165,IF(BB$3=$E166,IF($AA166=1,$F166&amp;$AB166,$G166),IF(OR(BB$3=$D166,BB$3=$AC166,BB$3=$AE166),"",IF(BB$3=$AD166,$F166&amp;"R",BB165))))</f>
        <v/>
      </c>
      <c r="BC166" s="11" t="str">
        <f aca="false">IF($P166=0,BC165,IF(BC$3=$E166,IF($AA166=1,$F166&amp;$AB166,$G166),IF(OR(BC$3=$D166,BC$3=$AC166,BC$3=$AE166),"",IF(BC$3=$AD166,$F166&amp;"R",BC165))))</f>
        <v/>
      </c>
      <c r="BD166" s="11" t="str">
        <f aca="false">IF($P166=0,BD165,IF(BD$3=$E166,IF($AA166=1,$F166&amp;$AB166,$G166),IF(OR(BD$3=$D166,BD$3=$AC166,BD$3=$AE166),"",IF(BD$3=$AD166,$F166&amp;"R",BD165))))</f>
        <v/>
      </c>
      <c r="BE166" s="11" t="str">
        <f aca="false">IF($P166=0,BE165,IF(BE$3=$E166,IF($AA166=1,$F166&amp;$AB166,$G166),IF(OR(BE$3=$D166,BE$3=$AC166,BE$3=$AE166),"",IF(BE$3=$AD166,$F166&amp;"R",BE165))))</f>
        <v/>
      </c>
      <c r="BF166" s="11" t="str">
        <f aca="false">IF($P166=0,BF165,IF(BF$3=$E166,IF($AA166=1,$F166&amp;$AB166,$G166),IF(OR(BF$3=$D166,BF$3=$AC166,BF$3=$AE166),"",IF(BF$3=$AD166,$F166&amp;"R",BF165))))</f>
        <v/>
      </c>
      <c r="BG166" s="11" t="str">
        <f aca="false">IF($P166=0,BG165,IF(BG$3=$E166,IF($AA166=1,$F166&amp;$AB166,$G166),IF(OR(BG$3=$D166,BG$3=$AC166,BG$3=$AE166),"",IF(BG$3=$AD166,$F166&amp;"R",BG165))))</f>
        <v/>
      </c>
      <c r="BH166" s="11" t="str">
        <f aca="false">IF($P166=0,BH165,IF(BH$3=$E166,IF($AA166=1,$F166&amp;$AB166,$G166),IF(OR(BH$3=$D166,BH$3=$AC166,BH$3=$AE166),"",IF(BH$3=$AD166,$F166&amp;"R",BH165))))</f>
        <v/>
      </c>
      <c r="BI166" s="11" t="str">
        <f aca="false">IF($P166=0,BI165,IF(BI$3=$E166,IF($AA166=1,$F166&amp;$AB166,$G166),IF(OR(BI$3=$D166,BI$3=$AC166,BI$3=$AE166),"",IF(BI$3=$AD166,$F166&amp;"R",BI165))))</f>
        <v/>
      </c>
      <c r="BJ166" s="11" t="str">
        <f aca="false">IF($P166=0,BJ165,IF(BJ$3=$E166,IF($AA166=1,$F166&amp;$AB166,$G166),IF(OR(BJ$3=$D166,BJ$3=$AC166,BJ$3=$AE166),"",IF(BJ$3=$AD166,$F166&amp;"R",BJ165))))</f>
        <v/>
      </c>
      <c r="BK166" s="11" t="str">
        <f aca="false">IF($P166=0,BK165,IF(BK$3=$E166,IF($AA166=1,$F166&amp;$AB166,$G166),IF(OR(BK$3=$D166,BK$3=$AC166,BK$3=$AE166),"",IF(BK$3=$AD166,$F166&amp;"R",BK165))))</f>
        <v/>
      </c>
      <c r="BL166" s="11" t="str">
        <f aca="false">IF($P166=0,BL165,IF(BL$3=$E166,IF($AA166=1,$F166&amp;$AB166,$G166),IF(OR(BL$3=$D166,BL$3=$AC166,BL$3=$AE166),"",IF(BL$3=$AD166,$F166&amp;"R",BL165))))</f>
        <v/>
      </c>
      <c r="BM166" s="11" t="str">
        <f aca="false">IF($P166=0,BM165,IF(BM$3=$E166,IF($AA166=1,$F166&amp;$AB166,$G166),IF(OR(BM$3=$D166,BM$3=$AC166,BM$3=$AE166),"",IF(BM$3=$AD166,$F166&amp;"R",BM165))))</f>
        <v/>
      </c>
      <c r="BN166" s="11" t="str">
        <f aca="false">IF($P166=0,BN165,IF(BN$3=$E166,IF($AA166=1,$F166&amp;$AB166,$G166),IF(OR(BN$3=$D166,BN$3=$AC166,BN$3=$AE166),"",IF(BN$3=$AD166,$F166&amp;"R",BN165))))</f>
        <v/>
      </c>
      <c r="BO166" s="11" t="str">
        <f aca="false">IF($P166=0,BO165,IF(BO$3=$E166,IF($AA166=1,$F166&amp;$AB166,$G166),IF(OR(BO$3=$D166,BO$3=$AC166,BO$3=$AE166),"",IF(BO$3=$AD166,$F166&amp;"R",BO165))))</f>
        <v/>
      </c>
      <c r="BP166" s="11" t="str">
        <f aca="false">IF($P166=0,BP165,IF(BP$3=$E166,IF($AA166=1,$F166&amp;$AB166,$G166),IF(OR(BP$3=$D166,BP$3=$AC166,BP$3=$AE166),"",IF(BP$3=$AD166,$F166&amp;"R",BP165))))</f>
        <v/>
      </c>
      <c r="BQ166" s="11" t="str">
        <f aca="false">IF($P166=0,BQ165,IF(BQ$3=$E166,IF($AA166=1,$F166&amp;$AB166,$G166),IF(OR(BQ$3=$D166,BQ$3=$AC166,BQ$3=$AE166),"",IF(BQ$3=$AD166,$F166&amp;"R",BQ165))))</f>
        <v/>
      </c>
      <c r="BR166" s="11" t="str">
        <f aca="false">IF($P166=0,BR165,IF(BR$3=$E166,IF($AA166=1,$F166&amp;$AB166,$G166),IF(OR(BR$3=$D166,BR$3=$AC166,BR$3=$AE166),"",IF(BR$3=$AD166,$F166&amp;"R",BR165))))</f>
        <v/>
      </c>
      <c r="BS166" s="11" t="str">
        <f aca="false">IF($P166=0,BS165,IF(BS$3=$E166,IF($AA166=1,$F166&amp;$AB166,$G166),IF(OR(BS$3=$D166,BS$3=$AC166,BS$3=$AE166),"",IF(BS$3=$AD166,$F166&amp;"R",BS165))))</f>
        <v/>
      </c>
      <c r="BT166" s="11" t="str">
        <f aca="false">IF($P166=0,BT165,IF(BT$3=$E166,IF($AA166=1,$F166&amp;$AB166,$G166),IF(OR(BT$3=$D166,BT$3=$AC166,BT$3=$AE166),"",IF(BT$3=$AD166,$F166&amp;"R",BT165))))</f>
        <v/>
      </c>
      <c r="BU166" s="11" t="str">
        <f aca="false">IF($P166=0,BU165,IF(BU$3=$E166,IF($AA166=1,$F166&amp;$AB166,$G166),IF(OR(BU$3=$D166,BU$3=$AC166,BU$3=$AE166),"",IF(BU$3=$AD166,$F166&amp;"R",BU165))))</f>
        <v/>
      </c>
      <c r="BV166" s="11" t="str">
        <f aca="false">IF($P166=0,BV165,IF(BV$3=$E166,IF($AA166=1,$F166&amp;$AB166,$G166),IF(OR(BV$3=$D166,BV$3=$AC166,BV$3=$AE166),"",IF(BV$3=$AD166,$F166&amp;"R",BV165))))</f>
        <v/>
      </c>
      <c r="BW166" s="11" t="str">
        <f aca="false">IF($P166=0,BW165,IF(BW$3=$E166,IF($AA166=1,$F166&amp;$AB166,$G166),IF(OR(BW$3=$D166,BW$3=$AC166,BW$3=$AE166),"",IF(BW$3=$AD166,$F166&amp;"R",BW165))))</f>
        <v/>
      </c>
      <c r="BX166" s="11" t="str">
        <f aca="false">IF($P166=0,BX165,IF(BX$3=$E166,IF($AA166=1,$F166&amp;$AB166,$G166),IF(OR(BX$3=$D166,BX$3=$AC166,BX$3=$AE166),"",IF(BX$3=$AD166,$F166&amp;"R",BX165))))</f>
        <v/>
      </c>
      <c r="BY166" s="11" t="str">
        <f aca="false">IF($P166=0,BY165,IF(BY$3=$E166,IF($AA166=1,$F166&amp;$AB166,$G166),IF(OR(BY$3=$D166,BY$3=$AC166,BY$3=$AE166),"",IF(BY$3=$AD166,$F166&amp;"R",BY165))))</f>
        <v/>
      </c>
      <c r="BZ166" s="11" t="str">
        <f aca="false">IF($P166=0,BZ165,IF(BZ$3=$E166,IF($AA166=1,$F166&amp;$AB166,$G166),IF(OR(BZ$3=$D166,BZ$3=$AC166,BZ$3=$AE166),"",IF(BZ$3=$AD166,$F166&amp;"R",BZ165))))</f>
        <v/>
      </c>
      <c r="CA166" s="11" t="str">
        <f aca="false">IF($P166=0,CA165,IF(CA$3=$E166,IF($AA166=1,$F166&amp;$AB166,$G166),IF(OR(CA$3=$D166,CA$3=$AC166,CA$3=$AE166),"",IF(CA$3=$AD166,$F166&amp;"R",CA165))))</f>
        <v/>
      </c>
      <c r="CB166" s="11" t="str">
        <f aca="false">IF($P166=0,CB165,IF(CB$3=$E166,IF($AA166=1,$F166&amp;$AB166,$G166),IF(OR(CB$3=$D166,CB$3=$AC166,CB$3=$AE166),"",IF(CB$3=$AD166,$F166&amp;"R",CB165))))</f>
        <v/>
      </c>
      <c r="CC166" s="11" t="str">
        <f aca="false">IF($P166=0,CC165,IF(CC$3=$E166,IF($AA166=1,$F166&amp;$AB166,$G166),IF(OR(CC$3=$D166,CC$3=$AC166,CC$3=$AE166),"",IF(CC$3=$AD166,$F166&amp;"R",CC165))))</f>
        <v/>
      </c>
      <c r="CD166" s="11" t="str">
        <f aca="false">IF($P166=0,CD165,IF(CD$3=$E166,IF($AA166=1,$F166&amp;$AB166,$G166),IF(OR(CD$3=$D166,CD$3=$AC166,CD$3=$AE166),"",IF(CD$3=$AD166,$F166&amp;"R",CD165))))</f>
        <v>bP</v>
      </c>
      <c r="CE166" s="11" t="str">
        <f aca="false">IF($P166=0,CE165,IF(CE$3=$E166,IF($AA166=1,$F166&amp;$AB166,$G166),IF(OR(CE$3=$D166,CE$3=$AC166,CE$3=$AE166),"",IF(CE$3=$AD166,$F166&amp;"R",CE165))))</f>
        <v>bP</v>
      </c>
      <c r="CF166" s="11" t="str">
        <f aca="false">IF($P166=0,CF165,IF(CF$3=$E166,IF($AA166=1,$F166&amp;$AB166,$G166),IF(OR(CF$3=$D166,CF$3=$AC166,CF$3=$AE166),"",IF(CF$3=$AD166,$F166&amp;"R",CF165))))</f>
        <v>bP</v>
      </c>
      <c r="CG166" s="11" t="str">
        <f aca="false">IF($P166=0,CG165,IF(CG$3=$E166,IF($AA166=1,$F166&amp;$AB166,$G166),IF(OR(CG$3=$D166,CG$3=$AC166,CG$3=$AE166),"",IF(CG$3=$AD166,$F166&amp;"R",CG165))))</f>
        <v>bP</v>
      </c>
      <c r="CH166" s="11" t="str">
        <f aca="false">IF($P166=0,CH165,IF(CH$3=$E166,IF($AA166=1,$F166&amp;$AB166,$G166),IF(OR(CH$3=$D166,CH$3=$AC166,CH$3=$AE166),"",IF(CH$3=$AD166,$F166&amp;"R",CH165))))</f>
        <v>bP</v>
      </c>
      <c r="CI166" s="11" t="str">
        <f aca="false">IF($P166=0,CI165,IF(CI$3=$E166,IF($AA166=1,$F166&amp;$AB166,$G166),IF(OR(CI$3=$D166,CI$3=$AC166,CI$3=$AE166),"",IF(CI$3=$AD166,$F166&amp;"R",CI165))))</f>
        <v>bP</v>
      </c>
      <c r="CJ166" s="11" t="str">
        <f aca="false">IF($P166=0,CJ165,IF(CJ$3=$E166,IF($AA166=1,$F166&amp;$AB166,$G166),IF(OR(CJ$3=$D166,CJ$3=$AC166,CJ$3=$AE166),"",IF(CJ$3=$AD166,$F166&amp;"R",CJ165))))</f>
        <v>bP</v>
      </c>
      <c r="CK166" s="11" t="str">
        <f aca="false">IF($P166=0,CK165,IF(CK$3=$E166,IF($AA166=1,$F166&amp;$AB166,$G166),IF(OR(CK$3=$D166,CK$3=$AC166,CK$3=$AE166),"",IF(CK$3=$AD166,$F166&amp;"R",CK165))))</f>
        <v>bP</v>
      </c>
      <c r="CL166" s="11" t="str">
        <f aca="false">IF($P166=0,CL165,IF(CL$3=$E166,IF($AA166=1,$F166&amp;$AB166,$G166),IF(OR(CL$3=$D166,CL$3=$AC166,CL$3=$AE166),"",IF(CL$3=$AD166,$F166&amp;"R",CL165))))</f>
        <v>bR</v>
      </c>
      <c r="CM166" s="11" t="str">
        <f aca="false">IF($P166=0,CM165,IF(CM$3=$E166,IF($AA166=1,$F166&amp;$AB166,$G166),IF(OR(CM$3=$D166,CM$3=$AC166,CM$3=$AE166),"",IF(CM$3=$AD166,$F166&amp;"R",CM165))))</f>
        <v>bN</v>
      </c>
      <c r="CN166" s="11" t="str">
        <f aca="false">IF($P166=0,CN165,IF(CN$3=$E166,IF($AA166=1,$F166&amp;$AB166,$G166),IF(OR(CN$3=$D166,CN$3=$AC166,CN$3=$AE166),"",IF(CN$3=$AD166,$F166&amp;"R",CN165))))</f>
        <v>bB</v>
      </c>
      <c r="CO166" s="11" t="str">
        <f aca="false">IF($P166=0,CO165,IF(CO$3=$E166,IF($AA166=1,$F166&amp;$AB166,$G166),IF(OR(CO$3=$D166,CO$3=$AC166,CO$3=$AE166),"",IF(CO$3=$AD166,$F166&amp;"R",CO165))))</f>
        <v>bQ</v>
      </c>
      <c r="CP166" s="11" t="str">
        <f aca="false">IF($P166=0,CP165,IF(CP$3=$E166,IF($AA166=1,$F166&amp;$AB166,$G166),IF(OR(CP$3=$D166,CP$3=$AC166,CP$3=$AE166),"",IF(CP$3=$AD166,$F166&amp;"R",CP165))))</f>
        <v>bK</v>
      </c>
      <c r="CQ166" s="11" t="str">
        <f aca="false">IF($P166=0,CQ165,IF(CQ$3=$E166,IF($AA166=1,$F166&amp;$AB166,$G166),IF(OR(CQ$3=$D166,CQ$3=$AC166,CQ$3=$AE166),"",IF(CQ$3=$AD166,$F166&amp;"R",CQ165))))</f>
        <v>bB</v>
      </c>
      <c r="CR166" s="11" t="str">
        <f aca="false">IF($P166=0,CR165,IF(CR$3=$E166,IF($AA166=1,$F166&amp;$AB166,$G166),IF(OR(CR$3=$D166,CR$3=$AC166,CR$3=$AE166),"",IF(CR$3=$AD166,$F166&amp;"R",CR165))))</f>
        <v>bN</v>
      </c>
      <c r="CS166" s="11" t="str">
        <f aca="false">IF($P166=0,CS165,IF(CS$3=$E166,IF($AA166=1,$F166&amp;$AB166,$G166),IF(OR(CS$3=$D166,CS$3=$AC166,CS$3=$AE166),"",IF(CS$3=$AD166,$F166&amp;"R",CS165))))</f>
        <v>bR</v>
      </c>
      <c r="CT166" s="11"/>
      <c r="CU166" s="11"/>
      <c r="CV166" s="11"/>
    </row>
    <row r="167" customFormat="false" ht="15" hidden="false" customHeight="false" outlineLevel="0" collapsed="false">
      <c r="A167" s="11" t="n">
        <v>162</v>
      </c>
      <c r="B167" s="11" t="str">
        <f aca="false">IF(Chess!$L$171="","",Chess!$L$171&amp;"")</f>
        <v/>
      </c>
      <c r="C167" s="11" t="str">
        <f aca="false">LOWER(SUBSTITUTE(SUBSTITUTE(SUBSTITUTE(SUBSTITUTE(TRIM($B167),"-",""),"=","")," ",""),"x",""))</f>
        <v/>
      </c>
      <c r="D167" s="11" t="n">
        <f aca="false">IF(LEN($C167)&lt;4,0,IFERROR(IF(AND(CODE(MID($C167,1,1))&gt;=97,CODE(MID($C167,1,1))&lt;=104,VALUE(MID($C167,2,1))&gt;=1,VALUE(MID($C167,2,1))&lt;=8),(VALUE(MID($C167,2,1))-1)*8+CODE(MID($C167,1,1))-96,0),0))</f>
        <v>0</v>
      </c>
      <c r="E167" s="11" t="n">
        <f aca="false">IF(LEN($C167)&lt;4,0,IFERROR(IF(AND(CODE(MID($C167,3,1))&gt;=97,CODE(MID($C167,3,1))&lt;=104,VALUE(MID($C167,4,1))&gt;=1,VALUE(MID($C167,4,1))&lt;=8),(VALUE(MID($C167,4,1))-1)*8+CODE(MID($C167,3,1))-96,0),0))</f>
        <v>0</v>
      </c>
      <c r="F167" s="11" t="str">
        <f aca="false">IF(MOD(SUM($P$5:$P166),2)=0,"w","b")</f>
        <v>w</v>
      </c>
      <c r="G167" s="11" t="str">
        <f aca="false">IF($D167=0,"",INDEX($AH166:$CS166,1,$D167)&amp;"")</f>
        <v/>
      </c>
      <c r="H167" s="11" t="str">
        <f aca="false">IF($E167=0,"",INDEX($AH166:$CS166,1,$E167)&amp;"")</f>
        <v/>
      </c>
      <c r="I167" s="11" t="n">
        <f aca="false">IF(OR($D167=0,$E167=0),0,MOD($E167-1,8)-MOD($D167-1,8))</f>
        <v>0</v>
      </c>
      <c r="J167" s="11" t="n">
        <f aca="false">IF(OR($D167=0,$E167=0),0,INT(($E167-1)/8)-INT(($D167-1)/8))</f>
        <v>0</v>
      </c>
      <c r="K167" s="11" t="str">
        <f aca="false">IF($G167="","",RIGHT($G167,1))</f>
        <v/>
      </c>
      <c r="L167" s="11" t="n">
        <f aca="false">IF(OR($D167=0,$E167=0),0,SUMPRODUCT(($AH$3:$CS$3&gt;MIN($D167,$E167))*($AH$3:$CS$3&lt;MAX($D167,$E167))*(MOD($AH$3:$CS$3-MIN($D167,$E167),MAX(1,ABS(SIGN($J167)*8+SIGN($I167))))=0)*($AH166:$CS166&lt;&gt;"")))</f>
        <v>0</v>
      </c>
      <c r="M167" s="11" t="n">
        <f aca="false">IF($K167&lt;&gt;"K",0,IFERROR(--AND($J167=0,ABS($I167)=2,$D167=IF($F167="w",5,61),IF($F167="w",$S166,$V166)=0,IF($I167=2,AND(IF($F167="w",$U166,$X166)=0,INDEX($AH166:$CS166,1,$D167+1)&amp;""="",INDEX($AH166:$CS166,1,$D167+2)&amp;""=""),AND(IF($F167="w",$T166,$W166)=0,INDEX($AH166:$CS166,1,$D167-1)&amp;""="",INDEX($AH166:$CS166,1,$D167-2)&amp;""="",INDEX($AH166:$CS166,1,$D167-3)&amp;""=""))),0))</f>
        <v>0</v>
      </c>
      <c r="N167" s="11" t="n">
        <f aca="false">IF($K167&lt;&gt;"P",0,IFERROR(--OR(AND($I167=0,$J167=IF($F167="w",1,-1),$H167=""),AND($I167=0,$J167=2*IF($F167="w",1,-1),$H167="",INT(($D167-1)/8)=IF($F167="w",1,6),INDEX($AH166:$CS166,1,MAX(1,MIN(64,$D167+8*IF($F167="w",1,-1))))&amp;""=""),AND(ABS($I167)=1,$J167=IF($F167="w",1,-1),$H167&lt;&gt;""),AND(ABS($I167)=1,$J167=IF($F167="w",1,-1),$H167="",$R166&gt;0,$E167=$R166)),0))</f>
        <v>0</v>
      </c>
      <c r="O167" s="11" t="n">
        <f aca="false">IF(OR($D167=0,$E167=0,$G167=""),0,IF($K167="N",--OR(AND(ABS($I167)=1,ABS($J167)=2),AND(ABS($I167)=2,ABS($J167)=1)),IF($K167="B",--AND(ABS($I167)=ABS($J167),$I167&lt;&gt;0,$L167=0),IF($K167="R",--AND(OR($I167=0,$J167=0),OR($I167&lt;&gt;0,$J167&lt;&gt;0),$L167=0),IF($K167="Q",--AND(OR(AND(ABS($I167)=ABS($J167),$I167&lt;&gt;0),AND(OR($I167=0,$J167=0),OR($I167&lt;&gt;0,$J167&lt;&gt;0))),$L167=0),IF($K167="K",--OR(MAX(ABS($I167),ABS($J167))=1,$M167=1),$N167))))))</f>
        <v>0</v>
      </c>
      <c r="P167" s="11" t="n">
        <f aca="false">IF($Q167="OK",1,0)</f>
        <v>0</v>
      </c>
      <c r="Q167" s="11" t="str">
        <f aca="false">IF($B167="","",IF(OR(COUNTIF($AH166:$CS166,"wK")=0,COUNTIF($AH166:$CS166,"bK")=0),"Game is over",IF(OR($D167=0,$E167=0),"Use the format e2e4",IF($G167="","No piece on that square",IF(LEFT($G167,1)&lt;&gt;$F167,"Not your piece ("&amp;IF($F167="w","White","Black")&amp;" to move)",IF($D167=$E167,"Piece must move",IF(AND($H167&lt;&gt;"",LEFT($H167,1)=$F167),"Cannot capture your own piece",IF($O167=0,"Illegal move for that piece (or path blocked)","OK"))))))))</f>
        <v/>
      </c>
      <c r="R167" s="11" t="n">
        <f aca="false">IF($P167=1,IF(AND($K167="P",ABS($J167)=2),($D167+$E167)/2,0),$R166)</f>
        <v>0</v>
      </c>
      <c r="S167" s="12" t="b">
        <f aca="false">--OR($S166=1,AND($P167=1,OR($D167=5,$E167=5)))</f>
        <v>0</v>
      </c>
      <c r="T167" s="12" t="b">
        <f aca="false">--OR($T166=1,AND($P167=1,OR($D167=1,$E167=1)))</f>
        <v>0</v>
      </c>
      <c r="U167" s="12" t="b">
        <f aca="false">--OR($U166=1,AND($P167=1,OR($D167=8,$E167=8)))</f>
        <v>0</v>
      </c>
      <c r="V167" s="12" t="b">
        <f aca="false">--OR($V166=1,AND($P167=1,OR($D167=61,$E167=61)))</f>
        <v>0</v>
      </c>
      <c r="W167" s="12" t="b">
        <f aca="false">--OR($W166=1,AND($P167=1,OR($D167=57,$E167=57)))</f>
        <v>0</v>
      </c>
      <c r="X167" s="12" t="b">
        <f aca="false">--OR($X166=1,AND($P167=1,OR($D167=64,$E167=64)))</f>
        <v>0</v>
      </c>
      <c r="Y167" s="12" t="b">
        <f aca="false">--AND($P167=1,$K167="K",ABS($I167)=2)</f>
        <v>0</v>
      </c>
      <c r="Z167" s="12" t="b">
        <f aca="false">--AND($P167=1,$K167="P",ABS($I167)=1,$H167="")</f>
        <v>0</v>
      </c>
      <c r="AA167" s="12" t="b">
        <f aca="false">--AND($P167=1,$K167="P",INT(($E167-1)/8)=IF($F167="w",7,0))</f>
        <v>0</v>
      </c>
      <c r="AB167" s="11" t="str">
        <f aca="false">IF(LEN($C167)&gt;=5,IF(ISNUMBER(FIND(MID($C167,5,1),"qrbn")),UPPER(MID($C167,5,1)),"Q"),"Q")</f>
        <v>Q</v>
      </c>
      <c r="AC167" s="11" t="n">
        <f aca="false">IF($Y167=1,IF($I167=2,$D167+3,$D167-4),0)</f>
        <v>0</v>
      </c>
      <c r="AD167" s="11" t="n">
        <f aca="false">IF($Y167=1,IF($I167=2,$D167+1,$D167-1),0)</f>
        <v>0</v>
      </c>
      <c r="AE167" s="11" t="n">
        <f aca="false">IF($Z167=1,$E167-8*IF($F167="w",1,-1),0)</f>
        <v>0</v>
      </c>
      <c r="AF167" s="11" t="str">
        <f aca="false">IF($B167="","",IF($P167=1,LOWER(INDEX($CV$2:$CV$13,MATCH($G167,$CU$2:$CU$13,0)))&amp;" "&amp;MID("abcdefgh",MOD($D167-1,8)+1,1)&amp;(INT(($D167-1)/8)+1)&amp;"→"&amp;MID("abcdefgh",MOD($E167-1,8)+1,1)&amp;(INT(($E167-1)/8)+1)&amp;IF(OR($H167&lt;&gt;"",$Z167=1)," ×","")&amp;IF($Y167=1," castles","")&amp;IF($Z167=1," e.p.","")&amp;IF($AA167=1," =" &amp;LOWER(INDEX($CV$2:$CV$13,MATCH($F167&amp;$AB167,$CU$2:$CU$13,0))),""),"X "&amp;$Q167))</f>
        <v/>
      </c>
      <c r="AG167" s="11"/>
      <c r="AH167" s="11" t="str">
        <f aca="false">IF($P167=0,AH166,IF(AH$3=$E167,IF($AA167=1,$F167&amp;$AB167,$G167),IF(OR(AH$3=$D167,AH$3=$AC167,AH$3=$AE167),"",IF(AH$3=$AD167,$F167&amp;"R",AH166))))</f>
        <v>wR</v>
      </c>
      <c r="AI167" s="11" t="str">
        <f aca="false">IF($P167=0,AI166,IF(AI$3=$E167,IF($AA167=1,$F167&amp;$AB167,$G167),IF(OR(AI$3=$D167,AI$3=$AC167,AI$3=$AE167),"",IF(AI$3=$AD167,$F167&amp;"R",AI166))))</f>
        <v>wN</v>
      </c>
      <c r="AJ167" s="11" t="str">
        <f aca="false">IF($P167=0,AJ166,IF(AJ$3=$E167,IF($AA167=1,$F167&amp;$AB167,$G167),IF(OR(AJ$3=$D167,AJ$3=$AC167,AJ$3=$AE167),"",IF(AJ$3=$AD167,$F167&amp;"R",AJ166))))</f>
        <v>wB</v>
      </c>
      <c r="AK167" s="11" t="str">
        <f aca="false">IF($P167=0,AK166,IF(AK$3=$E167,IF($AA167=1,$F167&amp;$AB167,$G167),IF(OR(AK$3=$D167,AK$3=$AC167,AK$3=$AE167),"",IF(AK$3=$AD167,$F167&amp;"R",AK166))))</f>
        <v>wQ</v>
      </c>
      <c r="AL167" s="11" t="str">
        <f aca="false">IF($P167=0,AL166,IF(AL$3=$E167,IF($AA167=1,$F167&amp;$AB167,$G167),IF(OR(AL$3=$D167,AL$3=$AC167,AL$3=$AE167),"",IF(AL$3=$AD167,$F167&amp;"R",AL166))))</f>
        <v>wK</v>
      </c>
      <c r="AM167" s="11" t="str">
        <f aca="false">IF($P167=0,AM166,IF(AM$3=$E167,IF($AA167=1,$F167&amp;$AB167,$G167),IF(OR(AM$3=$D167,AM$3=$AC167,AM$3=$AE167),"",IF(AM$3=$AD167,$F167&amp;"R",AM166))))</f>
        <v>wB</v>
      </c>
      <c r="AN167" s="11" t="str">
        <f aca="false">IF($P167=0,AN166,IF(AN$3=$E167,IF($AA167=1,$F167&amp;$AB167,$G167),IF(OR(AN$3=$D167,AN$3=$AC167,AN$3=$AE167),"",IF(AN$3=$AD167,$F167&amp;"R",AN166))))</f>
        <v>wN</v>
      </c>
      <c r="AO167" s="11" t="str">
        <f aca="false">IF($P167=0,AO166,IF(AO$3=$E167,IF($AA167=1,$F167&amp;$AB167,$G167),IF(OR(AO$3=$D167,AO$3=$AC167,AO$3=$AE167),"",IF(AO$3=$AD167,$F167&amp;"R",AO166))))</f>
        <v>wR</v>
      </c>
      <c r="AP167" s="11" t="str">
        <f aca="false">IF($P167=0,AP166,IF(AP$3=$E167,IF($AA167=1,$F167&amp;$AB167,$G167),IF(OR(AP$3=$D167,AP$3=$AC167,AP$3=$AE167),"",IF(AP$3=$AD167,$F167&amp;"R",AP166))))</f>
        <v>wP</v>
      </c>
      <c r="AQ167" s="11" t="str">
        <f aca="false">IF($P167=0,AQ166,IF(AQ$3=$E167,IF($AA167=1,$F167&amp;$AB167,$G167),IF(OR(AQ$3=$D167,AQ$3=$AC167,AQ$3=$AE167),"",IF(AQ$3=$AD167,$F167&amp;"R",AQ166))))</f>
        <v>wP</v>
      </c>
      <c r="AR167" s="11" t="str">
        <f aca="false">IF($P167=0,AR166,IF(AR$3=$E167,IF($AA167=1,$F167&amp;$AB167,$G167),IF(OR(AR$3=$D167,AR$3=$AC167,AR$3=$AE167),"",IF(AR$3=$AD167,$F167&amp;"R",AR166))))</f>
        <v>wP</v>
      </c>
      <c r="AS167" s="11" t="str">
        <f aca="false">IF($P167=0,AS166,IF(AS$3=$E167,IF($AA167=1,$F167&amp;$AB167,$G167),IF(OR(AS$3=$D167,AS$3=$AC167,AS$3=$AE167),"",IF(AS$3=$AD167,$F167&amp;"R",AS166))))</f>
        <v>wP</v>
      </c>
      <c r="AT167" s="11" t="str">
        <f aca="false">IF($P167=0,AT166,IF(AT$3=$E167,IF($AA167=1,$F167&amp;$AB167,$G167),IF(OR(AT$3=$D167,AT$3=$AC167,AT$3=$AE167),"",IF(AT$3=$AD167,$F167&amp;"R",AT166))))</f>
        <v>wP</v>
      </c>
      <c r="AU167" s="11" t="str">
        <f aca="false">IF($P167=0,AU166,IF(AU$3=$E167,IF($AA167=1,$F167&amp;$AB167,$G167),IF(OR(AU$3=$D167,AU$3=$AC167,AU$3=$AE167),"",IF(AU$3=$AD167,$F167&amp;"R",AU166))))</f>
        <v>wP</v>
      </c>
      <c r="AV167" s="11" t="str">
        <f aca="false">IF($P167=0,AV166,IF(AV$3=$E167,IF($AA167=1,$F167&amp;$AB167,$G167),IF(OR(AV$3=$D167,AV$3=$AC167,AV$3=$AE167),"",IF(AV$3=$AD167,$F167&amp;"R",AV166))))</f>
        <v>wP</v>
      </c>
      <c r="AW167" s="11" t="str">
        <f aca="false">IF($P167=0,AW166,IF(AW$3=$E167,IF($AA167=1,$F167&amp;$AB167,$G167),IF(OR(AW$3=$D167,AW$3=$AC167,AW$3=$AE167),"",IF(AW$3=$AD167,$F167&amp;"R",AW166))))</f>
        <v>wP</v>
      </c>
      <c r="AX167" s="11" t="str">
        <f aca="false">IF($P167=0,AX166,IF(AX$3=$E167,IF($AA167=1,$F167&amp;$AB167,$G167),IF(OR(AX$3=$D167,AX$3=$AC167,AX$3=$AE167),"",IF(AX$3=$AD167,$F167&amp;"R",AX166))))</f>
        <v/>
      </c>
      <c r="AY167" s="11" t="str">
        <f aca="false">IF($P167=0,AY166,IF(AY$3=$E167,IF($AA167=1,$F167&amp;$AB167,$G167),IF(OR(AY$3=$D167,AY$3=$AC167,AY$3=$AE167),"",IF(AY$3=$AD167,$F167&amp;"R",AY166))))</f>
        <v/>
      </c>
      <c r="AZ167" s="11" t="str">
        <f aca="false">IF($P167=0,AZ166,IF(AZ$3=$E167,IF($AA167=1,$F167&amp;$AB167,$G167),IF(OR(AZ$3=$D167,AZ$3=$AC167,AZ$3=$AE167),"",IF(AZ$3=$AD167,$F167&amp;"R",AZ166))))</f>
        <v/>
      </c>
      <c r="BA167" s="11" t="str">
        <f aca="false">IF($P167=0,BA166,IF(BA$3=$E167,IF($AA167=1,$F167&amp;$AB167,$G167),IF(OR(BA$3=$D167,BA$3=$AC167,BA$3=$AE167),"",IF(BA$3=$AD167,$F167&amp;"R",BA166))))</f>
        <v/>
      </c>
      <c r="BB167" s="11" t="str">
        <f aca="false">IF($P167=0,BB166,IF(BB$3=$E167,IF($AA167=1,$F167&amp;$AB167,$G167),IF(OR(BB$3=$D167,BB$3=$AC167,BB$3=$AE167),"",IF(BB$3=$AD167,$F167&amp;"R",BB166))))</f>
        <v/>
      </c>
      <c r="BC167" s="11" t="str">
        <f aca="false">IF($P167=0,BC166,IF(BC$3=$E167,IF($AA167=1,$F167&amp;$AB167,$G167),IF(OR(BC$3=$D167,BC$3=$AC167,BC$3=$AE167),"",IF(BC$3=$AD167,$F167&amp;"R",BC166))))</f>
        <v/>
      </c>
      <c r="BD167" s="11" t="str">
        <f aca="false">IF($P167=0,BD166,IF(BD$3=$E167,IF($AA167=1,$F167&amp;$AB167,$G167),IF(OR(BD$3=$D167,BD$3=$AC167,BD$3=$AE167),"",IF(BD$3=$AD167,$F167&amp;"R",BD166))))</f>
        <v/>
      </c>
      <c r="BE167" s="11" t="str">
        <f aca="false">IF($P167=0,BE166,IF(BE$3=$E167,IF($AA167=1,$F167&amp;$AB167,$G167),IF(OR(BE$3=$D167,BE$3=$AC167,BE$3=$AE167),"",IF(BE$3=$AD167,$F167&amp;"R",BE166))))</f>
        <v/>
      </c>
      <c r="BF167" s="11" t="str">
        <f aca="false">IF($P167=0,BF166,IF(BF$3=$E167,IF($AA167=1,$F167&amp;$AB167,$G167),IF(OR(BF$3=$D167,BF$3=$AC167,BF$3=$AE167),"",IF(BF$3=$AD167,$F167&amp;"R",BF166))))</f>
        <v/>
      </c>
      <c r="BG167" s="11" t="str">
        <f aca="false">IF($P167=0,BG166,IF(BG$3=$E167,IF($AA167=1,$F167&amp;$AB167,$G167),IF(OR(BG$3=$D167,BG$3=$AC167,BG$3=$AE167),"",IF(BG$3=$AD167,$F167&amp;"R",BG166))))</f>
        <v/>
      </c>
      <c r="BH167" s="11" t="str">
        <f aca="false">IF($P167=0,BH166,IF(BH$3=$E167,IF($AA167=1,$F167&amp;$AB167,$G167),IF(OR(BH$3=$D167,BH$3=$AC167,BH$3=$AE167),"",IF(BH$3=$AD167,$F167&amp;"R",BH166))))</f>
        <v/>
      </c>
      <c r="BI167" s="11" t="str">
        <f aca="false">IF($P167=0,BI166,IF(BI$3=$E167,IF($AA167=1,$F167&amp;$AB167,$G167),IF(OR(BI$3=$D167,BI$3=$AC167,BI$3=$AE167),"",IF(BI$3=$AD167,$F167&amp;"R",BI166))))</f>
        <v/>
      </c>
      <c r="BJ167" s="11" t="str">
        <f aca="false">IF($P167=0,BJ166,IF(BJ$3=$E167,IF($AA167=1,$F167&amp;$AB167,$G167),IF(OR(BJ$3=$D167,BJ$3=$AC167,BJ$3=$AE167),"",IF(BJ$3=$AD167,$F167&amp;"R",BJ166))))</f>
        <v/>
      </c>
      <c r="BK167" s="11" t="str">
        <f aca="false">IF($P167=0,BK166,IF(BK$3=$E167,IF($AA167=1,$F167&amp;$AB167,$G167),IF(OR(BK$3=$D167,BK$3=$AC167,BK$3=$AE167),"",IF(BK$3=$AD167,$F167&amp;"R",BK166))))</f>
        <v/>
      </c>
      <c r="BL167" s="11" t="str">
        <f aca="false">IF($P167=0,BL166,IF(BL$3=$E167,IF($AA167=1,$F167&amp;$AB167,$G167),IF(OR(BL$3=$D167,BL$3=$AC167,BL$3=$AE167),"",IF(BL$3=$AD167,$F167&amp;"R",BL166))))</f>
        <v/>
      </c>
      <c r="BM167" s="11" t="str">
        <f aca="false">IF($P167=0,BM166,IF(BM$3=$E167,IF($AA167=1,$F167&amp;$AB167,$G167),IF(OR(BM$3=$D167,BM$3=$AC167,BM$3=$AE167),"",IF(BM$3=$AD167,$F167&amp;"R",BM166))))</f>
        <v/>
      </c>
      <c r="BN167" s="11" t="str">
        <f aca="false">IF($P167=0,BN166,IF(BN$3=$E167,IF($AA167=1,$F167&amp;$AB167,$G167),IF(OR(BN$3=$D167,BN$3=$AC167,BN$3=$AE167),"",IF(BN$3=$AD167,$F167&amp;"R",BN166))))</f>
        <v/>
      </c>
      <c r="BO167" s="11" t="str">
        <f aca="false">IF($P167=0,BO166,IF(BO$3=$E167,IF($AA167=1,$F167&amp;$AB167,$G167),IF(OR(BO$3=$D167,BO$3=$AC167,BO$3=$AE167),"",IF(BO$3=$AD167,$F167&amp;"R",BO166))))</f>
        <v/>
      </c>
      <c r="BP167" s="11" t="str">
        <f aca="false">IF($P167=0,BP166,IF(BP$3=$E167,IF($AA167=1,$F167&amp;$AB167,$G167),IF(OR(BP$3=$D167,BP$3=$AC167,BP$3=$AE167),"",IF(BP$3=$AD167,$F167&amp;"R",BP166))))</f>
        <v/>
      </c>
      <c r="BQ167" s="11" t="str">
        <f aca="false">IF($P167=0,BQ166,IF(BQ$3=$E167,IF($AA167=1,$F167&amp;$AB167,$G167),IF(OR(BQ$3=$D167,BQ$3=$AC167,BQ$3=$AE167),"",IF(BQ$3=$AD167,$F167&amp;"R",BQ166))))</f>
        <v/>
      </c>
      <c r="BR167" s="11" t="str">
        <f aca="false">IF($P167=0,BR166,IF(BR$3=$E167,IF($AA167=1,$F167&amp;$AB167,$G167),IF(OR(BR$3=$D167,BR$3=$AC167,BR$3=$AE167),"",IF(BR$3=$AD167,$F167&amp;"R",BR166))))</f>
        <v/>
      </c>
      <c r="BS167" s="11" t="str">
        <f aca="false">IF($P167=0,BS166,IF(BS$3=$E167,IF($AA167=1,$F167&amp;$AB167,$G167),IF(OR(BS$3=$D167,BS$3=$AC167,BS$3=$AE167),"",IF(BS$3=$AD167,$F167&amp;"R",BS166))))</f>
        <v/>
      </c>
      <c r="BT167" s="11" t="str">
        <f aca="false">IF($P167=0,BT166,IF(BT$3=$E167,IF($AA167=1,$F167&amp;$AB167,$G167),IF(OR(BT$3=$D167,BT$3=$AC167,BT$3=$AE167),"",IF(BT$3=$AD167,$F167&amp;"R",BT166))))</f>
        <v/>
      </c>
      <c r="BU167" s="11" t="str">
        <f aca="false">IF($P167=0,BU166,IF(BU$3=$E167,IF($AA167=1,$F167&amp;$AB167,$G167),IF(OR(BU$3=$D167,BU$3=$AC167,BU$3=$AE167),"",IF(BU$3=$AD167,$F167&amp;"R",BU166))))</f>
        <v/>
      </c>
      <c r="BV167" s="11" t="str">
        <f aca="false">IF($P167=0,BV166,IF(BV$3=$E167,IF($AA167=1,$F167&amp;$AB167,$G167),IF(OR(BV$3=$D167,BV$3=$AC167,BV$3=$AE167),"",IF(BV$3=$AD167,$F167&amp;"R",BV166))))</f>
        <v/>
      </c>
      <c r="BW167" s="11" t="str">
        <f aca="false">IF($P167=0,BW166,IF(BW$3=$E167,IF($AA167=1,$F167&amp;$AB167,$G167),IF(OR(BW$3=$D167,BW$3=$AC167,BW$3=$AE167),"",IF(BW$3=$AD167,$F167&amp;"R",BW166))))</f>
        <v/>
      </c>
      <c r="BX167" s="11" t="str">
        <f aca="false">IF($P167=0,BX166,IF(BX$3=$E167,IF($AA167=1,$F167&amp;$AB167,$G167),IF(OR(BX$3=$D167,BX$3=$AC167,BX$3=$AE167),"",IF(BX$3=$AD167,$F167&amp;"R",BX166))))</f>
        <v/>
      </c>
      <c r="BY167" s="11" t="str">
        <f aca="false">IF($P167=0,BY166,IF(BY$3=$E167,IF($AA167=1,$F167&amp;$AB167,$G167),IF(OR(BY$3=$D167,BY$3=$AC167,BY$3=$AE167),"",IF(BY$3=$AD167,$F167&amp;"R",BY166))))</f>
        <v/>
      </c>
      <c r="BZ167" s="11" t="str">
        <f aca="false">IF($P167=0,BZ166,IF(BZ$3=$E167,IF($AA167=1,$F167&amp;$AB167,$G167),IF(OR(BZ$3=$D167,BZ$3=$AC167,BZ$3=$AE167),"",IF(BZ$3=$AD167,$F167&amp;"R",BZ166))))</f>
        <v/>
      </c>
      <c r="CA167" s="11" t="str">
        <f aca="false">IF($P167=0,CA166,IF(CA$3=$E167,IF($AA167=1,$F167&amp;$AB167,$G167),IF(OR(CA$3=$D167,CA$3=$AC167,CA$3=$AE167),"",IF(CA$3=$AD167,$F167&amp;"R",CA166))))</f>
        <v/>
      </c>
      <c r="CB167" s="11" t="str">
        <f aca="false">IF($P167=0,CB166,IF(CB$3=$E167,IF($AA167=1,$F167&amp;$AB167,$G167),IF(OR(CB$3=$D167,CB$3=$AC167,CB$3=$AE167),"",IF(CB$3=$AD167,$F167&amp;"R",CB166))))</f>
        <v/>
      </c>
      <c r="CC167" s="11" t="str">
        <f aca="false">IF($P167=0,CC166,IF(CC$3=$E167,IF($AA167=1,$F167&amp;$AB167,$G167),IF(OR(CC$3=$D167,CC$3=$AC167,CC$3=$AE167),"",IF(CC$3=$AD167,$F167&amp;"R",CC166))))</f>
        <v/>
      </c>
      <c r="CD167" s="11" t="str">
        <f aca="false">IF($P167=0,CD166,IF(CD$3=$E167,IF($AA167=1,$F167&amp;$AB167,$G167),IF(OR(CD$3=$D167,CD$3=$AC167,CD$3=$AE167),"",IF(CD$3=$AD167,$F167&amp;"R",CD166))))</f>
        <v>bP</v>
      </c>
      <c r="CE167" s="11" t="str">
        <f aca="false">IF($P167=0,CE166,IF(CE$3=$E167,IF($AA167=1,$F167&amp;$AB167,$G167),IF(OR(CE$3=$D167,CE$3=$AC167,CE$3=$AE167),"",IF(CE$3=$AD167,$F167&amp;"R",CE166))))</f>
        <v>bP</v>
      </c>
      <c r="CF167" s="11" t="str">
        <f aca="false">IF($P167=0,CF166,IF(CF$3=$E167,IF($AA167=1,$F167&amp;$AB167,$G167),IF(OR(CF$3=$D167,CF$3=$AC167,CF$3=$AE167),"",IF(CF$3=$AD167,$F167&amp;"R",CF166))))</f>
        <v>bP</v>
      </c>
      <c r="CG167" s="11" t="str">
        <f aca="false">IF($P167=0,CG166,IF(CG$3=$E167,IF($AA167=1,$F167&amp;$AB167,$G167),IF(OR(CG$3=$D167,CG$3=$AC167,CG$3=$AE167),"",IF(CG$3=$AD167,$F167&amp;"R",CG166))))</f>
        <v>bP</v>
      </c>
      <c r="CH167" s="11" t="str">
        <f aca="false">IF($P167=0,CH166,IF(CH$3=$E167,IF($AA167=1,$F167&amp;$AB167,$G167),IF(OR(CH$3=$D167,CH$3=$AC167,CH$3=$AE167),"",IF(CH$3=$AD167,$F167&amp;"R",CH166))))</f>
        <v>bP</v>
      </c>
      <c r="CI167" s="11" t="str">
        <f aca="false">IF($P167=0,CI166,IF(CI$3=$E167,IF($AA167=1,$F167&amp;$AB167,$G167),IF(OR(CI$3=$D167,CI$3=$AC167,CI$3=$AE167),"",IF(CI$3=$AD167,$F167&amp;"R",CI166))))</f>
        <v>bP</v>
      </c>
      <c r="CJ167" s="11" t="str">
        <f aca="false">IF($P167=0,CJ166,IF(CJ$3=$E167,IF($AA167=1,$F167&amp;$AB167,$G167),IF(OR(CJ$3=$D167,CJ$3=$AC167,CJ$3=$AE167),"",IF(CJ$3=$AD167,$F167&amp;"R",CJ166))))</f>
        <v>bP</v>
      </c>
      <c r="CK167" s="11" t="str">
        <f aca="false">IF($P167=0,CK166,IF(CK$3=$E167,IF($AA167=1,$F167&amp;$AB167,$G167),IF(OR(CK$3=$D167,CK$3=$AC167,CK$3=$AE167),"",IF(CK$3=$AD167,$F167&amp;"R",CK166))))</f>
        <v>bP</v>
      </c>
      <c r="CL167" s="11" t="str">
        <f aca="false">IF($P167=0,CL166,IF(CL$3=$E167,IF($AA167=1,$F167&amp;$AB167,$G167),IF(OR(CL$3=$D167,CL$3=$AC167,CL$3=$AE167),"",IF(CL$3=$AD167,$F167&amp;"R",CL166))))</f>
        <v>bR</v>
      </c>
      <c r="CM167" s="11" t="str">
        <f aca="false">IF($P167=0,CM166,IF(CM$3=$E167,IF($AA167=1,$F167&amp;$AB167,$G167),IF(OR(CM$3=$D167,CM$3=$AC167,CM$3=$AE167),"",IF(CM$3=$AD167,$F167&amp;"R",CM166))))</f>
        <v>bN</v>
      </c>
      <c r="CN167" s="11" t="str">
        <f aca="false">IF($P167=0,CN166,IF(CN$3=$E167,IF($AA167=1,$F167&amp;$AB167,$G167),IF(OR(CN$3=$D167,CN$3=$AC167,CN$3=$AE167),"",IF(CN$3=$AD167,$F167&amp;"R",CN166))))</f>
        <v>bB</v>
      </c>
      <c r="CO167" s="11" t="str">
        <f aca="false">IF($P167=0,CO166,IF(CO$3=$E167,IF($AA167=1,$F167&amp;$AB167,$G167),IF(OR(CO$3=$D167,CO$3=$AC167,CO$3=$AE167),"",IF(CO$3=$AD167,$F167&amp;"R",CO166))))</f>
        <v>bQ</v>
      </c>
      <c r="CP167" s="11" t="str">
        <f aca="false">IF($P167=0,CP166,IF(CP$3=$E167,IF($AA167=1,$F167&amp;$AB167,$G167),IF(OR(CP$3=$D167,CP$3=$AC167,CP$3=$AE167),"",IF(CP$3=$AD167,$F167&amp;"R",CP166))))</f>
        <v>bK</v>
      </c>
      <c r="CQ167" s="11" t="str">
        <f aca="false">IF($P167=0,CQ166,IF(CQ$3=$E167,IF($AA167=1,$F167&amp;$AB167,$G167),IF(OR(CQ$3=$D167,CQ$3=$AC167,CQ$3=$AE167),"",IF(CQ$3=$AD167,$F167&amp;"R",CQ166))))</f>
        <v>bB</v>
      </c>
      <c r="CR167" s="11" t="str">
        <f aca="false">IF($P167=0,CR166,IF(CR$3=$E167,IF($AA167=1,$F167&amp;$AB167,$G167),IF(OR(CR$3=$D167,CR$3=$AC167,CR$3=$AE167),"",IF(CR$3=$AD167,$F167&amp;"R",CR166))))</f>
        <v>bN</v>
      </c>
      <c r="CS167" s="11" t="str">
        <f aca="false">IF($P167=0,CS166,IF(CS$3=$E167,IF($AA167=1,$F167&amp;$AB167,$G167),IF(OR(CS$3=$D167,CS$3=$AC167,CS$3=$AE167),"",IF(CS$3=$AD167,$F167&amp;"R",CS166))))</f>
        <v>bR</v>
      </c>
      <c r="CT167" s="11"/>
      <c r="CU167" s="11"/>
      <c r="CV167" s="11"/>
    </row>
    <row r="168" customFormat="false" ht="15" hidden="false" customHeight="false" outlineLevel="0" collapsed="false">
      <c r="A168" s="11" t="n">
        <v>163</v>
      </c>
      <c r="B168" s="11" t="str">
        <f aca="false">IF(Chess!$L$172="","",Chess!$L$172&amp;"")</f>
        <v/>
      </c>
      <c r="C168" s="11" t="str">
        <f aca="false">LOWER(SUBSTITUTE(SUBSTITUTE(SUBSTITUTE(SUBSTITUTE(TRIM($B168),"-",""),"=","")," ",""),"x",""))</f>
        <v/>
      </c>
      <c r="D168" s="11" t="n">
        <f aca="false">IF(LEN($C168)&lt;4,0,IFERROR(IF(AND(CODE(MID($C168,1,1))&gt;=97,CODE(MID($C168,1,1))&lt;=104,VALUE(MID($C168,2,1))&gt;=1,VALUE(MID($C168,2,1))&lt;=8),(VALUE(MID($C168,2,1))-1)*8+CODE(MID($C168,1,1))-96,0),0))</f>
        <v>0</v>
      </c>
      <c r="E168" s="11" t="n">
        <f aca="false">IF(LEN($C168)&lt;4,0,IFERROR(IF(AND(CODE(MID($C168,3,1))&gt;=97,CODE(MID($C168,3,1))&lt;=104,VALUE(MID($C168,4,1))&gt;=1,VALUE(MID($C168,4,1))&lt;=8),(VALUE(MID($C168,4,1))-1)*8+CODE(MID($C168,3,1))-96,0),0))</f>
        <v>0</v>
      </c>
      <c r="F168" s="11" t="str">
        <f aca="false">IF(MOD(SUM($P$5:$P167),2)=0,"w","b")</f>
        <v>w</v>
      </c>
      <c r="G168" s="11" t="str">
        <f aca="false">IF($D168=0,"",INDEX($AH167:$CS167,1,$D168)&amp;"")</f>
        <v/>
      </c>
      <c r="H168" s="11" t="str">
        <f aca="false">IF($E168=0,"",INDEX($AH167:$CS167,1,$E168)&amp;"")</f>
        <v/>
      </c>
      <c r="I168" s="11" t="n">
        <f aca="false">IF(OR($D168=0,$E168=0),0,MOD($E168-1,8)-MOD($D168-1,8))</f>
        <v>0</v>
      </c>
      <c r="J168" s="11" t="n">
        <f aca="false">IF(OR($D168=0,$E168=0),0,INT(($E168-1)/8)-INT(($D168-1)/8))</f>
        <v>0</v>
      </c>
      <c r="K168" s="11" t="str">
        <f aca="false">IF($G168="","",RIGHT($G168,1))</f>
        <v/>
      </c>
      <c r="L168" s="11" t="n">
        <f aca="false">IF(OR($D168=0,$E168=0),0,SUMPRODUCT(($AH$3:$CS$3&gt;MIN($D168,$E168))*($AH$3:$CS$3&lt;MAX($D168,$E168))*(MOD($AH$3:$CS$3-MIN($D168,$E168),MAX(1,ABS(SIGN($J168)*8+SIGN($I168))))=0)*($AH167:$CS167&lt;&gt;"")))</f>
        <v>0</v>
      </c>
      <c r="M168" s="11" t="n">
        <f aca="false">IF($K168&lt;&gt;"K",0,IFERROR(--AND($J168=0,ABS($I168)=2,$D168=IF($F168="w",5,61),IF($F168="w",$S167,$V167)=0,IF($I168=2,AND(IF($F168="w",$U167,$X167)=0,INDEX($AH167:$CS167,1,$D168+1)&amp;""="",INDEX($AH167:$CS167,1,$D168+2)&amp;""=""),AND(IF($F168="w",$T167,$W167)=0,INDEX($AH167:$CS167,1,$D168-1)&amp;""="",INDEX($AH167:$CS167,1,$D168-2)&amp;""="",INDEX($AH167:$CS167,1,$D168-3)&amp;""=""))),0))</f>
        <v>0</v>
      </c>
      <c r="N168" s="11" t="n">
        <f aca="false">IF($K168&lt;&gt;"P",0,IFERROR(--OR(AND($I168=0,$J168=IF($F168="w",1,-1),$H168=""),AND($I168=0,$J168=2*IF($F168="w",1,-1),$H168="",INT(($D168-1)/8)=IF($F168="w",1,6),INDEX($AH167:$CS167,1,MAX(1,MIN(64,$D168+8*IF($F168="w",1,-1))))&amp;""=""),AND(ABS($I168)=1,$J168=IF($F168="w",1,-1),$H168&lt;&gt;""),AND(ABS($I168)=1,$J168=IF($F168="w",1,-1),$H168="",$R167&gt;0,$E168=$R167)),0))</f>
        <v>0</v>
      </c>
      <c r="O168" s="11" t="n">
        <f aca="false">IF(OR($D168=0,$E168=0,$G168=""),0,IF($K168="N",--OR(AND(ABS($I168)=1,ABS($J168)=2),AND(ABS($I168)=2,ABS($J168)=1)),IF($K168="B",--AND(ABS($I168)=ABS($J168),$I168&lt;&gt;0,$L168=0),IF($K168="R",--AND(OR($I168=0,$J168=0),OR($I168&lt;&gt;0,$J168&lt;&gt;0),$L168=0),IF($K168="Q",--AND(OR(AND(ABS($I168)=ABS($J168),$I168&lt;&gt;0),AND(OR($I168=0,$J168=0),OR($I168&lt;&gt;0,$J168&lt;&gt;0))),$L168=0),IF($K168="K",--OR(MAX(ABS($I168),ABS($J168))=1,$M168=1),$N168))))))</f>
        <v>0</v>
      </c>
      <c r="P168" s="11" t="n">
        <f aca="false">IF($Q168="OK",1,0)</f>
        <v>0</v>
      </c>
      <c r="Q168" s="11" t="str">
        <f aca="false">IF($B168="","",IF(OR(COUNTIF($AH167:$CS167,"wK")=0,COUNTIF($AH167:$CS167,"bK")=0),"Game is over",IF(OR($D168=0,$E168=0),"Use the format e2e4",IF($G168="","No piece on that square",IF(LEFT($G168,1)&lt;&gt;$F168,"Not your piece ("&amp;IF($F168="w","White","Black")&amp;" to move)",IF($D168=$E168,"Piece must move",IF(AND($H168&lt;&gt;"",LEFT($H168,1)=$F168),"Cannot capture your own piece",IF($O168=0,"Illegal move for that piece (or path blocked)","OK"))))))))</f>
        <v/>
      </c>
      <c r="R168" s="11" t="n">
        <f aca="false">IF($P168=1,IF(AND($K168="P",ABS($J168)=2),($D168+$E168)/2,0),$R167)</f>
        <v>0</v>
      </c>
      <c r="S168" s="12" t="b">
        <f aca="false">--OR($S167=1,AND($P168=1,OR($D168=5,$E168=5)))</f>
        <v>0</v>
      </c>
      <c r="T168" s="12" t="b">
        <f aca="false">--OR($T167=1,AND($P168=1,OR($D168=1,$E168=1)))</f>
        <v>0</v>
      </c>
      <c r="U168" s="12" t="b">
        <f aca="false">--OR($U167=1,AND($P168=1,OR($D168=8,$E168=8)))</f>
        <v>0</v>
      </c>
      <c r="V168" s="12" t="b">
        <f aca="false">--OR($V167=1,AND($P168=1,OR($D168=61,$E168=61)))</f>
        <v>0</v>
      </c>
      <c r="W168" s="12" t="b">
        <f aca="false">--OR($W167=1,AND($P168=1,OR($D168=57,$E168=57)))</f>
        <v>0</v>
      </c>
      <c r="X168" s="12" t="b">
        <f aca="false">--OR($X167=1,AND($P168=1,OR($D168=64,$E168=64)))</f>
        <v>0</v>
      </c>
      <c r="Y168" s="12" t="b">
        <f aca="false">--AND($P168=1,$K168="K",ABS($I168)=2)</f>
        <v>0</v>
      </c>
      <c r="Z168" s="12" t="b">
        <f aca="false">--AND($P168=1,$K168="P",ABS($I168)=1,$H168="")</f>
        <v>0</v>
      </c>
      <c r="AA168" s="12" t="b">
        <f aca="false">--AND($P168=1,$K168="P",INT(($E168-1)/8)=IF($F168="w",7,0))</f>
        <v>0</v>
      </c>
      <c r="AB168" s="11" t="str">
        <f aca="false">IF(LEN($C168)&gt;=5,IF(ISNUMBER(FIND(MID($C168,5,1),"qrbn")),UPPER(MID($C168,5,1)),"Q"),"Q")</f>
        <v>Q</v>
      </c>
      <c r="AC168" s="11" t="n">
        <f aca="false">IF($Y168=1,IF($I168=2,$D168+3,$D168-4),0)</f>
        <v>0</v>
      </c>
      <c r="AD168" s="11" t="n">
        <f aca="false">IF($Y168=1,IF($I168=2,$D168+1,$D168-1),0)</f>
        <v>0</v>
      </c>
      <c r="AE168" s="11" t="n">
        <f aca="false">IF($Z168=1,$E168-8*IF($F168="w",1,-1),0)</f>
        <v>0</v>
      </c>
      <c r="AF168" s="11" t="str">
        <f aca="false">IF($B168="","",IF($P168=1,LOWER(INDEX($CV$2:$CV$13,MATCH($G168,$CU$2:$CU$13,0)))&amp;" "&amp;MID("abcdefgh",MOD($D168-1,8)+1,1)&amp;(INT(($D168-1)/8)+1)&amp;"→"&amp;MID("abcdefgh",MOD($E168-1,8)+1,1)&amp;(INT(($E168-1)/8)+1)&amp;IF(OR($H168&lt;&gt;"",$Z168=1)," ×","")&amp;IF($Y168=1," castles","")&amp;IF($Z168=1," e.p.","")&amp;IF($AA168=1," =" &amp;LOWER(INDEX($CV$2:$CV$13,MATCH($F168&amp;$AB168,$CU$2:$CU$13,0))),""),"X "&amp;$Q168))</f>
        <v/>
      </c>
      <c r="AG168" s="11"/>
      <c r="AH168" s="11" t="str">
        <f aca="false">IF($P168=0,AH167,IF(AH$3=$E168,IF($AA168=1,$F168&amp;$AB168,$G168),IF(OR(AH$3=$D168,AH$3=$AC168,AH$3=$AE168),"",IF(AH$3=$AD168,$F168&amp;"R",AH167))))</f>
        <v>wR</v>
      </c>
      <c r="AI168" s="11" t="str">
        <f aca="false">IF($P168=0,AI167,IF(AI$3=$E168,IF($AA168=1,$F168&amp;$AB168,$G168),IF(OR(AI$3=$D168,AI$3=$AC168,AI$3=$AE168),"",IF(AI$3=$AD168,$F168&amp;"R",AI167))))</f>
        <v>wN</v>
      </c>
      <c r="AJ168" s="11" t="str">
        <f aca="false">IF($P168=0,AJ167,IF(AJ$3=$E168,IF($AA168=1,$F168&amp;$AB168,$G168),IF(OR(AJ$3=$D168,AJ$3=$AC168,AJ$3=$AE168),"",IF(AJ$3=$AD168,$F168&amp;"R",AJ167))))</f>
        <v>wB</v>
      </c>
      <c r="AK168" s="11" t="str">
        <f aca="false">IF($P168=0,AK167,IF(AK$3=$E168,IF($AA168=1,$F168&amp;$AB168,$G168),IF(OR(AK$3=$D168,AK$3=$AC168,AK$3=$AE168),"",IF(AK$3=$AD168,$F168&amp;"R",AK167))))</f>
        <v>wQ</v>
      </c>
      <c r="AL168" s="11" t="str">
        <f aca="false">IF($P168=0,AL167,IF(AL$3=$E168,IF($AA168=1,$F168&amp;$AB168,$G168),IF(OR(AL$3=$D168,AL$3=$AC168,AL$3=$AE168),"",IF(AL$3=$AD168,$F168&amp;"R",AL167))))</f>
        <v>wK</v>
      </c>
      <c r="AM168" s="11" t="str">
        <f aca="false">IF($P168=0,AM167,IF(AM$3=$E168,IF($AA168=1,$F168&amp;$AB168,$G168),IF(OR(AM$3=$D168,AM$3=$AC168,AM$3=$AE168),"",IF(AM$3=$AD168,$F168&amp;"R",AM167))))</f>
        <v>wB</v>
      </c>
      <c r="AN168" s="11" t="str">
        <f aca="false">IF($P168=0,AN167,IF(AN$3=$E168,IF($AA168=1,$F168&amp;$AB168,$G168),IF(OR(AN$3=$D168,AN$3=$AC168,AN$3=$AE168),"",IF(AN$3=$AD168,$F168&amp;"R",AN167))))</f>
        <v>wN</v>
      </c>
      <c r="AO168" s="11" t="str">
        <f aca="false">IF($P168=0,AO167,IF(AO$3=$E168,IF($AA168=1,$F168&amp;$AB168,$G168),IF(OR(AO$3=$D168,AO$3=$AC168,AO$3=$AE168),"",IF(AO$3=$AD168,$F168&amp;"R",AO167))))</f>
        <v>wR</v>
      </c>
      <c r="AP168" s="11" t="str">
        <f aca="false">IF($P168=0,AP167,IF(AP$3=$E168,IF($AA168=1,$F168&amp;$AB168,$G168),IF(OR(AP$3=$D168,AP$3=$AC168,AP$3=$AE168),"",IF(AP$3=$AD168,$F168&amp;"R",AP167))))</f>
        <v>wP</v>
      </c>
      <c r="AQ168" s="11" t="str">
        <f aca="false">IF($P168=0,AQ167,IF(AQ$3=$E168,IF($AA168=1,$F168&amp;$AB168,$G168),IF(OR(AQ$3=$D168,AQ$3=$AC168,AQ$3=$AE168),"",IF(AQ$3=$AD168,$F168&amp;"R",AQ167))))</f>
        <v>wP</v>
      </c>
      <c r="AR168" s="11" t="str">
        <f aca="false">IF($P168=0,AR167,IF(AR$3=$E168,IF($AA168=1,$F168&amp;$AB168,$G168),IF(OR(AR$3=$D168,AR$3=$AC168,AR$3=$AE168),"",IF(AR$3=$AD168,$F168&amp;"R",AR167))))</f>
        <v>wP</v>
      </c>
      <c r="AS168" s="11" t="str">
        <f aca="false">IF($P168=0,AS167,IF(AS$3=$E168,IF($AA168=1,$F168&amp;$AB168,$G168),IF(OR(AS$3=$D168,AS$3=$AC168,AS$3=$AE168),"",IF(AS$3=$AD168,$F168&amp;"R",AS167))))</f>
        <v>wP</v>
      </c>
      <c r="AT168" s="11" t="str">
        <f aca="false">IF($P168=0,AT167,IF(AT$3=$E168,IF($AA168=1,$F168&amp;$AB168,$G168),IF(OR(AT$3=$D168,AT$3=$AC168,AT$3=$AE168),"",IF(AT$3=$AD168,$F168&amp;"R",AT167))))</f>
        <v>wP</v>
      </c>
      <c r="AU168" s="11" t="str">
        <f aca="false">IF($P168=0,AU167,IF(AU$3=$E168,IF($AA168=1,$F168&amp;$AB168,$G168),IF(OR(AU$3=$D168,AU$3=$AC168,AU$3=$AE168),"",IF(AU$3=$AD168,$F168&amp;"R",AU167))))</f>
        <v>wP</v>
      </c>
      <c r="AV168" s="11" t="str">
        <f aca="false">IF($P168=0,AV167,IF(AV$3=$E168,IF($AA168=1,$F168&amp;$AB168,$G168),IF(OR(AV$3=$D168,AV$3=$AC168,AV$3=$AE168),"",IF(AV$3=$AD168,$F168&amp;"R",AV167))))</f>
        <v>wP</v>
      </c>
      <c r="AW168" s="11" t="str">
        <f aca="false">IF($P168=0,AW167,IF(AW$3=$E168,IF($AA168=1,$F168&amp;$AB168,$G168),IF(OR(AW$3=$D168,AW$3=$AC168,AW$3=$AE168),"",IF(AW$3=$AD168,$F168&amp;"R",AW167))))</f>
        <v>wP</v>
      </c>
      <c r="AX168" s="11" t="str">
        <f aca="false">IF($P168=0,AX167,IF(AX$3=$E168,IF($AA168=1,$F168&amp;$AB168,$G168),IF(OR(AX$3=$D168,AX$3=$AC168,AX$3=$AE168),"",IF(AX$3=$AD168,$F168&amp;"R",AX167))))</f>
        <v/>
      </c>
      <c r="AY168" s="11" t="str">
        <f aca="false">IF($P168=0,AY167,IF(AY$3=$E168,IF($AA168=1,$F168&amp;$AB168,$G168),IF(OR(AY$3=$D168,AY$3=$AC168,AY$3=$AE168),"",IF(AY$3=$AD168,$F168&amp;"R",AY167))))</f>
        <v/>
      </c>
      <c r="AZ168" s="11" t="str">
        <f aca="false">IF($P168=0,AZ167,IF(AZ$3=$E168,IF($AA168=1,$F168&amp;$AB168,$G168),IF(OR(AZ$3=$D168,AZ$3=$AC168,AZ$3=$AE168),"",IF(AZ$3=$AD168,$F168&amp;"R",AZ167))))</f>
        <v/>
      </c>
      <c r="BA168" s="11" t="str">
        <f aca="false">IF($P168=0,BA167,IF(BA$3=$E168,IF($AA168=1,$F168&amp;$AB168,$G168),IF(OR(BA$3=$D168,BA$3=$AC168,BA$3=$AE168),"",IF(BA$3=$AD168,$F168&amp;"R",BA167))))</f>
        <v/>
      </c>
      <c r="BB168" s="11" t="str">
        <f aca="false">IF($P168=0,BB167,IF(BB$3=$E168,IF($AA168=1,$F168&amp;$AB168,$G168),IF(OR(BB$3=$D168,BB$3=$AC168,BB$3=$AE168),"",IF(BB$3=$AD168,$F168&amp;"R",BB167))))</f>
        <v/>
      </c>
      <c r="BC168" s="11" t="str">
        <f aca="false">IF($P168=0,BC167,IF(BC$3=$E168,IF($AA168=1,$F168&amp;$AB168,$G168),IF(OR(BC$3=$D168,BC$3=$AC168,BC$3=$AE168),"",IF(BC$3=$AD168,$F168&amp;"R",BC167))))</f>
        <v/>
      </c>
      <c r="BD168" s="11" t="str">
        <f aca="false">IF($P168=0,BD167,IF(BD$3=$E168,IF($AA168=1,$F168&amp;$AB168,$G168),IF(OR(BD$3=$D168,BD$3=$AC168,BD$3=$AE168),"",IF(BD$3=$AD168,$F168&amp;"R",BD167))))</f>
        <v/>
      </c>
      <c r="BE168" s="11" t="str">
        <f aca="false">IF($P168=0,BE167,IF(BE$3=$E168,IF($AA168=1,$F168&amp;$AB168,$G168),IF(OR(BE$3=$D168,BE$3=$AC168,BE$3=$AE168),"",IF(BE$3=$AD168,$F168&amp;"R",BE167))))</f>
        <v/>
      </c>
      <c r="BF168" s="11" t="str">
        <f aca="false">IF($P168=0,BF167,IF(BF$3=$E168,IF($AA168=1,$F168&amp;$AB168,$G168),IF(OR(BF$3=$D168,BF$3=$AC168,BF$3=$AE168),"",IF(BF$3=$AD168,$F168&amp;"R",BF167))))</f>
        <v/>
      </c>
      <c r="BG168" s="11" t="str">
        <f aca="false">IF($P168=0,BG167,IF(BG$3=$E168,IF($AA168=1,$F168&amp;$AB168,$G168),IF(OR(BG$3=$D168,BG$3=$AC168,BG$3=$AE168),"",IF(BG$3=$AD168,$F168&amp;"R",BG167))))</f>
        <v/>
      </c>
      <c r="BH168" s="11" t="str">
        <f aca="false">IF($P168=0,BH167,IF(BH$3=$E168,IF($AA168=1,$F168&amp;$AB168,$G168),IF(OR(BH$3=$D168,BH$3=$AC168,BH$3=$AE168),"",IF(BH$3=$AD168,$F168&amp;"R",BH167))))</f>
        <v/>
      </c>
      <c r="BI168" s="11" t="str">
        <f aca="false">IF($P168=0,BI167,IF(BI$3=$E168,IF($AA168=1,$F168&amp;$AB168,$G168),IF(OR(BI$3=$D168,BI$3=$AC168,BI$3=$AE168),"",IF(BI$3=$AD168,$F168&amp;"R",BI167))))</f>
        <v/>
      </c>
      <c r="BJ168" s="11" t="str">
        <f aca="false">IF($P168=0,BJ167,IF(BJ$3=$E168,IF($AA168=1,$F168&amp;$AB168,$G168),IF(OR(BJ$3=$D168,BJ$3=$AC168,BJ$3=$AE168),"",IF(BJ$3=$AD168,$F168&amp;"R",BJ167))))</f>
        <v/>
      </c>
      <c r="BK168" s="11" t="str">
        <f aca="false">IF($P168=0,BK167,IF(BK$3=$E168,IF($AA168=1,$F168&amp;$AB168,$G168),IF(OR(BK$3=$D168,BK$3=$AC168,BK$3=$AE168),"",IF(BK$3=$AD168,$F168&amp;"R",BK167))))</f>
        <v/>
      </c>
      <c r="BL168" s="11" t="str">
        <f aca="false">IF($P168=0,BL167,IF(BL$3=$E168,IF($AA168=1,$F168&amp;$AB168,$G168),IF(OR(BL$3=$D168,BL$3=$AC168,BL$3=$AE168),"",IF(BL$3=$AD168,$F168&amp;"R",BL167))))</f>
        <v/>
      </c>
      <c r="BM168" s="11" t="str">
        <f aca="false">IF($P168=0,BM167,IF(BM$3=$E168,IF($AA168=1,$F168&amp;$AB168,$G168),IF(OR(BM$3=$D168,BM$3=$AC168,BM$3=$AE168),"",IF(BM$3=$AD168,$F168&amp;"R",BM167))))</f>
        <v/>
      </c>
      <c r="BN168" s="11" t="str">
        <f aca="false">IF($P168=0,BN167,IF(BN$3=$E168,IF($AA168=1,$F168&amp;$AB168,$G168),IF(OR(BN$3=$D168,BN$3=$AC168,BN$3=$AE168),"",IF(BN$3=$AD168,$F168&amp;"R",BN167))))</f>
        <v/>
      </c>
      <c r="BO168" s="11" t="str">
        <f aca="false">IF($P168=0,BO167,IF(BO$3=$E168,IF($AA168=1,$F168&amp;$AB168,$G168),IF(OR(BO$3=$D168,BO$3=$AC168,BO$3=$AE168),"",IF(BO$3=$AD168,$F168&amp;"R",BO167))))</f>
        <v/>
      </c>
      <c r="BP168" s="11" t="str">
        <f aca="false">IF($P168=0,BP167,IF(BP$3=$E168,IF($AA168=1,$F168&amp;$AB168,$G168),IF(OR(BP$3=$D168,BP$3=$AC168,BP$3=$AE168),"",IF(BP$3=$AD168,$F168&amp;"R",BP167))))</f>
        <v/>
      </c>
      <c r="BQ168" s="11" t="str">
        <f aca="false">IF($P168=0,BQ167,IF(BQ$3=$E168,IF($AA168=1,$F168&amp;$AB168,$G168),IF(OR(BQ$3=$D168,BQ$3=$AC168,BQ$3=$AE168),"",IF(BQ$3=$AD168,$F168&amp;"R",BQ167))))</f>
        <v/>
      </c>
      <c r="BR168" s="11" t="str">
        <f aca="false">IF($P168=0,BR167,IF(BR$3=$E168,IF($AA168=1,$F168&amp;$AB168,$G168),IF(OR(BR$3=$D168,BR$3=$AC168,BR$3=$AE168),"",IF(BR$3=$AD168,$F168&amp;"R",BR167))))</f>
        <v/>
      </c>
      <c r="BS168" s="11" t="str">
        <f aca="false">IF($P168=0,BS167,IF(BS$3=$E168,IF($AA168=1,$F168&amp;$AB168,$G168),IF(OR(BS$3=$D168,BS$3=$AC168,BS$3=$AE168),"",IF(BS$3=$AD168,$F168&amp;"R",BS167))))</f>
        <v/>
      </c>
      <c r="BT168" s="11" t="str">
        <f aca="false">IF($P168=0,BT167,IF(BT$3=$E168,IF($AA168=1,$F168&amp;$AB168,$G168),IF(OR(BT$3=$D168,BT$3=$AC168,BT$3=$AE168),"",IF(BT$3=$AD168,$F168&amp;"R",BT167))))</f>
        <v/>
      </c>
      <c r="BU168" s="11" t="str">
        <f aca="false">IF($P168=0,BU167,IF(BU$3=$E168,IF($AA168=1,$F168&amp;$AB168,$G168),IF(OR(BU$3=$D168,BU$3=$AC168,BU$3=$AE168),"",IF(BU$3=$AD168,$F168&amp;"R",BU167))))</f>
        <v/>
      </c>
      <c r="BV168" s="11" t="str">
        <f aca="false">IF($P168=0,BV167,IF(BV$3=$E168,IF($AA168=1,$F168&amp;$AB168,$G168),IF(OR(BV$3=$D168,BV$3=$AC168,BV$3=$AE168),"",IF(BV$3=$AD168,$F168&amp;"R",BV167))))</f>
        <v/>
      </c>
      <c r="BW168" s="11" t="str">
        <f aca="false">IF($P168=0,BW167,IF(BW$3=$E168,IF($AA168=1,$F168&amp;$AB168,$G168),IF(OR(BW$3=$D168,BW$3=$AC168,BW$3=$AE168),"",IF(BW$3=$AD168,$F168&amp;"R",BW167))))</f>
        <v/>
      </c>
      <c r="BX168" s="11" t="str">
        <f aca="false">IF($P168=0,BX167,IF(BX$3=$E168,IF($AA168=1,$F168&amp;$AB168,$G168),IF(OR(BX$3=$D168,BX$3=$AC168,BX$3=$AE168),"",IF(BX$3=$AD168,$F168&amp;"R",BX167))))</f>
        <v/>
      </c>
      <c r="BY168" s="11" t="str">
        <f aca="false">IF($P168=0,BY167,IF(BY$3=$E168,IF($AA168=1,$F168&amp;$AB168,$G168),IF(OR(BY$3=$D168,BY$3=$AC168,BY$3=$AE168),"",IF(BY$3=$AD168,$F168&amp;"R",BY167))))</f>
        <v/>
      </c>
      <c r="BZ168" s="11" t="str">
        <f aca="false">IF($P168=0,BZ167,IF(BZ$3=$E168,IF($AA168=1,$F168&amp;$AB168,$G168),IF(OR(BZ$3=$D168,BZ$3=$AC168,BZ$3=$AE168),"",IF(BZ$3=$AD168,$F168&amp;"R",BZ167))))</f>
        <v/>
      </c>
      <c r="CA168" s="11" t="str">
        <f aca="false">IF($P168=0,CA167,IF(CA$3=$E168,IF($AA168=1,$F168&amp;$AB168,$G168),IF(OR(CA$3=$D168,CA$3=$AC168,CA$3=$AE168),"",IF(CA$3=$AD168,$F168&amp;"R",CA167))))</f>
        <v/>
      </c>
      <c r="CB168" s="11" t="str">
        <f aca="false">IF($P168=0,CB167,IF(CB$3=$E168,IF($AA168=1,$F168&amp;$AB168,$G168),IF(OR(CB$3=$D168,CB$3=$AC168,CB$3=$AE168),"",IF(CB$3=$AD168,$F168&amp;"R",CB167))))</f>
        <v/>
      </c>
      <c r="CC168" s="11" t="str">
        <f aca="false">IF($P168=0,CC167,IF(CC$3=$E168,IF($AA168=1,$F168&amp;$AB168,$G168),IF(OR(CC$3=$D168,CC$3=$AC168,CC$3=$AE168),"",IF(CC$3=$AD168,$F168&amp;"R",CC167))))</f>
        <v/>
      </c>
      <c r="CD168" s="11" t="str">
        <f aca="false">IF($P168=0,CD167,IF(CD$3=$E168,IF($AA168=1,$F168&amp;$AB168,$G168),IF(OR(CD$3=$D168,CD$3=$AC168,CD$3=$AE168),"",IF(CD$3=$AD168,$F168&amp;"R",CD167))))</f>
        <v>bP</v>
      </c>
      <c r="CE168" s="11" t="str">
        <f aca="false">IF($P168=0,CE167,IF(CE$3=$E168,IF($AA168=1,$F168&amp;$AB168,$G168),IF(OR(CE$3=$D168,CE$3=$AC168,CE$3=$AE168),"",IF(CE$3=$AD168,$F168&amp;"R",CE167))))</f>
        <v>bP</v>
      </c>
      <c r="CF168" s="11" t="str">
        <f aca="false">IF($P168=0,CF167,IF(CF$3=$E168,IF($AA168=1,$F168&amp;$AB168,$G168),IF(OR(CF$3=$D168,CF$3=$AC168,CF$3=$AE168),"",IF(CF$3=$AD168,$F168&amp;"R",CF167))))</f>
        <v>bP</v>
      </c>
      <c r="CG168" s="11" t="str">
        <f aca="false">IF($P168=0,CG167,IF(CG$3=$E168,IF($AA168=1,$F168&amp;$AB168,$G168),IF(OR(CG$3=$D168,CG$3=$AC168,CG$3=$AE168),"",IF(CG$3=$AD168,$F168&amp;"R",CG167))))</f>
        <v>bP</v>
      </c>
      <c r="CH168" s="11" t="str">
        <f aca="false">IF($P168=0,CH167,IF(CH$3=$E168,IF($AA168=1,$F168&amp;$AB168,$G168),IF(OR(CH$3=$D168,CH$3=$AC168,CH$3=$AE168),"",IF(CH$3=$AD168,$F168&amp;"R",CH167))))</f>
        <v>bP</v>
      </c>
      <c r="CI168" s="11" t="str">
        <f aca="false">IF($P168=0,CI167,IF(CI$3=$E168,IF($AA168=1,$F168&amp;$AB168,$G168),IF(OR(CI$3=$D168,CI$3=$AC168,CI$3=$AE168),"",IF(CI$3=$AD168,$F168&amp;"R",CI167))))</f>
        <v>bP</v>
      </c>
      <c r="CJ168" s="11" t="str">
        <f aca="false">IF($P168=0,CJ167,IF(CJ$3=$E168,IF($AA168=1,$F168&amp;$AB168,$G168),IF(OR(CJ$3=$D168,CJ$3=$AC168,CJ$3=$AE168),"",IF(CJ$3=$AD168,$F168&amp;"R",CJ167))))</f>
        <v>bP</v>
      </c>
      <c r="CK168" s="11" t="str">
        <f aca="false">IF($P168=0,CK167,IF(CK$3=$E168,IF($AA168=1,$F168&amp;$AB168,$G168),IF(OR(CK$3=$D168,CK$3=$AC168,CK$3=$AE168),"",IF(CK$3=$AD168,$F168&amp;"R",CK167))))</f>
        <v>bP</v>
      </c>
      <c r="CL168" s="11" t="str">
        <f aca="false">IF($P168=0,CL167,IF(CL$3=$E168,IF($AA168=1,$F168&amp;$AB168,$G168),IF(OR(CL$3=$D168,CL$3=$AC168,CL$3=$AE168),"",IF(CL$3=$AD168,$F168&amp;"R",CL167))))</f>
        <v>bR</v>
      </c>
      <c r="CM168" s="11" t="str">
        <f aca="false">IF($P168=0,CM167,IF(CM$3=$E168,IF($AA168=1,$F168&amp;$AB168,$G168),IF(OR(CM$3=$D168,CM$3=$AC168,CM$3=$AE168),"",IF(CM$3=$AD168,$F168&amp;"R",CM167))))</f>
        <v>bN</v>
      </c>
      <c r="CN168" s="11" t="str">
        <f aca="false">IF($P168=0,CN167,IF(CN$3=$E168,IF($AA168=1,$F168&amp;$AB168,$G168),IF(OR(CN$3=$D168,CN$3=$AC168,CN$3=$AE168),"",IF(CN$3=$AD168,$F168&amp;"R",CN167))))</f>
        <v>bB</v>
      </c>
      <c r="CO168" s="11" t="str">
        <f aca="false">IF($P168=0,CO167,IF(CO$3=$E168,IF($AA168=1,$F168&amp;$AB168,$G168),IF(OR(CO$3=$D168,CO$3=$AC168,CO$3=$AE168),"",IF(CO$3=$AD168,$F168&amp;"R",CO167))))</f>
        <v>bQ</v>
      </c>
      <c r="CP168" s="11" t="str">
        <f aca="false">IF($P168=0,CP167,IF(CP$3=$E168,IF($AA168=1,$F168&amp;$AB168,$G168),IF(OR(CP$3=$D168,CP$3=$AC168,CP$3=$AE168),"",IF(CP$3=$AD168,$F168&amp;"R",CP167))))</f>
        <v>bK</v>
      </c>
      <c r="CQ168" s="11" t="str">
        <f aca="false">IF($P168=0,CQ167,IF(CQ$3=$E168,IF($AA168=1,$F168&amp;$AB168,$G168),IF(OR(CQ$3=$D168,CQ$3=$AC168,CQ$3=$AE168),"",IF(CQ$3=$AD168,$F168&amp;"R",CQ167))))</f>
        <v>bB</v>
      </c>
      <c r="CR168" s="11" t="str">
        <f aca="false">IF($P168=0,CR167,IF(CR$3=$E168,IF($AA168=1,$F168&amp;$AB168,$G168),IF(OR(CR$3=$D168,CR$3=$AC168,CR$3=$AE168),"",IF(CR$3=$AD168,$F168&amp;"R",CR167))))</f>
        <v>bN</v>
      </c>
      <c r="CS168" s="11" t="str">
        <f aca="false">IF($P168=0,CS167,IF(CS$3=$E168,IF($AA168=1,$F168&amp;$AB168,$G168),IF(OR(CS$3=$D168,CS$3=$AC168,CS$3=$AE168),"",IF(CS$3=$AD168,$F168&amp;"R",CS167))))</f>
        <v>bR</v>
      </c>
      <c r="CT168" s="11"/>
      <c r="CU168" s="11"/>
      <c r="CV168" s="11"/>
    </row>
    <row r="169" customFormat="false" ht="15" hidden="false" customHeight="false" outlineLevel="0" collapsed="false">
      <c r="A169" s="11" t="n">
        <v>164</v>
      </c>
      <c r="B169" s="11" t="str">
        <f aca="false">IF(Chess!$L$173="","",Chess!$L$173&amp;"")</f>
        <v/>
      </c>
      <c r="C169" s="11" t="str">
        <f aca="false">LOWER(SUBSTITUTE(SUBSTITUTE(SUBSTITUTE(SUBSTITUTE(TRIM($B169),"-",""),"=","")," ",""),"x",""))</f>
        <v/>
      </c>
      <c r="D169" s="11" t="n">
        <f aca="false">IF(LEN($C169)&lt;4,0,IFERROR(IF(AND(CODE(MID($C169,1,1))&gt;=97,CODE(MID($C169,1,1))&lt;=104,VALUE(MID($C169,2,1))&gt;=1,VALUE(MID($C169,2,1))&lt;=8),(VALUE(MID($C169,2,1))-1)*8+CODE(MID($C169,1,1))-96,0),0))</f>
        <v>0</v>
      </c>
      <c r="E169" s="11" t="n">
        <f aca="false">IF(LEN($C169)&lt;4,0,IFERROR(IF(AND(CODE(MID($C169,3,1))&gt;=97,CODE(MID($C169,3,1))&lt;=104,VALUE(MID($C169,4,1))&gt;=1,VALUE(MID($C169,4,1))&lt;=8),(VALUE(MID($C169,4,1))-1)*8+CODE(MID($C169,3,1))-96,0),0))</f>
        <v>0</v>
      </c>
      <c r="F169" s="11" t="str">
        <f aca="false">IF(MOD(SUM($P$5:$P168),2)=0,"w","b")</f>
        <v>w</v>
      </c>
      <c r="G169" s="11" t="str">
        <f aca="false">IF($D169=0,"",INDEX($AH168:$CS168,1,$D169)&amp;"")</f>
        <v/>
      </c>
      <c r="H169" s="11" t="str">
        <f aca="false">IF($E169=0,"",INDEX($AH168:$CS168,1,$E169)&amp;"")</f>
        <v/>
      </c>
      <c r="I169" s="11" t="n">
        <f aca="false">IF(OR($D169=0,$E169=0),0,MOD($E169-1,8)-MOD($D169-1,8))</f>
        <v>0</v>
      </c>
      <c r="J169" s="11" t="n">
        <f aca="false">IF(OR($D169=0,$E169=0),0,INT(($E169-1)/8)-INT(($D169-1)/8))</f>
        <v>0</v>
      </c>
      <c r="K169" s="11" t="str">
        <f aca="false">IF($G169="","",RIGHT($G169,1))</f>
        <v/>
      </c>
      <c r="L169" s="11" t="n">
        <f aca="false">IF(OR($D169=0,$E169=0),0,SUMPRODUCT(($AH$3:$CS$3&gt;MIN($D169,$E169))*($AH$3:$CS$3&lt;MAX($D169,$E169))*(MOD($AH$3:$CS$3-MIN($D169,$E169),MAX(1,ABS(SIGN($J169)*8+SIGN($I169))))=0)*($AH168:$CS168&lt;&gt;"")))</f>
        <v>0</v>
      </c>
      <c r="M169" s="11" t="n">
        <f aca="false">IF($K169&lt;&gt;"K",0,IFERROR(--AND($J169=0,ABS($I169)=2,$D169=IF($F169="w",5,61),IF($F169="w",$S168,$V168)=0,IF($I169=2,AND(IF($F169="w",$U168,$X168)=0,INDEX($AH168:$CS168,1,$D169+1)&amp;""="",INDEX($AH168:$CS168,1,$D169+2)&amp;""=""),AND(IF($F169="w",$T168,$W168)=0,INDEX($AH168:$CS168,1,$D169-1)&amp;""="",INDEX($AH168:$CS168,1,$D169-2)&amp;""="",INDEX($AH168:$CS168,1,$D169-3)&amp;""=""))),0))</f>
        <v>0</v>
      </c>
      <c r="N169" s="11" t="n">
        <f aca="false">IF($K169&lt;&gt;"P",0,IFERROR(--OR(AND($I169=0,$J169=IF($F169="w",1,-1),$H169=""),AND($I169=0,$J169=2*IF($F169="w",1,-1),$H169="",INT(($D169-1)/8)=IF($F169="w",1,6),INDEX($AH168:$CS168,1,MAX(1,MIN(64,$D169+8*IF($F169="w",1,-1))))&amp;""=""),AND(ABS($I169)=1,$J169=IF($F169="w",1,-1),$H169&lt;&gt;""),AND(ABS($I169)=1,$J169=IF($F169="w",1,-1),$H169="",$R168&gt;0,$E169=$R168)),0))</f>
        <v>0</v>
      </c>
      <c r="O169" s="11" t="n">
        <f aca="false">IF(OR($D169=0,$E169=0,$G169=""),0,IF($K169="N",--OR(AND(ABS($I169)=1,ABS($J169)=2),AND(ABS($I169)=2,ABS($J169)=1)),IF($K169="B",--AND(ABS($I169)=ABS($J169),$I169&lt;&gt;0,$L169=0),IF($K169="R",--AND(OR($I169=0,$J169=0),OR($I169&lt;&gt;0,$J169&lt;&gt;0),$L169=0),IF($K169="Q",--AND(OR(AND(ABS($I169)=ABS($J169),$I169&lt;&gt;0),AND(OR($I169=0,$J169=0),OR($I169&lt;&gt;0,$J169&lt;&gt;0))),$L169=0),IF($K169="K",--OR(MAX(ABS($I169),ABS($J169))=1,$M169=1),$N169))))))</f>
        <v>0</v>
      </c>
      <c r="P169" s="11" t="n">
        <f aca="false">IF($Q169="OK",1,0)</f>
        <v>0</v>
      </c>
      <c r="Q169" s="11" t="str">
        <f aca="false">IF($B169="","",IF(OR(COUNTIF($AH168:$CS168,"wK")=0,COUNTIF($AH168:$CS168,"bK")=0),"Game is over",IF(OR($D169=0,$E169=0),"Use the format e2e4",IF($G169="","No piece on that square",IF(LEFT($G169,1)&lt;&gt;$F169,"Not your piece ("&amp;IF($F169="w","White","Black")&amp;" to move)",IF($D169=$E169,"Piece must move",IF(AND($H169&lt;&gt;"",LEFT($H169,1)=$F169),"Cannot capture your own piece",IF($O169=0,"Illegal move for that piece (or path blocked)","OK"))))))))</f>
        <v/>
      </c>
      <c r="R169" s="11" t="n">
        <f aca="false">IF($P169=1,IF(AND($K169="P",ABS($J169)=2),($D169+$E169)/2,0),$R168)</f>
        <v>0</v>
      </c>
      <c r="S169" s="12" t="b">
        <f aca="false">--OR($S168=1,AND($P169=1,OR($D169=5,$E169=5)))</f>
        <v>0</v>
      </c>
      <c r="T169" s="12" t="b">
        <f aca="false">--OR($T168=1,AND($P169=1,OR($D169=1,$E169=1)))</f>
        <v>0</v>
      </c>
      <c r="U169" s="12" t="b">
        <f aca="false">--OR($U168=1,AND($P169=1,OR($D169=8,$E169=8)))</f>
        <v>0</v>
      </c>
      <c r="V169" s="12" t="b">
        <f aca="false">--OR($V168=1,AND($P169=1,OR($D169=61,$E169=61)))</f>
        <v>0</v>
      </c>
      <c r="W169" s="12" t="b">
        <f aca="false">--OR($W168=1,AND($P169=1,OR($D169=57,$E169=57)))</f>
        <v>0</v>
      </c>
      <c r="X169" s="12" t="b">
        <f aca="false">--OR($X168=1,AND($P169=1,OR($D169=64,$E169=64)))</f>
        <v>0</v>
      </c>
      <c r="Y169" s="12" t="b">
        <f aca="false">--AND($P169=1,$K169="K",ABS($I169)=2)</f>
        <v>0</v>
      </c>
      <c r="Z169" s="12" t="b">
        <f aca="false">--AND($P169=1,$K169="P",ABS($I169)=1,$H169="")</f>
        <v>0</v>
      </c>
      <c r="AA169" s="12" t="b">
        <f aca="false">--AND($P169=1,$K169="P",INT(($E169-1)/8)=IF($F169="w",7,0))</f>
        <v>0</v>
      </c>
      <c r="AB169" s="11" t="str">
        <f aca="false">IF(LEN($C169)&gt;=5,IF(ISNUMBER(FIND(MID($C169,5,1),"qrbn")),UPPER(MID($C169,5,1)),"Q"),"Q")</f>
        <v>Q</v>
      </c>
      <c r="AC169" s="11" t="n">
        <f aca="false">IF($Y169=1,IF($I169=2,$D169+3,$D169-4),0)</f>
        <v>0</v>
      </c>
      <c r="AD169" s="11" t="n">
        <f aca="false">IF($Y169=1,IF($I169=2,$D169+1,$D169-1),0)</f>
        <v>0</v>
      </c>
      <c r="AE169" s="11" t="n">
        <f aca="false">IF($Z169=1,$E169-8*IF($F169="w",1,-1),0)</f>
        <v>0</v>
      </c>
      <c r="AF169" s="11" t="str">
        <f aca="false">IF($B169="","",IF($P169=1,LOWER(INDEX($CV$2:$CV$13,MATCH($G169,$CU$2:$CU$13,0)))&amp;" "&amp;MID("abcdefgh",MOD($D169-1,8)+1,1)&amp;(INT(($D169-1)/8)+1)&amp;"→"&amp;MID("abcdefgh",MOD($E169-1,8)+1,1)&amp;(INT(($E169-1)/8)+1)&amp;IF(OR($H169&lt;&gt;"",$Z169=1)," ×","")&amp;IF($Y169=1," castles","")&amp;IF($Z169=1," e.p.","")&amp;IF($AA169=1," =" &amp;LOWER(INDEX($CV$2:$CV$13,MATCH($F169&amp;$AB169,$CU$2:$CU$13,0))),""),"X "&amp;$Q169))</f>
        <v/>
      </c>
      <c r="AG169" s="11"/>
      <c r="AH169" s="11" t="str">
        <f aca="false">IF($P169=0,AH168,IF(AH$3=$E169,IF($AA169=1,$F169&amp;$AB169,$G169),IF(OR(AH$3=$D169,AH$3=$AC169,AH$3=$AE169),"",IF(AH$3=$AD169,$F169&amp;"R",AH168))))</f>
        <v>wR</v>
      </c>
      <c r="AI169" s="11" t="str">
        <f aca="false">IF($P169=0,AI168,IF(AI$3=$E169,IF($AA169=1,$F169&amp;$AB169,$G169),IF(OR(AI$3=$D169,AI$3=$AC169,AI$3=$AE169),"",IF(AI$3=$AD169,$F169&amp;"R",AI168))))</f>
        <v>wN</v>
      </c>
      <c r="AJ169" s="11" t="str">
        <f aca="false">IF($P169=0,AJ168,IF(AJ$3=$E169,IF($AA169=1,$F169&amp;$AB169,$G169),IF(OR(AJ$3=$D169,AJ$3=$AC169,AJ$3=$AE169),"",IF(AJ$3=$AD169,$F169&amp;"R",AJ168))))</f>
        <v>wB</v>
      </c>
      <c r="AK169" s="11" t="str">
        <f aca="false">IF($P169=0,AK168,IF(AK$3=$E169,IF($AA169=1,$F169&amp;$AB169,$G169),IF(OR(AK$3=$D169,AK$3=$AC169,AK$3=$AE169),"",IF(AK$3=$AD169,$F169&amp;"R",AK168))))</f>
        <v>wQ</v>
      </c>
      <c r="AL169" s="11" t="str">
        <f aca="false">IF($P169=0,AL168,IF(AL$3=$E169,IF($AA169=1,$F169&amp;$AB169,$G169),IF(OR(AL$3=$D169,AL$3=$AC169,AL$3=$AE169),"",IF(AL$3=$AD169,$F169&amp;"R",AL168))))</f>
        <v>wK</v>
      </c>
      <c r="AM169" s="11" t="str">
        <f aca="false">IF($P169=0,AM168,IF(AM$3=$E169,IF($AA169=1,$F169&amp;$AB169,$G169),IF(OR(AM$3=$D169,AM$3=$AC169,AM$3=$AE169),"",IF(AM$3=$AD169,$F169&amp;"R",AM168))))</f>
        <v>wB</v>
      </c>
      <c r="AN169" s="11" t="str">
        <f aca="false">IF($P169=0,AN168,IF(AN$3=$E169,IF($AA169=1,$F169&amp;$AB169,$G169),IF(OR(AN$3=$D169,AN$3=$AC169,AN$3=$AE169),"",IF(AN$3=$AD169,$F169&amp;"R",AN168))))</f>
        <v>wN</v>
      </c>
      <c r="AO169" s="11" t="str">
        <f aca="false">IF($P169=0,AO168,IF(AO$3=$E169,IF($AA169=1,$F169&amp;$AB169,$G169),IF(OR(AO$3=$D169,AO$3=$AC169,AO$3=$AE169),"",IF(AO$3=$AD169,$F169&amp;"R",AO168))))</f>
        <v>wR</v>
      </c>
      <c r="AP169" s="11" t="str">
        <f aca="false">IF($P169=0,AP168,IF(AP$3=$E169,IF($AA169=1,$F169&amp;$AB169,$G169),IF(OR(AP$3=$D169,AP$3=$AC169,AP$3=$AE169),"",IF(AP$3=$AD169,$F169&amp;"R",AP168))))</f>
        <v>wP</v>
      </c>
      <c r="AQ169" s="11" t="str">
        <f aca="false">IF($P169=0,AQ168,IF(AQ$3=$E169,IF($AA169=1,$F169&amp;$AB169,$G169),IF(OR(AQ$3=$D169,AQ$3=$AC169,AQ$3=$AE169),"",IF(AQ$3=$AD169,$F169&amp;"R",AQ168))))</f>
        <v>wP</v>
      </c>
      <c r="AR169" s="11" t="str">
        <f aca="false">IF($P169=0,AR168,IF(AR$3=$E169,IF($AA169=1,$F169&amp;$AB169,$G169),IF(OR(AR$3=$D169,AR$3=$AC169,AR$3=$AE169),"",IF(AR$3=$AD169,$F169&amp;"R",AR168))))</f>
        <v>wP</v>
      </c>
      <c r="AS169" s="11" t="str">
        <f aca="false">IF($P169=0,AS168,IF(AS$3=$E169,IF($AA169=1,$F169&amp;$AB169,$G169),IF(OR(AS$3=$D169,AS$3=$AC169,AS$3=$AE169),"",IF(AS$3=$AD169,$F169&amp;"R",AS168))))</f>
        <v>wP</v>
      </c>
      <c r="AT169" s="11" t="str">
        <f aca="false">IF($P169=0,AT168,IF(AT$3=$E169,IF($AA169=1,$F169&amp;$AB169,$G169),IF(OR(AT$3=$D169,AT$3=$AC169,AT$3=$AE169),"",IF(AT$3=$AD169,$F169&amp;"R",AT168))))</f>
        <v>wP</v>
      </c>
      <c r="AU169" s="11" t="str">
        <f aca="false">IF($P169=0,AU168,IF(AU$3=$E169,IF($AA169=1,$F169&amp;$AB169,$G169),IF(OR(AU$3=$D169,AU$3=$AC169,AU$3=$AE169),"",IF(AU$3=$AD169,$F169&amp;"R",AU168))))</f>
        <v>wP</v>
      </c>
      <c r="AV169" s="11" t="str">
        <f aca="false">IF($P169=0,AV168,IF(AV$3=$E169,IF($AA169=1,$F169&amp;$AB169,$G169),IF(OR(AV$3=$D169,AV$3=$AC169,AV$3=$AE169),"",IF(AV$3=$AD169,$F169&amp;"R",AV168))))</f>
        <v>wP</v>
      </c>
      <c r="AW169" s="11" t="str">
        <f aca="false">IF($P169=0,AW168,IF(AW$3=$E169,IF($AA169=1,$F169&amp;$AB169,$G169),IF(OR(AW$3=$D169,AW$3=$AC169,AW$3=$AE169),"",IF(AW$3=$AD169,$F169&amp;"R",AW168))))</f>
        <v>wP</v>
      </c>
      <c r="AX169" s="11" t="str">
        <f aca="false">IF($P169=0,AX168,IF(AX$3=$E169,IF($AA169=1,$F169&amp;$AB169,$G169),IF(OR(AX$3=$D169,AX$3=$AC169,AX$3=$AE169),"",IF(AX$3=$AD169,$F169&amp;"R",AX168))))</f>
        <v/>
      </c>
      <c r="AY169" s="11" t="str">
        <f aca="false">IF($P169=0,AY168,IF(AY$3=$E169,IF($AA169=1,$F169&amp;$AB169,$G169),IF(OR(AY$3=$D169,AY$3=$AC169,AY$3=$AE169),"",IF(AY$3=$AD169,$F169&amp;"R",AY168))))</f>
        <v/>
      </c>
      <c r="AZ169" s="11" t="str">
        <f aca="false">IF($P169=0,AZ168,IF(AZ$3=$E169,IF($AA169=1,$F169&amp;$AB169,$G169),IF(OR(AZ$3=$D169,AZ$3=$AC169,AZ$3=$AE169),"",IF(AZ$3=$AD169,$F169&amp;"R",AZ168))))</f>
        <v/>
      </c>
      <c r="BA169" s="11" t="str">
        <f aca="false">IF($P169=0,BA168,IF(BA$3=$E169,IF($AA169=1,$F169&amp;$AB169,$G169),IF(OR(BA$3=$D169,BA$3=$AC169,BA$3=$AE169),"",IF(BA$3=$AD169,$F169&amp;"R",BA168))))</f>
        <v/>
      </c>
      <c r="BB169" s="11" t="str">
        <f aca="false">IF($P169=0,BB168,IF(BB$3=$E169,IF($AA169=1,$F169&amp;$AB169,$G169),IF(OR(BB$3=$D169,BB$3=$AC169,BB$3=$AE169),"",IF(BB$3=$AD169,$F169&amp;"R",BB168))))</f>
        <v/>
      </c>
      <c r="BC169" s="11" t="str">
        <f aca="false">IF($P169=0,BC168,IF(BC$3=$E169,IF($AA169=1,$F169&amp;$AB169,$G169),IF(OR(BC$3=$D169,BC$3=$AC169,BC$3=$AE169),"",IF(BC$3=$AD169,$F169&amp;"R",BC168))))</f>
        <v/>
      </c>
      <c r="BD169" s="11" t="str">
        <f aca="false">IF($P169=0,BD168,IF(BD$3=$E169,IF($AA169=1,$F169&amp;$AB169,$G169),IF(OR(BD$3=$D169,BD$3=$AC169,BD$3=$AE169),"",IF(BD$3=$AD169,$F169&amp;"R",BD168))))</f>
        <v/>
      </c>
      <c r="BE169" s="11" t="str">
        <f aca="false">IF($P169=0,BE168,IF(BE$3=$E169,IF($AA169=1,$F169&amp;$AB169,$G169),IF(OR(BE$3=$D169,BE$3=$AC169,BE$3=$AE169),"",IF(BE$3=$AD169,$F169&amp;"R",BE168))))</f>
        <v/>
      </c>
      <c r="BF169" s="11" t="str">
        <f aca="false">IF($P169=0,BF168,IF(BF$3=$E169,IF($AA169=1,$F169&amp;$AB169,$G169),IF(OR(BF$3=$D169,BF$3=$AC169,BF$3=$AE169),"",IF(BF$3=$AD169,$F169&amp;"R",BF168))))</f>
        <v/>
      </c>
      <c r="BG169" s="11" t="str">
        <f aca="false">IF($P169=0,BG168,IF(BG$3=$E169,IF($AA169=1,$F169&amp;$AB169,$G169),IF(OR(BG$3=$D169,BG$3=$AC169,BG$3=$AE169),"",IF(BG$3=$AD169,$F169&amp;"R",BG168))))</f>
        <v/>
      </c>
      <c r="BH169" s="11" t="str">
        <f aca="false">IF($P169=0,BH168,IF(BH$3=$E169,IF($AA169=1,$F169&amp;$AB169,$G169),IF(OR(BH$3=$D169,BH$3=$AC169,BH$3=$AE169),"",IF(BH$3=$AD169,$F169&amp;"R",BH168))))</f>
        <v/>
      </c>
      <c r="BI169" s="11" t="str">
        <f aca="false">IF($P169=0,BI168,IF(BI$3=$E169,IF($AA169=1,$F169&amp;$AB169,$G169),IF(OR(BI$3=$D169,BI$3=$AC169,BI$3=$AE169),"",IF(BI$3=$AD169,$F169&amp;"R",BI168))))</f>
        <v/>
      </c>
      <c r="BJ169" s="11" t="str">
        <f aca="false">IF($P169=0,BJ168,IF(BJ$3=$E169,IF($AA169=1,$F169&amp;$AB169,$G169),IF(OR(BJ$3=$D169,BJ$3=$AC169,BJ$3=$AE169),"",IF(BJ$3=$AD169,$F169&amp;"R",BJ168))))</f>
        <v/>
      </c>
      <c r="BK169" s="11" t="str">
        <f aca="false">IF($P169=0,BK168,IF(BK$3=$E169,IF($AA169=1,$F169&amp;$AB169,$G169),IF(OR(BK$3=$D169,BK$3=$AC169,BK$3=$AE169),"",IF(BK$3=$AD169,$F169&amp;"R",BK168))))</f>
        <v/>
      </c>
      <c r="BL169" s="11" t="str">
        <f aca="false">IF($P169=0,BL168,IF(BL$3=$E169,IF($AA169=1,$F169&amp;$AB169,$G169),IF(OR(BL$3=$D169,BL$3=$AC169,BL$3=$AE169),"",IF(BL$3=$AD169,$F169&amp;"R",BL168))))</f>
        <v/>
      </c>
      <c r="BM169" s="11" t="str">
        <f aca="false">IF($P169=0,BM168,IF(BM$3=$E169,IF($AA169=1,$F169&amp;$AB169,$G169),IF(OR(BM$3=$D169,BM$3=$AC169,BM$3=$AE169),"",IF(BM$3=$AD169,$F169&amp;"R",BM168))))</f>
        <v/>
      </c>
      <c r="BN169" s="11" t="str">
        <f aca="false">IF($P169=0,BN168,IF(BN$3=$E169,IF($AA169=1,$F169&amp;$AB169,$G169),IF(OR(BN$3=$D169,BN$3=$AC169,BN$3=$AE169),"",IF(BN$3=$AD169,$F169&amp;"R",BN168))))</f>
        <v/>
      </c>
      <c r="BO169" s="11" t="str">
        <f aca="false">IF($P169=0,BO168,IF(BO$3=$E169,IF($AA169=1,$F169&amp;$AB169,$G169),IF(OR(BO$3=$D169,BO$3=$AC169,BO$3=$AE169),"",IF(BO$3=$AD169,$F169&amp;"R",BO168))))</f>
        <v/>
      </c>
      <c r="BP169" s="11" t="str">
        <f aca="false">IF($P169=0,BP168,IF(BP$3=$E169,IF($AA169=1,$F169&amp;$AB169,$G169),IF(OR(BP$3=$D169,BP$3=$AC169,BP$3=$AE169),"",IF(BP$3=$AD169,$F169&amp;"R",BP168))))</f>
        <v/>
      </c>
      <c r="BQ169" s="11" t="str">
        <f aca="false">IF($P169=0,BQ168,IF(BQ$3=$E169,IF($AA169=1,$F169&amp;$AB169,$G169),IF(OR(BQ$3=$D169,BQ$3=$AC169,BQ$3=$AE169),"",IF(BQ$3=$AD169,$F169&amp;"R",BQ168))))</f>
        <v/>
      </c>
      <c r="BR169" s="11" t="str">
        <f aca="false">IF($P169=0,BR168,IF(BR$3=$E169,IF($AA169=1,$F169&amp;$AB169,$G169),IF(OR(BR$3=$D169,BR$3=$AC169,BR$3=$AE169),"",IF(BR$3=$AD169,$F169&amp;"R",BR168))))</f>
        <v/>
      </c>
      <c r="BS169" s="11" t="str">
        <f aca="false">IF($P169=0,BS168,IF(BS$3=$E169,IF($AA169=1,$F169&amp;$AB169,$G169),IF(OR(BS$3=$D169,BS$3=$AC169,BS$3=$AE169),"",IF(BS$3=$AD169,$F169&amp;"R",BS168))))</f>
        <v/>
      </c>
      <c r="BT169" s="11" t="str">
        <f aca="false">IF($P169=0,BT168,IF(BT$3=$E169,IF($AA169=1,$F169&amp;$AB169,$G169),IF(OR(BT$3=$D169,BT$3=$AC169,BT$3=$AE169),"",IF(BT$3=$AD169,$F169&amp;"R",BT168))))</f>
        <v/>
      </c>
      <c r="BU169" s="11" t="str">
        <f aca="false">IF($P169=0,BU168,IF(BU$3=$E169,IF($AA169=1,$F169&amp;$AB169,$G169),IF(OR(BU$3=$D169,BU$3=$AC169,BU$3=$AE169),"",IF(BU$3=$AD169,$F169&amp;"R",BU168))))</f>
        <v/>
      </c>
      <c r="BV169" s="11" t="str">
        <f aca="false">IF($P169=0,BV168,IF(BV$3=$E169,IF($AA169=1,$F169&amp;$AB169,$G169),IF(OR(BV$3=$D169,BV$3=$AC169,BV$3=$AE169),"",IF(BV$3=$AD169,$F169&amp;"R",BV168))))</f>
        <v/>
      </c>
      <c r="BW169" s="11" t="str">
        <f aca="false">IF($P169=0,BW168,IF(BW$3=$E169,IF($AA169=1,$F169&amp;$AB169,$G169),IF(OR(BW$3=$D169,BW$3=$AC169,BW$3=$AE169),"",IF(BW$3=$AD169,$F169&amp;"R",BW168))))</f>
        <v/>
      </c>
      <c r="BX169" s="11" t="str">
        <f aca="false">IF($P169=0,BX168,IF(BX$3=$E169,IF($AA169=1,$F169&amp;$AB169,$G169),IF(OR(BX$3=$D169,BX$3=$AC169,BX$3=$AE169),"",IF(BX$3=$AD169,$F169&amp;"R",BX168))))</f>
        <v/>
      </c>
      <c r="BY169" s="11" t="str">
        <f aca="false">IF($P169=0,BY168,IF(BY$3=$E169,IF($AA169=1,$F169&amp;$AB169,$G169),IF(OR(BY$3=$D169,BY$3=$AC169,BY$3=$AE169),"",IF(BY$3=$AD169,$F169&amp;"R",BY168))))</f>
        <v/>
      </c>
      <c r="BZ169" s="11" t="str">
        <f aca="false">IF($P169=0,BZ168,IF(BZ$3=$E169,IF($AA169=1,$F169&amp;$AB169,$G169),IF(OR(BZ$3=$D169,BZ$3=$AC169,BZ$3=$AE169),"",IF(BZ$3=$AD169,$F169&amp;"R",BZ168))))</f>
        <v/>
      </c>
      <c r="CA169" s="11" t="str">
        <f aca="false">IF($P169=0,CA168,IF(CA$3=$E169,IF($AA169=1,$F169&amp;$AB169,$G169),IF(OR(CA$3=$D169,CA$3=$AC169,CA$3=$AE169),"",IF(CA$3=$AD169,$F169&amp;"R",CA168))))</f>
        <v/>
      </c>
      <c r="CB169" s="11" t="str">
        <f aca="false">IF($P169=0,CB168,IF(CB$3=$E169,IF($AA169=1,$F169&amp;$AB169,$G169),IF(OR(CB$3=$D169,CB$3=$AC169,CB$3=$AE169),"",IF(CB$3=$AD169,$F169&amp;"R",CB168))))</f>
        <v/>
      </c>
      <c r="CC169" s="11" t="str">
        <f aca="false">IF($P169=0,CC168,IF(CC$3=$E169,IF($AA169=1,$F169&amp;$AB169,$G169),IF(OR(CC$3=$D169,CC$3=$AC169,CC$3=$AE169),"",IF(CC$3=$AD169,$F169&amp;"R",CC168))))</f>
        <v/>
      </c>
      <c r="CD169" s="11" t="str">
        <f aca="false">IF($P169=0,CD168,IF(CD$3=$E169,IF($AA169=1,$F169&amp;$AB169,$G169),IF(OR(CD$3=$D169,CD$3=$AC169,CD$3=$AE169),"",IF(CD$3=$AD169,$F169&amp;"R",CD168))))</f>
        <v>bP</v>
      </c>
      <c r="CE169" s="11" t="str">
        <f aca="false">IF($P169=0,CE168,IF(CE$3=$E169,IF($AA169=1,$F169&amp;$AB169,$G169),IF(OR(CE$3=$D169,CE$3=$AC169,CE$3=$AE169),"",IF(CE$3=$AD169,$F169&amp;"R",CE168))))</f>
        <v>bP</v>
      </c>
      <c r="CF169" s="11" t="str">
        <f aca="false">IF($P169=0,CF168,IF(CF$3=$E169,IF($AA169=1,$F169&amp;$AB169,$G169),IF(OR(CF$3=$D169,CF$3=$AC169,CF$3=$AE169),"",IF(CF$3=$AD169,$F169&amp;"R",CF168))))</f>
        <v>bP</v>
      </c>
      <c r="CG169" s="11" t="str">
        <f aca="false">IF($P169=0,CG168,IF(CG$3=$E169,IF($AA169=1,$F169&amp;$AB169,$G169),IF(OR(CG$3=$D169,CG$3=$AC169,CG$3=$AE169),"",IF(CG$3=$AD169,$F169&amp;"R",CG168))))</f>
        <v>bP</v>
      </c>
      <c r="CH169" s="11" t="str">
        <f aca="false">IF($P169=0,CH168,IF(CH$3=$E169,IF($AA169=1,$F169&amp;$AB169,$G169),IF(OR(CH$3=$D169,CH$3=$AC169,CH$3=$AE169),"",IF(CH$3=$AD169,$F169&amp;"R",CH168))))</f>
        <v>bP</v>
      </c>
      <c r="CI169" s="11" t="str">
        <f aca="false">IF($P169=0,CI168,IF(CI$3=$E169,IF($AA169=1,$F169&amp;$AB169,$G169),IF(OR(CI$3=$D169,CI$3=$AC169,CI$3=$AE169),"",IF(CI$3=$AD169,$F169&amp;"R",CI168))))</f>
        <v>bP</v>
      </c>
      <c r="CJ169" s="11" t="str">
        <f aca="false">IF($P169=0,CJ168,IF(CJ$3=$E169,IF($AA169=1,$F169&amp;$AB169,$G169),IF(OR(CJ$3=$D169,CJ$3=$AC169,CJ$3=$AE169),"",IF(CJ$3=$AD169,$F169&amp;"R",CJ168))))</f>
        <v>bP</v>
      </c>
      <c r="CK169" s="11" t="str">
        <f aca="false">IF($P169=0,CK168,IF(CK$3=$E169,IF($AA169=1,$F169&amp;$AB169,$G169),IF(OR(CK$3=$D169,CK$3=$AC169,CK$3=$AE169),"",IF(CK$3=$AD169,$F169&amp;"R",CK168))))</f>
        <v>bP</v>
      </c>
      <c r="CL169" s="11" t="str">
        <f aca="false">IF($P169=0,CL168,IF(CL$3=$E169,IF($AA169=1,$F169&amp;$AB169,$G169),IF(OR(CL$3=$D169,CL$3=$AC169,CL$3=$AE169),"",IF(CL$3=$AD169,$F169&amp;"R",CL168))))</f>
        <v>bR</v>
      </c>
      <c r="CM169" s="11" t="str">
        <f aca="false">IF($P169=0,CM168,IF(CM$3=$E169,IF($AA169=1,$F169&amp;$AB169,$G169),IF(OR(CM$3=$D169,CM$3=$AC169,CM$3=$AE169),"",IF(CM$3=$AD169,$F169&amp;"R",CM168))))</f>
        <v>bN</v>
      </c>
      <c r="CN169" s="11" t="str">
        <f aca="false">IF($P169=0,CN168,IF(CN$3=$E169,IF($AA169=1,$F169&amp;$AB169,$G169),IF(OR(CN$3=$D169,CN$3=$AC169,CN$3=$AE169),"",IF(CN$3=$AD169,$F169&amp;"R",CN168))))</f>
        <v>bB</v>
      </c>
      <c r="CO169" s="11" t="str">
        <f aca="false">IF($P169=0,CO168,IF(CO$3=$E169,IF($AA169=1,$F169&amp;$AB169,$G169),IF(OR(CO$3=$D169,CO$3=$AC169,CO$3=$AE169),"",IF(CO$3=$AD169,$F169&amp;"R",CO168))))</f>
        <v>bQ</v>
      </c>
      <c r="CP169" s="11" t="str">
        <f aca="false">IF($P169=0,CP168,IF(CP$3=$E169,IF($AA169=1,$F169&amp;$AB169,$G169),IF(OR(CP$3=$D169,CP$3=$AC169,CP$3=$AE169),"",IF(CP$3=$AD169,$F169&amp;"R",CP168))))</f>
        <v>bK</v>
      </c>
      <c r="CQ169" s="11" t="str">
        <f aca="false">IF($P169=0,CQ168,IF(CQ$3=$E169,IF($AA169=1,$F169&amp;$AB169,$G169),IF(OR(CQ$3=$D169,CQ$3=$AC169,CQ$3=$AE169),"",IF(CQ$3=$AD169,$F169&amp;"R",CQ168))))</f>
        <v>bB</v>
      </c>
      <c r="CR169" s="11" t="str">
        <f aca="false">IF($P169=0,CR168,IF(CR$3=$E169,IF($AA169=1,$F169&amp;$AB169,$G169),IF(OR(CR$3=$D169,CR$3=$AC169,CR$3=$AE169),"",IF(CR$3=$AD169,$F169&amp;"R",CR168))))</f>
        <v>bN</v>
      </c>
      <c r="CS169" s="11" t="str">
        <f aca="false">IF($P169=0,CS168,IF(CS$3=$E169,IF($AA169=1,$F169&amp;$AB169,$G169),IF(OR(CS$3=$D169,CS$3=$AC169,CS$3=$AE169),"",IF(CS$3=$AD169,$F169&amp;"R",CS168))))</f>
        <v>bR</v>
      </c>
      <c r="CT169" s="11"/>
      <c r="CU169" s="11"/>
      <c r="CV169" s="11"/>
    </row>
    <row r="170" customFormat="false" ht="15" hidden="false" customHeight="false" outlineLevel="0" collapsed="false">
      <c r="A170" s="11" t="n">
        <v>165</v>
      </c>
      <c r="B170" s="11" t="str">
        <f aca="false">IF(Chess!$L$174="","",Chess!$L$174&amp;"")</f>
        <v/>
      </c>
      <c r="C170" s="11" t="str">
        <f aca="false">LOWER(SUBSTITUTE(SUBSTITUTE(SUBSTITUTE(SUBSTITUTE(TRIM($B170),"-",""),"=","")," ",""),"x",""))</f>
        <v/>
      </c>
      <c r="D170" s="11" t="n">
        <f aca="false">IF(LEN($C170)&lt;4,0,IFERROR(IF(AND(CODE(MID($C170,1,1))&gt;=97,CODE(MID($C170,1,1))&lt;=104,VALUE(MID($C170,2,1))&gt;=1,VALUE(MID($C170,2,1))&lt;=8),(VALUE(MID($C170,2,1))-1)*8+CODE(MID($C170,1,1))-96,0),0))</f>
        <v>0</v>
      </c>
      <c r="E170" s="11" t="n">
        <f aca="false">IF(LEN($C170)&lt;4,0,IFERROR(IF(AND(CODE(MID($C170,3,1))&gt;=97,CODE(MID($C170,3,1))&lt;=104,VALUE(MID($C170,4,1))&gt;=1,VALUE(MID($C170,4,1))&lt;=8),(VALUE(MID($C170,4,1))-1)*8+CODE(MID($C170,3,1))-96,0),0))</f>
        <v>0</v>
      </c>
      <c r="F170" s="11" t="str">
        <f aca="false">IF(MOD(SUM($P$5:$P169),2)=0,"w","b")</f>
        <v>w</v>
      </c>
      <c r="G170" s="11" t="str">
        <f aca="false">IF($D170=0,"",INDEX($AH169:$CS169,1,$D170)&amp;"")</f>
        <v/>
      </c>
      <c r="H170" s="11" t="str">
        <f aca="false">IF($E170=0,"",INDEX($AH169:$CS169,1,$E170)&amp;"")</f>
        <v/>
      </c>
      <c r="I170" s="11" t="n">
        <f aca="false">IF(OR($D170=0,$E170=0),0,MOD($E170-1,8)-MOD($D170-1,8))</f>
        <v>0</v>
      </c>
      <c r="J170" s="11" t="n">
        <f aca="false">IF(OR($D170=0,$E170=0),0,INT(($E170-1)/8)-INT(($D170-1)/8))</f>
        <v>0</v>
      </c>
      <c r="K170" s="11" t="str">
        <f aca="false">IF($G170="","",RIGHT($G170,1))</f>
        <v/>
      </c>
      <c r="L170" s="11" t="n">
        <f aca="false">IF(OR($D170=0,$E170=0),0,SUMPRODUCT(($AH$3:$CS$3&gt;MIN($D170,$E170))*($AH$3:$CS$3&lt;MAX($D170,$E170))*(MOD($AH$3:$CS$3-MIN($D170,$E170),MAX(1,ABS(SIGN($J170)*8+SIGN($I170))))=0)*($AH169:$CS169&lt;&gt;"")))</f>
        <v>0</v>
      </c>
      <c r="M170" s="11" t="n">
        <f aca="false">IF($K170&lt;&gt;"K",0,IFERROR(--AND($J170=0,ABS($I170)=2,$D170=IF($F170="w",5,61),IF($F170="w",$S169,$V169)=0,IF($I170=2,AND(IF($F170="w",$U169,$X169)=0,INDEX($AH169:$CS169,1,$D170+1)&amp;""="",INDEX($AH169:$CS169,1,$D170+2)&amp;""=""),AND(IF($F170="w",$T169,$W169)=0,INDEX($AH169:$CS169,1,$D170-1)&amp;""="",INDEX($AH169:$CS169,1,$D170-2)&amp;""="",INDEX($AH169:$CS169,1,$D170-3)&amp;""=""))),0))</f>
        <v>0</v>
      </c>
      <c r="N170" s="11" t="n">
        <f aca="false">IF($K170&lt;&gt;"P",0,IFERROR(--OR(AND($I170=0,$J170=IF($F170="w",1,-1),$H170=""),AND($I170=0,$J170=2*IF($F170="w",1,-1),$H170="",INT(($D170-1)/8)=IF($F170="w",1,6),INDEX($AH169:$CS169,1,MAX(1,MIN(64,$D170+8*IF($F170="w",1,-1))))&amp;""=""),AND(ABS($I170)=1,$J170=IF($F170="w",1,-1),$H170&lt;&gt;""),AND(ABS($I170)=1,$J170=IF($F170="w",1,-1),$H170="",$R169&gt;0,$E170=$R169)),0))</f>
        <v>0</v>
      </c>
      <c r="O170" s="11" t="n">
        <f aca="false">IF(OR($D170=0,$E170=0,$G170=""),0,IF($K170="N",--OR(AND(ABS($I170)=1,ABS($J170)=2),AND(ABS($I170)=2,ABS($J170)=1)),IF($K170="B",--AND(ABS($I170)=ABS($J170),$I170&lt;&gt;0,$L170=0),IF($K170="R",--AND(OR($I170=0,$J170=0),OR($I170&lt;&gt;0,$J170&lt;&gt;0),$L170=0),IF($K170="Q",--AND(OR(AND(ABS($I170)=ABS($J170),$I170&lt;&gt;0),AND(OR($I170=0,$J170=0),OR($I170&lt;&gt;0,$J170&lt;&gt;0))),$L170=0),IF($K170="K",--OR(MAX(ABS($I170),ABS($J170))=1,$M170=1),$N170))))))</f>
        <v>0</v>
      </c>
      <c r="P170" s="11" t="n">
        <f aca="false">IF($Q170="OK",1,0)</f>
        <v>0</v>
      </c>
      <c r="Q170" s="11" t="str">
        <f aca="false">IF($B170="","",IF(OR(COUNTIF($AH169:$CS169,"wK")=0,COUNTIF($AH169:$CS169,"bK")=0),"Game is over",IF(OR($D170=0,$E170=0),"Use the format e2e4",IF($G170="","No piece on that square",IF(LEFT($G170,1)&lt;&gt;$F170,"Not your piece ("&amp;IF($F170="w","White","Black")&amp;" to move)",IF($D170=$E170,"Piece must move",IF(AND($H170&lt;&gt;"",LEFT($H170,1)=$F170),"Cannot capture your own piece",IF($O170=0,"Illegal move for that piece (or path blocked)","OK"))))))))</f>
        <v/>
      </c>
      <c r="R170" s="11" t="n">
        <f aca="false">IF($P170=1,IF(AND($K170="P",ABS($J170)=2),($D170+$E170)/2,0),$R169)</f>
        <v>0</v>
      </c>
      <c r="S170" s="12" t="b">
        <f aca="false">--OR($S169=1,AND($P170=1,OR($D170=5,$E170=5)))</f>
        <v>0</v>
      </c>
      <c r="T170" s="12" t="b">
        <f aca="false">--OR($T169=1,AND($P170=1,OR($D170=1,$E170=1)))</f>
        <v>0</v>
      </c>
      <c r="U170" s="12" t="b">
        <f aca="false">--OR($U169=1,AND($P170=1,OR($D170=8,$E170=8)))</f>
        <v>0</v>
      </c>
      <c r="V170" s="12" t="b">
        <f aca="false">--OR($V169=1,AND($P170=1,OR($D170=61,$E170=61)))</f>
        <v>0</v>
      </c>
      <c r="W170" s="12" t="b">
        <f aca="false">--OR($W169=1,AND($P170=1,OR($D170=57,$E170=57)))</f>
        <v>0</v>
      </c>
      <c r="X170" s="12" t="b">
        <f aca="false">--OR($X169=1,AND($P170=1,OR($D170=64,$E170=64)))</f>
        <v>0</v>
      </c>
      <c r="Y170" s="12" t="b">
        <f aca="false">--AND($P170=1,$K170="K",ABS($I170)=2)</f>
        <v>0</v>
      </c>
      <c r="Z170" s="12" t="b">
        <f aca="false">--AND($P170=1,$K170="P",ABS($I170)=1,$H170="")</f>
        <v>0</v>
      </c>
      <c r="AA170" s="12" t="b">
        <f aca="false">--AND($P170=1,$K170="P",INT(($E170-1)/8)=IF($F170="w",7,0))</f>
        <v>0</v>
      </c>
      <c r="AB170" s="11" t="str">
        <f aca="false">IF(LEN($C170)&gt;=5,IF(ISNUMBER(FIND(MID($C170,5,1),"qrbn")),UPPER(MID($C170,5,1)),"Q"),"Q")</f>
        <v>Q</v>
      </c>
      <c r="AC170" s="11" t="n">
        <f aca="false">IF($Y170=1,IF($I170=2,$D170+3,$D170-4),0)</f>
        <v>0</v>
      </c>
      <c r="AD170" s="11" t="n">
        <f aca="false">IF($Y170=1,IF($I170=2,$D170+1,$D170-1),0)</f>
        <v>0</v>
      </c>
      <c r="AE170" s="11" t="n">
        <f aca="false">IF($Z170=1,$E170-8*IF($F170="w",1,-1),0)</f>
        <v>0</v>
      </c>
      <c r="AF170" s="11" t="str">
        <f aca="false">IF($B170="","",IF($P170=1,LOWER(INDEX($CV$2:$CV$13,MATCH($G170,$CU$2:$CU$13,0)))&amp;" "&amp;MID("abcdefgh",MOD($D170-1,8)+1,1)&amp;(INT(($D170-1)/8)+1)&amp;"→"&amp;MID("abcdefgh",MOD($E170-1,8)+1,1)&amp;(INT(($E170-1)/8)+1)&amp;IF(OR($H170&lt;&gt;"",$Z170=1)," ×","")&amp;IF($Y170=1," castles","")&amp;IF($Z170=1," e.p.","")&amp;IF($AA170=1," =" &amp;LOWER(INDEX($CV$2:$CV$13,MATCH($F170&amp;$AB170,$CU$2:$CU$13,0))),""),"X "&amp;$Q170))</f>
        <v/>
      </c>
      <c r="AG170" s="11"/>
      <c r="AH170" s="11" t="str">
        <f aca="false">IF($P170=0,AH169,IF(AH$3=$E170,IF($AA170=1,$F170&amp;$AB170,$G170),IF(OR(AH$3=$D170,AH$3=$AC170,AH$3=$AE170),"",IF(AH$3=$AD170,$F170&amp;"R",AH169))))</f>
        <v>wR</v>
      </c>
      <c r="AI170" s="11" t="str">
        <f aca="false">IF($P170=0,AI169,IF(AI$3=$E170,IF($AA170=1,$F170&amp;$AB170,$G170),IF(OR(AI$3=$D170,AI$3=$AC170,AI$3=$AE170),"",IF(AI$3=$AD170,$F170&amp;"R",AI169))))</f>
        <v>wN</v>
      </c>
      <c r="AJ170" s="11" t="str">
        <f aca="false">IF($P170=0,AJ169,IF(AJ$3=$E170,IF($AA170=1,$F170&amp;$AB170,$G170),IF(OR(AJ$3=$D170,AJ$3=$AC170,AJ$3=$AE170),"",IF(AJ$3=$AD170,$F170&amp;"R",AJ169))))</f>
        <v>wB</v>
      </c>
      <c r="AK170" s="11" t="str">
        <f aca="false">IF($P170=0,AK169,IF(AK$3=$E170,IF($AA170=1,$F170&amp;$AB170,$G170),IF(OR(AK$3=$D170,AK$3=$AC170,AK$3=$AE170),"",IF(AK$3=$AD170,$F170&amp;"R",AK169))))</f>
        <v>wQ</v>
      </c>
      <c r="AL170" s="11" t="str">
        <f aca="false">IF($P170=0,AL169,IF(AL$3=$E170,IF($AA170=1,$F170&amp;$AB170,$G170),IF(OR(AL$3=$D170,AL$3=$AC170,AL$3=$AE170),"",IF(AL$3=$AD170,$F170&amp;"R",AL169))))</f>
        <v>wK</v>
      </c>
      <c r="AM170" s="11" t="str">
        <f aca="false">IF($P170=0,AM169,IF(AM$3=$E170,IF($AA170=1,$F170&amp;$AB170,$G170),IF(OR(AM$3=$D170,AM$3=$AC170,AM$3=$AE170),"",IF(AM$3=$AD170,$F170&amp;"R",AM169))))</f>
        <v>wB</v>
      </c>
      <c r="AN170" s="11" t="str">
        <f aca="false">IF($P170=0,AN169,IF(AN$3=$E170,IF($AA170=1,$F170&amp;$AB170,$G170),IF(OR(AN$3=$D170,AN$3=$AC170,AN$3=$AE170),"",IF(AN$3=$AD170,$F170&amp;"R",AN169))))</f>
        <v>wN</v>
      </c>
      <c r="AO170" s="11" t="str">
        <f aca="false">IF($P170=0,AO169,IF(AO$3=$E170,IF($AA170=1,$F170&amp;$AB170,$G170),IF(OR(AO$3=$D170,AO$3=$AC170,AO$3=$AE170),"",IF(AO$3=$AD170,$F170&amp;"R",AO169))))</f>
        <v>wR</v>
      </c>
      <c r="AP170" s="11" t="str">
        <f aca="false">IF($P170=0,AP169,IF(AP$3=$E170,IF($AA170=1,$F170&amp;$AB170,$G170),IF(OR(AP$3=$D170,AP$3=$AC170,AP$3=$AE170),"",IF(AP$3=$AD170,$F170&amp;"R",AP169))))</f>
        <v>wP</v>
      </c>
      <c r="AQ170" s="11" t="str">
        <f aca="false">IF($P170=0,AQ169,IF(AQ$3=$E170,IF($AA170=1,$F170&amp;$AB170,$G170),IF(OR(AQ$3=$D170,AQ$3=$AC170,AQ$3=$AE170),"",IF(AQ$3=$AD170,$F170&amp;"R",AQ169))))</f>
        <v>wP</v>
      </c>
      <c r="AR170" s="11" t="str">
        <f aca="false">IF($P170=0,AR169,IF(AR$3=$E170,IF($AA170=1,$F170&amp;$AB170,$G170),IF(OR(AR$3=$D170,AR$3=$AC170,AR$3=$AE170),"",IF(AR$3=$AD170,$F170&amp;"R",AR169))))</f>
        <v>wP</v>
      </c>
      <c r="AS170" s="11" t="str">
        <f aca="false">IF($P170=0,AS169,IF(AS$3=$E170,IF($AA170=1,$F170&amp;$AB170,$G170),IF(OR(AS$3=$D170,AS$3=$AC170,AS$3=$AE170),"",IF(AS$3=$AD170,$F170&amp;"R",AS169))))</f>
        <v>wP</v>
      </c>
      <c r="AT170" s="11" t="str">
        <f aca="false">IF($P170=0,AT169,IF(AT$3=$E170,IF($AA170=1,$F170&amp;$AB170,$G170),IF(OR(AT$3=$D170,AT$3=$AC170,AT$3=$AE170),"",IF(AT$3=$AD170,$F170&amp;"R",AT169))))</f>
        <v>wP</v>
      </c>
      <c r="AU170" s="11" t="str">
        <f aca="false">IF($P170=0,AU169,IF(AU$3=$E170,IF($AA170=1,$F170&amp;$AB170,$G170),IF(OR(AU$3=$D170,AU$3=$AC170,AU$3=$AE170),"",IF(AU$3=$AD170,$F170&amp;"R",AU169))))</f>
        <v>wP</v>
      </c>
      <c r="AV170" s="11" t="str">
        <f aca="false">IF($P170=0,AV169,IF(AV$3=$E170,IF($AA170=1,$F170&amp;$AB170,$G170),IF(OR(AV$3=$D170,AV$3=$AC170,AV$3=$AE170),"",IF(AV$3=$AD170,$F170&amp;"R",AV169))))</f>
        <v>wP</v>
      </c>
      <c r="AW170" s="11" t="str">
        <f aca="false">IF($P170=0,AW169,IF(AW$3=$E170,IF($AA170=1,$F170&amp;$AB170,$G170),IF(OR(AW$3=$D170,AW$3=$AC170,AW$3=$AE170),"",IF(AW$3=$AD170,$F170&amp;"R",AW169))))</f>
        <v>wP</v>
      </c>
      <c r="AX170" s="11" t="str">
        <f aca="false">IF($P170=0,AX169,IF(AX$3=$E170,IF($AA170=1,$F170&amp;$AB170,$G170),IF(OR(AX$3=$D170,AX$3=$AC170,AX$3=$AE170),"",IF(AX$3=$AD170,$F170&amp;"R",AX169))))</f>
        <v/>
      </c>
      <c r="AY170" s="11" t="str">
        <f aca="false">IF($P170=0,AY169,IF(AY$3=$E170,IF($AA170=1,$F170&amp;$AB170,$G170),IF(OR(AY$3=$D170,AY$3=$AC170,AY$3=$AE170),"",IF(AY$3=$AD170,$F170&amp;"R",AY169))))</f>
        <v/>
      </c>
      <c r="AZ170" s="11" t="str">
        <f aca="false">IF($P170=0,AZ169,IF(AZ$3=$E170,IF($AA170=1,$F170&amp;$AB170,$G170),IF(OR(AZ$3=$D170,AZ$3=$AC170,AZ$3=$AE170),"",IF(AZ$3=$AD170,$F170&amp;"R",AZ169))))</f>
        <v/>
      </c>
      <c r="BA170" s="11" t="str">
        <f aca="false">IF($P170=0,BA169,IF(BA$3=$E170,IF($AA170=1,$F170&amp;$AB170,$G170),IF(OR(BA$3=$D170,BA$3=$AC170,BA$3=$AE170),"",IF(BA$3=$AD170,$F170&amp;"R",BA169))))</f>
        <v/>
      </c>
      <c r="BB170" s="11" t="str">
        <f aca="false">IF($P170=0,BB169,IF(BB$3=$E170,IF($AA170=1,$F170&amp;$AB170,$G170),IF(OR(BB$3=$D170,BB$3=$AC170,BB$3=$AE170),"",IF(BB$3=$AD170,$F170&amp;"R",BB169))))</f>
        <v/>
      </c>
      <c r="BC170" s="11" t="str">
        <f aca="false">IF($P170=0,BC169,IF(BC$3=$E170,IF($AA170=1,$F170&amp;$AB170,$G170),IF(OR(BC$3=$D170,BC$3=$AC170,BC$3=$AE170),"",IF(BC$3=$AD170,$F170&amp;"R",BC169))))</f>
        <v/>
      </c>
      <c r="BD170" s="11" t="str">
        <f aca="false">IF($P170=0,BD169,IF(BD$3=$E170,IF($AA170=1,$F170&amp;$AB170,$G170),IF(OR(BD$3=$D170,BD$3=$AC170,BD$3=$AE170),"",IF(BD$3=$AD170,$F170&amp;"R",BD169))))</f>
        <v/>
      </c>
      <c r="BE170" s="11" t="str">
        <f aca="false">IF($P170=0,BE169,IF(BE$3=$E170,IF($AA170=1,$F170&amp;$AB170,$G170),IF(OR(BE$3=$D170,BE$3=$AC170,BE$3=$AE170),"",IF(BE$3=$AD170,$F170&amp;"R",BE169))))</f>
        <v/>
      </c>
      <c r="BF170" s="11" t="str">
        <f aca="false">IF($P170=0,BF169,IF(BF$3=$E170,IF($AA170=1,$F170&amp;$AB170,$G170),IF(OR(BF$3=$D170,BF$3=$AC170,BF$3=$AE170),"",IF(BF$3=$AD170,$F170&amp;"R",BF169))))</f>
        <v/>
      </c>
      <c r="BG170" s="11" t="str">
        <f aca="false">IF($P170=0,BG169,IF(BG$3=$E170,IF($AA170=1,$F170&amp;$AB170,$G170),IF(OR(BG$3=$D170,BG$3=$AC170,BG$3=$AE170),"",IF(BG$3=$AD170,$F170&amp;"R",BG169))))</f>
        <v/>
      </c>
      <c r="BH170" s="11" t="str">
        <f aca="false">IF($P170=0,BH169,IF(BH$3=$E170,IF($AA170=1,$F170&amp;$AB170,$G170),IF(OR(BH$3=$D170,BH$3=$AC170,BH$3=$AE170),"",IF(BH$3=$AD170,$F170&amp;"R",BH169))))</f>
        <v/>
      </c>
      <c r="BI170" s="11" t="str">
        <f aca="false">IF($P170=0,BI169,IF(BI$3=$E170,IF($AA170=1,$F170&amp;$AB170,$G170),IF(OR(BI$3=$D170,BI$3=$AC170,BI$3=$AE170),"",IF(BI$3=$AD170,$F170&amp;"R",BI169))))</f>
        <v/>
      </c>
      <c r="BJ170" s="11" t="str">
        <f aca="false">IF($P170=0,BJ169,IF(BJ$3=$E170,IF($AA170=1,$F170&amp;$AB170,$G170),IF(OR(BJ$3=$D170,BJ$3=$AC170,BJ$3=$AE170),"",IF(BJ$3=$AD170,$F170&amp;"R",BJ169))))</f>
        <v/>
      </c>
      <c r="BK170" s="11" t="str">
        <f aca="false">IF($P170=0,BK169,IF(BK$3=$E170,IF($AA170=1,$F170&amp;$AB170,$G170),IF(OR(BK$3=$D170,BK$3=$AC170,BK$3=$AE170),"",IF(BK$3=$AD170,$F170&amp;"R",BK169))))</f>
        <v/>
      </c>
      <c r="BL170" s="11" t="str">
        <f aca="false">IF($P170=0,BL169,IF(BL$3=$E170,IF($AA170=1,$F170&amp;$AB170,$G170),IF(OR(BL$3=$D170,BL$3=$AC170,BL$3=$AE170),"",IF(BL$3=$AD170,$F170&amp;"R",BL169))))</f>
        <v/>
      </c>
      <c r="BM170" s="11" t="str">
        <f aca="false">IF($P170=0,BM169,IF(BM$3=$E170,IF($AA170=1,$F170&amp;$AB170,$G170),IF(OR(BM$3=$D170,BM$3=$AC170,BM$3=$AE170),"",IF(BM$3=$AD170,$F170&amp;"R",BM169))))</f>
        <v/>
      </c>
      <c r="BN170" s="11" t="str">
        <f aca="false">IF($P170=0,BN169,IF(BN$3=$E170,IF($AA170=1,$F170&amp;$AB170,$G170),IF(OR(BN$3=$D170,BN$3=$AC170,BN$3=$AE170),"",IF(BN$3=$AD170,$F170&amp;"R",BN169))))</f>
        <v/>
      </c>
      <c r="BO170" s="11" t="str">
        <f aca="false">IF($P170=0,BO169,IF(BO$3=$E170,IF($AA170=1,$F170&amp;$AB170,$G170),IF(OR(BO$3=$D170,BO$3=$AC170,BO$3=$AE170),"",IF(BO$3=$AD170,$F170&amp;"R",BO169))))</f>
        <v/>
      </c>
      <c r="BP170" s="11" t="str">
        <f aca="false">IF($P170=0,BP169,IF(BP$3=$E170,IF($AA170=1,$F170&amp;$AB170,$G170),IF(OR(BP$3=$D170,BP$3=$AC170,BP$3=$AE170),"",IF(BP$3=$AD170,$F170&amp;"R",BP169))))</f>
        <v/>
      </c>
      <c r="BQ170" s="11" t="str">
        <f aca="false">IF($P170=0,BQ169,IF(BQ$3=$E170,IF($AA170=1,$F170&amp;$AB170,$G170),IF(OR(BQ$3=$D170,BQ$3=$AC170,BQ$3=$AE170),"",IF(BQ$3=$AD170,$F170&amp;"R",BQ169))))</f>
        <v/>
      </c>
      <c r="BR170" s="11" t="str">
        <f aca="false">IF($P170=0,BR169,IF(BR$3=$E170,IF($AA170=1,$F170&amp;$AB170,$G170),IF(OR(BR$3=$D170,BR$3=$AC170,BR$3=$AE170),"",IF(BR$3=$AD170,$F170&amp;"R",BR169))))</f>
        <v/>
      </c>
      <c r="BS170" s="11" t="str">
        <f aca="false">IF($P170=0,BS169,IF(BS$3=$E170,IF($AA170=1,$F170&amp;$AB170,$G170),IF(OR(BS$3=$D170,BS$3=$AC170,BS$3=$AE170),"",IF(BS$3=$AD170,$F170&amp;"R",BS169))))</f>
        <v/>
      </c>
      <c r="BT170" s="11" t="str">
        <f aca="false">IF($P170=0,BT169,IF(BT$3=$E170,IF($AA170=1,$F170&amp;$AB170,$G170),IF(OR(BT$3=$D170,BT$3=$AC170,BT$3=$AE170),"",IF(BT$3=$AD170,$F170&amp;"R",BT169))))</f>
        <v/>
      </c>
      <c r="BU170" s="11" t="str">
        <f aca="false">IF($P170=0,BU169,IF(BU$3=$E170,IF($AA170=1,$F170&amp;$AB170,$G170),IF(OR(BU$3=$D170,BU$3=$AC170,BU$3=$AE170),"",IF(BU$3=$AD170,$F170&amp;"R",BU169))))</f>
        <v/>
      </c>
      <c r="BV170" s="11" t="str">
        <f aca="false">IF($P170=0,BV169,IF(BV$3=$E170,IF($AA170=1,$F170&amp;$AB170,$G170),IF(OR(BV$3=$D170,BV$3=$AC170,BV$3=$AE170),"",IF(BV$3=$AD170,$F170&amp;"R",BV169))))</f>
        <v/>
      </c>
      <c r="BW170" s="11" t="str">
        <f aca="false">IF($P170=0,BW169,IF(BW$3=$E170,IF($AA170=1,$F170&amp;$AB170,$G170),IF(OR(BW$3=$D170,BW$3=$AC170,BW$3=$AE170),"",IF(BW$3=$AD170,$F170&amp;"R",BW169))))</f>
        <v/>
      </c>
      <c r="BX170" s="11" t="str">
        <f aca="false">IF($P170=0,BX169,IF(BX$3=$E170,IF($AA170=1,$F170&amp;$AB170,$G170),IF(OR(BX$3=$D170,BX$3=$AC170,BX$3=$AE170),"",IF(BX$3=$AD170,$F170&amp;"R",BX169))))</f>
        <v/>
      </c>
      <c r="BY170" s="11" t="str">
        <f aca="false">IF($P170=0,BY169,IF(BY$3=$E170,IF($AA170=1,$F170&amp;$AB170,$G170),IF(OR(BY$3=$D170,BY$3=$AC170,BY$3=$AE170),"",IF(BY$3=$AD170,$F170&amp;"R",BY169))))</f>
        <v/>
      </c>
      <c r="BZ170" s="11" t="str">
        <f aca="false">IF($P170=0,BZ169,IF(BZ$3=$E170,IF($AA170=1,$F170&amp;$AB170,$G170),IF(OR(BZ$3=$D170,BZ$3=$AC170,BZ$3=$AE170),"",IF(BZ$3=$AD170,$F170&amp;"R",BZ169))))</f>
        <v/>
      </c>
      <c r="CA170" s="11" t="str">
        <f aca="false">IF($P170=0,CA169,IF(CA$3=$E170,IF($AA170=1,$F170&amp;$AB170,$G170),IF(OR(CA$3=$D170,CA$3=$AC170,CA$3=$AE170),"",IF(CA$3=$AD170,$F170&amp;"R",CA169))))</f>
        <v/>
      </c>
      <c r="CB170" s="11" t="str">
        <f aca="false">IF($P170=0,CB169,IF(CB$3=$E170,IF($AA170=1,$F170&amp;$AB170,$G170),IF(OR(CB$3=$D170,CB$3=$AC170,CB$3=$AE170),"",IF(CB$3=$AD170,$F170&amp;"R",CB169))))</f>
        <v/>
      </c>
      <c r="CC170" s="11" t="str">
        <f aca="false">IF($P170=0,CC169,IF(CC$3=$E170,IF($AA170=1,$F170&amp;$AB170,$G170),IF(OR(CC$3=$D170,CC$3=$AC170,CC$3=$AE170),"",IF(CC$3=$AD170,$F170&amp;"R",CC169))))</f>
        <v/>
      </c>
      <c r="CD170" s="11" t="str">
        <f aca="false">IF($P170=0,CD169,IF(CD$3=$E170,IF($AA170=1,$F170&amp;$AB170,$G170),IF(OR(CD$3=$D170,CD$3=$AC170,CD$3=$AE170),"",IF(CD$3=$AD170,$F170&amp;"R",CD169))))</f>
        <v>bP</v>
      </c>
      <c r="CE170" s="11" t="str">
        <f aca="false">IF($P170=0,CE169,IF(CE$3=$E170,IF($AA170=1,$F170&amp;$AB170,$G170),IF(OR(CE$3=$D170,CE$3=$AC170,CE$3=$AE170),"",IF(CE$3=$AD170,$F170&amp;"R",CE169))))</f>
        <v>bP</v>
      </c>
      <c r="CF170" s="11" t="str">
        <f aca="false">IF($P170=0,CF169,IF(CF$3=$E170,IF($AA170=1,$F170&amp;$AB170,$G170),IF(OR(CF$3=$D170,CF$3=$AC170,CF$3=$AE170),"",IF(CF$3=$AD170,$F170&amp;"R",CF169))))</f>
        <v>bP</v>
      </c>
      <c r="CG170" s="11" t="str">
        <f aca="false">IF($P170=0,CG169,IF(CG$3=$E170,IF($AA170=1,$F170&amp;$AB170,$G170),IF(OR(CG$3=$D170,CG$3=$AC170,CG$3=$AE170),"",IF(CG$3=$AD170,$F170&amp;"R",CG169))))</f>
        <v>bP</v>
      </c>
      <c r="CH170" s="11" t="str">
        <f aca="false">IF($P170=0,CH169,IF(CH$3=$E170,IF($AA170=1,$F170&amp;$AB170,$G170),IF(OR(CH$3=$D170,CH$3=$AC170,CH$3=$AE170),"",IF(CH$3=$AD170,$F170&amp;"R",CH169))))</f>
        <v>bP</v>
      </c>
      <c r="CI170" s="11" t="str">
        <f aca="false">IF($P170=0,CI169,IF(CI$3=$E170,IF($AA170=1,$F170&amp;$AB170,$G170),IF(OR(CI$3=$D170,CI$3=$AC170,CI$3=$AE170),"",IF(CI$3=$AD170,$F170&amp;"R",CI169))))</f>
        <v>bP</v>
      </c>
      <c r="CJ170" s="11" t="str">
        <f aca="false">IF($P170=0,CJ169,IF(CJ$3=$E170,IF($AA170=1,$F170&amp;$AB170,$G170),IF(OR(CJ$3=$D170,CJ$3=$AC170,CJ$3=$AE170),"",IF(CJ$3=$AD170,$F170&amp;"R",CJ169))))</f>
        <v>bP</v>
      </c>
      <c r="CK170" s="11" t="str">
        <f aca="false">IF($P170=0,CK169,IF(CK$3=$E170,IF($AA170=1,$F170&amp;$AB170,$G170),IF(OR(CK$3=$D170,CK$3=$AC170,CK$3=$AE170),"",IF(CK$3=$AD170,$F170&amp;"R",CK169))))</f>
        <v>bP</v>
      </c>
      <c r="CL170" s="11" t="str">
        <f aca="false">IF($P170=0,CL169,IF(CL$3=$E170,IF($AA170=1,$F170&amp;$AB170,$G170),IF(OR(CL$3=$D170,CL$3=$AC170,CL$3=$AE170),"",IF(CL$3=$AD170,$F170&amp;"R",CL169))))</f>
        <v>bR</v>
      </c>
      <c r="CM170" s="11" t="str">
        <f aca="false">IF($P170=0,CM169,IF(CM$3=$E170,IF($AA170=1,$F170&amp;$AB170,$G170),IF(OR(CM$3=$D170,CM$3=$AC170,CM$3=$AE170),"",IF(CM$3=$AD170,$F170&amp;"R",CM169))))</f>
        <v>bN</v>
      </c>
      <c r="CN170" s="11" t="str">
        <f aca="false">IF($P170=0,CN169,IF(CN$3=$E170,IF($AA170=1,$F170&amp;$AB170,$G170),IF(OR(CN$3=$D170,CN$3=$AC170,CN$3=$AE170),"",IF(CN$3=$AD170,$F170&amp;"R",CN169))))</f>
        <v>bB</v>
      </c>
      <c r="CO170" s="11" t="str">
        <f aca="false">IF($P170=0,CO169,IF(CO$3=$E170,IF($AA170=1,$F170&amp;$AB170,$G170),IF(OR(CO$3=$D170,CO$3=$AC170,CO$3=$AE170),"",IF(CO$3=$AD170,$F170&amp;"R",CO169))))</f>
        <v>bQ</v>
      </c>
      <c r="CP170" s="11" t="str">
        <f aca="false">IF($P170=0,CP169,IF(CP$3=$E170,IF($AA170=1,$F170&amp;$AB170,$G170),IF(OR(CP$3=$D170,CP$3=$AC170,CP$3=$AE170),"",IF(CP$3=$AD170,$F170&amp;"R",CP169))))</f>
        <v>bK</v>
      </c>
      <c r="CQ170" s="11" t="str">
        <f aca="false">IF($P170=0,CQ169,IF(CQ$3=$E170,IF($AA170=1,$F170&amp;$AB170,$G170),IF(OR(CQ$3=$D170,CQ$3=$AC170,CQ$3=$AE170),"",IF(CQ$3=$AD170,$F170&amp;"R",CQ169))))</f>
        <v>bB</v>
      </c>
      <c r="CR170" s="11" t="str">
        <f aca="false">IF($P170=0,CR169,IF(CR$3=$E170,IF($AA170=1,$F170&amp;$AB170,$G170),IF(OR(CR$3=$D170,CR$3=$AC170,CR$3=$AE170),"",IF(CR$3=$AD170,$F170&amp;"R",CR169))))</f>
        <v>bN</v>
      </c>
      <c r="CS170" s="11" t="str">
        <f aca="false">IF($P170=0,CS169,IF(CS$3=$E170,IF($AA170=1,$F170&amp;$AB170,$G170),IF(OR(CS$3=$D170,CS$3=$AC170,CS$3=$AE170),"",IF(CS$3=$AD170,$F170&amp;"R",CS169))))</f>
        <v>bR</v>
      </c>
      <c r="CT170" s="11"/>
      <c r="CU170" s="11"/>
      <c r="CV170" s="11"/>
    </row>
    <row r="171" customFormat="false" ht="15" hidden="false" customHeight="false" outlineLevel="0" collapsed="false">
      <c r="A171" s="11" t="n">
        <v>166</v>
      </c>
      <c r="B171" s="11" t="str">
        <f aca="false">IF(Chess!$L$175="","",Chess!$L$175&amp;"")</f>
        <v/>
      </c>
      <c r="C171" s="11" t="str">
        <f aca="false">LOWER(SUBSTITUTE(SUBSTITUTE(SUBSTITUTE(SUBSTITUTE(TRIM($B171),"-",""),"=","")," ",""),"x",""))</f>
        <v/>
      </c>
      <c r="D171" s="11" t="n">
        <f aca="false">IF(LEN($C171)&lt;4,0,IFERROR(IF(AND(CODE(MID($C171,1,1))&gt;=97,CODE(MID($C171,1,1))&lt;=104,VALUE(MID($C171,2,1))&gt;=1,VALUE(MID($C171,2,1))&lt;=8),(VALUE(MID($C171,2,1))-1)*8+CODE(MID($C171,1,1))-96,0),0))</f>
        <v>0</v>
      </c>
      <c r="E171" s="11" t="n">
        <f aca="false">IF(LEN($C171)&lt;4,0,IFERROR(IF(AND(CODE(MID($C171,3,1))&gt;=97,CODE(MID($C171,3,1))&lt;=104,VALUE(MID($C171,4,1))&gt;=1,VALUE(MID($C171,4,1))&lt;=8),(VALUE(MID($C171,4,1))-1)*8+CODE(MID($C171,3,1))-96,0),0))</f>
        <v>0</v>
      </c>
      <c r="F171" s="11" t="str">
        <f aca="false">IF(MOD(SUM($P$5:$P170),2)=0,"w","b")</f>
        <v>w</v>
      </c>
      <c r="G171" s="11" t="str">
        <f aca="false">IF($D171=0,"",INDEX($AH170:$CS170,1,$D171)&amp;"")</f>
        <v/>
      </c>
      <c r="H171" s="11" t="str">
        <f aca="false">IF($E171=0,"",INDEX($AH170:$CS170,1,$E171)&amp;"")</f>
        <v/>
      </c>
      <c r="I171" s="11" t="n">
        <f aca="false">IF(OR($D171=0,$E171=0),0,MOD($E171-1,8)-MOD($D171-1,8))</f>
        <v>0</v>
      </c>
      <c r="J171" s="11" t="n">
        <f aca="false">IF(OR($D171=0,$E171=0),0,INT(($E171-1)/8)-INT(($D171-1)/8))</f>
        <v>0</v>
      </c>
      <c r="K171" s="11" t="str">
        <f aca="false">IF($G171="","",RIGHT($G171,1))</f>
        <v/>
      </c>
      <c r="L171" s="11" t="n">
        <f aca="false">IF(OR($D171=0,$E171=0),0,SUMPRODUCT(($AH$3:$CS$3&gt;MIN($D171,$E171))*($AH$3:$CS$3&lt;MAX($D171,$E171))*(MOD($AH$3:$CS$3-MIN($D171,$E171),MAX(1,ABS(SIGN($J171)*8+SIGN($I171))))=0)*($AH170:$CS170&lt;&gt;"")))</f>
        <v>0</v>
      </c>
      <c r="M171" s="11" t="n">
        <f aca="false">IF($K171&lt;&gt;"K",0,IFERROR(--AND($J171=0,ABS($I171)=2,$D171=IF($F171="w",5,61),IF($F171="w",$S170,$V170)=0,IF($I171=2,AND(IF($F171="w",$U170,$X170)=0,INDEX($AH170:$CS170,1,$D171+1)&amp;""="",INDEX($AH170:$CS170,1,$D171+2)&amp;""=""),AND(IF($F171="w",$T170,$W170)=0,INDEX($AH170:$CS170,1,$D171-1)&amp;""="",INDEX($AH170:$CS170,1,$D171-2)&amp;""="",INDEX($AH170:$CS170,1,$D171-3)&amp;""=""))),0))</f>
        <v>0</v>
      </c>
      <c r="N171" s="11" t="n">
        <f aca="false">IF($K171&lt;&gt;"P",0,IFERROR(--OR(AND($I171=0,$J171=IF($F171="w",1,-1),$H171=""),AND($I171=0,$J171=2*IF($F171="w",1,-1),$H171="",INT(($D171-1)/8)=IF($F171="w",1,6),INDEX($AH170:$CS170,1,MAX(1,MIN(64,$D171+8*IF($F171="w",1,-1))))&amp;""=""),AND(ABS($I171)=1,$J171=IF($F171="w",1,-1),$H171&lt;&gt;""),AND(ABS($I171)=1,$J171=IF($F171="w",1,-1),$H171="",$R170&gt;0,$E171=$R170)),0))</f>
        <v>0</v>
      </c>
      <c r="O171" s="11" t="n">
        <f aca="false">IF(OR($D171=0,$E171=0,$G171=""),0,IF($K171="N",--OR(AND(ABS($I171)=1,ABS($J171)=2),AND(ABS($I171)=2,ABS($J171)=1)),IF($K171="B",--AND(ABS($I171)=ABS($J171),$I171&lt;&gt;0,$L171=0),IF($K171="R",--AND(OR($I171=0,$J171=0),OR($I171&lt;&gt;0,$J171&lt;&gt;0),$L171=0),IF($K171="Q",--AND(OR(AND(ABS($I171)=ABS($J171),$I171&lt;&gt;0),AND(OR($I171=0,$J171=0),OR($I171&lt;&gt;0,$J171&lt;&gt;0))),$L171=0),IF($K171="K",--OR(MAX(ABS($I171),ABS($J171))=1,$M171=1),$N171))))))</f>
        <v>0</v>
      </c>
      <c r="P171" s="11" t="n">
        <f aca="false">IF($Q171="OK",1,0)</f>
        <v>0</v>
      </c>
      <c r="Q171" s="11" t="str">
        <f aca="false">IF($B171="","",IF(OR(COUNTIF($AH170:$CS170,"wK")=0,COUNTIF($AH170:$CS170,"bK")=0),"Game is over",IF(OR($D171=0,$E171=0),"Use the format e2e4",IF($G171="","No piece on that square",IF(LEFT($G171,1)&lt;&gt;$F171,"Not your piece ("&amp;IF($F171="w","White","Black")&amp;" to move)",IF($D171=$E171,"Piece must move",IF(AND($H171&lt;&gt;"",LEFT($H171,1)=$F171),"Cannot capture your own piece",IF($O171=0,"Illegal move for that piece (or path blocked)","OK"))))))))</f>
        <v/>
      </c>
      <c r="R171" s="11" t="n">
        <f aca="false">IF($P171=1,IF(AND($K171="P",ABS($J171)=2),($D171+$E171)/2,0),$R170)</f>
        <v>0</v>
      </c>
      <c r="S171" s="12" t="b">
        <f aca="false">--OR($S170=1,AND($P171=1,OR($D171=5,$E171=5)))</f>
        <v>0</v>
      </c>
      <c r="T171" s="12" t="b">
        <f aca="false">--OR($T170=1,AND($P171=1,OR($D171=1,$E171=1)))</f>
        <v>0</v>
      </c>
      <c r="U171" s="12" t="b">
        <f aca="false">--OR($U170=1,AND($P171=1,OR($D171=8,$E171=8)))</f>
        <v>0</v>
      </c>
      <c r="V171" s="12" t="b">
        <f aca="false">--OR($V170=1,AND($P171=1,OR($D171=61,$E171=61)))</f>
        <v>0</v>
      </c>
      <c r="W171" s="12" t="b">
        <f aca="false">--OR($W170=1,AND($P171=1,OR($D171=57,$E171=57)))</f>
        <v>0</v>
      </c>
      <c r="X171" s="12" t="b">
        <f aca="false">--OR($X170=1,AND($P171=1,OR($D171=64,$E171=64)))</f>
        <v>0</v>
      </c>
      <c r="Y171" s="12" t="b">
        <f aca="false">--AND($P171=1,$K171="K",ABS($I171)=2)</f>
        <v>0</v>
      </c>
      <c r="Z171" s="12" t="b">
        <f aca="false">--AND($P171=1,$K171="P",ABS($I171)=1,$H171="")</f>
        <v>0</v>
      </c>
      <c r="AA171" s="12" t="b">
        <f aca="false">--AND($P171=1,$K171="P",INT(($E171-1)/8)=IF($F171="w",7,0))</f>
        <v>0</v>
      </c>
      <c r="AB171" s="11" t="str">
        <f aca="false">IF(LEN($C171)&gt;=5,IF(ISNUMBER(FIND(MID($C171,5,1),"qrbn")),UPPER(MID($C171,5,1)),"Q"),"Q")</f>
        <v>Q</v>
      </c>
      <c r="AC171" s="11" t="n">
        <f aca="false">IF($Y171=1,IF($I171=2,$D171+3,$D171-4),0)</f>
        <v>0</v>
      </c>
      <c r="AD171" s="11" t="n">
        <f aca="false">IF($Y171=1,IF($I171=2,$D171+1,$D171-1),0)</f>
        <v>0</v>
      </c>
      <c r="AE171" s="11" t="n">
        <f aca="false">IF($Z171=1,$E171-8*IF($F171="w",1,-1),0)</f>
        <v>0</v>
      </c>
      <c r="AF171" s="11" t="str">
        <f aca="false">IF($B171="","",IF($P171=1,LOWER(INDEX($CV$2:$CV$13,MATCH($G171,$CU$2:$CU$13,0)))&amp;" "&amp;MID("abcdefgh",MOD($D171-1,8)+1,1)&amp;(INT(($D171-1)/8)+1)&amp;"→"&amp;MID("abcdefgh",MOD($E171-1,8)+1,1)&amp;(INT(($E171-1)/8)+1)&amp;IF(OR($H171&lt;&gt;"",$Z171=1)," ×","")&amp;IF($Y171=1," castles","")&amp;IF($Z171=1," e.p.","")&amp;IF($AA171=1," =" &amp;LOWER(INDEX($CV$2:$CV$13,MATCH($F171&amp;$AB171,$CU$2:$CU$13,0))),""),"X "&amp;$Q171))</f>
        <v/>
      </c>
      <c r="AG171" s="11"/>
      <c r="AH171" s="11" t="str">
        <f aca="false">IF($P171=0,AH170,IF(AH$3=$E171,IF($AA171=1,$F171&amp;$AB171,$G171),IF(OR(AH$3=$D171,AH$3=$AC171,AH$3=$AE171),"",IF(AH$3=$AD171,$F171&amp;"R",AH170))))</f>
        <v>wR</v>
      </c>
      <c r="AI171" s="11" t="str">
        <f aca="false">IF($P171=0,AI170,IF(AI$3=$E171,IF($AA171=1,$F171&amp;$AB171,$G171),IF(OR(AI$3=$D171,AI$3=$AC171,AI$3=$AE171),"",IF(AI$3=$AD171,$F171&amp;"R",AI170))))</f>
        <v>wN</v>
      </c>
      <c r="AJ171" s="11" t="str">
        <f aca="false">IF($P171=0,AJ170,IF(AJ$3=$E171,IF($AA171=1,$F171&amp;$AB171,$G171),IF(OR(AJ$3=$D171,AJ$3=$AC171,AJ$3=$AE171),"",IF(AJ$3=$AD171,$F171&amp;"R",AJ170))))</f>
        <v>wB</v>
      </c>
      <c r="AK171" s="11" t="str">
        <f aca="false">IF($P171=0,AK170,IF(AK$3=$E171,IF($AA171=1,$F171&amp;$AB171,$G171),IF(OR(AK$3=$D171,AK$3=$AC171,AK$3=$AE171),"",IF(AK$3=$AD171,$F171&amp;"R",AK170))))</f>
        <v>wQ</v>
      </c>
      <c r="AL171" s="11" t="str">
        <f aca="false">IF($P171=0,AL170,IF(AL$3=$E171,IF($AA171=1,$F171&amp;$AB171,$G171),IF(OR(AL$3=$D171,AL$3=$AC171,AL$3=$AE171),"",IF(AL$3=$AD171,$F171&amp;"R",AL170))))</f>
        <v>wK</v>
      </c>
      <c r="AM171" s="11" t="str">
        <f aca="false">IF($P171=0,AM170,IF(AM$3=$E171,IF($AA171=1,$F171&amp;$AB171,$G171),IF(OR(AM$3=$D171,AM$3=$AC171,AM$3=$AE171),"",IF(AM$3=$AD171,$F171&amp;"R",AM170))))</f>
        <v>wB</v>
      </c>
      <c r="AN171" s="11" t="str">
        <f aca="false">IF($P171=0,AN170,IF(AN$3=$E171,IF($AA171=1,$F171&amp;$AB171,$G171),IF(OR(AN$3=$D171,AN$3=$AC171,AN$3=$AE171),"",IF(AN$3=$AD171,$F171&amp;"R",AN170))))</f>
        <v>wN</v>
      </c>
      <c r="AO171" s="11" t="str">
        <f aca="false">IF($P171=0,AO170,IF(AO$3=$E171,IF($AA171=1,$F171&amp;$AB171,$G171),IF(OR(AO$3=$D171,AO$3=$AC171,AO$3=$AE171),"",IF(AO$3=$AD171,$F171&amp;"R",AO170))))</f>
        <v>wR</v>
      </c>
      <c r="AP171" s="11" t="str">
        <f aca="false">IF($P171=0,AP170,IF(AP$3=$E171,IF($AA171=1,$F171&amp;$AB171,$G171),IF(OR(AP$3=$D171,AP$3=$AC171,AP$3=$AE171),"",IF(AP$3=$AD171,$F171&amp;"R",AP170))))</f>
        <v>wP</v>
      </c>
      <c r="AQ171" s="11" t="str">
        <f aca="false">IF($P171=0,AQ170,IF(AQ$3=$E171,IF($AA171=1,$F171&amp;$AB171,$G171),IF(OR(AQ$3=$D171,AQ$3=$AC171,AQ$3=$AE171),"",IF(AQ$3=$AD171,$F171&amp;"R",AQ170))))</f>
        <v>wP</v>
      </c>
      <c r="AR171" s="11" t="str">
        <f aca="false">IF($P171=0,AR170,IF(AR$3=$E171,IF($AA171=1,$F171&amp;$AB171,$G171),IF(OR(AR$3=$D171,AR$3=$AC171,AR$3=$AE171),"",IF(AR$3=$AD171,$F171&amp;"R",AR170))))</f>
        <v>wP</v>
      </c>
      <c r="AS171" s="11" t="str">
        <f aca="false">IF($P171=0,AS170,IF(AS$3=$E171,IF($AA171=1,$F171&amp;$AB171,$G171),IF(OR(AS$3=$D171,AS$3=$AC171,AS$3=$AE171),"",IF(AS$3=$AD171,$F171&amp;"R",AS170))))</f>
        <v>wP</v>
      </c>
      <c r="AT171" s="11" t="str">
        <f aca="false">IF($P171=0,AT170,IF(AT$3=$E171,IF($AA171=1,$F171&amp;$AB171,$G171),IF(OR(AT$3=$D171,AT$3=$AC171,AT$3=$AE171),"",IF(AT$3=$AD171,$F171&amp;"R",AT170))))</f>
        <v>wP</v>
      </c>
      <c r="AU171" s="11" t="str">
        <f aca="false">IF($P171=0,AU170,IF(AU$3=$E171,IF($AA171=1,$F171&amp;$AB171,$G171),IF(OR(AU$3=$D171,AU$3=$AC171,AU$3=$AE171),"",IF(AU$3=$AD171,$F171&amp;"R",AU170))))</f>
        <v>wP</v>
      </c>
      <c r="AV171" s="11" t="str">
        <f aca="false">IF($P171=0,AV170,IF(AV$3=$E171,IF($AA171=1,$F171&amp;$AB171,$G171),IF(OR(AV$3=$D171,AV$3=$AC171,AV$3=$AE171),"",IF(AV$3=$AD171,$F171&amp;"R",AV170))))</f>
        <v>wP</v>
      </c>
      <c r="AW171" s="11" t="str">
        <f aca="false">IF($P171=0,AW170,IF(AW$3=$E171,IF($AA171=1,$F171&amp;$AB171,$G171),IF(OR(AW$3=$D171,AW$3=$AC171,AW$3=$AE171),"",IF(AW$3=$AD171,$F171&amp;"R",AW170))))</f>
        <v>wP</v>
      </c>
      <c r="AX171" s="11" t="str">
        <f aca="false">IF($P171=0,AX170,IF(AX$3=$E171,IF($AA171=1,$F171&amp;$AB171,$G171),IF(OR(AX$3=$D171,AX$3=$AC171,AX$3=$AE171),"",IF(AX$3=$AD171,$F171&amp;"R",AX170))))</f>
        <v/>
      </c>
      <c r="AY171" s="11" t="str">
        <f aca="false">IF($P171=0,AY170,IF(AY$3=$E171,IF($AA171=1,$F171&amp;$AB171,$G171),IF(OR(AY$3=$D171,AY$3=$AC171,AY$3=$AE171),"",IF(AY$3=$AD171,$F171&amp;"R",AY170))))</f>
        <v/>
      </c>
      <c r="AZ171" s="11" t="str">
        <f aca="false">IF($P171=0,AZ170,IF(AZ$3=$E171,IF($AA171=1,$F171&amp;$AB171,$G171),IF(OR(AZ$3=$D171,AZ$3=$AC171,AZ$3=$AE171),"",IF(AZ$3=$AD171,$F171&amp;"R",AZ170))))</f>
        <v/>
      </c>
      <c r="BA171" s="11" t="str">
        <f aca="false">IF($P171=0,BA170,IF(BA$3=$E171,IF($AA171=1,$F171&amp;$AB171,$G171),IF(OR(BA$3=$D171,BA$3=$AC171,BA$3=$AE171),"",IF(BA$3=$AD171,$F171&amp;"R",BA170))))</f>
        <v/>
      </c>
      <c r="BB171" s="11" t="str">
        <f aca="false">IF($P171=0,BB170,IF(BB$3=$E171,IF($AA171=1,$F171&amp;$AB171,$G171),IF(OR(BB$3=$D171,BB$3=$AC171,BB$3=$AE171),"",IF(BB$3=$AD171,$F171&amp;"R",BB170))))</f>
        <v/>
      </c>
      <c r="BC171" s="11" t="str">
        <f aca="false">IF($P171=0,BC170,IF(BC$3=$E171,IF($AA171=1,$F171&amp;$AB171,$G171),IF(OR(BC$3=$D171,BC$3=$AC171,BC$3=$AE171),"",IF(BC$3=$AD171,$F171&amp;"R",BC170))))</f>
        <v/>
      </c>
      <c r="BD171" s="11" t="str">
        <f aca="false">IF($P171=0,BD170,IF(BD$3=$E171,IF($AA171=1,$F171&amp;$AB171,$G171),IF(OR(BD$3=$D171,BD$3=$AC171,BD$3=$AE171),"",IF(BD$3=$AD171,$F171&amp;"R",BD170))))</f>
        <v/>
      </c>
      <c r="BE171" s="11" t="str">
        <f aca="false">IF($P171=0,BE170,IF(BE$3=$E171,IF($AA171=1,$F171&amp;$AB171,$G171),IF(OR(BE$3=$D171,BE$3=$AC171,BE$3=$AE171),"",IF(BE$3=$AD171,$F171&amp;"R",BE170))))</f>
        <v/>
      </c>
      <c r="BF171" s="11" t="str">
        <f aca="false">IF($P171=0,BF170,IF(BF$3=$E171,IF($AA171=1,$F171&amp;$AB171,$G171),IF(OR(BF$3=$D171,BF$3=$AC171,BF$3=$AE171),"",IF(BF$3=$AD171,$F171&amp;"R",BF170))))</f>
        <v/>
      </c>
      <c r="BG171" s="11" t="str">
        <f aca="false">IF($P171=0,BG170,IF(BG$3=$E171,IF($AA171=1,$F171&amp;$AB171,$G171),IF(OR(BG$3=$D171,BG$3=$AC171,BG$3=$AE171),"",IF(BG$3=$AD171,$F171&amp;"R",BG170))))</f>
        <v/>
      </c>
      <c r="BH171" s="11" t="str">
        <f aca="false">IF($P171=0,BH170,IF(BH$3=$E171,IF($AA171=1,$F171&amp;$AB171,$G171),IF(OR(BH$3=$D171,BH$3=$AC171,BH$3=$AE171),"",IF(BH$3=$AD171,$F171&amp;"R",BH170))))</f>
        <v/>
      </c>
      <c r="BI171" s="11" t="str">
        <f aca="false">IF($P171=0,BI170,IF(BI$3=$E171,IF($AA171=1,$F171&amp;$AB171,$G171),IF(OR(BI$3=$D171,BI$3=$AC171,BI$3=$AE171),"",IF(BI$3=$AD171,$F171&amp;"R",BI170))))</f>
        <v/>
      </c>
      <c r="BJ171" s="11" t="str">
        <f aca="false">IF($P171=0,BJ170,IF(BJ$3=$E171,IF($AA171=1,$F171&amp;$AB171,$G171),IF(OR(BJ$3=$D171,BJ$3=$AC171,BJ$3=$AE171),"",IF(BJ$3=$AD171,$F171&amp;"R",BJ170))))</f>
        <v/>
      </c>
      <c r="BK171" s="11" t="str">
        <f aca="false">IF($P171=0,BK170,IF(BK$3=$E171,IF($AA171=1,$F171&amp;$AB171,$G171),IF(OR(BK$3=$D171,BK$3=$AC171,BK$3=$AE171),"",IF(BK$3=$AD171,$F171&amp;"R",BK170))))</f>
        <v/>
      </c>
      <c r="BL171" s="11" t="str">
        <f aca="false">IF($P171=0,BL170,IF(BL$3=$E171,IF($AA171=1,$F171&amp;$AB171,$G171),IF(OR(BL$3=$D171,BL$3=$AC171,BL$3=$AE171),"",IF(BL$3=$AD171,$F171&amp;"R",BL170))))</f>
        <v/>
      </c>
      <c r="BM171" s="11" t="str">
        <f aca="false">IF($P171=0,BM170,IF(BM$3=$E171,IF($AA171=1,$F171&amp;$AB171,$G171),IF(OR(BM$3=$D171,BM$3=$AC171,BM$3=$AE171),"",IF(BM$3=$AD171,$F171&amp;"R",BM170))))</f>
        <v/>
      </c>
      <c r="BN171" s="11" t="str">
        <f aca="false">IF($P171=0,BN170,IF(BN$3=$E171,IF($AA171=1,$F171&amp;$AB171,$G171),IF(OR(BN$3=$D171,BN$3=$AC171,BN$3=$AE171),"",IF(BN$3=$AD171,$F171&amp;"R",BN170))))</f>
        <v/>
      </c>
      <c r="BO171" s="11" t="str">
        <f aca="false">IF($P171=0,BO170,IF(BO$3=$E171,IF($AA171=1,$F171&amp;$AB171,$G171),IF(OR(BO$3=$D171,BO$3=$AC171,BO$3=$AE171),"",IF(BO$3=$AD171,$F171&amp;"R",BO170))))</f>
        <v/>
      </c>
      <c r="BP171" s="11" t="str">
        <f aca="false">IF($P171=0,BP170,IF(BP$3=$E171,IF($AA171=1,$F171&amp;$AB171,$G171),IF(OR(BP$3=$D171,BP$3=$AC171,BP$3=$AE171),"",IF(BP$3=$AD171,$F171&amp;"R",BP170))))</f>
        <v/>
      </c>
      <c r="BQ171" s="11" t="str">
        <f aca="false">IF($P171=0,BQ170,IF(BQ$3=$E171,IF($AA171=1,$F171&amp;$AB171,$G171),IF(OR(BQ$3=$D171,BQ$3=$AC171,BQ$3=$AE171),"",IF(BQ$3=$AD171,$F171&amp;"R",BQ170))))</f>
        <v/>
      </c>
      <c r="BR171" s="11" t="str">
        <f aca="false">IF($P171=0,BR170,IF(BR$3=$E171,IF($AA171=1,$F171&amp;$AB171,$G171),IF(OR(BR$3=$D171,BR$3=$AC171,BR$3=$AE171),"",IF(BR$3=$AD171,$F171&amp;"R",BR170))))</f>
        <v/>
      </c>
      <c r="BS171" s="11" t="str">
        <f aca="false">IF($P171=0,BS170,IF(BS$3=$E171,IF($AA171=1,$F171&amp;$AB171,$G171),IF(OR(BS$3=$D171,BS$3=$AC171,BS$3=$AE171),"",IF(BS$3=$AD171,$F171&amp;"R",BS170))))</f>
        <v/>
      </c>
      <c r="BT171" s="11" t="str">
        <f aca="false">IF($P171=0,BT170,IF(BT$3=$E171,IF($AA171=1,$F171&amp;$AB171,$G171),IF(OR(BT$3=$D171,BT$3=$AC171,BT$3=$AE171),"",IF(BT$3=$AD171,$F171&amp;"R",BT170))))</f>
        <v/>
      </c>
      <c r="BU171" s="11" t="str">
        <f aca="false">IF($P171=0,BU170,IF(BU$3=$E171,IF($AA171=1,$F171&amp;$AB171,$G171),IF(OR(BU$3=$D171,BU$3=$AC171,BU$3=$AE171),"",IF(BU$3=$AD171,$F171&amp;"R",BU170))))</f>
        <v/>
      </c>
      <c r="BV171" s="11" t="str">
        <f aca="false">IF($P171=0,BV170,IF(BV$3=$E171,IF($AA171=1,$F171&amp;$AB171,$G171),IF(OR(BV$3=$D171,BV$3=$AC171,BV$3=$AE171),"",IF(BV$3=$AD171,$F171&amp;"R",BV170))))</f>
        <v/>
      </c>
      <c r="BW171" s="11" t="str">
        <f aca="false">IF($P171=0,BW170,IF(BW$3=$E171,IF($AA171=1,$F171&amp;$AB171,$G171),IF(OR(BW$3=$D171,BW$3=$AC171,BW$3=$AE171),"",IF(BW$3=$AD171,$F171&amp;"R",BW170))))</f>
        <v/>
      </c>
      <c r="BX171" s="11" t="str">
        <f aca="false">IF($P171=0,BX170,IF(BX$3=$E171,IF($AA171=1,$F171&amp;$AB171,$G171),IF(OR(BX$3=$D171,BX$3=$AC171,BX$3=$AE171),"",IF(BX$3=$AD171,$F171&amp;"R",BX170))))</f>
        <v/>
      </c>
      <c r="BY171" s="11" t="str">
        <f aca="false">IF($P171=0,BY170,IF(BY$3=$E171,IF($AA171=1,$F171&amp;$AB171,$G171),IF(OR(BY$3=$D171,BY$3=$AC171,BY$3=$AE171),"",IF(BY$3=$AD171,$F171&amp;"R",BY170))))</f>
        <v/>
      </c>
      <c r="BZ171" s="11" t="str">
        <f aca="false">IF($P171=0,BZ170,IF(BZ$3=$E171,IF($AA171=1,$F171&amp;$AB171,$G171),IF(OR(BZ$3=$D171,BZ$3=$AC171,BZ$3=$AE171),"",IF(BZ$3=$AD171,$F171&amp;"R",BZ170))))</f>
        <v/>
      </c>
      <c r="CA171" s="11" t="str">
        <f aca="false">IF($P171=0,CA170,IF(CA$3=$E171,IF($AA171=1,$F171&amp;$AB171,$G171),IF(OR(CA$3=$D171,CA$3=$AC171,CA$3=$AE171),"",IF(CA$3=$AD171,$F171&amp;"R",CA170))))</f>
        <v/>
      </c>
      <c r="CB171" s="11" t="str">
        <f aca="false">IF($P171=0,CB170,IF(CB$3=$E171,IF($AA171=1,$F171&amp;$AB171,$G171),IF(OR(CB$3=$D171,CB$3=$AC171,CB$3=$AE171),"",IF(CB$3=$AD171,$F171&amp;"R",CB170))))</f>
        <v/>
      </c>
      <c r="CC171" s="11" t="str">
        <f aca="false">IF($P171=0,CC170,IF(CC$3=$E171,IF($AA171=1,$F171&amp;$AB171,$G171),IF(OR(CC$3=$D171,CC$3=$AC171,CC$3=$AE171),"",IF(CC$3=$AD171,$F171&amp;"R",CC170))))</f>
        <v/>
      </c>
      <c r="CD171" s="11" t="str">
        <f aca="false">IF($P171=0,CD170,IF(CD$3=$E171,IF($AA171=1,$F171&amp;$AB171,$G171),IF(OR(CD$3=$D171,CD$3=$AC171,CD$3=$AE171),"",IF(CD$3=$AD171,$F171&amp;"R",CD170))))</f>
        <v>bP</v>
      </c>
      <c r="CE171" s="11" t="str">
        <f aca="false">IF($P171=0,CE170,IF(CE$3=$E171,IF($AA171=1,$F171&amp;$AB171,$G171),IF(OR(CE$3=$D171,CE$3=$AC171,CE$3=$AE171),"",IF(CE$3=$AD171,$F171&amp;"R",CE170))))</f>
        <v>bP</v>
      </c>
      <c r="CF171" s="11" t="str">
        <f aca="false">IF($P171=0,CF170,IF(CF$3=$E171,IF($AA171=1,$F171&amp;$AB171,$G171),IF(OR(CF$3=$D171,CF$3=$AC171,CF$3=$AE171),"",IF(CF$3=$AD171,$F171&amp;"R",CF170))))</f>
        <v>bP</v>
      </c>
      <c r="CG171" s="11" t="str">
        <f aca="false">IF($P171=0,CG170,IF(CG$3=$E171,IF($AA171=1,$F171&amp;$AB171,$G171),IF(OR(CG$3=$D171,CG$3=$AC171,CG$3=$AE171),"",IF(CG$3=$AD171,$F171&amp;"R",CG170))))</f>
        <v>bP</v>
      </c>
      <c r="CH171" s="11" t="str">
        <f aca="false">IF($P171=0,CH170,IF(CH$3=$E171,IF($AA171=1,$F171&amp;$AB171,$G171),IF(OR(CH$3=$D171,CH$3=$AC171,CH$3=$AE171),"",IF(CH$3=$AD171,$F171&amp;"R",CH170))))</f>
        <v>bP</v>
      </c>
      <c r="CI171" s="11" t="str">
        <f aca="false">IF($P171=0,CI170,IF(CI$3=$E171,IF($AA171=1,$F171&amp;$AB171,$G171),IF(OR(CI$3=$D171,CI$3=$AC171,CI$3=$AE171),"",IF(CI$3=$AD171,$F171&amp;"R",CI170))))</f>
        <v>bP</v>
      </c>
      <c r="CJ171" s="11" t="str">
        <f aca="false">IF($P171=0,CJ170,IF(CJ$3=$E171,IF($AA171=1,$F171&amp;$AB171,$G171),IF(OR(CJ$3=$D171,CJ$3=$AC171,CJ$3=$AE171),"",IF(CJ$3=$AD171,$F171&amp;"R",CJ170))))</f>
        <v>bP</v>
      </c>
      <c r="CK171" s="11" t="str">
        <f aca="false">IF($P171=0,CK170,IF(CK$3=$E171,IF($AA171=1,$F171&amp;$AB171,$G171),IF(OR(CK$3=$D171,CK$3=$AC171,CK$3=$AE171),"",IF(CK$3=$AD171,$F171&amp;"R",CK170))))</f>
        <v>bP</v>
      </c>
      <c r="CL171" s="11" t="str">
        <f aca="false">IF($P171=0,CL170,IF(CL$3=$E171,IF($AA171=1,$F171&amp;$AB171,$G171),IF(OR(CL$3=$D171,CL$3=$AC171,CL$3=$AE171),"",IF(CL$3=$AD171,$F171&amp;"R",CL170))))</f>
        <v>bR</v>
      </c>
      <c r="CM171" s="11" t="str">
        <f aca="false">IF($P171=0,CM170,IF(CM$3=$E171,IF($AA171=1,$F171&amp;$AB171,$G171),IF(OR(CM$3=$D171,CM$3=$AC171,CM$3=$AE171),"",IF(CM$3=$AD171,$F171&amp;"R",CM170))))</f>
        <v>bN</v>
      </c>
      <c r="CN171" s="11" t="str">
        <f aca="false">IF($P171=0,CN170,IF(CN$3=$E171,IF($AA171=1,$F171&amp;$AB171,$G171),IF(OR(CN$3=$D171,CN$3=$AC171,CN$3=$AE171),"",IF(CN$3=$AD171,$F171&amp;"R",CN170))))</f>
        <v>bB</v>
      </c>
      <c r="CO171" s="11" t="str">
        <f aca="false">IF($P171=0,CO170,IF(CO$3=$E171,IF($AA171=1,$F171&amp;$AB171,$G171),IF(OR(CO$3=$D171,CO$3=$AC171,CO$3=$AE171),"",IF(CO$3=$AD171,$F171&amp;"R",CO170))))</f>
        <v>bQ</v>
      </c>
      <c r="CP171" s="11" t="str">
        <f aca="false">IF($P171=0,CP170,IF(CP$3=$E171,IF($AA171=1,$F171&amp;$AB171,$G171),IF(OR(CP$3=$D171,CP$3=$AC171,CP$3=$AE171),"",IF(CP$3=$AD171,$F171&amp;"R",CP170))))</f>
        <v>bK</v>
      </c>
      <c r="CQ171" s="11" t="str">
        <f aca="false">IF($P171=0,CQ170,IF(CQ$3=$E171,IF($AA171=1,$F171&amp;$AB171,$G171),IF(OR(CQ$3=$D171,CQ$3=$AC171,CQ$3=$AE171),"",IF(CQ$3=$AD171,$F171&amp;"R",CQ170))))</f>
        <v>bB</v>
      </c>
      <c r="CR171" s="11" t="str">
        <f aca="false">IF($P171=0,CR170,IF(CR$3=$E171,IF($AA171=1,$F171&amp;$AB171,$G171),IF(OR(CR$3=$D171,CR$3=$AC171,CR$3=$AE171),"",IF(CR$3=$AD171,$F171&amp;"R",CR170))))</f>
        <v>bN</v>
      </c>
      <c r="CS171" s="11" t="str">
        <f aca="false">IF($P171=0,CS170,IF(CS$3=$E171,IF($AA171=1,$F171&amp;$AB171,$G171),IF(OR(CS$3=$D171,CS$3=$AC171,CS$3=$AE171),"",IF(CS$3=$AD171,$F171&amp;"R",CS170))))</f>
        <v>bR</v>
      </c>
      <c r="CT171" s="11"/>
      <c r="CU171" s="11"/>
      <c r="CV171" s="11"/>
    </row>
    <row r="172" customFormat="false" ht="15" hidden="false" customHeight="false" outlineLevel="0" collapsed="false">
      <c r="A172" s="11" t="n">
        <v>167</v>
      </c>
      <c r="B172" s="11" t="str">
        <f aca="false">IF(Chess!$L$176="","",Chess!$L$176&amp;"")</f>
        <v/>
      </c>
      <c r="C172" s="11" t="str">
        <f aca="false">LOWER(SUBSTITUTE(SUBSTITUTE(SUBSTITUTE(SUBSTITUTE(TRIM($B172),"-",""),"=","")," ",""),"x",""))</f>
        <v/>
      </c>
      <c r="D172" s="11" t="n">
        <f aca="false">IF(LEN($C172)&lt;4,0,IFERROR(IF(AND(CODE(MID($C172,1,1))&gt;=97,CODE(MID($C172,1,1))&lt;=104,VALUE(MID($C172,2,1))&gt;=1,VALUE(MID($C172,2,1))&lt;=8),(VALUE(MID($C172,2,1))-1)*8+CODE(MID($C172,1,1))-96,0),0))</f>
        <v>0</v>
      </c>
      <c r="E172" s="11" t="n">
        <f aca="false">IF(LEN($C172)&lt;4,0,IFERROR(IF(AND(CODE(MID($C172,3,1))&gt;=97,CODE(MID($C172,3,1))&lt;=104,VALUE(MID($C172,4,1))&gt;=1,VALUE(MID($C172,4,1))&lt;=8),(VALUE(MID($C172,4,1))-1)*8+CODE(MID($C172,3,1))-96,0),0))</f>
        <v>0</v>
      </c>
      <c r="F172" s="11" t="str">
        <f aca="false">IF(MOD(SUM($P$5:$P171),2)=0,"w","b")</f>
        <v>w</v>
      </c>
      <c r="G172" s="11" t="str">
        <f aca="false">IF($D172=0,"",INDEX($AH171:$CS171,1,$D172)&amp;"")</f>
        <v/>
      </c>
      <c r="H172" s="11" t="str">
        <f aca="false">IF($E172=0,"",INDEX($AH171:$CS171,1,$E172)&amp;"")</f>
        <v/>
      </c>
      <c r="I172" s="11" t="n">
        <f aca="false">IF(OR($D172=0,$E172=0),0,MOD($E172-1,8)-MOD($D172-1,8))</f>
        <v>0</v>
      </c>
      <c r="J172" s="11" t="n">
        <f aca="false">IF(OR($D172=0,$E172=0),0,INT(($E172-1)/8)-INT(($D172-1)/8))</f>
        <v>0</v>
      </c>
      <c r="K172" s="11" t="str">
        <f aca="false">IF($G172="","",RIGHT($G172,1))</f>
        <v/>
      </c>
      <c r="L172" s="11" t="n">
        <f aca="false">IF(OR($D172=0,$E172=0),0,SUMPRODUCT(($AH$3:$CS$3&gt;MIN($D172,$E172))*($AH$3:$CS$3&lt;MAX($D172,$E172))*(MOD($AH$3:$CS$3-MIN($D172,$E172),MAX(1,ABS(SIGN($J172)*8+SIGN($I172))))=0)*($AH171:$CS171&lt;&gt;"")))</f>
        <v>0</v>
      </c>
      <c r="M172" s="11" t="n">
        <f aca="false">IF($K172&lt;&gt;"K",0,IFERROR(--AND($J172=0,ABS($I172)=2,$D172=IF($F172="w",5,61),IF($F172="w",$S171,$V171)=0,IF($I172=2,AND(IF($F172="w",$U171,$X171)=0,INDEX($AH171:$CS171,1,$D172+1)&amp;""="",INDEX($AH171:$CS171,1,$D172+2)&amp;""=""),AND(IF($F172="w",$T171,$W171)=0,INDEX($AH171:$CS171,1,$D172-1)&amp;""="",INDEX($AH171:$CS171,1,$D172-2)&amp;""="",INDEX($AH171:$CS171,1,$D172-3)&amp;""=""))),0))</f>
        <v>0</v>
      </c>
      <c r="N172" s="11" t="n">
        <f aca="false">IF($K172&lt;&gt;"P",0,IFERROR(--OR(AND($I172=0,$J172=IF($F172="w",1,-1),$H172=""),AND($I172=0,$J172=2*IF($F172="w",1,-1),$H172="",INT(($D172-1)/8)=IF($F172="w",1,6),INDEX($AH171:$CS171,1,MAX(1,MIN(64,$D172+8*IF($F172="w",1,-1))))&amp;""=""),AND(ABS($I172)=1,$J172=IF($F172="w",1,-1),$H172&lt;&gt;""),AND(ABS($I172)=1,$J172=IF($F172="w",1,-1),$H172="",$R171&gt;0,$E172=$R171)),0))</f>
        <v>0</v>
      </c>
      <c r="O172" s="11" t="n">
        <f aca="false">IF(OR($D172=0,$E172=0,$G172=""),0,IF($K172="N",--OR(AND(ABS($I172)=1,ABS($J172)=2),AND(ABS($I172)=2,ABS($J172)=1)),IF($K172="B",--AND(ABS($I172)=ABS($J172),$I172&lt;&gt;0,$L172=0),IF($K172="R",--AND(OR($I172=0,$J172=0),OR($I172&lt;&gt;0,$J172&lt;&gt;0),$L172=0),IF($K172="Q",--AND(OR(AND(ABS($I172)=ABS($J172),$I172&lt;&gt;0),AND(OR($I172=0,$J172=0),OR($I172&lt;&gt;0,$J172&lt;&gt;0))),$L172=0),IF($K172="K",--OR(MAX(ABS($I172),ABS($J172))=1,$M172=1),$N172))))))</f>
        <v>0</v>
      </c>
      <c r="P172" s="11" t="n">
        <f aca="false">IF($Q172="OK",1,0)</f>
        <v>0</v>
      </c>
      <c r="Q172" s="11" t="str">
        <f aca="false">IF($B172="","",IF(OR(COUNTIF($AH171:$CS171,"wK")=0,COUNTIF($AH171:$CS171,"bK")=0),"Game is over",IF(OR($D172=0,$E172=0),"Use the format e2e4",IF($G172="","No piece on that square",IF(LEFT($G172,1)&lt;&gt;$F172,"Not your piece ("&amp;IF($F172="w","White","Black")&amp;" to move)",IF($D172=$E172,"Piece must move",IF(AND($H172&lt;&gt;"",LEFT($H172,1)=$F172),"Cannot capture your own piece",IF($O172=0,"Illegal move for that piece (or path blocked)","OK"))))))))</f>
        <v/>
      </c>
      <c r="R172" s="11" t="n">
        <f aca="false">IF($P172=1,IF(AND($K172="P",ABS($J172)=2),($D172+$E172)/2,0),$R171)</f>
        <v>0</v>
      </c>
      <c r="S172" s="12" t="b">
        <f aca="false">--OR($S171=1,AND($P172=1,OR($D172=5,$E172=5)))</f>
        <v>0</v>
      </c>
      <c r="T172" s="12" t="b">
        <f aca="false">--OR($T171=1,AND($P172=1,OR($D172=1,$E172=1)))</f>
        <v>0</v>
      </c>
      <c r="U172" s="12" t="b">
        <f aca="false">--OR($U171=1,AND($P172=1,OR($D172=8,$E172=8)))</f>
        <v>0</v>
      </c>
      <c r="V172" s="12" t="b">
        <f aca="false">--OR($V171=1,AND($P172=1,OR($D172=61,$E172=61)))</f>
        <v>0</v>
      </c>
      <c r="W172" s="12" t="b">
        <f aca="false">--OR($W171=1,AND($P172=1,OR($D172=57,$E172=57)))</f>
        <v>0</v>
      </c>
      <c r="X172" s="12" t="b">
        <f aca="false">--OR($X171=1,AND($P172=1,OR($D172=64,$E172=64)))</f>
        <v>0</v>
      </c>
      <c r="Y172" s="12" t="b">
        <f aca="false">--AND($P172=1,$K172="K",ABS($I172)=2)</f>
        <v>0</v>
      </c>
      <c r="Z172" s="12" t="b">
        <f aca="false">--AND($P172=1,$K172="P",ABS($I172)=1,$H172="")</f>
        <v>0</v>
      </c>
      <c r="AA172" s="12" t="b">
        <f aca="false">--AND($P172=1,$K172="P",INT(($E172-1)/8)=IF($F172="w",7,0))</f>
        <v>0</v>
      </c>
      <c r="AB172" s="11" t="str">
        <f aca="false">IF(LEN($C172)&gt;=5,IF(ISNUMBER(FIND(MID($C172,5,1),"qrbn")),UPPER(MID($C172,5,1)),"Q"),"Q")</f>
        <v>Q</v>
      </c>
      <c r="AC172" s="11" t="n">
        <f aca="false">IF($Y172=1,IF($I172=2,$D172+3,$D172-4),0)</f>
        <v>0</v>
      </c>
      <c r="AD172" s="11" t="n">
        <f aca="false">IF($Y172=1,IF($I172=2,$D172+1,$D172-1),0)</f>
        <v>0</v>
      </c>
      <c r="AE172" s="11" t="n">
        <f aca="false">IF($Z172=1,$E172-8*IF($F172="w",1,-1),0)</f>
        <v>0</v>
      </c>
      <c r="AF172" s="11" t="str">
        <f aca="false">IF($B172="","",IF($P172=1,LOWER(INDEX($CV$2:$CV$13,MATCH($G172,$CU$2:$CU$13,0)))&amp;" "&amp;MID("abcdefgh",MOD($D172-1,8)+1,1)&amp;(INT(($D172-1)/8)+1)&amp;"→"&amp;MID("abcdefgh",MOD($E172-1,8)+1,1)&amp;(INT(($E172-1)/8)+1)&amp;IF(OR($H172&lt;&gt;"",$Z172=1)," ×","")&amp;IF($Y172=1," castles","")&amp;IF($Z172=1," e.p.","")&amp;IF($AA172=1," =" &amp;LOWER(INDEX($CV$2:$CV$13,MATCH($F172&amp;$AB172,$CU$2:$CU$13,0))),""),"X "&amp;$Q172))</f>
        <v/>
      </c>
      <c r="AG172" s="11"/>
      <c r="AH172" s="11" t="str">
        <f aca="false">IF($P172=0,AH171,IF(AH$3=$E172,IF($AA172=1,$F172&amp;$AB172,$G172),IF(OR(AH$3=$D172,AH$3=$AC172,AH$3=$AE172),"",IF(AH$3=$AD172,$F172&amp;"R",AH171))))</f>
        <v>wR</v>
      </c>
      <c r="AI172" s="11" t="str">
        <f aca="false">IF($P172=0,AI171,IF(AI$3=$E172,IF($AA172=1,$F172&amp;$AB172,$G172),IF(OR(AI$3=$D172,AI$3=$AC172,AI$3=$AE172),"",IF(AI$3=$AD172,$F172&amp;"R",AI171))))</f>
        <v>wN</v>
      </c>
      <c r="AJ172" s="11" t="str">
        <f aca="false">IF($P172=0,AJ171,IF(AJ$3=$E172,IF($AA172=1,$F172&amp;$AB172,$G172),IF(OR(AJ$3=$D172,AJ$3=$AC172,AJ$3=$AE172),"",IF(AJ$3=$AD172,$F172&amp;"R",AJ171))))</f>
        <v>wB</v>
      </c>
      <c r="AK172" s="11" t="str">
        <f aca="false">IF($P172=0,AK171,IF(AK$3=$E172,IF($AA172=1,$F172&amp;$AB172,$G172),IF(OR(AK$3=$D172,AK$3=$AC172,AK$3=$AE172),"",IF(AK$3=$AD172,$F172&amp;"R",AK171))))</f>
        <v>wQ</v>
      </c>
      <c r="AL172" s="11" t="str">
        <f aca="false">IF($P172=0,AL171,IF(AL$3=$E172,IF($AA172=1,$F172&amp;$AB172,$G172),IF(OR(AL$3=$D172,AL$3=$AC172,AL$3=$AE172),"",IF(AL$3=$AD172,$F172&amp;"R",AL171))))</f>
        <v>wK</v>
      </c>
      <c r="AM172" s="11" t="str">
        <f aca="false">IF($P172=0,AM171,IF(AM$3=$E172,IF($AA172=1,$F172&amp;$AB172,$G172),IF(OR(AM$3=$D172,AM$3=$AC172,AM$3=$AE172),"",IF(AM$3=$AD172,$F172&amp;"R",AM171))))</f>
        <v>wB</v>
      </c>
      <c r="AN172" s="11" t="str">
        <f aca="false">IF($P172=0,AN171,IF(AN$3=$E172,IF($AA172=1,$F172&amp;$AB172,$G172),IF(OR(AN$3=$D172,AN$3=$AC172,AN$3=$AE172),"",IF(AN$3=$AD172,$F172&amp;"R",AN171))))</f>
        <v>wN</v>
      </c>
      <c r="AO172" s="11" t="str">
        <f aca="false">IF($P172=0,AO171,IF(AO$3=$E172,IF($AA172=1,$F172&amp;$AB172,$G172),IF(OR(AO$3=$D172,AO$3=$AC172,AO$3=$AE172),"",IF(AO$3=$AD172,$F172&amp;"R",AO171))))</f>
        <v>wR</v>
      </c>
      <c r="AP172" s="11" t="str">
        <f aca="false">IF($P172=0,AP171,IF(AP$3=$E172,IF($AA172=1,$F172&amp;$AB172,$G172),IF(OR(AP$3=$D172,AP$3=$AC172,AP$3=$AE172),"",IF(AP$3=$AD172,$F172&amp;"R",AP171))))</f>
        <v>wP</v>
      </c>
      <c r="AQ172" s="11" t="str">
        <f aca="false">IF($P172=0,AQ171,IF(AQ$3=$E172,IF($AA172=1,$F172&amp;$AB172,$G172),IF(OR(AQ$3=$D172,AQ$3=$AC172,AQ$3=$AE172),"",IF(AQ$3=$AD172,$F172&amp;"R",AQ171))))</f>
        <v>wP</v>
      </c>
      <c r="AR172" s="11" t="str">
        <f aca="false">IF($P172=0,AR171,IF(AR$3=$E172,IF($AA172=1,$F172&amp;$AB172,$G172),IF(OR(AR$3=$D172,AR$3=$AC172,AR$3=$AE172),"",IF(AR$3=$AD172,$F172&amp;"R",AR171))))</f>
        <v>wP</v>
      </c>
      <c r="AS172" s="11" t="str">
        <f aca="false">IF($P172=0,AS171,IF(AS$3=$E172,IF($AA172=1,$F172&amp;$AB172,$G172),IF(OR(AS$3=$D172,AS$3=$AC172,AS$3=$AE172),"",IF(AS$3=$AD172,$F172&amp;"R",AS171))))</f>
        <v>wP</v>
      </c>
      <c r="AT172" s="11" t="str">
        <f aca="false">IF($P172=0,AT171,IF(AT$3=$E172,IF($AA172=1,$F172&amp;$AB172,$G172),IF(OR(AT$3=$D172,AT$3=$AC172,AT$3=$AE172),"",IF(AT$3=$AD172,$F172&amp;"R",AT171))))</f>
        <v>wP</v>
      </c>
      <c r="AU172" s="11" t="str">
        <f aca="false">IF($P172=0,AU171,IF(AU$3=$E172,IF($AA172=1,$F172&amp;$AB172,$G172),IF(OR(AU$3=$D172,AU$3=$AC172,AU$3=$AE172),"",IF(AU$3=$AD172,$F172&amp;"R",AU171))))</f>
        <v>wP</v>
      </c>
      <c r="AV172" s="11" t="str">
        <f aca="false">IF($P172=0,AV171,IF(AV$3=$E172,IF($AA172=1,$F172&amp;$AB172,$G172),IF(OR(AV$3=$D172,AV$3=$AC172,AV$3=$AE172),"",IF(AV$3=$AD172,$F172&amp;"R",AV171))))</f>
        <v>wP</v>
      </c>
      <c r="AW172" s="11" t="str">
        <f aca="false">IF($P172=0,AW171,IF(AW$3=$E172,IF($AA172=1,$F172&amp;$AB172,$G172),IF(OR(AW$3=$D172,AW$3=$AC172,AW$3=$AE172),"",IF(AW$3=$AD172,$F172&amp;"R",AW171))))</f>
        <v>wP</v>
      </c>
      <c r="AX172" s="11" t="str">
        <f aca="false">IF($P172=0,AX171,IF(AX$3=$E172,IF($AA172=1,$F172&amp;$AB172,$G172),IF(OR(AX$3=$D172,AX$3=$AC172,AX$3=$AE172),"",IF(AX$3=$AD172,$F172&amp;"R",AX171))))</f>
        <v/>
      </c>
      <c r="AY172" s="11" t="str">
        <f aca="false">IF($P172=0,AY171,IF(AY$3=$E172,IF($AA172=1,$F172&amp;$AB172,$G172),IF(OR(AY$3=$D172,AY$3=$AC172,AY$3=$AE172),"",IF(AY$3=$AD172,$F172&amp;"R",AY171))))</f>
        <v/>
      </c>
      <c r="AZ172" s="11" t="str">
        <f aca="false">IF($P172=0,AZ171,IF(AZ$3=$E172,IF($AA172=1,$F172&amp;$AB172,$G172),IF(OR(AZ$3=$D172,AZ$3=$AC172,AZ$3=$AE172),"",IF(AZ$3=$AD172,$F172&amp;"R",AZ171))))</f>
        <v/>
      </c>
      <c r="BA172" s="11" t="str">
        <f aca="false">IF($P172=0,BA171,IF(BA$3=$E172,IF($AA172=1,$F172&amp;$AB172,$G172),IF(OR(BA$3=$D172,BA$3=$AC172,BA$3=$AE172),"",IF(BA$3=$AD172,$F172&amp;"R",BA171))))</f>
        <v/>
      </c>
      <c r="BB172" s="11" t="str">
        <f aca="false">IF($P172=0,BB171,IF(BB$3=$E172,IF($AA172=1,$F172&amp;$AB172,$G172),IF(OR(BB$3=$D172,BB$3=$AC172,BB$3=$AE172),"",IF(BB$3=$AD172,$F172&amp;"R",BB171))))</f>
        <v/>
      </c>
      <c r="BC172" s="11" t="str">
        <f aca="false">IF($P172=0,BC171,IF(BC$3=$E172,IF($AA172=1,$F172&amp;$AB172,$G172),IF(OR(BC$3=$D172,BC$3=$AC172,BC$3=$AE172),"",IF(BC$3=$AD172,$F172&amp;"R",BC171))))</f>
        <v/>
      </c>
      <c r="BD172" s="11" t="str">
        <f aca="false">IF($P172=0,BD171,IF(BD$3=$E172,IF($AA172=1,$F172&amp;$AB172,$G172),IF(OR(BD$3=$D172,BD$3=$AC172,BD$3=$AE172),"",IF(BD$3=$AD172,$F172&amp;"R",BD171))))</f>
        <v/>
      </c>
      <c r="BE172" s="11" t="str">
        <f aca="false">IF($P172=0,BE171,IF(BE$3=$E172,IF($AA172=1,$F172&amp;$AB172,$G172),IF(OR(BE$3=$D172,BE$3=$AC172,BE$3=$AE172),"",IF(BE$3=$AD172,$F172&amp;"R",BE171))))</f>
        <v/>
      </c>
      <c r="BF172" s="11" t="str">
        <f aca="false">IF($P172=0,BF171,IF(BF$3=$E172,IF($AA172=1,$F172&amp;$AB172,$G172),IF(OR(BF$3=$D172,BF$3=$AC172,BF$3=$AE172),"",IF(BF$3=$AD172,$F172&amp;"R",BF171))))</f>
        <v/>
      </c>
      <c r="BG172" s="11" t="str">
        <f aca="false">IF($P172=0,BG171,IF(BG$3=$E172,IF($AA172=1,$F172&amp;$AB172,$G172),IF(OR(BG$3=$D172,BG$3=$AC172,BG$3=$AE172),"",IF(BG$3=$AD172,$F172&amp;"R",BG171))))</f>
        <v/>
      </c>
      <c r="BH172" s="11" t="str">
        <f aca="false">IF($P172=0,BH171,IF(BH$3=$E172,IF($AA172=1,$F172&amp;$AB172,$G172),IF(OR(BH$3=$D172,BH$3=$AC172,BH$3=$AE172),"",IF(BH$3=$AD172,$F172&amp;"R",BH171))))</f>
        <v/>
      </c>
      <c r="BI172" s="11" t="str">
        <f aca="false">IF($P172=0,BI171,IF(BI$3=$E172,IF($AA172=1,$F172&amp;$AB172,$G172),IF(OR(BI$3=$D172,BI$3=$AC172,BI$3=$AE172),"",IF(BI$3=$AD172,$F172&amp;"R",BI171))))</f>
        <v/>
      </c>
      <c r="BJ172" s="11" t="str">
        <f aca="false">IF($P172=0,BJ171,IF(BJ$3=$E172,IF($AA172=1,$F172&amp;$AB172,$G172),IF(OR(BJ$3=$D172,BJ$3=$AC172,BJ$3=$AE172),"",IF(BJ$3=$AD172,$F172&amp;"R",BJ171))))</f>
        <v/>
      </c>
      <c r="BK172" s="11" t="str">
        <f aca="false">IF($P172=0,BK171,IF(BK$3=$E172,IF($AA172=1,$F172&amp;$AB172,$G172),IF(OR(BK$3=$D172,BK$3=$AC172,BK$3=$AE172),"",IF(BK$3=$AD172,$F172&amp;"R",BK171))))</f>
        <v/>
      </c>
      <c r="BL172" s="11" t="str">
        <f aca="false">IF($P172=0,BL171,IF(BL$3=$E172,IF($AA172=1,$F172&amp;$AB172,$G172),IF(OR(BL$3=$D172,BL$3=$AC172,BL$3=$AE172),"",IF(BL$3=$AD172,$F172&amp;"R",BL171))))</f>
        <v/>
      </c>
      <c r="BM172" s="11" t="str">
        <f aca="false">IF($P172=0,BM171,IF(BM$3=$E172,IF($AA172=1,$F172&amp;$AB172,$G172),IF(OR(BM$3=$D172,BM$3=$AC172,BM$3=$AE172),"",IF(BM$3=$AD172,$F172&amp;"R",BM171))))</f>
        <v/>
      </c>
      <c r="BN172" s="11" t="str">
        <f aca="false">IF($P172=0,BN171,IF(BN$3=$E172,IF($AA172=1,$F172&amp;$AB172,$G172),IF(OR(BN$3=$D172,BN$3=$AC172,BN$3=$AE172),"",IF(BN$3=$AD172,$F172&amp;"R",BN171))))</f>
        <v/>
      </c>
      <c r="BO172" s="11" t="str">
        <f aca="false">IF($P172=0,BO171,IF(BO$3=$E172,IF($AA172=1,$F172&amp;$AB172,$G172),IF(OR(BO$3=$D172,BO$3=$AC172,BO$3=$AE172),"",IF(BO$3=$AD172,$F172&amp;"R",BO171))))</f>
        <v/>
      </c>
      <c r="BP172" s="11" t="str">
        <f aca="false">IF($P172=0,BP171,IF(BP$3=$E172,IF($AA172=1,$F172&amp;$AB172,$G172),IF(OR(BP$3=$D172,BP$3=$AC172,BP$3=$AE172),"",IF(BP$3=$AD172,$F172&amp;"R",BP171))))</f>
        <v/>
      </c>
      <c r="BQ172" s="11" t="str">
        <f aca="false">IF($P172=0,BQ171,IF(BQ$3=$E172,IF($AA172=1,$F172&amp;$AB172,$G172),IF(OR(BQ$3=$D172,BQ$3=$AC172,BQ$3=$AE172),"",IF(BQ$3=$AD172,$F172&amp;"R",BQ171))))</f>
        <v/>
      </c>
      <c r="BR172" s="11" t="str">
        <f aca="false">IF($P172=0,BR171,IF(BR$3=$E172,IF($AA172=1,$F172&amp;$AB172,$G172),IF(OR(BR$3=$D172,BR$3=$AC172,BR$3=$AE172),"",IF(BR$3=$AD172,$F172&amp;"R",BR171))))</f>
        <v/>
      </c>
      <c r="BS172" s="11" t="str">
        <f aca="false">IF($P172=0,BS171,IF(BS$3=$E172,IF($AA172=1,$F172&amp;$AB172,$G172),IF(OR(BS$3=$D172,BS$3=$AC172,BS$3=$AE172),"",IF(BS$3=$AD172,$F172&amp;"R",BS171))))</f>
        <v/>
      </c>
      <c r="BT172" s="11" t="str">
        <f aca="false">IF($P172=0,BT171,IF(BT$3=$E172,IF($AA172=1,$F172&amp;$AB172,$G172),IF(OR(BT$3=$D172,BT$3=$AC172,BT$3=$AE172),"",IF(BT$3=$AD172,$F172&amp;"R",BT171))))</f>
        <v/>
      </c>
      <c r="BU172" s="11" t="str">
        <f aca="false">IF($P172=0,BU171,IF(BU$3=$E172,IF($AA172=1,$F172&amp;$AB172,$G172),IF(OR(BU$3=$D172,BU$3=$AC172,BU$3=$AE172),"",IF(BU$3=$AD172,$F172&amp;"R",BU171))))</f>
        <v/>
      </c>
      <c r="BV172" s="11" t="str">
        <f aca="false">IF($P172=0,BV171,IF(BV$3=$E172,IF($AA172=1,$F172&amp;$AB172,$G172),IF(OR(BV$3=$D172,BV$3=$AC172,BV$3=$AE172),"",IF(BV$3=$AD172,$F172&amp;"R",BV171))))</f>
        <v/>
      </c>
      <c r="BW172" s="11" t="str">
        <f aca="false">IF($P172=0,BW171,IF(BW$3=$E172,IF($AA172=1,$F172&amp;$AB172,$G172),IF(OR(BW$3=$D172,BW$3=$AC172,BW$3=$AE172),"",IF(BW$3=$AD172,$F172&amp;"R",BW171))))</f>
        <v/>
      </c>
      <c r="BX172" s="11" t="str">
        <f aca="false">IF($P172=0,BX171,IF(BX$3=$E172,IF($AA172=1,$F172&amp;$AB172,$G172),IF(OR(BX$3=$D172,BX$3=$AC172,BX$3=$AE172),"",IF(BX$3=$AD172,$F172&amp;"R",BX171))))</f>
        <v/>
      </c>
      <c r="BY172" s="11" t="str">
        <f aca="false">IF($P172=0,BY171,IF(BY$3=$E172,IF($AA172=1,$F172&amp;$AB172,$G172),IF(OR(BY$3=$D172,BY$3=$AC172,BY$3=$AE172),"",IF(BY$3=$AD172,$F172&amp;"R",BY171))))</f>
        <v/>
      </c>
      <c r="BZ172" s="11" t="str">
        <f aca="false">IF($P172=0,BZ171,IF(BZ$3=$E172,IF($AA172=1,$F172&amp;$AB172,$G172),IF(OR(BZ$3=$D172,BZ$3=$AC172,BZ$3=$AE172),"",IF(BZ$3=$AD172,$F172&amp;"R",BZ171))))</f>
        <v/>
      </c>
      <c r="CA172" s="11" t="str">
        <f aca="false">IF($P172=0,CA171,IF(CA$3=$E172,IF($AA172=1,$F172&amp;$AB172,$G172),IF(OR(CA$3=$D172,CA$3=$AC172,CA$3=$AE172),"",IF(CA$3=$AD172,$F172&amp;"R",CA171))))</f>
        <v/>
      </c>
      <c r="CB172" s="11" t="str">
        <f aca="false">IF($P172=0,CB171,IF(CB$3=$E172,IF($AA172=1,$F172&amp;$AB172,$G172),IF(OR(CB$3=$D172,CB$3=$AC172,CB$3=$AE172),"",IF(CB$3=$AD172,$F172&amp;"R",CB171))))</f>
        <v/>
      </c>
      <c r="CC172" s="11" t="str">
        <f aca="false">IF($P172=0,CC171,IF(CC$3=$E172,IF($AA172=1,$F172&amp;$AB172,$G172),IF(OR(CC$3=$D172,CC$3=$AC172,CC$3=$AE172),"",IF(CC$3=$AD172,$F172&amp;"R",CC171))))</f>
        <v/>
      </c>
      <c r="CD172" s="11" t="str">
        <f aca="false">IF($P172=0,CD171,IF(CD$3=$E172,IF($AA172=1,$F172&amp;$AB172,$G172),IF(OR(CD$3=$D172,CD$3=$AC172,CD$3=$AE172),"",IF(CD$3=$AD172,$F172&amp;"R",CD171))))</f>
        <v>bP</v>
      </c>
      <c r="CE172" s="11" t="str">
        <f aca="false">IF($P172=0,CE171,IF(CE$3=$E172,IF($AA172=1,$F172&amp;$AB172,$G172),IF(OR(CE$3=$D172,CE$3=$AC172,CE$3=$AE172),"",IF(CE$3=$AD172,$F172&amp;"R",CE171))))</f>
        <v>bP</v>
      </c>
      <c r="CF172" s="11" t="str">
        <f aca="false">IF($P172=0,CF171,IF(CF$3=$E172,IF($AA172=1,$F172&amp;$AB172,$G172),IF(OR(CF$3=$D172,CF$3=$AC172,CF$3=$AE172),"",IF(CF$3=$AD172,$F172&amp;"R",CF171))))</f>
        <v>bP</v>
      </c>
      <c r="CG172" s="11" t="str">
        <f aca="false">IF($P172=0,CG171,IF(CG$3=$E172,IF($AA172=1,$F172&amp;$AB172,$G172),IF(OR(CG$3=$D172,CG$3=$AC172,CG$3=$AE172),"",IF(CG$3=$AD172,$F172&amp;"R",CG171))))</f>
        <v>bP</v>
      </c>
      <c r="CH172" s="11" t="str">
        <f aca="false">IF($P172=0,CH171,IF(CH$3=$E172,IF($AA172=1,$F172&amp;$AB172,$G172),IF(OR(CH$3=$D172,CH$3=$AC172,CH$3=$AE172),"",IF(CH$3=$AD172,$F172&amp;"R",CH171))))</f>
        <v>bP</v>
      </c>
      <c r="CI172" s="11" t="str">
        <f aca="false">IF($P172=0,CI171,IF(CI$3=$E172,IF($AA172=1,$F172&amp;$AB172,$G172),IF(OR(CI$3=$D172,CI$3=$AC172,CI$3=$AE172),"",IF(CI$3=$AD172,$F172&amp;"R",CI171))))</f>
        <v>bP</v>
      </c>
      <c r="CJ172" s="11" t="str">
        <f aca="false">IF($P172=0,CJ171,IF(CJ$3=$E172,IF($AA172=1,$F172&amp;$AB172,$G172),IF(OR(CJ$3=$D172,CJ$3=$AC172,CJ$3=$AE172),"",IF(CJ$3=$AD172,$F172&amp;"R",CJ171))))</f>
        <v>bP</v>
      </c>
      <c r="CK172" s="11" t="str">
        <f aca="false">IF($P172=0,CK171,IF(CK$3=$E172,IF($AA172=1,$F172&amp;$AB172,$G172),IF(OR(CK$3=$D172,CK$3=$AC172,CK$3=$AE172),"",IF(CK$3=$AD172,$F172&amp;"R",CK171))))</f>
        <v>bP</v>
      </c>
      <c r="CL172" s="11" t="str">
        <f aca="false">IF($P172=0,CL171,IF(CL$3=$E172,IF($AA172=1,$F172&amp;$AB172,$G172),IF(OR(CL$3=$D172,CL$3=$AC172,CL$3=$AE172),"",IF(CL$3=$AD172,$F172&amp;"R",CL171))))</f>
        <v>bR</v>
      </c>
      <c r="CM172" s="11" t="str">
        <f aca="false">IF($P172=0,CM171,IF(CM$3=$E172,IF($AA172=1,$F172&amp;$AB172,$G172),IF(OR(CM$3=$D172,CM$3=$AC172,CM$3=$AE172),"",IF(CM$3=$AD172,$F172&amp;"R",CM171))))</f>
        <v>bN</v>
      </c>
      <c r="CN172" s="11" t="str">
        <f aca="false">IF($P172=0,CN171,IF(CN$3=$E172,IF($AA172=1,$F172&amp;$AB172,$G172),IF(OR(CN$3=$D172,CN$3=$AC172,CN$3=$AE172),"",IF(CN$3=$AD172,$F172&amp;"R",CN171))))</f>
        <v>bB</v>
      </c>
      <c r="CO172" s="11" t="str">
        <f aca="false">IF($P172=0,CO171,IF(CO$3=$E172,IF($AA172=1,$F172&amp;$AB172,$G172),IF(OR(CO$3=$D172,CO$3=$AC172,CO$3=$AE172),"",IF(CO$3=$AD172,$F172&amp;"R",CO171))))</f>
        <v>bQ</v>
      </c>
      <c r="CP172" s="11" t="str">
        <f aca="false">IF($P172=0,CP171,IF(CP$3=$E172,IF($AA172=1,$F172&amp;$AB172,$G172),IF(OR(CP$3=$D172,CP$3=$AC172,CP$3=$AE172),"",IF(CP$3=$AD172,$F172&amp;"R",CP171))))</f>
        <v>bK</v>
      </c>
      <c r="CQ172" s="11" t="str">
        <f aca="false">IF($P172=0,CQ171,IF(CQ$3=$E172,IF($AA172=1,$F172&amp;$AB172,$G172),IF(OR(CQ$3=$D172,CQ$3=$AC172,CQ$3=$AE172),"",IF(CQ$3=$AD172,$F172&amp;"R",CQ171))))</f>
        <v>bB</v>
      </c>
      <c r="CR172" s="11" t="str">
        <f aca="false">IF($P172=0,CR171,IF(CR$3=$E172,IF($AA172=1,$F172&amp;$AB172,$G172),IF(OR(CR$3=$D172,CR$3=$AC172,CR$3=$AE172),"",IF(CR$3=$AD172,$F172&amp;"R",CR171))))</f>
        <v>bN</v>
      </c>
      <c r="CS172" s="11" t="str">
        <f aca="false">IF($P172=0,CS171,IF(CS$3=$E172,IF($AA172=1,$F172&amp;$AB172,$G172),IF(OR(CS$3=$D172,CS$3=$AC172,CS$3=$AE172),"",IF(CS$3=$AD172,$F172&amp;"R",CS171))))</f>
        <v>bR</v>
      </c>
      <c r="CT172" s="11"/>
      <c r="CU172" s="11"/>
      <c r="CV172" s="11"/>
    </row>
    <row r="173" customFormat="false" ht="15" hidden="false" customHeight="false" outlineLevel="0" collapsed="false">
      <c r="A173" s="11" t="n">
        <v>168</v>
      </c>
      <c r="B173" s="11" t="str">
        <f aca="false">IF(Chess!$L$177="","",Chess!$L$177&amp;"")</f>
        <v/>
      </c>
      <c r="C173" s="11" t="str">
        <f aca="false">LOWER(SUBSTITUTE(SUBSTITUTE(SUBSTITUTE(SUBSTITUTE(TRIM($B173),"-",""),"=","")," ",""),"x",""))</f>
        <v/>
      </c>
      <c r="D173" s="11" t="n">
        <f aca="false">IF(LEN($C173)&lt;4,0,IFERROR(IF(AND(CODE(MID($C173,1,1))&gt;=97,CODE(MID($C173,1,1))&lt;=104,VALUE(MID($C173,2,1))&gt;=1,VALUE(MID($C173,2,1))&lt;=8),(VALUE(MID($C173,2,1))-1)*8+CODE(MID($C173,1,1))-96,0),0))</f>
        <v>0</v>
      </c>
      <c r="E173" s="11" t="n">
        <f aca="false">IF(LEN($C173)&lt;4,0,IFERROR(IF(AND(CODE(MID($C173,3,1))&gt;=97,CODE(MID($C173,3,1))&lt;=104,VALUE(MID($C173,4,1))&gt;=1,VALUE(MID($C173,4,1))&lt;=8),(VALUE(MID($C173,4,1))-1)*8+CODE(MID($C173,3,1))-96,0),0))</f>
        <v>0</v>
      </c>
      <c r="F173" s="11" t="str">
        <f aca="false">IF(MOD(SUM($P$5:$P172),2)=0,"w","b")</f>
        <v>w</v>
      </c>
      <c r="G173" s="11" t="str">
        <f aca="false">IF($D173=0,"",INDEX($AH172:$CS172,1,$D173)&amp;"")</f>
        <v/>
      </c>
      <c r="H173" s="11" t="str">
        <f aca="false">IF($E173=0,"",INDEX($AH172:$CS172,1,$E173)&amp;"")</f>
        <v/>
      </c>
      <c r="I173" s="11" t="n">
        <f aca="false">IF(OR($D173=0,$E173=0),0,MOD($E173-1,8)-MOD($D173-1,8))</f>
        <v>0</v>
      </c>
      <c r="J173" s="11" t="n">
        <f aca="false">IF(OR($D173=0,$E173=0),0,INT(($E173-1)/8)-INT(($D173-1)/8))</f>
        <v>0</v>
      </c>
      <c r="K173" s="11" t="str">
        <f aca="false">IF($G173="","",RIGHT($G173,1))</f>
        <v/>
      </c>
      <c r="L173" s="11" t="n">
        <f aca="false">IF(OR($D173=0,$E173=0),0,SUMPRODUCT(($AH$3:$CS$3&gt;MIN($D173,$E173))*($AH$3:$CS$3&lt;MAX($D173,$E173))*(MOD($AH$3:$CS$3-MIN($D173,$E173),MAX(1,ABS(SIGN($J173)*8+SIGN($I173))))=0)*($AH172:$CS172&lt;&gt;"")))</f>
        <v>0</v>
      </c>
      <c r="M173" s="11" t="n">
        <f aca="false">IF($K173&lt;&gt;"K",0,IFERROR(--AND($J173=0,ABS($I173)=2,$D173=IF($F173="w",5,61),IF($F173="w",$S172,$V172)=0,IF($I173=2,AND(IF($F173="w",$U172,$X172)=0,INDEX($AH172:$CS172,1,$D173+1)&amp;""="",INDEX($AH172:$CS172,1,$D173+2)&amp;""=""),AND(IF($F173="w",$T172,$W172)=0,INDEX($AH172:$CS172,1,$D173-1)&amp;""="",INDEX($AH172:$CS172,1,$D173-2)&amp;""="",INDEX($AH172:$CS172,1,$D173-3)&amp;""=""))),0))</f>
        <v>0</v>
      </c>
      <c r="N173" s="11" t="n">
        <f aca="false">IF($K173&lt;&gt;"P",0,IFERROR(--OR(AND($I173=0,$J173=IF($F173="w",1,-1),$H173=""),AND($I173=0,$J173=2*IF($F173="w",1,-1),$H173="",INT(($D173-1)/8)=IF($F173="w",1,6),INDEX($AH172:$CS172,1,MAX(1,MIN(64,$D173+8*IF($F173="w",1,-1))))&amp;""=""),AND(ABS($I173)=1,$J173=IF($F173="w",1,-1),$H173&lt;&gt;""),AND(ABS($I173)=1,$J173=IF($F173="w",1,-1),$H173="",$R172&gt;0,$E173=$R172)),0))</f>
        <v>0</v>
      </c>
      <c r="O173" s="11" t="n">
        <f aca="false">IF(OR($D173=0,$E173=0,$G173=""),0,IF($K173="N",--OR(AND(ABS($I173)=1,ABS($J173)=2),AND(ABS($I173)=2,ABS($J173)=1)),IF($K173="B",--AND(ABS($I173)=ABS($J173),$I173&lt;&gt;0,$L173=0),IF($K173="R",--AND(OR($I173=0,$J173=0),OR($I173&lt;&gt;0,$J173&lt;&gt;0),$L173=0),IF($K173="Q",--AND(OR(AND(ABS($I173)=ABS($J173),$I173&lt;&gt;0),AND(OR($I173=0,$J173=0),OR($I173&lt;&gt;0,$J173&lt;&gt;0))),$L173=0),IF($K173="K",--OR(MAX(ABS($I173),ABS($J173))=1,$M173=1),$N173))))))</f>
        <v>0</v>
      </c>
      <c r="P173" s="11" t="n">
        <f aca="false">IF($Q173="OK",1,0)</f>
        <v>0</v>
      </c>
      <c r="Q173" s="11" t="str">
        <f aca="false">IF($B173="","",IF(OR(COUNTIF($AH172:$CS172,"wK")=0,COUNTIF($AH172:$CS172,"bK")=0),"Game is over",IF(OR($D173=0,$E173=0),"Use the format e2e4",IF($G173="","No piece on that square",IF(LEFT($G173,1)&lt;&gt;$F173,"Not your piece ("&amp;IF($F173="w","White","Black")&amp;" to move)",IF($D173=$E173,"Piece must move",IF(AND($H173&lt;&gt;"",LEFT($H173,1)=$F173),"Cannot capture your own piece",IF($O173=0,"Illegal move for that piece (or path blocked)","OK"))))))))</f>
        <v/>
      </c>
      <c r="R173" s="11" t="n">
        <f aca="false">IF($P173=1,IF(AND($K173="P",ABS($J173)=2),($D173+$E173)/2,0),$R172)</f>
        <v>0</v>
      </c>
      <c r="S173" s="12" t="b">
        <f aca="false">--OR($S172=1,AND($P173=1,OR($D173=5,$E173=5)))</f>
        <v>0</v>
      </c>
      <c r="T173" s="12" t="b">
        <f aca="false">--OR($T172=1,AND($P173=1,OR($D173=1,$E173=1)))</f>
        <v>0</v>
      </c>
      <c r="U173" s="12" t="b">
        <f aca="false">--OR($U172=1,AND($P173=1,OR($D173=8,$E173=8)))</f>
        <v>0</v>
      </c>
      <c r="V173" s="12" t="b">
        <f aca="false">--OR($V172=1,AND($P173=1,OR($D173=61,$E173=61)))</f>
        <v>0</v>
      </c>
      <c r="W173" s="12" t="b">
        <f aca="false">--OR($W172=1,AND($P173=1,OR($D173=57,$E173=57)))</f>
        <v>0</v>
      </c>
      <c r="X173" s="12" t="b">
        <f aca="false">--OR($X172=1,AND($P173=1,OR($D173=64,$E173=64)))</f>
        <v>0</v>
      </c>
      <c r="Y173" s="12" t="b">
        <f aca="false">--AND($P173=1,$K173="K",ABS($I173)=2)</f>
        <v>0</v>
      </c>
      <c r="Z173" s="12" t="b">
        <f aca="false">--AND($P173=1,$K173="P",ABS($I173)=1,$H173="")</f>
        <v>0</v>
      </c>
      <c r="AA173" s="12" t="b">
        <f aca="false">--AND($P173=1,$K173="P",INT(($E173-1)/8)=IF($F173="w",7,0))</f>
        <v>0</v>
      </c>
      <c r="AB173" s="11" t="str">
        <f aca="false">IF(LEN($C173)&gt;=5,IF(ISNUMBER(FIND(MID($C173,5,1),"qrbn")),UPPER(MID($C173,5,1)),"Q"),"Q")</f>
        <v>Q</v>
      </c>
      <c r="AC173" s="11" t="n">
        <f aca="false">IF($Y173=1,IF($I173=2,$D173+3,$D173-4),0)</f>
        <v>0</v>
      </c>
      <c r="AD173" s="11" t="n">
        <f aca="false">IF($Y173=1,IF($I173=2,$D173+1,$D173-1),0)</f>
        <v>0</v>
      </c>
      <c r="AE173" s="11" t="n">
        <f aca="false">IF($Z173=1,$E173-8*IF($F173="w",1,-1),0)</f>
        <v>0</v>
      </c>
      <c r="AF173" s="11" t="str">
        <f aca="false">IF($B173="","",IF($P173=1,LOWER(INDEX($CV$2:$CV$13,MATCH($G173,$CU$2:$CU$13,0)))&amp;" "&amp;MID("abcdefgh",MOD($D173-1,8)+1,1)&amp;(INT(($D173-1)/8)+1)&amp;"→"&amp;MID("abcdefgh",MOD($E173-1,8)+1,1)&amp;(INT(($E173-1)/8)+1)&amp;IF(OR($H173&lt;&gt;"",$Z173=1)," ×","")&amp;IF($Y173=1," castles","")&amp;IF($Z173=1," e.p.","")&amp;IF($AA173=1," =" &amp;LOWER(INDEX($CV$2:$CV$13,MATCH($F173&amp;$AB173,$CU$2:$CU$13,0))),""),"X "&amp;$Q173))</f>
        <v/>
      </c>
      <c r="AG173" s="11"/>
      <c r="AH173" s="11" t="str">
        <f aca="false">IF($P173=0,AH172,IF(AH$3=$E173,IF($AA173=1,$F173&amp;$AB173,$G173),IF(OR(AH$3=$D173,AH$3=$AC173,AH$3=$AE173),"",IF(AH$3=$AD173,$F173&amp;"R",AH172))))</f>
        <v>wR</v>
      </c>
      <c r="AI173" s="11" t="str">
        <f aca="false">IF($P173=0,AI172,IF(AI$3=$E173,IF($AA173=1,$F173&amp;$AB173,$G173),IF(OR(AI$3=$D173,AI$3=$AC173,AI$3=$AE173),"",IF(AI$3=$AD173,$F173&amp;"R",AI172))))</f>
        <v>wN</v>
      </c>
      <c r="AJ173" s="11" t="str">
        <f aca="false">IF($P173=0,AJ172,IF(AJ$3=$E173,IF($AA173=1,$F173&amp;$AB173,$G173),IF(OR(AJ$3=$D173,AJ$3=$AC173,AJ$3=$AE173),"",IF(AJ$3=$AD173,$F173&amp;"R",AJ172))))</f>
        <v>wB</v>
      </c>
      <c r="AK173" s="11" t="str">
        <f aca="false">IF($P173=0,AK172,IF(AK$3=$E173,IF($AA173=1,$F173&amp;$AB173,$G173),IF(OR(AK$3=$D173,AK$3=$AC173,AK$3=$AE173),"",IF(AK$3=$AD173,$F173&amp;"R",AK172))))</f>
        <v>wQ</v>
      </c>
      <c r="AL173" s="11" t="str">
        <f aca="false">IF($P173=0,AL172,IF(AL$3=$E173,IF($AA173=1,$F173&amp;$AB173,$G173),IF(OR(AL$3=$D173,AL$3=$AC173,AL$3=$AE173),"",IF(AL$3=$AD173,$F173&amp;"R",AL172))))</f>
        <v>wK</v>
      </c>
      <c r="AM173" s="11" t="str">
        <f aca="false">IF($P173=0,AM172,IF(AM$3=$E173,IF($AA173=1,$F173&amp;$AB173,$G173),IF(OR(AM$3=$D173,AM$3=$AC173,AM$3=$AE173),"",IF(AM$3=$AD173,$F173&amp;"R",AM172))))</f>
        <v>wB</v>
      </c>
      <c r="AN173" s="11" t="str">
        <f aca="false">IF($P173=0,AN172,IF(AN$3=$E173,IF($AA173=1,$F173&amp;$AB173,$G173),IF(OR(AN$3=$D173,AN$3=$AC173,AN$3=$AE173),"",IF(AN$3=$AD173,$F173&amp;"R",AN172))))</f>
        <v>wN</v>
      </c>
      <c r="AO173" s="11" t="str">
        <f aca="false">IF($P173=0,AO172,IF(AO$3=$E173,IF($AA173=1,$F173&amp;$AB173,$G173),IF(OR(AO$3=$D173,AO$3=$AC173,AO$3=$AE173),"",IF(AO$3=$AD173,$F173&amp;"R",AO172))))</f>
        <v>wR</v>
      </c>
      <c r="AP173" s="11" t="str">
        <f aca="false">IF($P173=0,AP172,IF(AP$3=$E173,IF($AA173=1,$F173&amp;$AB173,$G173),IF(OR(AP$3=$D173,AP$3=$AC173,AP$3=$AE173),"",IF(AP$3=$AD173,$F173&amp;"R",AP172))))</f>
        <v>wP</v>
      </c>
      <c r="AQ173" s="11" t="str">
        <f aca="false">IF($P173=0,AQ172,IF(AQ$3=$E173,IF($AA173=1,$F173&amp;$AB173,$G173),IF(OR(AQ$3=$D173,AQ$3=$AC173,AQ$3=$AE173),"",IF(AQ$3=$AD173,$F173&amp;"R",AQ172))))</f>
        <v>wP</v>
      </c>
      <c r="AR173" s="11" t="str">
        <f aca="false">IF($P173=0,AR172,IF(AR$3=$E173,IF($AA173=1,$F173&amp;$AB173,$G173),IF(OR(AR$3=$D173,AR$3=$AC173,AR$3=$AE173),"",IF(AR$3=$AD173,$F173&amp;"R",AR172))))</f>
        <v>wP</v>
      </c>
      <c r="AS173" s="11" t="str">
        <f aca="false">IF($P173=0,AS172,IF(AS$3=$E173,IF($AA173=1,$F173&amp;$AB173,$G173),IF(OR(AS$3=$D173,AS$3=$AC173,AS$3=$AE173),"",IF(AS$3=$AD173,$F173&amp;"R",AS172))))</f>
        <v>wP</v>
      </c>
      <c r="AT173" s="11" t="str">
        <f aca="false">IF($P173=0,AT172,IF(AT$3=$E173,IF($AA173=1,$F173&amp;$AB173,$G173),IF(OR(AT$3=$D173,AT$3=$AC173,AT$3=$AE173),"",IF(AT$3=$AD173,$F173&amp;"R",AT172))))</f>
        <v>wP</v>
      </c>
      <c r="AU173" s="11" t="str">
        <f aca="false">IF($P173=0,AU172,IF(AU$3=$E173,IF($AA173=1,$F173&amp;$AB173,$G173),IF(OR(AU$3=$D173,AU$3=$AC173,AU$3=$AE173),"",IF(AU$3=$AD173,$F173&amp;"R",AU172))))</f>
        <v>wP</v>
      </c>
      <c r="AV173" s="11" t="str">
        <f aca="false">IF($P173=0,AV172,IF(AV$3=$E173,IF($AA173=1,$F173&amp;$AB173,$G173),IF(OR(AV$3=$D173,AV$3=$AC173,AV$3=$AE173),"",IF(AV$3=$AD173,$F173&amp;"R",AV172))))</f>
        <v>wP</v>
      </c>
      <c r="AW173" s="11" t="str">
        <f aca="false">IF($P173=0,AW172,IF(AW$3=$E173,IF($AA173=1,$F173&amp;$AB173,$G173),IF(OR(AW$3=$D173,AW$3=$AC173,AW$3=$AE173),"",IF(AW$3=$AD173,$F173&amp;"R",AW172))))</f>
        <v>wP</v>
      </c>
      <c r="AX173" s="11" t="str">
        <f aca="false">IF($P173=0,AX172,IF(AX$3=$E173,IF($AA173=1,$F173&amp;$AB173,$G173),IF(OR(AX$3=$D173,AX$3=$AC173,AX$3=$AE173),"",IF(AX$3=$AD173,$F173&amp;"R",AX172))))</f>
        <v/>
      </c>
      <c r="AY173" s="11" t="str">
        <f aca="false">IF($P173=0,AY172,IF(AY$3=$E173,IF($AA173=1,$F173&amp;$AB173,$G173),IF(OR(AY$3=$D173,AY$3=$AC173,AY$3=$AE173),"",IF(AY$3=$AD173,$F173&amp;"R",AY172))))</f>
        <v/>
      </c>
      <c r="AZ173" s="11" t="str">
        <f aca="false">IF($P173=0,AZ172,IF(AZ$3=$E173,IF($AA173=1,$F173&amp;$AB173,$G173),IF(OR(AZ$3=$D173,AZ$3=$AC173,AZ$3=$AE173),"",IF(AZ$3=$AD173,$F173&amp;"R",AZ172))))</f>
        <v/>
      </c>
      <c r="BA173" s="11" t="str">
        <f aca="false">IF($P173=0,BA172,IF(BA$3=$E173,IF($AA173=1,$F173&amp;$AB173,$G173),IF(OR(BA$3=$D173,BA$3=$AC173,BA$3=$AE173),"",IF(BA$3=$AD173,$F173&amp;"R",BA172))))</f>
        <v/>
      </c>
      <c r="BB173" s="11" t="str">
        <f aca="false">IF($P173=0,BB172,IF(BB$3=$E173,IF($AA173=1,$F173&amp;$AB173,$G173),IF(OR(BB$3=$D173,BB$3=$AC173,BB$3=$AE173),"",IF(BB$3=$AD173,$F173&amp;"R",BB172))))</f>
        <v/>
      </c>
      <c r="BC173" s="11" t="str">
        <f aca="false">IF($P173=0,BC172,IF(BC$3=$E173,IF($AA173=1,$F173&amp;$AB173,$G173),IF(OR(BC$3=$D173,BC$3=$AC173,BC$3=$AE173),"",IF(BC$3=$AD173,$F173&amp;"R",BC172))))</f>
        <v/>
      </c>
      <c r="BD173" s="11" t="str">
        <f aca="false">IF($P173=0,BD172,IF(BD$3=$E173,IF($AA173=1,$F173&amp;$AB173,$G173),IF(OR(BD$3=$D173,BD$3=$AC173,BD$3=$AE173),"",IF(BD$3=$AD173,$F173&amp;"R",BD172))))</f>
        <v/>
      </c>
      <c r="BE173" s="11" t="str">
        <f aca="false">IF($P173=0,BE172,IF(BE$3=$E173,IF($AA173=1,$F173&amp;$AB173,$G173),IF(OR(BE$3=$D173,BE$3=$AC173,BE$3=$AE173),"",IF(BE$3=$AD173,$F173&amp;"R",BE172))))</f>
        <v/>
      </c>
      <c r="BF173" s="11" t="str">
        <f aca="false">IF($P173=0,BF172,IF(BF$3=$E173,IF($AA173=1,$F173&amp;$AB173,$G173),IF(OR(BF$3=$D173,BF$3=$AC173,BF$3=$AE173),"",IF(BF$3=$AD173,$F173&amp;"R",BF172))))</f>
        <v/>
      </c>
      <c r="BG173" s="11" t="str">
        <f aca="false">IF($P173=0,BG172,IF(BG$3=$E173,IF($AA173=1,$F173&amp;$AB173,$G173),IF(OR(BG$3=$D173,BG$3=$AC173,BG$3=$AE173),"",IF(BG$3=$AD173,$F173&amp;"R",BG172))))</f>
        <v/>
      </c>
      <c r="BH173" s="11" t="str">
        <f aca="false">IF($P173=0,BH172,IF(BH$3=$E173,IF($AA173=1,$F173&amp;$AB173,$G173),IF(OR(BH$3=$D173,BH$3=$AC173,BH$3=$AE173),"",IF(BH$3=$AD173,$F173&amp;"R",BH172))))</f>
        <v/>
      </c>
      <c r="BI173" s="11" t="str">
        <f aca="false">IF($P173=0,BI172,IF(BI$3=$E173,IF($AA173=1,$F173&amp;$AB173,$G173),IF(OR(BI$3=$D173,BI$3=$AC173,BI$3=$AE173),"",IF(BI$3=$AD173,$F173&amp;"R",BI172))))</f>
        <v/>
      </c>
      <c r="BJ173" s="11" t="str">
        <f aca="false">IF($P173=0,BJ172,IF(BJ$3=$E173,IF($AA173=1,$F173&amp;$AB173,$G173),IF(OR(BJ$3=$D173,BJ$3=$AC173,BJ$3=$AE173),"",IF(BJ$3=$AD173,$F173&amp;"R",BJ172))))</f>
        <v/>
      </c>
      <c r="BK173" s="11" t="str">
        <f aca="false">IF($P173=0,BK172,IF(BK$3=$E173,IF($AA173=1,$F173&amp;$AB173,$G173),IF(OR(BK$3=$D173,BK$3=$AC173,BK$3=$AE173),"",IF(BK$3=$AD173,$F173&amp;"R",BK172))))</f>
        <v/>
      </c>
      <c r="BL173" s="11" t="str">
        <f aca="false">IF($P173=0,BL172,IF(BL$3=$E173,IF($AA173=1,$F173&amp;$AB173,$G173),IF(OR(BL$3=$D173,BL$3=$AC173,BL$3=$AE173),"",IF(BL$3=$AD173,$F173&amp;"R",BL172))))</f>
        <v/>
      </c>
      <c r="BM173" s="11" t="str">
        <f aca="false">IF($P173=0,BM172,IF(BM$3=$E173,IF($AA173=1,$F173&amp;$AB173,$G173),IF(OR(BM$3=$D173,BM$3=$AC173,BM$3=$AE173),"",IF(BM$3=$AD173,$F173&amp;"R",BM172))))</f>
        <v/>
      </c>
      <c r="BN173" s="11" t="str">
        <f aca="false">IF($P173=0,BN172,IF(BN$3=$E173,IF($AA173=1,$F173&amp;$AB173,$G173),IF(OR(BN$3=$D173,BN$3=$AC173,BN$3=$AE173),"",IF(BN$3=$AD173,$F173&amp;"R",BN172))))</f>
        <v/>
      </c>
      <c r="BO173" s="11" t="str">
        <f aca="false">IF($P173=0,BO172,IF(BO$3=$E173,IF($AA173=1,$F173&amp;$AB173,$G173),IF(OR(BO$3=$D173,BO$3=$AC173,BO$3=$AE173),"",IF(BO$3=$AD173,$F173&amp;"R",BO172))))</f>
        <v/>
      </c>
      <c r="BP173" s="11" t="str">
        <f aca="false">IF($P173=0,BP172,IF(BP$3=$E173,IF($AA173=1,$F173&amp;$AB173,$G173),IF(OR(BP$3=$D173,BP$3=$AC173,BP$3=$AE173),"",IF(BP$3=$AD173,$F173&amp;"R",BP172))))</f>
        <v/>
      </c>
      <c r="BQ173" s="11" t="str">
        <f aca="false">IF($P173=0,BQ172,IF(BQ$3=$E173,IF($AA173=1,$F173&amp;$AB173,$G173),IF(OR(BQ$3=$D173,BQ$3=$AC173,BQ$3=$AE173),"",IF(BQ$3=$AD173,$F173&amp;"R",BQ172))))</f>
        <v/>
      </c>
      <c r="BR173" s="11" t="str">
        <f aca="false">IF($P173=0,BR172,IF(BR$3=$E173,IF($AA173=1,$F173&amp;$AB173,$G173),IF(OR(BR$3=$D173,BR$3=$AC173,BR$3=$AE173),"",IF(BR$3=$AD173,$F173&amp;"R",BR172))))</f>
        <v/>
      </c>
      <c r="BS173" s="11" t="str">
        <f aca="false">IF($P173=0,BS172,IF(BS$3=$E173,IF($AA173=1,$F173&amp;$AB173,$G173),IF(OR(BS$3=$D173,BS$3=$AC173,BS$3=$AE173),"",IF(BS$3=$AD173,$F173&amp;"R",BS172))))</f>
        <v/>
      </c>
      <c r="BT173" s="11" t="str">
        <f aca="false">IF($P173=0,BT172,IF(BT$3=$E173,IF($AA173=1,$F173&amp;$AB173,$G173),IF(OR(BT$3=$D173,BT$3=$AC173,BT$3=$AE173),"",IF(BT$3=$AD173,$F173&amp;"R",BT172))))</f>
        <v/>
      </c>
      <c r="BU173" s="11" t="str">
        <f aca="false">IF($P173=0,BU172,IF(BU$3=$E173,IF($AA173=1,$F173&amp;$AB173,$G173),IF(OR(BU$3=$D173,BU$3=$AC173,BU$3=$AE173),"",IF(BU$3=$AD173,$F173&amp;"R",BU172))))</f>
        <v/>
      </c>
      <c r="BV173" s="11" t="str">
        <f aca="false">IF($P173=0,BV172,IF(BV$3=$E173,IF($AA173=1,$F173&amp;$AB173,$G173),IF(OR(BV$3=$D173,BV$3=$AC173,BV$3=$AE173),"",IF(BV$3=$AD173,$F173&amp;"R",BV172))))</f>
        <v/>
      </c>
      <c r="BW173" s="11" t="str">
        <f aca="false">IF($P173=0,BW172,IF(BW$3=$E173,IF($AA173=1,$F173&amp;$AB173,$G173),IF(OR(BW$3=$D173,BW$3=$AC173,BW$3=$AE173),"",IF(BW$3=$AD173,$F173&amp;"R",BW172))))</f>
        <v/>
      </c>
      <c r="BX173" s="11" t="str">
        <f aca="false">IF($P173=0,BX172,IF(BX$3=$E173,IF($AA173=1,$F173&amp;$AB173,$G173),IF(OR(BX$3=$D173,BX$3=$AC173,BX$3=$AE173),"",IF(BX$3=$AD173,$F173&amp;"R",BX172))))</f>
        <v/>
      </c>
      <c r="BY173" s="11" t="str">
        <f aca="false">IF($P173=0,BY172,IF(BY$3=$E173,IF($AA173=1,$F173&amp;$AB173,$G173),IF(OR(BY$3=$D173,BY$3=$AC173,BY$3=$AE173),"",IF(BY$3=$AD173,$F173&amp;"R",BY172))))</f>
        <v/>
      </c>
      <c r="BZ173" s="11" t="str">
        <f aca="false">IF($P173=0,BZ172,IF(BZ$3=$E173,IF($AA173=1,$F173&amp;$AB173,$G173),IF(OR(BZ$3=$D173,BZ$3=$AC173,BZ$3=$AE173),"",IF(BZ$3=$AD173,$F173&amp;"R",BZ172))))</f>
        <v/>
      </c>
      <c r="CA173" s="11" t="str">
        <f aca="false">IF($P173=0,CA172,IF(CA$3=$E173,IF($AA173=1,$F173&amp;$AB173,$G173),IF(OR(CA$3=$D173,CA$3=$AC173,CA$3=$AE173),"",IF(CA$3=$AD173,$F173&amp;"R",CA172))))</f>
        <v/>
      </c>
      <c r="CB173" s="11" t="str">
        <f aca="false">IF($P173=0,CB172,IF(CB$3=$E173,IF($AA173=1,$F173&amp;$AB173,$G173),IF(OR(CB$3=$D173,CB$3=$AC173,CB$3=$AE173),"",IF(CB$3=$AD173,$F173&amp;"R",CB172))))</f>
        <v/>
      </c>
      <c r="CC173" s="11" t="str">
        <f aca="false">IF($P173=0,CC172,IF(CC$3=$E173,IF($AA173=1,$F173&amp;$AB173,$G173),IF(OR(CC$3=$D173,CC$3=$AC173,CC$3=$AE173),"",IF(CC$3=$AD173,$F173&amp;"R",CC172))))</f>
        <v/>
      </c>
      <c r="CD173" s="11" t="str">
        <f aca="false">IF($P173=0,CD172,IF(CD$3=$E173,IF($AA173=1,$F173&amp;$AB173,$G173),IF(OR(CD$3=$D173,CD$3=$AC173,CD$3=$AE173),"",IF(CD$3=$AD173,$F173&amp;"R",CD172))))</f>
        <v>bP</v>
      </c>
      <c r="CE173" s="11" t="str">
        <f aca="false">IF($P173=0,CE172,IF(CE$3=$E173,IF($AA173=1,$F173&amp;$AB173,$G173),IF(OR(CE$3=$D173,CE$3=$AC173,CE$3=$AE173),"",IF(CE$3=$AD173,$F173&amp;"R",CE172))))</f>
        <v>bP</v>
      </c>
      <c r="CF173" s="11" t="str">
        <f aca="false">IF($P173=0,CF172,IF(CF$3=$E173,IF($AA173=1,$F173&amp;$AB173,$G173),IF(OR(CF$3=$D173,CF$3=$AC173,CF$3=$AE173),"",IF(CF$3=$AD173,$F173&amp;"R",CF172))))</f>
        <v>bP</v>
      </c>
      <c r="CG173" s="11" t="str">
        <f aca="false">IF($P173=0,CG172,IF(CG$3=$E173,IF($AA173=1,$F173&amp;$AB173,$G173),IF(OR(CG$3=$D173,CG$3=$AC173,CG$3=$AE173),"",IF(CG$3=$AD173,$F173&amp;"R",CG172))))</f>
        <v>bP</v>
      </c>
      <c r="CH173" s="11" t="str">
        <f aca="false">IF($P173=0,CH172,IF(CH$3=$E173,IF($AA173=1,$F173&amp;$AB173,$G173),IF(OR(CH$3=$D173,CH$3=$AC173,CH$3=$AE173),"",IF(CH$3=$AD173,$F173&amp;"R",CH172))))</f>
        <v>bP</v>
      </c>
      <c r="CI173" s="11" t="str">
        <f aca="false">IF($P173=0,CI172,IF(CI$3=$E173,IF($AA173=1,$F173&amp;$AB173,$G173),IF(OR(CI$3=$D173,CI$3=$AC173,CI$3=$AE173),"",IF(CI$3=$AD173,$F173&amp;"R",CI172))))</f>
        <v>bP</v>
      </c>
      <c r="CJ173" s="11" t="str">
        <f aca="false">IF($P173=0,CJ172,IF(CJ$3=$E173,IF($AA173=1,$F173&amp;$AB173,$G173),IF(OR(CJ$3=$D173,CJ$3=$AC173,CJ$3=$AE173),"",IF(CJ$3=$AD173,$F173&amp;"R",CJ172))))</f>
        <v>bP</v>
      </c>
      <c r="CK173" s="11" t="str">
        <f aca="false">IF($P173=0,CK172,IF(CK$3=$E173,IF($AA173=1,$F173&amp;$AB173,$G173),IF(OR(CK$3=$D173,CK$3=$AC173,CK$3=$AE173),"",IF(CK$3=$AD173,$F173&amp;"R",CK172))))</f>
        <v>bP</v>
      </c>
      <c r="CL173" s="11" t="str">
        <f aca="false">IF($P173=0,CL172,IF(CL$3=$E173,IF($AA173=1,$F173&amp;$AB173,$G173),IF(OR(CL$3=$D173,CL$3=$AC173,CL$3=$AE173),"",IF(CL$3=$AD173,$F173&amp;"R",CL172))))</f>
        <v>bR</v>
      </c>
      <c r="CM173" s="11" t="str">
        <f aca="false">IF($P173=0,CM172,IF(CM$3=$E173,IF($AA173=1,$F173&amp;$AB173,$G173),IF(OR(CM$3=$D173,CM$3=$AC173,CM$3=$AE173),"",IF(CM$3=$AD173,$F173&amp;"R",CM172))))</f>
        <v>bN</v>
      </c>
      <c r="CN173" s="11" t="str">
        <f aca="false">IF($P173=0,CN172,IF(CN$3=$E173,IF($AA173=1,$F173&amp;$AB173,$G173),IF(OR(CN$3=$D173,CN$3=$AC173,CN$3=$AE173),"",IF(CN$3=$AD173,$F173&amp;"R",CN172))))</f>
        <v>bB</v>
      </c>
      <c r="CO173" s="11" t="str">
        <f aca="false">IF($P173=0,CO172,IF(CO$3=$E173,IF($AA173=1,$F173&amp;$AB173,$G173),IF(OR(CO$3=$D173,CO$3=$AC173,CO$3=$AE173),"",IF(CO$3=$AD173,$F173&amp;"R",CO172))))</f>
        <v>bQ</v>
      </c>
      <c r="CP173" s="11" t="str">
        <f aca="false">IF($P173=0,CP172,IF(CP$3=$E173,IF($AA173=1,$F173&amp;$AB173,$G173),IF(OR(CP$3=$D173,CP$3=$AC173,CP$3=$AE173),"",IF(CP$3=$AD173,$F173&amp;"R",CP172))))</f>
        <v>bK</v>
      </c>
      <c r="CQ173" s="11" t="str">
        <f aca="false">IF($P173=0,CQ172,IF(CQ$3=$E173,IF($AA173=1,$F173&amp;$AB173,$G173),IF(OR(CQ$3=$D173,CQ$3=$AC173,CQ$3=$AE173),"",IF(CQ$3=$AD173,$F173&amp;"R",CQ172))))</f>
        <v>bB</v>
      </c>
      <c r="CR173" s="11" t="str">
        <f aca="false">IF($P173=0,CR172,IF(CR$3=$E173,IF($AA173=1,$F173&amp;$AB173,$G173),IF(OR(CR$3=$D173,CR$3=$AC173,CR$3=$AE173),"",IF(CR$3=$AD173,$F173&amp;"R",CR172))))</f>
        <v>bN</v>
      </c>
      <c r="CS173" s="11" t="str">
        <f aca="false">IF($P173=0,CS172,IF(CS$3=$E173,IF($AA173=1,$F173&amp;$AB173,$G173),IF(OR(CS$3=$D173,CS$3=$AC173,CS$3=$AE173),"",IF(CS$3=$AD173,$F173&amp;"R",CS172))))</f>
        <v>bR</v>
      </c>
      <c r="CT173" s="11"/>
      <c r="CU173" s="11"/>
      <c r="CV173" s="11"/>
    </row>
    <row r="174" customFormat="false" ht="15" hidden="false" customHeight="false" outlineLevel="0" collapsed="false">
      <c r="A174" s="11" t="n">
        <v>169</v>
      </c>
      <c r="B174" s="11" t="str">
        <f aca="false">IF(Chess!$L$178="","",Chess!$L$178&amp;"")</f>
        <v/>
      </c>
      <c r="C174" s="11" t="str">
        <f aca="false">LOWER(SUBSTITUTE(SUBSTITUTE(SUBSTITUTE(SUBSTITUTE(TRIM($B174),"-",""),"=","")," ",""),"x",""))</f>
        <v/>
      </c>
      <c r="D174" s="11" t="n">
        <f aca="false">IF(LEN($C174)&lt;4,0,IFERROR(IF(AND(CODE(MID($C174,1,1))&gt;=97,CODE(MID($C174,1,1))&lt;=104,VALUE(MID($C174,2,1))&gt;=1,VALUE(MID($C174,2,1))&lt;=8),(VALUE(MID($C174,2,1))-1)*8+CODE(MID($C174,1,1))-96,0),0))</f>
        <v>0</v>
      </c>
      <c r="E174" s="11" t="n">
        <f aca="false">IF(LEN($C174)&lt;4,0,IFERROR(IF(AND(CODE(MID($C174,3,1))&gt;=97,CODE(MID($C174,3,1))&lt;=104,VALUE(MID($C174,4,1))&gt;=1,VALUE(MID($C174,4,1))&lt;=8),(VALUE(MID($C174,4,1))-1)*8+CODE(MID($C174,3,1))-96,0),0))</f>
        <v>0</v>
      </c>
      <c r="F174" s="11" t="str">
        <f aca="false">IF(MOD(SUM($P$5:$P173),2)=0,"w","b")</f>
        <v>w</v>
      </c>
      <c r="G174" s="11" t="str">
        <f aca="false">IF($D174=0,"",INDEX($AH173:$CS173,1,$D174)&amp;"")</f>
        <v/>
      </c>
      <c r="H174" s="11" t="str">
        <f aca="false">IF($E174=0,"",INDEX($AH173:$CS173,1,$E174)&amp;"")</f>
        <v/>
      </c>
      <c r="I174" s="11" t="n">
        <f aca="false">IF(OR($D174=0,$E174=0),0,MOD($E174-1,8)-MOD($D174-1,8))</f>
        <v>0</v>
      </c>
      <c r="J174" s="11" t="n">
        <f aca="false">IF(OR($D174=0,$E174=0),0,INT(($E174-1)/8)-INT(($D174-1)/8))</f>
        <v>0</v>
      </c>
      <c r="K174" s="11" t="str">
        <f aca="false">IF($G174="","",RIGHT($G174,1))</f>
        <v/>
      </c>
      <c r="L174" s="11" t="n">
        <f aca="false">IF(OR($D174=0,$E174=0),0,SUMPRODUCT(($AH$3:$CS$3&gt;MIN($D174,$E174))*($AH$3:$CS$3&lt;MAX($D174,$E174))*(MOD($AH$3:$CS$3-MIN($D174,$E174),MAX(1,ABS(SIGN($J174)*8+SIGN($I174))))=0)*($AH173:$CS173&lt;&gt;"")))</f>
        <v>0</v>
      </c>
      <c r="M174" s="11" t="n">
        <f aca="false">IF($K174&lt;&gt;"K",0,IFERROR(--AND($J174=0,ABS($I174)=2,$D174=IF($F174="w",5,61),IF($F174="w",$S173,$V173)=0,IF($I174=2,AND(IF($F174="w",$U173,$X173)=0,INDEX($AH173:$CS173,1,$D174+1)&amp;""="",INDEX($AH173:$CS173,1,$D174+2)&amp;""=""),AND(IF($F174="w",$T173,$W173)=0,INDEX($AH173:$CS173,1,$D174-1)&amp;""="",INDEX($AH173:$CS173,1,$D174-2)&amp;""="",INDEX($AH173:$CS173,1,$D174-3)&amp;""=""))),0))</f>
        <v>0</v>
      </c>
      <c r="N174" s="11" t="n">
        <f aca="false">IF($K174&lt;&gt;"P",0,IFERROR(--OR(AND($I174=0,$J174=IF($F174="w",1,-1),$H174=""),AND($I174=0,$J174=2*IF($F174="w",1,-1),$H174="",INT(($D174-1)/8)=IF($F174="w",1,6),INDEX($AH173:$CS173,1,MAX(1,MIN(64,$D174+8*IF($F174="w",1,-1))))&amp;""=""),AND(ABS($I174)=1,$J174=IF($F174="w",1,-1),$H174&lt;&gt;""),AND(ABS($I174)=1,$J174=IF($F174="w",1,-1),$H174="",$R173&gt;0,$E174=$R173)),0))</f>
        <v>0</v>
      </c>
      <c r="O174" s="11" t="n">
        <f aca="false">IF(OR($D174=0,$E174=0,$G174=""),0,IF($K174="N",--OR(AND(ABS($I174)=1,ABS($J174)=2),AND(ABS($I174)=2,ABS($J174)=1)),IF($K174="B",--AND(ABS($I174)=ABS($J174),$I174&lt;&gt;0,$L174=0),IF($K174="R",--AND(OR($I174=0,$J174=0),OR($I174&lt;&gt;0,$J174&lt;&gt;0),$L174=0),IF($K174="Q",--AND(OR(AND(ABS($I174)=ABS($J174),$I174&lt;&gt;0),AND(OR($I174=0,$J174=0),OR($I174&lt;&gt;0,$J174&lt;&gt;0))),$L174=0),IF($K174="K",--OR(MAX(ABS($I174),ABS($J174))=1,$M174=1),$N174))))))</f>
        <v>0</v>
      </c>
      <c r="P174" s="11" t="n">
        <f aca="false">IF($Q174="OK",1,0)</f>
        <v>0</v>
      </c>
      <c r="Q174" s="11" t="str">
        <f aca="false">IF($B174="","",IF(OR(COUNTIF($AH173:$CS173,"wK")=0,COUNTIF($AH173:$CS173,"bK")=0),"Game is over",IF(OR($D174=0,$E174=0),"Use the format e2e4",IF($G174="","No piece on that square",IF(LEFT($G174,1)&lt;&gt;$F174,"Not your piece ("&amp;IF($F174="w","White","Black")&amp;" to move)",IF($D174=$E174,"Piece must move",IF(AND($H174&lt;&gt;"",LEFT($H174,1)=$F174),"Cannot capture your own piece",IF($O174=0,"Illegal move for that piece (or path blocked)","OK"))))))))</f>
        <v/>
      </c>
      <c r="R174" s="11" t="n">
        <f aca="false">IF($P174=1,IF(AND($K174="P",ABS($J174)=2),($D174+$E174)/2,0),$R173)</f>
        <v>0</v>
      </c>
      <c r="S174" s="12" t="b">
        <f aca="false">--OR($S173=1,AND($P174=1,OR($D174=5,$E174=5)))</f>
        <v>0</v>
      </c>
      <c r="T174" s="12" t="b">
        <f aca="false">--OR($T173=1,AND($P174=1,OR($D174=1,$E174=1)))</f>
        <v>0</v>
      </c>
      <c r="U174" s="12" t="b">
        <f aca="false">--OR($U173=1,AND($P174=1,OR($D174=8,$E174=8)))</f>
        <v>0</v>
      </c>
      <c r="V174" s="12" t="b">
        <f aca="false">--OR($V173=1,AND($P174=1,OR($D174=61,$E174=61)))</f>
        <v>0</v>
      </c>
      <c r="W174" s="12" t="b">
        <f aca="false">--OR($W173=1,AND($P174=1,OR($D174=57,$E174=57)))</f>
        <v>0</v>
      </c>
      <c r="X174" s="12" t="b">
        <f aca="false">--OR($X173=1,AND($P174=1,OR($D174=64,$E174=64)))</f>
        <v>0</v>
      </c>
      <c r="Y174" s="12" t="b">
        <f aca="false">--AND($P174=1,$K174="K",ABS($I174)=2)</f>
        <v>0</v>
      </c>
      <c r="Z174" s="12" t="b">
        <f aca="false">--AND($P174=1,$K174="P",ABS($I174)=1,$H174="")</f>
        <v>0</v>
      </c>
      <c r="AA174" s="12" t="b">
        <f aca="false">--AND($P174=1,$K174="P",INT(($E174-1)/8)=IF($F174="w",7,0))</f>
        <v>0</v>
      </c>
      <c r="AB174" s="11" t="str">
        <f aca="false">IF(LEN($C174)&gt;=5,IF(ISNUMBER(FIND(MID($C174,5,1),"qrbn")),UPPER(MID($C174,5,1)),"Q"),"Q")</f>
        <v>Q</v>
      </c>
      <c r="AC174" s="11" t="n">
        <f aca="false">IF($Y174=1,IF($I174=2,$D174+3,$D174-4),0)</f>
        <v>0</v>
      </c>
      <c r="AD174" s="11" t="n">
        <f aca="false">IF($Y174=1,IF($I174=2,$D174+1,$D174-1),0)</f>
        <v>0</v>
      </c>
      <c r="AE174" s="11" t="n">
        <f aca="false">IF($Z174=1,$E174-8*IF($F174="w",1,-1),0)</f>
        <v>0</v>
      </c>
      <c r="AF174" s="11" t="str">
        <f aca="false">IF($B174="","",IF($P174=1,LOWER(INDEX($CV$2:$CV$13,MATCH($G174,$CU$2:$CU$13,0)))&amp;" "&amp;MID("abcdefgh",MOD($D174-1,8)+1,1)&amp;(INT(($D174-1)/8)+1)&amp;"→"&amp;MID("abcdefgh",MOD($E174-1,8)+1,1)&amp;(INT(($E174-1)/8)+1)&amp;IF(OR($H174&lt;&gt;"",$Z174=1)," ×","")&amp;IF($Y174=1," castles","")&amp;IF($Z174=1," e.p.","")&amp;IF($AA174=1," =" &amp;LOWER(INDEX($CV$2:$CV$13,MATCH($F174&amp;$AB174,$CU$2:$CU$13,0))),""),"X "&amp;$Q174))</f>
        <v/>
      </c>
      <c r="AG174" s="11"/>
      <c r="AH174" s="11" t="str">
        <f aca="false">IF($P174=0,AH173,IF(AH$3=$E174,IF($AA174=1,$F174&amp;$AB174,$G174),IF(OR(AH$3=$D174,AH$3=$AC174,AH$3=$AE174),"",IF(AH$3=$AD174,$F174&amp;"R",AH173))))</f>
        <v>wR</v>
      </c>
      <c r="AI174" s="11" t="str">
        <f aca="false">IF($P174=0,AI173,IF(AI$3=$E174,IF($AA174=1,$F174&amp;$AB174,$G174),IF(OR(AI$3=$D174,AI$3=$AC174,AI$3=$AE174),"",IF(AI$3=$AD174,$F174&amp;"R",AI173))))</f>
        <v>wN</v>
      </c>
      <c r="AJ174" s="11" t="str">
        <f aca="false">IF($P174=0,AJ173,IF(AJ$3=$E174,IF($AA174=1,$F174&amp;$AB174,$G174),IF(OR(AJ$3=$D174,AJ$3=$AC174,AJ$3=$AE174),"",IF(AJ$3=$AD174,$F174&amp;"R",AJ173))))</f>
        <v>wB</v>
      </c>
      <c r="AK174" s="11" t="str">
        <f aca="false">IF($P174=0,AK173,IF(AK$3=$E174,IF($AA174=1,$F174&amp;$AB174,$G174),IF(OR(AK$3=$D174,AK$3=$AC174,AK$3=$AE174),"",IF(AK$3=$AD174,$F174&amp;"R",AK173))))</f>
        <v>wQ</v>
      </c>
      <c r="AL174" s="11" t="str">
        <f aca="false">IF($P174=0,AL173,IF(AL$3=$E174,IF($AA174=1,$F174&amp;$AB174,$G174),IF(OR(AL$3=$D174,AL$3=$AC174,AL$3=$AE174),"",IF(AL$3=$AD174,$F174&amp;"R",AL173))))</f>
        <v>wK</v>
      </c>
      <c r="AM174" s="11" t="str">
        <f aca="false">IF($P174=0,AM173,IF(AM$3=$E174,IF($AA174=1,$F174&amp;$AB174,$G174),IF(OR(AM$3=$D174,AM$3=$AC174,AM$3=$AE174),"",IF(AM$3=$AD174,$F174&amp;"R",AM173))))</f>
        <v>wB</v>
      </c>
      <c r="AN174" s="11" t="str">
        <f aca="false">IF($P174=0,AN173,IF(AN$3=$E174,IF($AA174=1,$F174&amp;$AB174,$G174),IF(OR(AN$3=$D174,AN$3=$AC174,AN$3=$AE174),"",IF(AN$3=$AD174,$F174&amp;"R",AN173))))</f>
        <v>wN</v>
      </c>
      <c r="AO174" s="11" t="str">
        <f aca="false">IF($P174=0,AO173,IF(AO$3=$E174,IF($AA174=1,$F174&amp;$AB174,$G174),IF(OR(AO$3=$D174,AO$3=$AC174,AO$3=$AE174),"",IF(AO$3=$AD174,$F174&amp;"R",AO173))))</f>
        <v>wR</v>
      </c>
      <c r="AP174" s="11" t="str">
        <f aca="false">IF($P174=0,AP173,IF(AP$3=$E174,IF($AA174=1,$F174&amp;$AB174,$G174),IF(OR(AP$3=$D174,AP$3=$AC174,AP$3=$AE174),"",IF(AP$3=$AD174,$F174&amp;"R",AP173))))</f>
        <v>wP</v>
      </c>
      <c r="AQ174" s="11" t="str">
        <f aca="false">IF($P174=0,AQ173,IF(AQ$3=$E174,IF($AA174=1,$F174&amp;$AB174,$G174),IF(OR(AQ$3=$D174,AQ$3=$AC174,AQ$3=$AE174),"",IF(AQ$3=$AD174,$F174&amp;"R",AQ173))))</f>
        <v>wP</v>
      </c>
      <c r="AR174" s="11" t="str">
        <f aca="false">IF($P174=0,AR173,IF(AR$3=$E174,IF($AA174=1,$F174&amp;$AB174,$G174),IF(OR(AR$3=$D174,AR$3=$AC174,AR$3=$AE174),"",IF(AR$3=$AD174,$F174&amp;"R",AR173))))</f>
        <v>wP</v>
      </c>
      <c r="AS174" s="11" t="str">
        <f aca="false">IF($P174=0,AS173,IF(AS$3=$E174,IF($AA174=1,$F174&amp;$AB174,$G174),IF(OR(AS$3=$D174,AS$3=$AC174,AS$3=$AE174),"",IF(AS$3=$AD174,$F174&amp;"R",AS173))))</f>
        <v>wP</v>
      </c>
      <c r="AT174" s="11" t="str">
        <f aca="false">IF($P174=0,AT173,IF(AT$3=$E174,IF($AA174=1,$F174&amp;$AB174,$G174),IF(OR(AT$3=$D174,AT$3=$AC174,AT$3=$AE174),"",IF(AT$3=$AD174,$F174&amp;"R",AT173))))</f>
        <v>wP</v>
      </c>
      <c r="AU174" s="11" t="str">
        <f aca="false">IF($P174=0,AU173,IF(AU$3=$E174,IF($AA174=1,$F174&amp;$AB174,$G174),IF(OR(AU$3=$D174,AU$3=$AC174,AU$3=$AE174),"",IF(AU$3=$AD174,$F174&amp;"R",AU173))))</f>
        <v>wP</v>
      </c>
      <c r="AV174" s="11" t="str">
        <f aca="false">IF($P174=0,AV173,IF(AV$3=$E174,IF($AA174=1,$F174&amp;$AB174,$G174),IF(OR(AV$3=$D174,AV$3=$AC174,AV$3=$AE174),"",IF(AV$3=$AD174,$F174&amp;"R",AV173))))</f>
        <v>wP</v>
      </c>
      <c r="AW174" s="11" t="str">
        <f aca="false">IF($P174=0,AW173,IF(AW$3=$E174,IF($AA174=1,$F174&amp;$AB174,$G174),IF(OR(AW$3=$D174,AW$3=$AC174,AW$3=$AE174),"",IF(AW$3=$AD174,$F174&amp;"R",AW173))))</f>
        <v>wP</v>
      </c>
      <c r="AX174" s="11" t="str">
        <f aca="false">IF($P174=0,AX173,IF(AX$3=$E174,IF($AA174=1,$F174&amp;$AB174,$G174),IF(OR(AX$3=$D174,AX$3=$AC174,AX$3=$AE174),"",IF(AX$3=$AD174,$F174&amp;"R",AX173))))</f>
        <v/>
      </c>
      <c r="AY174" s="11" t="str">
        <f aca="false">IF($P174=0,AY173,IF(AY$3=$E174,IF($AA174=1,$F174&amp;$AB174,$G174),IF(OR(AY$3=$D174,AY$3=$AC174,AY$3=$AE174),"",IF(AY$3=$AD174,$F174&amp;"R",AY173))))</f>
        <v/>
      </c>
      <c r="AZ174" s="11" t="str">
        <f aca="false">IF($P174=0,AZ173,IF(AZ$3=$E174,IF($AA174=1,$F174&amp;$AB174,$G174),IF(OR(AZ$3=$D174,AZ$3=$AC174,AZ$3=$AE174),"",IF(AZ$3=$AD174,$F174&amp;"R",AZ173))))</f>
        <v/>
      </c>
      <c r="BA174" s="11" t="str">
        <f aca="false">IF($P174=0,BA173,IF(BA$3=$E174,IF($AA174=1,$F174&amp;$AB174,$G174),IF(OR(BA$3=$D174,BA$3=$AC174,BA$3=$AE174),"",IF(BA$3=$AD174,$F174&amp;"R",BA173))))</f>
        <v/>
      </c>
      <c r="BB174" s="11" t="str">
        <f aca="false">IF($P174=0,BB173,IF(BB$3=$E174,IF($AA174=1,$F174&amp;$AB174,$G174),IF(OR(BB$3=$D174,BB$3=$AC174,BB$3=$AE174),"",IF(BB$3=$AD174,$F174&amp;"R",BB173))))</f>
        <v/>
      </c>
      <c r="BC174" s="11" t="str">
        <f aca="false">IF($P174=0,BC173,IF(BC$3=$E174,IF($AA174=1,$F174&amp;$AB174,$G174),IF(OR(BC$3=$D174,BC$3=$AC174,BC$3=$AE174),"",IF(BC$3=$AD174,$F174&amp;"R",BC173))))</f>
        <v/>
      </c>
      <c r="BD174" s="11" t="str">
        <f aca="false">IF($P174=0,BD173,IF(BD$3=$E174,IF($AA174=1,$F174&amp;$AB174,$G174),IF(OR(BD$3=$D174,BD$3=$AC174,BD$3=$AE174),"",IF(BD$3=$AD174,$F174&amp;"R",BD173))))</f>
        <v/>
      </c>
      <c r="BE174" s="11" t="str">
        <f aca="false">IF($P174=0,BE173,IF(BE$3=$E174,IF($AA174=1,$F174&amp;$AB174,$G174),IF(OR(BE$3=$D174,BE$3=$AC174,BE$3=$AE174),"",IF(BE$3=$AD174,$F174&amp;"R",BE173))))</f>
        <v/>
      </c>
      <c r="BF174" s="11" t="str">
        <f aca="false">IF($P174=0,BF173,IF(BF$3=$E174,IF($AA174=1,$F174&amp;$AB174,$G174),IF(OR(BF$3=$D174,BF$3=$AC174,BF$3=$AE174),"",IF(BF$3=$AD174,$F174&amp;"R",BF173))))</f>
        <v/>
      </c>
      <c r="BG174" s="11" t="str">
        <f aca="false">IF($P174=0,BG173,IF(BG$3=$E174,IF($AA174=1,$F174&amp;$AB174,$G174),IF(OR(BG$3=$D174,BG$3=$AC174,BG$3=$AE174),"",IF(BG$3=$AD174,$F174&amp;"R",BG173))))</f>
        <v/>
      </c>
      <c r="BH174" s="11" t="str">
        <f aca="false">IF($P174=0,BH173,IF(BH$3=$E174,IF($AA174=1,$F174&amp;$AB174,$G174),IF(OR(BH$3=$D174,BH$3=$AC174,BH$3=$AE174),"",IF(BH$3=$AD174,$F174&amp;"R",BH173))))</f>
        <v/>
      </c>
      <c r="BI174" s="11" t="str">
        <f aca="false">IF($P174=0,BI173,IF(BI$3=$E174,IF($AA174=1,$F174&amp;$AB174,$G174),IF(OR(BI$3=$D174,BI$3=$AC174,BI$3=$AE174),"",IF(BI$3=$AD174,$F174&amp;"R",BI173))))</f>
        <v/>
      </c>
      <c r="BJ174" s="11" t="str">
        <f aca="false">IF($P174=0,BJ173,IF(BJ$3=$E174,IF($AA174=1,$F174&amp;$AB174,$G174),IF(OR(BJ$3=$D174,BJ$3=$AC174,BJ$3=$AE174),"",IF(BJ$3=$AD174,$F174&amp;"R",BJ173))))</f>
        <v/>
      </c>
      <c r="BK174" s="11" t="str">
        <f aca="false">IF($P174=0,BK173,IF(BK$3=$E174,IF($AA174=1,$F174&amp;$AB174,$G174),IF(OR(BK$3=$D174,BK$3=$AC174,BK$3=$AE174),"",IF(BK$3=$AD174,$F174&amp;"R",BK173))))</f>
        <v/>
      </c>
      <c r="BL174" s="11" t="str">
        <f aca="false">IF($P174=0,BL173,IF(BL$3=$E174,IF($AA174=1,$F174&amp;$AB174,$G174),IF(OR(BL$3=$D174,BL$3=$AC174,BL$3=$AE174),"",IF(BL$3=$AD174,$F174&amp;"R",BL173))))</f>
        <v/>
      </c>
      <c r="BM174" s="11" t="str">
        <f aca="false">IF($P174=0,BM173,IF(BM$3=$E174,IF($AA174=1,$F174&amp;$AB174,$G174),IF(OR(BM$3=$D174,BM$3=$AC174,BM$3=$AE174),"",IF(BM$3=$AD174,$F174&amp;"R",BM173))))</f>
        <v/>
      </c>
      <c r="BN174" s="11" t="str">
        <f aca="false">IF($P174=0,BN173,IF(BN$3=$E174,IF($AA174=1,$F174&amp;$AB174,$G174),IF(OR(BN$3=$D174,BN$3=$AC174,BN$3=$AE174),"",IF(BN$3=$AD174,$F174&amp;"R",BN173))))</f>
        <v/>
      </c>
      <c r="BO174" s="11" t="str">
        <f aca="false">IF($P174=0,BO173,IF(BO$3=$E174,IF($AA174=1,$F174&amp;$AB174,$G174),IF(OR(BO$3=$D174,BO$3=$AC174,BO$3=$AE174),"",IF(BO$3=$AD174,$F174&amp;"R",BO173))))</f>
        <v/>
      </c>
      <c r="BP174" s="11" t="str">
        <f aca="false">IF($P174=0,BP173,IF(BP$3=$E174,IF($AA174=1,$F174&amp;$AB174,$G174),IF(OR(BP$3=$D174,BP$3=$AC174,BP$3=$AE174),"",IF(BP$3=$AD174,$F174&amp;"R",BP173))))</f>
        <v/>
      </c>
      <c r="BQ174" s="11" t="str">
        <f aca="false">IF($P174=0,BQ173,IF(BQ$3=$E174,IF($AA174=1,$F174&amp;$AB174,$G174),IF(OR(BQ$3=$D174,BQ$3=$AC174,BQ$3=$AE174),"",IF(BQ$3=$AD174,$F174&amp;"R",BQ173))))</f>
        <v/>
      </c>
      <c r="BR174" s="11" t="str">
        <f aca="false">IF($P174=0,BR173,IF(BR$3=$E174,IF($AA174=1,$F174&amp;$AB174,$G174),IF(OR(BR$3=$D174,BR$3=$AC174,BR$3=$AE174),"",IF(BR$3=$AD174,$F174&amp;"R",BR173))))</f>
        <v/>
      </c>
      <c r="BS174" s="11" t="str">
        <f aca="false">IF($P174=0,BS173,IF(BS$3=$E174,IF($AA174=1,$F174&amp;$AB174,$G174),IF(OR(BS$3=$D174,BS$3=$AC174,BS$3=$AE174),"",IF(BS$3=$AD174,$F174&amp;"R",BS173))))</f>
        <v/>
      </c>
      <c r="BT174" s="11" t="str">
        <f aca="false">IF($P174=0,BT173,IF(BT$3=$E174,IF($AA174=1,$F174&amp;$AB174,$G174),IF(OR(BT$3=$D174,BT$3=$AC174,BT$3=$AE174),"",IF(BT$3=$AD174,$F174&amp;"R",BT173))))</f>
        <v/>
      </c>
      <c r="BU174" s="11" t="str">
        <f aca="false">IF($P174=0,BU173,IF(BU$3=$E174,IF($AA174=1,$F174&amp;$AB174,$G174),IF(OR(BU$3=$D174,BU$3=$AC174,BU$3=$AE174),"",IF(BU$3=$AD174,$F174&amp;"R",BU173))))</f>
        <v/>
      </c>
      <c r="BV174" s="11" t="str">
        <f aca="false">IF($P174=0,BV173,IF(BV$3=$E174,IF($AA174=1,$F174&amp;$AB174,$G174),IF(OR(BV$3=$D174,BV$3=$AC174,BV$3=$AE174),"",IF(BV$3=$AD174,$F174&amp;"R",BV173))))</f>
        <v/>
      </c>
      <c r="BW174" s="11" t="str">
        <f aca="false">IF($P174=0,BW173,IF(BW$3=$E174,IF($AA174=1,$F174&amp;$AB174,$G174),IF(OR(BW$3=$D174,BW$3=$AC174,BW$3=$AE174),"",IF(BW$3=$AD174,$F174&amp;"R",BW173))))</f>
        <v/>
      </c>
      <c r="BX174" s="11" t="str">
        <f aca="false">IF($P174=0,BX173,IF(BX$3=$E174,IF($AA174=1,$F174&amp;$AB174,$G174),IF(OR(BX$3=$D174,BX$3=$AC174,BX$3=$AE174),"",IF(BX$3=$AD174,$F174&amp;"R",BX173))))</f>
        <v/>
      </c>
      <c r="BY174" s="11" t="str">
        <f aca="false">IF($P174=0,BY173,IF(BY$3=$E174,IF($AA174=1,$F174&amp;$AB174,$G174),IF(OR(BY$3=$D174,BY$3=$AC174,BY$3=$AE174),"",IF(BY$3=$AD174,$F174&amp;"R",BY173))))</f>
        <v/>
      </c>
      <c r="BZ174" s="11" t="str">
        <f aca="false">IF($P174=0,BZ173,IF(BZ$3=$E174,IF($AA174=1,$F174&amp;$AB174,$G174),IF(OR(BZ$3=$D174,BZ$3=$AC174,BZ$3=$AE174),"",IF(BZ$3=$AD174,$F174&amp;"R",BZ173))))</f>
        <v/>
      </c>
      <c r="CA174" s="11" t="str">
        <f aca="false">IF($P174=0,CA173,IF(CA$3=$E174,IF($AA174=1,$F174&amp;$AB174,$G174),IF(OR(CA$3=$D174,CA$3=$AC174,CA$3=$AE174),"",IF(CA$3=$AD174,$F174&amp;"R",CA173))))</f>
        <v/>
      </c>
      <c r="CB174" s="11" t="str">
        <f aca="false">IF($P174=0,CB173,IF(CB$3=$E174,IF($AA174=1,$F174&amp;$AB174,$G174),IF(OR(CB$3=$D174,CB$3=$AC174,CB$3=$AE174),"",IF(CB$3=$AD174,$F174&amp;"R",CB173))))</f>
        <v/>
      </c>
      <c r="CC174" s="11" t="str">
        <f aca="false">IF($P174=0,CC173,IF(CC$3=$E174,IF($AA174=1,$F174&amp;$AB174,$G174),IF(OR(CC$3=$D174,CC$3=$AC174,CC$3=$AE174),"",IF(CC$3=$AD174,$F174&amp;"R",CC173))))</f>
        <v/>
      </c>
      <c r="CD174" s="11" t="str">
        <f aca="false">IF($P174=0,CD173,IF(CD$3=$E174,IF($AA174=1,$F174&amp;$AB174,$G174),IF(OR(CD$3=$D174,CD$3=$AC174,CD$3=$AE174),"",IF(CD$3=$AD174,$F174&amp;"R",CD173))))</f>
        <v>bP</v>
      </c>
      <c r="CE174" s="11" t="str">
        <f aca="false">IF($P174=0,CE173,IF(CE$3=$E174,IF($AA174=1,$F174&amp;$AB174,$G174),IF(OR(CE$3=$D174,CE$3=$AC174,CE$3=$AE174),"",IF(CE$3=$AD174,$F174&amp;"R",CE173))))</f>
        <v>bP</v>
      </c>
      <c r="CF174" s="11" t="str">
        <f aca="false">IF($P174=0,CF173,IF(CF$3=$E174,IF($AA174=1,$F174&amp;$AB174,$G174),IF(OR(CF$3=$D174,CF$3=$AC174,CF$3=$AE174),"",IF(CF$3=$AD174,$F174&amp;"R",CF173))))</f>
        <v>bP</v>
      </c>
      <c r="CG174" s="11" t="str">
        <f aca="false">IF($P174=0,CG173,IF(CG$3=$E174,IF($AA174=1,$F174&amp;$AB174,$G174),IF(OR(CG$3=$D174,CG$3=$AC174,CG$3=$AE174),"",IF(CG$3=$AD174,$F174&amp;"R",CG173))))</f>
        <v>bP</v>
      </c>
      <c r="CH174" s="11" t="str">
        <f aca="false">IF($P174=0,CH173,IF(CH$3=$E174,IF($AA174=1,$F174&amp;$AB174,$G174),IF(OR(CH$3=$D174,CH$3=$AC174,CH$3=$AE174),"",IF(CH$3=$AD174,$F174&amp;"R",CH173))))</f>
        <v>bP</v>
      </c>
      <c r="CI174" s="11" t="str">
        <f aca="false">IF($P174=0,CI173,IF(CI$3=$E174,IF($AA174=1,$F174&amp;$AB174,$G174),IF(OR(CI$3=$D174,CI$3=$AC174,CI$3=$AE174),"",IF(CI$3=$AD174,$F174&amp;"R",CI173))))</f>
        <v>bP</v>
      </c>
      <c r="CJ174" s="11" t="str">
        <f aca="false">IF($P174=0,CJ173,IF(CJ$3=$E174,IF($AA174=1,$F174&amp;$AB174,$G174),IF(OR(CJ$3=$D174,CJ$3=$AC174,CJ$3=$AE174),"",IF(CJ$3=$AD174,$F174&amp;"R",CJ173))))</f>
        <v>bP</v>
      </c>
      <c r="CK174" s="11" t="str">
        <f aca="false">IF($P174=0,CK173,IF(CK$3=$E174,IF($AA174=1,$F174&amp;$AB174,$G174),IF(OR(CK$3=$D174,CK$3=$AC174,CK$3=$AE174),"",IF(CK$3=$AD174,$F174&amp;"R",CK173))))</f>
        <v>bP</v>
      </c>
      <c r="CL174" s="11" t="str">
        <f aca="false">IF($P174=0,CL173,IF(CL$3=$E174,IF($AA174=1,$F174&amp;$AB174,$G174),IF(OR(CL$3=$D174,CL$3=$AC174,CL$3=$AE174),"",IF(CL$3=$AD174,$F174&amp;"R",CL173))))</f>
        <v>bR</v>
      </c>
      <c r="CM174" s="11" t="str">
        <f aca="false">IF($P174=0,CM173,IF(CM$3=$E174,IF($AA174=1,$F174&amp;$AB174,$G174),IF(OR(CM$3=$D174,CM$3=$AC174,CM$3=$AE174),"",IF(CM$3=$AD174,$F174&amp;"R",CM173))))</f>
        <v>bN</v>
      </c>
      <c r="CN174" s="11" t="str">
        <f aca="false">IF($P174=0,CN173,IF(CN$3=$E174,IF($AA174=1,$F174&amp;$AB174,$G174),IF(OR(CN$3=$D174,CN$3=$AC174,CN$3=$AE174),"",IF(CN$3=$AD174,$F174&amp;"R",CN173))))</f>
        <v>bB</v>
      </c>
      <c r="CO174" s="11" t="str">
        <f aca="false">IF($P174=0,CO173,IF(CO$3=$E174,IF($AA174=1,$F174&amp;$AB174,$G174),IF(OR(CO$3=$D174,CO$3=$AC174,CO$3=$AE174),"",IF(CO$3=$AD174,$F174&amp;"R",CO173))))</f>
        <v>bQ</v>
      </c>
      <c r="CP174" s="11" t="str">
        <f aca="false">IF($P174=0,CP173,IF(CP$3=$E174,IF($AA174=1,$F174&amp;$AB174,$G174),IF(OR(CP$3=$D174,CP$3=$AC174,CP$3=$AE174),"",IF(CP$3=$AD174,$F174&amp;"R",CP173))))</f>
        <v>bK</v>
      </c>
      <c r="CQ174" s="11" t="str">
        <f aca="false">IF($P174=0,CQ173,IF(CQ$3=$E174,IF($AA174=1,$F174&amp;$AB174,$G174),IF(OR(CQ$3=$D174,CQ$3=$AC174,CQ$3=$AE174),"",IF(CQ$3=$AD174,$F174&amp;"R",CQ173))))</f>
        <v>bB</v>
      </c>
      <c r="CR174" s="11" t="str">
        <f aca="false">IF($P174=0,CR173,IF(CR$3=$E174,IF($AA174=1,$F174&amp;$AB174,$G174),IF(OR(CR$3=$D174,CR$3=$AC174,CR$3=$AE174),"",IF(CR$3=$AD174,$F174&amp;"R",CR173))))</f>
        <v>bN</v>
      </c>
      <c r="CS174" s="11" t="str">
        <f aca="false">IF($P174=0,CS173,IF(CS$3=$E174,IF($AA174=1,$F174&amp;$AB174,$G174),IF(OR(CS$3=$D174,CS$3=$AC174,CS$3=$AE174),"",IF(CS$3=$AD174,$F174&amp;"R",CS173))))</f>
        <v>bR</v>
      </c>
      <c r="CT174" s="11"/>
      <c r="CU174" s="11"/>
      <c r="CV174" s="11"/>
    </row>
    <row r="175" customFormat="false" ht="15" hidden="false" customHeight="false" outlineLevel="0" collapsed="false">
      <c r="A175" s="11" t="n">
        <v>170</v>
      </c>
      <c r="B175" s="11" t="str">
        <f aca="false">IF(Chess!$L$179="","",Chess!$L$179&amp;"")</f>
        <v/>
      </c>
      <c r="C175" s="11" t="str">
        <f aca="false">LOWER(SUBSTITUTE(SUBSTITUTE(SUBSTITUTE(SUBSTITUTE(TRIM($B175),"-",""),"=","")," ",""),"x",""))</f>
        <v/>
      </c>
      <c r="D175" s="11" t="n">
        <f aca="false">IF(LEN($C175)&lt;4,0,IFERROR(IF(AND(CODE(MID($C175,1,1))&gt;=97,CODE(MID($C175,1,1))&lt;=104,VALUE(MID($C175,2,1))&gt;=1,VALUE(MID($C175,2,1))&lt;=8),(VALUE(MID($C175,2,1))-1)*8+CODE(MID($C175,1,1))-96,0),0))</f>
        <v>0</v>
      </c>
      <c r="E175" s="11" t="n">
        <f aca="false">IF(LEN($C175)&lt;4,0,IFERROR(IF(AND(CODE(MID($C175,3,1))&gt;=97,CODE(MID($C175,3,1))&lt;=104,VALUE(MID($C175,4,1))&gt;=1,VALUE(MID($C175,4,1))&lt;=8),(VALUE(MID($C175,4,1))-1)*8+CODE(MID($C175,3,1))-96,0),0))</f>
        <v>0</v>
      </c>
      <c r="F175" s="11" t="str">
        <f aca="false">IF(MOD(SUM($P$5:$P174),2)=0,"w","b")</f>
        <v>w</v>
      </c>
      <c r="G175" s="11" t="str">
        <f aca="false">IF($D175=0,"",INDEX($AH174:$CS174,1,$D175)&amp;"")</f>
        <v/>
      </c>
      <c r="H175" s="11" t="str">
        <f aca="false">IF($E175=0,"",INDEX($AH174:$CS174,1,$E175)&amp;"")</f>
        <v/>
      </c>
      <c r="I175" s="11" t="n">
        <f aca="false">IF(OR($D175=0,$E175=0),0,MOD($E175-1,8)-MOD($D175-1,8))</f>
        <v>0</v>
      </c>
      <c r="J175" s="11" t="n">
        <f aca="false">IF(OR($D175=0,$E175=0),0,INT(($E175-1)/8)-INT(($D175-1)/8))</f>
        <v>0</v>
      </c>
      <c r="K175" s="11" t="str">
        <f aca="false">IF($G175="","",RIGHT($G175,1))</f>
        <v/>
      </c>
      <c r="L175" s="11" t="n">
        <f aca="false">IF(OR($D175=0,$E175=0),0,SUMPRODUCT(($AH$3:$CS$3&gt;MIN($D175,$E175))*($AH$3:$CS$3&lt;MAX($D175,$E175))*(MOD($AH$3:$CS$3-MIN($D175,$E175),MAX(1,ABS(SIGN($J175)*8+SIGN($I175))))=0)*($AH174:$CS174&lt;&gt;"")))</f>
        <v>0</v>
      </c>
      <c r="M175" s="11" t="n">
        <f aca="false">IF($K175&lt;&gt;"K",0,IFERROR(--AND($J175=0,ABS($I175)=2,$D175=IF($F175="w",5,61),IF($F175="w",$S174,$V174)=0,IF($I175=2,AND(IF($F175="w",$U174,$X174)=0,INDEX($AH174:$CS174,1,$D175+1)&amp;""="",INDEX($AH174:$CS174,1,$D175+2)&amp;""=""),AND(IF($F175="w",$T174,$W174)=0,INDEX($AH174:$CS174,1,$D175-1)&amp;""="",INDEX($AH174:$CS174,1,$D175-2)&amp;""="",INDEX($AH174:$CS174,1,$D175-3)&amp;""=""))),0))</f>
        <v>0</v>
      </c>
      <c r="N175" s="11" t="n">
        <f aca="false">IF($K175&lt;&gt;"P",0,IFERROR(--OR(AND($I175=0,$J175=IF($F175="w",1,-1),$H175=""),AND($I175=0,$J175=2*IF($F175="w",1,-1),$H175="",INT(($D175-1)/8)=IF($F175="w",1,6),INDEX($AH174:$CS174,1,MAX(1,MIN(64,$D175+8*IF($F175="w",1,-1))))&amp;""=""),AND(ABS($I175)=1,$J175=IF($F175="w",1,-1),$H175&lt;&gt;""),AND(ABS($I175)=1,$J175=IF($F175="w",1,-1),$H175="",$R174&gt;0,$E175=$R174)),0))</f>
        <v>0</v>
      </c>
      <c r="O175" s="11" t="n">
        <f aca="false">IF(OR($D175=0,$E175=0,$G175=""),0,IF($K175="N",--OR(AND(ABS($I175)=1,ABS($J175)=2),AND(ABS($I175)=2,ABS($J175)=1)),IF($K175="B",--AND(ABS($I175)=ABS($J175),$I175&lt;&gt;0,$L175=0),IF($K175="R",--AND(OR($I175=0,$J175=0),OR($I175&lt;&gt;0,$J175&lt;&gt;0),$L175=0),IF($K175="Q",--AND(OR(AND(ABS($I175)=ABS($J175),$I175&lt;&gt;0),AND(OR($I175=0,$J175=0),OR($I175&lt;&gt;0,$J175&lt;&gt;0))),$L175=0),IF($K175="K",--OR(MAX(ABS($I175),ABS($J175))=1,$M175=1),$N175))))))</f>
        <v>0</v>
      </c>
      <c r="P175" s="11" t="n">
        <f aca="false">IF($Q175="OK",1,0)</f>
        <v>0</v>
      </c>
      <c r="Q175" s="11" t="str">
        <f aca="false">IF($B175="","",IF(OR(COUNTIF($AH174:$CS174,"wK")=0,COUNTIF($AH174:$CS174,"bK")=0),"Game is over",IF(OR($D175=0,$E175=0),"Use the format e2e4",IF($G175="","No piece on that square",IF(LEFT($G175,1)&lt;&gt;$F175,"Not your piece ("&amp;IF($F175="w","White","Black")&amp;" to move)",IF($D175=$E175,"Piece must move",IF(AND($H175&lt;&gt;"",LEFT($H175,1)=$F175),"Cannot capture your own piece",IF($O175=0,"Illegal move for that piece (or path blocked)","OK"))))))))</f>
        <v/>
      </c>
      <c r="R175" s="11" t="n">
        <f aca="false">IF($P175=1,IF(AND($K175="P",ABS($J175)=2),($D175+$E175)/2,0),$R174)</f>
        <v>0</v>
      </c>
      <c r="S175" s="12" t="b">
        <f aca="false">--OR($S174=1,AND($P175=1,OR($D175=5,$E175=5)))</f>
        <v>0</v>
      </c>
      <c r="T175" s="12" t="b">
        <f aca="false">--OR($T174=1,AND($P175=1,OR($D175=1,$E175=1)))</f>
        <v>0</v>
      </c>
      <c r="U175" s="12" t="b">
        <f aca="false">--OR($U174=1,AND($P175=1,OR($D175=8,$E175=8)))</f>
        <v>0</v>
      </c>
      <c r="V175" s="12" t="b">
        <f aca="false">--OR($V174=1,AND($P175=1,OR($D175=61,$E175=61)))</f>
        <v>0</v>
      </c>
      <c r="W175" s="12" t="b">
        <f aca="false">--OR($W174=1,AND($P175=1,OR($D175=57,$E175=57)))</f>
        <v>0</v>
      </c>
      <c r="X175" s="12" t="b">
        <f aca="false">--OR($X174=1,AND($P175=1,OR($D175=64,$E175=64)))</f>
        <v>0</v>
      </c>
      <c r="Y175" s="12" t="b">
        <f aca="false">--AND($P175=1,$K175="K",ABS($I175)=2)</f>
        <v>0</v>
      </c>
      <c r="Z175" s="12" t="b">
        <f aca="false">--AND($P175=1,$K175="P",ABS($I175)=1,$H175="")</f>
        <v>0</v>
      </c>
      <c r="AA175" s="12" t="b">
        <f aca="false">--AND($P175=1,$K175="P",INT(($E175-1)/8)=IF($F175="w",7,0))</f>
        <v>0</v>
      </c>
      <c r="AB175" s="11" t="str">
        <f aca="false">IF(LEN($C175)&gt;=5,IF(ISNUMBER(FIND(MID($C175,5,1),"qrbn")),UPPER(MID($C175,5,1)),"Q"),"Q")</f>
        <v>Q</v>
      </c>
      <c r="AC175" s="11" t="n">
        <f aca="false">IF($Y175=1,IF($I175=2,$D175+3,$D175-4),0)</f>
        <v>0</v>
      </c>
      <c r="AD175" s="11" t="n">
        <f aca="false">IF($Y175=1,IF($I175=2,$D175+1,$D175-1),0)</f>
        <v>0</v>
      </c>
      <c r="AE175" s="11" t="n">
        <f aca="false">IF($Z175=1,$E175-8*IF($F175="w",1,-1),0)</f>
        <v>0</v>
      </c>
      <c r="AF175" s="11" t="str">
        <f aca="false">IF($B175="","",IF($P175=1,LOWER(INDEX($CV$2:$CV$13,MATCH($G175,$CU$2:$CU$13,0)))&amp;" "&amp;MID("abcdefgh",MOD($D175-1,8)+1,1)&amp;(INT(($D175-1)/8)+1)&amp;"→"&amp;MID("abcdefgh",MOD($E175-1,8)+1,1)&amp;(INT(($E175-1)/8)+1)&amp;IF(OR($H175&lt;&gt;"",$Z175=1)," ×","")&amp;IF($Y175=1," castles","")&amp;IF($Z175=1," e.p.","")&amp;IF($AA175=1," =" &amp;LOWER(INDEX($CV$2:$CV$13,MATCH($F175&amp;$AB175,$CU$2:$CU$13,0))),""),"X "&amp;$Q175))</f>
        <v/>
      </c>
      <c r="AG175" s="11"/>
      <c r="AH175" s="11" t="str">
        <f aca="false">IF($P175=0,AH174,IF(AH$3=$E175,IF($AA175=1,$F175&amp;$AB175,$G175),IF(OR(AH$3=$D175,AH$3=$AC175,AH$3=$AE175),"",IF(AH$3=$AD175,$F175&amp;"R",AH174))))</f>
        <v>wR</v>
      </c>
      <c r="AI175" s="11" t="str">
        <f aca="false">IF($P175=0,AI174,IF(AI$3=$E175,IF($AA175=1,$F175&amp;$AB175,$G175),IF(OR(AI$3=$D175,AI$3=$AC175,AI$3=$AE175),"",IF(AI$3=$AD175,$F175&amp;"R",AI174))))</f>
        <v>wN</v>
      </c>
      <c r="AJ175" s="11" t="str">
        <f aca="false">IF($P175=0,AJ174,IF(AJ$3=$E175,IF($AA175=1,$F175&amp;$AB175,$G175),IF(OR(AJ$3=$D175,AJ$3=$AC175,AJ$3=$AE175),"",IF(AJ$3=$AD175,$F175&amp;"R",AJ174))))</f>
        <v>wB</v>
      </c>
      <c r="AK175" s="11" t="str">
        <f aca="false">IF($P175=0,AK174,IF(AK$3=$E175,IF($AA175=1,$F175&amp;$AB175,$G175),IF(OR(AK$3=$D175,AK$3=$AC175,AK$3=$AE175),"",IF(AK$3=$AD175,$F175&amp;"R",AK174))))</f>
        <v>wQ</v>
      </c>
      <c r="AL175" s="11" t="str">
        <f aca="false">IF($P175=0,AL174,IF(AL$3=$E175,IF($AA175=1,$F175&amp;$AB175,$G175),IF(OR(AL$3=$D175,AL$3=$AC175,AL$3=$AE175),"",IF(AL$3=$AD175,$F175&amp;"R",AL174))))</f>
        <v>wK</v>
      </c>
      <c r="AM175" s="11" t="str">
        <f aca="false">IF($P175=0,AM174,IF(AM$3=$E175,IF($AA175=1,$F175&amp;$AB175,$G175),IF(OR(AM$3=$D175,AM$3=$AC175,AM$3=$AE175),"",IF(AM$3=$AD175,$F175&amp;"R",AM174))))</f>
        <v>wB</v>
      </c>
      <c r="AN175" s="11" t="str">
        <f aca="false">IF($P175=0,AN174,IF(AN$3=$E175,IF($AA175=1,$F175&amp;$AB175,$G175),IF(OR(AN$3=$D175,AN$3=$AC175,AN$3=$AE175),"",IF(AN$3=$AD175,$F175&amp;"R",AN174))))</f>
        <v>wN</v>
      </c>
      <c r="AO175" s="11" t="str">
        <f aca="false">IF($P175=0,AO174,IF(AO$3=$E175,IF($AA175=1,$F175&amp;$AB175,$G175),IF(OR(AO$3=$D175,AO$3=$AC175,AO$3=$AE175),"",IF(AO$3=$AD175,$F175&amp;"R",AO174))))</f>
        <v>wR</v>
      </c>
      <c r="AP175" s="11" t="str">
        <f aca="false">IF($P175=0,AP174,IF(AP$3=$E175,IF($AA175=1,$F175&amp;$AB175,$G175),IF(OR(AP$3=$D175,AP$3=$AC175,AP$3=$AE175),"",IF(AP$3=$AD175,$F175&amp;"R",AP174))))</f>
        <v>wP</v>
      </c>
      <c r="AQ175" s="11" t="str">
        <f aca="false">IF($P175=0,AQ174,IF(AQ$3=$E175,IF($AA175=1,$F175&amp;$AB175,$G175),IF(OR(AQ$3=$D175,AQ$3=$AC175,AQ$3=$AE175),"",IF(AQ$3=$AD175,$F175&amp;"R",AQ174))))</f>
        <v>wP</v>
      </c>
      <c r="AR175" s="11" t="str">
        <f aca="false">IF($P175=0,AR174,IF(AR$3=$E175,IF($AA175=1,$F175&amp;$AB175,$G175),IF(OR(AR$3=$D175,AR$3=$AC175,AR$3=$AE175),"",IF(AR$3=$AD175,$F175&amp;"R",AR174))))</f>
        <v>wP</v>
      </c>
      <c r="AS175" s="11" t="str">
        <f aca="false">IF($P175=0,AS174,IF(AS$3=$E175,IF($AA175=1,$F175&amp;$AB175,$G175),IF(OR(AS$3=$D175,AS$3=$AC175,AS$3=$AE175),"",IF(AS$3=$AD175,$F175&amp;"R",AS174))))</f>
        <v>wP</v>
      </c>
      <c r="AT175" s="11" t="str">
        <f aca="false">IF($P175=0,AT174,IF(AT$3=$E175,IF($AA175=1,$F175&amp;$AB175,$G175),IF(OR(AT$3=$D175,AT$3=$AC175,AT$3=$AE175),"",IF(AT$3=$AD175,$F175&amp;"R",AT174))))</f>
        <v>wP</v>
      </c>
      <c r="AU175" s="11" t="str">
        <f aca="false">IF($P175=0,AU174,IF(AU$3=$E175,IF($AA175=1,$F175&amp;$AB175,$G175),IF(OR(AU$3=$D175,AU$3=$AC175,AU$3=$AE175),"",IF(AU$3=$AD175,$F175&amp;"R",AU174))))</f>
        <v>wP</v>
      </c>
      <c r="AV175" s="11" t="str">
        <f aca="false">IF($P175=0,AV174,IF(AV$3=$E175,IF($AA175=1,$F175&amp;$AB175,$G175),IF(OR(AV$3=$D175,AV$3=$AC175,AV$3=$AE175),"",IF(AV$3=$AD175,$F175&amp;"R",AV174))))</f>
        <v>wP</v>
      </c>
      <c r="AW175" s="11" t="str">
        <f aca="false">IF($P175=0,AW174,IF(AW$3=$E175,IF($AA175=1,$F175&amp;$AB175,$G175),IF(OR(AW$3=$D175,AW$3=$AC175,AW$3=$AE175),"",IF(AW$3=$AD175,$F175&amp;"R",AW174))))</f>
        <v>wP</v>
      </c>
      <c r="AX175" s="11" t="str">
        <f aca="false">IF($P175=0,AX174,IF(AX$3=$E175,IF($AA175=1,$F175&amp;$AB175,$G175),IF(OR(AX$3=$D175,AX$3=$AC175,AX$3=$AE175),"",IF(AX$3=$AD175,$F175&amp;"R",AX174))))</f>
        <v/>
      </c>
      <c r="AY175" s="11" t="str">
        <f aca="false">IF($P175=0,AY174,IF(AY$3=$E175,IF($AA175=1,$F175&amp;$AB175,$G175),IF(OR(AY$3=$D175,AY$3=$AC175,AY$3=$AE175),"",IF(AY$3=$AD175,$F175&amp;"R",AY174))))</f>
        <v/>
      </c>
      <c r="AZ175" s="11" t="str">
        <f aca="false">IF($P175=0,AZ174,IF(AZ$3=$E175,IF($AA175=1,$F175&amp;$AB175,$G175),IF(OR(AZ$3=$D175,AZ$3=$AC175,AZ$3=$AE175),"",IF(AZ$3=$AD175,$F175&amp;"R",AZ174))))</f>
        <v/>
      </c>
      <c r="BA175" s="11" t="str">
        <f aca="false">IF($P175=0,BA174,IF(BA$3=$E175,IF($AA175=1,$F175&amp;$AB175,$G175),IF(OR(BA$3=$D175,BA$3=$AC175,BA$3=$AE175),"",IF(BA$3=$AD175,$F175&amp;"R",BA174))))</f>
        <v/>
      </c>
      <c r="BB175" s="11" t="str">
        <f aca="false">IF($P175=0,BB174,IF(BB$3=$E175,IF($AA175=1,$F175&amp;$AB175,$G175),IF(OR(BB$3=$D175,BB$3=$AC175,BB$3=$AE175),"",IF(BB$3=$AD175,$F175&amp;"R",BB174))))</f>
        <v/>
      </c>
      <c r="BC175" s="11" t="str">
        <f aca="false">IF($P175=0,BC174,IF(BC$3=$E175,IF($AA175=1,$F175&amp;$AB175,$G175),IF(OR(BC$3=$D175,BC$3=$AC175,BC$3=$AE175),"",IF(BC$3=$AD175,$F175&amp;"R",BC174))))</f>
        <v/>
      </c>
      <c r="BD175" s="11" t="str">
        <f aca="false">IF($P175=0,BD174,IF(BD$3=$E175,IF($AA175=1,$F175&amp;$AB175,$G175),IF(OR(BD$3=$D175,BD$3=$AC175,BD$3=$AE175),"",IF(BD$3=$AD175,$F175&amp;"R",BD174))))</f>
        <v/>
      </c>
      <c r="BE175" s="11" t="str">
        <f aca="false">IF($P175=0,BE174,IF(BE$3=$E175,IF($AA175=1,$F175&amp;$AB175,$G175),IF(OR(BE$3=$D175,BE$3=$AC175,BE$3=$AE175),"",IF(BE$3=$AD175,$F175&amp;"R",BE174))))</f>
        <v/>
      </c>
      <c r="BF175" s="11" t="str">
        <f aca="false">IF($P175=0,BF174,IF(BF$3=$E175,IF($AA175=1,$F175&amp;$AB175,$G175),IF(OR(BF$3=$D175,BF$3=$AC175,BF$3=$AE175),"",IF(BF$3=$AD175,$F175&amp;"R",BF174))))</f>
        <v/>
      </c>
      <c r="BG175" s="11" t="str">
        <f aca="false">IF($P175=0,BG174,IF(BG$3=$E175,IF($AA175=1,$F175&amp;$AB175,$G175),IF(OR(BG$3=$D175,BG$3=$AC175,BG$3=$AE175),"",IF(BG$3=$AD175,$F175&amp;"R",BG174))))</f>
        <v/>
      </c>
      <c r="BH175" s="11" t="str">
        <f aca="false">IF($P175=0,BH174,IF(BH$3=$E175,IF($AA175=1,$F175&amp;$AB175,$G175),IF(OR(BH$3=$D175,BH$3=$AC175,BH$3=$AE175),"",IF(BH$3=$AD175,$F175&amp;"R",BH174))))</f>
        <v/>
      </c>
      <c r="BI175" s="11" t="str">
        <f aca="false">IF($P175=0,BI174,IF(BI$3=$E175,IF($AA175=1,$F175&amp;$AB175,$G175),IF(OR(BI$3=$D175,BI$3=$AC175,BI$3=$AE175),"",IF(BI$3=$AD175,$F175&amp;"R",BI174))))</f>
        <v/>
      </c>
      <c r="BJ175" s="11" t="str">
        <f aca="false">IF($P175=0,BJ174,IF(BJ$3=$E175,IF($AA175=1,$F175&amp;$AB175,$G175),IF(OR(BJ$3=$D175,BJ$3=$AC175,BJ$3=$AE175),"",IF(BJ$3=$AD175,$F175&amp;"R",BJ174))))</f>
        <v/>
      </c>
      <c r="BK175" s="11" t="str">
        <f aca="false">IF($P175=0,BK174,IF(BK$3=$E175,IF($AA175=1,$F175&amp;$AB175,$G175),IF(OR(BK$3=$D175,BK$3=$AC175,BK$3=$AE175),"",IF(BK$3=$AD175,$F175&amp;"R",BK174))))</f>
        <v/>
      </c>
      <c r="BL175" s="11" t="str">
        <f aca="false">IF($P175=0,BL174,IF(BL$3=$E175,IF($AA175=1,$F175&amp;$AB175,$G175),IF(OR(BL$3=$D175,BL$3=$AC175,BL$3=$AE175),"",IF(BL$3=$AD175,$F175&amp;"R",BL174))))</f>
        <v/>
      </c>
      <c r="BM175" s="11" t="str">
        <f aca="false">IF($P175=0,BM174,IF(BM$3=$E175,IF($AA175=1,$F175&amp;$AB175,$G175),IF(OR(BM$3=$D175,BM$3=$AC175,BM$3=$AE175),"",IF(BM$3=$AD175,$F175&amp;"R",BM174))))</f>
        <v/>
      </c>
      <c r="BN175" s="11" t="str">
        <f aca="false">IF($P175=0,BN174,IF(BN$3=$E175,IF($AA175=1,$F175&amp;$AB175,$G175),IF(OR(BN$3=$D175,BN$3=$AC175,BN$3=$AE175),"",IF(BN$3=$AD175,$F175&amp;"R",BN174))))</f>
        <v/>
      </c>
      <c r="BO175" s="11" t="str">
        <f aca="false">IF($P175=0,BO174,IF(BO$3=$E175,IF($AA175=1,$F175&amp;$AB175,$G175),IF(OR(BO$3=$D175,BO$3=$AC175,BO$3=$AE175),"",IF(BO$3=$AD175,$F175&amp;"R",BO174))))</f>
        <v/>
      </c>
      <c r="BP175" s="11" t="str">
        <f aca="false">IF($P175=0,BP174,IF(BP$3=$E175,IF($AA175=1,$F175&amp;$AB175,$G175),IF(OR(BP$3=$D175,BP$3=$AC175,BP$3=$AE175),"",IF(BP$3=$AD175,$F175&amp;"R",BP174))))</f>
        <v/>
      </c>
      <c r="BQ175" s="11" t="str">
        <f aca="false">IF($P175=0,BQ174,IF(BQ$3=$E175,IF($AA175=1,$F175&amp;$AB175,$G175),IF(OR(BQ$3=$D175,BQ$3=$AC175,BQ$3=$AE175),"",IF(BQ$3=$AD175,$F175&amp;"R",BQ174))))</f>
        <v/>
      </c>
      <c r="BR175" s="11" t="str">
        <f aca="false">IF($P175=0,BR174,IF(BR$3=$E175,IF($AA175=1,$F175&amp;$AB175,$G175),IF(OR(BR$3=$D175,BR$3=$AC175,BR$3=$AE175),"",IF(BR$3=$AD175,$F175&amp;"R",BR174))))</f>
        <v/>
      </c>
      <c r="BS175" s="11" t="str">
        <f aca="false">IF($P175=0,BS174,IF(BS$3=$E175,IF($AA175=1,$F175&amp;$AB175,$G175),IF(OR(BS$3=$D175,BS$3=$AC175,BS$3=$AE175),"",IF(BS$3=$AD175,$F175&amp;"R",BS174))))</f>
        <v/>
      </c>
      <c r="BT175" s="11" t="str">
        <f aca="false">IF($P175=0,BT174,IF(BT$3=$E175,IF($AA175=1,$F175&amp;$AB175,$G175),IF(OR(BT$3=$D175,BT$3=$AC175,BT$3=$AE175),"",IF(BT$3=$AD175,$F175&amp;"R",BT174))))</f>
        <v/>
      </c>
      <c r="BU175" s="11" t="str">
        <f aca="false">IF($P175=0,BU174,IF(BU$3=$E175,IF($AA175=1,$F175&amp;$AB175,$G175),IF(OR(BU$3=$D175,BU$3=$AC175,BU$3=$AE175),"",IF(BU$3=$AD175,$F175&amp;"R",BU174))))</f>
        <v/>
      </c>
      <c r="BV175" s="11" t="str">
        <f aca="false">IF($P175=0,BV174,IF(BV$3=$E175,IF($AA175=1,$F175&amp;$AB175,$G175),IF(OR(BV$3=$D175,BV$3=$AC175,BV$3=$AE175),"",IF(BV$3=$AD175,$F175&amp;"R",BV174))))</f>
        <v/>
      </c>
      <c r="BW175" s="11" t="str">
        <f aca="false">IF($P175=0,BW174,IF(BW$3=$E175,IF($AA175=1,$F175&amp;$AB175,$G175),IF(OR(BW$3=$D175,BW$3=$AC175,BW$3=$AE175),"",IF(BW$3=$AD175,$F175&amp;"R",BW174))))</f>
        <v/>
      </c>
      <c r="BX175" s="11" t="str">
        <f aca="false">IF($P175=0,BX174,IF(BX$3=$E175,IF($AA175=1,$F175&amp;$AB175,$G175),IF(OR(BX$3=$D175,BX$3=$AC175,BX$3=$AE175),"",IF(BX$3=$AD175,$F175&amp;"R",BX174))))</f>
        <v/>
      </c>
      <c r="BY175" s="11" t="str">
        <f aca="false">IF($P175=0,BY174,IF(BY$3=$E175,IF($AA175=1,$F175&amp;$AB175,$G175),IF(OR(BY$3=$D175,BY$3=$AC175,BY$3=$AE175),"",IF(BY$3=$AD175,$F175&amp;"R",BY174))))</f>
        <v/>
      </c>
      <c r="BZ175" s="11" t="str">
        <f aca="false">IF($P175=0,BZ174,IF(BZ$3=$E175,IF($AA175=1,$F175&amp;$AB175,$G175),IF(OR(BZ$3=$D175,BZ$3=$AC175,BZ$3=$AE175),"",IF(BZ$3=$AD175,$F175&amp;"R",BZ174))))</f>
        <v/>
      </c>
      <c r="CA175" s="11" t="str">
        <f aca="false">IF($P175=0,CA174,IF(CA$3=$E175,IF($AA175=1,$F175&amp;$AB175,$G175),IF(OR(CA$3=$D175,CA$3=$AC175,CA$3=$AE175),"",IF(CA$3=$AD175,$F175&amp;"R",CA174))))</f>
        <v/>
      </c>
      <c r="CB175" s="11" t="str">
        <f aca="false">IF($P175=0,CB174,IF(CB$3=$E175,IF($AA175=1,$F175&amp;$AB175,$G175),IF(OR(CB$3=$D175,CB$3=$AC175,CB$3=$AE175),"",IF(CB$3=$AD175,$F175&amp;"R",CB174))))</f>
        <v/>
      </c>
      <c r="CC175" s="11" t="str">
        <f aca="false">IF($P175=0,CC174,IF(CC$3=$E175,IF($AA175=1,$F175&amp;$AB175,$G175),IF(OR(CC$3=$D175,CC$3=$AC175,CC$3=$AE175),"",IF(CC$3=$AD175,$F175&amp;"R",CC174))))</f>
        <v/>
      </c>
      <c r="CD175" s="11" t="str">
        <f aca="false">IF($P175=0,CD174,IF(CD$3=$E175,IF($AA175=1,$F175&amp;$AB175,$G175),IF(OR(CD$3=$D175,CD$3=$AC175,CD$3=$AE175),"",IF(CD$3=$AD175,$F175&amp;"R",CD174))))</f>
        <v>bP</v>
      </c>
      <c r="CE175" s="11" t="str">
        <f aca="false">IF($P175=0,CE174,IF(CE$3=$E175,IF($AA175=1,$F175&amp;$AB175,$G175),IF(OR(CE$3=$D175,CE$3=$AC175,CE$3=$AE175),"",IF(CE$3=$AD175,$F175&amp;"R",CE174))))</f>
        <v>bP</v>
      </c>
      <c r="CF175" s="11" t="str">
        <f aca="false">IF($P175=0,CF174,IF(CF$3=$E175,IF($AA175=1,$F175&amp;$AB175,$G175),IF(OR(CF$3=$D175,CF$3=$AC175,CF$3=$AE175),"",IF(CF$3=$AD175,$F175&amp;"R",CF174))))</f>
        <v>bP</v>
      </c>
      <c r="CG175" s="11" t="str">
        <f aca="false">IF($P175=0,CG174,IF(CG$3=$E175,IF($AA175=1,$F175&amp;$AB175,$G175),IF(OR(CG$3=$D175,CG$3=$AC175,CG$3=$AE175),"",IF(CG$3=$AD175,$F175&amp;"R",CG174))))</f>
        <v>bP</v>
      </c>
      <c r="CH175" s="11" t="str">
        <f aca="false">IF($P175=0,CH174,IF(CH$3=$E175,IF($AA175=1,$F175&amp;$AB175,$G175),IF(OR(CH$3=$D175,CH$3=$AC175,CH$3=$AE175),"",IF(CH$3=$AD175,$F175&amp;"R",CH174))))</f>
        <v>bP</v>
      </c>
      <c r="CI175" s="11" t="str">
        <f aca="false">IF($P175=0,CI174,IF(CI$3=$E175,IF($AA175=1,$F175&amp;$AB175,$G175),IF(OR(CI$3=$D175,CI$3=$AC175,CI$3=$AE175),"",IF(CI$3=$AD175,$F175&amp;"R",CI174))))</f>
        <v>bP</v>
      </c>
      <c r="CJ175" s="11" t="str">
        <f aca="false">IF($P175=0,CJ174,IF(CJ$3=$E175,IF($AA175=1,$F175&amp;$AB175,$G175),IF(OR(CJ$3=$D175,CJ$3=$AC175,CJ$3=$AE175),"",IF(CJ$3=$AD175,$F175&amp;"R",CJ174))))</f>
        <v>bP</v>
      </c>
      <c r="CK175" s="11" t="str">
        <f aca="false">IF($P175=0,CK174,IF(CK$3=$E175,IF($AA175=1,$F175&amp;$AB175,$G175),IF(OR(CK$3=$D175,CK$3=$AC175,CK$3=$AE175),"",IF(CK$3=$AD175,$F175&amp;"R",CK174))))</f>
        <v>bP</v>
      </c>
      <c r="CL175" s="11" t="str">
        <f aca="false">IF($P175=0,CL174,IF(CL$3=$E175,IF($AA175=1,$F175&amp;$AB175,$G175),IF(OR(CL$3=$D175,CL$3=$AC175,CL$3=$AE175),"",IF(CL$3=$AD175,$F175&amp;"R",CL174))))</f>
        <v>bR</v>
      </c>
      <c r="CM175" s="11" t="str">
        <f aca="false">IF($P175=0,CM174,IF(CM$3=$E175,IF($AA175=1,$F175&amp;$AB175,$G175),IF(OR(CM$3=$D175,CM$3=$AC175,CM$3=$AE175),"",IF(CM$3=$AD175,$F175&amp;"R",CM174))))</f>
        <v>bN</v>
      </c>
      <c r="CN175" s="11" t="str">
        <f aca="false">IF($P175=0,CN174,IF(CN$3=$E175,IF($AA175=1,$F175&amp;$AB175,$G175),IF(OR(CN$3=$D175,CN$3=$AC175,CN$3=$AE175),"",IF(CN$3=$AD175,$F175&amp;"R",CN174))))</f>
        <v>bB</v>
      </c>
      <c r="CO175" s="11" t="str">
        <f aca="false">IF($P175=0,CO174,IF(CO$3=$E175,IF($AA175=1,$F175&amp;$AB175,$G175),IF(OR(CO$3=$D175,CO$3=$AC175,CO$3=$AE175),"",IF(CO$3=$AD175,$F175&amp;"R",CO174))))</f>
        <v>bQ</v>
      </c>
      <c r="CP175" s="11" t="str">
        <f aca="false">IF($P175=0,CP174,IF(CP$3=$E175,IF($AA175=1,$F175&amp;$AB175,$G175),IF(OR(CP$3=$D175,CP$3=$AC175,CP$3=$AE175),"",IF(CP$3=$AD175,$F175&amp;"R",CP174))))</f>
        <v>bK</v>
      </c>
      <c r="CQ175" s="11" t="str">
        <f aca="false">IF($P175=0,CQ174,IF(CQ$3=$E175,IF($AA175=1,$F175&amp;$AB175,$G175),IF(OR(CQ$3=$D175,CQ$3=$AC175,CQ$3=$AE175),"",IF(CQ$3=$AD175,$F175&amp;"R",CQ174))))</f>
        <v>bB</v>
      </c>
      <c r="CR175" s="11" t="str">
        <f aca="false">IF($P175=0,CR174,IF(CR$3=$E175,IF($AA175=1,$F175&amp;$AB175,$G175),IF(OR(CR$3=$D175,CR$3=$AC175,CR$3=$AE175),"",IF(CR$3=$AD175,$F175&amp;"R",CR174))))</f>
        <v>bN</v>
      </c>
      <c r="CS175" s="11" t="str">
        <f aca="false">IF($P175=0,CS174,IF(CS$3=$E175,IF($AA175=1,$F175&amp;$AB175,$G175),IF(OR(CS$3=$D175,CS$3=$AC175,CS$3=$AE175),"",IF(CS$3=$AD175,$F175&amp;"R",CS174))))</f>
        <v>bR</v>
      </c>
      <c r="CT175" s="11"/>
      <c r="CU175" s="11"/>
      <c r="CV175" s="11"/>
    </row>
    <row r="176" customFormat="false" ht="15" hidden="false" customHeight="false" outlineLevel="0" collapsed="false">
      <c r="A176" s="11" t="n">
        <v>171</v>
      </c>
      <c r="B176" s="11" t="str">
        <f aca="false">IF(Chess!$L$180="","",Chess!$L$180&amp;"")</f>
        <v/>
      </c>
      <c r="C176" s="11" t="str">
        <f aca="false">LOWER(SUBSTITUTE(SUBSTITUTE(SUBSTITUTE(SUBSTITUTE(TRIM($B176),"-",""),"=","")," ",""),"x",""))</f>
        <v/>
      </c>
      <c r="D176" s="11" t="n">
        <f aca="false">IF(LEN($C176)&lt;4,0,IFERROR(IF(AND(CODE(MID($C176,1,1))&gt;=97,CODE(MID($C176,1,1))&lt;=104,VALUE(MID($C176,2,1))&gt;=1,VALUE(MID($C176,2,1))&lt;=8),(VALUE(MID($C176,2,1))-1)*8+CODE(MID($C176,1,1))-96,0),0))</f>
        <v>0</v>
      </c>
      <c r="E176" s="11" t="n">
        <f aca="false">IF(LEN($C176)&lt;4,0,IFERROR(IF(AND(CODE(MID($C176,3,1))&gt;=97,CODE(MID($C176,3,1))&lt;=104,VALUE(MID($C176,4,1))&gt;=1,VALUE(MID($C176,4,1))&lt;=8),(VALUE(MID($C176,4,1))-1)*8+CODE(MID($C176,3,1))-96,0),0))</f>
        <v>0</v>
      </c>
      <c r="F176" s="11" t="str">
        <f aca="false">IF(MOD(SUM($P$5:$P175),2)=0,"w","b")</f>
        <v>w</v>
      </c>
      <c r="G176" s="11" t="str">
        <f aca="false">IF($D176=0,"",INDEX($AH175:$CS175,1,$D176)&amp;"")</f>
        <v/>
      </c>
      <c r="H176" s="11" t="str">
        <f aca="false">IF($E176=0,"",INDEX($AH175:$CS175,1,$E176)&amp;"")</f>
        <v/>
      </c>
      <c r="I176" s="11" t="n">
        <f aca="false">IF(OR($D176=0,$E176=0),0,MOD($E176-1,8)-MOD($D176-1,8))</f>
        <v>0</v>
      </c>
      <c r="J176" s="11" t="n">
        <f aca="false">IF(OR($D176=0,$E176=0),0,INT(($E176-1)/8)-INT(($D176-1)/8))</f>
        <v>0</v>
      </c>
      <c r="K176" s="11" t="str">
        <f aca="false">IF($G176="","",RIGHT($G176,1))</f>
        <v/>
      </c>
      <c r="L176" s="11" t="n">
        <f aca="false">IF(OR($D176=0,$E176=0),0,SUMPRODUCT(($AH$3:$CS$3&gt;MIN($D176,$E176))*($AH$3:$CS$3&lt;MAX($D176,$E176))*(MOD($AH$3:$CS$3-MIN($D176,$E176),MAX(1,ABS(SIGN($J176)*8+SIGN($I176))))=0)*($AH175:$CS175&lt;&gt;"")))</f>
        <v>0</v>
      </c>
      <c r="M176" s="11" t="n">
        <f aca="false">IF($K176&lt;&gt;"K",0,IFERROR(--AND($J176=0,ABS($I176)=2,$D176=IF($F176="w",5,61),IF($F176="w",$S175,$V175)=0,IF($I176=2,AND(IF($F176="w",$U175,$X175)=0,INDEX($AH175:$CS175,1,$D176+1)&amp;""="",INDEX($AH175:$CS175,1,$D176+2)&amp;""=""),AND(IF($F176="w",$T175,$W175)=0,INDEX($AH175:$CS175,1,$D176-1)&amp;""="",INDEX($AH175:$CS175,1,$D176-2)&amp;""="",INDEX($AH175:$CS175,1,$D176-3)&amp;""=""))),0))</f>
        <v>0</v>
      </c>
      <c r="N176" s="11" t="n">
        <f aca="false">IF($K176&lt;&gt;"P",0,IFERROR(--OR(AND($I176=0,$J176=IF($F176="w",1,-1),$H176=""),AND($I176=0,$J176=2*IF($F176="w",1,-1),$H176="",INT(($D176-1)/8)=IF($F176="w",1,6),INDEX($AH175:$CS175,1,MAX(1,MIN(64,$D176+8*IF($F176="w",1,-1))))&amp;""=""),AND(ABS($I176)=1,$J176=IF($F176="w",1,-1),$H176&lt;&gt;""),AND(ABS($I176)=1,$J176=IF($F176="w",1,-1),$H176="",$R175&gt;0,$E176=$R175)),0))</f>
        <v>0</v>
      </c>
      <c r="O176" s="11" t="n">
        <f aca="false">IF(OR($D176=0,$E176=0,$G176=""),0,IF($K176="N",--OR(AND(ABS($I176)=1,ABS($J176)=2),AND(ABS($I176)=2,ABS($J176)=1)),IF($K176="B",--AND(ABS($I176)=ABS($J176),$I176&lt;&gt;0,$L176=0),IF($K176="R",--AND(OR($I176=0,$J176=0),OR($I176&lt;&gt;0,$J176&lt;&gt;0),$L176=0),IF($K176="Q",--AND(OR(AND(ABS($I176)=ABS($J176),$I176&lt;&gt;0),AND(OR($I176=0,$J176=0),OR($I176&lt;&gt;0,$J176&lt;&gt;0))),$L176=0),IF($K176="K",--OR(MAX(ABS($I176),ABS($J176))=1,$M176=1),$N176))))))</f>
        <v>0</v>
      </c>
      <c r="P176" s="11" t="n">
        <f aca="false">IF($Q176="OK",1,0)</f>
        <v>0</v>
      </c>
      <c r="Q176" s="11" t="str">
        <f aca="false">IF($B176="","",IF(OR(COUNTIF($AH175:$CS175,"wK")=0,COUNTIF($AH175:$CS175,"bK")=0),"Game is over",IF(OR($D176=0,$E176=0),"Use the format e2e4",IF($G176="","No piece on that square",IF(LEFT($G176,1)&lt;&gt;$F176,"Not your piece ("&amp;IF($F176="w","White","Black")&amp;" to move)",IF($D176=$E176,"Piece must move",IF(AND($H176&lt;&gt;"",LEFT($H176,1)=$F176),"Cannot capture your own piece",IF($O176=0,"Illegal move for that piece (or path blocked)","OK"))))))))</f>
        <v/>
      </c>
      <c r="R176" s="11" t="n">
        <f aca="false">IF($P176=1,IF(AND($K176="P",ABS($J176)=2),($D176+$E176)/2,0),$R175)</f>
        <v>0</v>
      </c>
      <c r="S176" s="12" t="b">
        <f aca="false">--OR($S175=1,AND($P176=1,OR($D176=5,$E176=5)))</f>
        <v>0</v>
      </c>
      <c r="T176" s="12" t="b">
        <f aca="false">--OR($T175=1,AND($P176=1,OR($D176=1,$E176=1)))</f>
        <v>0</v>
      </c>
      <c r="U176" s="12" t="b">
        <f aca="false">--OR($U175=1,AND($P176=1,OR($D176=8,$E176=8)))</f>
        <v>0</v>
      </c>
      <c r="V176" s="12" t="b">
        <f aca="false">--OR($V175=1,AND($P176=1,OR($D176=61,$E176=61)))</f>
        <v>0</v>
      </c>
      <c r="W176" s="12" t="b">
        <f aca="false">--OR($W175=1,AND($P176=1,OR($D176=57,$E176=57)))</f>
        <v>0</v>
      </c>
      <c r="X176" s="12" t="b">
        <f aca="false">--OR($X175=1,AND($P176=1,OR($D176=64,$E176=64)))</f>
        <v>0</v>
      </c>
      <c r="Y176" s="12" t="b">
        <f aca="false">--AND($P176=1,$K176="K",ABS($I176)=2)</f>
        <v>0</v>
      </c>
      <c r="Z176" s="12" t="b">
        <f aca="false">--AND($P176=1,$K176="P",ABS($I176)=1,$H176="")</f>
        <v>0</v>
      </c>
      <c r="AA176" s="12" t="b">
        <f aca="false">--AND($P176=1,$K176="P",INT(($E176-1)/8)=IF($F176="w",7,0))</f>
        <v>0</v>
      </c>
      <c r="AB176" s="11" t="str">
        <f aca="false">IF(LEN($C176)&gt;=5,IF(ISNUMBER(FIND(MID($C176,5,1),"qrbn")),UPPER(MID($C176,5,1)),"Q"),"Q")</f>
        <v>Q</v>
      </c>
      <c r="AC176" s="11" t="n">
        <f aca="false">IF($Y176=1,IF($I176=2,$D176+3,$D176-4),0)</f>
        <v>0</v>
      </c>
      <c r="AD176" s="11" t="n">
        <f aca="false">IF($Y176=1,IF($I176=2,$D176+1,$D176-1),0)</f>
        <v>0</v>
      </c>
      <c r="AE176" s="11" t="n">
        <f aca="false">IF($Z176=1,$E176-8*IF($F176="w",1,-1),0)</f>
        <v>0</v>
      </c>
      <c r="AF176" s="11" t="str">
        <f aca="false">IF($B176="","",IF($P176=1,LOWER(INDEX($CV$2:$CV$13,MATCH($G176,$CU$2:$CU$13,0)))&amp;" "&amp;MID("abcdefgh",MOD($D176-1,8)+1,1)&amp;(INT(($D176-1)/8)+1)&amp;"→"&amp;MID("abcdefgh",MOD($E176-1,8)+1,1)&amp;(INT(($E176-1)/8)+1)&amp;IF(OR($H176&lt;&gt;"",$Z176=1)," ×","")&amp;IF($Y176=1," castles","")&amp;IF($Z176=1," e.p.","")&amp;IF($AA176=1," =" &amp;LOWER(INDEX($CV$2:$CV$13,MATCH($F176&amp;$AB176,$CU$2:$CU$13,0))),""),"X "&amp;$Q176))</f>
        <v/>
      </c>
      <c r="AG176" s="11"/>
      <c r="AH176" s="11" t="str">
        <f aca="false">IF($P176=0,AH175,IF(AH$3=$E176,IF($AA176=1,$F176&amp;$AB176,$G176),IF(OR(AH$3=$D176,AH$3=$AC176,AH$3=$AE176),"",IF(AH$3=$AD176,$F176&amp;"R",AH175))))</f>
        <v>wR</v>
      </c>
      <c r="AI176" s="11" t="str">
        <f aca="false">IF($P176=0,AI175,IF(AI$3=$E176,IF($AA176=1,$F176&amp;$AB176,$G176),IF(OR(AI$3=$D176,AI$3=$AC176,AI$3=$AE176),"",IF(AI$3=$AD176,$F176&amp;"R",AI175))))</f>
        <v>wN</v>
      </c>
      <c r="AJ176" s="11" t="str">
        <f aca="false">IF($P176=0,AJ175,IF(AJ$3=$E176,IF($AA176=1,$F176&amp;$AB176,$G176),IF(OR(AJ$3=$D176,AJ$3=$AC176,AJ$3=$AE176),"",IF(AJ$3=$AD176,$F176&amp;"R",AJ175))))</f>
        <v>wB</v>
      </c>
      <c r="AK176" s="11" t="str">
        <f aca="false">IF($P176=0,AK175,IF(AK$3=$E176,IF($AA176=1,$F176&amp;$AB176,$G176),IF(OR(AK$3=$D176,AK$3=$AC176,AK$3=$AE176),"",IF(AK$3=$AD176,$F176&amp;"R",AK175))))</f>
        <v>wQ</v>
      </c>
      <c r="AL176" s="11" t="str">
        <f aca="false">IF($P176=0,AL175,IF(AL$3=$E176,IF($AA176=1,$F176&amp;$AB176,$G176),IF(OR(AL$3=$D176,AL$3=$AC176,AL$3=$AE176),"",IF(AL$3=$AD176,$F176&amp;"R",AL175))))</f>
        <v>wK</v>
      </c>
      <c r="AM176" s="11" t="str">
        <f aca="false">IF($P176=0,AM175,IF(AM$3=$E176,IF($AA176=1,$F176&amp;$AB176,$G176),IF(OR(AM$3=$D176,AM$3=$AC176,AM$3=$AE176),"",IF(AM$3=$AD176,$F176&amp;"R",AM175))))</f>
        <v>wB</v>
      </c>
      <c r="AN176" s="11" t="str">
        <f aca="false">IF($P176=0,AN175,IF(AN$3=$E176,IF($AA176=1,$F176&amp;$AB176,$G176),IF(OR(AN$3=$D176,AN$3=$AC176,AN$3=$AE176),"",IF(AN$3=$AD176,$F176&amp;"R",AN175))))</f>
        <v>wN</v>
      </c>
      <c r="AO176" s="11" t="str">
        <f aca="false">IF($P176=0,AO175,IF(AO$3=$E176,IF($AA176=1,$F176&amp;$AB176,$G176),IF(OR(AO$3=$D176,AO$3=$AC176,AO$3=$AE176),"",IF(AO$3=$AD176,$F176&amp;"R",AO175))))</f>
        <v>wR</v>
      </c>
      <c r="AP176" s="11" t="str">
        <f aca="false">IF($P176=0,AP175,IF(AP$3=$E176,IF($AA176=1,$F176&amp;$AB176,$G176),IF(OR(AP$3=$D176,AP$3=$AC176,AP$3=$AE176),"",IF(AP$3=$AD176,$F176&amp;"R",AP175))))</f>
        <v>wP</v>
      </c>
      <c r="AQ176" s="11" t="str">
        <f aca="false">IF($P176=0,AQ175,IF(AQ$3=$E176,IF($AA176=1,$F176&amp;$AB176,$G176),IF(OR(AQ$3=$D176,AQ$3=$AC176,AQ$3=$AE176),"",IF(AQ$3=$AD176,$F176&amp;"R",AQ175))))</f>
        <v>wP</v>
      </c>
      <c r="AR176" s="11" t="str">
        <f aca="false">IF($P176=0,AR175,IF(AR$3=$E176,IF($AA176=1,$F176&amp;$AB176,$G176),IF(OR(AR$3=$D176,AR$3=$AC176,AR$3=$AE176),"",IF(AR$3=$AD176,$F176&amp;"R",AR175))))</f>
        <v>wP</v>
      </c>
      <c r="AS176" s="11" t="str">
        <f aca="false">IF($P176=0,AS175,IF(AS$3=$E176,IF($AA176=1,$F176&amp;$AB176,$G176),IF(OR(AS$3=$D176,AS$3=$AC176,AS$3=$AE176),"",IF(AS$3=$AD176,$F176&amp;"R",AS175))))</f>
        <v>wP</v>
      </c>
      <c r="AT176" s="11" t="str">
        <f aca="false">IF($P176=0,AT175,IF(AT$3=$E176,IF($AA176=1,$F176&amp;$AB176,$G176),IF(OR(AT$3=$D176,AT$3=$AC176,AT$3=$AE176),"",IF(AT$3=$AD176,$F176&amp;"R",AT175))))</f>
        <v>wP</v>
      </c>
      <c r="AU176" s="11" t="str">
        <f aca="false">IF($P176=0,AU175,IF(AU$3=$E176,IF($AA176=1,$F176&amp;$AB176,$G176),IF(OR(AU$3=$D176,AU$3=$AC176,AU$3=$AE176),"",IF(AU$3=$AD176,$F176&amp;"R",AU175))))</f>
        <v>wP</v>
      </c>
      <c r="AV176" s="11" t="str">
        <f aca="false">IF($P176=0,AV175,IF(AV$3=$E176,IF($AA176=1,$F176&amp;$AB176,$G176),IF(OR(AV$3=$D176,AV$3=$AC176,AV$3=$AE176),"",IF(AV$3=$AD176,$F176&amp;"R",AV175))))</f>
        <v>wP</v>
      </c>
      <c r="AW176" s="11" t="str">
        <f aca="false">IF($P176=0,AW175,IF(AW$3=$E176,IF($AA176=1,$F176&amp;$AB176,$G176),IF(OR(AW$3=$D176,AW$3=$AC176,AW$3=$AE176),"",IF(AW$3=$AD176,$F176&amp;"R",AW175))))</f>
        <v>wP</v>
      </c>
      <c r="AX176" s="11" t="str">
        <f aca="false">IF($P176=0,AX175,IF(AX$3=$E176,IF($AA176=1,$F176&amp;$AB176,$G176),IF(OR(AX$3=$D176,AX$3=$AC176,AX$3=$AE176),"",IF(AX$3=$AD176,$F176&amp;"R",AX175))))</f>
        <v/>
      </c>
      <c r="AY176" s="11" t="str">
        <f aca="false">IF($P176=0,AY175,IF(AY$3=$E176,IF($AA176=1,$F176&amp;$AB176,$G176),IF(OR(AY$3=$D176,AY$3=$AC176,AY$3=$AE176),"",IF(AY$3=$AD176,$F176&amp;"R",AY175))))</f>
        <v/>
      </c>
      <c r="AZ176" s="11" t="str">
        <f aca="false">IF($P176=0,AZ175,IF(AZ$3=$E176,IF($AA176=1,$F176&amp;$AB176,$G176),IF(OR(AZ$3=$D176,AZ$3=$AC176,AZ$3=$AE176),"",IF(AZ$3=$AD176,$F176&amp;"R",AZ175))))</f>
        <v/>
      </c>
      <c r="BA176" s="11" t="str">
        <f aca="false">IF($P176=0,BA175,IF(BA$3=$E176,IF($AA176=1,$F176&amp;$AB176,$G176),IF(OR(BA$3=$D176,BA$3=$AC176,BA$3=$AE176),"",IF(BA$3=$AD176,$F176&amp;"R",BA175))))</f>
        <v/>
      </c>
      <c r="BB176" s="11" t="str">
        <f aca="false">IF($P176=0,BB175,IF(BB$3=$E176,IF($AA176=1,$F176&amp;$AB176,$G176),IF(OR(BB$3=$D176,BB$3=$AC176,BB$3=$AE176),"",IF(BB$3=$AD176,$F176&amp;"R",BB175))))</f>
        <v/>
      </c>
      <c r="BC176" s="11" t="str">
        <f aca="false">IF($P176=0,BC175,IF(BC$3=$E176,IF($AA176=1,$F176&amp;$AB176,$G176),IF(OR(BC$3=$D176,BC$3=$AC176,BC$3=$AE176),"",IF(BC$3=$AD176,$F176&amp;"R",BC175))))</f>
        <v/>
      </c>
      <c r="BD176" s="11" t="str">
        <f aca="false">IF($P176=0,BD175,IF(BD$3=$E176,IF($AA176=1,$F176&amp;$AB176,$G176),IF(OR(BD$3=$D176,BD$3=$AC176,BD$3=$AE176),"",IF(BD$3=$AD176,$F176&amp;"R",BD175))))</f>
        <v/>
      </c>
      <c r="BE176" s="11" t="str">
        <f aca="false">IF($P176=0,BE175,IF(BE$3=$E176,IF($AA176=1,$F176&amp;$AB176,$G176),IF(OR(BE$3=$D176,BE$3=$AC176,BE$3=$AE176),"",IF(BE$3=$AD176,$F176&amp;"R",BE175))))</f>
        <v/>
      </c>
      <c r="BF176" s="11" t="str">
        <f aca="false">IF($P176=0,BF175,IF(BF$3=$E176,IF($AA176=1,$F176&amp;$AB176,$G176),IF(OR(BF$3=$D176,BF$3=$AC176,BF$3=$AE176),"",IF(BF$3=$AD176,$F176&amp;"R",BF175))))</f>
        <v/>
      </c>
      <c r="BG176" s="11" t="str">
        <f aca="false">IF($P176=0,BG175,IF(BG$3=$E176,IF($AA176=1,$F176&amp;$AB176,$G176),IF(OR(BG$3=$D176,BG$3=$AC176,BG$3=$AE176),"",IF(BG$3=$AD176,$F176&amp;"R",BG175))))</f>
        <v/>
      </c>
      <c r="BH176" s="11" t="str">
        <f aca="false">IF($P176=0,BH175,IF(BH$3=$E176,IF($AA176=1,$F176&amp;$AB176,$G176),IF(OR(BH$3=$D176,BH$3=$AC176,BH$3=$AE176),"",IF(BH$3=$AD176,$F176&amp;"R",BH175))))</f>
        <v/>
      </c>
      <c r="BI176" s="11" t="str">
        <f aca="false">IF($P176=0,BI175,IF(BI$3=$E176,IF($AA176=1,$F176&amp;$AB176,$G176),IF(OR(BI$3=$D176,BI$3=$AC176,BI$3=$AE176),"",IF(BI$3=$AD176,$F176&amp;"R",BI175))))</f>
        <v/>
      </c>
      <c r="BJ176" s="11" t="str">
        <f aca="false">IF($P176=0,BJ175,IF(BJ$3=$E176,IF($AA176=1,$F176&amp;$AB176,$G176),IF(OR(BJ$3=$D176,BJ$3=$AC176,BJ$3=$AE176),"",IF(BJ$3=$AD176,$F176&amp;"R",BJ175))))</f>
        <v/>
      </c>
      <c r="BK176" s="11" t="str">
        <f aca="false">IF($P176=0,BK175,IF(BK$3=$E176,IF($AA176=1,$F176&amp;$AB176,$G176),IF(OR(BK$3=$D176,BK$3=$AC176,BK$3=$AE176),"",IF(BK$3=$AD176,$F176&amp;"R",BK175))))</f>
        <v/>
      </c>
      <c r="BL176" s="11" t="str">
        <f aca="false">IF($P176=0,BL175,IF(BL$3=$E176,IF($AA176=1,$F176&amp;$AB176,$G176),IF(OR(BL$3=$D176,BL$3=$AC176,BL$3=$AE176),"",IF(BL$3=$AD176,$F176&amp;"R",BL175))))</f>
        <v/>
      </c>
      <c r="BM176" s="11" t="str">
        <f aca="false">IF($P176=0,BM175,IF(BM$3=$E176,IF($AA176=1,$F176&amp;$AB176,$G176),IF(OR(BM$3=$D176,BM$3=$AC176,BM$3=$AE176),"",IF(BM$3=$AD176,$F176&amp;"R",BM175))))</f>
        <v/>
      </c>
      <c r="BN176" s="11" t="str">
        <f aca="false">IF($P176=0,BN175,IF(BN$3=$E176,IF($AA176=1,$F176&amp;$AB176,$G176),IF(OR(BN$3=$D176,BN$3=$AC176,BN$3=$AE176),"",IF(BN$3=$AD176,$F176&amp;"R",BN175))))</f>
        <v/>
      </c>
      <c r="BO176" s="11" t="str">
        <f aca="false">IF($P176=0,BO175,IF(BO$3=$E176,IF($AA176=1,$F176&amp;$AB176,$G176),IF(OR(BO$3=$D176,BO$3=$AC176,BO$3=$AE176),"",IF(BO$3=$AD176,$F176&amp;"R",BO175))))</f>
        <v/>
      </c>
      <c r="BP176" s="11" t="str">
        <f aca="false">IF($P176=0,BP175,IF(BP$3=$E176,IF($AA176=1,$F176&amp;$AB176,$G176),IF(OR(BP$3=$D176,BP$3=$AC176,BP$3=$AE176),"",IF(BP$3=$AD176,$F176&amp;"R",BP175))))</f>
        <v/>
      </c>
      <c r="BQ176" s="11" t="str">
        <f aca="false">IF($P176=0,BQ175,IF(BQ$3=$E176,IF($AA176=1,$F176&amp;$AB176,$G176),IF(OR(BQ$3=$D176,BQ$3=$AC176,BQ$3=$AE176),"",IF(BQ$3=$AD176,$F176&amp;"R",BQ175))))</f>
        <v/>
      </c>
      <c r="BR176" s="11" t="str">
        <f aca="false">IF($P176=0,BR175,IF(BR$3=$E176,IF($AA176=1,$F176&amp;$AB176,$G176),IF(OR(BR$3=$D176,BR$3=$AC176,BR$3=$AE176),"",IF(BR$3=$AD176,$F176&amp;"R",BR175))))</f>
        <v/>
      </c>
      <c r="BS176" s="11" t="str">
        <f aca="false">IF($P176=0,BS175,IF(BS$3=$E176,IF($AA176=1,$F176&amp;$AB176,$G176),IF(OR(BS$3=$D176,BS$3=$AC176,BS$3=$AE176),"",IF(BS$3=$AD176,$F176&amp;"R",BS175))))</f>
        <v/>
      </c>
      <c r="BT176" s="11" t="str">
        <f aca="false">IF($P176=0,BT175,IF(BT$3=$E176,IF($AA176=1,$F176&amp;$AB176,$G176),IF(OR(BT$3=$D176,BT$3=$AC176,BT$3=$AE176),"",IF(BT$3=$AD176,$F176&amp;"R",BT175))))</f>
        <v/>
      </c>
      <c r="BU176" s="11" t="str">
        <f aca="false">IF($P176=0,BU175,IF(BU$3=$E176,IF($AA176=1,$F176&amp;$AB176,$G176),IF(OR(BU$3=$D176,BU$3=$AC176,BU$3=$AE176),"",IF(BU$3=$AD176,$F176&amp;"R",BU175))))</f>
        <v/>
      </c>
      <c r="BV176" s="11" t="str">
        <f aca="false">IF($P176=0,BV175,IF(BV$3=$E176,IF($AA176=1,$F176&amp;$AB176,$G176),IF(OR(BV$3=$D176,BV$3=$AC176,BV$3=$AE176),"",IF(BV$3=$AD176,$F176&amp;"R",BV175))))</f>
        <v/>
      </c>
      <c r="BW176" s="11" t="str">
        <f aca="false">IF($P176=0,BW175,IF(BW$3=$E176,IF($AA176=1,$F176&amp;$AB176,$G176),IF(OR(BW$3=$D176,BW$3=$AC176,BW$3=$AE176),"",IF(BW$3=$AD176,$F176&amp;"R",BW175))))</f>
        <v/>
      </c>
      <c r="BX176" s="11" t="str">
        <f aca="false">IF($P176=0,BX175,IF(BX$3=$E176,IF($AA176=1,$F176&amp;$AB176,$G176),IF(OR(BX$3=$D176,BX$3=$AC176,BX$3=$AE176),"",IF(BX$3=$AD176,$F176&amp;"R",BX175))))</f>
        <v/>
      </c>
      <c r="BY176" s="11" t="str">
        <f aca="false">IF($P176=0,BY175,IF(BY$3=$E176,IF($AA176=1,$F176&amp;$AB176,$G176),IF(OR(BY$3=$D176,BY$3=$AC176,BY$3=$AE176),"",IF(BY$3=$AD176,$F176&amp;"R",BY175))))</f>
        <v/>
      </c>
      <c r="BZ176" s="11" t="str">
        <f aca="false">IF($P176=0,BZ175,IF(BZ$3=$E176,IF($AA176=1,$F176&amp;$AB176,$G176),IF(OR(BZ$3=$D176,BZ$3=$AC176,BZ$3=$AE176),"",IF(BZ$3=$AD176,$F176&amp;"R",BZ175))))</f>
        <v/>
      </c>
      <c r="CA176" s="11" t="str">
        <f aca="false">IF($P176=0,CA175,IF(CA$3=$E176,IF($AA176=1,$F176&amp;$AB176,$G176),IF(OR(CA$3=$D176,CA$3=$AC176,CA$3=$AE176),"",IF(CA$3=$AD176,$F176&amp;"R",CA175))))</f>
        <v/>
      </c>
      <c r="CB176" s="11" t="str">
        <f aca="false">IF($P176=0,CB175,IF(CB$3=$E176,IF($AA176=1,$F176&amp;$AB176,$G176),IF(OR(CB$3=$D176,CB$3=$AC176,CB$3=$AE176),"",IF(CB$3=$AD176,$F176&amp;"R",CB175))))</f>
        <v/>
      </c>
      <c r="CC176" s="11" t="str">
        <f aca="false">IF($P176=0,CC175,IF(CC$3=$E176,IF($AA176=1,$F176&amp;$AB176,$G176),IF(OR(CC$3=$D176,CC$3=$AC176,CC$3=$AE176),"",IF(CC$3=$AD176,$F176&amp;"R",CC175))))</f>
        <v/>
      </c>
      <c r="CD176" s="11" t="str">
        <f aca="false">IF($P176=0,CD175,IF(CD$3=$E176,IF($AA176=1,$F176&amp;$AB176,$G176),IF(OR(CD$3=$D176,CD$3=$AC176,CD$3=$AE176),"",IF(CD$3=$AD176,$F176&amp;"R",CD175))))</f>
        <v>bP</v>
      </c>
      <c r="CE176" s="11" t="str">
        <f aca="false">IF($P176=0,CE175,IF(CE$3=$E176,IF($AA176=1,$F176&amp;$AB176,$G176),IF(OR(CE$3=$D176,CE$3=$AC176,CE$3=$AE176),"",IF(CE$3=$AD176,$F176&amp;"R",CE175))))</f>
        <v>bP</v>
      </c>
      <c r="CF176" s="11" t="str">
        <f aca="false">IF($P176=0,CF175,IF(CF$3=$E176,IF($AA176=1,$F176&amp;$AB176,$G176),IF(OR(CF$3=$D176,CF$3=$AC176,CF$3=$AE176),"",IF(CF$3=$AD176,$F176&amp;"R",CF175))))</f>
        <v>bP</v>
      </c>
      <c r="CG176" s="11" t="str">
        <f aca="false">IF($P176=0,CG175,IF(CG$3=$E176,IF($AA176=1,$F176&amp;$AB176,$G176),IF(OR(CG$3=$D176,CG$3=$AC176,CG$3=$AE176),"",IF(CG$3=$AD176,$F176&amp;"R",CG175))))</f>
        <v>bP</v>
      </c>
      <c r="CH176" s="11" t="str">
        <f aca="false">IF($P176=0,CH175,IF(CH$3=$E176,IF($AA176=1,$F176&amp;$AB176,$G176),IF(OR(CH$3=$D176,CH$3=$AC176,CH$3=$AE176),"",IF(CH$3=$AD176,$F176&amp;"R",CH175))))</f>
        <v>bP</v>
      </c>
      <c r="CI176" s="11" t="str">
        <f aca="false">IF($P176=0,CI175,IF(CI$3=$E176,IF($AA176=1,$F176&amp;$AB176,$G176),IF(OR(CI$3=$D176,CI$3=$AC176,CI$3=$AE176),"",IF(CI$3=$AD176,$F176&amp;"R",CI175))))</f>
        <v>bP</v>
      </c>
      <c r="CJ176" s="11" t="str">
        <f aca="false">IF($P176=0,CJ175,IF(CJ$3=$E176,IF($AA176=1,$F176&amp;$AB176,$G176),IF(OR(CJ$3=$D176,CJ$3=$AC176,CJ$3=$AE176),"",IF(CJ$3=$AD176,$F176&amp;"R",CJ175))))</f>
        <v>bP</v>
      </c>
      <c r="CK176" s="11" t="str">
        <f aca="false">IF($P176=0,CK175,IF(CK$3=$E176,IF($AA176=1,$F176&amp;$AB176,$G176),IF(OR(CK$3=$D176,CK$3=$AC176,CK$3=$AE176),"",IF(CK$3=$AD176,$F176&amp;"R",CK175))))</f>
        <v>bP</v>
      </c>
      <c r="CL176" s="11" t="str">
        <f aca="false">IF($P176=0,CL175,IF(CL$3=$E176,IF($AA176=1,$F176&amp;$AB176,$G176),IF(OR(CL$3=$D176,CL$3=$AC176,CL$3=$AE176),"",IF(CL$3=$AD176,$F176&amp;"R",CL175))))</f>
        <v>bR</v>
      </c>
      <c r="CM176" s="11" t="str">
        <f aca="false">IF($P176=0,CM175,IF(CM$3=$E176,IF($AA176=1,$F176&amp;$AB176,$G176),IF(OR(CM$3=$D176,CM$3=$AC176,CM$3=$AE176),"",IF(CM$3=$AD176,$F176&amp;"R",CM175))))</f>
        <v>bN</v>
      </c>
      <c r="CN176" s="11" t="str">
        <f aca="false">IF($P176=0,CN175,IF(CN$3=$E176,IF($AA176=1,$F176&amp;$AB176,$G176),IF(OR(CN$3=$D176,CN$3=$AC176,CN$3=$AE176),"",IF(CN$3=$AD176,$F176&amp;"R",CN175))))</f>
        <v>bB</v>
      </c>
      <c r="CO176" s="11" t="str">
        <f aca="false">IF($P176=0,CO175,IF(CO$3=$E176,IF($AA176=1,$F176&amp;$AB176,$G176),IF(OR(CO$3=$D176,CO$3=$AC176,CO$3=$AE176),"",IF(CO$3=$AD176,$F176&amp;"R",CO175))))</f>
        <v>bQ</v>
      </c>
      <c r="CP176" s="11" t="str">
        <f aca="false">IF($P176=0,CP175,IF(CP$3=$E176,IF($AA176=1,$F176&amp;$AB176,$G176),IF(OR(CP$3=$D176,CP$3=$AC176,CP$3=$AE176),"",IF(CP$3=$AD176,$F176&amp;"R",CP175))))</f>
        <v>bK</v>
      </c>
      <c r="CQ176" s="11" t="str">
        <f aca="false">IF($P176=0,CQ175,IF(CQ$3=$E176,IF($AA176=1,$F176&amp;$AB176,$G176),IF(OR(CQ$3=$D176,CQ$3=$AC176,CQ$3=$AE176),"",IF(CQ$3=$AD176,$F176&amp;"R",CQ175))))</f>
        <v>bB</v>
      </c>
      <c r="CR176" s="11" t="str">
        <f aca="false">IF($P176=0,CR175,IF(CR$3=$E176,IF($AA176=1,$F176&amp;$AB176,$G176),IF(OR(CR$3=$D176,CR$3=$AC176,CR$3=$AE176),"",IF(CR$3=$AD176,$F176&amp;"R",CR175))))</f>
        <v>bN</v>
      </c>
      <c r="CS176" s="11" t="str">
        <f aca="false">IF($P176=0,CS175,IF(CS$3=$E176,IF($AA176=1,$F176&amp;$AB176,$G176),IF(OR(CS$3=$D176,CS$3=$AC176,CS$3=$AE176),"",IF(CS$3=$AD176,$F176&amp;"R",CS175))))</f>
        <v>bR</v>
      </c>
      <c r="CT176" s="11"/>
      <c r="CU176" s="11"/>
      <c r="CV176" s="11"/>
    </row>
    <row r="177" customFormat="false" ht="15" hidden="false" customHeight="false" outlineLevel="0" collapsed="false">
      <c r="A177" s="11" t="n">
        <v>172</v>
      </c>
      <c r="B177" s="11" t="str">
        <f aca="false">IF(Chess!$L$181="","",Chess!$L$181&amp;"")</f>
        <v/>
      </c>
      <c r="C177" s="11" t="str">
        <f aca="false">LOWER(SUBSTITUTE(SUBSTITUTE(SUBSTITUTE(SUBSTITUTE(TRIM($B177),"-",""),"=","")," ",""),"x",""))</f>
        <v/>
      </c>
      <c r="D177" s="11" t="n">
        <f aca="false">IF(LEN($C177)&lt;4,0,IFERROR(IF(AND(CODE(MID($C177,1,1))&gt;=97,CODE(MID($C177,1,1))&lt;=104,VALUE(MID($C177,2,1))&gt;=1,VALUE(MID($C177,2,1))&lt;=8),(VALUE(MID($C177,2,1))-1)*8+CODE(MID($C177,1,1))-96,0),0))</f>
        <v>0</v>
      </c>
      <c r="E177" s="11" t="n">
        <f aca="false">IF(LEN($C177)&lt;4,0,IFERROR(IF(AND(CODE(MID($C177,3,1))&gt;=97,CODE(MID($C177,3,1))&lt;=104,VALUE(MID($C177,4,1))&gt;=1,VALUE(MID($C177,4,1))&lt;=8),(VALUE(MID($C177,4,1))-1)*8+CODE(MID($C177,3,1))-96,0),0))</f>
        <v>0</v>
      </c>
      <c r="F177" s="11" t="str">
        <f aca="false">IF(MOD(SUM($P$5:$P176),2)=0,"w","b")</f>
        <v>w</v>
      </c>
      <c r="G177" s="11" t="str">
        <f aca="false">IF($D177=0,"",INDEX($AH176:$CS176,1,$D177)&amp;"")</f>
        <v/>
      </c>
      <c r="H177" s="11" t="str">
        <f aca="false">IF($E177=0,"",INDEX($AH176:$CS176,1,$E177)&amp;"")</f>
        <v/>
      </c>
      <c r="I177" s="11" t="n">
        <f aca="false">IF(OR($D177=0,$E177=0),0,MOD($E177-1,8)-MOD($D177-1,8))</f>
        <v>0</v>
      </c>
      <c r="J177" s="11" t="n">
        <f aca="false">IF(OR($D177=0,$E177=0),0,INT(($E177-1)/8)-INT(($D177-1)/8))</f>
        <v>0</v>
      </c>
      <c r="K177" s="11" t="str">
        <f aca="false">IF($G177="","",RIGHT($G177,1))</f>
        <v/>
      </c>
      <c r="L177" s="11" t="n">
        <f aca="false">IF(OR($D177=0,$E177=0),0,SUMPRODUCT(($AH$3:$CS$3&gt;MIN($D177,$E177))*($AH$3:$CS$3&lt;MAX($D177,$E177))*(MOD($AH$3:$CS$3-MIN($D177,$E177),MAX(1,ABS(SIGN($J177)*8+SIGN($I177))))=0)*($AH176:$CS176&lt;&gt;"")))</f>
        <v>0</v>
      </c>
      <c r="M177" s="11" t="n">
        <f aca="false">IF($K177&lt;&gt;"K",0,IFERROR(--AND($J177=0,ABS($I177)=2,$D177=IF($F177="w",5,61),IF($F177="w",$S176,$V176)=0,IF($I177=2,AND(IF($F177="w",$U176,$X176)=0,INDEX($AH176:$CS176,1,$D177+1)&amp;""="",INDEX($AH176:$CS176,1,$D177+2)&amp;""=""),AND(IF($F177="w",$T176,$W176)=0,INDEX($AH176:$CS176,1,$D177-1)&amp;""="",INDEX($AH176:$CS176,1,$D177-2)&amp;""="",INDEX($AH176:$CS176,1,$D177-3)&amp;""=""))),0))</f>
        <v>0</v>
      </c>
      <c r="N177" s="11" t="n">
        <f aca="false">IF($K177&lt;&gt;"P",0,IFERROR(--OR(AND($I177=0,$J177=IF($F177="w",1,-1),$H177=""),AND($I177=0,$J177=2*IF($F177="w",1,-1),$H177="",INT(($D177-1)/8)=IF($F177="w",1,6),INDEX($AH176:$CS176,1,MAX(1,MIN(64,$D177+8*IF($F177="w",1,-1))))&amp;""=""),AND(ABS($I177)=1,$J177=IF($F177="w",1,-1),$H177&lt;&gt;""),AND(ABS($I177)=1,$J177=IF($F177="w",1,-1),$H177="",$R176&gt;0,$E177=$R176)),0))</f>
        <v>0</v>
      </c>
      <c r="O177" s="11" t="n">
        <f aca="false">IF(OR($D177=0,$E177=0,$G177=""),0,IF($K177="N",--OR(AND(ABS($I177)=1,ABS($J177)=2),AND(ABS($I177)=2,ABS($J177)=1)),IF($K177="B",--AND(ABS($I177)=ABS($J177),$I177&lt;&gt;0,$L177=0),IF($K177="R",--AND(OR($I177=0,$J177=0),OR($I177&lt;&gt;0,$J177&lt;&gt;0),$L177=0),IF($K177="Q",--AND(OR(AND(ABS($I177)=ABS($J177),$I177&lt;&gt;0),AND(OR($I177=0,$J177=0),OR($I177&lt;&gt;0,$J177&lt;&gt;0))),$L177=0),IF($K177="K",--OR(MAX(ABS($I177),ABS($J177))=1,$M177=1),$N177))))))</f>
        <v>0</v>
      </c>
      <c r="P177" s="11" t="n">
        <f aca="false">IF($Q177="OK",1,0)</f>
        <v>0</v>
      </c>
      <c r="Q177" s="11" t="str">
        <f aca="false">IF($B177="","",IF(OR(COUNTIF($AH176:$CS176,"wK")=0,COUNTIF($AH176:$CS176,"bK")=0),"Game is over",IF(OR($D177=0,$E177=0),"Use the format e2e4",IF($G177="","No piece on that square",IF(LEFT($G177,1)&lt;&gt;$F177,"Not your piece ("&amp;IF($F177="w","White","Black")&amp;" to move)",IF($D177=$E177,"Piece must move",IF(AND($H177&lt;&gt;"",LEFT($H177,1)=$F177),"Cannot capture your own piece",IF($O177=0,"Illegal move for that piece (or path blocked)","OK"))))))))</f>
        <v/>
      </c>
      <c r="R177" s="11" t="n">
        <f aca="false">IF($P177=1,IF(AND($K177="P",ABS($J177)=2),($D177+$E177)/2,0),$R176)</f>
        <v>0</v>
      </c>
      <c r="S177" s="12" t="b">
        <f aca="false">--OR($S176=1,AND($P177=1,OR($D177=5,$E177=5)))</f>
        <v>0</v>
      </c>
      <c r="T177" s="12" t="b">
        <f aca="false">--OR($T176=1,AND($P177=1,OR($D177=1,$E177=1)))</f>
        <v>0</v>
      </c>
      <c r="U177" s="12" t="b">
        <f aca="false">--OR($U176=1,AND($P177=1,OR($D177=8,$E177=8)))</f>
        <v>0</v>
      </c>
      <c r="V177" s="12" t="b">
        <f aca="false">--OR($V176=1,AND($P177=1,OR($D177=61,$E177=61)))</f>
        <v>0</v>
      </c>
      <c r="W177" s="12" t="b">
        <f aca="false">--OR($W176=1,AND($P177=1,OR($D177=57,$E177=57)))</f>
        <v>0</v>
      </c>
      <c r="X177" s="12" t="b">
        <f aca="false">--OR($X176=1,AND($P177=1,OR($D177=64,$E177=64)))</f>
        <v>0</v>
      </c>
      <c r="Y177" s="12" t="b">
        <f aca="false">--AND($P177=1,$K177="K",ABS($I177)=2)</f>
        <v>0</v>
      </c>
      <c r="Z177" s="12" t="b">
        <f aca="false">--AND($P177=1,$K177="P",ABS($I177)=1,$H177="")</f>
        <v>0</v>
      </c>
      <c r="AA177" s="12" t="b">
        <f aca="false">--AND($P177=1,$K177="P",INT(($E177-1)/8)=IF($F177="w",7,0))</f>
        <v>0</v>
      </c>
      <c r="AB177" s="11" t="str">
        <f aca="false">IF(LEN($C177)&gt;=5,IF(ISNUMBER(FIND(MID($C177,5,1),"qrbn")),UPPER(MID($C177,5,1)),"Q"),"Q")</f>
        <v>Q</v>
      </c>
      <c r="AC177" s="11" t="n">
        <f aca="false">IF($Y177=1,IF($I177=2,$D177+3,$D177-4),0)</f>
        <v>0</v>
      </c>
      <c r="AD177" s="11" t="n">
        <f aca="false">IF($Y177=1,IF($I177=2,$D177+1,$D177-1),0)</f>
        <v>0</v>
      </c>
      <c r="AE177" s="11" t="n">
        <f aca="false">IF($Z177=1,$E177-8*IF($F177="w",1,-1),0)</f>
        <v>0</v>
      </c>
      <c r="AF177" s="11" t="str">
        <f aca="false">IF($B177="","",IF($P177=1,LOWER(INDEX($CV$2:$CV$13,MATCH($G177,$CU$2:$CU$13,0)))&amp;" "&amp;MID("abcdefgh",MOD($D177-1,8)+1,1)&amp;(INT(($D177-1)/8)+1)&amp;"→"&amp;MID("abcdefgh",MOD($E177-1,8)+1,1)&amp;(INT(($E177-1)/8)+1)&amp;IF(OR($H177&lt;&gt;"",$Z177=1)," ×","")&amp;IF($Y177=1," castles","")&amp;IF($Z177=1," e.p.","")&amp;IF($AA177=1," =" &amp;LOWER(INDEX($CV$2:$CV$13,MATCH($F177&amp;$AB177,$CU$2:$CU$13,0))),""),"X "&amp;$Q177))</f>
        <v/>
      </c>
      <c r="AG177" s="11"/>
      <c r="AH177" s="11" t="str">
        <f aca="false">IF($P177=0,AH176,IF(AH$3=$E177,IF($AA177=1,$F177&amp;$AB177,$G177),IF(OR(AH$3=$D177,AH$3=$AC177,AH$3=$AE177),"",IF(AH$3=$AD177,$F177&amp;"R",AH176))))</f>
        <v>wR</v>
      </c>
      <c r="AI177" s="11" t="str">
        <f aca="false">IF($P177=0,AI176,IF(AI$3=$E177,IF($AA177=1,$F177&amp;$AB177,$G177),IF(OR(AI$3=$D177,AI$3=$AC177,AI$3=$AE177),"",IF(AI$3=$AD177,$F177&amp;"R",AI176))))</f>
        <v>wN</v>
      </c>
      <c r="AJ177" s="11" t="str">
        <f aca="false">IF($P177=0,AJ176,IF(AJ$3=$E177,IF($AA177=1,$F177&amp;$AB177,$G177),IF(OR(AJ$3=$D177,AJ$3=$AC177,AJ$3=$AE177),"",IF(AJ$3=$AD177,$F177&amp;"R",AJ176))))</f>
        <v>wB</v>
      </c>
      <c r="AK177" s="11" t="str">
        <f aca="false">IF($P177=0,AK176,IF(AK$3=$E177,IF($AA177=1,$F177&amp;$AB177,$G177),IF(OR(AK$3=$D177,AK$3=$AC177,AK$3=$AE177),"",IF(AK$3=$AD177,$F177&amp;"R",AK176))))</f>
        <v>wQ</v>
      </c>
      <c r="AL177" s="11" t="str">
        <f aca="false">IF($P177=0,AL176,IF(AL$3=$E177,IF($AA177=1,$F177&amp;$AB177,$G177),IF(OR(AL$3=$D177,AL$3=$AC177,AL$3=$AE177),"",IF(AL$3=$AD177,$F177&amp;"R",AL176))))</f>
        <v>wK</v>
      </c>
      <c r="AM177" s="11" t="str">
        <f aca="false">IF($P177=0,AM176,IF(AM$3=$E177,IF($AA177=1,$F177&amp;$AB177,$G177),IF(OR(AM$3=$D177,AM$3=$AC177,AM$3=$AE177),"",IF(AM$3=$AD177,$F177&amp;"R",AM176))))</f>
        <v>wB</v>
      </c>
      <c r="AN177" s="11" t="str">
        <f aca="false">IF($P177=0,AN176,IF(AN$3=$E177,IF($AA177=1,$F177&amp;$AB177,$G177),IF(OR(AN$3=$D177,AN$3=$AC177,AN$3=$AE177),"",IF(AN$3=$AD177,$F177&amp;"R",AN176))))</f>
        <v>wN</v>
      </c>
      <c r="AO177" s="11" t="str">
        <f aca="false">IF($P177=0,AO176,IF(AO$3=$E177,IF($AA177=1,$F177&amp;$AB177,$G177),IF(OR(AO$3=$D177,AO$3=$AC177,AO$3=$AE177),"",IF(AO$3=$AD177,$F177&amp;"R",AO176))))</f>
        <v>wR</v>
      </c>
      <c r="AP177" s="11" t="str">
        <f aca="false">IF($P177=0,AP176,IF(AP$3=$E177,IF($AA177=1,$F177&amp;$AB177,$G177),IF(OR(AP$3=$D177,AP$3=$AC177,AP$3=$AE177),"",IF(AP$3=$AD177,$F177&amp;"R",AP176))))</f>
        <v>wP</v>
      </c>
      <c r="AQ177" s="11" t="str">
        <f aca="false">IF($P177=0,AQ176,IF(AQ$3=$E177,IF($AA177=1,$F177&amp;$AB177,$G177),IF(OR(AQ$3=$D177,AQ$3=$AC177,AQ$3=$AE177),"",IF(AQ$3=$AD177,$F177&amp;"R",AQ176))))</f>
        <v>wP</v>
      </c>
      <c r="AR177" s="11" t="str">
        <f aca="false">IF($P177=0,AR176,IF(AR$3=$E177,IF($AA177=1,$F177&amp;$AB177,$G177),IF(OR(AR$3=$D177,AR$3=$AC177,AR$3=$AE177),"",IF(AR$3=$AD177,$F177&amp;"R",AR176))))</f>
        <v>wP</v>
      </c>
      <c r="AS177" s="11" t="str">
        <f aca="false">IF($P177=0,AS176,IF(AS$3=$E177,IF($AA177=1,$F177&amp;$AB177,$G177),IF(OR(AS$3=$D177,AS$3=$AC177,AS$3=$AE177),"",IF(AS$3=$AD177,$F177&amp;"R",AS176))))</f>
        <v>wP</v>
      </c>
      <c r="AT177" s="11" t="str">
        <f aca="false">IF($P177=0,AT176,IF(AT$3=$E177,IF($AA177=1,$F177&amp;$AB177,$G177),IF(OR(AT$3=$D177,AT$3=$AC177,AT$3=$AE177),"",IF(AT$3=$AD177,$F177&amp;"R",AT176))))</f>
        <v>wP</v>
      </c>
      <c r="AU177" s="11" t="str">
        <f aca="false">IF($P177=0,AU176,IF(AU$3=$E177,IF($AA177=1,$F177&amp;$AB177,$G177),IF(OR(AU$3=$D177,AU$3=$AC177,AU$3=$AE177),"",IF(AU$3=$AD177,$F177&amp;"R",AU176))))</f>
        <v>wP</v>
      </c>
      <c r="AV177" s="11" t="str">
        <f aca="false">IF($P177=0,AV176,IF(AV$3=$E177,IF($AA177=1,$F177&amp;$AB177,$G177),IF(OR(AV$3=$D177,AV$3=$AC177,AV$3=$AE177),"",IF(AV$3=$AD177,$F177&amp;"R",AV176))))</f>
        <v>wP</v>
      </c>
      <c r="AW177" s="11" t="str">
        <f aca="false">IF($P177=0,AW176,IF(AW$3=$E177,IF($AA177=1,$F177&amp;$AB177,$G177),IF(OR(AW$3=$D177,AW$3=$AC177,AW$3=$AE177),"",IF(AW$3=$AD177,$F177&amp;"R",AW176))))</f>
        <v>wP</v>
      </c>
      <c r="AX177" s="11" t="str">
        <f aca="false">IF($P177=0,AX176,IF(AX$3=$E177,IF($AA177=1,$F177&amp;$AB177,$G177),IF(OR(AX$3=$D177,AX$3=$AC177,AX$3=$AE177),"",IF(AX$3=$AD177,$F177&amp;"R",AX176))))</f>
        <v/>
      </c>
      <c r="AY177" s="11" t="str">
        <f aca="false">IF($P177=0,AY176,IF(AY$3=$E177,IF($AA177=1,$F177&amp;$AB177,$G177),IF(OR(AY$3=$D177,AY$3=$AC177,AY$3=$AE177),"",IF(AY$3=$AD177,$F177&amp;"R",AY176))))</f>
        <v/>
      </c>
      <c r="AZ177" s="11" t="str">
        <f aca="false">IF($P177=0,AZ176,IF(AZ$3=$E177,IF($AA177=1,$F177&amp;$AB177,$G177),IF(OR(AZ$3=$D177,AZ$3=$AC177,AZ$3=$AE177),"",IF(AZ$3=$AD177,$F177&amp;"R",AZ176))))</f>
        <v/>
      </c>
      <c r="BA177" s="11" t="str">
        <f aca="false">IF($P177=0,BA176,IF(BA$3=$E177,IF($AA177=1,$F177&amp;$AB177,$G177),IF(OR(BA$3=$D177,BA$3=$AC177,BA$3=$AE177),"",IF(BA$3=$AD177,$F177&amp;"R",BA176))))</f>
        <v/>
      </c>
      <c r="BB177" s="11" t="str">
        <f aca="false">IF($P177=0,BB176,IF(BB$3=$E177,IF($AA177=1,$F177&amp;$AB177,$G177),IF(OR(BB$3=$D177,BB$3=$AC177,BB$3=$AE177),"",IF(BB$3=$AD177,$F177&amp;"R",BB176))))</f>
        <v/>
      </c>
      <c r="BC177" s="11" t="str">
        <f aca="false">IF($P177=0,BC176,IF(BC$3=$E177,IF($AA177=1,$F177&amp;$AB177,$G177),IF(OR(BC$3=$D177,BC$3=$AC177,BC$3=$AE177),"",IF(BC$3=$AD177,$F177&amp;"R",BC176))))</f>
        <v/>
      </c>
      <c r="BD177" s="11" t="str">
        <f aca="false">IF($P177=0,BD176,IF(BD$3=$E177,IF($AA177=1,$F177&amp;$AB177,$G177),IF(OR(BD$3=$D177,BD$3=$AC177,BD$3=$AE177),"",IF(BD$3=$AD177,$F177&amp;"R",BD176))))</f>
        <v/>
      </c>
      <c r="BE177" s="11" t="str">
        <f aca="false">IF($P177=0,BE176,IF(BE$3=$E177,IF($AA177=1,$F177&amp;$AB177,$G177),IF(OR(BE$3=$D177,BE$3=$AC177,BE$3=$AE177),"",IF(BE$3=$AD177,$F177&amp;"R",BE176))))</f>
        <v/>
      </c>
      <c r="BF177" s="11" t="str">
        <f aca="false">IF($P177=0,BF176,IF(BF$3=$E177,IF($AA177=1,$F177&amp;$AB177,$G177),IF(OR(BF$3=$D177,BF$3=$AC177,BF$3=$AE177),"",IF(BF$3=$AD177,$F177&amp;"R",BF176))))</f>
        <v/>
      </c>
      <c r="BG177" s="11" t="str">
        <f aca="false">IF($P177=0,BG176,IF(BG$3=$E177,IF($AA177=1,$F177&amp;$AB177,$G177),IF(OR(BG$3=$D177,BG$3=$AC177,BG$3=$AE177),"",IF(BG$3=$AD177,$F177&amp;"R",BG176))))</f>
        <v/>
      </c>
      <c r="BH177" s="11" t="str">
        <f aca="false">IF($P177=0,BH176,IF(BH$3=$E177,IF($AA177=1,$F177&amp;$AB177,$G177),IF(OR(BH$3=$D177,BH$3=$AC177,BH$3=$AE177),"",IF(BH$3=$AD177,$F177&amp;"R",BH176))))</f>
        <v/>
      </c>
      <c r="BI177" s="11" t="str">
        <f aca="false">IF($P177=0,BI176,IF(BI$3=$E177,IF($AA177=1,$F177&amp;$AB177,$G177),IF(OR(BI$3=$D177,BI$3=$AC177,BI$3=$AE177),"",IF(BI$3=$AD177,$F177&amp;"R",BI176))))</f>
        <v/>
      </c>
      <c r="BJ177" s="11" t="str">
        <f aca="false">IF($P177=0,BJ176,IF(BJ$3=$E177,IF($AA177=1,$F177&amp;$AB177,$G177),IF(OR(BJ$3=$D177,BJ$3=$AC177,BJ$3=$AE177),"",IF(BJ$3=$AD177,$F177&amp;"R",BJ176))))</f>
        <v/>
      </c>
      <c r="BK177" s="11" t="str">
        <f aca="false">IF($P177=0,BK176,IF(BK$3=$E177,IF($AA177=1,$F177&amp;$AB177,$G177),IF(OR(BK$3=$D177,BK$3=$AC177,BK$3=$AE177),"",IF(BK$3=$AD177,$F177&amp;"R",BK176))))</f>
        <v/>
      </c>
      <c r="BL177" s="11" t="str">
        <f aca="false">IF($P177=0,BL176,IF(BL$3=$E177,IF($AA177=1,$F177&amp;$AB177,$G177),IF(OR(BL$3=$D177,BL$3=$AC177,BL$3=$AE177),"",IF(BL$3=$AD177,$F177&amp;"R",BL176))))</f>
        <v/>
      </c>
      <c r="BM177" s="11" t="str">
        <f aca="false">IF($P177=0,BM176,IF(BM$3=$E177,IF($AA177=1,$F177&amp;$AB177,$G177),IF(OR(BM$3=$D177,BM$3=$AC177,BM$3=$AE177),"",IF(BM$3=$AD177,$F177&amp;"R",BM176))))</f>
        <v/>
      </c>
      <c r="BN177" s="11" t="str">
        <f aca="false">IF($P177=0,BN176,IF(BN$3=$E177,IF($AA177=1,$F177&amp;$AB177,$G177),IF(OR(BN$3=$D177,BN$3=$AC177,BN$3=$AE177),"",IF(BN$3=$AD177,$F177&amp;"R",BN176))))</f>
        <v/>
      </c>
      <c r="BO177" s="11" t="str">
        <f aca="false">IF($P177=0,BO176,IF(BO$3=$E177,IF($AA177=1,$F177&amp;$AB177,$G177),IF(OR(BO$3=$D177,BO$3=$AC177,BO$3=$AE177),"",IF(BO$3=$AD177,$F177&amp;"R",BO176))))</f>
        <v/>
      </c>
      <c r="BP177" s="11" t="str">
        <f aca="false">IF($P177=0,BP176,IF(BP$3=$E177,IF($AA177=1,$F177&amp;$AB177,$G177),IF(OR(BP$3=$D177,BP$3=$AC177,BP$3=$AE177),"",IF(BP$3=$AD177,$F177&amp;"R",BP176))))</f>
        <v/>
      </c>
      <c r="BQ177" s="11" t="str">
        <f aca="false">IF($P177=0,BQ176,IF(BQ$3=$E177,IF($AA177=1,$F177&amp;$AB177,$G177),IF(OR(BQ$3=$D177,BQ$3=$AC177,BQ$3=$AE177),"",IF(BQ$3=$AD177,$F177&amp;"R",BQ176))))</f>
        <v/>
      </c>
      <c r="BR177" s="11" t="str">
        <f aca="false">IF($P177=0,BR176,IF(BR$3=$E177,IF($AA177=1,$F177&amp;$AB177,$G177),IF(OR(BR$3=$D177,BR$3=$AC177,BR$3=$AE177),"",IF(BR$3=$AD177,$F177&amp;"R",BR176))))</f>
        <v/>
      </c>
      <c r="BS177" s="11" t="str">
        <f aca="false">IF($P177=0,BS176,IF(BS$3=$E177,IF($AA177=1,$F177&amp;$AB177,$G177),IF(OR(BS$3=$D177,BS$3=$AC177,BS$3=$AE177),"",IF(BS$3=$AD177,$F177&amp;"R",BS176))))</f>
        <v/>
      </c>
      <c r="BT177" s="11" t="str">
        <f aca="false">IF($P177=0,BT176,IF(BT$3=$E177,IF($AA177=1,$F177&amp;$AB177,$G177),IF(OR(BT$3=$D177,BT$3=$AC177,BT$3=$AE177),"",IF(BT$3=$AD177,$F177&amp;"R",BT176))))</f>
        <v/>
      </c>
      <c r="BU177" s="11" t="str">
        <f aca="false">IF($P177=0,BU176,IF(BU$3=$E177,IF($AA177=1,$F177&amp;$AB177,$G177),IF(OR(BU$3=$D177,BU$3=$AC177,BU$3=$AE177),"",IF(BU$3=$AD177,$F177&amp;"R",BU176))))</f>
        <v/>
      </c>
      <c r="BV177" s="11" t="str">
        <f aca="false">IF($P177=0,BV176,IF(BV$3=$E177,IF($AA177=1,$F177&amp;$AB177,$G177),IF(OR(BV$3=$D177,BV$3=$AC177,BV$3=$AE177),"",IF(BV$3=$AD177,$F177&amp;"R",BV176))))</f>
        <v/>
      </c>
      <c r="BW177" s="11" t="str">
        <f aca="false">IF($P177=0,BW176,IF(BW$3=$E177,IF($AA177=1,$F177&amp;$AB177,$G177),IF(OR(BW$3=$D177,BW$3=$AC177,BW$3=$AE177),"",IF(BW$3=$AD177,$F177&amp;"R",BW176))))</f>
        <v/>
      </c>
      <c r="BX177" s="11" t="str">
        <f aca="false">IF($P177=0,BX176,IF(BX$3=$E177,IF($AA177=1,$F177&amp;$AB177,$G177),IF(OR(BX$3=$D177,BX$3=$AC177,BX$3=$AE177),"",IF(BX$3=$AD177,$F177&amp;"R",BX176))))</f>
        <v/>
      </c>
      <c r="BY177" s="11" t="str">
        <f aca="false">IF($P177=0,BY176,IF(BY$3=$E177,IF($AA177=1,$F177&amp;$AB177,$G177),IF(OR(BY$3=$D177,BY$3=$AC177,BY$3=$AE177),"",IF(BY$3=$AD177,$F177&amp;"R",BY176))))</f>
        <v/>
      </c>
      <c r="BZ177" s="11" t="str">
        <f aca="false">IF($P177=0,BZ176,IF(BZ$3=$E177,IF($AA177=1,$F177&amp;$AB177,$G177),IF(OR(BZ$3=$D177,BZ$3=$AC177,BZ$3=$AE177),"",IF(BZ$3=$AD177,$F177&amp;"R",BZ176))))</f>
        <v/>
      </c>
      <c r="CA177" s="11" t="str">
        <f aca="false">IF($P177=0,CA176,IF(CA$3=$E177,IF($AA177=1,$F177&amp;$AB177,$G177),IF(OR(CA$3=$D177,CA$3=$AC177,CA$3=$AE177),"",IF(CA$3=$AD177,$F177&amp;"R",CA176))))</f>
        <v/>
      </c>
      <c r="CB177" s="11" t="str">
        <f aca="false">IF($P177=0,CB176,IF(CB$3=$E177,IF($AA177=1,$F177&amp;$AB177,$G177),IF(OR(CB$3=$D177,CB$3=$AC177,CB$3=$AE177),"",IF(CB$3=$AD177,$F177&amp;"R",CB176))))</f>
        <v/>
      </c>
      <c r="CC177" s="11" t="str">
        <f aca="false">IF($P177=0,CC176,IF(CC$3=$E177,IF($AA177=1,$F177&amp;$AB177,$G177),IF(OR(CC$3=$D177,CC$3=$AC177,CC$3=$AE177),"",IF(CC$3=$AD177,$F177&amp;"R",CC176))))</f>
        <v/>
      </c>
      <c r="CD177" s="11" t="str">
        <f aca="false">IF($P177=0,CD176,IF(CD$3=$E177,IF($AA177=1,$F177&amp;$AB177,$G177),IF(OR(CD$3=$D177,CD$3=$AC177,CD$3=$AE177),"",IF(CD$3=$AD177,$F177&amp;"R",CD176))))</f>
        <v>bP</v>
      </c>
      <c r="CE177" s="11" t="str">
        <f aca="false">IF($P177=0,CE176,IF(CE$3=$E177,IF($AA177=1,$F177&amp;$AB177,$G177),IF(OR(CE$3=$D177,CE$3=$AC177,CE$3=$AE177),"",IF(CE$3=$AD177,$F177&amp;"R",CE176))))</f>
        <v>bP</v>
      </c>
      <c r="CF177" s="11" t="str">
        <f aca="false">IF($P177=0,CF176,IF(CF$3=$E177,IF($AA177=1,$F177&amp;$AB177,$G177),IF(OR(CF$3=$D177,CF$3=$AC177,CF$3=$AE177),"",IF(CF$3=$AD177,$F177&amp;"R",CF176))))</f>
        <v>bP</v>
      </c>
      <c r="CG177" s="11" t="str">
        <f aca="false">IF($P177=0,CG176,IF(CG$3=$E177,IF($AA177=1,$F177&amp;$AB177,$G177),IF(OR(CG$3=$D177,CG$3=$AC177,CG$3=$AE177),"",IF(CG$3=$AD177,$F177&amp;"R",CG176))))</f>
        <v>bP</v>
      </c>
      <c r="CH177" s="11" t="str">
        <f aca="false">IF($P177=0,CH176,IF(CH$3=$E177,IF($AA177=1,$F177&amp;$AB177,$G177),IF(OR(CH$3=$D177,CH$3=$AC177,CH$3=$AE177),"",IF(CH$3=$AD177,$F177&amp;"R",CH176))))</f>
        <v>bP</v>
      </c>
      <c r="CI177" s="11" t="str">
        <f aca="false">IF($P177=0,CI176,IF(CI$3=$E177,IF($AA177=1,$F177&amp;$AB177,$G177),IF(OR(CI$3=$D177,CI$3=$AC177,CI$3=$AE177),"",IF(CI$3=$AD177,$F177&amp;"R",CI176))))</f>
        <v>bP</v>
      </c>
      <c r="CJ177" s="11" t="str">
        <f aca="false">IF($P177=0,CJ176,IF(CJ$3=$E177,IF($AA177=1,$F177&amp;$AB177,$G177),IF(OR(CJ$3=$D177,CJ$3=$AC177,CJ$3=$AE177),"",IF(CJ$3=$AD177,$F177&amp;"R",CJ176))))</f>
        <v>bP</v>
      </c>
      <c r="CK177" s="11" t="str">
        <f aca="false">IF($P177=0,CK176,IF(CK$3=$E177,IF($AA177=1,$F177&amp;$AB177,$G177),IF(OR(CK$3=$D177,CK$3=$AC177,CK$3=$AE177),"",IF(CK$3=$AD177,$F177&amp;"R",CK176))))</f>
        <v>bP</v>
      </c>
      <c r="CL177" s="11" t="str">
        <f aca="false">IF($P177=0,CL176,IF(CL$3=$E177,IF($AA177=1,$F177&amp;$AB177,$G177),IF(OR(CL$3=$D177,CL$3=$AC177,CL$3=$AE177),"",IF(CL$3=$AD177,$F177&amp;"R",CL176))))</f>
        <v>bR</v>
      </c>
      <c r="CM177" s="11" t="str">
        <f aca="false">IF($P177=0,CM176,IF(CM$3=$E177,IF($AA177=1,$F177&amp;$AB177,$G177),IF(OR(CM$3=$D177,CM$3=$AC177,CM$3=$AE177),"",IF(CM$3=$AD177,$F177&amp;"R",CM176))))</f>
        <v>bN</v>
      </c>
      <c r="CN177" s="11" t="str">
        <f aca="false">IF($P177=0,CN176,IF(CN$3=$E177,IF($AA177=1,$F177&amp;$AB177,$G177),IF(OR(CN$3=$D177,CN$3=$AC177,CN$3=$AE177),"",IF(CN$3=$AD177,$F177&amp;"R",CN176))))</f>
        <v>bB</v>
      </c>
      <c r="CO177" s="11" t="str">
        <f aca="false">IF($P177=0,CO176,IF(CO$3=$E177,IF($AA177=1,$F177&amp;$AB177,$G177),IF(OR(CO$3=$D177,CO$3=$AC177,CO$3=$AE177),"",IF(CO$3=$AD177,$F177&amp;"R",CO176))))</f>
        <v>bQ</v>
      </c>
      <c r="CP177" s="11" t="str">
        <f aca="false">IF($P177=0,CP176,IF(CP$3=$E177,IF($AA177=1,$F177&amp;$AB177,$G177),IF(OR(CP$3=$D177,CP$3=$AC177,CP$3=$AE177),"",IF(CP$3=$AD177,$F177&amp;"R",CP176))))</f>
        <v>bK</v>
      </c>
      <c r="CQ177" s="11" t="str">
        <f aca="false">IF($P177=0,CQ176,IF(CQ$3=$E177,IF($AA177=1,$F177&amp;$AB177,$G177),IF(OR(CQ$3=$D177,CQ$3=$AC177,CQ$3=$AE177),"",IF(CQ$3=$AD177,$F177&amp;"R",CQ176))))</f>
        <v>bB</v>
      </c>
      <c r="CR177" s="11" t="str">
        <f aca="false">IF($P177=0,CR176,IF(CR$3=$E177,IF($AA177=1,$F177&amp;$AB177,$G177),IF(OR(CR$3=$D177,CR$3=$AC177,CR$3=$AE177),"",IF(CR$3=$AD177,$F177&amp;"R",CR176))))</f>
        <v>bN</v>
      </c>
      <c r="CS177" s="11" t="str">
        <f aca="false">IF($P177=0,CS176,IF(CS$3=$E177,IF($AA177=1,$F177&amp;$AB177,$G177),IF(OR(CS$3=$D177,CS$3=$AC177,CS$3=$AE177),"",IF(CS$3=$AD177,$F177&amp;"R",CS176))))</f>
        <v>bR</v>
      </c>
      <c r="CT177" s="11"/>
      <c r="CU177" s="11"/>
      <c r="CV177" s="11"/>
    </row>
    <row r="178" customFormat="false" ht="15" hidden="false" customHeight="false" outlineLevel="0" collapsed="false">
      <c r="A178" s="11" t="n">
        <v>173</v>
      </c>
      <c r="B178" s="11" t="str">
        <f aca="false">IF(Chess!$L$182="","",Chess!$L$182&amp;"")</f>
        <v/>
      </c>
      <c r="C178" s="11" t="str">
        <f aca="false">LOWER(SUBSTITUTE(SUBSTITUTE(SUBSTITUTE(SUBSTITUTE(TRIM($B178),"-",""),"=","")," ",""),"x",""))</f>
        <v/>
      </c>
      <c r="D178" s="11" t="n">
        <f aca="false">IF(LEN($C178)&lt;4,0,IFERROR(IF(AND(CODE(MID($C178,1,1))&gt;=97,CODE(MID($C178,1,1))&lt;=104,VALUE(MID($C178,2,1))&gt;=1,VALUE(MID($C178,2,1))&lt;=8),(VALUE(MID($C178,2,1))-1)*8+CODE(MID($C178,1,1))-96,0),0))</f>
        <v>0</v>
      </c>
      <c r="E178" s="11" t="n">
        <f aca="false">IF(LEN($C178)&lt;4,0,IFERROR(IF(AND(CODE(MID($C178,3,1))&gt;=97,CODE(MID($C178,3,1))&lt;=104,VALUE(MID($C178,4,1))&gt;=1,VALUE(MID($C178,4,1))&lt;=8),(VALUE(MID($C178,4,1))-1)*8+CODE(MID($C178,3,1))-96,0),0))</f>
        <v>0</v>
      </c>
      <c r="F178" s="11" t="str">
        <f aca="false">IF(MOD(SUM($P$5:$P177),2)=0,"w","b")</f>
        <v>w</v>
      </c>
      <c r="G178" s="11" t="str">
        <f aca="false">IF($D178=0,"",INDEX($AH177:$CS177,1,$D178)&amp;"")</f>
        <v/>
      </c>
      <c r="H178" s="11" t="str">
        <f aca="false">IF($E178=0,"",INDEX($AH177:$CS177,1,$E178)&amp;"")</f>
        <v/>
      </c>
      <c r="I178" s="11" t="n">
        <f aca="false">IF(OR($D178=0,$E178=0),0,MOD($E178-1,8)-MOD($D178-1,8))</f>
        <v>0</v>
      </c>
      <c r="J178" s="11" t="n">
        <f aca="false">IF(OR($D178=0,$E178=0),0,INT(($E178-1)/8)-INT(($D178-1)/8))</f>
        <v>0</v>
      </c>
      <c r="K178" s="11" t="str">
        <f aca="false">IF($G178="","",RIGHT($G178,1))</f>
        <v/>
      </c>
      <c r="L178" s="11" t="n">
        <f aca="false">IF(OR($D178=0,$E178=0),0,SUMPRODUCT(($AH$3:$CS$3&gt;MIN($D178,$E178))*($AH$3:$CS$3&lt;MAX($D178,$E178))*(MOD($AH$3:$CS$3-MIN($D178,$E178),MAX(1,ABS(SIGN($J178)*8+SIGN($I178))))=0)*($AH177:$CS177&lt;&gt;"")))</f>
        <v>0</v>
      </c>
      <c r="M178" s="11" t="n">
        <f aca="false">IF($K178&lt;&gt;"K",0,IFERROR(--AND($J178=0,ABS($I178)=2,$D178=IF($F178="w",5,61),IF($F178="w",$S177,$V177)=0,IF($I178=2,AND(IF($F178="w",$U177,$X177)=0,INDEX($AH177:$CS177,1,$D178+1)&amp;""="",INDEX($AH177:$CS177,1,$D178+2)&amp;""=""),AND(IF($F178="w",$T177,$W177)=0,INDEX($AH177:$CS177,1,$D178-1)&amp;""="",INDEX($AH177:$CS177,1,$D178-2)&amp;""="",INDEX($AH177:$CS177,1,$D178-3)&amp;""=""))),0))</f>
        <v>0</v>
      </c>
      <c r="N178" s="11" t="n">
        <f aca="false">IF($K178&lt;&gt;"P",0,IFERROR(--OR(AND($I178=0,$J178=IF($F178="w",1,-1),$H178=""),AND($I178=0,$J178=2*IF($F178="w",1,-1),$H178="",INT(($D178-1)/8)=IF($F178="w",1,6),INDEX($AH177:$CS177,1,MAX(1,MIN(64,$D178+8*IF($F178="w",1,-1))))&amp;""=""),AND(ABS($I178)=1,$J178=IF($F178="w",1,-1),$H178&lt;&gt;""),AND(ABS($I178)=1,$J178=IF($F178="w",1,-1),$H178="",$R177&gt;0,$E178=$R177)),0))</f>
        <v>0</v>
      </c>
      <c r="O178" s="11" t="n">
        <f aca="false">IF(OR($D178=0,$E178=0,$G178=""),0,IF($K178="N",--OR(AND(ABS($I178)=1,ABS($J178)=2),AND(ABS($I178)=2,ABS($J178)=1)),IF($K178="B",--AND(ABS($I178)=ABS($J178),$I178&lt;&gt;0,$L178=0),IF($K178="R",--AND(OR($I178=0,$J178=0),OR($I178&lt;&gt;0,$J178&lt;&gt;0),$L178=0),IF($K178="Q",--AND(OR(AND(ABS($I178)=ABS($J178),$I178&lt;&gt;0),AND(OR($I178=0,$J178=0),OR($I178&lt;&gt;0,$J178&lt;&gt;0))),$L178=0),IF($K178="K",--OR(MAX(ABS($I178),ABS($J178))=1,$M178=1),$N178))))))</f>
        <v>0</v>
      </c>
      <c r="P178" s="11" t="n">
        <f aca="false">IF($Q178="OK",1,0)</f>
        <v>0</v>
      </c>
      <c r="Q178" s="11" t="str">
        <f aca="false">IF($B178="","",IF(OR(COUNTIF($AH177:$CS177,"wK")=0,COUNTIF($AH177:$CS177,"bK")=0),"Game is over",IF(OR($D178=0,$E178=0),"Use the format e2e4",IF($G178="","No piece on that square",IF(LEFT($G178,1)&lt;&gt;$F178,"Not your piece ("&amp;IF($F178="w","White","Black")&amp;" to move)",IF($D178=$E178,"Piece must move",IF(AND($H178&lt;&gt;"",LEFT($H178,1)=$F178),"Cannot capture your own piece",IF($O178=0,"Illegal move for that piece (or path blocked)","OK"))))))))</f>
        <v/>
      </c>
      <c r="R178" s="11" t="n">
        <f aca="false">IF($P178=1,IF(AND($K178="P",ABS($J178)=2),($D178+$E178)/2,0),$R177)</f>
        <v>0</v>
      </c>
      <c r="S178" s="12" t="b">
        <f aca="false">--OR($S177=1,AND($P178=1,OR($D178=5,$E178=5)))</f>
        <v>0</v>
      </c>
      <c r="T178" s="12" t="b">
        <f aca="false">--OR($T177=1,AND($P178=1,OR($D178=1,$E178=1)))</f>
        <v>0</v>
      </c>
      <c r="U178" s="12" t="b">
        <f aca="false">--OR($U177=1,AND($P178=1,OR($D178=8,$E178=8)))</f>
        <v>0</v>
      </c>
      <c r="V178" s="12" t="b">
        <f aca="false">--OR($V177=1,AND($P178=1,OR($D178=61,$E178=61)))</f>
        <v>0</v>
      </c>
      <c r="W178" s="12" t="b">
        <f aca="false">--OR($W177=1,AND($P178=1,OR($D178=57,$E178=57)))</f>
        <v>0</v>
      </c>
      <c r="X178" s="12" t="b">
        <f aca="false">--OR($X177=1,AND($P178=1,OR($D178=64,$E178=64)))</f>
        <v>0</v>
      </c>
      <c r="Y178" s="12" t="b">
        <f aca="false">--AND($P178=1,$K178="K",ABS($I178)=2)</f>
        <v>0</v>
      </c>
      <c r="Z178" s="12" t="b">
        <f aca="false">--AND($P178=1,$K178="P",ABS($I178)=1,$H178="")</f>
        <v>0</v>
      </c>
      <c r="AA178" s="12" t="b">
        <f aca="false">--AND($P178=1,$K178="P",INT(($E178-1)/8)=IF($F178="w",7,0))</f>
        <v>0</v>
      </c>
      <c r="AB178" s="11" t="str">
        <f aca="false">IF(LEN($C178)&gt;=5,IF(ISNUMBER(FIND(MID($C178,5,1),"qrbn")),UPPER(MID($C178,5,1)),"Q"),"Q")</f>
        <v>Q</v>
      </c>
      <c r="AC178" s="11" t="n">
        <f aca="false">IF($Y178=1,IF($I178=2,$D178+3,$D178-4),0)</f>
        <v>0</v>
      </c>
      <c r="AD178" s="11" t="n">
        <f aca="false">IF($Y178=1,IF($I178=2,$D178+1,$D178-1),0)</f>
        <v>0</v>
      </c>
      <c r="AE178" s="11" t="n">
        <f aca="false">IF($Z178=1,$E178-8*IF($F178="w",1,-1),0)</f>
        <v>0</v>
      </c>
      <c r="AF178" s="11" t="str">
        <f aca="false">IF($B178="","",IF($P178=1,LOWER(INDEX($CV$2:$CV$13,MATCH($G178,$CU$2:$CU$13,0)))&amp;" "&amp;MID("abcdefgh",MOD($D178-1,8)+1,1)&amp;(INT(($D178-1)/8)+1)&amp;"→"&amp;MID("abcdefgh",MOD($E178-1,8)+1,1)&amp;(INT(($E178-1)/8)+1)&amp;IF(OR($H178&lt;&gt;"",$Z178=1)," ×","")&amp;IF($Y178=1," castles","")&amp;IF($Z178=1," e.p.","")&amp;IF($AA178=1," =" &amp;LOWER(INDEX($CV$2:$CV$13,MATCH($F178&amp;$AB178,$CU$2:$CU$13,0))),""),"X "&amp;$Q178))</f>
        <v/>
      </c>
      <c r="AG178" s="11"/>
      <c r="AH178" s="11" t="str">
        <f aca="false">IF($P178=0,AH177,IF(AH$3=$E178,IF($AA178=1,$F178&amp;$AB178,$G178),IF(OR(AH$3=$D178,AH$3=$AC178,AH$3=$AE178),"",IF(AH$3=$AD178,$F178&amp;"R",AH177))))</f>
        <v>wR</v>
      </c>
      <c r="AI178" s="11" t="str">
        <f aca="false">IF($P178=0,AI177,IF(AI$3=$E178,IF($AA178=1,$F178&amp;$AB178,$G178),IF(OR(AI$3=$D178,AI$3=$AC178,AI$3=$AE178),"",IF(AI$3=$AD178,$F178&amp;"R",AI177))))</f>
        <v>wN</v>
      </c>
      <c r="AJ178" s="11" t="str">
        <f aca="false">IF($P178=0,AJ177,IF(AJ$3=$E178,IF($AA178=1,$F178&amp;$AB178,$G178),IF(OR(AJ$3=$D178,AJ$3=$AC178,AJ$3=$AE178),"",IF(AJ$3=$AD178,$F178&amp;"R",AJ177))))</f>
        <v>wB</v>
      </c>
      <c r="AK178" s="11" t="str">
        <f aca="false">IF($P178=0,AK177,IF(AK$3=$E178,IF($AA178=1,$F178&amp;$AB178,$G178),IF(OR(AK$3=$D178,AK$3=$AC178,AK$3=$AE178),"",IF(AK$3=$AD178,$F178&amp;"R",AK177))))</f>
        <v>wQ</v>
      </c>
      <c r="AL178" s="11" t="str">
        <f aca="false">IF($P178=0,AL177,IF(AL$3=$E178,IF($AA178=1,$F178&amp;$AB178,$G178),IF(OR(AL$3=$D178,AL$3=$AC178,AL$3=$AE178),"",IF(AL$3=$AD178,$F178&amp;"R",AL177))))</f>
        <v>wK</v>
      </c>
      <c r="AM178" s="11" t="str">
        <f aca="false">IF($P178=0,AM177,IF(AM$3=$E178,IF($AA178=1,$F178&amp;$AB178,$G178),IF(OR(AM$3=$D178,AM$3=$AC178,AM$3=$AE178),"",IF(AM$3=$AD178,$F178&amp;"R",AM177))))</f>
        <v>wB</v>
      </c>
      <c r="AN178" s="11" t="str">
        <f aca="false">IF($P178=0,AN177,IF(AN$3=$E178,IF($AA178=1,$F178&amp;$AB178,$G178),IF(OR(AN$3=$D178,AN$3=$AC178,AN$3=$AE178),"",IF(AN$3=$AD178,$F178&amp;"R",AN177))))</f>
        <v>wN</v>
      </c>
      <c r="AO178" s="11" t="str">
        <f aca="false">IF($P178=0,AO177,IF(AO$3=$E178,IF($AA178=1,$F178&amp;$AB178,$G178),IF(OR(AO$3=$D178,AO$3=$AC178,AO$3=$AE178),"",IF(AO$3=$AD178,$F178&amp;"R",AO177))))</f>
        <v>wR</v>
      </c>
      <c r="AP178" s="11" t="str">
        <f aca="false">IF($P178=0,AP177,IF(AP$3=$E178,IF($AA178=1,$F178&amp;$AB178,$G178),IF(OR(AP$3=$D178,AP$3=$AC178,AP$3=$AE178),"",IF(AP$3=$AD178,$F178&amp;"R",AP177))))</f>
        <v>wP</v>
      </c>
      <c r="AQ178" s="11" t="str">
        <f aca="false">IF($P178=0,AQ177,IF(AQ$3=$E178,IF($AA178=1,$F178&amp;$AB178,$G178),IF(OR(AQ$3=$D178,AQ$3=$AC178,AQ$3=$AE178),"",IF(AQ$3=$AD178,$F178&amp;"R",AQ177))))</f>
        <v>wP</v>
      </c>
      <c r="AR178" s="11" t="str">
        <f aca="false">IF($P178=0,AR177,IF(AR$3=$E178,IF($AA178=1,$F178&amp;$AB178,$G178),IF(OR(AR$3=$D178,AR$3=$AC178,AR$3=$AE178),"",IF(AR$3=$AD178,$F178&amp;"R",AR177))))</f>
        <v>wP</v>
      </c>
      <c r="AS178" s="11" t="str">
        <f aca="false">IF($P178=0,AS177,IF(AS$3=$E178,IF($AA178=1,$F178&amp;$AB178,$G178),IF(OR(AS$3=$D178,AS$3=$AC178,AS$3=$AE178),"",IF(AS$3=$AD178,$F178&amp;"R",AS177))))</f>
        <v>wP</v>
      </c>
      <c r="AT178" s="11" t="str">
        <f aca="false">IF($P178=0,AT177,IF(AT$3=$E178,IF($AA178=1,$F178&amp;$AB178,$G178),IF(OR(AT$3=$D178,AT$3=$AC178,AT$3=$AE178),"",IF(AT$3=$AD178,$F178&amp;"R",AT177))))</f>
        <v>wP</v>
      </c>
      <c r="AU178" s="11" t="str">
        <f aca="false">IF($P178=0,AU177,IF(AU$3=$E178,IF($AA178=1,$F178&amp;$AB178,$G178),IF(OR(AU$3=$D178,AU$3=$AC178,AU$3=$AE178),"",IF(AU$3=$AD178,$F178&amp;"R",AU177))))</f>
        <v>wP</v>
      </c>
      <c r="AV178" s="11" t="str">
        <f aca="false">IF($P178=0,AV177,IF(AV$3=$E178,IF($AA178=1,$F178&amp;$AB178,$G178),IF(OR(AV$3=$D178,AV$3=$AC178,AV$3=$AE178),"",IF(AV$3=$AD178,$F178&amp;"R",AV177))))</f>
        <v>wP</v>
      </c>
      <c r="AW178" s="11" t="str">
        <f aca="false">IF($P178=0,AW177,IF(AW$3=$E178,IF($AA178=1,$F178&amp;$AB178,$G178),IF(OR(AW$3=$D178,AW$3=$AC178,AW$3=$AE178),"",IF(AW$3=$AD178,$F178&amp;"R",AW177))))</f>
        <v>wP</v>
      </c>
      <c r="AX178" s="11" t="str">
        <f aca="false">IF($P178=0,AX177,IF(AX$3=$E178,IF($AA178=1,$F178&amp;$AB178,$G178),IF(OR(AX$3=$D178,AX$3=$AC178,AX$3=$AE178),"",IF(AX$3=$AD178,$F178&amp;"R",AX177))))</f>
        <v/>
      </c>
      <c r="AY178" s="11" t="str">
        <f aca="false">IF($P178=0,AY177,IF(AY$3=$E178,IF($AA178=1,$F178&amp;$AB178,$G178),IF(OR(AY$3=$D178,AY$3=$AC178,AY$3=$AE178),"",IF(AY$3=$AD178,$F178&amp;"R",AY177))))</f>
        <v/>
      </c>
      <c r="AZ178" s="11" t="str">
        <f aca="false">IF($P178=0,AZ177,IF(AZ$3=$E178,IF($AA178=1,$F178&amp;$AB178,$G178),IF(OR(AZ$3=$D178,AZ$3=$AC178,AZ$3=$AE178),"",IF(AZ$3=$AD178,$F178&amp;"R",AZ177))))</f>
        <v/>
      </c>
      <c r="BA178" s="11" t="str">
        <f aca="false">IF($P178=0,BA177,IF(BA$3=$E178,IF($AA178=1,$F178&amp;$AB178,$G178),IF(OR(BA$3=$D178,BA$3=$AC178,BA$3=$AE178),"",IF(BA$3=$AD178,$F178&amp;"R",BA177))))</f>
        <v/>
      </c>
      <c r="BB178" s="11" t="str">
        <f aca="false">IF($P178=0,BB177,IF(BB$3=$E178,IF($AA178=1,$F178&amp;$AB178,$G178),IF(OR(BB$3=$D178,BB$3=$AC178,BB$3=$AE178),"",IF(BB$3=$AD178,$F178&amp;"R",BB177))))</f>
        <v/>
      </c>
      <c r="BC178" s="11" t="str">
        <f aca="false">IF($P178=0,BC177,IF(BC$3=$E178,IF($AA178=1,$F178&amp;$AB178,$G178),IF(OR(BC$3=$D178,BC$3=$AC178,BC$3=$AE178),"",IF(BC$3=$AD178,$F178&amp;"R",BC177))))</f>
        <v/>
      </c>
      <c r="BD178" s="11" t="str">
        <f aca="false">IF($P178=0,BD177,IF(BD$3=$E178,IF($AA178=1,$F178&amp;$AB178,$G178),IF(OR(BD$3=$D178,BD$3=$AC178,BD$3=$AE178),"",IF(BD$3=$AD178,$F178&amp;"R",BD177))))</f>
        <v/>
      </c>
      <c r="BE178" s="11" t="str">
        <f aca="false">IF($P178=0,BE177,IF(BE$3=$E178,IF($AA178=1,$F178&amp;$AB178,$G178),IF(OR(BE$3=$D178,BE$3=$AC178,BE$3=$AE178),"",IF(BE$3=$AD178,$F178&amp;"R",BE177))))</f>
        <v/>
      </c>
      <c r="BF178" s="11" t="str">
        <f aca="false">IF($P178=0,BF177,IF(BF$3=$E178,IF($AA178=1,$F178&amp;$AB178,$G178),IF(OR(BF$3=$D178,BF$3=$AC178,BF$3=$AE178),"",IF(BF$3=$AD178,$F178&amp;"R",BF177))))</f>
        <v/>
      </c>
      <c r="BG178" s="11" t="str">
        <f aca="false">IF($P178=0,BG177,IF(BG$3=$E178,IF($AA178=1,$F178&amp;$AB178,$G178),IF(OR(BG$3=$D178,BG$3=$AC178,BG$3=$AE178),"",IF(BG$3=$AD178,$F178&amp;"R",BG177))))</f>
        <v/>
      </c>
      <c r="BH178" s="11" t="str">
        <f aca="false">IF($P178=0,BH177,IF(BH$3=$E178,IF($AA178=1,$F178&amp;$AB178,$G178),IF(OR(BH$3=$D178,BH$3=$AC178,BH$3=$AE178),"",IF(BH$3=$AD178,$F178&amp;"R",BH177))))</f>
        <v/>
      </c>
      <c r="BI178" s="11" t="str">
        <f aca="false">IF($P178=0,BI177,IF(BI$3=$E178,IF($AA178=1,$F178&amp;$AB178,$G178),IF(OR(BI$3=$D178,BI$3=$AC178,BI$3=$AE178),"",IF(BI$3=$AD178,$F178&amp;"R",BI177))))</f>
        <v/>
      </c>
      <c r="BJ178" s="11" t="str">
        <f aca="false">IF($P178=0,BJ177,IF(BJ$3=$E178,IF($AA178=1,$F178&amp;$AB178,$G178),IF(OR(BJ$3=$D178,BJ$3=$AC178,BJ$3=$AE178),"",IF(BJ$3=$AD178,$F178&amp;"R",BJ177))))</f>
        <v/>
      </c>
      <c r="BK178" s="11" t="str">
        <f aca="false">IF($P178=0,BK177,IF(BK$3=$E178,IF($AA178=1,$F178&amp;$AB178,$G178),IF(OR(BK$3=$D178,BK$3=$AC178,BK$3=$AE178),"",IF(BK$3=$AD178,$F178&amp;"R",BK177))))</f>
        <v/>
      </c>
      <c r="BL178" s="11" t="str">
        <f aca="false">IF($P178=0,BL177,IF(BL$3=$E178,IF($AA178=1,$F178&amp;$AB178,$G178),IF(OR(BL$3=$D178,BL$3=$AC178,BL$3=$AE178),"",IF(BL$3=$AD178,$F178&amp;"R",BL177))))</f>
        <v/>
      </c>
      <c r="BM178" s="11" t="str">
        <f aca="false">IF($P178=0,BM177,IF(BM$3=$E178,IF($AA178=1,$F178&amp;$AB178,$G178),IF(OR(BM$3=$D178,BM$3=$AC178,BM$3=$AE178),"",IF(BM$3=$AD178,$F178&amp;"R",BM177))))</f>
        <v/>
      </c>
      <c r="BN178" s="11" t="str">
        <f aca="false">IF($P178=0,BN177,IF(BN$3=$E178,IF($AA178=1,$F178&amp;$AB178,$G178),IF(OR(BN$3=$D178,BN$3=$AC178,BN$3=$AE178),"",IF(BN$3=$AD178,$F178&amp;"R",BN177))))</f>
        <v/>
      </c>
      <c r="BO178" s="11" t="str">
        <f aca="false">IF($P178=0,BO177,IF(BO$3=$E178,IF($AA178=1,$F178&amp;$AB178,$G178),IF(OR(BO$3=$D178,BO$3=$AC178,BO$3=$AE178),"",IF(BO$3=$AD178,$F178&amp;"R",BO177))))</f>
        <v/>
      </c>
      <c r="BP178" s="11" t="str">
        <f aca="false">IF($P178=0,BP177,IF(BP$3=$E178,IF($AA178=1,$F178&amp;$AB178,$G178),IF(OR(BP$3=$D178,BP$3=$AC178,BP$3=$AE178),"",IF(BP$3=$AD178,$F178&amp;"R",BP177))))</f>
        <v/>
      </c>
      <c r="BQ178" s="11" t="str">
        <f aca="false">IF($P178=0,BQ177,IF(BQ$3=$E178,IF($AA178=1,$F178&amp;$AB178,$G178),IF(OR(BQ$3=$D178,BQ$3=$AC178,BQ$3=$AE178),"",IF(BQ$3=$AD178,$F178&amp;"R",BQ177))))</f>
        <v/>
      </c>
      <c r="BR178" s="11" t="str">
        <f aca="false">IF($P178=0,BR177,IF(BR$3=$E178,IF($AA178=1,$F178&amp;$AB178,$G178),IF(OR(BR$3=$D178,BR$3=$AC178,BR$3=$AE178),"",IF(BR$3=$AD178,$F178&amp;"R",BR177))))</f>
        <v/>
      </c>
      <c r="BS178" s="11" t="str">
        <f aca="false">IF($P178=0,BS177,IF(BS$3=$E178,IF($AA178=1,$F178&amp;$AB178,$G178),IF(OR(BS$3=$D178,BS$3=$AC178,BS$3=$AE178),"",IF(BS$3=$AD178,$F178&amp;"R",BS177))))</f>
        <v/>
      </c>
      <c r="BT178" s="11" t="str">
        <f aca="false">IF($P178=0,BT177,IF(BT$3=$E178,IF($AA178=1,$F178&amp;$AB178,$G178),IF(OR(BT$3=$D178,BT$3=$AC178,BT$3=$AE178),"",IF(BT$3=$AD178,$F178&amp;"R",BT177))))</f>
        <v/>
      </c>
      <c r="BU178" s="11" t="str">
        <f aca="false">IF($P178=0,BU177,IF(BU$3=$E178,IF($AA178=1,$F178&amp;$AB178,$G178),IF(OR(BU$3=$D178,BU$3=$AC178,BU$3=$AE178),"",IF(BU$3=$AD178,$F178&amp;"R",BU177))))</f>
        <v/>
      </c>
      <c r="BV178" s="11" t="str">
        <f aca="false">IF($P178=0,BV177,IF(BV$3=$E178,IF($AA178=1,$F178&amp;$AB178,$G178),IF(OR(BV$3=$D178,BV$3=$AC178,BV$3=$AE178),"",IF(BV$3=$AD178,$F178&amp;"R",BV177))))</f>
        <v/>
      </c>
      <c r="BW178" s="11" t="str">
        <f aca="false">IF($P178=0,BW177,IF(BW$3=$E178,IF($AA178=1,$F178&amp;$AB178,$G178),IF(OR(BW$3=$D178,BW$3=$AC178,BW$3=$AE178),"",IF(BW$3=$AD178,$F178&amp;"R",BW177))))</f>
        <v/>
      </c>
      <c r="BX178" s="11" t="str">
        <f aca="false">IF($P178=0,BX177,IF(BX$3=$E178,IF($AA178=1,$F178&amp;$AB178,$G178),IF(OR(BX$3=$D178,BX$3=$AC178,BX$3=$AE178),"",IF(BX$3=$AD178,$F178&amp;"R",BX177))))</f>
        <v/>
      </c>
      <c r="BY178" s="11" t="str">
        <f aca="false">IF($P178=0,BY177,IF(BY$3=$E178,IF($AA178=1,$F178&amp;$AB178,$G178),IF(OR(BY$3=$D178,BY$3=$AC178,BY$3=$AE178),"",IF(BY$3=$AD178,$F178&amp;"R",BY177))))</f>
        <v/>
      </c>
      <c r="BZ178" s="11" t="str">
        <f aca="false">IF($P178=0,BZ177,IF(BZ$3=$E178,IF($AA178=1,$F178&amp;$AB178,$G178),IF(OR(BZ$3=$D178,BZ$3=$AC178,BZ$3=$AE178),"",IF(BZ$3=$AD178,$F178&amp;"R",BZ177))))</f>
        <v/>
      </c>
      <c r="CA178" s="11" t="str">
        <f aca="false">IF($P178=0,CA177,IF(CA$3=$E178,IF($AA178=1,$F178&amp;$AB178,$G178),IF(OR(CA$3=$D178,CA$3=$AC178,CA$3=$AE178),"",IF(CA$3=$AD178,$F178&amp;"R",CA177))))</f>
        <v/>
      </c>
      <c r="CB178" s="11" t="str">
        <f aca="false">IF($P178=0,CB177,IF(CB$3=$E178,IF($AA178=1,$F178&amp;$AB178,$G178),IF(OR(CB$3=$D178,CB$3=$AC178,CB$3=$AE178),"",IF(CB$3=$AD178,$F178&amp;"R",CB177))))</f>
        <v/>
      </c>
      <c r="CC178" s="11" t="str">
        <f aca="false">IF($P178=0,CC177,IF(CC$3=$E178,IF($AA178=1,$F178&amp;$AB178,$G178),IF(OR(CC$3=$D178,CC$3=$AC178,CC$3=$AE178),"",IF(CC$3=$AD178,$F178&amp;"R",CC177))))</f>
        <v/>
      </c>
      <c r="CD178" s="11" t="str">
        <f aca="false">IF($P178=0,CD177,IF(CD$3=$E178,IF($AA178=1,$F178&amp;$AB178,$G178),IF(OR(CD$3=$D178,CD$3=$AC178,CD$3=$AE178),"",IF(CD$3=$AD178,$F178&amp;"R",CD177))))</f>
        <v>bP</v>
      </c>
      <c r="CE178" s="11" t="str">
        <f aca="false">IF($P178=0,CE177,IF(CE$3=$E178,IF($AA178=1,$F178&amp;$AB178,$G178),IF(OR(CE$3=$D178,CE$3=$AC178,CE$3=$AE178),"",IF(CE$3=$AD178,$F178&amp;"R",CE177))))</f>
        <v>bP</v>
      </c>
      <c r="CF178" s="11" t="str">
        <f aca="false">IF($P178=0,CF177,IF(CF$3=$E178,IF($AA178=1,$F178&amp;$AB178,$G178),IF(OR(CF$3=$D178,CF$3=$AC178,CF$3=$AE178),"",IF(CF$3=$AD178,$F178&amp;"R",CF177))))</f>
        <v>bP</v>
      </c>
      <c r="CG178" s="11" t="str">
        <f aca="false">IF($P178=0,CG177,IF(CG$3=$E178,IF($AA178=1,$F178&amp;$AB178,$G178),IF(OR(CG$3=$D178,CG$3=$AC178,CG$3=$AE178),"",IF(CG$3=$AD178,$F178&amp;"R",CG177))))</f>
        <v>bP</v>
      </c>
      <c r="CH178" s="11" t="str">
        <f aca="false">IF($P178=0,CH177,IF(CH$3=$E178,IF($AA178=1,$F178&amp;$AB178,$G178),IF(OR(CH$3=$D178,CH$3=$AC178,CH$3=$AE178),"",IF(CH$3=$AD178,$F178&amp;"R",CH177))))</f>
        <v>bP</v>
      </c>
      <c r="CI178" s="11" t="str">
        <f aca="false">IF($P178=0,CI177,IF(CI$3=$E178,IF($AA178=1,$F178&amp;$AB178,$G178),IF(OR(CI$3=$D178,CI$3=$AC178,CI$3=$AE178),"",IF(CI$3=$AD178,$F178&amp;"R",CI177))))</f>
        <v>bP</v>
      </c>
      <c r="CJ178" s="11" t="str">
        <f aca="false">IF($P178=0,CJ177,IF(CJ$3=$E178,IF($AA178=1,$F178&amp;$AB178,$G178),IF(OR(CJ$3=$D178,CJ$3=$AC178,CJ$3=$AE178),"",IF(CJ$3=$AD178,$F178&amp;"R",CJ177))))</f>
        <v>bP</v>
      </c>
      <c r="CK178" s="11" t="str">
        <f aca="false">IF($P178=0,CK177,IF(CK$3=$E178,IF($AA178=1,$F178&amp;$AB178,$G178),IF(OR(CK$3=$D178,CK$3=$AC178,CK$3=$AE178),"",IF(CK$3=$AD178,$F178&amp;"R",CK177))))</f>
        <v>bP</v>
      </c>
      <c r="CL178" s="11" t="str">
        <f aca="false">IF($P178=0,CL177,IF(CL$3=$E178,IF($AA178=1,$F178&amp;$AB178,$G178),IF(OR(CL$3=$D178,CL$3=$AC178,CL$3=$AE178),"",IF(CL$3=$AD178,$F178&amp;"R",CL177))))</f>
        <v>bR</v>
      </c>
      <c r="CM178" s="11" t="str">
        <f aca="false">IF($P178=0,CM177,IF(CM$3=$E178,IF($AA178=1,$F178&amp;$AB178,$G178),IF(OR(CM$3=$D178,CM$3=$AC178,CM$3=$AE178),"",IF(CM$3=$AD178,$F178&amp;"R",CM177))))</f>
        <v>bN</v>
      </c>
      <c r="CN178" s="11" t="str">
        <f aca="false">IF($P178=0,CN177,IF(CN$3=$E178,IF($AA178=1,$F178&amp;$AB178,$G178),IF(OR(CN$3=$D178,CN$3=$AC178,CN$3=$AE178),"",IF(CN$3=$AD178,$F178&amp;"R",CN177))))</f>
        <v>bB</v>
      </c>
      <c r="CO178" s="11" t="str">
        <f aca="false">IF($P178=0,CO177,IF(CO$3=$E178,IF($AA178=1,$F178&amp;$AB178,$G178),IF(OR(CO$3=$D178,CO$3=$AC178,CO$3=$AE178),"",IF(CO$3=$AD178,$F178&amp;"R",CO177))))</f>
        <v>bQ</v>
      </c>
      <c r="CP178" s="11" t="str">
        <f aca="false">IF($P178=0,CP177,IF(CP$3=$E178,IF($AA178=1,$F178&amp;$AB178,$G178),IF(OR(CP$3=$D178,CP$3=$AC178,CP$3=$AE178),"",IF(CP$3=$AD178,$F178&amp;"R",CP177))))</f>
        <v>bK</v>
      </c>
      <c r="CQ178" s="11" t="str">
        <f aca="false">IF($P178=0,CQ177,IF(CQ$3=$E178,IF($AA178=1,$F178&amp;$AB178,$G178),IF(OR(CQ$3=$D178,CQ$3=$AC178,CQ$3=$AE178),"",IF(CQ$3=$AD178,$F178&amp;"R",CQ177))))</f>
        <v>bB</v>
      </c>
      <c r="CR178" s="11" t="str">
        <f aca="false">IF($P178=0,CR177,IF(CR$3=$E178,IF($AA178=1,$F178&amp;$AB178,$G178),IF(OR(CR$3=$D178,CR$3=$AC178,CR$3=$AE178),"",IF(CR$3=$AD178,$F178&amp;"R",CR177))))</f>
        <v>bN</v>
      </c>
      <c r="CS178" s="11" t="str">
        <f aca="false">IF($P178=0,CS177,IF(CS$3=$E178,IF($AA178=1,$F178&amp;$AB178,$G178),IF(OR(CS$3=$D178,CS$3=$AC178,CS$3=$AE178),"",IF(CS$3=$AD178,$F178&amp;"R",CS177))))</f>
        <v>bR</v>
      </c>
      <c r="CT178" s="11"/>
      <c r="CU178" s="11"/>
      <c r="CV178" s="11"/>
    </row>
    <row r="179" customFormat="false" ht="15" hidden="false" customHeight="false" outlineLevel="0" collapsed="false">
      <c r="A179" s="11" t="n">
        <v>174</v>
      </c>
      <c r="B179" s="11" t="str">
        <f aca="false">IF(Chess!$L$183="","",Chess!$L$183&amp;"")</f>
        <v/>
      </c>
      <c r="C179" s="11" t="str">
        <f aca="false">LOWER(SUBSTITUTE(SUBSTITUTE(SUBSTITUTE(SUBSTITUTE(TRIM($B179),"-",""),"=","")," ",""),"x",""))</f>
        <v/>
      </c>
      <c r="D179" s="11" t="n">
        <f aca="false">IF(LEN($C179)&lt;4,0,IFERROR(IF(AND(CODE(MID($C179,1,1))&gt;=97,CODE(MID($C179,1,1))&lt;=104,VALUE(MID($C179,2,1))&gt;=1,VALUE(MID($C179,2,1))&lt;=8),(VALUE(MID($C179,2,1))-1)*8+CODE(MID($C179,1,1))-96,0),0))</f>
        <v>0</v>
      </c>
      <c r="E179" s="11" t="n">
        <f aca="false">IF(LEN($C179)&lt;4,0,IFERROR(IF(AND(CODE(MID($C179,3,1))&gt;=97,CODE(MID($C179,3,1))&lt;=104,VALUE(MID($C179,4,1))&gt;=1,VALUE(MID($C179,4,1))&lt;=8),(VALUE(MID($C179,4,1))-1)*8+CODE(MID($C179,3,1))-96,0),0))</f>
        <v>0</v>
      </c>
      <c r="F179" s="11" t="str">
        <f aca="false">IF(MOD(SUM($P$5:$P178),2)=0,"w","b")</f>
        <v>w</v>
      </c>
      <c r="G179" s="11" t="str">
        <f aca="false">IF($D179=0,"",INDEX($AH178:$CS178,1,$D179)&amp;"")</f>
        <v/>
      </c>
      <c r="H179" s="11" t="str">
        <f aca="false">IF($E179=0,"",INDEX($AH178:$CS178,1,$E179)&amp;"")</f>
        <v/>
      </c>
      <c r="I179" s="11" t="n">
        <f aca="false">IF(OR($D179=0,$E179=0),0,MOD($E179-1,8)-MOD($D179-1,8))</f>
        <v>0</v>
      </c>
      <c r="J179" s="11" t="n">
        <f aca="false">IF(OR($D179=0,$E179=0),0,INT(($E179-1)/8)-INT(($D179-1)/8))</f>
        <v>0</v>
      </c>
      <c r="K179" s="11" t="str">
        <f aca="false">IF($G179="","",RIGHT($G179,1))</f>
        <v/>
      </c>
      <c r="L179" s="11" t="n">
        <f aca="false">IF(OR($D179=0,$E179=0),0,SUMPRODUCT(($AH$3:$CS$3&gt;MIN($D179,$E179))*($AH$3:$CS$3&lt;MAX($D179,$E179))*(MOD($AH$3:$CS$3-MIN($D179,$E179),MAX(1,ABS(SIGN($J179)*8+SIGN($I179))))=0)*($AH178:$CS178&lt;&gt;"")))</f>
        <v>0</v>
      </c>
      <c r="M179" s="11" t="n">
        <f aca="false">IF($K179&lt;&gt;"K",0,IFERROR(--AND($J179=0,ABS($I179)=2,$D179=IF($F179="w",5,61),IF($F179="w",$S178,$V178)=0,IF($I179=2,AND(IF($F179="w",$U178,$X178)=0,INDEX($AH178:$CS178,1,$D179+1)&amp;""="",INDEX($AH178:$CS178,1,$D179+2)&amp;""=""),AND(IF($F179="w",$T178,$W178)=0,INDEX($AH178:$CS178,1,$D179-1)&amp;""="",INDEX($AH178:$CS178,1,$D179-2)&amp;""="",INDEX($AH178:$CS178,1,$D179-3)&amp;""=""))),0))</f>
        <v>0</v>
      </c>
      <c r="N179" s="11" t="n">
        <f aca="false">IF($K179&lt;&gt;"P",0,IFERROR(--OR(AND($I179=0,$J179=IF($F179="w",1,-1),$H179=""),AND($I179=0,$J179=2*IF($F179="w",1,-1),$H179="",INT(($D179-1)/8)=IF($F179="w",1,6),INDEX($AH178:$CS178,1,MAX(1,MIN(64,$D179+8*IF($F179="w",1,-1))))&amp;""=""),AND(ABS($I179)=1,$J179=IF($F179="w",1,-1),$H179&lt;&gt;""),AND(ABS($I179)=1,$J179=IF($F179="w",1,-1),$H179="",$R178&gt;0,$E179=$R178)),0))</f>
        <v>0</v>
      </c>
      <c r="O179" s="11" t="n">
        <f aca="false">IF(OR($D179=0,$E179=0,$G179=""),0,IF($K179="N",--OR(AND(ABS($I179)=1,ABS($J179)=2),AND(ABS($I179)=2,ABS($J179)=1)),IF($K179="B",--AND(ABS($I179)=ABS($J179),$I179&lt;&gt;0,$L179=0),IF($K179="R",--AND(OR($I179=0,$J179=0),OR($I179&lt;&gt;0,$J179&lt;&gt;0),$L179=0),IF($K179="Q",--AND(OR(AND(ABS($I179)=ABS($J179),$I179&lt;&gt;0),AND(OR($I179=0,$J179=0),OR($I179&lt;&gt;0,$J179&lt;&gt;0))),$L179=0),IF($K179="K",--OR(MAX(ABS($I179),ABS($J179))=1,$M179=1),$N179))))))</f>
        <v>0</v>
      </c>
      <c r="P179" s="11" t="n">
        <f aca="false">IF($Q179="OK",1,0)</f>
        <v>0</v>
      </c>
      <c r="Q179" s="11" t="str">
        <f aca="false">IF($B179="","",IF(OR(COUNTIF($AH178:$CS178,"wK")=0,COUNTIF($AH178:$CS178,"bK")=0),"Game is over",IF(OR($D179=0,$E179=0),"Use the format e2e4",IF($G179="","No piece on that square",IF(LEFT($G179,1)&lt;&gt;$F179,"Not your piece ("&amp;IF($F179="w","White","Black")&amp;" to move)",IF($D179=$E179,"Piece must move",IF(AND($H179&lt;&gt;"",LEFT($H179,1)=$F179),"Cannot capture your own piece",IF($O179=0,"Illegal move for that piece (or path blocked)","OK"))))))))</f>
        <v/>
      </c>
      <c r="R179" s="11" t="n">
        <f aca="false">IF($P179=1,IF(AND($K179="P",ABS($J179)=2),($D179+$E179)/2,0),$R178)</f>
        <v>0</v>
      </c>
      <c r="S179" s="12" t="b">
        <f aca="false">--OR($S178=1,AND($P179=1,OR($D179=5,$E179=5)))</f>
        <v>0</v>
      </c>
      <c r="T179" s="12" t="b">
        <f aca="false">--OR($T178=1,AND($P179=1,OR($D179=1,$E179=1)))</f>
        <v>0</v>
      </c>
      <c r="U179" s="12" t="b">
        <f aca="false">--OR($U178=1,AND($P179=1,OR($D179=8,$E179=8)))</f>
        <v>0</v>
      </c>
      <c r="V179" s="12" t="b">
        <f aca="false">--OR($V178=1,AND($P179=1,OR($D179=61,$E179=61)))</f>
        <v>0</v>
      </c>
      <c r="W179" s="12" t="b">
        <f aca="false">--OR($W178=1,AND($P179=1,OR($D179=57,$E179=57)))</f>
        <v>0</v>
      </c>
      <c r="X179" s="12" t="b">
        <f aca="false">--OR($X178=1,AND($P179=1,OR($D179=64,$E179=64)))</f>
        <v>0</v>
      </c>
      <c r="Y179" s="12" t="b">
        <f aca="false">--AND($P179=1,$K179="K",ABS($I179)=2)</f>
        <v>0</v>
      </c>
      <c r="Z179" s="12" t="b">
        <f aca="false">--AND($P179=1,$K179="P",ABS($I179)=1,$H179="")</f>
        <v>0</v>
      </c>
      <c r="AA179" s="12" t="b">
        <f aca="false">--AND($P179=1,$K179="P",INT(($E179-1)/8)=IF($F179="w",7,0))</f>
        <v>0</v>
      </c>
      <c r="AB179" s="11" t="str">
        <f aca="false">IF(LEN($C179)&gt;=5,IF(ISNUMBER(FIND(MID($C179,5,1),"qrbn")),UPPER(MID($C179,5,1)),"Q"),"Q")</f>
        <v>Q</v>
      </c>
      <c r="AC179" s="11" t="n">
        <f aca="false">IF($Y179=1,IF($I179=2,$D179+3,$D179-4),0)</f>
        <v>0</v>
      </c>
      <c r="AD179" s="11" t="n">
        <f aca="false">IF($Y179=1,IF($I179=2,$D179+1,$D179-1),0)</f>
        <v>0</v>
      </c>
      <c r="AE179" s="11" t="n">
        <f aca="false">IF($Z179=1,$E179-8*IF($F179="w",1,-1),0)</f>
        <v>0</v>
      </c>
      <c r="AF179" s="11" t="str">
        <f aca="false">IF($B179="","",IF($P179=1,LOWER(INDEX($CV$2:$CV$13,MATCH($G179,$CU$2:$CU$13,0)))&amp;" "&amp;MID("abcdefgh",MOD($D179-1,8)+1,1)&amp;(INT(($D179-1)/8)+1)&amp;"→"&amp;MID("abcdefgh",MOD($E179-1,8)+1,1)&amp;(INT(($E179-1)/8)+1)&amp;IF(OR($H179&lt;&gt;"",$Z179=1)," ×","")&amp;IF($Y179=1," castles","")&amp;IF($Z179=1," e.p.","")&amp;IF($AA179=1," =" &amp;LOWER(INDEX($CV$2:$CV$13,MATCH($F179&amp;$AB179,$CU$2:$CU$13,0))),""),"X "&amp;$Q179))</f>
        <v/>
      </c>
      <c r="AG179" s="11"/>
      <c r="AH179" s="11" t="str">
        <f aca="false">IF($P179=0,AH178,IF(AH$3=$E179,IF($AA179=1,$F179&amp;$AB179,$G179),IF(OR(AH$3=$D179,AH$3=$AC179,AH$3=$AE179),"",IF(AH$3=$AD179,$F179&amp;"R",AH178))))</f>
        <v>wR</v>
      </c>
      <c r="AI179" s="11" t="str">
        <f aca="false">IF($P179=0,AI178,IF(AI$3=$E179,IF($AA179=1,$F179&amp;$AB179,$G179),IF(OR(AI$3=$D179,AI$3=$AC179,AI$3=$AE179),"",IF(AI$3=$AD179,$F179&amp;"R",AI178))))</f>
        <v>wN</v>
      </c>
      <c r="AJ179" s="11" t="str">
        <f aca="false">IF($P179=0,AJ178,IF(AJ$3=$E179,IF($AA179=1,$F179&amp;$AB179,$G179),IF(OR(AJ$3=$D179,AJ$3=$AC179,AJ$3=$AE179),"",IF(AJ$3=$AD179,$F179&amp;"R",AJ178))))</f>
        <v>wB</v>
      </c>
      <c r="AK179" s="11" t="str">
        <f aca="false">IF($P179=0,AK178,IF(AK$3=$E179,IF($AA179=1,$F179&amp;$AB179,$G179),IF(OR(AK$3=$D179,AK$3=$AC179,AK$3=$AE179),"",IF(AK$3=$AD179,$F179&amp;"R",AK178))))</f>
        <v>wQ</v>
      </c>
      <c r="AL179" s="11" t="str">
        <f aca="false">IF($P179=0,AL178,IF(AL$3=$E179,IF($AA179=1,$F179&amp;$AB179,$G179),IF(OR(AL$3=$D179,AL$3=$AC179,AL$3=$AE179),"",IF(AL$3=$AD179,$F179&amp;"R",AL178))))</f>
        <v>wK</v>
      </c>
      <c r="AM179" s="11" t="str">
        <f aca="false">IF($P179=0,AM178,IF(AM$3=$E179,IF($AA179=1,$F179&amp;$AB179,$G179),IF(OR(AM$3=$D179,AM$3=$AC179,AM$3=$AE179),"",IF(AM$3=$AD179,$F179&amp;"R",AM178))))</f>
        <v>wB</v>
      </c>
      <c r="AN179" s="11" t="str">
        <f aca="false">IF($P179=0,AN178,IF(AN$3=$E179,IF($AA179=1,$F179&amp;$AB179,$G179),IF(OR(AN$3=$D179,AN$3=$AC179,AN$3=$AE179),"",IF(AN$3=$AD179,$F179&amp;"R",AN178))))</f>
        <v>wN</v>
      </c>
      <c r="AO179" s="11" t="str">
        <f aca="false">IF($P179=0,AO178,IF(AO$3=$E179,IF($AA179=1,$F179&amp;$AB179,$G179),IF(OR(AO$3=$D179,AO$3=$AC179,AO$3=$AE179),"",IF(AO$3=$AD179,$F179&amp;"R",AO178))))</f>
        <v>wR</v>
      </c>
      <c r="AP179" s="11" t="str">
        <f aca="false">IF($P179=0,AP178,IF(AP$3=$E179,IF($AA179=1,$F179&amp;$AB179,$G179),IF(OR(AP$3=$D179,AP$3=$AC179,AP$3=$AE179),"",IF(AP$3=$AD179,$F179&amp;"R",AP178))))</f>
        <v>wP</v>
      </c>
      <c r="AQ179" s="11" t="str">
        <f aca="false">IF($P179=0,AQ178,IF(AQ$3=$E179,IF($AA179=1,$F179&amp;$AB179,$G179),IF(OR(AQ$3=$D179,AQ$3=$AC179,AQ$3=$AE179),"",IF(AQ$3=$AD179,$F179&amp;"R",AQ178))))</f>
        <v>wP</v>
      </c>
      <c r="AR179" s="11" t="str">
        <f aca="false">IF($P179=0,AR178,IF(AR$3=$E179,IF($AA179=1,$F179&amp;$AB179,$G179),IF(OR(AR$3=$D179,AR$3=$AC179,AR$3=$AE179),"",IF(AR$3=$AD179,$F179&amp;"R",AR178))))</f>
        <v>wP</v>
      </c>
      <c r="AS179" s="11" t="str">
        <f aca="false">IF($P179=0,AS178,IF(AS$3=$E179,IF($AA179=1,$F179&amp;$AB179,$G179),IF(OR(AS$3=$D179,AS$3=$AC179,AS$3=$AE179),"",IF(AS$3=$AD179,$F179&amp;"R",AS178))))</f>
        <v>wP</v>
      </c>
      <c r="AT179" s="11" t="str">
        <f aca="false">IF($P179=0,AT178,IF(AT$3=$E179,IF($AA179=1,$F179&amp;$AB179,$G179),IF(OR(AT$3=$D179,AT$3=$AC179,AT$3=$AE179),"",IF(AT$3=$AD179,$F179&amp;"R",AT178))))</f>
        <v>wP</v>
      </c>
      <c r="AU179" s="11" t="str">
        <f aca="false">IF($P179=0,AU178,IF(AU$3=$E179,IF($AA179=1,$F179&amp;$AB179,$G179),IF(OR(AU$3=$D179,AU$3=$AC179,AU$3=$AE179),"",IF(AU$3=$AD179,$F179&amp;"R",AU178))))</f>
        <v>wP</v>
      </c>
      <c r="AV179" s="11" t="str">
        <f aca="false">IF($P179=0,AV178,IF(AV$3=$E179,IF($AA179=1,$F179&amp;$AB179,$G179),IF(OR(AV$3=$D179,AV$3=$AC179,AV$3=$AE179),"",IF(AV$3=$AD179,$F179&amp;"R",AV178))))</f>
        <v>wP</v>
      </c>
      <c r="AW179" s="11" t="str">
        <f aca="false">IF($P179=0,AW178,IF(AW$3=$E179,IF($AA179=1,$F179&amp;$AB179,$G179),IF(OR(AW$3=$D179,AW$3=$AC179,AW$3=$AE179),"",IF(AW$3=$AD179,$F179&amp;"R",AW178))))</f>
        <v>wP</v>
      </c>
      <c r="AX179" s="11" t="str">
        <f aca="false">IF($P179=0,AX178,IF(AX$3=$E179,IF($AA179=1,$F179&amp;$AB179,$G179),IF(OR(AX$3=$D179,AX$3=$AC179,AX$3=$AE179),"",IF(AX$3=$AD179,$F179&amp;"R",AX178))))</f>
        <v/>
      </c>
      <c r="AY179" s="11" t="str">
        <f aca="false">IF($P179=0,AY178,IF(AY$3=$E179,IF($AA179=1,$F179&amp;$AB179,$G179),IF(OR(AY$3=$D179,AY$3=$AC179,AY$3=$AE179),"",IF(AY$3=$AD179,$F179&amp;"R",AY178))))</f>
        <v/>
      </c>
      <c r="AZ179" s="11" t="str">
        <f aca="false">IF($P179=0,AZ178,IF(AZ$3=$E179,IF($AA179=1,$F179&amp;$AB179,$G179),IF(OR(AZ$3=$D179,AZ$3=$AC179,AZ$3=$AE179),"",IF(AZ$3=$AD179,$F179&amp;"R",AZ178))))</f>
        <v/>
      </c>
      <c r="BA179" s="11" t="str">
        <f aca="false">IF($P179=0,BA178,IF(BA$3=$E179,IF($AA179=1,$F179&amp;$AB179,$G179),IF(OR(BA$3=$D179,BA$3=$AC179,BA$3=$AE179),"",IF(BA$3=$AD179,$F179&amp;"R",BA178))))</f>
        <v/>
      </c>
      <c r="BB179" s="11" t="str">
        <f aca="false">IF($P179=0,BB178,IF(BB$3=$E179,IF($AA179=1,$F179&amp;$AB179,$G179),IF(OR(BB$3=$D179,BB$3=$AC179,BB$3=$AE179),"",IF(BB$3=$AD179,$F179&amp;"R",BB178))))</f>
        <v/>
      </c>
      <c r="BC179" s="11" t="str">
        <f aca="false">IF($P179=0,BC178,IF(BC$3=$E179,IF($AA179=1,$F179&amp;$AB179,$G179),IF(OR(BC$3=$D179,BC$3=$AC179,BC$3=$AE179),"",IF(BC$3=$AD179,$F179&amp;"R",BC178))))</f>
        <v/>
      </c>
      <c r="BD179" s="11" t="str">
        <f aca="false">IF($P179=0,BD178,IF(BD$3=$E179,IF($AA179=1,$F179&amp;$AB179,$G179),IF(OR(BD$3=$D179,BD$3=$AC179,BD$3=$AE179),"",IF(BD$3=$AD179,$F179&amp;"R",BD178))))</f>
        <v/>
      </c>
      <c r="BE179" s="11" t="str">
        <f aca="false">IF($P179=0,BE178,IF(BE$3=$E179,IF($AA179=1,$F179&amp;$AB179,$G179),IF(OR(BE$3=$D179,BE$3=$AC179,BE$3=$AE179),"",IF(BE$3=$AD179,$F179&amp;"R",BE178))))</f>
        <v/>
      </c>
      <c r="BF179" s="11" t="str">
        <f aca="false">IF($P179=0,BF178,IF(BF$3=$E179,IF($AA179=1,$F179&amp;$AB179,$G179),IF(OR(BF$3=$D179,BF$3=$AC179,BF$3=$AE179),"",IF(BF$3=$AD179,$F179&amp;"R",BF178))))</f>
        <v/>
      </c>
      <c r="BG179" s="11" t="str">
        <f aca="false">IF($P179=0,BG178,IF(BG$3=$E179,IF($AA179=1,$F179&amp;$AB179,$G179),IF(OR(BG$3=$D179,BG$3=$AC179,BG$3=$AE179),"",IF(BG$3=$AD179,$F179&amp;"R",BG178))))</f>
        <v/>
      </c>
      <c r="BH179" s="11" t="str">
        <f aca="false">IF($P179=0,BH178,IF(BH$3=$E179,IF($AA179=1,$F179&amp;$AB179,$G179),IF(OR(BH$3=$D179,BH$3=$AC179,BH$3=$AE179),"",IF(BH$3=$AD179,$F179&amp;"R",BH178))))</f>
        <v/>
      </c>
      <c r="BI179" s="11" t="str">
        <f aca="false">IF($P179=0,BI178,IF(BI$3=$E179,IF($AA179=1,$F179&amp;$AB179,$G179),IF(OR(BI$3=$D179,BI$3=$AC179,BI$3=$AE179),"",IF(BI$3=$AD179,$F179&amp;"R",BI178))))</f>
        <v/>
      </c>
      <c r="BJ179" s="11" t="str">
        <f aca="false">IF($P179=0,BJ178,IF(BJ$3=$E179,IF($AA179=1,$F179&amp;$AB179,$G179),IF(OR(BJ$3=$D179,BJ$3=$AC179,BJ$3=$AE179),"",IF(BJ$3=$AD179,$F179&amp;"R",BJ178))))</f>
        <v/>
      </c>
      <c r="BK179" s="11" t="str">
        <f aca="false">IF($P179=0,BK178,IF(BK$3=$E179,IF($AA179=1,$F179&amp;$AB179,$G179),IF(OR(BK$3=$D179,BK$3=$AC179,BK$3=$AE179),"",IF(BK$3=$AD179,$F179&amp;"R",BK178))))</f>
        <v/>
      </c>
      <c r="BL179" s="11" t="str">
        <f aca="false">IF($P179=0,BL178,IF(BL$3=$E179,IF($AA179=1,$F179&amp;$AB179,$G179),IF(OR(BL$3=$D179,BL$3=$AC179,BL$3=$AE179),"",IF(BL$3=$AD179,$F179&amp;"R",BL178))))</f>
        <v/>
      </c>
      <c r="BM179" s="11" t="str">
        <f aca="false">IF($P179=0,BM178,IF(BM$3=$E179,IF($AA179=1,$F179&amp;$AB179,$G179),IF(OR(BM$3=$D179,BM$3=$AC179,BM$3=$AE179),"",IF(BM$3=$AD179,$F179&amp;"R",BM178))))</f>
        <v/>
      </c>
      <c r="BN179" s="11" t="str">
        <f aca="false">IF($P179=0,BN178,IF(BN$3=$E179,IF($AA179=1,$F179&amp;$AB179,$G179),IF(OR(BN$3=$D179,BN$3=$AC179,BN$3=$AE179),"",IF(BN$3=$AD179,$F179&amp;"R",BN178))))</f>
        <v/>
      </c>
      <c r="BO179" s="11" t="str">
        <f aca="false">IF($P179=0,BO178,IF(BO$3=$E179,IF($AA179=1,$F179&amp;$AB179,$G179),IF(OR(BO$3=$D179,BO$3=$AC179,BO$3=$AE179),"",IF(BO$3=$AD179,$F179&amp;"R",BO178))))</f>
        <v/>
      </c>
      <c r="BP179" s="11" t="str">
        <f aca="false">IF($P179=0,BP178,IF(BP$3=$E179,IF($AA179=1,$F179&amp;$AB179,$G179),IF(OR(BP$3=$D179,BP$3=$AC179,BP$3=$AE179),"",IF(BP$3=$AD179,$F179&amp;"R",BP178))))</f>
        <v/>
      </c>
      <c r="BQ179" s="11" t="str">
        <f aca="false">IF($P179=0,BQ178,IF(BQ$3=$E179,IF($AA179=1,$F179&amp;$AB179,$G179),IF(OR(BQ$3=$D179,BQ$3=$AC179,BQ$3=$AE179),"",IF(BQ$3=$AD179,$F179&amp;"R",BQ178))))</f>
        <v/>
      </c>
      <c r="BR179" s="11" t="str">
        <f aca="false">IF($P179=0,BR178,IF(BR$3=$E179,IF($AA179=1,$F179&amp;$AB179,$G179),IF(OR(BR$3=$D179,BR$3=$AC179,BR$3=$AE179),"",IF(BR$3=$AD179,$F179&amp;"R",BR178))))</f>
        <v/>
      </c>
      <c r="BS179" s="11" t="str">
        <f aca="false">IF($P179=0,BS178,IF(BS$3=$E179,IF($AA179=1,$F179&amp;$AB179,$G179),IF(OR(BS$3=$D179,BS$3=$AC179,BS$3=$AE179),"",IF(BS$3=$AD179,$F179&amp;"R",BS178))))</f>
        <v/>
      </c>
      <c r="BT179" s="11" t="str">
        <f aca="false">IF($P179=0,BT178,IF(BT$3=$E179,IF($AA179=1,$F179&amp;$AB179,$G179),IF(OR(BT$3=$D179,BT$3=$AC179,BT$3=$AE179),"",IF(BT$3=$AD179,$F179&amp;"R",BT178))))</f>
        <v/>
      </c>
      <c r="BU179" s="11" t="str">
        <f aca="false">IF($P179=0,BU178,IF(BU$3=$E179,IF($AA179=1,$F179&amp;$AB179,$G179),IF(OR(BU$3=$D179,BU$3=$AC179,BU$3=$AE179),"",IF(BU$3=$AD179,$F179&amp;"R",BU178))))</f>
        <v/>
      </c>
      <c r="BV179" s="11" t="str">
        <f aca="false">IF($P179=0,BV178,IF(BV$3=$E179,IF($AA179=1,$F179&amp;$AB179,$G179),IF(OR(BV$3=$D179,BV$3=$AC179,BV$3=$AE179),"",IF(BV$3=$AD179,$F179&amp;"R",BV178))))</f>
        <v/>
      </c>
      <c r="BW179" s="11" t="str">
        <f aca="false">IF($P179=0,BW178,IF(BW$3=$E179,IF($AA179=1,$F179&amp;$AB179,$G179),IF(OR(BW$3=$D179,BW$3=$AC179,BW$3=$AE179),"",IF(BW$3=$AD179,$F179&amp;"R",BW178))))</f>
        <v/>
      </c>
      <c r="BX179" s="11" t="str">
        <f aca="false">IF($P179=0,BX178,IF(BX$3=$E179,IF($AA179=1,$F179&amp;$AB179,$G179),IF(OR(BX$3=$D179,BX$3=$AC179,BX$3=$AE179),"",IF(BX$3=$AD179,$F179&amp;"R",BX178))))</f>
        <v/>
      </c>
      <c r="BY179" s="11" t="str">
        <f aca="false">IF($P179=0,BY178,IF(BY$3=$E179,IF($AA179=1,$F179&amp;$AB179,$G179),IF(OR(BY$3=$D179,BY$3=$AC179,BY$3=$AE179),"",IF(BY$3=$AD179,$F179&amp;"R",BY178))))</f>
        <v/>
      </c>
      <c r="BZ179" s="11" t="str">
        <f aca="false">IF($P179=0,BZ178,IF(BZ$3=$E179,IF($AA179=1,$F179&amp;$AB179,$G179),IF(OR(BZ$3=$D179,BZ$3=$AC179,BZ$3=$AE179),"",IF(BZ$3=$AD179,$F179&amp;"R",BZ178))))</f>
        <v/>
      </c>
      <c r="CA179" s="11" t="str">
        <f aca="false">IF($P179=0,CA178,IF(CA$3=$E179,IF($AA179=1,$F179&amp;$AB179,$G179),IF(OR(CA$3=$D179,CA$3=$AC179,CA$3=$AE179),"",IF(CA$3=$AD179,$F179&amp;"R",CA178))))</f>
        <v/>
      </c>
      <c r="CB179" s="11" t="str">
        <f aca="false">IF($P179=0,CB178,IF(CB$3=$E179,IF($AA179=1,$F179&amp;$AB179,$G179),IF(OR(CB$3=$D179,CB$3=$AC179,CB$3=$AE179),"",IF(CB$3=$AD179,$F179&amp;"R",CB178))))</f>
        <v/>
      </c>
      <c r="CC179" s="11" t="str">
        <f aca="false">IF($P179=0,CC178,IF(CC$3=$E179,IF($AA179=1,$F179&amp;$AB179,$G179),IF(OR(CC$3=$D179,CC$3=$AC179,CC$3=$AE179),"",IF(CC$3=$AD179,$F179&amp;"R",CC178))))</f>
        <v/>
      </c>
      <c r="CD179" s="11" t="str">
        <f aca="false">IF($P179=0,CD178,IF(CD$3=$E179,IF($AA179=1,$F179&amp;$AB179,$G179),IF(OR(CD$3=$D179,CD$3=$AC179,CD$3=$AE179),"",IF(CD$3=$AD179,$F179&amp;"R",CD178))))</f>
        <v>bP</v>
      </c>
      <c r="CE179" s="11" t="str">
        <f aca="false">IF($P179=0,CE178,IF(CE$3=$E179,IF($AA179=1,$F179&amp;$AB179,$G179),IF(OR(CE$3=$D179,CE$3=$AC179,CE$3=$AE179),"",IF(CE$3=$AD179,$F179&amp;"R",CE178))))</f>
        <v>bP</v>
      </c>
      <c r="CF179" s="11" t="str">
        <f aca="false">IF($P179=0,CF178,IF(CF$3=$E179,IF($AA179=1,$F179&amp;$AB179,$G179),IF(OR(CF$3=$D179,CF$3=$AC179,CF$3=$AE179),"",IF(CF$3=$AD179,$F179&amp;"R",CF178))))</f>
        <v>bP</v>
      </c>
      <c r="CG179" s="11" t="str">
        <f aca="false">IF($P179=0,CG178,IF(CG$3=$E179,IF($AA179=1,$F179&amp;$AB179,$G179),IF(OR(CG$3=$D179,CG$3=$AC179,CG$3=$AE179),"",IF(CG$3=$AD179,$F179&amp;"R",CG178))))</f>
        <v>bP</v>
      </c>
      <c r="CH179" s="11" t="str">
        <f aca="false">IF($P179=0,CH178,IF(CH$3=$E179,IF($AA179=1,$F179&amp;$AB179,$G179),IF(OR(CH$3=$D179,CH$3=$AC179,CH$3=$AE179),"",IF(CH$3=$AD179,$F179&amp;"R",CH178))))</f>
        <v>bP</v>
      </c>
      <c r="CI179" s="11" t="str">
        <f aca="false">IF($P179=0,CI178,IF(CI$3=$E179,IF($AA179=1,$F179&amp;$AB179,$G179),IF(OR(CI$3=$D179,CI$3=$AC179,CI$3=$AE179),"",IF(CI$3=$AD179,$F179&amp;"R",CI178))))</f>
        <v>bP</v>
      </c>
      <c r="CJ179" s="11" t="str">
        <f aca="false">IF($P179=0,CJ178,IF(CJ$3=$E179,IF($AA179=1,$F179&amp;$AB179,$G179),IF(OR(CJ$3=$D179,CJ$3=$AC179,CJ$3=$AE179),"",IF(CJ$3=$AD179,$F179&amp;"R",CJ178))))</f>
        <v>bP</v>
      </c>
      <c r="CK179" s="11" t="str">
        <f aca="false">IF($P179=0,CK178,IF(CK$3=$E179,IF($AA179=1,$F179&amp;$AB179,$G179),IF(OR(CK$3=$D179,CK$3=$AC179,CK$3=$AE179),"",IF(CK$3=$AD179,$F179&amp;"R",CK178))))</f>
        <v>bP</v>
      </c>
      <c r="CL179" s="11" t="str">
        <f aca="false">IF($P179=0,CL178,IF(CL$3=$E179,IF($AA179=1,$F179&amp;$AB179,$G179),IF(OR(CL$3=$D179,CL$3=$AC179,CL$3=$AE179),"",IF(CL$3=$AD179,$F179&amp;"R",CL178))))</f>
        <v>bR</v>
      </c>
      <c r="CM179" s="11" t="str">
        <f aca="false">IF($P179=0,CM178,IF(CM$3=$E179,IF($AA179=1,$F179&amp;$AB179,$G179),IF(OR(CM$3=$D179,CM$3=$AC179,CM$3=$AE179),"",IF(CM$3=$AD179,$F179&amp;"R",CM178))))</f>
        <v>bN</v>
      </c>
      <c r="CN179" s="11" t="str">
        <f aca="false">IF($P179=0,CN178,IF(CN$3=$E179,IF($AA179=1,$F179&amp;$AB179,$G179),IF(OR(CN$3=$D179,CN$3=$AC179,CN$3=$AE179),"",IF(CN$3=$AD179,$F179&amp;"R",CN178))))</f>
        <v>bB</v>
      </c>
      <c r="CO179" s="11" t="str">
        <f aca="false">IF($P179=0,CO178,IF(CO$3=$E179,IF($AA179=1,$F179&amp;$AB179,$G179),IF(OR(CO$3=$D179,CO$3=$AC179,CO$3=$AE179),"",IF(CO$3=$AD179,$F179&amp;"R",CO178))))</f>
        <v>bQ</v>
      </c>
      <c r="CP179" s="11" t="str">
        <f aca="false">IF($P179=0,CP178,IF(CP$3=$E179,IF($AA179=1,$F179&amp;$AB179,$G179),IF(OR(CP$3=$D179,CP$3=$AC179,CP$3=$AE179),"",IF(CP$3=$AD179,$F179&amp;"R",CP178))))</f>
        <v>bK</v>
      </c>
      <c r="CQ179" s="11" t="str">
        <f aca="false">IF($P179=0,CQ178,IF(CQ$3=$E179,IF($AA179=1,$F179&amp;$AB179,$G179),IF(OR(CQ$3=$D179,CQ$3=$AC179,CQ$3=$AE179),"",IF(CQ$3=$AD179,$F179&amp;"R",CQ178))))</f>
        <v>bB</v>
      </c>
      <c r="CR179" s="11" t="str">
        <f aca="false">IF($P179=0,CR178,IF(CR$3=$E179,IF($AA179=1,$F179&amp;$AB179,$G179),IF(OR(CR$3=$D179,CR$3=$AC179,CR$3=$AE179),"",IF(CR$3=$AD179,$F179&amp;"R",CR178))))</f>
        <v>bN</v>
      </c>
      <c r="CS179" s="11" t="str">
        <f aca="false">IF($P179=0,CS178,IF(CS$3=$E179,IF($AA179=1,$F179&amp;$AB179,$G179),IF(OR(CS$3=$D179,CS$3=$AC179,CS$3=$AE179),"",IF(CS$3=$AD179,$F179&amp;"R",CS178))))</f>
        <v>bR</v>
      </c>
      <c r="CT179" s="11"/>
      <c r="CU179" s="11"/>
      <c r="CV179" s="11"/>
    </row>
    <row r="180" customFormat="false" ht="15" hidden="false" customHeight="false" outlineLevel="0" collapsed="false">
      <c r="A180" s="11" t="n">
        <v>175</v>
      </c>
      <c r="B180" s="11" t="str">
        <f aca="false">IF(Chess!$L$184="","",Chess!$L$184&amp;"")</f>
        <v/>
      </c>
      <c r="C180" s="11" t="str">
        <f aca="false">LOWER(SUBSTITUTE(SUBSTITUTE(SUBSTITUTE(SUBSTITUTE(TRIM($B180),"-",""),"=","")," ",""),"x",""))</f>
        <v/>
      </c>
      <c r="D180" s="11" t="n">
        <f aca="false">IF(LEN($C180)&lt;4,0,IFERROR(IF(AND(CODE(MID($C180,1,1))&gt;=97,CODE(MID($C180,1,1))&lt;=104,VALUE(MID($C180,2,1))&gt;=1,VALUE(MID($C180,2,1))&lt;=8),(VALUE(MID($C180,2,1))-1)*8+CODE(MID($C180,1,1))-96,0),0))</f>
        <v>0</v>
      </c>
      <c r="E180" s="11" t="n">
        <f aca="false">IF(LEN($C180)&lt;4,0,IFERROR(IF(AND(CODE(MID($C180,3,1))&gt;=97,CODE(MID($C180,3,1))&lt;=104,VALUE(MID($C180,4,1))&gt;=1,VALUE(MID($C180,4,1))&lt;=8),(VALUE(MID($C180,4,1))-1)*8+CODE(MID($C180,3,1))-96,0),0))</f>
        <v>0</v>
      </c>
      <c r="F180" s="11" t="str">
        <f aca="false">IF(MOD(SUM($P$5:$P179),2)=0,"w","b")</f>
        <v>w</v>
      </c>
      <c r="G180" s="11" t="str">
        <f aca="false">IF($D180=0,"",INDEX($AH179:$CS179,1,$D180)&amp;"")</f>
        <v/>
      </c>
      <c r="H180" s="11" t="str">
        <f aca="false">IF($E180=0,"",INDEX($AH179:$CS179,1,$E180)&amp;"")</f>
        <v/>
      </c>
      <c r="I180" s="11" t="n">
        <f aca="false">IF(OR($D180=0,$E180=0),0,MOD($E180-1,8)-MOD($D180-1,8))</f>
        <v>0</v>
      </c>
      <c r="J180" s="11" t="n">
        <f aca="false">IF(OR($D180=0,$E180=0),0,INT(($E180-1)/8)-INT(($D180-1)/8))</f>
        <v>0</v>
      </c>
      <c r="K180" s="11" t="str">
        <f aca="false">IF($G180="","",RIGHT($G180,1))</f>
        <v/>
      </c>
      <c r="L180" s="11" t="n">
        <f aca="false">IF(OR($D180=0,$E180=0),0,SUMPRODUCT(($AH$3:$CS$3&gt;MIN($D180,$E180))*($AH$3:$CS$3&lt;MAX($D180,$E180))*(MOD($AH$3:$CS$3-MIN($D180,$E180),MAX(1,ABS(SIGN($J180)*8+SIGN($I180))))=0)*($AH179:$CS179&lt;&gt;"")))</f>
        <v>0</v>
      </c>
      <c r="M180" s="11" t="n">
        <f aca="false">IF($K180&lt;&gt;"K",0,IFERROR(--AND($J180=0,ABS($I180)=2,$D180=IF($F180="w",5,61),IF($F180="w",$S179,$V179)=0,IF($I180=2,AND(IF($F180="w",$U179,$X179)=0,INDEX($AH179:$CS179,1,$D180+1)&amp;""="",INDEX($AH179:$CS179,1,$D180+2)&amp;""=""),AND(IF($F180="w",$T179,$W179)=0,INDEX($AH179:$CS179,1,$D180-1)&amp;""="",INDEX($AH179:$CS179,1,$D180-2)&amp;""="",INDEX($AH179:$CS179,1,$D180-3)&amp;""=""))),0))</f>
        <v>0</v>
      </c>
      <c r="N180" s="11" t="n">
        <f aca="false">IF($K180&lt;&gt;"P",0,IFERROR(--OR(AND($I180=0,$J180=IF($F180="w",1,-1),$H180=""),AND($I180=0,$J180=2*IF($F180="w",1,-1),$H180="",INT(($D180-1)/8)=IF($F180="w",1,6),INDEX($AH179:$CS179,1,MAX(1,MIN(64,$D180+8*IF($F180="w",1,-1))))&amp;""=""),AND(ABS($I180)=1,$J180=IF($F180="w",1,-1),$H180&lt;&gt;""),AND(ABS($I180)=1,$J180=IF($F180="w",1,-1),$H180="",$R179&gt;0,$E180=$R179)),0))</f>
        <v>0</v>
      </c>
      <c r="O180" s="11" t="n">
        <f aca="false">IF(OR($D180=0,$E180=0,$G180=""),0,IF($K180="N",--OR(AND(ABS($I180)=1,ABS($J180)=2),AND(ABS($I180)=2,ABS($J180)=1)),IF($K180="B",--AND(ABS($I180)=ABS($J180),$I180&lt;&gt;0,$L180=0),IF($K180="R",--AND(OR($I180=0,$J180=0),OR($I180&lt;&gt;0,$J180&lt;&gt;0),$L180=0),IF($K180="Q",--AND(OR(AND(ABS($I180)=ABS($J180),$I180&lt;&gt;0),AND(OR($I180=0,$J180=0),OR($I180&lt;&gt;0,$J180&lt;&gt;0))),$L180=0),IF($K180="K",--OR(MAX(ABS($I180),ABS($J180))=1,$M180=1),$N180))))))</f>
        <v>0</v>
      </c>
      <c r="P180" s="11" t="n">
        <f aca="false">IF($Q180="OK",1,0)</f>
        <v>0</v>
      </c>
      <c r="Q180" s="11" t="str">
        <f aca="false">IF($B180="","",IF(OR(COUNTIF($AH179:$CS179,"wK")=0,COUNTIF($AH179:$CS179,"bK")=0),"Game is over",IF(OR($D180=0,$E180=0),"Use the format e2e4",IF($G180="","No piece on that square",IF(LEFT($G180,1)&lt;&gt;$F180,"Not your piece ("&amp;IF($F180="w","White","Black")&amp;" to move)",IF($D180=$E180,"Piece must move",IF(AND($H180&lt;&gt;"",LEFT($H180,1)=$F180),"Cannot capture your own piece",IF($O180=0,"Illegal move for that piece (or path blocked)","OK"))))))))</f>
        <v/>
      </c>
      <c r="R180" s="11" t="n">
        <f aca="false">IF($P180=1,IF(AND($K180="P",ABS($J180)=2),($D180+$E180)/2,0),$R179)</f>
        <v>0</v>
      </c>
      <c r="S180" s="12" t="b">
        <f aca="false">--OR($S179=1,AND($P180=1,OR($D180=5,$E180=5)))</f>
        <v>0</v>
      </c>
      <c r="T180" s="12" t="b">
        <f aca="false">--OR($T179=1,AND($P180=1,OR($D180=1,$E180=1)))</f>
        <v>0</v>
      </c>
      <c r="U180" s="12" t="b">
        <f aca="false">--OR($U179=1,AND($P180=1,OR($D180=8,$E180=8)))</f>
        <v>0</v>
      </c>
      <c r="V180" s="12" t="b">
        <f aca="false">--OR($V179=1,AND($P180=1,OR($D180=61,$E180=61)))</f>
        <v>0</v>
      </c>
      <c r="W180" s="12" t="b">
        <f aca="false">--OR($W179=1,AND($P180=1,OR($D180=57,$E180=57)))</f>
        <v>0</v>
      </c>
      <c r="X180" s="12" t="b">
        <f aca="false">--OR($X179=1,AND($P180=1,OR($D180=64,$E180=64)))</f>
        <v>0</v>
      </c>
      <c r="Y180" s="12" t="b">
        <f aca="false">--AND($P180=1,$K180="K",ABS($I180)=2)</f>
        <v>0</v>
      </c>
      <c r="Z180" s="12" t="b">
        <f aca="false">--AND($P180=1,$K180="P",ABS($I180)=1,$H180="")</f>
        <v>0</v>
      </c>
      <c r="AA180" s="12" t="b">
        <f aca="false">--AND($P180=1,$K180="P",INT(($E180-1)/8)=IF($F180="w",7,0))</f>
        <v>0</v>
      </c>
      <c r="AB180" s="11" t="str">
        <f aca="false">IF(LEN($C180)&gt;=5,IF(ISNUMBER(FIND(MID($C180,5,1),"qrbn")),UPPER(MID($C180,5,1)),"Q"),"Q")</f>
        <v>Q</v>
      </c>
      <c r="AC180" s="11" t="n">
        <f aca="false">IF($Y180=1,IF($I180=2,$D180+3,$D180-4),0)</f>
        <v>0</v>
      </c>
      <c r="AD180" s="11" t="n">
        <f aca="false">IF($Y180=1,IF($I180=2,$D180+1,$D180-1),0)</f>
        <v>0</v>
      </c>
      <c r="AE180" s="11" t="n">
        <f aca="false">IF($Z180=1,$E180-8*IF($F180="w",1,-1),0)</f>
        <v>0</v>
      </c>
      <c r="AF180" s="11" t="str">
        <f aca="false">IF($B180="","",IF($P180=1,LOWER(INDEX($CV$2:$CV$13,MATCH($G180,$CU$2:$CU$13,0)))&amp;" "&amp;MID("abcdefgh",MOD($D180-1,8)+1,1)&amp;(INT(($D180-1)/8)+1)&amp;"→"&amp;MID("abcdefgh",MOD($E180-1,8)+1,1)&amp;(INT(($E180-1)/8)+1)&amp;IF(OR($H180&lt;&gt;"",$Z180=1)," ×","")&amp;IF($Y180=1," castles","")&amp;IF($Z180=1," e.p.","")&amp;IF($AA180=1," =" &amp;LOWER(INDEX($CV$2:$CV$13,MATCH($F180&amp;$AB180,$CU$2:$CU$13,0))),""),"X "&amp;$Q180))</f>
        <v/>
      </c>
      <c r="AG180" s="11"/>
      <c r="AH180" s="11" t="str">
        <f aca="false">IF($P180=0,AH179,IF(AH$3=$E180,IF($AA180=1,$F180&amp;$AB180,$G180),IF(OR(AH$3=$D180,AH$3=$AC180,AH$3=$AE180),"",IF(AH$3=$AD180,$F180&amp;"R",AH179))))</f>
        <v>wR</v>
      </c>
      <c r="AI180" s="11" t="str">
        <f aca="false">IF($P180=0,AI179,IF(AI$3=$E180,IF($AA180=1,$F180&amp;$AB180,$G180),IF(OR(AI$3=$D180,AI$3=$AC180,AI$3=$AE180),"",IF(AI$3=$AD180,$F180&amp;"R",AI179))))</f>
        <v>wN</v>
      </c>
      <c r="AJ180" s="11" t="str">
        <f aca="false">IF($P180=0,AJ179,IF(AJ$3=$E180,IF($AA180=1,$F180&amp;$AB180,$G180),IF(OR(AJ$3=$D180,AJ$3=$AC180,AJ$3=$AE180),"",IF(AJ$3=$AD180,$F180&amp;"R",AJ179))))</f>
        <v>wB</v>
      </c>
      <c r="AK180" s="11" t="str">
        <f aca="false">IF($P180=0,AK179,IF(AK$3=$E180,IF($AA180=1,$F180&amp;$AB180,$G180),IF(OR(AK$3=$D180,AK$3=$AC180,AK$3=$AE180),"",IF(AK$3=$AD180,$F180&amp;"R",AK179))))</f>
        <v>wQ</v>
      </c>
      <c r="AL180" s="11" t="str">
        <f aca="false">IF($P180=0,AL179,IF(AL$3=$E180,IF($AA180=1,$F180&amp;$AB180,$G180),IF(OR(AL$3=$D180,AL$3=$AC180,AL$3=$AE180),"",IF(AL$3=$AD180,$F180&amp;"R",AL179))))</f>
        <v>wK</v>
      </c>
      <c r="AM180" s="11" t="str">
        <f aca="false">IF($P180=0,AM179,IF(AM$3=$E180,IF($AA180=1,$F180&amp;$AB180,$G180),IF(OR(AM$3=$D180,AM$3=$AC180,AM$3=$AE180),"",IF(AM$3=$AD180,$F180&amp;"R",AM179))))</f>
        <v>wB</v>
      </c>
      <c r="AN180" s="11" t="str">
        <f aca="false">IF($P180=0,AN179,IF(AN$3=$E180,IF($AA180=1,$F180&amp;$AB180,$G180),IF(OR(AN$3=$D180,AN$3=$AC180,AN$3=$AE180),"",IF(AN$3=$AD180,$F180&amp;"R",AN179))))</f>
        <v>wN</v>
      </c>
      <c r="AO180" s="11" t="str">
        <f aca="false">IF($P180=0,AO179,IF(AO$3=$E180,IF($AA180=1,$F180&amp;$AB180,$G180),IF(OR(AO$3=$D180,AO$3=$AC180,AO$3=$AE180),"",IF(AO$3=$AD180,$F180&amp;"R",AO179))))</f>
        <v>wR</v>
      </c>
      <c r="AP180" s="11" t="str">
        <f aca="false">IF($P180=0,AP179,IF(AP$3=$E180,IF($AA180=1,$F180&amp;$AB180,$G180),IF(OR(AP$3=$D180,AP$3=$AC180,AP$3=$AE180),"",IF(AP$3=$AD180,$F180&amp;"R",AP179))))</f>
        <v>wP</v>
      </c>
      <c r="AQ180" s="11" t="str">
        <f aca="false">IF($P180=0,AQ179,IF(AQ$3=$E180,IF($AA180=1,$F180&amp;$AB180,$G180),IF(OR(AQ$3=$D180,AQ$3=$AC180,AQ$3=$AE180),"",IF(AQ$3=$AD180,$F180&amp;"R",AQ179))))</f>
        <v>wP</v>
      </c>
      <c r="AR180" s="11" t="str">
        <f aca="false">IF($P180=0,AR179,IF(AR$3=$E180,IF($AA180=1,$F180&amp;$AB180,$G180),IF(OR(AR$3=$D180,AR$3=$AC180,AR$3=$AE180),"",IF(AR$3=$AD180,$F180&amp;"R",AR179))))</f>
        <v>wP</v>
      </c>
      <c r="AS180" s="11" t="str">
        <f aca="false">IF($P180=0,AS179,IF(AS$3=$E180,IF($AA180=1,$F180&amp;$AB180,$G180),IF(OR(AS$3=$D180,AS$3=$AC180,AS$3=$AE180),"",IF(AS$3=$AD180,$F180&amp;"R",AS179))))</f>
        <v>wP</v>
      </c>
      <c r="AT180" s="11" t="str">
        <f aca="false">IF($P180=0,AT179,IF(AT$3=$E180,IF($AA180=1,$F180&amp;$AB180,$G180),IF(OR(AT$3=$D180,AT$3=$AC180,AT$3=$AE180),"",IF(AT$3=$AD180,$F180&amp;"R",AT179))))</f>
        <v>wP</v>
      </c>
      <c r="AU180" s="11" t="str">
        <f aca="false">IF($P180=0,AU179,IF(AU$3=$E180,IF($AA180=1,$F180&amp;$AB180,$G180),IF(OR(AU$3=$D180,AU$3=$AC180,AU$3=$AE180),"",IF(AU$3=$AD180,$F180&amp;"R",AU179))))</f>
        <v>wP</v>
      </c>
      <c r="AV180" s="11" t="str">
        <f aca="false">IF($P180=0,AV179,IF(AV$3=$E180,IF($AA180=1,$F180&amp;$AB180,$G180),IF(OR(AV$3=$D180,AV$3=$AC180,AV$3=$AE180),"",IF(AV$3=$AD180,$F180&amp;"R",AV179))))</f>
        <v>wP</v>
      </c>
      <c r="AW180" s="11" t="str">
        <f aca="false">IF($P180=0,AW179,IF(AW$3=$E180,IF($AA180=1,$F180&amp;$AB180,$G180),IF(OR(AW$3=$D180,AW$3=$AC180,AW$3=$AE180),"",IF(AW$3=$AD180,$F180&amp;"R",AW179))))</f>
        <v>wP</v>
      </c>
      <c r="AX180" s="11" t="str">
        <f aca="false">IF($P180=0,AX179,IF(AX$3=$E180,IF($AA180=1,$F180&amp;$AB180,$G180),IF(OR(AX$3=$D180,AX$3=$AC180,AX$3=$AE180),"",IF(AX$3=$AD180,$F180&amp;"R",AX179))))</f>
        <v/>
      </c>
      <c r="AY180" s="11" t="str">
        <f aca="false">IF($P180=0,AY179,IF(AY$3=$E180,IF($AA180=1,$F180&amp;$AB180,$G180),IF(OR(AY$3=$D180,AY$3=$AC180,AY$3=$AE180),"",IF(AY$3=$AD180,$F180&amp;"R",AY179))))</f>
        <v/>
      </c>
      <c r="AZ180" s="11" t="str">
        <f aca="false">IF($P180=0,AZ179,IF(AZ$3=$E180,IF($AA180=1,$F180&amp;$AB180,$G180),IF(OR(AZ$3=$D180,AZ$3=$AC180,AZ$3=$AE180),"",IF(AZ$3=$AD180,$F180&amp;"R",AZ179))))</f>
        <v/>
      </c>
      <c r="BA180" s="11" t="str">
        <f aca="false">IF($P180=0,BA179,IF(BA$3=$E180,IF($AA180=1,$F180&amp;$AB180,$G180),IF(OR(BA$3=$D180,BA$3=$AC180,BA$3=$AE180),"",IF(BA$3=$AD180,$F180&amp;"R",BA179))))</f>
        <v/>
      </c>
      <c r="BB180" s="11" t="str">
        <f aca="false">IF($P180=0,BB179,IF(BB$3=$E180,IF($AA180=1,$F180&amp;$AB180,$G180),IF(OR(BB$3=$D180,BB$3=$AC180,BB$3=$AE180),"",IF(BB$3=$AD180,$F180&amp;"R",BB179))))</f>
        <v/>
      </c>
      <c r="BC180" s="11" t="str">
        <f aca="false">IF($P180=0,BC179,IF(BC$3=$E180,IF($AA180=1,$F180&amp;$AB180,$G180),IF(OR(BC$3=$D180,BC$3=$AC180,BC$3=$AE180),"",IF(BC$3=$AD180,$F180&amp;"R",BC179))))</f>
        <v/>
      </c>
      <c r="BD180" s="11" t="str">
        <f aca="false">IF($P180=0,BD179,IF(BD$3=$E180,IF($AA180=1,$F180&amp;$AB180,$G180),IF(OR(BD$3=$D180,BD$3=$AC180,BD$3=$AE180),"",IF(BD$3=$AD180,$F180&amp;"R",BD179))))</f>
        <v/>
      </c>
      <c r="BE180" s="11" t="str">
        <f aca="false">IF($P180=0,BE179,IF(BE$3=$E180,IF($AA180=1,$F180&amp;$AB180,$G180),IF(OR(BE$3=$D180,BE$3=$AC180,BE$3=$AE180),"",IF(BE$3=$AD180,$F180&amp;"R",BE179))))</f>
        <v/>
      </c>
      <c r="BF180" s="11" t="str">
        <f aca="false">IF($P180=0,BF179,IF(BF$3=$E180,IF($AA180=1,$F180&amp;$AB180,$G180),IF(OR(BF$3=$D180,BF$3=$AC180,BF$3=$AE180),"",IF(BF$3=$AD180,$F180&amp;"R",BF179))))</f>
        <v/>
      </c>
      <c r="BG180" s="11" t="str">
        <f aca="false">IF($P180=0,BG179,IF(BG$3=$E180,IF($AA180=1,$F180&amp;$AB180,$G180),IF(OR(BG$3=$D180,BG$3=$AC180,BG$3=$AE180),"",IF(BG$3=$AD180,$F180&amp;"R",BG179))))</f>
        <v/>
      </c>
      <c r="BH180" s="11" t="str">
        <f aca="false">IF($P180=0,BH179,IF(BH$3=$E180,IF($AA180=1,$F180&amp;$AB180,$G180),IF(OR(BH$3=$D180,BH$3=$AC180,BH$3=$AE180),"",IF(BH$3=$AD180,$F180&amp;"R",BH179))))</f>
        <v/>
      </c>
      <c r="BI180" s="11" t="str">
        <f aca="false">IF($P180=0,BI179,IF(BI$3=$E180,IF($AA180=1,$F180&amp;$AB180,$G180),IF(OR(BI$3=$D180,BI$3=$AC180,BI$3=$AE180),"",IF(BI$3=$AD180,$F180&amp;"R",BI179))))</f>
        <v/>
      </c>
      <c r="BJ180" s="11" t="str">
        <f aca="false">IF($P180=0,BJ179,IF(BJ$3=$E180,IF($AA180=1,$F180&amp;$AB180,$G180),IF(OR(BJ$3=$D180,BJ$3=$AC180,BJ$3=$AE180),"",IF(BJ$3=$AD180,$F180&amp;"R",BJ179))))</f>
        <v/>
      </c>
      <c r="BK180" s="11" t="str">
        <f aca="false">IF($P180=0,BK179,IF(BK$3=$E180,IF($AA180=1,$F180&amp;$AB180,$G180),IF(OR(BK$3=$D180,BK$3=$AC180,BK$3=$AE180),"",IF(BK$3=$AD180,$F180&amp;"R",BK179))))</f>
        <v/>
      </c>
      <c r="BL180" s="11" t="str">
        <f aca="false">IF($P180=0,BL179,IF(BL$3=$E180,IF($AA180=1,$F180&amp;$AB180,$G180),IF(OR(BL$3=$D180,BL$3=$AC180,BL$3=$AE180),"",IF(BL$3=$AD180,$F180&amp;"R",BL179))))</f>
        <v/>
      </c>
      <c r="BM180" s="11" t="str">
        <f aca="false">IF($P180=0,BM179,IF(BM$3=$E180,IF($AA180=1,$F180&amp;$AB180,$G180),IF(OR(BM$3=$D180,BM$3=$AC180,BM$3=$AE180),"",IF(BM$3=$AD180,$F180&amp;"R",BM179))))</f>
        <v/>
      </c>
      <c r="BN180" s="11" t="str">
        <f aca="false">IF($P180=0,BN179,IF(BN$3=$E180,IF($AA180=1,$F180&amp;$AB180,$G180),IF(OR(BN$3=$D180,BN$3=$AC180,BN$3=$AE180),"",IF(BN$3=$AD180,$F180&amp;"R",BN179))))</f>
        <v/>
      </c>
      <c r="BO180" s="11" t="str">
        <f aca="false">IF($P180=0,BO179,IF(BO$3=$E180,IF($AA180=1,$F180&amp;$AB180,$G180),IF(OR(BO$3=$D180,BO$3=$AC180,BO$3=$AE180),"",IF(BO$3=$AD180,$F180&amp;"R",BO179))))</f>
        <v/>
      </c>
      <c r="BP180" s="11" t="str">
        <f aca="false">IF($P180=0,BP179,IF(BP$3=$E180,IF($AA180=1,$F180&amp;$AB180,$G180),IF(OR(BP$3=$D180,BP$3=$AC180,BP$3=$AE180),"",IF(BP$3=$AD180,$F180&amp;"R",BP179))))</f>
        <v/>
      </c>
      <c r="BQ180" s="11" t="str">
        <f aca="false">IF($P180=0,BQ179,IF(BQ$3=$E180,IF($AA180=1,$F180&amp;$AB180,$G180),IF(OR(BQ$3=$D180,BQ$3=$AC180,BQ$3=$AE180),"",IF(BQ$3=$AD180,$F180&amp;"R",BQ179))))</f>
        <v/>
      </c>
      <c r="BR180" s="11" t="str">
        <f aca="false">IF($P180=0,BR179,IF(BR$3=$E180,IF($AA180=1,$F180&amp;$AB180,$G180),IF(OR(BR$3=$D180,BR$3=$AC180,BR$3=$AE180),"",IF(BR$3=$AD180,$F180&amp;"R",BR179))))</f>
        <v/>
      </c>
      <c r="BS180" s="11" t="str">
        <f aca="false">IF($P180=0,BS179,IF(BS$3=$E180,IF($AA180=1,$F180&amp;$AB180,$G180),IF(OR(BS$3=$D180,BS$3=$AC180,BS$3=$AE180),"",IF(BS$3=$AD180,$F180&amp;"R",BS179))))</f>
        <v/>
      </c>
      <c r="BT180" s="11" t="str">
        <f aca="false">IF($P180=0,BT179,IF(BT$3=$E180,IF($AA180=1,$F180&amp;$AB180,$G180),IF(OR(BT$3=$D180,BT$3=$AC180,BT$3=$AE180),"",IF(BT$3=$AD180,$F180&amp;"R",BT179))))</f>
        <v/>
      </c>
      <c r="BU180" s="11" t="str">
        <f aca="false">IF($P180=0,BU179,IF(BU$3=$E180,IF($AA180=1,$F180&amp;$AB180,$G180),IF(OR(BU$3=$D180,BU$3=$AC180,BU$3=$AE180),"",IF(BU$3=$AD180,$F180&amp;"R",BU179))))</f>
        <v/>
      </c>
      <c r="BV180" s="11" t="str">
        <f aca="false">IF($P180=0,BV179,IF(BV$3=$E180,IF($AA180=1,$F180&amp;$AB180,$G180),IF(OR(BV$3=$D180,BV$3=$AC180,BV$3=$AE180),"",IF(BV$3=$AD180,$F180&amp;"R",BV179))))</f>
        <v/>
      </c>
      <c r="BW180" s="11" t="str">
        <f aca="false">IF($P180=0,BW179,IF(BW$3=$E180,IF($AA180=1,$F180&amp;$AB180,$G180),IF(OR(BW$3=$D180,BW$3=$AC180,BW$3=$AE180),"",IF(BW$3=$AD180,$F180&amp;"R",BW179))))</f>
        <v/>
      </c>
      <c r="BX180" s="11" t="str">
        <f aca="false">IF($P180=0,BX179,IF(BX$3=$E180,IF($AA180=1,$F180&amp;$AB180,$G180),IF(OR(BX$3=$D180,BX$3=$AC180,BX$3=$AE180),"",IF(BX$3=$AD180,$F180&amp;"R",BX179))))</f>
        <v/>
      </c>
      <c r="BY180" s="11" t="str">
        <f aca="false">IF($P180=0,BY179,IF(BY$3=$E180,IF($AA180=1,$F180&amp;$AB180,$G180),IF(OR(BY$3=$D180,BY$3=$AC180,BY$3=$AE180),"",IF(BY$3=$AD180,$F180&amp;"R",BY179))))</f>
        <v/>
      </c>
      <c r="BZ180" s="11" t="str">
        <f aca="false">IF($P180=0,BZ179,IF(BZ$3=$E180,IF($AA180=1,$F180&amp;$AB180,$G180),IF(OR(BZ$3=$D180,BZ$3=$AC180,BZ$3=$AE180),"",IF(BZ$3=$AD180,$F180&amp;"R",BZ179))))</f>
        <v/>
      </c>
      <c r="CA180" s="11" t="str">
        <f aca="false">IF($P180=0,CA179,IF(CA$3=$E180,IF($AA180=1,$F180&amp;$AB180,$G180),IF(OR(CA$3=$D180,CA$3=$AC180,CA$3=$AE180),"",IF(CA$3=$AD180,$F180&amp;"R",CA179))))</f>
        <v/>
      </c>
      <c r="CB180" s="11" t="str">
        <f aca="false">IF($P180=0,CB179,IF(CB$3=$E180,IF($AA180=1,$F180&amp;$AB180,$G180),IF(OR(CB$3=$D180,CB$3=$AC180,CB$3=$AE180),"",IF(CB$3=$AD180,$F180&amp;"R",CB179))))</f>
        <v/>
      </c>
      <c r="CC180" s="11" t="str">
        <f aca="false">IF($P180=0,CC179,IF(CC$3=$E180,IF($AA180=1,$F180&amp;$AB180,$G180),IF(OR(CC$3=$D180,CC$3=$AC180,CC$3=$AE180),"",IF(CC$3=$AD180,$F180&amp;"R",CC179))))</f>
        <v/>
      </c>
      <c r="CD180" s="11" t="str">
        <f aca="false">IF($P180=0,CD179,IF(CD$3=$E180,IF($AA180=1,$F180&amp;$AB180,$G180),IF(OR(CD$3=$D180,CD$3=$AC180,CD$3=$AE180),"",IF(CD$3=$AD180,$F180&amp;"R",CD179))))</f>
        <v>bP</v>
      </c>
      <c r="CE180" s="11" t="str">
        <f aca="false">IF($P180=0,CE179,IF(CE$3=$E180,IF($AA180=1,$F180&amp;$AB180,$G180),IF(OR(CE$3=$D180,CE$3=$AC180,CE$3=$AE180),"",IF(CE$3=$AD180,$F180&amp;"R",CE179))))</f>
        <v>bP</v>
      </c>
      <c r="CF180" s="11" t="str">
        <f aca="false">IF($P180=0,CF179,IF(CF$3=$E180,IF($AA180=1,$F180&amp;$AB180,$G180),IF(OR(CF$3=$D180,CF$3=$AC180,CF$3=$AE180),"",IF(CF$3=$AD180,$F180&amp;"R",CF179))))</f>
        <v>bP</v>
      </c>
      <c r="CG180" s="11" t="str">
        <f aca="false">IF($P180=0,CG179,IF(CG$3=$E180,IF($AA180=1,$F180&amp;$AB180,$G180),IF(OR(CG$3=$D180,CG$3=$AC180,CG$3=$AE180),"",IF(CG$3=$AD180,$F180&amp;"R",CG179))))</f>
        <v>bP</v>
      </c>
      <c r="CH180" s="11" t="str">
        <f aca="false">IF($P180=0,CH179,IF(CH$3=$E180,IF($AA180=1,$F180&amp;$AB180,$G180),IF(OR(CH$3=$D180,CH$3=$AC180,CH$3=$AE180),"",IF(CH$3=$AD180,$F180&amp;"R",CH179))))</f>
        <v>bP</v>
      </c>
      <c r="CI180" s="11" t="str">
        <f aca="false">IF($P180=0,CI179,IF(CI$3=$E180,IF($AA180=1,$F180&amp;$AB180,$G180),IF(OR(CI$3=$D180,CI$3=$AC180,CI$3=$AE180),"",IF(CI$3=$AD180,$F180&amp;"R",CI179))))</f>
        <v>bP</v>
      </c>
      <c r="CJ180" s="11" t="str">
        <f aca="false">IF($P180=0,CJ179,IF(CJ$3=$E180,IF($AA180=1,$F180&amp;$AB180,$G180),IF(OR(CJ$3=$D180,CJ$3=$AC180,CJ$3=$AE180),"",IF(CJ$3=$AD180,$F180&amp;"R",CJ179))))</f>
        <v>bP</v>
      </c>
      <c r="CK180" s="11" t="str">
        <f aca="false">IF($P180=0,CK179,IF(CK$3=$E180,IF($AA180=1,$F180&amp;$AB180,$G180),IF(OR(CK$3=$D180,CK$3=$AC180,CK$3=$AE180),"",IF(CK$3=$AD180,$F180&amp;"R",CK179))))</f>
        <v>bP</v>
      </c>
      <c r="CL180" s="11" t="str">
        <f aca="false">IF($P180=0,CL179,IF(CL$3=$E180,IF($AA180=1,$F180&amp;$AB180,$G180),IF(OR(CL$3=$D180,CL$3=$AC180,CL$3=$AE180),"",IF(CL$3=$AD180,$F180&amp;"R",CL179))))</f>
        <v>bR</v>
      </c>
      <c r="CM180" s="11" t="str">
        <f aca="false">IF($P180=0,CM179,IF(CM$3=$E180,IF($AA180=1,$F180&amp;$AB180,$G180),IF(OR(CM$3=$D180,CM$3=$AC180,CM$3=$AE180),"",IF(CM$3=$AD180,$F180&amp;"R",CM179))))</f>
        <v>bN</v>
      </c>
      <c r="CN180" s="11" t="str">
        <f aca="false">IF($P180=0,CN179,IF(CN$3=$E180,IF($AA180=1,$F180&amp;$AB180,$G180),IF(OR(CN$3=$D180,CN$3=$AC180,CN$3=$AE180),"",IF(CN$3=$AD180,$F180&amp;"R",CN179))))</f>
        <v>bB</v>
      </c>
      <c r="CO180" s="11" t="str">
        <f aca="false">IF($P180=0,CO179,IF(CO$3=$E180,IF($AA180=1,$F180&amp;$AB180,$G180),IF(OR(CO$3=$D180,CO$3=$AC180,CO$3=$AE180),"",IF(CO$3=$AD180,$F180&amp;"R",CO179))))</f>
        <v>bQ</v>
      </c>
      <c r="CP180" s="11" t="str">
        <f aca="false">IF($P180=0,CP179,IF(CP$3=$E180,IF($AA180=1,$F180&amp;$AB180,$G180),IF(OR(CP$3=$D180,CP$3=$AC180,CP$3=$AE180),"",IF(CP$3=$AD180,$F180&amp;"R",CP179))))</f>
        <v>bK</v>
      </c>
      <c r="CQ180" s="11" t="str">
        <f aca="false">IF($P180=0,CQ179,IF(CQ$3=$E180,IF($AA180=1,$F180&amp;$AB180,$G180),IF(OR(CQ$3=$D180,CQ$3=$AC180,CQ$3=$AE180),"",IF(CQ$3=$AD180,$F180&amp;"R",CQ179))))</f>
        <v>bB</v>
      </c>
      <c r="CR180" s="11" t="str">
        <f aca="false">IF($P180=0,CR179,IF(CR$3=$E180,IF($AA180=1,$F180&amp;$AB180,$G180),IF(OR(CR$3=$D180,CR$3=$AC180,CR$3=$AE180),"",IF(CR$3=$AD180,$F180&amp;"R",CR179))))</f>
        <v>bN</v>
      </c>
      <c r="CS180" s="11" t="str">
        <f aca="false">IF($P180=0,CS179,IF(CS$3=$E180,IF($AA180=1,$F180&amp;$AB180,$G180),IF(OR(CS$3=$D180,CS$3=$AC180,CS$3=$AE180),"",IF(CS$3=$AD180,$F180&amp;"R",CS179))))</f>
        <v>bR</v>
      </c>
      <c r="CT180" s="11"/>
      <c r="CU180" s="11"/>
      <c r="CV180" s="11"/>
    </row>
    <row r="181" customFormat="false" ht="15" hidden="false" customHeight="false" outlineLevel="0" collapsed="false">
      <c r="A181" s="11" t="n">
        <v>176</v>
      </c>
      <c r="B181" s="11" t="str">
        <f aca="false">IF(Chess!$L$185="","",Chess!$L$185&amp;"")</f>
        <v/>
      </c>
      <c r="C181" s="11" t="str">
        <f aca="false">LOWER(SUBSTITUTE(SUBSTITUTE(SUBSTITUTE(SUBSTITUTE(TRIM($B181),"-",""),"=","")," ",""),"x",""))</f>
        <v/>
      </c>
      <c r="D181" s="11" t="n">
        <f aca="false">IF(LEN($C181)&lt;4,0,IFERROR(IF(AND(CODE(MID($C181,1,1))&gt;=97,CODE(MID($C181,1,1))&lt;=104,VALUE(MID($C181,2,1))&gt;=1,VALUE(MID($C181,2,1))&lt;=8),(VALUE(MID($C181,2,1))-1)*8+CODE(MID($C181,1,1))-96,0),0))</f>
        <v>0</v>
      </c>
      <c r="E181" s="11" t="n">
        <f aca="false">IF(LEN($C181)&lt;4,0,IFERROR(IF(AND(CODE(MID($C181,3,1))&gt;=97,CODE(MID($C181,3,1))&lt;=104,VALUE(MID($C181,4,1))&gt;=1,VALUE(MID($C181,4,1))&lt;=8),(VALUE(MID($C181,4,1))-1)*8+CODE(MID($C181,3,1))-96,0),0))</f>
        <v>0</v>
      </c>
      <c r="F181" s="11" t="str">
        <f aca="false">IF(MOD(SUM($P$5:$P180),2)=0,"w","b")</f>
        <v>w</v>
      </c>
      <c r="G181" s="11" t="str">
        <f aca="false">IF($D181=0,"",INDEX($AH180:$CS180,1,$D181)&amp;"")</f>
        <v/>
      </c>
      <c r="H181" s="11" t="str">
        <f aca="false">IF($E181=0,"",INDEX($AH180:$CS180,1,$E181)&amp;"")</f>
        <v/>
      </c>
      <c r="I181" s="11" t="n">
        <f aca="false">IF(OR($D181=0,$E181=0),0,MOD($E181-1,8)-MOD($D181-1,8))</f>
        <v>0</v>
      </c>
      <c r="J181" s="11" t="n">
        <f aca="false">IF(OR($D181=0,$E181=0),0,INT(($E181-1)/8)-INT(($D181-1)/8))</f>
        <v>0</v>
      </c>
      <c r="K181" s="11" t="str">
        <f aca="false">IF($G181="","",RIGHT($G181,1))</f>
        <v/>
      </c>
      <c r="L181" s="11" t="n">
        <f aca="false">IF(OR($D181=0,$E181=0),0,SUMPRODUCT(($AH$3:$CS$3&gt;MIN($D181,$E181))*($AH$3:$CS$3&lt;MAX($D181,$E181))*(MOD($AH$3:$CS$3-MIN($D181,$E181),MAX(1,ABS(SIGN($J181)*8+SIGN($I181))))=0)*($AH180:$CS180&lt;&gt;"")))</f>
        <v>0</v>
      </c>
      <c r="M181" s="11" t="n">
        <f aca="false">IF($K181&lt;&gt;"K",0,IFERROR(--AND($J181=0,ABS($I181)=2,$D181=IF($F181="w",5,61),IF($F181="w",$S180,$V180)=0,IF($I181=2,AND(IF($F181="w",$U180,$X180)=0,INDEX($AH180:$CS180,1,$D181+1)&amp;""="",INDEX($AH180:$CS180,1,$D181+2)&amp;""=""),AND(IF($F181="w",$T180,$W180)=0,INDEX($AH180:$CS180,1,$D181-1)&amp;""="",INDEX($AH180:$CS180,1,$D181-2)&amp;""="",INDEX($AH180:$CS180,1,$D181-3)&amp;""=""))),0))</f>
        <v>0</v>
      </c>
      <c r="N181" s="11" t="n">
        <f aca="false">IF($K181&lt;&gt;"P",0,IFERROR(--OR(AND($I181=0,$J181=IF($F181="w",1,-1),$H181=""),AND($I181=0,$J181=2*IF($F181="w",1,-1),$H181="",INT(($D181-1)/8)=IF($F181="w",1,6),INDEX($AH180:$CS180,1,MAX(1,MIN(64,$D181+8*IF($F181="w",1,-1))))&amp;""=""),AND(ABS($I181)=1,$J181=IF($F181="w",1,-1),$H181&lt;&gt;""),AND(ABS($I181)=1,$J181=IF($F181="w",1,-1),$H181="",$R180&gt;0,$E181=$R180)),0))</f>
        <v>0</v>
      </c>
      <c r="O181" s="11" t="n">
        <f aca="false">IF(OR($D181=0,$E181=0,$G181=""),0,IF($K181="N",--OR(AND(ABS($I181)=1,ABS($J181)=2),AND(ABS($I181)=2,ABS($J181)=1)),IF($K181="B",--AND(ABS($I181)=ABS($J181),$I181&lt;&gt;0,$L181=0),IF($K181="R",--AND(OR($I181=0,$J181=0),OR($I181&lt;&gt;0,$J181&lt;&gt;0),$L181=0),IF($K181="Q",--AND(OR(AND(ABS($I181)=ABS($J181),$I181&lt;&gt;0),AND(OR($I181=0,$J181=0),OR($I181&lt;&gt;0,$J181&lt;&gt;0))),$L181=0),IF($K181="K",--OR(MAX(ABS($I181),ABS($J181))=1,$M181=1),$N181))))))</f>
        <v>0</v>
      </c>
      <c r="P181" s="11" t="n">
        <f aca="false">IF($Q181="OK",1,0)</f>
        <v>0</v>
      </c>
      <c r="Q181" s="11" t="str">
        <f aca="false">IF($B181="","",IF(OR(COUNTIF($AH180:$CS180,"wK")=0,COUNTIF($AH180:$CS180,"bK")=0),"Game is over",IF(OR($D181=0,$E181=0),"Use the format e2e4",IF($G181="","No piece on that square",IF(LEFT($G181,1)&lt;&gt;$F181,"Not your piece ("&amp;IF($F181="w","White","Black")&amp;" to move)",IF($D181=$E181,"Piece must move",IF(AND($H181&lt;&gt;"",LEFT($H181,1)=$F181),"Cannot capture your own piece",IF($O181=0,"Illegal move for that piece (or path blocked)","OK"))))))))</f>
        <v/>
      </c>
      <c r="R181" s="11" t="n">
        <f aca="false">IF($P181=1,IF(AND($K181="P",ABS($J181)=2),($D181+$E181)/2,0),$R180)</f>
        <v>0</v>
      </c>
      <c r="S181" s="12" t="b">
        <f aca="false">--OR($S180=1,AND($P181=1,OR($D181=5,$E181=5)))</f>
        <v>0</v>
      </c>
      <c r="T181" s="12" t="b">
        <f aca="false">--OR($T180=1,AND($P181=1,OR($D181=1,$E181=1)))</f>
        <v>0</v>
      </c>
      <c r="U181" s="12" t="b">
        <f aca="false">--OR($U180=1,AND($P181=1,OR($D181=8,$E181=8)))</f>
        <v>0</v>
      </c>
      <c r="V181" s="12" t="b">
        <f aca="false">--OR($V180=1,AND($P181=1,OR($D181=61,$E181=61)))</f>
        <v>0</v>
      </c>
      <c r="W181" s="12" t="b">
        <f aca="false">--OR($W180=1,AND($P181=1,OR($D181=57,$E181=57)))</f>
        <v>0</v>
      </c>
      <c r="X181" s="12" t="b">
        <f aca="false">--OR($X180=1,AND($P181=1,OR($D181=64,$E181=64)))</f>
        <v>0</v>
      </c>
      <c r="Y181" s="12" t="b">
        <f aca="false">--AND($P181=1,$K181="K",ABS($I181)=2)</f>
        <v>0</v>
      </c>
      <c r="Z181" s="12" t="b">
        <f aca="false">--AND($P181=1,$K181="P",ABS($I181)=1,$H181="")</f>
        <v>0</v>
      </c>
      <c r="AA181" s="12" t="b">
        <f aca="false">--AND($P181=1,$K181="P",INT(($E181-1)/8)=IF($F181="w",7,0))</f>
        <v>0</v>
      </c>
      <c r="AB181" s="11" t="str">
        <f aca="false">IF(LEN($C181)&gt;=5,IF(ISNUMBER(FIND(MID($C181,5,1),"qrbn")),UPPER(MID($C181,5,1)),"Q"),"Q")</f>
        <v>Q</v>
      </c>
      <c r="AC181" s="11" t="n">
        <f aca="false">IF($Y181=1,IF($I181=2,$D181+3,$D181-4),0)</f>
        <v>0</v>
      </c>
      <c r="AD181" s="11" t="n">
        <f aca="false">IF($Y181=1,IF($I181=2,$D181+1,$D181-1),0)</f>
        <v>0</v>
      </c>
      <c r="AE181" s="11" t="n">
        <f aca="false">IF($Z181=1,$E181-8*IF($F181="w",1,-1),0)</f>
        <v>0</v>
      </c>
      <c r="AF181" s="11" t="str">
        <f aca="false">IF($B181="","",IF($P181=1,LOWER(INDEX($CV$2:$CV$13,MATCH($G181,$CU$2:$CU$13,0)))&amp;" "&amp;MID("abcdefgh",MOD($D181-1,8)+1,1)&amp;(INT(($D181-1)/8)+1)&amp;"→"&amp;MID("abcdefgh",MOD($E181-1,8)+1,1)&amp;(INT(($E181-1)/8)+1)&amp;IF(OR($H181&lt;&gt;"",$Z181=1)," ×","")&amp;IF($Y181=1," castles","")&amp;IF($Z181=1," e.p.","")&amp;IF($AA181=1," =" &amp;LOWER(INDEX($CV$2:$CV$13,MATCH($F181&amp;$AB181,$CU$2:$CU$13,0))),""),"X "&amp;$Q181))</f>
        <v/>
      </c>
      <c r="AG181" s="11"/>
      <c r="AH181" s="11" t="str">
        <f aca="false">IF($P181=0,AH180,IF(AH$3=$E181,IF($AA181=1,$F181&amp;$AB181,$G181),IF(OR(AH$3=$D181,AH$3=$AC181,AH$3=$AE181),"",IF(AH$3=$AD181,$F181&amp;"R",AH180))))</f>
        <v>wR</v>
      </c>
      <c r="AI181" s="11" t="str">
        <f aca="false">IF($P181=0,AI180,IF(AI$3=$E181,IF($AA181=1,$F181&amp;$AB181,$G181),IF(OR(AI$3=$D181,AI$3=$AC181,AI$3=$AE181),"",IF(AI$3=$AD181,$F181&amp;"R",AI180))))</f>
        <v>wN</v>
      </c>
      <c r="AJ181" s="11" t="str">
        <f aca="false">IF($P181=0,AJ180,IF(AJ$3=$E181,IF($AA181=1,$F181&amp;$AB181,$G181),IF(OR(AJ$3=$D181,AJ$3=$AC181,AJ$3=$AE181),"",IF(AJ$3=$AD181,$F181&amp;"R",AJ180))))</f>
        <v>wB</v>
      </c>
      <c r="AK181" s="11" t="str">
        <f aca="false">IF($P181=0,AK180,IF(AK$3=$E181,IF($AA181=1,$F181&amp;$AB181,$G181),IF(OR(AK$3=$D181,AK$3=$AC181,AK$3=$AE181),"",IF(AK$3=$AD181,$F181&amp;"R",AK180))))</f>
        <v>wQ</v>
      </c>
      <c r="AL181" s="11" t="str">
        <f aca="false">IF($P181=0,AL180,IF(AL$3=$E181,IF($AA181=1,$F181&amp;$AB181,$G181),IF(OR(AL$3=$D181,AL$3=$AC181,AL$3=$AE181),"",IF(AL$3=$AD181,$F181&amp;"R",AL180))))</f>
        <v>wK</v>
      </c>
      <c r="AM181" s="11" t="str">
        <f aca="false">IF($P181=0,AM180,IF(AM$3=$E181,IF($AA181=1,$F181&amp;$AB181,$G181),IF(OR(AM$3=$D181,AM$3=$AC181,AM$3=$AE181),"",IF(AM$3=$AD181,$F181&amp;"R",AM180))))</f>
        <v>wB</v>
      </c>
      <c r="AN181" s="11" t="str">
        <f aca="false">IF($P181=0,AN180,IF(AN$3=$E181,IF($AA181=1,$F181&amp;$AB181,$G181),IF(OR(AN$3=$D181,AN$3=$AC181,AN$3=$AE181),"",IF(AN$3=$AD181,$F181&amp;"R",AN180))))</f>
        <v>wN</v>
      </c>
      <c r="AO181" s="11" t="str">
        <f aca="false">IF($P181=0,AO180,IF(AO$3=$E181,IF($AA181=1,$F181&amp;$AB181,$G181),IF(OR(AO$3=$D181,AO$3=$AC181,AO$3=$AE181),"",IF(AO$3=$AD181,$F181&amp;"R",AO180))))</f>
        <v>wR</v>
      </c>
      <c r="AP181" s="11" t="str">
        <f aca="false">IF($P181=0,AP180,IF(AP$3=$E181,IF($AA181=1,$F181&amp;$AB181,$G181),IF(OR(AP$3=$D181,AP$3=$AC181,AP$3=$AE181),"",IF(AP$3=$AD181,$F181&amp;"R",AP180))))</f>
        <v>wP</v>
      </c>
      <c r="AQ181" s="11" t="str">
        <f aca="false">IF($P181=0,AQ180,IF(AQ$3=$E181,IF($AA181=1,$F181&amp;$AB181,$G181),IF(OR(AQ$3=$D181,AQ$3=$AC181,AQ$3=$AE181),"",IF(AQ$3=$AD181,$F181&amp;"R",AQ180))))</f>
        <v>wP</v>
      </c>
      <c r="AR181" s="11" t="str">
        <f aca="false">IF($P181=0,AR180,IF(AR$3=$E181,IF($AA181=1,$F181&amp;$AB181,$G181),IF(OR(AR$3=$D181,AR$3=$AC181,AR$3=$AE181),"",IF(AR$3=$AD181,$F181&amp;"R",AR180))))</f>
        <v>wP</v>
      </c>
      <c r="AS181" s="11" t="str">
        <f aca="false">IF($P181=0,AS180,IF(AS$3=$E181,IF($AA181=1,$F181&amp;$AB181,$G181),IF(OR(AS$3=$D181,AS$3=$AC181,AS$3=$AE181),"",IF(AS$3=$AD181,$F181&amp;"R",AS180))))</f>
        <v>wP</v>
      </c>
      <c r="AT181" s="11" t="str">
        <f aca="false">IF($P181=0,AT180,IF(AT$3=$E181,IF($AA181=1,$F181&amp;$AB181,$G181),IF(OR(AT$3=$D181,AT$3=$AC181,AT$3=$AE181),"",IF(AT$3=$AD181,$F181&amp;"R",AT180))))</f>
        <v>wP</v>
      </c>
      <c r="AU181" s="11" t="str">
        <f aca="false">IF($P181=0,AU180,IF(AU$3=$E181,IF($AA181=1,$F181&amp;$AB181,$G181),IF(OR(AU$3=$D181,AU$3=$AC181,AU$3=$AE181),"",IF(AU$3=$AD181,$F181&amp;"R",AU180))))</f>
        <v>wP</v>
      </c>
      <c r="AV181" s="11" t="str">
        <f aca="false">IF($P181=0,AV180,IF(AV$3=$E181,IF($AA181=1,$F181&amp;$AB181,$G181),IF(OR(AV$3=$D181,AV$3=$AC181,AV$3=$AE181),"",IF(AV$3=$AD181,$F181&amp;"R",AV180))))</f>
        <v>wP</v>
      </c>
      <c r="AW181" s="11" t="str">
        <f aca="false">IF($P181=0,AW180,IF(AW$3=$E181,IF($AA181=1,$F181&amp;$AB181,$G181),IF(OR(AW$3=$D181,AW$3=$AC181,AW$3=$AE181),"",IF(AW$3=$AD181,$F181&amp;"R",AW180))))</f>
        <v>wP</v>
      </c>
      <c r="AX181" s="11" t="str">
        <f aca="false">IF($P181=0,AX180,IF(AX$3=$E181,IF($AA181=1,$F181&amp;$AB181,$G181),IF(OR(AX$3=$D181,AX$3=$AC181,AX$3=$AE181),"",IF(AX$3=$AD181,$F181&amp;"R",AX180))))</f>
        <v/>
      </c>
      <c r="AY181" s="11" t="str">
        <f aca="false">IF($P181=0,AY180,IF(AY$3=$E181,IF($AA181=1,$F181&amp;$AB181,$G181),IF(OR(AY$3=$D181,AY$3=$AC181,AY$3=$AE181),"",IF(AY$3=$AD181,$F181&amp;"R",AY180))))</f>
        <v/>
      </c>
      <c r="AZ181" s="11" t="str">
        <f aca="false">IF($P181=0,AZ180,IF(AZ$3=$E181,IF($AA181=1,$F181&amp;$AB181,$G181),IF(OR(AZ$3=$D181,AZ$3=$AC181,AZ$3=$AE181),"",IF(AZ$3=$AD181,$F181&amp;"R",AZ180))))</f>
        <v/>
      </c>
      <c r="BA181" s="11" t="str">
        <f aca="false">IF($P181=0,BA180,IF(BA$3=$E181,IF($AA181=1,$F181&amp;$AB181,$G181),IF(OR(BA$3=$D181,BA$3=$AC181,BA$3=$AE181),"",IF(BA$3=$AD181,$F181&amp;"R",BA180))))</f>
        <v/>
      </c>
      <c r="BB181" s="11" t="str">
        <f aca="false">IF($P181=0,BB180,IF(BB$3=$E181,IF($AA181=1,$F181&amp;$AB181,$G181),IF(OR(BB$3=$D181,BB$3=$AC181,BB$3=$AE181),"",IF(BB$3=$AD181,$F181&amp;"R",BB180))))</f>
        <v/>
      </c>
      <c r="BC181" s="11" t="str">
        <f aca="false">IF($P181=0,BC180,IF(BC$3=$E181,IF($AA181=1,$F181&amp;$AB181,$G181),IF(OR(BC$3=$D181,BC$3=$AC181,BC$3=$AE181),"",IF(BC$3=$AD181,$F181&amp;"R",BC180))))</f>
        <v/>
      </c>
      <c r="BD181" s="11" t="str">
        <f aca="false">IF($P181=0,BD180,IF(BD$3=$E181,IF($AA181=1,$F181&amp;$AB181,$G181),IF(OR(BD$3=$D181,BD$3=$AC181,BD$3=$AE181),"",IF(BD$3=$AD181,$F181&amp;"R",BD180))))</f>
        <v/>
      </c>
      <c r="BE181" s="11" t="str">
        <f aca="false">IF($P181=0,BE180,IF(BE$3=$E181,IF($AA181=1,$F181&amp;$AB181,$G181),IF(OR(BE$3=$D181,BE$3=$AC181,BE$3=$AE181),"",IF(BE$3=$AD181,$F181&amp;"R",BE180))))</f>
        <v/>
      </c>
      <c r="BF181" s="11" t="str">
        <f aca="false">IF($P181=0,BF180,IF(BF$3=$E181,IF($AA181=1,$F181&amp;$AB181,$G181),IF(OR(BF$3=$D181,BF$3=$AC181,BF$3=$AE181),"",IF(BF$3=$AD181,$F181&amp;"R",BF180))))</f>
        <v/>
      </c>
      <c r="BG181" s="11" t="str">
        <f aca="false">IF($P181=0,BG180,IF(BG$3=$E181,IF($AA181=1,$F181&amp;$AB181,$G181),IF(OR(BG$3=$D181,BG$3=$AC181,BG$3=$AE181),"",IF(BG$3=$AD181,$F181&amp;"R",BG180))))</f>
        <v/>
      </c>
      <c r="BH181" s="11" t="str">
        <f aca="false">IF($P181=0,BH180,IF(BH$3=$E181,IF($AA181=1,$F181&amp;$AB181,$G181),IF(OR(BH$3=$D181,BH$3=$AC181,BH$3=$AE181),"",IF(BH$3=$AD181,$F181&amp;"R",BH180))))</f>
        <v/>
      </c>
      <c r="BI181" s="11" t="str">
        <f aca="false">IF($P181=0,BI180,IF(BI$3=$E181,IF($AA181=1,$F181&amp;$AB181,$G181),IF(OR(BI$3=$D181,BI$3=$AC181,BI$3=$AE181),"",IF(BI$3=$AD181,$F181&amp;"R",BI180))))</f>
        <v/>
      </c>
      <c r="BJ181" s="11" t="str">
        <f aca="false">IF($P181=0,BJ180,IF(BJ$3=$E181,IF($AA181=1,$F181&amp;$AB181,$G181),IF(OR(BJ$3=$D181,BJ$3=$AC181,BJ$3=$AE181),"",IF(BJ$3=$AD181,$F181&amp;"R",BJ180))))</f>
        <v/>
      </c>
      <c r="BK181" s="11" t="str">
        <f aca="false">IF($P181=0,BK180,IF(BK$3=$E181,IF($AA181=1,$F181&amp;$AB181,$G181),IF(OR(BK$3=$D181,BK$3=$AC181,BK$3=$AE181),"",IF(BK$3=$AD181,$F181&amp;"R",BK180))))</f>
        <v/>
      </c>
      <c r="BL181" s="11" t="str">
        <f aca="false">IF($P181=0,BL180,IF(BL$3=$E181,IF($AA181=1,$F181&amp;$AB181,$G181),IF(OR(BL$3=$D181,BL$3=$AC181,BL$3=$AE181),"",IF(BL$3=$AD181,$F181&amp;"R",BL180))))</f>
        <v/>
      </c>
      <c r="BM181" s="11" t="str">
        <f aca="false">IF($P181=0,BM180,IF(BM$3=$E181,IF($AA181=1,$F181&amp;$AB181,$G181),IF(OR(BM$3=$D181,BM$3=$AC181,BM$3=$AE181),"",IF(BM$3=$AD181,$F181&amp;"R",BM180))))</f>
        <v/>
      </c>
      <c r="BN181" s="11" t="str">
        <f aca="false">IF($P181=0,BN180,IF(BN$3=$E181,IF($AA181=1,$F181&amp;$AB181,$G181),IF(OR(BN$3=$D181,BN$3=$AC181,BN$3=$AE181),"",IF(BN$3=$AD181,$F181&amp;"R",BN180))))</f>
        <v/>
      </c>
      <c r="BO181" s="11" t="str">
        <f aca="false">IF($P181=0,BO180,IF(BO$3=$E181,IF($AA181=1,$F181&amp;$AB181,$G181),IF(OR(BO$3=$D181,BO$3=$AC181,BO$3=$AE181),"",IF(BO$3=$AD181,$F181&amp;"R",BO180))))</f>
        <v/>
      </c>
      <c r="BP181" s="11" t="str">
        <f aca="false">IF($P181=0,BP180,IF(BP$3=$E181,IF($AA181=1,$F181&amp;$AB181,$G181),IF(OR(BP$3=$D181,BP$3=$AC181,BP$3=$AE181),"",IF(BP$3=$AD181,$F181&amp;"R",BP180))))</f>
        <v/>
      </c>
      <c r="BQ181" s="11" t="str">
        <f aca="false">IF($P181=0,BQ180,IF(BQ$3=$E181,IF($AA181=1,$F181&amp;$AB181,$G181),IF(OR(BQ$3=$D181,BQ$3=$AC181,BQ$3=$AE181),"",IF(BQ$3=$AD181,$F181&amp;"R",BQ180))))</f>
        <v/>
      </c>
      <c r="BR181" s="11" t="str">
        <f aca="false">IF($P181=0,BR180,IF(BR$3=$E181,IF($AA181=1,$F181&amp;$AB181,$G181),IF(OR(BR$3=$D181,BR$3=$AC181,BR$3=$AE181),"",IF(BR$3=$AD181,$F181&amp;"R",BR180))))</f>
        <v/>
      </c>
      <c r="BS181" s="11" t="str">
        <f aca="false">IF($P181=0,BS180,IF(BS$3=$E181,IF($AA181=1,$F181&amp;$AB181,$G181),IF(OR(BS$3=$D181,BS$3=$AC181,BS$3=$AE181),"",IF(BS$3=$AD181,$F181&amp;"R",BS180))))</f>
        <v/>
      </c>
      <c r="BT181" s="11" t="str">
        <f aca="false">IF($P181=0,BT180,IF(BT$3=$E181,IF($AA181=1,$F181&amp;$AB181,$G181),IF(OR(BT$3=$D181,BT$3=$AC181,BT$3=$AE181),"",IF(BT$3=$AD181,$F181&amp;"R",BT180))))</f>
        <v/>
      </c>
      <c r="BU181" s="11" t="str">
        <f aca="false">IF($P181=0,BU180,IF(BU$3=$E181,IF($AA181=1,$F181&amp;$AB181,$G181),IF(OR(BU$3=$D181,BU$3=$AC181,BU$3=$AE181),"",IF(BU$3=$AD181,$F181&amp;"R",BU180))))</f>
        <v/>
      </c>
      <c r="BV181" s="11" t="str">
        <f aca="false">IF($P181=0,BV180,IF(BV$3=$E181,IF($AA181=1,$F181&amp;$AB181,$G181),IF(OR(BV$3=$D181,BV$3=$AC181,BV$3=$AE181),"",IF(BV$3=$AD181,$F181&amp;"R",BV180))))</f>
        <v/>
      </c>
      <c r="BW181" s="11" t="str">
        <f aca="false">IF($P181=0,BW180,IF(BW$3=$E181,IF($AA181=1,$F181&amp;$AB181,$G181),IF(OR(BW$3=$D181,BW$3=$AC181,BW$3=$AE181),"",IF(BW$3=$AD181,$F181&amp;"R",BW180))))</f>
        <v/>
      </c>
      <c r="BX181" s="11" t="str">
        <f aca="false">IF($P181=0,BX180,IF(BX$3=$E181,IF($AA181=1,$F181&amp;$AB181,$G181),IF(OR(BX$3=$D181,BX$3=$AC181,BX$3=$AE181),"",IF(BX$3=$AD181,$F181&amp;"R",BX180))))</f>
        <v/>
      </c>
      <c r="BY181" s="11" t="str">
        <f aca="false">IF($P181=0,BY180,IF(BY$3=$E181,IF($AA181=1,$F181&amp;$AB181,$G181),IF(OR(BY$3=$D181,BY$3=$AC181,BY$3=$AE181),"",IF(BY$3=$AD181,$F181&amp;"R",BY180))))</f>
        <v/>
      </c>
      <c r="BZ181" s="11" t="str">
        <f aca="false">IF($P181=0,BZ180,IF(BZ$3=$E181,IF($AA181=1,$F181&amp;$AB181,$G181),IF(OR(BZ$3=$D181,BZ$3=$AC181,BZ$3=$AE181),"",IF(BZ$3=$AD181,$F181&amp;"R",BZ180))))</f>
        <v/>
      </c>
      <c r="CA181" s="11" t="str">
        <f aca="false">IF($P181=0,CA180,IF(CA$3=$E181,IF($AA181=1,$F181&amp;$AB181,$G181),IF(OR(CA$3=$D181,CA$3=$AC181,CA$3=$AE181),"",IF(CA$3=$AD181,$F181&amp;"R",CA180))))</f>
        <v/>
      </c>
      <c r="CB181" s="11" t="str">
        <f aca="false">IF($P181=0,CB180,IF(CB$3=$E181,IF($AA181=1,$F181&amp;$AB181,$G181),IF(OR(CB$3=$D181,CB$3=$AC181,CB$3=$AE181),"",IF(CB$3=$AD181,$F181&amp;"R",CB180))))</f>
        <v/>
      </c>
      <c r="CC181" s="11" t="str">
        <f aca="false">IF($P181=0,CC180,IF(CC$3=$E181,IF($AA181=1,$F181&amp;$AB181,$G181),IF(OR(CC$3=$D181,CC$3=$AC181,CC$3=$AE181),"",IF(CC$3=$AD181,$F181&amp;"R",CC180))))</f>
        <v/>
      </c>
      <c r="CD181" s="11" t="str">
        <f aca="false">IF($P181=0,CD180,IF(CD$3=$E181,IF($AA181=1,$F181&amp;$AB181,$G181),IF(OR(CD$3=$D181,CD$3=$AC181,CD$3=$AE181),"",IF(CD$3=$AD181,$F181&amp;"R",CD180))))</f>
        <v>bP</v>
      </c>
      <c r="CE181" s="11" t="str">
        <f aca="false">IF($P181=0,CE180,IF(CE$3=$E181,IF($AA181=1,$F181&amp;$AB181,$G181),IF(OR(CE$3=$D181,CE$3=$AC181,CE$3=$AE181),"",IF(CE$3=$AD181,$F181&amp;"R",CE180))))</f>
        <v>bP</v>
      </c>
      <c r="CF181" s="11" t="str">
        <f aca="false">IF($P181=0,CF180,IF(CF$3=$E181,IF($AA181=1,$F181&amp;$AB181,$G181),IF(OR(CF$3=$D181,CF$3=$AC181,CF$3=$AE181),"",IF(CF$3=$AD181,$F181&amp;"R",CF180))))</f>
        <v>bP</v>
      </c>
      <c r="CG181" s="11" t="str">
        <f aca="false">IF($P181=0,CG180,IF(CG$3=$E181,IF($AA181=1,$F181&amp;$AB181,$G181),IF(OR(CG$3=$D181,CG$3=$AC181,CG$3=$AE181),"",IF(CG$3=$AD181,$F181&amp;"R",CG180))))</f>
        <v>bP</v>
      </c>
      <c r="CH181" s="11" t="str">
        <f aca="false">IF($P181=0,CH180,IF(CH$3=$E181,IF($AA181=1,$F181&amp;$AB181,$G181),IF(OR(CH$3=$D181,CH$3=$AC181,CH$3=$AE181),"",IF(CH$3=$AD181,$F181&amp;"R",CH180))))</f>
        <v>bP</v>
      </c>
      <c r="CI181" s="11" t="str">
        <f aca="false">IF($P181=0,CI180,IF(CI$3=$E181,IF($AA181=1,$F181&amp;$AB181,$G181),IF(OR(CI$3=$D181,CI$3=$AC181,CI$3=$AE181),"",IF(CI$3=$AD181,$F181&amp;"R",CI180))))</f>
        <v>bP</v>
      </c>
      <c r="CJ181" s="11" t="str">
        <f aca="false">IF($P181=0,CJ180,IF(CJ$3=$E181,IF($AA181=1,$F181&amp;$AB181,$G181),IF(OR(CJ$3=$D181,CJ$3=$AC181,CJ$3=$AE181),"",IF(CJ$3=$AD181,$F181&amp;"R",CJ180))))</f>
        <v>bP</v>
      </c>
      <c r="CK181" s="11" t="str">
        <f aca="false">IF($P181=0,CK180,IF(CK$3=$E181,IF($AA181=1,$F181&amp;$AB181,$G181),IF(OR(CK$3=$D181,CK$3=$AC181,CK$3=$AE181),"",IF(CK$3=$AD181,$F181&amp;"R",CK180))))</f>
        <v>bP</v>
      </c>
      <c r="CL181" s="11" t="str">
        <f aca="false">IF($P181=0,CL180,IF(CL$3=$E181,IF($AA181=1,$F181&amp;$AB181,$G181),IF(OR(CL$3=$D181,CL$3=$AC181,CL$3=$AE181),"",IF(CL$3=$AD181,$F181&amp;"R",CL180))))</f>
        <v>bR</v>
      </c>
      <c r="CM181" s="11" t="str">
        <f aca="false">IF($P181=0,CM180,IF(CM$3=$E181,IF($AA181=1,$F181&amp;$AB181,$G181),IF(OR(CM$3=$D181,CM$3=$AC181,CM$3=$AE181),"",IF(CM$3=$AD181,$F181&amp;"R",CM180))))</f>
        <v>bN</v>
      </c>
      <c r="CN181" s="11" t="str">
        <f aca="false">IF($P181=0,CN180,IF(CN$3=$E181,IF($AA181=1,$F181&amp;$AB181,$G181),IF(OR(CN$3=$D181,CN$3=$AC181,CN$3=$AE181),"",IF(CN$3=$AD181,$F181&amp;"R",CN180))))</f>
        <v>bB</v>
      </c>
      <c r="CO181" s="11" t="str">
        <f aca="false">IF($P181=0,CO180,IF(CO$3=$E181,IF($AA181=1,$F181&amp;$AB181,$G181),IF(OR(CO$3=$D181,CO$3=$AC181,CO$3=$AE181),"",IF(CO$3=$AD181,$F181&amp;"R",CO180))))</f>
        <v>bQ</v>
      </c>
      <c r="CP181" s="11" t="str">
        <f aca="false">IF($P181=0,CP180,IF(CP$3=$E181,IF($AA181=1,$F181&amp;$AB181,$G181),IF(OR(CP$3=$D181,CP$3=$AC181,CP$3=$AE181),"",IF(CP$3=$AD181,$F181&amp;"R",CP180))))</f>
        <v>bK</v>
      </c>
      <c r="CQ181" s="11" t="str">
        <f aca="false">IF($P181=0,CQ180,IF(CQ$3=$E181,IF($AA181=1,$F181&amp;$AB181,$G181),IF(OR(CQ$3=$D181,CQ$3=$AC181,CQ$3=$AE181),"",IF(CQ$3=$AD181,$F181&amp;"R",CQ180))))</f>
        <v>bB</v>
      </c>
      <c r="CR181" s="11" t="str">
        <f aca="false">IF($P181=0,CR180,IF(CR$3=$E181,IF($AA181=1,$F181&amp;$AB181,$G181),IF(OR(CR$3=$D181,CR$3=$AC181,CR$3=$AE181),"",IF(CR$3=$AD181,$F181&amp;"R",CR180))))</f>
        <v>bN</v>
      </c>
      <c r="CS181" s="11" t="str">
        <f aca="false">IF($P181=0,CS180,IF(CS$3=$E181,IF($AA181=1,$F181&amp;$AB181,$G181),IF(OR(CS$3=$D181,CS$3=$AC181,CS$3=$AE181),"",IF(CS$3=$AD181,$F181&amp;"R",CS180))))</f>
        <v>bR</v>
      </c>
      <c r="CT181" s="11"/>
      <c r="CU181" s="11"/>
      <c r="CV181" s="11"/>
    </row>
    <row r="182" customFormat="false" ht="15" hidden="false" customHeight="false" outlineLevel="0" collapsed="false">
      <c r="A182" s="11" t="n">
        <v>177</v>
      </c>
      <c r="B182" s="11" t="str">
        <f aca="false">IF(Chess!$L$186="","",Chess!$L$186&amp;"")</f>
        <v/>
      </c>
      <c r="C182" s="11" t="str">
        <f aca="false">LOWER(SUBSTITUTE(SUBSTITUTE(SUBSTITUTE(SUBSTITUTE(TRIM($B182),"-",""),"=","")," ",""),"x",""))</f>
        <v/>
      </c>
      <c r="D182" s="11" t="n">
        <f aca="false">IF(LEN($C182)&lt;4,0,IFERROR(IF(AND(CODE(MID($C182,1,1))&gt;=97,CODE(MID($C182,1,1))&lt;=104,VALUE(MID($C182,2,1))&gt;=1,VALUE(MID($C182,2,1))&lt;=8),(VALUE(MID($C182,2,1))-1)*8+CODE(MID($C182,1,1))-96,0),0))</f>
        <v>0</v>
      </c>
      <c r="E182" s="11" t="n">
        <f aca="false">IF(LEN($C182)&lt;4,0,IFERROR(IF(AND(CODE(MID($C182,3,1))&gt;=97,CODE(MID($C182,3,1))&lt;=104,VALUE(MID($C182,4,1))&gt;=1,VALUE(MID($C182,4,1))&lt;=8),(VALUE(MID($C182,4,1))-1)*8+CODE(MID($C182,3,1))-96,0),0))</f>
        <v>0</v>
      </c>
      <c r="F182" s="11" t="str">
        <f aca="false">IF(MOD(SUM($P$5:$P181),2)=0,"w","b")</f>
        <v>w</v>
      </c>
      <c r="G182" s="11" t="str">
        <f aca="false">IF($D182=0,"",INDEX($AH181:$CS181,1,$D182)&amp;"")</f>
        <v/>
      </c>
      <c r="H182" s="11" t="str">
        <f aca="false">IF($E182=0,"",INDEX($AH181:$CS181,1,$E182)&amp;"")</f>
        <v/>
      </c>
      <c r="I182" s="11" t="n">
        <f aca="false">IF(OR($D182=0,$E182=0),0,MOD($E182-1,8)-MOD($D182-1,8))</f>
        <v>0</v>
      </c>
      <c r="J182" s="11" t="n">
        <f aca="false">IF(OR($D182=0,$E182=0),0,INT(($E182-1)/8)-INT(($D182-1)/8))</f>
        <v>0</v>
      </c>
      <c r="K182" s="11" t="str">
        <f aca="false">IF($G182="","",RIGHT($G182,1))</f>
        <v/>
      </c>
      <c r="L182" s="11" t="n">
        <f aca="false">IF(OR($D182=0,$E182=0),0,SUMPRODUCT(($AH$3:$CS$3&gt;MIN($D182,$E182))*($AH$3:$CS$3&lt;MAX($D182,$E182))*(MOD($AH$3:$CS$3-MIN($D182,$E182),MAX(1,ABS(SIGN($J182)*8+SIGN($I182))))=0)*($AH181:$CS181&lt;&gt;"")))</f>
        <v>0</v>
      </c>
      <c r="M182" s="11" t="n">
        <f aca="false">IF($K182&lt;&gt;"K",0,IFERROR(--AND($J182=0,ABS($I182)=2,$D182=IF($F182="w",5,61),IF($F182="w",$S181,$V181)=0,IF($I182=2,AND(IF($F182="w",$U181,$X181)=0,INDEX($AH181:$CS181,1,$D182+1)&amp;""="",INDEX($AH181:$CS181,1,$D182+2)&amp;""=""),AND(IF($F182="w",$T181,$W181)=0,INDEX($AH181:$CS181,1,$D182-1)&amp;""="",INDEX($AH181:$CS181,1,$D182-2)&amp;""="",INDEX($AH181:$CS181,1,$D182-3)&amp;""=""))),0))</f>
        <v>0</v>
      </c>
      <c r="N182" s="11" t="n">
        <f aca="false">IF($K182&lt;&gt;"P",0,IFERROR(--OR(AND($I182=0,$J182=IF($F182="w",1,-1),$H182=""),AND($I182=0,$J182=2*IF($F182="w",1,-1),$H182="",INT(($D182-1)/8)=IF($F182="w",1,6),INDEX($AH181:$CS181,1,MAX(1,MIN(64,$D182+8*IF($F182="w",1,-1))))&amp;""=""),AND(ABS($I182)=1,$J182=IF($F182="w",1,-1),$H182&lt;&gt;""),AND(ABS($I182)=1,$J182=IF($F182="w",1,-1),$H182="",$R181&gt;0,$E182=$R181)),0))</f>
        <v>0</v>
      </c>
      <c r="O182" s="11" t="n">
        <f aca="false">IF(OR($D182=0,$E182=0,$G182=""),0,IF($K182="N",--OR(AND(ABS($I182)=1,ABS($J182)=2),AND(ABS($I182)=2,ABS($J182)=1)),IF($K182="B",--AND(ABS($I182)=ABS($J182),$I182&lt;&gt;0,$L182=0),IF($K182="R",--AND(OR($I182=0,$J182=0),OR($I182&lt;&gt;0,$J182&lt;&gt;0),$L182=0),IF($K182="Q",--AND(OR(AND(ABS($I182)=ABS($J182),$I182&lt;&gt;0),AND(OR($I182=0,$J182=0),OR($I182&lt;&gt;0,$J182&lt;&gt;0))),$L182=0),IF($K182="K",--OR(MAX(ABS($I182),ABS($J182))=1,$M182=1),$N182))))))</f>
        <v>0</v>
      </c>
      <c r="P182" s="11" t="n">
        <f aca="false">IF($Q182="OK",1,0)</f>
        <v>0</v>
      </c>
      <c r="Q182" s="11" t="str">
        <f aca="false">IF($B182="","",IF(OR(COUNTIF($AH181:$CS181,"wK")=0,COUNTIF($AH181:$CS181,"bK")=0),"Game is over",IF(OR($D182=0,$E182=0),"Use the format e2e4",IF($G182="","No piece on that square",IF(LEFT($G182,1)&lt;&gt;$F182,"Not your piece ("&amp;IF($F182="w","White","Black")&amp;" to move)",IF($D182=$E182,"Piece must move",IF(AND($H182&lt;&gt;"",LEFT($H182,1)=$F182),"Cannot capture your own piece",IF($O182=0,"Illegal move for that piece (or path blocked)","OK"))))))))</f>
        <v/>
      </c>
      <c r="R182" s="11" t="n">
        <f aca="false">IF($P182=1,IF(AND($K182="P",ABS($J182)=2),($D182+$E182)/2,0),$R181)</f>
        <v>0</v>
      </c>
      <c r="S182" s="12" t="b">
        <f aca="false">--OR($S181=1,AND($P182=1,OR($D182=5,$E182=5)))</f>
        <v>0</v>
      </c>
      <c r="T182" s="12" t="b">
        <f aca="false">--OR($T181=1,AND($P182=1,OR($D182=1,$E182=1)))</f>
        <v>0</v>
      </c>
      <c r="U182" s="12" t="b">
        <f aca="false">--OR($U181=1,AND($P182=1,OR($D182=8,$E182=8)))</f>
        <v>0</v>
      </c>
      <c r="V182" s="12" t="b">
        <f aca="false">--OR($V181=1,AND($P182=1,OR($D182=61,$E182=61)))</f>
        <v>0</v>
      </c>
      <c r="W182" s="12" t="b">
        <f aca="false">--OR($W181=1,AND($P182=1,OR($D182=57,$E182=57)))</f>
        <v>0</v>
      </c>
      <c r="X182" s="12" t="b">
        <f aca="false">--OR($X181=1,AND($P182=1,OR($D182=64,$E182=64)))</f>
        <v>0</v>
      </c>
      <c r="Y182" s="12" t="b">
        <f aca="false">--AND($P182=1,$K182="K",ABS($I182)=2)</f>
        <v>0</v>
      </c>
      <c r="Z182" s="12" t="b">
        <f aca="false">--AND($P182=1,$K182="P",ABS($I182)=1,$H182="")</f>
        <v>0</v>
      </c>
      <c r="AA182" s="12" t="b">
        <f aca="false">--AND($P182=1,$K182="P",INT(($E182-1)/8)=IF($F182="w",7,0))</f>
        <v>0</v>
      </c>
      <c r="AB182" s="11" t="str">
        <f aca="false">IF(LEN($C182)&gt;=5,IF(ISNUMBER(FIND(MID($C182,5,1),"qrbn")),UPPER(MID($C182,5,1)),"Q"),"Q")</f>
        <v>Q</v>
      </c>
      <c r="AC182" s="11" t="n">
        <f aca="false">IF($Y182=1,IF($I182=2,$D182+3,$D182-4),0)</f>
        <v>0</v>
      </c>
      <c r="AD182" s="11" t="n">
        <f aca="false">IF($Y182=1,IF($I182=2,$D182+1,$D182-1),0)</f>
        <v>0</v>
      </c>
      <c r="AE182" s="11" t="n">
        <f aca="false">IF($Z182=1,$E182-8*IF($F182="w",1,-1),0)</f>
        <v>0</v>
      </c>
      <c r="AF182" s="11" t="str">
        <f aca="false">IF($B182="","",IF($P182=1,LOWER(INDEX($CV$2:$CV$13,MATCH($G182,$CU$2:$CU$13,0)))&amp;" "&amp;MID("abcdefgh",MOD($D182-1,8)+1,1)&amp;(INT(($D182-1)/8)+1)&amp;"→"&amp;MID("abcdefgh",MOD($E182-1,8)+1,1)&amp;(INT(($E182-1)/8)+1)&amp;IF(OR($H182&lt;&gt;"",$Z182=1)," ×","")&amp;IF($Y182=1," castles","")&amp;IF($Z182=1," e.p.","")&amp;IF($AA182=1," =" &amp;LOWER(INDEX($CV$2:$CV$13,MATCH($F182&amp;$AB182,$CU$2:$CU$13,0))),""),"X "&amp;$Q182))</f>
        <v/>
      </c>
      <c r="AG182" s="11"/>
      <c r="AH182" s="11" t="str">
        <f aca="false">IF($P182=0,AH181,IF(AH$3=$E182,IF($AA182=1,$F182&amp;$AB182,$G182),IF(OR(AH$3=$D182,AH$3=$AC182,AH$3=$AE182),"",IF(AH$3=$AD182,$F182&amp;"R",AH181))))</f>
        <v>wR</v>
      </c>
      <c r="AI182" s="11" t="str">
        <f aca="false">IF($P182=0,AI181,IF(AI$3=$E182,IF($AA182=1,$F182&amp;$AB182,$G182),IF(OR(AI$3=$D182,AI$3=$AC182,AI$3=$AE182),"",IF(AI$3=$AD182,$F182&amp;"R",AI181))))</f>
        <v>wN</v>
      </c>
      <c r="AJ182" s="11" t="str">
        <f aca="false">IF($P182=0,AJ181,IF(AJ$3=$E182,IF($AA182=1,$F182&amp;$AB182,$G182),IF(OR(AJ$3=$D182,AJ$3=$AC182,AJ$3=$AE182),"",IF(AJ$3=$AD182,$F182&amp;"R",AJ181))))</f>
        <v>wB</v>
      </c>
      <c r="AK182" s="11" t="str">
        <f aca="false">IF($P182=0,AK181,IF(AK$3=$E182,IF($AA182=1,$F182&amp;$AB182,$G182),IF(OR(AK$3=$D182,AK$3=$AC182,AK$3=$AE182),"",IF(AK$3=$AD182,$F182&amp;"R",AK181))))</f>
        <v>wQ</v>
      </c>
      <c r="AL182" s="11" t="str">
        <f aca="false">IF($P182=0,AL181,IF(AL$3=$E182,IF($AA182=1,$F182&amp;$AB182,$G182),IF(OR(AL$3=$D182,AL$3=$AC182,AL$3=$AE182),"",IF(AL$3=$AD182,$F182&amp;"R",AL181))))</f>
        <v>wK</v>
      </c>
      <c r="AM182" s="11" t="str">
        <f aca="false">IF($P182=0,AM181,IF(AM$3=$E182,IF($AA182=1,$F182&amp;$AB182,$G182),IF(OR(AM$3=$D182,AM$3=$AC182,AM$3=$AE182),"",IF(AM$3=$AD182,$F182&amp;"R",AM181))))</f>
        <v>wB</v>
      </c>
      <c r="AN182" s="11" t="str">
        <f aca="false">IF($P182=0,AN181,IF(AN$3=$E182,IF($AA182=1,$F182&amp;$AB182,$G182),IF(OR(AN$3=$D182,AN$3=$AC182,AN$3=$AE182),"",IF(AN$3=$AD182,$F182&amp;"R",AN181))))</f>
        <v>wN</v>
      </c>
      <c r="AO182" s="11" t="str">
        <f aca="false">IF($P182=0,AO181,IF(AO$3=$E182,IF($AA182=1,$F182&amp;$AB182,$G182),IF(OR(AO$3=$D182,AO$3=$AC182,AO$3=$AE182),"",IF(AO$3=$AD182,$F182&amp;"R",AO181))))</f>
        <v>wR</v>
      </c>
      <c r="AP182" s="11" t="str">
        <f aca="false">IF($P182=0,AP181,IF(AP$3=$E182,IF($AA182=1,$F182&amp;$AB182,$G182),IF(OR(AP$3=$D182,AP$3=$AC182,AP$3=$AE182),"",IF(AP$3=$AD182,$F182&amp;"R",AP181))))</f>
        <v>wP</v>
      </c>
      <c r="AQ182" s="11" t="str">
        <f aca="false">IF($P182=0,AQ181,IF(AQ$3=$E182,IF($AA182=1,$F182&amp;$AB182,$G182),IF(OR(AQ$3=$D182,AQ$3=$AC182,AQ$3=$AE182),"",IF(AQ$3=$AD182,$F182&amp;"R",AQ181))))</f>
        <v>wP</v>
      </c>
      <c r="AR182" s="11" t="str">
        <f aca="false">IF($P182=0,AR181,IF(AR$3=$E182,IF($AA182=1,$F182&amp;$AB182,$G182),IF(OR(AR$3=$D182,AR$3=$AC182,AR$3=$AE182),"",IF(AR$3=$AD182,$F182&amp;"R",AR181))))</f>
        <v>wP</v>
      </c>
      <c r="AS182" s="11" t="str">
        <f aca="false">IF($P182=0,AS181,IF(AS$3=$E182,IF($AA182=1,$F182&amp;$AB182,$G182),IF(OR(AS$3=$D182,AS$3=$AC182,AS$3=$AE182),"",IF(AS$3=$AD182,$F182&amp;"R",AS181))))</f>
        <v>wP</v>
      </c>
      <c r="AT182" s="11" t="str">
        <f aca="false">IF($P182=0,AT181,IF(AT$3=$E182,IF($AA182=1,$F182&amp;$AB182,$G182),IF(OR(AT$3=$D182,AT$3=$AC182,AT$3=$AE182),"",IF(AT$3=$AD182,$F182&amp;"R",AT181))))</f>
        <v>wP</v>
      </c>
      <c r="AU182" s="11" t="str">
        <f aca="false">IF($P182=0,AU181,IF(AU$3=$E182,IF($AA182=1,$F182&amp;$AB182,$G182),IF(OR(AU$3=$D182,AU$3=$AC182,AU$3=$AE182),"",IF(AU$3=$AD182,$F182&amp;"R",AU181))))</f>
        <v>wP</v>
      </c>
      <c r="AV182" s="11" t="str">
        <f aca="false">IF($P182=0,AV181,IF(AV$3=$E182,IF($AA182=1,$F182&amp;$AB182,$G182),IF(OR(AV$3=$D182,AV$3=$AC182,AV$3=$AE182),"",IF(AV$3=$AD182,$F182&amp;"R",AV181))))</f>
        <v>wP</v>
      </c>
      <c r="AW182" s="11" t="str">
        <f aca="false">IF($P182=0,AW181,IF(AW$3=$E182,IF($AA182=1,$F182&amp;$AB182,$G182),IF(OR(AW$3=$D182,AW$3=$AC182,AW$3=$AE182),"",IF(AW$3=$AD182,$F182&amp;"R",AW181))))</f>
        <v>wP</v>
      </c>
      <c r="AX182" s="11" t="str">
        <f aca="false">IF($P182=0,AX181,IF(AX$3=$E182,IF($AA182=1,$F182&amp;$AB182,$G182),IF(OR(AX$3=$D182,AX$3=$AC182,AX$3=$AE182),"",IF(AX$3=$AD182,$F182&amp;"R",AX181))))</f>
        <v/>
      </c>
      <c r="AY182" s="11" t="str">
        <f aca="false">IF($P182=0,AY181,IF(AY$3=$E182,IF($AA182=1,$F182&amp;$AB182,$G182),IF(OR(AY$3=$D182,AY$3=$AC182,AY$3=$AE182),"",IF(AY$3=$AD182,$F182&amp;"R",AY181))))</f>
        <v/>
      </c>
      <c r="AZ182" s="11" t="str">
        <f aca="false">IF($P182=0,AZ181,IF(AZ$3=$E182,IF($AA182=1,$F182&amp;$AB182,$G182),IF(OR(AZ$3=$D182,AZ$3=$AC182,AZ$3=$AE182),"",IF(AZ$3=$AD182,$F182&amp;"R",AZ181))))</f>
        <v/>
      </c>
      <c r="BA182" s="11" t="str">
        <f aca="false">IF($P182=0,BA181,IF(BA$3=$E182,IF($AA182=1,$F182&amp;$AB182,$G182),IF(OR(BA$3=$D182,BA$3=$AC182,BA$3=$AE182),"",IF(BA$3=$AD182,$F182&amp;"R",BA181))))</f>
        <v/>
      </c>
      <c r="BB182" s="11" t="str">
        <f aca="false">IF($P182=0,BB181,IF(BB$3=$E182,IF($AA182=1,$F182&amp;$AB182,$G182),IF(OR(BB$3=$D182,BB$3=$AC182,BB$3=$AE182),"",IF(BB$3=$AD182,$F182&amp;"R",BB181))))</f>
        <v/>
      </c>
      <c r="BC182" s="11" t="str">
        <f aca="false">IF($P182=0,BC181,IF(BC$3=$E182,IF($AA182=1,$F182&amp;$AB182,$G182),IF(OR(BC$3=$D182,BC$3=$AC182,BC$3=$AE182),"",IF(BC$3=$AD182,$F182&amp;"R",BC181))))</f>
        <v/>
      </c>
      <c r="BD182" s="11" t="str">
        <f aca="false">IF($P182=0,BD181,IF(BD$3=$E182,IF($AA182=1,$F182&amp;$AB182,$G182),IF(OR(BD$3=$D182,BD$3=$AC182,BD$3=$AE182),"",IF(BD$3=$AD182,$F182&amp;"R",BD181))))</f>
        <v/>
      </c>
      <c r="BE182" s="11" t="str">
        <f aca="false">IF($P182=0,BE181,IF(BE$3=$E182,IF($AA182=1,$F182&amp;$AB182,$G182),IF(OR(BE$3=$D182,BE$3=$AC182,BE$3=$AE182),"",IF(BE$3=$AD182,$F182&amp;"R",BE181))))</f>
        <v/>
      </c>
      <c r="BF182" s="11" t="str">
        <f aca="false">IF($P182=0,BF181,IF(BF$3=$E182,IF($AA182=1,$F182&amp;$AB182,$G182),IF(OR(BF$3=$D182,BF$3=$AC182,BF$3=$AE182),"",IF(BF$3=$AD182,$F182&amp;"R",BF181))))</f>
        <v/>
      </c>
      <c r="BG182" s="11" t="str">
        <f aca="false">IF($P182=0,BG181,IF(BG$3=$E182,IF($AA182=1,$F182&amp;$AB182,$G182),IF(OR(BG$3=$D182,BG$3=$AC182,BG$3=$AE182),"",IF(BG$3=$AD182,$F182&amp;"R",BG181))))</f>
        <v/>
      </c>
      <c r="BH182" s="11" t="str">
        <f aca="false">IF($P182=0,BH181,IF(BH$3=$E182,IF($AA182=1,$F182&amp;$AB182,$G182),IF(OR(BH$3=$D182,BH$3=$AC182,BH$3=$AE182),"",IF(BH$3=$AD182,$F182&amp;"R",BH181))))</f>
        <v/>
      </c>
      <c r="BI182" s="11" t="str">
        <f aca="false">IF($P182=0,BI181,IF(BI$3=$E182,IF($AA182=1,$F182&amp;$AB182,$G182),IF(OR(BI$3=$D182,BI$3=$AC182,BI$3=$AE182),"",IF(BI$3=$AD182,$F182&amp;"R",BI181))))</f>
        <v/>
      </c>
      <c r="BJ182" s="11" t="str">
        <f aca="false">IF($P182=0,BJ181,IF(BJ$3=$E182,IF($AA182=1,$F182&amp;$AB182,$G182),IF(OR(BJ$3=$D182,BJ$3=$AC182,BJ$3=$AE182),"",IF(BJ$3=$AD182,$F182&amp;"R",BJ181))))</f>
        <v/>
      </c>
      <c r="BK182" s="11" t="str">
        <f aca="false">IF($P182=0,BK181,IF(BK$3=$E182,IF($AA182=1,$F182&amp;$AB182,$G182),IF(OR(BK$3=$D182,BK$3=$AC182,BK$3=$AE182),"",IF(BK$3=$AD182,$F182&amp;"R",BK181))))</f>
        <v/>
      </c>
      <c r="BL182" s="11" t="str">
        <f aca="false">IF($P182=0,BL181,IF(BL$3=$E182,IF($AA182=1,$F182&amp;$AB182,$G182),IF(OR(BL$3=$D182,BL$3=$AC182,BL$3=$AE182),"",IF(BL$3=$AD182,$F182&amp;"R",BL181))))</f>
        <v/>
      </c>
      <c r="BM182" s="11" t="str">
        <f aca="false">IF($P182=0,BM181,IF(BM$3=$E182,IF($AA182=1,$F182&amp;$AB182,$G182),IF(OR(BM$3=$D182,BM$3=$AC182,BM$3=$AE182),"",IF(BM$3=$AD182,$F182&amp;"R",BM181))))</f>
        <v/>
      </c>
      <c r="BN182" s="11" t="str">
        <f aca="false">IF($P182=0,BN181,IF(BN$3=$E182,IF($AA182=1,$F182&amp;$AB182,$G182),IF(OR(BN$3=$D182,BN$3=$AC182,BN$3=$AE182),"",IF(BN$3=$AD182,$F182&amp;"R",BN181))))</f>
        <v/>
      </c>
      <c r="BO182" s="11" t="str">
        <f aca="false">IF($P182=0,BO181,IF(BO$3=$E182,IF($AA182=1,$F182&amp;$AB182,$G182),IF(OR(BO$3=$D182,BO$3=$AC182,BO$3=$AE182),"",IF(BO$3=$AD182,$F182&amp;"R",BO181))))</f>
        <v/>
      </c>
      <c r="BP182" s="11" t="str">
        <f aca="false">IF($P182=0,BP181,IF(BP$3=$E182,IF($AA182=1,$F182&amp;$AB182,$G182),IF(OR(BP$3=$D182,BP$3=$AC182,BP$3=$AE182),"",IF(BP$3=$AD182,$F182&amp;"R",BP181))))</f>
        <v/>
      </c>
      <c r="BQ182" s="11" t="str">
        <f aca="false">IF($P182=0,BQ181,IF(BQ$3=$E182,IF($AA182=1,$F182&amp;$AB182,$G182),IF(OR(BQ$3=$D182,BQ$3=$AC182,BQ$3=$AE182),"",IF(BQ$3=$AD182,$F182&amp;"R",BQ181))))</f>
        <v/>
      </c>
      <c r="BR182" s="11" t="str">
        <f aca="false">IF($P182=0,BR181,IF(BR$3=$E182,IF($AA182=1,$F182&amp;$AB182,$G182),IF(OR(BR$3=$D182,BR$3=$AC182,BR$3=$AE182),"",IF(BR$3=$AD182,$F182&amp;"R",BR181))))</f>
        <v/>
      </c>
      <c r="BS182" s="11" t="str">
        <f aca="false">IF($P182=0,BS181,IF(BS$3=$E182,IF($AA182=1,$F182&amp;$AB182,$G182),IF(OR(BS$3=$D182,BS$3=$AC182,BS$3=$AE182),"",IF(BS$3=$AD182,$F182&amp;"R",BS181))))</f>
        <v/>
      </c>
      <c r="BT182" s="11" t="str">
        <f aca="false">IF($P182=0,BT181,IF(BT$3=$E182,IF($AA182=1,$F182&amp;$AB182,$G182),IF(OR(BT$3=$D182,BT$3=$AC182,BT$3=$AE182),"",IF(BT$3=$AD182,$F182&amp;"R",BT181))))</f>
        <v/>
      </c>
      <c r="BU182" s="11" t="str">
        <f aca="false">IF($P182=0,BU181,IF(BU$3=$E182,IF($AA182=1,$F182&amp;$AB182,$G182),IF(OR(BU$3=$D182,BU$3=$AC182,BU$3=$AE182),"",IF(BU$3=$AD182,$F182&amp;"R",BU181))))</f>
        <v/>
      </c>
      <c r="BV182" s="11" t="str">
        <f aca="false">IF($P182=0,BV181,IF(BV$3=$E182,IF($AA182=1,$F182&amp;$AB182,$G182),IF(OR(BV$3=$D182,BV$3=$AC182,BV$3=$AE182),"",IF(BV$3=$AD182,$F182&amp;"R",BV181))))</f>
        <v/>
      </c>
      <c r="BW182" s="11" t="str">
        <f aca="false">IF($P182=0,BW181,IF(BW$3=$E182,IF($AA182=1,$F182&amp;$AB182,$G182),IF(OR(BW$3=$D182,BW$3=$AC182,BW$3=$AE182),"",IF(BW$3=$AD182,$F182&amp;"R",BW181))))</f>
        <v/>
      </c>
      <c r="BX182" s="11" t="str">
        <f aca="false">IF($P182=0,BX181,IF(BX$3=$E182,IF($AA182=1,$F182&amp;$AB182,$G182),IF(OR(BX$3=$D182,BX$3=$AC182,BX$3=$AE182),"",IF(BX$3=$AD182,$F182&amp;"R",BX181))))</f>
        <v/>
      </c>
      <c r="BY182" s="11" t="str">
        <f aca="false">IF($P182=0,BY181,IF(BY$3=$E182,IF($AA182=1,$F182&amp;$AB182,$G182),IF(OR(BY$3=$D182,BY$3=$AC182,BY$3=$AE182),"",IF(BY$3=$AD182,$F182&amp;"R",BY181))))</f>
        <v/>
      </c>
      <c r="BZ182" s="11" t="str">
        <f aca="false">IF($P182=0,BZ181,IF(BZ$3=$E182,IF($AA182=1,$F182&amp;$AB182,$G182),IF(OR(BZ$3=$D182,BZ$3=$AC182,BZ$3=$AE182),"",IF(BZ$3=$AD182,$F182&amp;"R",BZ181))))</f>
        <v/>
      </c>
      <c r="CA182" s="11" t="str">
        <f aca="false">IF($P182=0,CA181,IF(CA$3=$E182,IF($AA182=1,$F182&amp;$AB182,$G182),IF(OR(CA$3=$D182,CA$3=$AC182,CA$3=$AE182),"",IF(CA$3=$AD182,$F182&amp;"R",CA181))))</f>
        <v/>
      </c>
      <c r="CB182" s="11" t="str">
        <f aca="false">IF($P182=0,CB181,IF(CB$3=$E182,IF($AA182=1,$F182&amp;$AB182,$G182),IF(OR(CB$3=$D182,CB$3=$AC182,CB$3=$AE182),"",IF(CB$3=$AD182,$F182&amp;"R",CB181))))</f>
        <v/>
      </c>
      <c r="CC182" s="11" t="str">
        <f aca="false">IF($P182=0,CC181,IF(CC$3=$E182,IF($AA182=1,$F182&amp;$AB182,$G182),IF(OR(CC$3=$D182,CC$3=$AC182,CC$3=$AE182),"",IF(CC$3=$AD182,$F182&amp;"R",CC181))))</f>
        <v/>
      </c>
      <c r="CD182" s="11" t="str">
        <f aca="false">IF($P182=0,CD181,IF(CD$3=$E182,IF($AA182=1,$F182&amp;$AB182,$G182),IF(OR(CD$3=$D182,CD$3=$AC182,CD$3=$AE182),"",IF(CD$3=$AD182,$F182&amp;"R",CD181))))</f>
        <v>bP</v>
      </c>
      <c r="CE182" s="11" t="str">
        <f aca="false">IF($P182=0,CE181,IF(CE$3=$E182,IF($AA182=1,$F182&amp;$AB182,$G182),IF(OR(CE$3=$D182,CE$3=$AC182,CE$3=$AE182),"",IF(CE$3=$AD182,$F182&amp;"R",CE181))))</f>
        <v>bP</v>
      </c>
      <c r="CF182" s="11" t="str">
        <f aca="false">IF($P182=0,CF181,IF(CF$3=$E182,IF($AA182=1,$F182&amp;$AB182,$G182),IF(OR(CF$3=$D182,CF$3=$AC182,CF$3=$AE182),"",IF(CF$3=$AD182,$F182&amp;"R",CF181))))</f>
        <v>bP</v>
      </c>
      <c r="CG182" s="11" t="str">
        <f aca="false">IF($P182=0,CG181,IF(CG$3=$E182,IF($AA182=1,$F182&amp;$AB182,$G182),IF(OR(CG$3=$D182,CG$3=$AC182,CG$3=$AE182),"",IF(CG$3=$AD182,$F182&amp;"R",CG181))))</f>
        <v>bP</v>
      </c>
      <c r="CH182" s="11" t="str">
        <f aca="false">IF($P182=0,CH181,IF(CH$3=$E182,IF($AA182=1,$F182&amp;$AB182,$G182),IF(OR(CH$3=$D182,CH$3=$AC182,CH$3=$AE182),"",IF(CH$3=$AD182,$F182&amp;"R",CH181))))</f>
        <v>bP</v>
      </c>
      <c r="CI182" s="11" t="str">
        <f aca="false">IF($P182=0,CI181,IF(CI$3=$E182,IF($AA182=1,$F182&amp;$AB182,$G182),IF(OR(CI$3=$D182,CI$3=$AC182,CI$3=$AE182),"",IF(CI$3=$AD182,$F182&amp;"R",CI181))))</f>
        <v>bP</v>
      </c>
      <c r="CJ182" s="11" t="str">
        <f aca="false">IF($P182=0,CJ181,IF(CJ$3=$E182,IF($AA182=1,$F182&amp;$AB182,$G182),IF(OR(CJ$3=$D182,CJ$3=$AC182,CJ$3=$AE182),"",IF(CJ$3=$AD182,$F182&amp;"R",CJ181))))</f>
        <v>bP</v>
      </c>
      <c r="CK182" s="11" t="str">
        <f aca="false">IF($P182=0,CK181,IF(CK$3=$E182,IF($AA182=1,$F182&amp;$AB182,$G182),IF(OR(CK$3=$D182,CK$3=$AC182,CK$3=$AE182),"",IF(CK$3=$AD182,$F182&amp;"R",CK181))))</f>
        <v>bP</v>
      </c>
      <c r="CL182" s="11" t="str">
        <f aca="false">IF($P182=0,CL181,IF(CL$3=$E182,IF($AA182=1,$F182&amp;$AB182,$G182),IF(OR(CL$3=$D182,CL$3=$AC182,CL$3=$AE182),"",IF(CL$3=$AD182,$F182&amp;"R",CL181))))</f>
        <v>bR</v>
      </c>
      <c r="CM182" s="11" t="str">
        <f aca="false">IF($P182=0,CM181,IF(CM$3=$E182,IF($AA182=1,$F182&amp;$AB182,$G182),IF(OR(CM$3=$D182,CM$3=$AC182,CM$3=$AE182),"",IF(CM$3=$AD182,$F182&amp;"R",CM181))))</f>
        <v>bN</v>
      </c>
      <c r="CN182" s="11" t="str">
        <f aca="false">IF($P182=0,CN181,IF(CN$3=$E182,IF($AA182=1,$F182&amp;$AB182,$G182),IF(OR(CN$3=$D182,CN$3=$AC182,CN$3=$AE182),"",IF(CN$3=$AD182,$F182&amp;"R",CN181))))</f>
        <v>bB</v>
      </c>
      <c r="CO182" s="11" t="str">
        <f aca="false">IF($P182=0,CO181,IF(CO$3=$E182,IF($AA182=1,$F182&amp;$AB182,$G182),IF(OR(CO$3=$D182,CO$3=$AC182,CO$3=$AE182),"",IF(CO$3=$AD182,$F182&amp;"R",CO181))))</f>
        <v>bQ</v>
      </c>
      <c r="CP182" s="11" t="str">
        <f aca="false">IF($P182=0,CP181,IF(CP$3=$E182,IF($AA182=1,$F182&amp;$AB182,$G182),IF(OR(CP$3=$D182,CP$3=$AC182,CP$3=$AE182),"",IF(CP$3=$AD182,$F182&amp;"R",CP181))))</f>
        <v>bK</v>
      </c>
      <c r="CQ182" s="11" t="str">
        <f aca="false">IF($P182=0,CQ181,IF(CQ$3=$E182,IF($AA182=1,$F182&amp;$AB182,$G182),IF(OR(CQ$3=$D182,CQ$3=$AC182,CQ$3=$AE182),"",IF(CQ$3=$AD182,$F182&amp;"R",CQ181))))</f>
        <v>bB</v>
      </c>
      <c r="CR182" s="11" t="str">
        <f aca="false">IF($P182=0,CR181,IF(CR$3=$E182,IF($AA182=1,$F182&amp;$AB182,$G182),IF(OR(CR$3=$D182,CR$3=$AC182,CR$3=$AE182),"",IF(CR$3=$AD182,$F182&amp;"R",CR181))))</f>
        <v>bN</v>
      </c>
      <c r="CS182" s="11" t="str">
        <f aca="false">IF($P182=0,CS181,IF(CS$3=$E182,IF($AA182=1,$F182&amp;$AB182,$G182),IF(OR(CS$3=$D182,CS$3=$AC182,CS$3=$AE182),"",IF(CS$3=$AD182,$F182&amp;"R",CS181))))</f>
        <v>bR</v>
      </c>
      <c r="CT182" s="11"/>
      <c r="CU182" s="11"/>
      <c r="CV182" s="11"/>
    </row>
    <row r="183" customFormat="false" ht="15" hidden="false" customHeight="false" outlineLevel="0" collapsed="false">
      <c r="A183" s="11" t="n">
        <v>178</v>
      </c>
      <c r="B183" s="11" t="str">
        <f aca="false">IF(Chess!$L$187="","",Chess!$L$187&amp;"")</f>
        <v/>
      </c>
      <c r="C183" s="11" t="str">
        <f aca="false">LOWER(SUBSTITUTE(SUBSTITUTE(SUBSTITUTE(SUBSTITUTE(TRIM($B183),"-",""),"=","")," ",""),"x",""))</f>
        <v/>
      </c>
      <c r="D183" s="11" t="n">
        <f aca="false">IF(LEN($C183)&lt;4,0,IFERROR(IF(AND(CODE(MID($C183,1,1))&gt;=97,CODE(MID($C183,1,1))&lt;=104,VALUE(MID($C183,2,1))&gt;=1,VALUE(MID($C183,2,1))&lt;=8),(VALUE(MID($C183,2,1))-1)*8+CODE(MID($C183,1,1))-96,0),0))</f>
        <v>0</v>
      </c>
      <c r="E183" s="11" t="n">
        <f aca="false">IF(LEN($C183)&lt;4,0,IFERROR(IF(AND(CODE(MID($C183,3,1))&gt;=97,CODE(MID($C183,3,1))&lt;=104,VALUE(MID($C183,4,1))&gt;=1,VALUE(MID($C183,4,1))&lt;=8),(VALUE(MID($C183,4,1))-1)*8+CODE(MID($C183,3,1))-96,0),0))</f>
        <v>0</v>
      </c>
      <c r="F183" s="11" t="str">
        <f aca="false">IF(MOD(SUM($P$5:$P182),2)=0,"w","b")</f>
        <v>w</v>
      </c>
      <c r="G183" s="11" t="str">
        <f aca="false">IF($D183=0,"",INDEX($AH182:$CS182,1,$D183)&amp;"")</f>
        <v/>
      </c>
      <c r="H183" s="11" t="str">
        <f aca="false">IF($E183=0,"",INDEX($AH182:$CS182,1,$E183)&amp;"")</f>
        <v/>
      </c>
      <c r="I183" s="11" t="n">
        <f aca="false">IF(OR($D183=0,$E183=0),0,MOD($E183-1,8)-MOD($D183-1,8))</f>
        <v>0</v>
      </c>
      <c r="J183" s="11" t="n">
        <f aca="false">IF(OR($D183=0,$E183=0),0,INT(($E183-1)/8)-INT(($D183-1)/8))</f>
        <v>0</v>
      </c>
      <c r="K183" s="11" t="str">
        <f aca="false">IF($G183="","",RIGHT($G183,1))</f>
        <v/>
      </c>
      <c r="L183" s="11" t="n">
        <f aca="false">IF(OR($D183=0,$E183=0),0,SUMPRODUCT(($AH$3:$CS$3&gt;MIN($D183,$E183))*($AH$3:$CS$3&lt;MAX($D183,$E183))*(MOD($AH$3:$CS$3-MIN($D183,$E183),MAX(1,ABS(SIGN($J183)*8+SIGN($I183))))=0)*($AH182:$CS182&lt;&gt;"")))</f>
        <v>0</v>
      </c>
      <c r="M183" s="11" t="n">
        <f aca="false">IF($K183&lt;&gt;"K",0,IFERROR(--AND($J183=0,ABS($I183)=2,$D183=IF($F183="w",5,61),IF($F183="w",$S182,$V182)=0,IF($I183=2,AND(IF($F183="w",$U182,$X182)=0,INDEX($AH182:$CS182,1,$D183+1)&amp;""="",INDEX($AH182:$CS182,1,$D183+2)&amp;""=""),AND(IF($F183="w",$T182,$W182)=0,INDEX($AH182:$CS182,1,$D183-1)&amp;""="",INDEX($AH182:$CS182,1,$D183-2)&amp;""="",INDEX($AH182:$CS182,1,$D183-3)&amp;""=""))),0))</f>
        <v>0</v>
      </c>
      <c r="N183" s="11" t="n">
        <f aca="false">IF($K183&lt;&gt;"P",0,IFERROR(--OR(AND($I183=0,$J183=IF($F183="w",1,-1),$H183=""),AND($I183=0,$J183=2*IF($F183="w",1,-1),$H183="",INT(($D183-1)/8)=IF($F183="w",1,6),INDEX($AH182:$CS182,1,MAX(1,MIN(64,$D183+8*IF($F183="w",1,-1))))&amp;""=""),AND(ABS($I183)=1,$J183=IF($F183="w",1,-1),$H183&lt;&gt;""),AND(ABS($I183)=1,$J183=IF($F183="w",1,-1),$H183="",$R182&gt;0,$E183=$R182)),0))</f>
        <v>0</v>
      </c>
      <c r="O183" s="11" t="n">
        <f aca="false">IF(OR($D183=0,$E183=0,$G183=""),0,IF($K183="N",--OR(AND(ABS($I183)=1,ABS($J183)=2),AND(ABS($I183)=2,ABS($J183)=1)),IF($K183="B",--AND(ABS($I183)=ABS($J183),$I183&lt;&gt;0,$L183=0),IF($K183="R",--AND(OR($I183=0,$J183=0),OR($I183&lt;&gt;0,$J183&lt;&gt;0),$L183=0),IF($K183="Q",--AND(OR(AND(ABS($I183)=ABS($J183),$I183&lt;&gt;0),AND(OR($I183=0,$J183=0),OR($I183&lt;&gt;0,$J183&lt;&gt;0))),$L183=0),IF($K183="K",--OR(MAX(ABS($I183),ABS($J183))=1,$M183=1),$N183))))))</f>
        <v>0</v>
      </c>
      <c r="P183" s="11" t="n">
        <f aca="false">IF($Q183="OK",1,0)</f>
        <v>0</v>
      </c>
      <c r="Q183" s="11" t="str">
        <f aca="false">IF($B183="","",IF(OR(COUNTIF($AH182:$CS182,"wK")=0,COUNTIF($AH182:$CS182,"bK")=0),"Game is over",IF(OR($D183=0,$E183=0),"Use the format e2e4",IF($G183="","No piece on that square",IF(LEFT($G183,1)&lt;&gt;$F183,"Not your piece ("&amp;IF($F183="w","White","Black")&amp;" to move)",IF($D183=$E183,"Piece must move",IF(AND($H183&lt;&gt;"",LEFT($H183,1)=$F183),"Cannot capture your own piece",IF($O183=0,"Illegal move for that piece (or path blocked)","OK"))))))))</f>
        <v/>
      </c>
      <c r="R183" s="11" t="n">
        <f aca="false">IF($P183=1,IF(AND($K183="P",ABS($J183)=2),($D183+$E183)/2,0),$R182)</f>
        <v>0</v>
      </c>
      <c r="S183" s="12" t="b">
        <f aca="false">--OR($S182=1,AND($P183=1,OR($D183=5,$E183=5)))</f>
        <v>0</v>
      </c>
      <c r="T183" s="12" t="b">
        <f aca="false">--OR($T182=1,AND($P183=1,OR($D183=1,$E183=1)))</f>
        <v>0</v>
      </c>
      <c r="U183" s="12" t="b">
        <f aca="false">--OR($U182=1,AND($P183=1,OR($D183=8,$E183=8)))</f>
        <v>0</v>
      </c>
      <c r="V183" s="12" t="b">
        <f aca="false">--OR($V182=1,AND($P183=1,OR($D183=61,$E183=61)))</f>
        <v>0</v>
      </c>
      <c r="W183" s="12" t="b">
        <f aca="false">--OR($W182=1,AND($P183=1,OR($D183=57,$E183=57)))</f>
        <v>0</v>
      </c>
      <c r="X183" s="12" t="b">
        <f aca="false">--OR($X182=1,AND($P183=1,OR($D183=64,$E183=64)))</f>
        <v>0</v>
      </c>
      <c r="Y183" s="12" t="b">
        <f aca="false">--AND($P183=1,$K183="K",ABS($I183)=2)</f>
        <v>0</v>
      </c>
      <c r="Z183" s="12" t="b">
        <f aca="false">--AND($P183=1,$K183="P",ABS($I183)=1,$H183="")</f>
        <v>0</v>
      </c>
      <c r="AA183" s="12" t="b">
        <f aca="false">--AND($P183=1,$K183="P",INT(($E183-1)/8)=IF($F183="w",7,0))</f>
        <v>0</v>
      </c>
      <c r="AB183" s="11" t="str">
        <f aca="false">IF(LEN($C183)&gt;=5,IF(ISNUMBER(FIND(MID($C183,5,1),"qrbn")),UPPER(MID($C183,5,1)),"Q"),"Q")</f>
        <v>Q</v>
      </c>
      <c r="AC183" s="11" t="n">
        <f aca="false">IF($Y183=1,IF($I183=2,$D183+3,$D183-4),0)</f>
        <v>0</v>
      </c>
      <c r="AD183" s="11" t="n">
        <f aca="false">IF($Y183=1,IF($I183=2,$D183+1,$D183-1),0)</f>
        <v>0</v>
      </c>
      <c r="AE183" s="11" t="n">
        <f aca="false">IF($Z183=1,$E183-8*IF($F183="w",1,-1),0)</f>
        <v>0</v>
      </c>
      <c r="AF183" s="11" t="str">
        <f aca="false">IF($B183="","",IF($P183=1,LOWER(INDEX($CV$2:$CV$13,MATCH($G183,$CU$2:$CU$13,0)))&amp;" "&amp;MID("abcdefgh",MOD($D183-1,8)+1,1)&amp;(INT(($D183-1)/8)+1)&amp;"→"&amp;MID("abcdefgh",MOD($E183-1,8)+1,1)&amp;(INT(($E183-1)/8)+1)&amp;IF(OR($H183&lt;&gt;"",$Z183=1)," ×","")&amp;IF($Y183=1," castles","")&amp;IF($Z183=1," e.p.","")&amp;IF($AA183=1," =" &amp;LOWER(INDEX($CV$2:$CV$13,MATCH($F183&amp;$AB183,$CU$2:$CU$13,0))),""),"X "&amp;$Q183))</f>
        <v/>
      </c>
      <c r="AG183" s="11"/>
      <c r="AH183" s="11" t="str">
        <f aca="false">IF($P183=0,AH182,IF(AH$3=$E183,IF($AA183=1,$F183&amp;$AB183,$G183),IF(OR(AH$3=$D183,AH$3=$AC183,AH$3=$AE183),"",IF(AH$3=$AD183,$F183&amp;"R",AH182))))</f>
        <v>wR</v>
      </c>
      <c r="AI183" s="11" t="str">
        <f aca="false">IF($P183=0,AI182,IF(AI$3=$E183,IF($AA183=1,$F183&amp;$AB183,$G183),IF(OR(AI$3=$D183,AI$3=$AC183,AI$3=$AE183),"",IF(AI$3=$AD183,$F183&amp;"R",AI182))))</f>
        <v>wN</v>
      </c>
      <c r="AJ183" s="11" t="str">
        <f aca="false">IF($P183=0,AJ182,IF(AJ$3=$E183,IF($AA183=1,$F183&amp;$AB183,$G183),IF(OR(AJ$3=$D183,AJ$3=$AC183,AJ$3=$AE183),"",IF(AJ$3=$AD183,$F183&amp;"R",AJ182))))</f>
        <v>wB</v>
      </c>
      <c r="AK183" s="11" t="str">
        <f aca="false">IF($P183=0,AK182,IF(AK$3=$E183,IF($AA183=1,$F183&amp;$AB183,$G183),IF(OR(AK$3=$D183,AK$3=$AC183,AK$3=$AE183),"",IF(AK$3=$AD183,$F183&amp;"R",AK182))))</f>
        <v>wQ</v>
      </c>
      <c r="AL183" s="11" t="str">
        <f aca="false">IF($P183=0,AL182,IF(AL$3=$E183,IF($AA183=1,$F183&amp;$AB183,$G183),IF(OR(AL$3=$D183,AL$3=$AC183,AL$3=$AE183),"",IF(AL$3=$AD183,$F183&amp;"R",AL182))))</f>
        <v>wK</v>
      </c>
      <c r="AM183" s="11" t="str">
        <f aca="false">IF($P183=0,AM182,IF(AM$3=$E183,IF($AA183=1,$F183&amp;$AB183,$G183),IF(OR(AM$3=$D183,AM$3=$AC183,AM$3=$AE183),"",IF(AM$3=$AD183,$F183&amp;"R",AM182))))</f>
        <v>wB</v>
      </c>
      <c r="AN183" s="11" t="str">
        <f aca="false">IF($P183=0,AN182,IF(AN$3=$E183,IF($AA183=1,$F183&amp;$AB183,$G183),IF(OR(AN$3=$D183,AN$3=$AC183,AN$3=$AE183),"",IF(AN$3=$AD183,$F183&amp;"R",AN182))))</f>
        <v>wN</v>
      </c>
      <c r="AO183" s="11" t="str">
        <f aca="false">IF($P183=0,AO182,IF(AO$3=$E183,IF($AA183=1,$F183&amp;$AB183,$G183),IF(OR(AO$3=$D183,AO$3=$AC183,AO$3=$AE183),"",IF(AO$3=$AD183,$F183&amp;"R",AO182))))</f>
        <v>wR</v>
      </c>
      <c r="AP183" s="11" t="str">
        <f aca="false">IF($P183=0,AP182,IF(AP$3=$E183,IF($AA183=1,$F183&amp;$AB183,$G183),IF(OR(AP$3=$D183,AP$3=$AC183,AP$3=$AE183),"",IF(AP$3=$AD183,$F183&amp;"R",AP182))))</f>
        <v>wP</v>
      </c>
      <c r="AQ183" s="11" t="str">
        <f aca="false">IF($P183=0,AQ182,IF(AQ$3=$E183,IF($AA183=1,$F183&amp;$AB183,$G183),IF(OR(AQ$3=$D183,AQ$3=$AC183,AQ$3=$AE183),"",IF(AQ$3=$AD183,$F183&amp;"R",AQ182))))</f>
        <v>wP</v>
      </c>
      <c r="AR183" s="11" t="str">
        <f aca="false">IF($P183=0,AR182,IF(AR$3=$E183,IF($AA183=1,$F183&amp;$AB183,$G183),IF(OR(AR$3=$D183,AR$3=$AC183,AR$3=$AE183),"",IF(AR$3=$AD183,$F183&amp;"R",AR182))))</f>
        <v>wP</v>
      </c>
      <c r="AS183" s="11" t="str">
        <f aca="false">IF($P183=0,AS182,IF(AS$3=$E183,IF($AA183=1,$F183&amp;$AB183,$G183),IF(OR(AS$3=$D183,AS$3=$AC183,AS$3=$AE183),"",IF(AS$3=$AD183,$F183&amp;"R",AS182))))</f>
        <v>wP</v>
      </c>
      <c r="AT183" s="11" t="str">
        <f aca="false">IF($P183=0,AT182,IF(AT$3=$E183,IF($AA183=1,$F183&amp;$AB183,$G183),IF(OR(AT$3=$D183,AT$3=$AC183,AT$3=$AE183),"",IF(AT$3=$AD183,$F183&amp;"R",AT182))))</f>
        <v>wP</v>
      </c>
      <c r="AU183" s="11" t="str">
        <f aca="false">IF($P183=0,AU182,IF(AU$3=$E183,IF($AA183=1,$F183&amp;$AB183,$G183),IF(OR(AU$3=$D183,AU$3=$AC183,AU$3=$AE183),"",IF(AU$3=$AD183,$F183&amp;"R",AU182))))</f>
        <v>wP</v>
      </c>
      <c r="AV183" s="11" t="str">
        <f aca="false">IF($P183=0,AV182,IF(AV$3=$E183,IF($AA183=1,$F183&amp;$AB183,$G183),IF(OR(AV$3=$D183,AV$3=$AC183,AV$3=$AE183),"",IF(AV$3=$AD183,$F183&amp;"R",AV182))))</f>
        <v>wP</v>
      </c>
      <c r="AW183" s="11" t="str">
        <f aca="false">IF($P183=0,AW182,IF(AW$3=$E183,IF($AA183=1,$F183&amp;$AB183,$G183),IF(OR(AW$3=$D183,AW$3=$AC183,AW$3=$AE183),"",IF(AW$3=$AD183,$F183&amp;"R",AW182))))</f>
        <v>wP</v>
      </c>
      <c r="AX183" s="11" t="str">
        <f aca="false">IF($P183=0,AX182,IF(AX$3=$E183,IF($AA183=1,$F183&amp;$AB183,$G183),IF(OR(AX$3=$D183,AX$3=$AC183,AX$3=$AE183),"",IF(AX$3=$AD183,$F183&amp;"R",AX182))))</f>
        <v/>
      </c>
      <c r="AY183" s="11" t="str">
        <f aca="false">IF($P183=0,AY182,IF(AY$3=$E183,IF($AA183=1,$F183&amp;$AB183,$G183),IF(OR(AY$3=$D183,AY$3=$AC183,AY$3=$AE183),"",IF(AY$3=$AD183,$F183&amp;"R",AY182))))</f>
        <v/>
      </c>
      <c r="AZ183" s="11" t="str">
        <f aca="false">IF($P183=0,AZ182,IF(AZ$3=$E183,IF($AA183=1,$F183&amp;$AB183,$G183),IF(OR(AZ$3=$D183,AZ$3=$AC183,AZ$3=$AE183),"",IF(AZ$3=$AD183,$F183&amp;"R",AZ182))))</f>
        <v/>
      </c>
      <c r="BA183" s="11" t="str">
        <f aca="false">IF($P183=0,BA182,IF(BA$3=$E183,IF($AA183=1,$F183&amp;$AB183,$G183),IF(OR(BA$3=$D183,BA$3=$AC183,BA$3=$AE183),"",IF(BA$3=$AD183,$F183&amp;"R",BA182))))</f>
        <v/>
      </c>
      <c r="BB183" s="11" t="str">
        <f aca="false">IF($P183=0,BB182,IF(BB$3=$E183,IF($AA183=1,$F183&amp;$AB183,$G183),IF(OR(BB$3=$D183,BB$3=$AC183,BB$3=$AE183),"",IF(BB$3=$AD183,$F183&amp;"R",BB182))))</f>
        <v/>
      </c>
      <c r="BC183" s="11" t="str">
        <f aca="false">IF($P183=0,BC182,IF(BC$3=$E183,IF($AA183=1,$F183&amp;$AB183,$G183),IF(OR(BC$3=$D183,BC$3=$AC183,BC$3=$AE183),"",IF(BC$3=$AD183,$F183&amp;"R",BC182))))</f>
        <v/>
      </c>
      <c r="BD183" s="11" t="str">
        <f aca="false">IF($P183=0,BD182,IF(BD$3=$E183,IF($AA183=1,$F183&amp;$AB183,$G183),IF(OR(BD$3=$D183,BD$3=$AC183,BD$3=$AE183),"",IF(BD$3=$AD183,$F183&amp;"R",BD182))))</f>
        <v/>
      </c>
      <c r="BE183" s="11" t="str">
        <f aca="false">IF($P183=0,BE182,IF(BE$3=$E183,IF($AA183=1,$F183&amp;$AB183,$G183),IF(OR(BE$3=$D183,BE$3=$AC183,BE$3=$AE183),"",IF(BE$3=$AD183,$F183&amp;"R",BE182))))</f>
        <v/>
      </c>
      <c r="BF183" s="11" t="str">
        <f aca="false">IF($P183=0,BF182,IF(BF$3=$E183,IF($AA183=1,$F183&amp;$AB183,$G183),IF(OR(BF$3=$D183,BF$3=$AC183,BF$3=$AE183),"",IF(BF$3=$AD183,$F183&amp;"R",BF182))))</f>
        <v/>
      </c>
      <c r="BG183" s="11" t="str">
        <f aca="false">IF($P183=0,BG182,IF(BG$3=$E183,IF($AA183=1,$F183&amp;$AB183,$G183),IF(OR(BG$3=$D183,BG$3=$AC183,BG$3=$AE183),"",IF(BG$3=$AD183,$F183&amp;"R",BG182))))</f>
        <v/>
      </c>
      <c r="BH183" s="11" t="str">
        <f aca="false">IF($P183=0,BH182,IF(BH$3=$E183,IF($AA183=1,$F183&amp;$AB183,$G183),IF(OR(BH$3=$D183,BH$3=$AC183,BH$3=$AE183),"",IF(BH$3=$AD183,$F183&amp;"R",BH182))))</f>
        <v/>
      </c>
      <c r="BI183" s="11" t="str">
        <f aca="false">IF($P183=0,BI182,IF(BI$3=$E183,IF($AA183=1,$F183&amp;$AB183,$G183),IF(OR(BI$3=$D183,BI$3=$AC183,BI$3=$AE183),"",IF(BI$3=$AD183,$F183&amp;"R",BI182))))</f>
        <v/>
      </c>
      <c r="BJ183" s="11" t="str">
        <f aca="false">IF($P183=0,BJ182,IF(BJ$3=$E183,IF($AA183=1,$F183&amp;$AB183,$G183),IF(OR(BJ$3=$D183,BJ$3=$AC183,BJ$3=$AE183),"",IF(BJ$3=$AD183,$F183&amp;"R",BJ182))))</f>
        <v/>
      </c>
      <c r="BK183" s="11" t="str">
        <f aca="false">IF($P183=0,BK182,IF(BK$3=$E183,IF($AA183=1,$F183&amp;$AB183,$G183),IF(OR(BK$3=$D183,BK$3=$AC183,BK$3=$AE183),"",IF(BK$3=$AD183,$F183&amp;"R",BK182))))</f>
        <v/>
      </c>
      <c r="BL183" s="11" t="str">
        <f aca="false">IF($P183=0,BL182,IF(BL$3=$E183,IF($AA183=1,$F183&amp;$AB183,$G183),IF(OR(BL$3=$D183,BL$3=$AC183,BL$3=$AE183),"",IF(BL$3=$AD183,$F183&amp;"R",BL182))))</f>
        <v/>
      </c>
      <c r="BM183" s="11" t="str">
        <f aca="false">IF($P183=0,BM182,IF(BM$3=$E183,IF($AA183=1,$F183&amp;$AB183,$G183),IF(OR(BM$3=$D183,BM$3=$AC183,BM$3=$AE183),"",IF(BM$3=$AD183,$F183&amp;"R",BM182))))</f>
        <v/>
      </c>
      <c r="BN183" s="11" t="str">
        <f aca="false">IF($P183=0,BN182,IF(BN$3=$E183,IF($AA183=1,$F183&amp;$AB183,$G183),IF(OR(BN$3=$D183,BN$3=$AC183,BN$3=$AE183),"",IF(BN$3=$AD183,$F183&amp;"R",BN182))))</f>
        <v/>
      </c>
      <c r="BO183" s="11" t="str">
        <f aca="false">IF($P183=0,BO182,IF(BO$3=$E183,IF($AA183=1,$F183&amp;$AB183,$G183),IF(OR(BO$3=$D183,BO$3=$AC183,BO$3=$AE183),"",IF(BO$3=$AD183,$F183&amp;"R",BO182))))</f>
        <v/>
      </c>
      <c r="BP183" s="11" t="str">
        <f aca="false">IF($P183=0,BP182,IF(BP$3=$E183,IF($AA183=1,$F183&amp;$AB183,$G183),IF(OR(BP$3=$D183,BP$3=$AC183,BP$3=$AE183),"",IF(BP$3=$AD183,$F183&amp;"R",BP182))))</f>
        <v/>
      </c>
      <c r="BQ183" s="11" t="str">
        <f aca="false">IF($P183=0,BQ182,IF(BQ$3=$E183,IF($AA183=1,$F183&amp;$AB183,$G183),IF(OR(BQ$3=$D183,BQ$3=$AC183,BQ$3=$AE183),"",IF(BQ$3=$AD183,$F183&amp;"R",BQ182))))</f>
        <v/>
      </c>
      <c r="BR183" s="11" t="str">
        <f aca="false">IF($P183=0,BR182,IF(BR$3=$E183,IF($AA183=1,$F183&amp;$AB183,$G183),IF(OR(BR$3=$D183,BR$3=$AC183,BR$3=$AE183),"",IF(BR$3=$AD183,$F183&amp;"R",BR182))))</f>
        <v/>
      </c>
      <c r="BS183" s="11" t="str">
        <f aca="false">IF($P183=0,BS182,IF(BS$3=$E183,IF($AA183=1,$F183&amp;$AB183,$G183),IF(OR(BS$3=$D183,BS$3=$AC183,BS$3=$AE183),"",IF(BS$3=$AD183,$F183&amp;"R",BS182))))</f>
        <v/>
      </c>
      <c r="BT183" s="11" t="str">
        <f aca="false">IF($P183=0,BT182,IF(BT$3=$E183,IF($AA183=1,$F183&amp;$AB183,$G183),IF(OR(BT$3=$D183,BT$3=$AC183,BT$3=$AE183),"",IF(BT$3=$AD183,$F183&amp;"R",BT182))))</f>
        <v/>
      </c>
      <c r="BU183" s="11" t="str">
        <f aca="false">IF($P183=0,BU182,IF(BU$3=$E183,IF($AA183=1,$F183&amp;$AB183,$G183),IF(OR(BU$3=$D183,BU$3=$AC183,BU$3=$AE183),"",IF(BU$3=$AD183,$F183&amp;"R",BU182))))</f>
        <v/>
      </c>
      <c r="BV183" s="11" t="str">
        <f aca="false">IF($P183=0,BV182,IF(BV$3=$E183,IF($AA183=1,$F183&amp;$AB183,$G183),IF(OR(BV$3=$D183,BV$3=$AC183,BV$3=$AE183),"",IF(BV$3=$AD183,$F183&amp;"R",BV182))))</f>
        <v/>
      </c>
      <c r="BW183" s="11" t="str">
        <f aca="false">IF($P183=0,BW182,IF(BW$3=$E183,IF($AA183=1,$F183&amp;$AB183,$G183),IF(OR(BW$3=$D183,BW$3=$AC183,BW$3=$AE183),"",IF(BW$3=$AD183,$F183&amp;"R",BW182))))</f>
        <v/>
      </c>
      <c r="BX183" s="11" t="str">
        <f aca="false">IF($P183=0,BX182,IF(BX$3=$E183,IF($AA183=1,$F183&amp;$AB183,$G183),IF(OR(BX$3=$D183,BX$3=$AC183,BX$3=$AE183),"",IF(BX$3=$AD183,$F183&amp;"R",BX182))))</f>
        <v/>
      </c>
      <c r="BY183" s="11" t="str">
        <f aca="false">IF($P183=0,BY182,IF(BY$3=$E183,IF($AA183=1,$F183&amp;$AB183,$G183),IF(OR(BY$3=$D183,BY$3=$AC183,BY$3=$AE183),"",IF(BY$3=$AD183,$F183&amp;"R",BY182))))</f>
        <v/>
      </c>
      <c r="BZ183" s="11" t="str">
        <f aca="false">IF($P183=0,BZ182,IF(BZ$3=$E183,IF($AA183=1,$F183&amp;$AB183,$G183),IF(OR(BZ$3=$D183,BZ$3=$AC183,BZ$3=$AE183),"",IF(BZ$3=$AD183,$F183&amp;"R",BZ182))))</f>
        <v/>
      </c>
      <c r="CA183" s="11" t="str">
        <f aca="false">IF($P183=0,CA182,IF(CA$3=$E183,IF($AA183=1,$F183&amp;$AB183,$G183),IF(OR(CA$3=$D183,CA$3=$AC183,CA$3=$AE183),"",IF(CA$3=$AD183,$F183&amp;"R",CA182))))</f>
        <v/>
      </c>
      <c r="CB183" s="11" t="str">
        <f aca="false">IF($P183=0,CB182,IF(CB$3=$E183,IF($AA183=1,$F183&amp;$AB183,$G183),IF(OR(CB$3=$D183,CB$3=$AC183,CB$3=$AE183),"",IF(CB$3=$AD183,$F183&amp;"R",CB182))))</f>
        <v/>
      </c>
      <c r="CC183" s="11" t="str">
        <f aca="false">IF($P183=0,CC182,IF(CC$3=$E183,IF($AA183=1,$F183&amp;$AB183,$G183),IF(OR(CC$3=$D183,CC$3=$AC183,CC$3=$AE183),"",IF(CC$3=$AD183,$F183&amp;"R",CC182))))</f>
        <v/>
      </c>
      <c r="CD183" s="11" t="str">
        <f aca="false">IF($P183=0,CD182,IF(CD$3=$E183,IF($AA183=1,$F183&amp;$AB183,$G183),IF(OR(CD$3=$D183,CD$3=$AC183,CD$3=$AE183),"",IF(CD$3=$AD183,$F183&amp;"R",CD182))))</f>
        <v>bP</v>
      </c>
      <c r="CE183" s="11" t="str">
        <f aca="false">IF($P183=0,CE182,IF(CE$3=$E183,IF($AA183=1,$F183&amp;$AB183,$G183),IF(OR(CE$3=$D183,CE$3=$AC183,CE$3=$AE183),"",IF(CE$3=$AD183,$F183&amp;"R",CE182))))</f>
        <v>bP</v>
      </c>
      <c r="CF183" s="11" t="str">
        <f aca="false">IF($P183=0,CF182,IF(CF$3=$E183,IF($AA183=1,$F183&amp;$AB183,$G183),IF(OR(CF$3=$D183,CF$3=$AC183,CF$3=$AE183),"",IF(CF$3=$AD183,$F183&amp;"R",CF182))))</f>
        <v>bP</v>
      </c>
      <c r="CG183" s="11" t="str">
        <f aca="false">IF($P183=0,CG182,IF(CG$3=$E183,IF($AA183=1,$F183&amp;$AB183,$G183),IF(OR(CG$3=$D183,CG$3=$AC183,CG$3=$AE183),"",IF(CG$3=$AD183,$F183&amp;"R",CG182))))</f>
        <v>bP</v>
      </c>
      <c r="CH183" s="11" t="str">
        <f aca="false">IF($P183=0,CH182,IF(CH$3=$E183,IF($AA183=1,$F183&amp;$AB183,$G183),IF(OR(CH$3=$D183,CH$3=$AC183,CH$3=$AE183),"",IF(CH$3=$AD183,$F183&amp;"R",CH182))))</f>
        <v>bP</v>
      </c>
      <c r="CI183" s="11" t="str">
        <f aca="false">IF($P183=0,CI182,IF(CI$3=$E183,IF($AA183=1,$F183&amp;$AB183,$G183),IF(OR(CI$3=$D183,CI$3=$AC183,CI$3=$AE183),"",IF(CI$3=$AD183,$F183&amp;"R",CI182))))</f>
        <v>bP</v>
      </c>
      <c r="CJ183" s="11" t="str">
        <f aca="false">IF($P183=0,CJ182,IF(CJ$3=$E183,IF($AA183=1,$F183&amp;$AB183,$G183),IF(OR(CJ$3=$D183,CJ$3=$AC183,CJ$3=$AE183),"",IF(CJ$3=$AD183,$F183&amp;"R",CJ182))))</f>
        <v>bP</v>
      </c>
      <c r="CK183" s="11" t="str">
        <f aca="false">IF($P183=0,CK182,IF(CK$3=$E183,IF($AA183=1,$F183&amp;$AB183,$G183),IF(OR(CK$3=$D183,CK$3=$AC183,CK$3=$AE183),"",IF(CK$3=$AD183,$F183&amp;"R",CK182))))</f>
        <v>bP</v>
      </c>
      <c r="CL183" s="11" t="str">
        <f aca="false">IF($P183=0,CL182,IF(CL$3=$E183,IF($AA183=1,$F183&amp;$AB183,$G183),IF(OR(CL$3=$D183,CL$3=$AC183,CL$3=$AE183),"",IF(CL$3=$AD183,$F183&amp;"R",CL182))))</f>
        <v>bR</v>
      </c>
      <c r="CM183" s="11" t="str">
        <f aca="false">IF($P183=0,CM182,IF(CM$3=$E183,IF($AA183=1,$F183&amp;$AB183,$G183),IF(OR(CM$3=$D183,CM$3=$AC183,CM$3=$AE183),"",IF(CM$3=$AD183,$F183&amp;"R",CM182))))</f>
        <v>bN</v>
      </c>
      <c r="CN183" s="11" t="str">
        <f aca="false">IF($P183=0,CN182,IF(CN$3=$E183,IF($AA183=1,$F183&amp;$AB183,$G183),IF(OR(CN$3=$D183,CN$3=$AC183,CN$3=$AE183),"",IF(CN$3=$AD183,$F183&amp;"R",CN182))))</f>
        <v>bB</v>
      </c>
      <c r="CO183" s="11" t="str">
        <f aca="false">IF($P183=0,CO182,IF(CO$3=$E183,IF($AA183=1,$F183&amp;$AB183,$G183),IF(OR(CO$3=$D183,CO$3=$AC183,CO$3=$AE183),"",IF(CO$3=$AD183,$F183&amp;"R",CO182))))</f>
        <v>bQ</v>
      </c>
      <c r="CP183" s="11" t="str">
        <f aca="false">IF($P183=0,CP182,IF(CP$3=$E183,IF($AA183=1,$F183&amp;$AB183,$G183),IF(OR(CP$3=$D183,CP$3=$AC183,CP$3=$AE183),"",IF(CP$3=$AD183,$F183&amp;"R",CP182))))</f>
        <v>bK</v>
      </c>
      <c r="CQ183" s="11" t="str">
        <f aca="false">IF($P183=0,CQ182,IF(CQ$3=$E183,IF($AA183=1,$F183&amp;$AB183,$G183),IF(OR(CQ$3=$D183,CQ$3=$AC183,CQ$3=$AE183),"",IF(CQ$3=$AD183,$F183&amp;"R",CQ182))))</f>
        <v>bB</v>
      </c>
      <c r="CR183" s="11" t="str">
        <f aca="false">IF($P183=0,CR182,IF(CR$3=$E183,IF($AA183=1,$F183&amp;$AB183,$G183),IF(OR(CR$3=$D183,CR$3=$AC183,CR$3=$AE183),"",IF(CR$3=$AD183,$F183&amp;"R",CR182))))</f>
        <v>bN</v>
      </c>
      <c r="CS183" s="11" t="str">
        <f aca="false">IF($P183=0,CS182,IF(CS$3=$E183,IF($AA183=1,$F183&amp;$AB183,$G183),IF(OR(CS$3=$D183,CS$3=$AC183,CS$3=$AE183),"",IF(CS$3=$AD183,$F183&amp;"R",CS182))))</f>
        <v>bR</v>
      </c>
      <c r="CT183" s="11"/>
      <c r="CU183" s="11"/>
      <c r="CV183" s="11"/>
    </row>
    <row r="184" customFormat="false" ht="15" hidden="false" customHeight="false" outlineLevel="0" collapsed="false">
      <c r="A184" s="11" t="n">
        <v>179</v>
      </c>
      <c r="B184" s="11" t="str">
        <f aca="false">IF(Chess!$L$188="","",Chess!$L$188&amp;"")</f>
        <v/>
      </c>
      <c r="C184" s="11" t="str">
        <f aca="false">LOWER(SUBSTITUTE(SUBSTITUTE(SUBSTITUTE(SUBSTITUTE(TRIM($B184),"-",""),"=","")," ",""),"x",""))</f>
        <v/>
      </c>
      <c r="D184" s="11" t="n">
        <f aca="false">IF(LEN($C184)&lt;4,0,IFERROR(IF(AND(CODE(MID($C184,1,1))&gt;=97,CODE(MID($C184,1,1))&lt;=104,VALUE(MID($C184,2,1))&gt;=1,VALUE(MID($C184,2,1))&lt;=8),(VALUE(MID($C184,2,1))-1)*8+CODE(MID($C184,1,1))-96,0),0))</f>
        <v>0</v>
      </c>
      <c r="E184" s="11" t="n">
        <f aca="false">IF(LEN($C184)&lt;4,0,IFERROR(IF(AND(CODE(MID($C184,3,1))&gt;=97,CODE(MID($C184,3,1))&lt;=104,VALUE(MID($C184,4,1))&gt;=1,VALUE(MID($C184,4,1))&lt;=8),(VALUE(MID($C184,4,1))-1)*8+CODE(MID($C184,3,1))-96,0),0))</f>
        <v>0</v>
      </c>
      <c r="F184" s="11" t="str">
        <f aca="false">IF(MOD(SUM($P$5:$P183),2)=0,"w","b")</f>
        <v>w</v>
      </c>
      <c r="G184" s="11" t="str">
        <f aca="false">IF($D184=0,"",INDEX($AH183:$CS183,1,$D184)&amp;"")</f>
        <v/>
      </c>
      <c r="H184" s="11" t="str">
        <f aca="false">IF($E184=0,"",INDEX($AH183:$CS183,1,$E184)&amp;"")</f>
        <v/>
      </c>
      <c r="I184" s="11" t="n">
        <f aca="false">IF(OR($D184=0,$E184=0),0,MOD($E184-1,8)-MOD($D184-1,8))</f>
        <v>0</v>
      </c>
      <c r="J184" s="11" t="n">
        <f aca="false">IF(OR($D184=0,$E184=0),0,INT(($E184-1)/8)-INT(($D184-1)/8))</f>
        <v>0</v>
      </c>
      <c r="K184" s="11" t="str">
        <f aca="false">IF($G184="","",RIGHT($G184,1))</f>
        <v/>
      </c>
      <c r="L184" s="11" t="n">
        <f aca="false">IF(OR($D184=0,$E184=0),0,SUMPRODUCT(($AH$3:$CS$3&gt;MIN($D184,$E184))*($AH$3:$CS$3&lt;MAX($D184,$E184))*(MOD($AH$3:$CS$3-MIN($D184,$E184),MAX(1,ABS(SIGN($J184)*8+SIGN($I184))))=0)*($AH183:$CS183&lt;&gt;"")))</f>
        <v>0</v>
      </c>
      <c r="M184" s="11" t="n">
        <f aca="false">IF($K184&lt;&gt;"K",0,IFERROR(--AND($J184=0,ABS($I184)=2,$D184=IF($F184="w",5,61),IF($F184="w",$S183,$V183)=0,IF($I184=2,AND(IF($F184="w",$U183,$X183)=0,INDEX($AH183:$CS183,1,$D184+1)&amp;""="",INDEX($AH183:$CS183,1,$D184+2)&amp;""=""),AND(IF($F184="w",$T183,$W183)=0,INDEX($AH183:$CS183,1,$D184-1)&amp;""="",INDEX($AH183:$CS183,1,$D184-2)&amp;""="",INDEX($AH183:$CS183,1,$D184-3)&amp;""=""))),0))</f>
        <v>0</v>
      </c>
      <c r="N184" s="11" t="n">
        <f aca="false">IF($K184&lt;&gt;"P",0,IFERROR(--OR(AND($I184=0,$J184=IF($F184="w",1,-1),$H184=""),AND($I184=0,$J184=2*IF($F184="w",1,-1),$H184="",INT(($D184-1)/8)=IF($F184="w",1,6),INDEX($AH183:$CS183,1,MAX(1,MIN(64,$D184+8*IF($F184="w",1,-1))))&amp;""=""),AND(ABS($I184)=1,$J184=IF($F184="w",1,-1),$H184&lt;&gt;""),AND(ABS($I184)=1,$J184=IF($F184="w",1,-1),$H184="",$R183&gt;0,$E184=$R183)),0))</f>
        <v>0</v>
      </c>
      <c r="O184" s="11" t="n">
        <f aca="false">IF(OR($D184=0,$E184=0,$G184=""),0,IF($K184="N",--OR(AND(ABS($I184)=1,ABS($J184)=2),AND(ABS($I184)=2,ABS($J184)=1)),IF($K184="B",--AND(ABS($I184)=ABS($J184),$I184&lt;&gt;0,$L184=0),IF($K184="R",--AND(OR($I184=0,$J184=0),OR($I184&lt;&gt;0,$J184&lt;&gt;0),$L184=0),IF($K184="Q",--AND(OR(AND(ABS($I184)=ABS($J184),$I184&lt;&gt;0),AND(OR($I184=0,$J184=0),OR($I184&lt;&gt;0,$J184&lt;&gt;0))),$L184=0),IF($K184="K",--OR(MAX(ABS($I184),ABS($J184))=1,$M184=1),$N184))))))</f>
        <v>0</v>
      </c>
      <c r="P184" s="11" t="n">
        <f aca="false">IF($Q184="OK",1,0)</f>
        <v>0</v>
      </c>
      <c r="Q184" s="11" t="str">
        <f aca="false">IF($B184="","",IF(OR(COUNTIF($AH183:$CS183,"wK")=0,COUNTIF($AH183:$CS183,"bK")=0),"Game is over",IF(OR($D184=0,$E184=0),"Use the format e2e4",IF($G184="","No piece on that square",IF(LEFT($G184,1)&lt;&gt;$F184,"Not your piece ("&amp;IF($F184="w","White","Black")&amp;" to move)",IF($D184=$E184,"Piece must move",IF(AND($H184&lt;&gt;"",LEFT($H184,1)=$F184),"Cannot capture your own piece",IF($O184=0,"Illegal move for that piece (or path blocked)","OK"))))))))</f>
        <v/>
      </c>
      <c r="R184" s="11" t="n">
        <f aca="false">IF($P184=1,IF(AND($K184="P",ABS($J184)=2),($D184+$E184)/2,0),$R183)</f>
        <v>0</v>
      </c>
      <c r="S184" s="12" t="b">
        <f aca="false">--OR($S183=1,AND($P184=1,OR($D184=5,$E184=5)))</f>
        <v>0</v>
      </c>
      <c r="T184" s="12" t="b">
        <f aca="false">--OR($T183=1,AND($P184=1,OR($D184=1,$E184=1)))</f>
        <v>0</v>
      </c>
      <c r="U184" s="12" t="b">
        <f aca="false">--OR($U183=1,AND($P184=1,OR($D184=8,$E184=8)))</f>
        <v>0</v>
      </c>
      <c r="V184" s="12" t="b">
        <f aca="false">--OR($V183=1,AND($P184=1,OR($D184=61,$E184=61)))</f>
        <v>0</v>
      </c>
      <c r="W184" s="12" t="b">
        <f aca="false">--OR($W183=1,AND($P184=1,OR($D184=57,$E184=57)))</f>
        <v>0</v>
      </c>
      <c r="X184" s="12" t="b">
        <f aca="false">--OR($X183=1,AND($P184=1,OR($D184=64,$E184=64)))</f>
        <v>0</v>
      </c>
      <c r="Y184" s="12" t="b">
        <f aca="false">--AND($P184=1,$K184="K",ABS($I184)=2)</f>
        <v>0</v>
      </c>
      <c r="Z184" s="12" t="b">
        <f aca="false">--AND($P184=1,$K184="P",ABS($I184)=1,$H184="")</f>
        <v>0</v>
      </c>
      <c r="AA184" s="12" t="b">
        <f aca="false">--AND($P184=1,$K184="P",INT(($E184-1)/8)=IF($F184="w",7,0))</f>
        <v>0</v>
      </c>
      <c r="AB184" s="11" t="str">
        <f aca="false">IF(LEN($C184)&gt;=5,IF(ISNUMBER(FIND(MID($C184,5,1),"qrbn")),UPPER(MID($C184,5,1)),"Q"),"Q")</f>
        <v>Q</v>
      </c>
      <c r="AC184" s="11" t="n">
        <f aca="false">IF($Y184=1,IF($I184=2,$D184+3,$D184-4),0)</f>
        <v>0</v>
      </c>
      <c r="AD184" s="11" t="n">
        <f aca="false">IF($Y184=1,IF($I184=2,$D184+1,$D184-1),0)</f>
        <v>0</v>
      </c>
      <c r="AE184" s="11" t="n">
        <f aca="false">IF($Z184=1,$E184-8*IF($F184="w",1,-1),0)</f>
        <v>0</v>
      </c>
      <c r="AF184" s="11" t="str">
        <f aca="false">IF($B184="","",IF($P184=1,LOWER(INDEX($CV$2:$CV$13,MATCH($G184,$CU$2:$CU$13,0)))&amp;" "&amp;MID("abcdefgh",MOD($D184-1,8)+1,1)&amp;(INT(($D184-1)/8)+1)&amp;"→"&amp;MID("abcdefgh",MOD($E184-1,8)+1,1)&amp;(INT(($E184-1)/8)+1)&amp;IF(OR($H184&lt;&gt;"",$Z184=1)," ×","")&amp;IF($Y184=1," castles","")&amp;IF($Z184=1," e.p.","")&amp;IF($AA184=1," =" &amp;LOWER(INDEX($CV$2:$CV$13,MATCH($F184&amp;$AB184,$CU$2:$CU$13,0))),""),"X "&amp;$Q184))</f>
        <v/>
      </c>
      <c r="AG184" s="11"/>
      <c r="AH184" s="11" t="str">
        <f aca="false">IF($P184=0,AH183,IF(AH$3=$E184,IF($AA184=1,$F184&amp;$AB184,$G184),IF(OR(AH$3=$D184,AH$3=$AC184,AH$3=$AE184),"",IF(AH$3=$AD184,$F184&amp;"R",AH183))))</f>
        <v>wR</v>
      </c>
      <c r="AI184" s="11" t="str">
        <f aca="false">IF($P184=0,AI183,IF(AI$3=$E184,IF($AA184=1,$F184&amp;$AB184,$G184),IF(OR(AI$3=$D184,AI$3=$AC184,AI$3=$AE184),"",IF(AI$3=$AD184,$F184&amp;"R",AI183))))</f>
        <v>wN</v>
      </c>
      <c r="AJ184" s="11" t="str">
        <f aca="false">IF($P184=0,AJ183,IF(AJ$3=$E184,IF($AA184=1,$F184&amp;$AB184,$G184),IF(OR(AJ$3=$D184,AJ$3=$AC184,AJ$3=$AE184),"",IF(AJ$3=$AD184,$F184&amp;"R",AJ183))))</f>
        <v>wB</v>
      </c>
      <c r="AK184" s="11" t="str">
        <f aca="false">IF($P184=0,AK183,IF(AK$3=$E184,IF($AA184=1,$F184&amp;$AB184,$G184),IF(OR(AK$3=$D184,AK$3=$AC184,AK$3=$AE184),"",IF(AK$3=$AD184,$F184&amp;"R",AK183))))</f>
        <v>wQ</v>
      </c>
      <c r="AL184" s="11" t="str">
        <f aca="false">IF($P184=0,AL183,IF(AL$3=$E184,IF($AA184=1,$F184&amp;$AB184,$G184),IF(OR(AL$3=$D184,AL$3=$AC184,AL$3=$AE184),"",IF(AL$3=$AD184,$F184&amp;"R",AL183))))</f>
        <v>wK</v>
      </c>
      <c r="AM184" s="11" t="str">
        <f aca="false">IF($P184=0,AM183,IF(AM$3=$E184,IF($AA184=1,$F184&amp;$AB184,$G184),IF(OR(AM$3=$D184,AM$3=$AC184,AM$3=$AE184),"",IF(AM$3=$AD184,$F184&amp;"R",AM183))))</f>
        <v>wB</v>
      </c>
      <c r="AN184" s="11" t="str">
        <f aca="false">IF($P184=0,AN183,IF(AN$3=$E184,IF($AA184=1,$F184&amp;$AB184,$G184),IF(OR(AN$3=$D184,AN$3=$AC184,AN$3=$AE184),"",IF(AN$3=$AD184,$F184&amp;"R",AN183))))</f>
        <v>wN</v>
      </c>
      <c r="AO184" s="11" t="str">
        <f aca="false">IF($P184=0,AO183,IF(AO$3=$E184,IF($AA184=1,$F184&amp;$AB184,$G184),IF(OR(AO$3=$D184,AO$3=$AC184,AO$3=$AE184),"",IF(AO$3=$AD184,$F184&amp;"R",AO183))))</f>
        <v>wR</v>
      </c>
      <c r="AP184" s="11" t="str">
        <f aca="false">IF($P184=0,AP183,IF(AP$3=$E184,IF($AA184=1,$F184&amp;$AB184,$G184),IF(OR(AP$3=$D184,AP$3=$AC184,AP$3=$AE184),"",IF(AP$3=$AD184,$F184&amp;"R",AP183))))</f>
        <v>wP</v>
      </c>
      <c r="AQ184" s="11" t="str">
        <f aca="false">IF($P184=0,AQ183,IF(AQ$3=$E184,IF($AA184=1,$F184&amp;$AB184,$G184),IF(OR(AQ$3=$D184,AQ$3=$AC184,AQ$3=$AE184),"",IF(AQ$3=$AD184,$F184&amp;"R",AQ183))))</f>
        <v>wP</v>
      </c>
      <c r="AR184" s="11" t="str">
        <f aca="false">IF($P184=0,AR183,IF(AR$3=$E184,IF($AA184=1,$F184&amp;$AB184,$G184),IF(OR(AR$3=$D184,AR$3=$AC184,AR$3=$AE184),"",IF(AR$3=$AD184,$F184&amp;"R",AR183))))</f>
        <v>wP</v>
      </c>
      <c r="AS184" s="11" t="str">
        <f aca="false">IF($P184=0,AS183,IF(AS$3=$E184,IF($AA184=1,$F184&amp;$AB184,$G184),IF(OR(AS$3=$D184,AS$3=$AC184,AS$3=$AE184),"",IF(AS$3=$AD184,$F184&amp;"R",AS183))))</f>
        <v>wP</v>
      </c>
      <c r="AT184" s="11" t="str">
        <f aca="false">IF($P184=0,AT183,IF(AT$3=$E184,IF($AA184=1,$F184&amp;$AB184,$G184),IF(OR(AT$3=$D184,AT$3=$AC184,AT$3=$AE184),"",IF(AT$3=$AD184,$F184&amp;"R",AT183))))</f>
        <v>wP</v>
      </c>
      <c r="AU184" s="11" t="str">
        <f aca="false">IF($P184=0,AU183,IF(AU$3=$E184,IF($AA184=1,$F184&amp;$AB184,$G184),IF(OR(AU$3=$D184,AU$3=$AC184,AU$3=$AE184),"",IF(AU$3=$AD184,$F184&amp;"R",AU183))))</f>
        <v>wP</v>
      </c>
      <c r="AV184" s="11" t="str">
        <f aca="false">IF($P184=0,AV183,IF(AV$3=$E184,IF($AA184=1,$F184&amp;$AB184,$G184),IF(OR(AV$3=$D184,AV$3=$AC184,AV$3=$AE184),"",IF(AV$3=$AD184,$F184&amp;"R",AV183))))</f>
        <v>wP</v>
      </c>
      <c r="AW184" s="11" t="str">
        <f aca="false">IF($P184=0,AW183,IF(AW$3=$E184,IF($AA184=1,$F184&amp;$AB184,$G184),IF(OR(AW$3=$D184,AW$3=$AC184,AW$3=$AE184),"",IF(AW$3=$AD184,$F184&amp;"R",AW183))))</f>
        <v>wP</v>
      </c>
      <c r="AX184" s="11" t="str">
        <f aca="false">IF($P184=0,AX183,IF(AX$3=$E184,IF($AA184=1,$F184&amp;$AB184,$G184),IF(OR(AX$3=$D184,AX$3=$AC184,AX$3=$AE184),"",IF(AX$3=$AD184,$F184&amp;"R",AX183))))</f>
        <v/>
      </c>
      <c r="AY184" s="11" t="str">
        <f aca="false">IF($P184=0,AY183,IF(AY$3=$E184,IF($AA184=1,$F184&amp;$AB184,$G184),IF(OR(AY$3=$D184,AY$3=$AC184,AY$3=$AE184),"",IF(AY$3=$AD184,$F184&amp;"R",AY183))))</f>
        <v/>
      </c>
      <c r="AZ184" s="11" t="str">
        <f aca="false">IF($P184=0,AZ183,IF(AZ$3=$E184,IF($AA184=1,$F184&amp;$AB184,$G184),IF(OR(AZ$3=$D184,AZ$3=$AC184,AZ$3=$AE184),"",IF(AZ$3=$AD184,$F184&amp;"R",AZ183))))</f>
        <v/>
      </c>
      <c r="BA184" s="11" t="str">
        <f aca="false">IF($P184=0,BA183,IF(BA$3=$E184,IF($AA184=1,$F184&amp;$AB184,$G184),IF(OR(BA$3=$D184,BA$3=$AC184,BA$3=$AE184),"",IF(BA$3=$AD184,$F184&amp;"R",BA183))))</f>
        <v/>
      </c>
      <c r="BB184" s="11" t="str">
        <f aca="false">IF($P184=0,BB183,IF(BB$3=$E184,IF($AA184=1,$F184&amp;$AB184,$G184),IF(OR(BB$3=$D184,BB$3=$AC184,BB$3=$AE184),"",IF(BB$3=$AD184,$F184&amp;"R",BB183))))</f>
        <v/>
      </c>
      <c r="BC184" s="11" t="str">
        <f aca="false">IF($P184=0,BC183,IF(BC$3=$E184,IF($AA184=1,$F184&amp;$AB184,$G184),IF(OR(BC$3=$D184,BC$3=$AC184,BC$3=$AE184),"",IF(BC$3=$AD184,$F184&amp;"R",BC183))))</f>
        <v/>
      </c>
      <c r="BD184" s="11" t="str">
        <f aca="false">IF($P184=0,BD183,IF(BD$3=$E184,IF($AA184=1,$F184&amp;$AB184,$G184),IF(OR(BD$3=$D184,BD$3=$AC184,BD$3=$AE184),"",IF(BD$3=$AD184,$F184&amp;"R",BD183))))</f>
        <v/>
      </c>
      <c r="BE184" s="11" t="str">
        <f aca="false">IF($P184=0,BE183,IF(BE$3=$E184,IF($AA184=1,$F184&amp;$AB184,$G184),IF(OR(BE$3=$D184,BE$3=$AC184,BE$3=$AE184),"",IF(BE$3=$AD184,$F184&amp;"R",BE183))))</f>
        <v/>
      </c>
      <c r="BF184" s="11" t="str">
        <f aca="false">IF($P184=0,BF183,IF(BF$3=$E184,IF($AA184=1,$F184&amp;$AB184,$G184),IF(OR(BF$3=$D184,BF$3=$AC184,BF$3=$AE184),"",IF(BF$3=$AD184,$F184&amp;"R",BF183))))</f>
        <v/>
      </c>
      <c r="BG184" s="11" t="str">
        <f aca="false">IF($P184=0,BG183,IF(BG$3=$E184,IF($AA184=1,$F184&amp;$AB184,$G184),IF(OR(BG$3=$D184,BG$3=$AC184,BG$3=$AE184),"",IF(BG$3=$AD184,$F184&amp;"R",BG183))))</f>
        <v/>
      </c>
      <c r="BH184" s="11" t="str">
        <f aca="false">IF($P184=0,BH183,IF(BH$3=$E184,IF($AA184=1,$F184&amp;$AB184,$G184),IF(OR(BH$3=$D184,BH$3=$AC184,BH$3=$AE184),"",IF(BH$3=$AD184,$F184&amp;"R",BH183))))</f>
        <v/>
      </c>
      <c r="BI184" s="11" t="str">
        <f aca="false">IF($P184=0,BI183,IF(BI$3=$E184,IF($AA184=1,$F184&amp;$AB184,$G184),IF(OR(BI$3=$D184,BI$3=$AC184,BI$3=$AE184),"",IF(BI$3=$AD184,$F184&amp;"R",BI183))))</f>
        <v/>
      </c>
      <c r="BJ184" s="11" t="str">
        <f aca="false">IF($P184=0,BJ183,IF(BJ$3=$E184,IF($AA184=1,$F184&amp;$AB184,$G184),IF(OR(BJ$3=$D184,BJ$3=$AC184,BJ$3=$AE184),"",IF(BJ$3=$AD184,$F184&amp;"R",BJ183))))</f>
        <v/>
      </c>
      <c r="BK184" s="11" t="str">
        <f aca="false">IF($P184=0,BK183,IF(BK$3=$E184,IF($AA184=1,$F184&amp;$AB184,$G184),IF(OR(BK$3=$D184,BK$3=$AC184,BK$3=$AE184),"",IF(BK$3=$AD184,$F184&amp;"R",BK183))))</f>
        <v/>
      </c>
      <c r="BL184" s="11" t="str">
        <f aca="false">IF($P184=0,BL183,IF(BL$3=$E184,IF($AA184=1,$F184&amp;$AB184,$G184),IF(OR(BL$3=$D184,BL$3=$AC184,BL$3=$AE184),"",IF(BL$3=$AD184,$F184&amp;"R",BL183))))</f>
        <v/>
      </c>
      <c r="BM184" s="11" t="str">
        <f aca="false">IF($P184=0,BM183,IF(BM$3=$E184,IF($AA184=1,$F184&amp;$AB184,$G184),IF(OR(BM$3=$D184,BM$3=$AC184,BM$3=$AE184),"",IF(BM$3=$AD184,$F184&amp;"R",BM183))))</f>
        <v/>
      </c>
      <c r="BN184" s="11" t="str">
        <f aca="false">IF($P184=0,BN183,IF(BN$3=$E184,IF($AA184=1,$F184&amp;$AB184,$G184),IF(OR(BN$3=$D184,BN$3=$AC184,BN$3=$AE184),"",IF(BN$3=$AD184,$F184&amp;"R",BN183))))</f>
        <v/>
      </c>
      <c r="BO184" s="11" t="str">
        <f aca="false">IF($P184=0,BO183,IF(BO$3=$E184,IF($AA184=1,$F184&amp;$AB184,$G184),IF(OR(BO$3=$D184,BO$3=$AC184,BO$3=$AE184),"",IF(BO$3=$AD184,$F184&amp;"R",BO183))))</f>
        <v/>
      </c>
      <c r="BP184" s="11" t="str">
        <f aca="false">IF($P184=0,BP183,IF(BP$3=$E184,IF($AA184=1,$F184&amp;$AB184,$G184),IF(OR(BP$3=$D184,BP$3=$AC184,BP$3=$AE184),"",IF(BP$3=$AD184,$F184&amp;"R",BP183))))</f>
        <v/>
      </c>
      <c r="BQ184" s="11" t="str">
        <f aca="false">IF($P184=0,BQ183,IF(BQ$3=$E184,IF($AA184=1,$F184&amp;$AB184,$G184),IF(OR(BQ$3=$D184,BQ$3=$AC184,BQ$3=$AE184),"",IF(BQ$3=$AD184,$F184&amp;"R",BQ183))))</f>
        <v/>
      </c>
      <c r="BR184" s="11" t="str">
        <f aca="false">IF($P184=0,BR183,IF(BR$3=$E184,IF($AA184=1,$F184&amp;$AB184,$G184),IF(OR(BR$3=$D184,BR$3=$AC184,BR$3=$AE184),"",IF(BR$3=$AD184,$F184&amp;"R",BR183))))</f>
        <v/>
      </c>
      <c r="BS184" s="11" t="str">
        <f aca="false">IF($P184=0,BS183,IF(BS$3=$E184,IF($AA184=1,$F184&amp;$AB184,$G184),IF(OR(BS$3=$D184,BS$3=$AC184,BS$3=$AE184),"",IF(BS$3=$AD184,$F184&amp;"R",BS183))))</f>
        <v/>
      </c>
      <c r="BT184" s="11" t="str">
        <f aca="false">IF($P184=0,BT183,IF(BT$3=$E184,IF($AA184=1,$F184&amp;$AB184,$G184),IF(OR(BT$3=$D184,BT$3=$AC184,BT$3=$AE184),"",IF(BT$3=$AD184,$F184&amp;"R",BT183))))</f>
        <v/>
      </c>
      <c r="BU184" s="11" t="str">
        <f aca="false">IF($P184=0,BU183,IF(BU$3=$E184,IF($AA184=1,$F184&amp;$AB184,$G184),IF(OR(BU$3=$D184,BU$3=$AC184,BU$3=$AE184),"",IF(BU$3=$AD184,$F184&amp;"R",BU183))))</f>
        <v/>
      </c>
      <c r="BV184" s="11" t="str">
        <f aca="false">IF($P184=0,BV183,IF(BV$3=$E184,IF($AA184=1,$F184&amp;$AB184,$G184),IF(OR(BV$3=$D184,BV$3=$AC184,BV$3=$AE184),"",IF(BV$3=$AD184,$F184&amp;"R",BV183))))</f>
        <v/>
      </c>
      <c r="BW184" s="11" t="str">
        <f aca="false">IF($P184=0,BW183,IF(BW$3=$E184,IF($AA184=1,$F184&amp;$AB184,$G184),IF(OR(BW$3=$D184,BW$3=$AC184,BW$3=$AE184),"",IF(BW$3=$AD184,$F184&amp;"R",BW183))))</f>
        <v/>
      </c>
      <c r="BX184" s="11" t="str">
        <f aca="false">IF($P184=0,BX183,IF(BX$3=$E184,IF($AA184=1,$F184&amp;$AB184,$G184),IF(OR(BX$3=$D184,BX$3=$AC184,BX$3=$AE184),"",IF(BX$3=$AD184,$F184&amp;"R",BX183))))</f>
        <v/>
      </c>
      <c r="BY184" s="11" t="str">
        <f aca="false">IF($P184=0,BY183,IF(BY$3=$E184,IF($AA184=1,$F184&amp;$AB184,$G184),IF(OR(BY$3=$D184,BY$3=$AC184,BY$3=$AE184),"",IF(BY$3=$AD184,$F184&amp;"R",BY183))))</f>
        <v/>
      </c>
      <c r="BZ184" s="11" t="str">
        <f aca="false">IF($P184=0,BZ183,IF(BZ$3=$E184,IF($AA184=1,$F184&amp;$AB184,$G184),IF(OR(BZ$3=$D184,BZ$3=$AC184,BZ$3=$AE184),"",IF(BZ$3=$AD184,$F184&amp;"R",BZ183))))</f>
        <v/>
      </c>
      <c r="CA184" s="11" t="str">
        <f aca="false">IF($P184=0,CA183,IF(CA$3=$E184,IF($AA184=1,$F184&amp;$AB184,$G184),IF(OR(CA$3=$D184,CA$3=$AC184,CA$3=$AE184),"",IF(CA$3=$AD184,$F184&amp;"R",CA183))))</f>
        <v/>
      </c>
      <c r="CB184" s="11" t="str">
        <f aca="false">IF($P184=0,CB183,IF(CB$3=$E184,IF($AA184=1,$F184&amp;$AB184,$G184),IF(OR(CB$3=$D184,CB$3=$AC184,CB$3=$AE184),"",IF(CB$3=$AD184,$F184&amp;"R",CB183))))</f>
        <v/>
      </c>
      <c r="CC184" s="11" t="str">
        <f aca="false">IF($P184=0,CC183,IF(CC$3=$E184,IF($AA184=1,$F184&amp;$AB184,$G184),IF(OR(CC$3=$D184,CC$3=$AC184,CC$3=$AE184),"",IF(CC$3=$AD184,$F184&amp;"R",CC183))))</f>
        <v/>
      </c>
      <c r="CD184" s="11" t="str">
        <f aca="false">IF($P184=0,CD183,IF(CD$3=$E184,IF($AA184=1,$F184&amp;$AB184,$G184),IF(OR(CD$3=$D184,CD$3=$AC184,CD$3=$AE184),"",IF(CD$3=$AD184,$F184&amp;"R",CD183))))</f>
        <v>bP</v>
      </c>
      <c r="CE184" s="11" t="str">
        <f aca="false">IF($P184=0,CE183,IF(CE$3=$E184,IF($AA184=1,$F184&amp;$AB184,$G184),IF(OR(CE$3=$D184,CE$3=$AC184,CE$3=$AE184),"",IF(CE$3=$AD184,$F184&amp;"R",CE183))))</f>
        <v>bP</v>
      </c>
      <c r="CF184" s="11" t="str">
        <f aca="false">IF($P184=0,CF183,IF(CF$3=$E184,IF($AA184=1,$F184&amp;$AB184,$G184),IF(OR(CF$3=$D184,CF$3=$AC184,CF$3=$AE184),"",IF(CF$3=$AD184,$F184&amp;"R",CF183))))</f>
        <v>bP</v>
      </c>
      <c r="CG184" s="11" t="str">
        <f aca="false">IF($P184=0,CG183,IF(CG$3=$E184,IF($AA184=1,$F184&amp;$AB184,$G184),IF(OR(CG$3=$D184,CG$3=$AC184,CG$3=$AE184),"",IF(CG$3=$AD184,$F184&amp;"R",CG183))))</f>
        <v>bP</v>
      </c>
      <c r="CH184" s="11" t="str">
        <f aca="false">IF($P184=0,CH183,IF(CH$3=$E184,IF($AA184=1,$F184&amp;$AB184,$G184),IF(OR(CH$3=$D184,CH$3=$AC184,CH$3=$AE184),"",IF(CH$3=$AD184,$F184&amp;"R",CH183))))</f>
        <v>bP</v>
      </c>
      <c r="CI184" s="11" t="str">
        <f aca="false">IF($P184=0,CI183,IF(CI$3=$E184,IF($AA184=1,$F184&amp;$AB184,$G184),IF(OR(CI$3=$D184,CI$3=$AC184,CI$3=$AE184),"",IF(CI$3=$AD184,$F184&amp;"R",CI183))))</f>
        <v>bP</v>
      </c>
      <c r="CJ184" s="11" t="str">
        <f aca="false">IF($P184=0,CJ183,IF(CJ$3=$E184,IF($AA184=1,$F184&amp;$AB184,$G184),IF(OR(CJ$3=$D184,CJ$3=$AC184,CJ$3=$AE184),"",IF(CJ$3=$AD184,$F184&amp;"R",CJ183))))</f>
        <v>bP</v>
      </c>
      <c r="CK184" s="11" t="str">
        <f aca="false">IF($P184=0,CK183,IF(CK$3=$E184,IF($AA184=1,$F184&amp;$AB184,$G184),IF(OR(CK$3=$D184,CK$3=$AC184,CK$3=$AE184),"",IF(CK$3=$AD184,$F184&amp;"R",CK183))))</f>
        <v>bP</v>
      </c>
      <c r="CL184" s="11" t="str">
        <f aca="false">IF($P184=0,CL183,IF(CL$3=$E184,IF($AA184=1,$F184&amp;$AB184,$G184),IF(OR(CL$3=$D184,CL$3=$AC184,CL$3=$AE184),"",IF(CL$3=$AD184,$F184&amp;"R",CL183))))</f>
        <v>bR</v>
      </c>
      <c r="CM184" s="11" t="str">
        <f aca="false">IF($P184=0,CM183,IF(CM$3=$E184,IF($AA184=1,$F184&amp;$AB184,$G184),IF(OR(CM$3=$D184,CM$3=$AC184,CM$3=$AE184),"",IF(CM$3=$AD184,$F184&amp;"R",CM183))))</f>
        <v>bN</v>
      </c>
      <c r="CN184" s="11" t="str">
        <f aca="false">IF($P184=0,CN183,IF(CN$3=$E184,IF($AA184=1,$F184&amp;$AB184,$G184),IF(OR(CN$3=$D184,CN$3=$AC184,CN$3=$AE184),"",IF(CN$3=$AD184,$F184&amp;"R",CN183))))</f>
        <v>bB</v>
      </c>
      <c r="CO184" s="11" t="str">
        <f aca="false">IF($P184=0,CO183,IF(CO$3=$E184,IF($AA184=1,$F184&amp;$AB184,$G184),IF(OR(CO$3=$D184,CO$3=$AC184,CO$3=$AE184),"",IF(CO$3=$AD184,$F184&amp;"R",CO183))))</f>
        <v>bQ</v>
      </c>
      <c r="CP184" s="11" t="str">
        <f aca="false">IF($P184=0,CP183,IF(CP$3=$E184,IF($AA184=1,$F184&amp;$AB184,$G184),IF(OR(CP$3=$D184,CP$3=$AC184,CP$3=$AE184),"",IF(CP$3=$AD184,$F184&amp;"R",CP183))))</f>
        <v>bK</v>
      </c>
      <c r="CQ184" s="11" t="str">
        <f aca="false">IF($P184=0,CQ183,IF(CQ$3=$E184,IF($AA184=1,$F184&amp;$AB184,$G184),IF(OR(CQ$3=$D184,CQ$3=$AC184,CQ$3=$AE184),"",IF(CQ$3=$AD184,$F184&amp;"R",CQ183))))</f>
        <v>bB</v>
      </c>
      <c r="CR184" s="11" t="str">
        <f aca="false">IF($P184=0,CR183,IF(CR$3=$E184,IF($AA184=1,$F184&amp;$AB184,$G184),IF(OR(CR$3=$D184,CR$3=$AC184,CR$3=$AE184),"",IF(CR$3=$AD184,$F184&amp;"R",CR183))))</f>
        <v>bN</v>
      </c>
      <c r="CS184" s="11" t="str">
        <f aca="false">IF($P184=0,CS183,IF(CS$3=$E184,IF($AA184=1,$F184&amp;$AB184,$G184),IF(OR(CS$3=$D184,CS$3=$AC184,CS$3=$AE184),"",IF(CS$3=$AD184,$F184&amp;"R",CS183))))</f>
        <v>bR</v>
      </c>
      <c r="CT184" s="11"/>
      <c r="CU184" s="11"/>
      <c r="CV184" s="11"/>
    </row>
    <row r="185" customFormat="false" ht="15" hidden="false" customHeight="false" outlineLevel="0" collapsed="false">
      <c r="A185" s="11" t="n">
        <v>180</v>
      </c>
      <c r="B185" s="11" t="str">
        <f aca="false">IF(Chess!$L$189="","",Chess!$L$189&amp;"")</f>
        <v/>
      </c>
      <c r="C185" s="11" t="str">
        <f aca="false">LOWER(SUBSTITUTE(SUBSTITUTE(SUBSTITUTE(SUBSTITUTE(TRIM($B185),"-",""),"=","")," ",""),"x",""))</f>
        <v/>
      </c>
      <c r="D185" s="11" t="n">
        <f aca="false">IF(LEN($C185)&lt;4,0,IFERROR(IF(AND(CODE(MID($C185,1,1))&gt;=97,CODE(MID($C185,1,1))&lt;=104,VALUE(MID($C185,2,1))&gt;=1,VALUE(MID($C185,2,1))&lt;=8),(VALUE(MID($C185,2,1))-1)*8+CODE(MID($C185,1,1))-96,0),0))</f>
        <v>0</v>
      </c>
      <c r="E185" s="11" t="n">
        <f aca="false">IF(LEN($C185)&lt;4,0,IFERROR(IF(AND(CODE(MID($C185,3,1))&gt;=97,CODE(MID($C185,3,1))&lt;=104,VALUE(MID($C185,4,1))&gt;=1,VALUE(MID($C185,4,1))&lt;=8),(VALUE(MID($C185,4,1))-1)*8+CODE(MID($C185,3,1))-96,0),0))</f>
        <v>0</v>
      </c>
      <c r="F185" s="11" t="str">
        <f aca="false">IF(MOD(SUM($P$5:$P184),2)=0,"w","b")</f>
        <v>w</v>
      </c>
      <c r="G185" s="11" t="str">
        <f aca="false">IF($D185=0,"",INDEX($AH184:$CS184,1,$D185)&amp;"")</f>
        <v/>
      </c>
      <c r="H185" s="11" t="str">
        <f aca="false">IF($E185=0,"",INDEX($AH184:$CS184,1,$E185)&amp;"")</f>
        <v/>
      </c>
      <c r="I185" s="11" t="n">
        <f aca="false">IF(OR($D185=0,$E185=0),0,MOD($E185-1,8)-MOD($D185-1,8))</f>
        <v>0</v>
      </c>
      <c r="J185" s="11" t="n">
        <f aca="false">IF(OR($D185=0,$E185=0),0,INT(($E185-1)/8)-INT(($D185-1)/8))</f>
        <v>0</v>
      </c>
      <c r="K185" s="11" t="str">
        <f aca="false">IF($G185="","",RIGHT($G185,1))</f>
        <v/>
      </c>
      <c r="L185" s="11" t="n">
        <f aca="false">IF(OR($D185=0,$E185=0),0,SUMPRODUCT(($AH$3:$CS$3&gt;MIN($D185,$E185))*($AH$3:$CS$3&lt;MAX($D185,$E185))*(MOD($AH$3:$CS$3-MIN($D185,$E185),MAX(1,ABS(SIGN($J185)*8+SIGN($I185))))=0)*($AH184:$CS184&lt;&gt;"")))</f>
        <v>0</v>
      </c>
      <c r="M185" s="11" t="n">
        <f aca="false">IF($K185&lt;&gt;"K",0,IFERROR(--AND($J185=0,ABS($I185)=2,$D185=IF($F185="w",5,61),IF($F185="w",$S184,$V184)=0,IF($I185=2,AND(IF($F185="w",$U184,$X184)=0,INDEX($AH184:$CS184,1,$D185+1)&amp;""="",INDEX($AH184:$CS184,1,$D185+2)&amp;""=""),AND(IF($F185="w",$T184,$W184)=0,INDEX($AH184:$CS184,1,$D185-1)&amp;""="",INDEX($AH184:$CS184,1,$D185-2)&amp;""="",INDEX($AH184:$CS184,1,$D185-3)&amp;""=""))),0))</f>
        <v>0</v>
      </c>
      <c r="N185" s="11" t="n">
        <f aca="false">IF($K185&lt;&gt;"P",0,IFERROR(--OR(AND($I185=0,$J185=IF($F185="w",1,-1),$H185=""),AND($I185=0,$J185=2*IF($F185="w",1,-1),$H185="",INT(($D185-1)/8)=IF($F185="w",1,6),INDEX($AH184:$CS184,1,MAX(1,MIN(64,$D185+8*IF($F185="w",1,-1))))&amp;""=""),AND(ABS($I185)=1,$J185=IF($F185="w",1,-1),$H185&lt;&gt;""),AND(ABS($I185)=1,$J185=IF($F185="w",1,-1),$H185="",$R184&gt;0,$E185=$R184)),0))</f>
        <v>0</v>
      </c>
      <c r="O185" s="11" t="n">
        <f aca="false">IF(OR($D185=0,$E185=0,$G185=""),0,IF($K185="N",--OR(AND(ABS($I185)=1,ABS($J185)=2),AND(ABS($I185)=2,ABS($J185)=1)),IF($K185="B",--AND(ABS($I185)=ABS($J185),$I185&lt;&gt;0,$L185=0),IF($K185="R",--AND(OR($I185=0,$J185=0),OR($I185&lt;&gt;0,$J185&lt;&gt;0),$L185=0),IF($K185="Q",--AND(OR(AND(ABS($I185)=ABS($J185),$I185&lt;&gt;0),AND(OR($I185=0,$J185=0),OR($I185&lt;&gt;0,$J185&lt;&gt;0))),$L185=0),IF($K185="K",--OR(MAX(ABS($I185),ABS($J185))=1,$M185=1),$N185))))))</f>
        <v>0</v>
      </c>
      <c r="P185" s="11" t="n">
        <f aca="false">IF($Q185="OK",1,0)</f>
        <v>0</v>
      </c>
      <c r="Q185" s="11" t="str">
        <f aca="false">IF($B185="","",IF(OR(COUNTIF($AH184:$CS184,"wK")=0,COUNTIF($AH184:$CS184,"bK")=0),"Game is over",IF(OR($D185=0,$E185=0),"Use the format e2e4",IF($G185="","No piece on that square",IF(LEFT($G185,1)&lt;&gt;$F185,"Not your piece ("&amp;IF($F185="w","White","Black")&amp;" to move)",IF($D185=$E185,"Piece must move",IF(AND($H185&lt;&gt;"",LEFT($H185,1)=$F185),"Cannot capture your own piece",IF($O185=0,"Illegal move for that piece (or path blocked)","OK"))))))))</f>
        <v/>
      </c>
      <c r="R185" s="11" t="n">
        <f aca="false">IF($P185=1,IF(AND($K185="P",ABS($J185)=2),($D185+$E185)/2,0),$R184)</f>
        <v>0</v>
      </c>
      <c r="S185" s="12" t="b">
        <f aca="false">--OR($S184=1,AND($P185=1,OR($D185=5,$E185=5)))</f>
        <v>0</v>
      </c>
      <c r="T185" s="12" t="b">
        <f aca="false">--OR($T184=1,AND($P185=1,OR($D185=1,$E185=1)))</f>
        <v>0</v>
      </c>
      <c r="U185" s="12" t="b">
        <f aca="false">--OR($U184=1,AND($P185=1,OR($D185=8,$E185=8)))</f>
        <v>0</v>
      </c>
      <c r="V185" s="12" t="b">
        <f aca="false">--OR($V184=1,AND($P185=1,OR($D185=61,$E185=61)))</f>
        <v>0</v>
      </c>
      <c r="W185" s="12" t="b">
        <f aca="false">--OR($W184=1,AND($P185=1,OR($D185=57,$E185=57)))</f>
        <v>0</v>
      </c>
      <c r="X185" s="12" t="b">
        <f aca="false">--OR($X184=1,AND($P185=1,OR($D185=64,$E185=64)))</f>
        <v>0</v>
      </c>
      <c r="Y185" s="12" t="b">
        <f aca="false">--AND($P185=1,$K185="K",ABS($I185)=2)</f>
        <v>0</v>
      </c>
      <c r="Z185" s="12" t="b">
        <f aca="false">--AND($P185=1,$K185="P",ABS($I185)=1,$H185="")</f>
        <v>0</v>
      </c>
      <c r="AA185" s="12" t="b">
        <f aca="false">--AND($P185=1,$K185="P",INT(($E185-1)/8)=IF($F185="w",7,0))</f>
        <v>0</v>
      </c>
      <c r="AB185" s="11" t="str">
        <f aca="false">IF(LEN($C185)&gt;=5,IF(ISNUMBER(FIND(MID($C185,5,1),"qrbn")),UPPER(MID($C185,5,1)),"Q"),"Q")</f>
        <v>Q</v>
      </c>
      <c r="AC185" s="11" t="n">
        <f aca="false">IF($Y185=1,IF($I185=2,$D185+3,$D185-4),0)</f>
        <v>0</v>
      </c>
      <c r="AD185" s="11" t="n">
        <f aca="false">IF($Y185=1,IF($I185=2,$D185+1,$D185-1),0)</f>
        <v>0</v>
      </c>
      <c r="AE185" s="11" t="n">
        <f aca="false">IF($Z185=1,$E185-8*IF($F185="w",1,-1),0)</f>
        <v>0</v>
      </c>
      <c r="AF185" s="11" t="str">
        <f aca="false">IF($B185="","",IF($P185=1,LOWER(INDEX($CV$2:$CV$13,MATCH($G185,$CU$2:$CU$13,0)))&amp;" "&amp;MID("abcdefgh",MOD($D185-1,8)+1,1)&amp;(INT(($D185-1)/8)+1)&amp;"→"&amp;MID("abcdefgh",MOD($E185-1,8)+1,1)&amp;(INT(($E185-1)/8)+1)&amp;IF(OR($H185&lt;&gt;"",$Z185=1)," ×","")&amp;IF($Y185=1," castles","")&amp;IF($Z185=1," e.p.","")&amp;IF($AA185=1," =" &amp;LOWER(INDEX($CV$2:$CV$13,MATCH($F185&amp;$AB185,$CU$2:$CU$13,0))),""),"X "&amp;$Q185))</f>
        <v/>
      </c>
      <c r="AG185" s="11"/>
      <c r="AH185" s="11" t="str">
        <f aca="false">IF($P185=0,AH184,IF(AH$3=$E185,IF($AA185=1,$F185&amp;$AB185,$G185),IF(OR(AH$3=$D185,AH$3=$AC185,AH$3=$AE185),"",IF(AH$3=$AD185,$F185&amp;"R",AH184))))</f>
        <v>wR</v>
      </c>
      <c r="AI185" s="11" t="str">
        <f aca="false">IF($P185=0,AI184,IF(AI$3=$E185,IF($AA185=1,$F185&amp;$AB185,$G185),IF(OR(AI$3=$D185,AI$3=$AC185,AI$3=$AE185),"",IF(AI$3=$AD185,$F185&amp;"R",AI184))))</f>
        <v>wN</v>
      </c>
      <c r="AJ185" s="11" t="str">
        <f aca="false">IF($P185=0,AJ184,IF(AJ$3=$E185,IF($AA185=1,$F185&amp;$AB185,$G185),IF(OR(AJ$3=$D185,AJ$3=$AC185,AJ$3=$AE185),"",IF(AJ$3=$AD185,$F185&amp;"R",AJ184))))</f>
        <v>wB</v>
      </c>
      <c r="AK185" s="11" t="str">
        <f aca="false">IF($P185=0,AK184,IF(AK$3=$E185,IF($AA185=1,$F185&amp;$AB185,$G185),IF(OR(AK$3=$D185,AK$3=$AC185,AK$3=$AE185),"",IF(AK$3=$AD185,$F185&amp;"R",AK184))))</f>
        <v>wQ</v>
      </c>
      <c r="AL185" s="11" t="str">
        <f aca="false">IF($P185=0,AL184,IF(AL$3=$E185,IF($AA185=1,$F185&amp;$AB185,$G185),IF(OR(AL$3=$D185,AL$3=$AC185,AL$3=$AE185),"",IF(AL$3=$AD185,$F185&amp;"R",AL184))))</f>
        <v>wK</v>
      </c>
      <c r="AM185" s="11" t="str">
        <f aca="false">IF($P185=0,AM184,IF(AM$3=$E185,IF($AA185=1,$F185&amp;$AB185,$G185),IF(OR(AM$3=$D185,AM$3=$AC185,AM$3=$AE185),"",IF(AM$3=$AD185,$F185&amp;"R",AM184))))</f>
        <v>wB</v>
      </c>
      <c r="AN185" s="11" t="str">
        <f aca="false">IF($P185=0,AN184,IF(AN$3=$E185,IF($AA185=1,$F185&amp;$AB185,$G185),IF(OR(AN$3=$D185,AN$3=$AC185,AN$3=$AE185),"",IF(AN$3=$AD185,$F185&amp;"R",AN184))))</f>
        <v>wN</v>
      </c>
      <c r="AO185" s="11" t="str">
        <f aca="false">IF($P185=0,AO184,IF(AO$3=$E185,IF($AA185=1,$F185&amp;$AB185,$G185),IF(OR(AO$3=$D185,AO$3=$AC185,AO$3=$AE185),"",IF(AO$3=$AD185,$F185&amp;"R",AO184))))</f>
        <v>wR</v>
      </c>
      <c r="AP185" s="11" t="str">
        <f aca="false">IF($P185=0,AP184,IF(AP$3=$E185,IF($AA185=1,$F185&amp;$AB185,$G185),IF(OR(AP$3=$D185,AP$3=$AC185,AP$3=$AE185),"",IF(AP$3=$AD185,$F185&amp;"R",AP184))))</f>
        <v>wP</v>
      </c>
      <c r="AQ185" s="11" t="str">
        <f aca="false">IF($P185=0,AQ184,IF(AQ$3=$E185,IF($AA185=1,$F185&amp;$AB185,$G185),IF(OR(AQ$3=$D185,AQ$3=$AC185,AQ$3=$AE185),"",IF(AQ$3=$AD185,$F185&amp;"R",AQ184))))</f>
        <v>wP</v>
      </c>
      <c r="AR185" s="11" t="str">
        <f aca="false">IF($P185=0,AR184,IF(AR$3=$E185,IF($AA185=1,$F185&amp;$AB185,$G185),IF(OR(AR$3=$D185,AR$3=$AC185,AR$3=$AE185),"",IF(AR$3=$AD185,$F185&amp;"R",AR184))))</f>
        <v>wP</v>
      </c>
      <c r="AS185" s="11" t="str">
        <f aca="false">IF($P185=0,AS184,IF(AS$3=$E185,IF($AA185=1,$F185&amp;$AB185,$G185),IF(OR(AS$3=$D185,AS$3=$AC185,AS$3=$AE185),"",IF(AS$3=$AD185,$F185&amp;"R",AS184))))</f>
        <v>wP</v>
      </c>
      <c r="AT185" s="11" t="str">
        <f aca="false">IF($P185=0,AT184,IF(AT$3=$E185,IF($AA185=1,$F185&amp;$AB185,$G185),IF(OR(AT$3=$D185,AT$3=$AC185,AT$3=$AE185),"",IF(AT$3=$AD185,$F185&amp;"R",AT184))))</f>
        <v>wP</v>
      </c>
      <c r="AU185" s="11" t="str">
        <f aca="false">IF($P185=0,AU184,IF(AU$3=$E185,IF($AA185=1,$F185&amp;$AB185,$G185),IF(OR(AU$3=$D185,AU$3=$AC185,AU$3=$AE185),"",IF(AU$3=$AD185,$F185&amp;"R",AU184))))</f>
        <v>wP</v>
      </c>
      <c r="AV185" s="11" t="str">
        <f aca="false">IF($P185=0,AV184,IF(AV$3=$E185,IF($AA185=1,$F185&amp;$AB185,$G185),IF(OR(AV$3=$D185,AV$3=$AC185,AV$3=$AE185),"",IF(AV$3=$AD185,$F185&amp;"R",AV184))))</f>
        <v>wP</v>
      </c>
      <c r="AW185" s="11" t="str">
        <f aca="false">IF($P185=0,AW184,IF(AW$3=$E185,IF($AA185=1,$F185&amp;$AB185,$G185),IF(OR(AW$3=$D185,AW$3=$AC185,AW$3=$AE185),"",IF(AW$3=$AD185,$F185&amp;"R",AW184))))</f>
        <v>wP</v>
      </c>
      <c r="AX185" s="11" t="str">
        <f aca="false">IF($P185=0,AX184,IF(AX$3=$E185,IF($AA185=1,$F185&amp;$AB185,$G185),IF(OR(AX$3=$D185,AX$3=$AC185,AX$3=$AE185),"",IF(AX$3=$AD185,$F185&amp;"R",AX184))))</f>
        <v/>
      </c>
      <c r="AY185" s="11" t="str">
        <f aca="false">IF($P185=0,AY184,IF(AY$3=$E185,IF($AA185=1,$F185&amp;$AB185,$G185),IF(OR(AY$3=$D185,AY$3=$AC185,AY$3=$AE185),"",IF(AY$3=$AD185,$F185&amp;"R",AY184))))</f>
        <v/>
      </c>
      <c r="AZ185" s="11" t="str">
        <f aca="false">IF($P185=0,AZ184,IF(AZ$3=$E185,IF($AA185=1,$F185&amp;$AB185,$G185),IF(OR(AZ$3=$D185,AZ$3=$AC185,AZ$3=$AE185),"",IF(AZ$3=$AD185,$F185&amp;"R",AZ184))))</f>
        <v/>
      </c>
      <c r="BA185" s="11" t="str">
        <f aca="false">IF($P185=0,BA184,IF(BA$3=$E185,IF($AA185=1,$F185&amp;$AB185,$G185),IF(OR(BA$3=$D185,BA$3=$AC185,BA$3=$AE185),"",IF(BA$3=$AD185,$F185&amp;"R",BA184))))</f>
        <v/>
      </c>
      <c r="BB185" s="11" t="str">
        <f aca="false">IF($P185=0,BB184,IF(BB$3=$E185,IF($AA185=1,$F185&amp;$AB185,$G185),IF(OR(BB$3=$D185,BB$3=$AC185,BB$3=$AE185),"",IF(BB$3=$AD185,$F185&amp;"R",BB184))))</f>
        <v/>
      </c>
      <c r="BC185" s="11" t="str">
        <f aca="false">IF($P185=0,BC184,IF(BC$3=$E185,IF($AA185=1,$F185&amp;$AB185,$G185),IF(OR(BC$3=$D185,BC$3=$AC185,BC$3=$AE185),"",IF(BC$3=$AD185,$F185&amp;"R",BC184))))</f>
        <v/>
      </c>
      <c r="BD185" s="11" t="str">
        <f aca="false">IF($P185=0,BD184,IF(BD$3=$E185,IF($AA185=1,$F185&amp;$AB185,$G185),IF(OR(BD$3=$D185,BD$3=$AC185,BD$3=$AE185),"",IF(BD$3=$AD185,$F185&amp;"R",BD184))))</f>
        <v/>
      </c>
      <c r="BE185" s="11" t="str">
        <f aca="false">IF($P185=0,BE184,IF(BE$3=$E185,IF($AA185=1,$F185&amp;$AB185,$G185),IF(OR(BE$3=$D185,BE$3=$AC185,BE$3=$AE185),"",IF(BE$3=$AD185,$F185&amp;"R",BE184))))</f>
        <v/>
      </c>
      <c r="BF185" s="11" t="str">
        <f aca="false">IF($P185=0,BF184,IF(BF$3=$E185,IF($AA185=1,$F185&amp;$AB185,$G185),IF(OR(BF$3=$D185,BF$3=$AC185,BF$3=$AE185),"",IF(BF$3=$AD185,$F185&amp;"R",BF184))))</f>
        <v/>
      </c>
      <c r="BG185" s="11" t="str">
        <f aca="false">IF($P185=0,BG184,IF(BG$3=$E185,IF($AA185=1,$F185&amp;$AB185,$G185),IF(OR(BG$3=$D185,BG$3=$AC185,BG$3=$AE185),"",IF(BG$3=$AD185,$F185&amp;"R",BG184))))</f>
        <v/>
      </c>
      <c r="BH185" s="11" t="str">
        <f aca="false">IF($P185=0,BH184,IF(BH$3=$E185,IF($AA185=1,$F185&amp;$AB185,$G185),IF(OR(BH$3=$D185,BH$3=$AC185,BH$3=$AE185),"",IF(BH$3=$AD185,$F185&amp;"R",BH184))))</f>
        <v/>
      </c>
      <c r="BI185" s="11" t="str">
        <f aca="false">IF($P185=0,BI184,IF(BI$3=$E185,IF($AA185=1,$F185&amp;$AB185,$G185),IF(OR(BI$3=$D185,BI$3=$AC185,BI$3=$AE185),"",IF(BI$3=$AD185,$F185&amp;"R",BI184))))</f>
        <v/>
      </c>
      <c r="BJ185" s="11" t="str">
        <f aca="false">IF($P185=0,BJ184,IF(BJ$3=$E185,IF($AA185=1,$F185&amp;$AB185,$G185),IF(OR(BJ$3=$D185,BJ$3=$AC185,BJ$3=$AE185),"",IF(BJ$3=$AD185,$F185&amp;"R",BJ184))))</f>
        <v/>
      </c>
      <c r="BK185" s="11" t="str">
        <f aca="false">IF($P185=0,BK184,IF(BK$3=$E185,IF($AA185=1,$F185&amp;$AB185,$G185),IF(OR(BK$3=$D185,BK$3=$AC185,BK$3=$AE185),"",IF(BK$3=$AD185,$F185&amp;"R",BK184))))</f>
        <v/>
      </c>
      <c r="BL185" s="11" t="str">
        <f aca="false">IF($P185=0,BL184,IF(BL$3=$E185,IF($AA185=1,$F185&amp;$AB185,$G185),IF(OR(BL$3=$D185,BL$3=$AC185,BL$3=$AE185),"",IF(BL$3=$AD185,$F185&amp;"R",BL184))))</f>
        <v/>
      </c>
      <c r="BM185" s="11" t="str">
        <f aca="false">IF($P185=0,BM184,IF(BM$3=$E185,IF($AA185=1,$F185&amp;$AB185,$G185),IF(OR(BM$3=$D185,BM$3=$AC185,BM$3=$AE185),"",IF(BM$3=$AD185,$F185&amp;"R",BM184))))</f>
        <v/>
      </c>
      <c r="BN185" s="11" t="str">
        <f aca="false">IF($P185=0,BN184,IF(BN$3=$E185,IF($AA185=1,$F185&amp;$AB185,$G185),IF(OR(BN$3=$D185,BN$3=$AC185,BN$3=$AE185),"",IF(BN$3=$AD185,$F185&amp;"R",BN184))))</f>
        <v/>
      </c>
      <c r="BO185" s="11" t="str">
        <f aca="false">IF($P185=0,BO184,IF(BO$3=$E185,IF($AA185=1,$F185&amp;$AB185,$G185),IF(OR(BO$3=$D185,BO$3=$AC185,BO$3=$AE185),"",IF(BO$3=$AD185,$F185&amp;"R",BO184))))</f>
        <v/>
      </c>
      <c r="BP185" s="11" t="str">
        <f aca="false">IF($P185=0,BP184,IF(BP$3=$E185,IF($AA185=1,$F185&amp;$AB185,$G185),IF(OR(BP$3=$D185,BP$3=$AC185,BP$3=$AE185),"",IF(BP$3=$AD185,$F185&amp;"R",BP184))))</f>
        <v/>
      </c>
      <c r="BQ185" s="11" t="str">
        <f aca="false">IF($P185=0,BQ184,IF(BQ$3=$E185,IF($AA185=1,$F185&amp;$AB185,$G185),IF(OR(BQ$3=$D185,BQ$3=$AC185,BQ$3=$AE185),"",IF(BQ$3=$AD185,$F185&amp;"R",BQ184))))</f>
        <v/>
      </c>
      <c r="BR185" s="11" t="str">
        <f aca="false">IF($P185=0,BR184,IF(BR$3=$E185,IF($AA185=1,$F185&amp;$AB185,$G185),IF(OR(BR$3=$D185,BR$3=$AC185,BR$3=$AE185),"",IF(BR$3=$AD185,$F185&amp;"R",BR184))))</f>
        <v/>
      </c>
      <c r="BS185" s="11" t="str">
        <f aca="false">IF($P185=0,BS184,IF(BS$3=$E185,IF($AA185=1,$F185&amp;$AB185,$G185),IF(OR(BS$3=$D185,BS$3=$AC185,BS$3=$AE185),"",IF(BS$3=$AD185,$F185&amp;"R",BS184))))</f>
        <v/>
      </c>
      <c r="BT185" s="11" t="str">
        <f aca="false">IF($P185=0,BT184,IF(BT$3=$E185,IF($AA185=1,$F185&amp;$AB185,$G185),IF(OR(BT$3=$D185,BT$3=$AC185,BT$3=$AE185),"",IF(BT$3=$AD185,$F185&amp;"R",BT184))))</f>
        <v/>
      </c>
      <c r="BU185" s="11" t="str">
        <f aca="false">IF($P185=0,BU184,IF(BU$3=$E185,IF($AA185=1,$F185&amp;$AB185,$G185),IF(OR(BU$3=$D185,BU$3=$AC185,BU$3=$AE185),"",IF(BU$3=$AD185,$F185&amp;"R",BU184))))</f>
        <v/>
      </c>
      <c r="BV185" s="11" t="str">
        <f aca="false">IF($P185=0,BV184,IF(BV$3=$E185,IF($AA185=1,$F185&amp;$AB185,$G185),IF(OR(BV$3=$D185,BV$3=$AC185,BV$3=$AE185),"",IF(BV$3=$AD185,$F185&amp;"R",BV184))))</f>
        <v/>
      </c>
      <c r="BW185" s="11" t="str">
        <f aca="false">IF($P185=0,BW184,IF(BW$3=$E185,IF($AA185=1,$F185&amp;$AB185,$G185),IF(OR(BW$3=$D185,BW$3=$AC185,BW$3=$AE185),"",IF(BW$3=$AD185,$F185&amp;"R",BW184))))</f>
        <v/>
      </c>
      <c r="BX185" s="11" t="str">
        <f aca="false">IF($P185=0,BX184,IF(BX$3=$E185,IF($AA185=1,$F185&amp;$AB185,$G185),IF(OR(BX$3=$D185,BX$3=$AC185,BX$3=$AE185),"",IF(BX$3=$AD185,$F185&amp;"R",BX184))))</f>
        <v/>
      </c>
      <c r="BY185" s="11" t="str">
        <f aca="false">IF($P185=0,BY184,IF(BY$3=$E185,IF($AA185=1,$F185&amp;$AB185,$G185),IF(OR(BY$3=$D185,BY$3=$AC185,BY$3=$AE185),"",IF(BY$3=$AD185,$F185&amp;"R",BY184))))</f>
        <v/>
      </c>
      <c r="BZ185" s="11" t="str">
        <f aca="false">IF($P185=0,BZ184,IF(BZ$3=$E185,IF($AA185=1,$F185&amp;$AB185,$G185),IF(OR(BZ$3=$D185,BZ$3=$AC185,BZ$3=$AE185),"",IF(BZ$3=$AD185,$F185&amp;"R",BZ184))))</f>
        <v/>
      </c>
      <c r="CA185" s="11" t="str">
        <f aca="false">IF($P185=0,CA184,IF(CA$3=$E185,IF($AA185=1,$F185&amp;$AB185,$G185),IF(OR(CA$3=$D185,CA$3=$AC185,CA$3=$AE185),"",IF(CA$3=$AD185,$F185&amp;"R",CA184))))</f>
        <v/>
      </c>
      <c r="CB185" s="11" t="str">
        <f aca="false">IF($P185=0,CB184,IF(CB$3=$E185,IF($AA185=1,$F185&amp;$AB185,$G185),IF(OR(CB$3=$D185,CB$3=$AC185,CB$3=$AE185),"",IF(CB$3=$AD185,$F185&amp;"R",CB184))))</f>
        <v/>
      </c>
      <c r="CC185" s="11" t="str">
        <f aca="false">IF($P185=0,CC184,IF(CC$3=$E185,IF($AA185=1,$F185&amp;$AB185,$G185),IF(OR(CC$3=$D185,CC$3=$AC185,CC$3=$AE185),"",IF(CC$3=$AD185,$F185&amp;"R",CC184))))</f>
        <v/>
      </c>
      <c r="CD185" s="11" t="str">
        <f aca="false">IF($P185=0,CD184,IF(CD$3=$E185,IF($AA185=1,$F185&amp;$AB185,$G185),IF(OR(CD$3=$D185,CD$3=$AC185,CD$3=$AE185),"",IF(CD$3=$AD185,$F185&amp;"R",CD184))))</f>
        <v>bP</v>
      </c>
      <c r="CE185" s="11" t="str">
        <f aca="false">IF($P185=0,CE184,IF(CE$3=$E185,IF($AA185=1,$F185&amp;$AB185,$G185),IF(OR(CE$3=$D185,CE$3=$AC185,CE$3=$AE185),"",IF(CE$3=$AD185,$F185&amp;"R",CE184))))</f>
        <v>bP</v>
      </c>
      <c r="CF185" s="11" t="str">
        <f aca="false">IF($P185=0,CF184,IF(CF$3=$E185,IF($AA185=1,$F185&amp;$AB185,$G185),IF(OR(CF$3=$D185,CF$3=$AC185,CF$3=$AE185),"",IF(CF$3=$AD185,$F185&amp;"R",CF184))))</f>
        <v>bP</v>
      </c>
      <c r="CG185" s="11" t="str">
        <f aca="false">IF($P185=0,CG184,IF(CG$3=$E185,IF($AA185=1,$F185&amp;$AB185,$G185),IF(OR(CG$3=$D185,CG$3=$AC185,CG$3=$AE185),"",IF(CG$3=$AD185,$F185&amp;"R",CG184))))</f>
        <v>bP</v>
      </c>
      <c r="CH185" s="11" t="str">
        <f aca="false">IF($P185=0,CH184,IF(CH$3=$E185,IF($AA185=1,$F185&amp;$AB185,$G185),IF(OR(CH$3=$D185,CH$3=$AC185,CH$3=$AE185),"",IF(CH$3=$AD185,$F185&amp;"R",CH184))))</f>
        <v>bP</v>
      </c>
      <c r="CI185" s="11" t="str">
        <f aca="false">IF($P185=0,CI184,IF(CI$3=$E185,IF($AA185=1,$F185&amp;$AB185,$G185),IF(OR(CI$3=$D185,CI$3=$AC185,CI$3=$AE185),"",IF(CI$3=$AD185,$F185&amp;"R",CI184))))</f>
        <v>bP</v>
      </c>
      <c r="CJ185" s="11" t="str">
        <f aca="false">IF($P185=0,CJ184,IF(CJ$3=$E185,IF($AA185=1,$F185&amp;$AB185,$G185),IF(OR(CJ$3=$D185,CJ$3=$AC185,CJ$3=$AE185),"",IF(CJ$3=$AD185,$F185&amp;"R",CJ184))))</f>
        <v>bP</v>
      </c>
      <c r="CK185" s="11" t="str">
        <f aca="false">IF($P185=0,CK184,IF(CK$3=$E185,IF($AA185=1,$F185&amp;$AB185,$G185),IF(OR(CK$3=$D185,CK$3=$AC185,CK$3=$AE185),"",IF(CK$3=$AD185,$F185&amp;"R",CK184))))</f>
        <v>bP</v>
      </c>
      <c r="CL185" s="11" t="str">
        <f aca="false">IF($P185=0,CL184,IF(CL$3=$E185,IF($AA185=1,$F185&amp;$AB185,$G185),IF(OR(CL$3=$D185,CL$3=$AC185,CL$3=$AE185),"",IF(CL$3=$AD185,$F185&amp;"R",CL184))))</f>
        <v>bR</v>
      </c>
      <c r="CM185" s="11" t="str">
        <f aca="false">IF($P185=0,CM184,IF(CM$3=$E185,IF($AA185=1,$F185&amp;$AB185,$G185),IF(OR(CM$3=$D185,CM$3=$AC185,CM$3=$AE185),"",IF(CM$3=$AD185,$F185&amp;"R",CM184))))</f>
        <v>bN</v>
      </c>
      <c r="CN185" s="11" t="str">
        <f aca="false">IF($P185=0,CN184,IF(CN$3=$E185,IF($AA185=1,$F185&amp;$AB185,$G185),IF(OR(CN$3=$D185,CN$3=$AC185,CN$3=$AE185),"",IF(CN$3=$AD185,$F185&amp;"R",CN184))))</f>
        <v>bB</v>
      </c>
      <c r="CO185" s="11" t="str">
        <f aca="false">IF($P185=0,CO184,IF(CO$3=$E185,IF($AA185=1,$F185&amp;$AB185,$G185),IF(OR(CO$3=$D185,CO$3=$AC185,CO$3=$AE185),"",IF(CO$3=$AD185,$F185&amp;"R",CO184))))</f>
        <v>bQ</v>
      </c>
      <c r="CP185" s="11" t="str">
        <f aca="false">IF($P185=0,CP184,IF(CP$3=$E185,IF($AA185=1,$F185&amp;$AB185,$G185),IF(OR(CP$3=$D185,CP$3=$AC185,CP$3=$AE185),"",IF(CP$3=$AD185,$F185&amp;"R",CP184))))</f>
        <v>bK</v>
      </c>
      <c r="CQ185" s="11" t="str">
        <f aca="false">IF($P185=0,CQ184,IF(CQ$3=$E185,IF($AA185=1,$F185&amp;$AB185,$G185),IF(OR(CQ$3=$D185,CQ$3=$AC185,CQ$3=$AE185),"",IF(CQ$3=$AD185,$F185&amp;"R",CQ184))))</f>
        <v>bB</v>
      </c>
      <c r="CR185" s="11" t="str">
        <f aca="false">IF($P185=0,CR184,IF(CR$3=$E185,IF($AA185=1,$F185&amp;$AB185,$G185),IF(OR(CR$3=$D185,CR$3=$AC185,CR$3=$AE185),"",IF(CR$3=$AD185,$F185&amp;"R",CR184))))</f>
        <v>bN</v>
      </c>
      <c r="CS185" s="11" t="str">
        <f aca="false">IF($P185=0,CS184,IF(CS$3=$E185,IF($AA185=1,$F185&amp;$AB185,$G185),IF(OR(CS$3=$D185,CS$3=$AC185,CS$3=$AE185),"",IF(CS$3=$AD185,$F185&amp;"R",CS184))))</f>
        <v>bR</v>
      </c>
      <c r="CT185" s="11"/>
      <c r="CU185" s="11"/>
      <c r="CV185" s="11"/>
    </row>
    <row r="186" customFormat="false" ht="15" hidden="false" customHeight="false" outlineLevel="0" collapsed="false">
      <c r="A186" s="11" t="n">
        <v>181</v>
      </c>
      <c r="B186" s="11" t="str">
        <f aca="false">IF(Chess!$L$190="","",Chess!$L$190&amp;"")</f>
        <v/>
      </c>
      <c r="C186" s="11" t="str">
        <f aca="false">LOWER(SUBSTITUTE(SUBSTITUTE(SUBSTITUTE(SUBSTITUTE(TRIM($B186),"-",""),"=","")," ",""),"x",""))</f>
        <v/>
      </c>
      <c r="D186" s="11" t="n">
        <f aca="false">IF(LEN($C186)&lt;4,0,IFERROR(IF(AND(CODE(MID($C186,1,1))&gt;=97,CODE(MID($C186,1,1))&lt;=104,VALUE(MID($C186,2,1))&gt;=1,VALUE(MID($C186,2,1))&lt;=8),(VALUE(MID($C186,2,1))-1)*8+CODE(MID($C186,1,1))-96,0),0))</f>
        <v>0</v>
      </c>
      <c r="E186" s="11" t="n">
        <f aca="false">IF(LEN($C186)&lt;4,0,IFERROR(IF(AND(CODE(MID($C186,3,1))&gt;=97,CODE(MID($C186,3,1))&lt;=104,VALUE(MID($C186,4,1))&gt;=1,VALUE(MID($C186,4,1))&lt;=8),(VALUE(MID($C186,4,1))-1)*8+CODE(MID($C186,3,1))-96,0),0))</f>
        <v>0</v>
      </c>
      <c r="F186" s="11" t="str">
        <f aca="false">IF(MOD(SUM($P$5:$P185),2)=0,"w","b")</f>
        <v>w</v>
      </c>
      <c r="G186" s="11" t="str">
        <f aca="false">IF($D186=0,"",INDEX($AH185:$CS185,1,$D186)&amp;"")</f>
        <v/>
      </c>
      <c r="H186" s="11" t="str">
        <f aca="false">IF($E186=0,"",INDEX($AH185:$CS185,1,$E186)&amp;"")</f>
        <v/>
      </c>
      <c r="I186" s="11" t="n">
        <f aca="false">IF(OR($D186=0,$E186=0),0,MOD($E186-1,8)-MOD($D186-1,8))</f>
        <v>0</v>
      </c>
      <c r="J186" s="11" t="n">
        <f aca="false">IF(OR($D186=0,$E186=0),0,INT(($E186-1)/8)-INT(($D186-1)/8))</f>
        <v>0</v>
      </c>
      <c r="K186" s="11" t="str">
        <f aca="false">IF($G186="","",RIGHT($G186,1))</f>
        <v/>
      </c>
      <c r="L186" s="11" t="n">
        <f aca="false">IF(OR($D186=0,$E186=0),0,SUMPRODUCT(($AH$3:$CS$3&gt;MIN($D186,$E186))*($AH$3:$CS$3&lt;MAX($D186,$E186))*(MOD($AH$3:$CS$3-MIN($D186,$E186),MAX(1,ABS(SIGN($J186)*8+SIGN($I186))))=0)*($AH185:$CS185&lt;&gt;"")))</f>
        <v>0</v>
      </c>
      <c r="M186" s="11" t="n">
        <f aca="false">IF($K186&lt;&gt;"K",0,IFERROR(--AND($J186=0,ABS($I186)=2,$D186=IF($F186="w",5,61),IF($F186="w",$S185,$V185)=0,IF($I186=2,AND(IF($F186="w",$U185,$X185)=0,INDEX($AH185:$CS185,1,$D186+1)&amp;""="",INDEX($AH185:$CS185,1,$D186+2)&amp;""=""),AND(IF($F186="w",$T185,$W185)=0,INDEX($AH185:$CS185,1,$D186-1)&amp;""="",INDEX($AH185:$CS185,1,$D186-2)&amp;""="",INDEX($AH185:$CS185,1,$D186-3)&amp;""=""))),0))</f>
        <v>0</v>
      </c>
      <c r="N186" s="11" t="n">
        <f aca="false">IF($K186&lt;&gt;"P",0,IFERROR(--OR(AND($I186=0,$J186=IF($F186="w",1,-1),$H186=""),AND($I186=0,$J186=2*IF($F186="w",1,-1),$H186="",INT(($D186-1)/8)=IF($F186="w",1,6),INDEX($AH185:$CS185,1,MAX(1,MIN(64,$D186+8*IF($F186="w",1,-1))))&amp;""=""),AND(ABS($I186)=1,$J186=IF($F186="w",1,-1),$H186&lt;&gt;""),AND(ABS($I186)=1,$J186=IF($F186="w",1,-1),$H186="",$R185&gt;0,$E186=$R185)),0))</f>
        <v>0</v>
      </c>
      <c r="O186" s="11" t="n">
        <f aca="false">IF(OR($D186=0,$E186=0,$G186=""),0,IF($K186="N",--OR(AND(ABS($I186)=1,ABS($J186)=2),AND(ABS($I186)=2,ABS($J186)=1)),IF($K186="B",--AND(ABS($I186)=ABS($J186),$I186&lt;&gt;0,$L186=0),IF($K186="R",--AND(OR($I186=0,$J186=0),OR($I186&lt;&gt;0,$J186&lt;&gt;0),$L186=0),IF($K186="Q",--AND(OR(AND(ABS($I186)=ABS($J186),$I186&lt;&gt;0),AND(OR($I186=0,$J186=0),OR($I186&lt;&gt;0,$J186&lt;&gt;0))),$L186=0),IF($K186="K",--OR(MAX(ABS($I186),ABS($J186))=1,$M186=1),$N186))))))</f>
        <v>0</v>
      </c>
      <c r="P186" s="11" t="n">
        <f aca="false">IF($Q186="OK",1,0)</f>
        <v>0</v>
      </c>
      <c r="Q186" s="11" t="str">
        <f aca="false">IF($B186="","",IF(OR(COUNTIF($AH185:$CS185,"wK")=0,COUNTIF($AH185:$CS185,"bK")=0),"Game is over",IF(OR($D186=0,$E186=0),"Use the format e2e4",IF($G186="","No piece on that square",IF(LEFT($G186,1)&lt;&gt;$F186,"Not your piece ("&amp;IF($F186="w","White","Black")&amp;" to move)",IF($D186=$E186,"Piece must move",IF(AND($H186&lt;&gt;"",LEFT($H186,1)=$F186),"Cannot capture your own piece",IF($O186=0,"Illegal move for that piece (or path blocked)","OK"))))))))</f>
        <v/>
      </c>
      <c r="R186" s="11" t="n">
        <f aca="false">IF($P186=1,IF(AND($K186="P",ABS($J186)=2),($D186+$E186)/2,0),$R185)</f>
        <v>0</v>
      </c>
      <c r="S186" s="12" t="b">
        <f aca="false">--OR($S185=1,AND($P186=1,OR($D186=5,$E186=5)))</f>
        <v>0</v>
      </c>
      <c r="T186" s="12" t="b">
        <f aca="false">--OR($T185=1,AND($P186=1,OR($D186=1,$E186=1)))</f>
        <v>0</v>
      </c>
      <c r="U186" s="12" t="b">
        <f aca="false">--OR($U185=1,AND($P186=1,OR($D186=8,$E186=8)))</f>
        <v>0</v>
      </c>
      <c r="V186" s="12" t="b">
        <f aca="false">--OR($V185=1,AND($P186=1,OR($D186=61,$E186=61)))</f>
        <v>0</v>
      </c>
      <c r="W186" s="12" t="b">
        <f aca="false">--OR($W185=1,AND($P186=1,OR($D186=57,$E186=57)))</f>
        <v>0</v>
      </c>
      <c r="X186" s="12" t="b">
        <f aca="false">--OR($X185=1,AND($P186=1,OR($D186=64,$E186=64)))</f>
        <v>0</v>
      </c>
      <c r="Y186" s="12" t="b">
        <f aca="false">--AND($P186=1,$K186="K",ABS($I186)=2)</f>
        <v>0</v>
      </c>
      <c r="Z186" s="12" t="b">
        <f aca="false">--AND($P186=1,$K186="P",ABS($I186)=1,$H186="")</f>
        <v>0</v>
      </c>
      <c r="AA186" s="12" t="b">
        <f aca="false">--AND($P186=1,$K186="P",INT(($E186-1)/8)=IF($F186="w",7,0))</f>
        <v>0</v>
      </c>
      <c r="AB186" s="11" t="str">
        <f aca="false">IF(LEN($C186)&gt;=5,IF(ISNUMBER(FIND(MID($C186,5,1),"qrbn")),UPPER(MID($C186,5,1)),"Q"),"Q")</f>
        <v>Q</v>
      </c>
      <c r="AC186" s="11" t="n">
        <f aca="false">IF($Y186=1,IF($I186=2,$D186+3,$D186-4),0)</f>
        <v>0</v>
      </c>
      <c r="AD186" s="11" t="n">
        <f aca="false">IF($Y186=1,IF($I186=2,$D186+1,$D186-1),0)</f>
        <v>0</v>
      </c>
      <c r="AE186" s="11" t="n">
        <f aca="false">IF($Z186=1,$E186-8*IF($F186="w",1,-1),0)</f>
        <v>0</v>
      </c>
      <c r="AF186" s="11" t="str">
        <f aca="false">IF($B186="","",IF($P186=1,LOWER(INDEX($CV$2:$CV$13,MATCH($G186,$CU$2:$CU$13,0)))&amp;" "&amp;MID("abcdefgh",MOD($D186-1,8)+1,1)&amp;(INT(($D186-1)/8)+1)&amp;"→"&amp;MID("abcdefgh",MOD($E186-1,8)+1,1)&amp;(INT(($E186-1)/8)+1)&amp;IF(OR($H186&lt;&gt;"",$Z186=1)," ×","")&amp;IF($Y186=1," castles","")&amp;IF($Z186=1," e.p.","")&amp;IF($AA186=1," =" &amp;LOWER(INDEX($CV$2:$CV$13,MATCH($F186&amp;$AB186,$CU$2:$CU$13,0))),""),"X "&amp;$Q186))</f>
        <v/>
      </c>
      <c r="AG186" s="11"/>
      <c r="AH186" s="11" t="str">
        <f aca="false">IF($P186=0,AH185,IF(AH$3=$E186,IF($AA186=1,$F186&amp;$AB186,$G186),IF(OR(AH$3=$D186,AH$3=$AC186,AH$3=$AE186),"",IF(AH$3=$AD186,$F186&amp;"R",AH185))))</f>
        <v>wR</v>
      </c>
      <c r="AI186" s="11" t="str">
        <f aca="false">IF($P186=0,AI185,IF(AI$3=$E186,IF($AA186=1,$F186&amp;$AB186,$G186),IF(OR(AI$3=$D186,AI$3=$AC186,AI$3=$AE186),"",IF(AI$3=$AD186,$F186&amp;"R",AI185))))</f>
        <v>wN</v>
      </c>
      <c r="AJ186" s="11" t="str">
        <f aca="false">IF($P186=0,AJ185,IF(AJ$3=$E186,IF($AA186=1,$F186&amp;$AB186,$G186),IF(OR(AJ$3=$D186,AJ$3=$AC186,AJ$3=$AE186),"",IF(AJ$3=$AD186,$F186&amp;"R",AJ185))))</f>
        <v>wB</v>
      </c>
      <c r="AK186" s="11" t="str">
        <f aca="false">IF($P186=0,AK185,IF(AK$3=$E186,IF($AA186=1,$F186&amp;$AB186,$G186),IF(OR(AK$3=$D186,AK$3=$AC186,AK$3=$AE186),"",IF(AK$3=$AD186,$F186&amp;"R",AK185))))</f>
        <v>wQ</v>
      </c>
      <c r="AL186" s="11" t="str">
        <f aca="false">IF($P186=0,AL185,IF(AL$3=$E186,IF($AA186=1,$F186&amp;$AB186,$G186),IF(OR(AL$3=$D186,AL$3=$AC186,AL$3=$AE186),"",IF(AL$3=$AD186,$F186&amp;"R",AL185))))</f>
        <v>wK</v>
      </c>
      <c r="AM186" s="11" t="str">
        <f aca="false">IF($P186=0,AM185,IF(AM$3=$E186,IF($AA186=1,$F186&amp;$AB186,$G186),IF(OR(AM$3=$D186,AM$3=$AC186,AM$3=$AE186),"",IF(AM$3=$AD186,$F186&amp;"R",AM185))))</f>
        <v>wB</v>
      </c>
      <c r="AN186" s="11" t="str">
        <f aca="false">IF($P186=0,AN185,IF(AN$3=$E186,IF($AA186=1,$F186&amp;$AB186,$G186),IF(OR(AN$3=$D186,AN$3=$AC186,AN$3=$AE186),"",IF(AN$3=$AD186,$F186&amp;"R",AN185))))</f>
        <v>wN</v>
      </c>
      <c r="AO186" s="11" t="str">
        <f aca="false">IF($P186=0,AO185,IF(AO$3=$E186,IF($AA186=1,$F186&amp;$AB186,$G186),IF(OR(AO$3=$D186,AO$3=$AC186,AO$3=$AE186),"",IF(AO$3=$AD186,$F186&amp;"R",AO185))))</f>
        <v>wR</v>
      </c>
      <c r="AP186" s="11" t="str">
        <f aca="false">IF($P186=0,AP185,IF(AP$3=$E186,IF($AA186=1,$F186&amp;$AB186,$G186),IF(OR(AP$3=$D186,AP$3=$AC186,AP$3=$AE186),"",IF(AP$3=$AD186,$F186&amp;"R",AP185))))</f>
        <v>wP</v>
      </c>
      <c r="AQ186" s="11" t="str">
        <f aca="false">IF($P186=0,AQ185,IF(AQ$3=$E186,IF($AA186=1,$F186&amp;$AB186,$G186),IF(OR(AQ$3=$D186,AQ$3=$AC186,AQ$3=$AE186),"",IF(AQ$3=$AD186,$F186&amp;"R",AQ185))))</f>
        <v>wP</v>
      </c>
      <c r="AR186" s="11" t="str">
        <f aca="false">IF($P186=0,AR185,IF(AR$3=$E186,IF($AA186=1,$F186&amp;$AB186,$G186),IF(OR(AR$3=$D186,AR$3=$AC186,AR$3=$AE186),"",IF(AR$3=$AD186,$F186&amp;"R",AR185))))</f>
        <v>wP</v>
      </c>
      <c r="AS186" s="11" t="str">
        <f aca="false">IF($P186=0,AS185,IF(AS$3=$E186,IF($AA186=1,$F186&amp;$AB186,$G186),IF(OR(AS$3=$D186,AS$3=$AC186,AS$3=$AE186),"",IF(AS$3=$AD186,$F186&amp;"R",AS185))))</f>
        <v>wP</v>
      </c>
      <c r="AT186" s="11" t="str">
        <f aca="false">IF($P186=0,AT185,IF(AT$3=$E186,IF($AA186=1,$F186&amp;$AB186,$G186),IF(OR(AT$3=$D186,AT$3=$AC186,AT$3=$AE186),"",IF(AT$3=$AD186,$F186&amp;"R",AT185))))</f>
        <v>wP</v>
      </c>
      <c r="AU186" s="11" t="str">
        <f aca="false">IF($P186=0,AU185,IF(AU$3=$E186,IF($AA186=1,$F186&amp;$AB186,$G186),IF(OR(AU$3=$D186,AU$3=$AC186,AU$3=$AE186),"",IF(AU$3=$AD186,$F186&amp;"R",AU185))))</f>
        <v>wP</v>
      </c>
      <c r="AV186" s="11" t="str">
        <f aca="false">IF($P186=0,AV185,IF(AV$3=$E186,IF($AA186=1,$F186&amp;$AB186,$G186),IF(OR(AV$3=$D186,AV$3=$AC186,AV$3=$AE186),"",IF(AV$3=$AD186,$F186&amp;"R",AV185))))</f>
        <v>wP</v>
      </c>
      <c r="AW186" s="11" t="str">
        <f aca="false">IF($P186=0,AW185,IF(AW$3=$E186,IF($AA186=1,$F186&amp;$AB186,$G186),IF(OR(AW$3=$D186,AW$3=$AC186,AW$3=$AE186),"",IF(AW$3=$AD186,$F186&amp;"R",AW185))))</f>
        <v>wP</v>
      </c>
      <c r="AX186" s="11" t="str">
        <f aca="false">IF($P186=0,AX185,IF(AX$3=$E186,IF($AA186=1,$F186&amp;$AB186,$G186),IF(OR(AX$3=$D186,AX$3=$AC186,AX$3=$AE186),"",IF(AX$3=$AD186,$F186&amp;"R",AX185))))</f>
        <v/>
      </c>
      <c r="AY186" s="11" t="str">
        <f aca="false">IF($P186=0,AY185,IF(AY$3=$E186,IF($AA186=1,$F186&amp;$AB186,$G186),IF(OR(AY$3=$D186,AY$3=$AC186,AY$3=$AE186),"",IF(AY$3=$AD186,$F186&amp;"R",AY185))))</f>
        <v/>
      </c>
      <c r="AZ186" s="11" t="str">
        <f aca="false">IF($P186=0,AZ185,IF(AZ$3=$E186,IF($AA186=1,$F186&amp;$AB186,$G186),IF(OR(AZ$3=$D186,AZ$3=$AC186,AZ$3=$AE186),"",IF(AZ$3=$AD186,$F186&amp;"R",AZ185))))</f>
        <v/>
      </c>
      <c r="BA186" s="11" t="str">
        <f aca="false">IF($P186=0,BA185,IF(BA$3=$E186,IF($AA186=1,$F186&amp;$AB186,$G186),IF(OR(BA$3=$D186,BA$3=$AC186,BA$3=$AE186),"",IF(BA$3=$AD186,$F186&amp;"R",BA185))))</f>
        <v/>
      </c>
      <c r="BB186" s="11" t="str">
        <f aca="false">IF($P186=0,BB185,IF(BB$3=$E186,IF($AA186=1,$F186&amp;$AB186,$G186),IF(OR(BB$3=$D186,BB$3=$AC186,BB$3=$AE186),"",IF(BB$3=$AD186,$F186&amp;"R",BB185))))</f>
        <v/>
      </c>
      <c r="BC186" s="11" t="str">
        <f aca="false">IF($P186=0,BC185,IF(BC$3=$E186,IF($AA186=1,$F186&amp;$AB186,$G186),IF(OR(BC$3=$D186,BC$3=$AC186,BC$3=$AE186),"",IF(BC$3=$AD186,$F186&amp;"R",BC185))))</f>
        <v/>
      </c>
      <c r="BD186" s="11" t="str">
        <f aca="false">IF($P186=0,BD185,IF(BD$3=$E186,IF($AA186=1,$F186&amp;$AB186,$G186),IF(OR(BD$3=$D186,BD$3=$AC186,BD$3=$AE186),"",IF(BD$3=$AD186,$F186&amp;"R",BD185))))</f>
        <v/>
      </c>
      <c r="BE186" s="11" t="str">
        <f aca="false">IF($P186=0,BE185,IF(BE$3=$E186,IF($AA186=1,$F186&amp;$AB186,$G186),IF(OR(BE$3=$D186,BE$3=$AC186,BE$3=$AE186),"",IF(BE$3=$AD186,$F186&amp;"R",BE185))))</f>
        <v/>
      </c>
      <c r="BF186" s="11" t="str">
        <f aca="false">IF($P186=0,BF185,IF(BF$3=$E186,IF($AA186=1,$F186&amp;$AB186,$G186),IF(OR(BF$3=$D186,BF$3=$AC186,BF$3=$AE186),"",IF(BF$3=$AD186,$F186&amp;"R",BF185))))</f>
        <v/>
      </c>
      <c r="BG186" s="11" t="str">
        <f aca="false">IF($P186=0,BG185,IF(BG$3=$E186,IF($AA186=1,$F186&amp;$AB186,$G186),IF(OR(BG$3=$D186,BG$3=$AC186,BG$3=$AE186),"",IF(BG$3=$AD186,$F186&amp;"R",BG185))))</f>
        <v/>
      </c>
      <c r="BH186" s="11" t="str">
        <f aca="false">IF($P186=0,BH185,IF(BH$3=$E186,IF($AA186=1,$F186&amp;$AB186,$G186),IF(OR(BH$3=$D186,BH$3=$AC186,BH$3=$AE186),"",IF(BH$3=$AD186,$F186&amp;"R",BH185))))</f>
        <v/>
      </c>
      <c r="BI186" s="11" t="str">
        <f aca="false">IF($P186=0,BI185,IF(BI$3=$E186,IF($AA186=1,$F186&amp;$AB186,$G186),IF(OR(BI$3=$D186,BI$3=$AC186,BI$3=$AE186),"",IF(BI$3=$AD186,$F186&amp;"R",BI185))))</f>
        <v/>
      </c>
      <c r="BJ186" s="11" t="str">
        <f aca="false">IF($P186=0,BJ185,IF(BJ$3=$E186,IF($AA186=1,$F186&amp;$AB186,$G186),IF(OR(BJ$3=$D186,BJ$3=$AC186,BJ$3=$AE186),"",IF(BJ$3=$AD186,$F186&amp;"R",BJ185))))</f>
        <v/>
      </c>
      <c r="BK186" s="11" t="str">
        <f aca="false">IF($P186=0,BK185,IF(BK$3=$E186,IF($AA186=1,$F186&amp;$AB186,$G186),IF(OR(BK$3=$D186,BK$3=$AC186,BK$3=$AE186),"",IF(BK$3=$AD186,$F186&amp;"R",BK185))))</f>
        <v/>
      </c>
      <c r="BL186" s="11" t="str">
        <f aca="false">IF($P186=0,BL185,IF(BL$3=$E186,IF($AA186=1,$F186&amp;$AB186,$G186),IF(OR(BL$3=$D186,BL$3=$AC186,BL$3=$AE186),"",IF(BL$3=$AD186,$F186&amp;"R",BL185))))</f>
        <v/>
      </c>
      <c r="BM186" s="11" t="str">
        <f aca="false">IF($P186=0,BM185,IF(BM$3=$E186,IF($AA186=1,$F186&amp;$AB186,$G186),IF(OR(BM$3=$D186,BM$3=$AC186,BM$3=$AE186),"",IF(BM$3=$AD186,$F186&amp;"R",BM185))))</f>
        <v/>
      </c>
      <c r="BN186" s="11" t="str">
        <f aca="false">IF($P186=0,BN185,IF(BN$3=$E186,IF($AA186=1,$F186&amp;$AB186,$G186),IF(OR(BN$3=$D186,BN$3=$AC186,BN$3=$AE186),"",IF(BN$3=$AD186,$F186&amp;"R",BN185))))</f>
        <v/>
      </c>
      <c r="BO186" s="11" t="str">
        <f aca="false">IF($P186=0,BO185,IF(BO$3=$E186,IF($AA186=1,$F186&amp;$AB186,$G186),IF(OR(BO$3=$D186,BO$3=$AC186,BO$3=$AE186),"",IF(BO$3=$AD186,$F186&amp;"R",BO185))))</f>
        <v/>
      </c>
      <c r="BP186" s="11" t="str">
        <f aca="false">IF($P186=0,BP185,IF(BP$3=$E186,IF($AA186=1,$F186&amp;$AB186,$G186),IF(OR(BP$3=$D186,BP$3=$AC186,BP$3=$AE186),"",IF(BP$3=$AD186,$F186&amp;"R",BP185))))</f>
        <v/>
      </c>
      <c r="BQ186" s="11" t="str">
        <f aca="false">IF($P186=0,BQ185,IF(BQ$3=$E186,IF($AA186=1,$F186&amp;$AB186,$G186),IF(OR(BQ$3=$D186,BQ$3=$AC186,BQ$3=$AE186),"",IF(BQ$3=$AD186,$F186&amp;"R",BQ185))))</f>
        <v/>
      </c>
      <c r="BR186" s="11" t="str">
        <f aca="false">IF($P186=0,BR185,IF(BR$3=$E186,IF($AA186=1,$F186&amp;$AB186,$G186),IF(OR(BR$3=$D186,BR$3=$AC186,BR$3=$AE186),"",IF(BR$3=$AD186,$F186&amp;"R",BR185))))</f>
        <v/>
      </c>
      <c r="BS186" s="11" t="str">
        <f aca="false">IF($P186=0,BS185,IF(BS$3=$E186,IF($AA186=1,$F186&amp;$AB186,$G186),IF(OR(BS$3=$D186,BS$3=$AC186,BS$3=$AE186),"",IF(BS$3=$AD186,$F186&amp;"R",BS185))))</f>
        <v/>
      </c>
      <c r="BT186" s="11" t="str">
        <f aca="false">IF($P186=0,BT185,IF(BT$3=$E186,IF($AA186=1,$F186&amp;$AB186,$G186),IF(OR(BT$3=$D186,BT$3=$AC186,BT$3=$AE186),"",IF(BT$3=$AD186,$F186&amp;"R",BT185))))</f>
        <v/>
      </c>
      <c r="BU186" s="11" t="str">
        <f aca="false">IF($P186=0,BU185,IF(BU$3=$E186,IF($AA186=1,$F186&amp;$AB186,$G186),IF(OR(BU$3=$D186,BU$3=$AC186,BU$3=$AE186),"",IF(BU$3=$AD186,$F186&amp;"R",BU185))))</f>
        <v/>
      </c>
      <c r="BV186" s="11" t="str">
        <f aca="false">IF($P186=0,BV185,IF(BV$3=$E186,IF($AA186=1,$F186&amp;$AB186,$G186),IF(OR(BV$3=$D186,BV$3=$AC186,BV$3=$AE186),"",IF(BV$3=$AD186,$F186&amp;"R",BV185))))</f>
        <v/>
      </c>
      <c r="BW186" s="11" t="str">
        <f aca="false">IF($P186=0,BW185,IF(BW$3=$E186,IF($AA186=1,$F186&amp;$AB186,$G186),IF(OR(BW$3=$D186,BW$3=$AC186,BW$3=$AE186),"",IF(BW$3=$AD186,$F186&amp;"R",BW185))))</f>
        <v/>
      </c>
      <c r="BX186" s="11" t="str">
        <f aca="false">IF($P186=0,BX185,IF(BX$3=$E186,IF($AA186=1,$F186&amp;$AB186,$G186),IF(OR(BX$3=$D186,BX$3=$AC186,BX$3=$AE186),"",IF(BX$3=$AD186,$F186&amp;"R",BX185))))</f>
        <v/>
      </c>
      <c r="BY186" s="11" t="str">
        <f aca="false">IF($P186=0,BY185,IF(BY$3=$E186,IF($AA186=1,$F186&amp;$AB186,$G186),IF(OR(BY$3=$D186,BY$3=$AC186,BY$3=$AE186),"",IF(BY$3=$AD186,$F186&amp;"R",BY185))))</f>
        <v/>
      </c>
      <c r="BZ186" s="11" t="str">
        <f aca="false">IF($P186=0,BZ185,IF(BZ$3=$E186,IF($AA186=1,$F186&amp;$AB186,$G186),IF(OR(BZ$3=$D186,BZ$3=$AC186,BZ$3=$AE186),"",IF(BZ$3=$AD186,$F186&amp;"R",BZ185))))</f>
        <v/>
      </c>
      <c r="CA186" s="11" t="str">
        <f aca="false">IF($P186=0,CA185,IF(CA$3=$E186,IF($AA186=1,$F186&amp;$AB186,$G186),IF(OR(CA$3=$D186,CA$3=$AC186,CA$3=$AE186),"",IF(CA$3=$AD186,$F186&amp;"R",CA185))))</f>
        <v/>
      </c>
      <c r="CB186" s="11" t="str">
        <f aca="false">IF($P186=0,CB185,IF(CB$3=$E186,IF($AA186=1,$F186&amp;$AB186,$G186),IF(OR(CB$3=$D186,CB$3=$AC186,CB$3=$AE186),"",IF(CB$3=$AD186,$F186&amp;"R",CB185))))</f>
        <v/>
      </c>
      <c r="CC186" s="11" t="str">
        <f aca="false">IF($P186=0,CC185,IF(CC$3=$E186,IF($AA186=1,$F186&amp;$AB186,$G186),IF(OR(CC$3=$D186,CC$3=$AC186,CC$3=$AE186),"",IF(CC$3=$AD186,$F186&amp;"R",CC185))))</f>
        <v/>
      </c>
      <c r="CD186" s="11" t="str">
        <f aca="false">IF($P186=0,CD185,IF(CD$3=$E186,IF($AA186=1,$F186&amp;$AB186,$G186),IF(OR(CD$3=$D186,CD$3=$AC186,CD$3=$AE186),"",IF(CD$3=$AD186,$F186&amp;"R",CD185))))</f>
        <v>bP</v>
      </c>
      <c r="CE186" s="11" t="str">
        <f aca="false">IF($P186=0,CE185,IF(CE$3=$E186,IF($AA186=1,$F186&amp;$AB186,$G186),IF(OR(CE$3=$D186,CE$3=$AC186,CE$3=$AE186),"",IF(CE$3=$AD186,$F186&amp;"R",CE185))))</f>
        <v>bP</v>
      </c>
      <c r="CF186" s="11" t="str">
        <f aca="false">IF($P186=0,CF185,IF(CF$3=$E186,IF($AA186=1,$F186&amp;$AB186,$G186),IF(OR(CF$3=$D186,CF$3=$AC186,CF$3=$AE186),"",IF(CF$3=$AD186,$F186&amp;"R",CF185))))</f>
        <v>bP</v>
      </c>
      <c r="CG186" s="11" t="str">
        <f aca="false">IF($P186=0,CG185,IF(CG$3=$E186,IF($AA186=1,$F186&amp;$AB186,$G186),IF(OR(CG$3=$D186,CG$3=$AC186,CG$3=$AE186),"",IF(CG$3=$AD186,$F186&amp;"R",CG185))))</f>
        <v>bP</v>
      </c>
      <c r="CH186" s="11" t="str">
        <f aca="false">IF($P186=0,CH185,IF(CH$3=$E186,IF($AA186=1,$F186&amp;$AB186,$G186),IF(OR(CH$3=$D186,CH$3=$AC186,CH$3=$AE186),"",IF(CH$3=$AD186,$F186&amp;"R",CH185))))</f>
        <v>bP</v>
      </c>
      <c r="CI186" s="11" t="str">
        <f aca="false">IF($P186=0,CI185,IF(CI$3=$E186,IF($AA186=1,$F186&amp;$AB186,$G186),IF(OR(CI$3=$D186,CI$3=$AC186,CI$3=$AE186),"",IF(CI$3=$AD186,$F186&amp;"R",CI185))))</f>
        <v>bP</v>
      </c>
      <c r="CJ186" s="11" t="str">
        <f aca="false">IF($P186=0,CJ185,IF(CJ$3=$E186,IF($AA186=1,$F186&amp;$AB186,$G186),IF(OR(CJ$3=$D186,CJ$3=$AC186,CJ$3=$AE186),"",IF(CJ$3=$AD186,$F186&amp;"R",CJ185))))</f>
        <v>bP</v>
      </c>
      <c r="CK186" s="11" t="str">
        <f aca="false">IF($P186=0,CK185,IF(CK$3=$E186,IF($AA186=1,$F186&amp;$AB186,$G186),IF(OR(CK$3=$D186,CK$3=$AC186,CK$3=$AE186),"",IF(CK$3=$AD186,$F186&amp;"R",CK185))))</f>
        <v>bP</v>
      </c>
      <c r="CL186" s="11" t="str">
        <f aca="false">IF($P186=0,CL185,IF(CL$3=$E186,IF($AA186=1,$F186&amp;$AB186,$G186),IF(OR(CL$3=$D186,CL$3=$AC186,CL$3=$AE186),"",IF(CL$3=$AD186,$F186&amp;"R",CL185))))</f>
        <v>bR</v>
      </c>
      <c r="CM186" s="11" t="str">
        <f aca="false">IF($P186=0,CM185,IF(CM$3=$E186,IF($AA186=1,$F186&amp;$AB186,$G186),IF(OR(CM$3=$D186,CM$3=$AC186,CM$3=$AE186),"",IF(CM$3=$AD186,$F186&amp;"R",CM185))))</f>
        <v>bN</v>
      </c>
      <c r="CN186" s="11" t="str">
        <f aca="false">IF($P186=0,CN185,IF(CN$3=$E186,IF($AA186=1,$F186&amp;$AB186,$G186),IF(OR(CN$3=$D186,CN$3=$AC186,CN$3=$AE186),"",IF(CN$3=$AD186,$F186&amp;"R",CN185))))</f>
        <v>bB</v>
      </c>
      <c r="CO186" s="11" t="str">
        <f aca="false">IF($P186=0,CO185,IF(CO$3=$E186,IF($AA186=1,$F186&amp;$AB186,$G186),IF(OR(CO$3=$D186,CO$3=$AC186,CO$3=$AE186),"",IF(CO$3=$AD186,$F186&amp;"R",CO185))))</f>
        <v>bQ</v>
      </c>
      <c r="CP186" s="11" t="str">
        <f aca="false">IF($P186=0,CP185,IF(CP$3=$E186,IF($AA186=1,$F186&amp;$AB186,$G186),IF(OR(CP$3=$D186,CP$3=$AC186,CP$3=$AE186),"",IF(CP$3=$AD186,$F186&amp;"R",CP185))))</f>
        <v>bK</v>
      </c>
      <c r="CQ186" s="11" t="str">
        <f aca="false">IF($P186=0,CQ185,IF(CQ$3=$E186,IF($AA186=1,$F186&amp;$AB186,$G186),IF(OR(CQ$3=$D186,CQ$3=$AC186,CQ$3=$AE186),"",IF(CQ$3=$AD186,$F186&amp;"R",CQ185))))</f>
        <v>bB</v>
      </c>
      <c r="CR186" s="11" t="str">
        <f aca="false">IF($P186=0,CR185,IF(CR$3=$E186,IF($AA186=1,$F186&amp;$AB186,$G186),IF(OR(CR$3=$D186,CR$3=$AC186,CR$3=$AE186),"",IF(CR$3=$AD186,$F186&amp;"R",CR185))))</f>
        <v>bN</v>
      </c>
      <c r="CS186" s="11" t="str">
        <f aca="false">IF($P186=0,CS185,IF(CS$3=$E186,IF($AA186=1,$F186&amp;$AB186,$G186),IF(OR(CS$3=$D186,CS$3=$AC186,CS$3=$AE186),"",IF(CS$3=$AD186,$F186&amp;"R",CS185))))</f>
        <v>bR</v>
      </c>
      <c r="CT186" s="11"/>
      <c r="CU186" s="11"/>
      <c r="CV186" s="11"/>
    </row>
    <row r="187" customFormat="false" ht="15" hidden="false" customHeight="false" outlineLevel="0" collapsed="false">
      <c r="A187" s="11" t="n">
        <v>182</v>
      </c>
      <c r="B187" s="11" t="str">
        <f aca="false">IF(Chess!$L$191="","",Chess!$L$191&amp;"")</f>
        <v/>
      </c>
      <c r="C187" s="11" t="str">
        <f aca="false">LOWER(SUBSTITUTE(SUBSTITUTE(SUBSTITUTE(SUBSTITUTE(TRIM($B187),"-",""),"=","")," ",""),"x",""))</f>
        <v/>
      </c>
      <c r="D187" s="11" t="n">
        <f aca="false">IF(LEN($C187)&lt;4,0,IFERROR(IF(AND(CODE(MID($C187,1,1))&gt;=97,CODE(MID($C187,1,1))&lt;=104,VALUE(MID($C187,2,1))&gt;=1,VALUE(MID($C187,2,1))&lt;=8),(VALUE(MID($C187,2,1))-1)*8+CODE(MID($C187,1,1))-96,0),0))</f>
        <v>0</v>
      </c>
      <c r="E187" s="11" t="n">
        <f aca="false">IF(LEN($C187)&lt;4,0,IFERROR(IF(AND(CODE(MID($C187,3,1))&gt;=97,CODE(MID($C187,3,1))&lt;=104,VALUE(MID($C187,4,1))&gt;=1,VALUE(MID($C187,4,1))&lt;=8),(VALUE(MID($C187,4,1))-1)*8+CODE(MID($C187,3,1))-96,0),0))</f>
        <v>0</v>
      </c>
      <c r="F187" s="11" t="str">
        <f aca="false">IF(MOD(SUM($P$5:$P186),2)=0,"w","b")</f>
        <v>w</v>
      </c>
      <c r="G187" s="11" t="str">
        <f aca="false">IF($D187=0,"",INDEX($AH186:$CS186,1,$D187)&amp;"")</f>
        <v/>
      </c>
      <c r="H187" s="11" t="str">
        <f aca="false">IF($E187=0,"",INDEX($AH186:$CS186,1,$E187)&amp;"")</f>
        <v/>
      </c>
      <c r="I187" s="11" t="n">
        <f aca="false">IF(OR($D187=0,$E187=0),0,MOD($E187-1,8)-MOD($D187-1,8))</f>
        <v>0</v>
      </c>
      <c r="J187" s="11" t="n">
        <f aca="false">IF(OR($D187=0,$E187=0),0,INT(($E187-1)/8)-INT(($D187-1)/8))</f>
        <v>0</v>
      </c>
      <c r="K187" s="11" t="str">
        <f aca="false">IF($G187="","",RIGHT($G187,1))</f>
        <v/>
      </c>
      <c r="L187" s="11" t="n">
        <f aca="false">IF(OR($D187=0,$E187=0),0,SUMPRODUCT(($AH$3:$CS$3&gt;MIN($D187,$E187))*($AH$3:$CS$3&lt;MAX($D187,$E187))*(MOD($AH$3:$CS$3-MIN($D187,$E187),MAX(1,ABS(SIGN($J187)*8+SIGN($I187))))=0)*($AH186:$CS186&lt;&gt;"")))</f>
        <v>0</v>
      </c>
      <c r="M187" s="11" t="n">
        <f aca="false">IF($K187&lt;&gt;"K",0,IFERROR(--AND($J187=0,ABS($I187)=2,$D187=IF($F187="w",5,61),IF($F187="w",$S186,$V186)=0,IF($I187=2,AND(IF($F187="w",$U186,$X186)=0,INDEX($AH186:$CS186,1,$D187+1)&amp;""="",INDEX($AH186:$CS186,1,$D187+2)&amp;""=""),AND(IF($F187="w",$T186,$W186)=0,INDEX($AH186:$CS186,1,$D187-1)&amp;""="",INDEX($AH186:$CS186,1,$D187-2)&amp;""="",INDEX($AH186:$CS186,1,$D187-3)&amp;""=""))),0))</f>
        <v>0</v>
      </c>
      <c r="N187" s="11" t="n">
        <f aca="false">IF($K187&lt;&gt;"P",0,IFERROR(--OR(AND($I187=0,$J187=IF($F187="w",1,-1),$H187=""),AND($I187=0,$J187=2*IF($F187="w",1,-1),$H187="",INT(($D187-1)/8)=IF($F187="w",1,6),INDEX($AH186:$CS186,1,MAX(1,MIN(64,$D187+8*IF($F187="w",1,-1))))&amp;""=""),AND(ABS($I187)=1,$J187=IF($F187="w",1,-1),$H187&lt;&gt;""),AND(ABS($I187)=1,$J187=IF($F187="w",1,-1),$H187="",$R186&gt;0,$E187=$R186)),0))</f>
        <v>0</v>
      </c>
      <c r="O187" s="11" t="n">
        <f aca="false">IF(OR($D187=0,$E187=0,$G187=""),0,IF($K187="N",--OR(AND(ABS($I187)=1,ABS($J187)=2),AND(ABS($I187)=2,ABS($J187)=1)),IF($K187="B",--AND(ABS($I187)=ABS($J187),$I187&lt;&gt;0,$L187=0),IF($K187="R",--AND(OR($I187=0,$J187=0),OR($I187&lt;&gt;0,$J187&lt;&gt;0),$L187=0),IF($K187="Q",--AND(OR(AND(ABS($I187)=ABS($J187),$I187&lt;&gt;0),AND(OR($I187=0,$J187=0),OR($I187&lt;&gt;0,$J187&lt;&gt;0))),$L187=0),IF($K187="K",--OR(MAX(ABS($I187),ABS($J187))=1,$M187=1),$N187))))))</f>
        <v>0</v>
      </c>
      <c r="P187" s="11" t="n">
        <f aca="false">IF($Q187="OK",1,0)</f>
        <v>0</v>
      </c>
      <c r="Q187" s="11" t="str">
        <f aca="false">IF($B187="","",IF(OR(COUNTIF($AH186:$CS186,"wK")=0,COUNTIF($AH186:$CS186,"bK")=0),"Game is over",IF(OR($D187=0,$E187=0),"Use the format e2e4",IF($G187="","No piece on that square",IF(LEFT($G187,1)&lt;&gt;$F187,"Not your piece ("&amp;IF($F187="w","White","Black")&amp;" to move)",IF($D187=$E187,"Piece must move",IF(AND($H187&lt;&gt;"",LEFT($H187,1)=$F187),"Cannot capture your own piece",IF($O187=0,"Illegal move for that piece (or path blocked)","OK"))))))))</f>
        <v/>
      </c>
      <c r="R187" s="11" t="n">
        <f aca="false">IF($P187=1,IF(AND($K187="P",ABS($J187)=2),($D187+$E187)/2,0),$R186)</f>
        <v>0</v>
      </c>
      <c r="S187" s="12" t="b">
        <f aca="false">--OR($S186=1,AND($P187=1,OR($D187=5,$E187=5)))</f>
        <v>0</v>
      </c>
      <c r="T187" s="12" t="b">
        <f aca="false">--OR($T186=1,AND($P187=1,OR($D187=1,$E187=1)))</f>
        <v>0</v>
      </c>
      <c r="U187" s="12" t="b">
        <f aca="false">--OR($U186=1,AND($P187=1,OR($D187=8,$E187=8)))</f>
        <v>0</v>
      </c>
      <c r="V187" s="12" t="b">
        <f aca="false">--OR($V186=1,AND($P187=1,OR($D187=61,$E187=61)))</f>
        <v>0</v>
      </c>
      <c r="W187" s="12" t="b">
        <f aca="false">--OR($W186=1,AND($P187=1,OR($D187=57,$E187=57)))</f>
        <v>0</v>
      </c>
      <c r="X187" s="12" t="b">
        <f aca="false">--OR($X186=1,AND($P187=1,OR($D187=64,$E187=64)))</f>
        <v>0</v>
      </c>
      <c r="Y187" s="12" t="b">
        <f aca="false">--AND($P187=1,$K187="K",ABS($I187)=2)</f>
        <v>0</v>
      </c>
      <c r="Z187" s="12" t="b">
        <f aca="false">--AND($P187=1,$K187="P",ABS($I187)=1,$H187="")</f>
        <v>0</v>
      </c>
      <c r="AA187" s="12" t="b">
        <f aca="false">--AND($P187=1,$K187="P",INT(($E187-1)/8)=IF($F187="w",7,0))</f>
        <v>0</v>
      </c>
      <c r="AB187" s="11" t="str">
        <f aca="false">IF(LEN($C187)&gt;=5,IF(ISNUMBER(FIND(MID($C187,5,1),"qrbn")),UPPER(MID($C187,5,1)),"Q"),"Q")</f>
        <v>Q</v>
      </c>
      <c r="AC187" s="11" t="n">
        <f aca="false">IF($Y187=1,IF($I187=2,$D187+3,$D187-4),0)</f>
        <v>0</v>
      </c>
      <c r="AD187" s="11" t="n">
        <f aca="false">IF($Y187=1,IF($I187=2,$D187+1,$D187-1),0)</f>
        <v>0</v>
      </c>
      <c r="AE187" s="11" t="n">
        <f aca="false">IF($Z187=1,$E187-8*IF($F187="w",1,-1),0)</f>
        <v>0</v>
      </c>
      <c r="AF187" s="11" t="str">
        <f aca="false">IF($B187="","",IF($P187=1,LOWER(INDEX($CV$2:$CV$13,MATCH($G187,$CU$2:$CU$13,0)))&amp;" "&amp;MID("abcdefgh",MOD($D187-1,8)+1,1)&amp;(INT(($D187-1)/8)+1)&amp;"→"&amp;MID("abcdefgh",MOD($E187-1,8)+1,1)&amp;(INT(($E187-1)/8)+1)&amp;IF(OR($H187&lt;&gt;"",$Z187=1)," ×","")&amp;IF($Y187=1," castles","")&amp;IF($Z187=1," e.p.","")&amp;IF($AA187=1," =" &amp;LOWER(INDEX($CV$2:$CV$13,MATCH($F187&amp;$AB187,$CU$2:$CU$13,0))),""),"X "&amp;$Q187))</f>
        <v/>
      </c>
      <c r="AG187" s="11"/>
      <c r="AH187" s="11" t="str">
        <f aca="false">IF($P187=0,AH186,IF(AH$3=$E187,IF($AA187=1,$F187&amp;$AB187,$G187),IF(OR(AH$3=$D187,AH$3=$AC187,AH$3=$AE187),"",IF(AH$3=$AD187,$F187&amp;"R",AH186))))</f>
        <v>wR</v>
      </c>
      <c r="AI187" s="11" t="str">
        <f aca="false">IF($P187=0,AI186,IF(AI$3=$E187,IF($AA187=1,$F187&amp;$AB187,$G187),IF(OR(AI$3=$D187,AI$3=$AC187,AI$3=$AE187),"",IF(AI$3=$AD187,$F187&amp;"R",AI186))))</f>
        <v>wN</v>
      </c>
      <c r="AJ187" s="11" t="str">
        <f aca="false">IF($P187=0,AJ186,IF(AJ$3=$E187,IF($AA187=1,$F187&amp;$AB187,$G187),IF(OR(AJ$3=$D187,AJ$3=$AC187,AJ$3=$AE187),"",IF(AJ$3=$AD187,$F187&amp;"R",AJ186))))</f>
        <v>wB</v>
      </c>
      <c r="AK187" s="11" t="str">
        <f aca="false">IF($P187=0,AK186,IF(AK$3=$E187,IF($AA187=1,$F187&amp;$AB187,$G187),IF(OR(AK$3=$D187,AK$3=$AC187,AK$3=$AE187),"",IF(AK$3=$AD187,$F187&amp;"R",AK186))))</f>
        <v>wQ</v>
      </c>
      <c r="AL187" s="11" t="str">
        <f aca="false">IF($P187=0,AL186,IF(AL$3=$E187,IF($AA187=1,$F187&amp;$AB187,$G187),IF(OR(AL$3=$D187,AL$3=$AC187,AL$3=$AE187),"",IF(AL$3=$AD187,$F187&amp;"R",AL186))))</f>
        <v>wK</v>
      </c>
      <c r="AM187" s="11" t="str">
        <f aca="false">IF($P187=0,AM186,IF(AM$3=$E187,IF($AA187=1,$F187&amp;$AB187,$G187),IF(OR(AM$3=$D187,AM$3=$AC187,AM$3=$AE187),"",IF(AM$3=$AD187,$F187&amp;"R",AM186))))</f>
        <v>wB</v>
      </c>
      <c r="AN187" s="11" t="str">
        <f aca="false">IF($P187=0,AN186,IF(AN$3=$E187,IF($AA187=1,$F187&amp;$AB187,$G187),IF(OR(AN$3=$D187,AN$3=$AC187,AN$3=$AE187),"",IF(AN$3=$AD187,$F187&amp;"R",AN186))))</f>
        <v>wN</v>
      </c>
      <c r="AO187" s="11" t="str">
        <f aca="false">IF($P187=0,AO186,IF(AO$3=$E187,IF($AA187=1,$F187&amp;$AB187,$G187),IF(OR(AO$3=$D187,AO$3=$AC187,AO$3=$AE187),"",IF(AO$3=$AD187,$F187&amp;"R",AO186))))</f>
        <v>wR</v>
      </c>
      <c r="AP187" s="11" t="str">
        <f aca="false">IF($P187=0,AP186,IF(AP$3=$E187,IF($AA187=1,$F187&amp;$AB187,$G187),IF(OR(AP$3=$D187,AP$3=$AC187,AP$3=$AE187),"",IF(AP$3=$AD187,$F187&amp;"R",AP186))))</f>
        <v>wP</v>
      </c>
      <c r="AQ187" s="11" t="str">
        <f aca="false">IF($P187=0,AQ186,IF(AQ$3=$E187,IF($AA187=1,$F187&amp;$AB187,$G187),IF(OR(AQ$3=$D187,AQ$3=$AC187,AQ$3=$AE187),"",IF(AQ$3=$AD187,$F187&amp;"R",AQ186))))</f>
        <v>wP</v>
      </c>
      <c r="AR187" s="11" t="str">
        <f aca="false">IF($P187=0,AR186,IF(AR$3=$E187,IF($AA187=1,$F187&amp;$AB187,$G187),IF(OR(AR$3=$D187,AR$3=$AC187,AR$3=$AE187),"",IF(AR$3=$AD187,$F187&amp;"R",AR186))))</f>
        <v>wP</v>
      </c>
      <c r="AS187" s="11" t="str">
        <f aca="false">IF($P187=0,AS186,IF(AS$3=$E187,IF($AA187=1,$F187&amp;$AB187,$G187),IF(OR(AS$3=$D187,AS$3=$AC187,AS$3=$AE187),"",IF(AS$3=$AD187,$F187&amp;"R",AS186))))</f>
        <v>wP</v>
      </c>
      <c r="AT187" s="11" t="str">
        <f aca="false">IF($P187=0,AT186,IF(AT$3=$E187,IF($AA187=1,$F187&amp;$AB187,$G187),IF(OR(AT$3=$D187,AT$3=$AC187,AT$3=$AE187),"",IF(AT$3=$AD187,$F187&amp;"R",AT186))))</f>
        <v>wP</v>
      </c>
      <c r="AU187" s="11" t="str">
        <f aca="false">IF($P187=0,AU186,IF(AU$3=$E187,IF($AA187=1,$F187&amp;$AB187,$G187),IF(OR(AU$3=$D187,AU$3=$AC187,AU$3=$AE187),"",IF(AU$3=$AD187,$F187&amp;"R",AU186))))</f>
        <v>wP</v>
      </c>
      <c r="AV187" s="11" t="str">
        <f aca="false">IF($P187=0,AV186,IF(AV$3=$E187,IF($AA187=1,$F187&amp;$AB187,$G187),IF(OR(AV$3=$D187,AV$3=$AC187,AV$3=$AE187),"",IF(AV$3=$AD187,$F187&amp;"R",AV186))))</f>
        <v>wP</v>
      </c>
      <c r="AW187" s="11" t="str">
        <f aca="false">IF($P187=0,AW186,IF(AW$3=$E187,IF($AA187=1,$F187&amp;$AB187,$G187),IF(OR(AW$3=$D187,AW$3=$AC187,AW$3=$AE187),"",IF(AW$3=$AD187,$F187&amp;"R",AW186))))</f>
        <v>wP</v>
      </c>
      <c r="AX187" s="11" t="str">
        <f aca="false">IF($P187=0,AX186,IF(AX$3=$E187,IF($AA187=1,$F187&amp;$AB187,$G187),IF(OR(AX$3=$D187,AX$3=$AC187,AX$3=$AE187),"",IF(AX$3=$AD187,$F187&amp;"R",AX186))))</f>
        <v/>
      </c>
      <c r="AY187" s="11" t="str">
        <f aca="false">IF($P187=0,AY186,IF(AY$3=$E187,IF($AA187=1,$F187&amp;$AB187,$G187),IF(OR(AY$3=$D187,AY$3=$AC187,AY$3=$AE187),"",IF(AY$3=$AD187,$F187&amp;"R",AY186))))</f>
        <v/>
      </c>
      <c r="AZ187" s="11" t="str">
        <f aca="false">IF($P187=0,AZ186,IF(AZ$3=$E187,IF($AA187=1,$F187&amp;$AB187,$G187),IF(OR(AZ$3=$D187,AZ$3=$AC187,AZ$3=$AE187),"",IF(AZ$3=$AD187,$F187&amp;"R",AZ186))))</f>
        <v/>
      </c>
      <c r="BA187" s="11" t="str">
        <f aca="false">IF($P187=0,BA186,IF(BA$3=$E187,IF($AA187=1,$F187&amp;$AB187,$G187),IF(OR(BA$3=$D187,BA$3=$AC187,BA$3=$AE187),"",IF(BA$3=$AD187,$F187&amp;"R",BA186))))</f>
        <v/>
      </c>
      <c r="BB187" s="11" t="str">
        <f aca="false">IF($P187=0,BB186,IF(BB$3=$E187,IF($AA187=1,$F187&amp;$AB187,$G187),IF(OR(BB$3=$D187,BB$3=$AC187,BB$3=$AE187),"",IF(BB$3=$AD187,$F187&amp;"R",BB186))))</f>
        <v/>
      </c>
      <c r="BC187" s="11" t="str">
        <f aca="false">IF($P187=0,BC186,IF(BC$3=$E187,IF($AA187=1,$F187&amp;$AB187,$G187),IF(OR(BC$3=$D187,BC$3=$AC187,BC$3=$AE187),"",IF(BC$3=$AD187,$F187&amp;"R",BC186))))</f>
        <v/>
      </c>
      <c r="BD187" s="11" t="str">
        <f aca="false">IF($P187=0,BD186,IF(BD$3=$E187,IF($AA187=1,$F187&amp;$AB187,$G187),IF(OR(BD$3=$D187,BD$3=$AC187,BD$3=$AE187),"",IF(BD$3=$AD187,$F187&amp;"R",BD186))))</f>
        <v/>
      </c>
      <c r="BE187" s="11" t="str">
        <f aca="false">IF($P187=0,BE186,IF(BE$3=$E187,IF($AA187=1,$F187&amp;$AB187,$G187),IF(OR(BE$3=$D187,BE$3=$AC187,BE$3=$AE187),"",IF(BE$3=$AD187,$F187&amp;"R",BE186))))</f>
        <v/>
      </c>
      <c r="BF187" s="11" t="str">
        <f aca="false">IF($P187=0,BF186,IF(BF$3=$E187,IF($AA187=1,$F187&amp;$AB187,$G187),IF(OR(BF$3=$D187,BF$3=$AC187,BF$3=$AE187),"",IF(BF$3=$AD187,$F187&amp;"R",BF186))))</f>
        <v/>
      </c>
      <c r="BG187" s="11" t="str">
        <f aca="false">IF($P187=0,BG186,IF(BG$3=$E187,IF($AA187=1,$F187&amp;$AB187,$G187),IF(OR(BG$3=$D187,BG$3=$AC187,BG$3=$AE187),"",IF(BG$3=$AD187,$F187&amp;"R",BG186))))</f>
        <v/>
      </c>
      <c r="BH187" s="11" t="str">
        <f aca="false">IF($P187=0,BH186,IF(BH$3=$E187,IF($AA187=1,$F187&amp;$AB187,$G187),IF(OR(BH$3=$D187,BH$3=$AC187,BH$3=$AE187),"",IF(BH$3=$AD187,$F187&amp;"R",BH186))))</f>
        <v/>
      </c>
      <c r="BI187" s="11" t="str">
        <f aca="false">IF($P187=0,BI186,IF(BI$3=$E187,IF($AA187=1,$F187&amp;$AB187,$G187),IF(OR(BI$3=$D187,BI$3=$AC187,BI$3=$AE187),"",IF(BI$3=$AD187,$F187&amp;"R",BI186))))</f>
        <v/>
      </c>
      <c r="BJ187" s="11" t="str">
        <f aca="false">IF($P187=0,BJ186,IF(BJ$3=$E187,IF($AA187=1,$F187&amp;$AB187,$G187),IF(OR(BJ$3=$D187,BJ$3=$AC187,BJ$3=$AE187),"",IF(BJ$3=$AD187,$F187&amp;"R",BJ186))))</f>
        <v/>
      </c>
      <c r="BK187" s="11" t="str">
        <f aca="false">IF($P187=0,BK186,IF(BK$3=$E187,IF($AA187=1,$F187&amp;$AB187,$G187),IF(OR(BK$3=$D187,BK$3=$AC187,BK$3=$AE187),"",IF(BK$3=$AD187,$F187&amp;"R",BK186))))</f>
        <v/>
      </c>
      <c r="BL187" s="11" t="str">
        <f aca="false">IF($P187=0,BL186,IF(BL$3=$E187,IF($AA187=1,$F187&amp;$AB187,$G187),IF(OR(BL$3=$D187,BL$3=$AC187,BL$3=$AE187),"",IF(BL$3=$AD187,$F187&amp;"R",BL186))))</f>
        <v/>
      </c>
      <c r="BM187" s="11" t="str">
        <f aca="false">IF($P187=0,BM186,IF(BM$3=$E187,IF($AA187=1,$F187&amp;$AB187,$G187),IF(OR(BM$3=$D187,BM$3=$AC187,BM$3=$AE187),"",IF(BM$3=$AD187,$F187&amp;"R",BM186))))</f>
        <v/>
      </c>
      <c r="BN187" s="11" t="str">
        <f aca="false">IF($P187=0,BN186,IF(BN$3=$E187,IF($AA187=1,$F187&amp;$AB187,$G187),IF(OR(BN$3=$D187,BN$3=$AC187,BN$3=$AE187),"",IF(BN$3=$AD187,$F187&amp;"R",BN186))))</f>
        <v/>
      </c>
      <c r="BO187" s="11" t="str">
        <f aca="false">IF($P187=0,BO186,IF(BO$3=$E187,IF($AA187=1,$F187&amp;$AB187,$G187),IF(OR(BO$3=$D187,BO$3=$AC187,BO$3=$AE187),"",IF(BO$3=$AD187,$F187&amp;"R",BO186))))</f>
        <v/>
      </c>
      <c r="BP187" s="11" t="str">
        <f aca="false">IF($P187=0,BP186,IF(BP$3=$E187,IF($AA187=1,$F187&amp;$AB187,$G187),IF(OR(BP$3=$D187,BP$3=$AC187,BP$3=$AE187),"",IF(BP$3=$AD187,$F187&amp;"R",BP186))))</f>
        <v/>
      </c>
      <c r="BQ187" s="11" t="str">
        <f aca="false">IF($P187=0,BQ186,IF(BQ$3=$E187,IF($AA187=1,$F187&amp;$AB187,$G187),IF(OR(BQ$3=$D187,BQ$3=$AC187,BQ$3=$AE187),"",IF(BQ$3=$AD187,$F187&amp;"R",BQ186))))</f>
        <v/>
      </c>
      <c r="BR187" s="11" t="str">
        <f aca="false">IF($P187=0,BR186,IF(BR$3=$E187,IF($AA187=1,$F187&amp;$AB187,$G187),IF(OR(BR$3=$D187,BR$3=$AC187,BR$3=$AE187),"",IF(BR$3=$AD187,$F187&amp;"R",BR186))))</f>
        <v/>
      </c>
      <c r="BS187" s="11" t="str">
        <f aca="false">IF($P187=0,BS186,IF(BS$3=$E187,IF($AA187=1,$F187&amp;$AB187,$G187),IF(OR(BS$3=$D187,BS$3=$AC187,BS$3=$AE187),"",IF(BS$3=$AD187,$F187&amp;"R",BS186))))</f>
        <v/>
      </c>
      <c r="BT187" s="11" t="str">
        <f aca="false">IF($P187=0,BT186,IF(BT$3=$E187,IF($AA187=1,$F187&amp;$AB187,$G187),IF(OR(BT$3=$D187,BT$3=$AC187,BT$3=$AE187),"",IF(BT$3=$AD187,$F187&amp;"R",BT186))))</f>
        <v/>
      </c>
      <c r="BU187" s="11" t="str">
        <f aca="false">IF($P187=0,BU186,IF(BU$3=$E187,IF($AA187=1,$F187&amp;$AB187,$G187),IF(OR(BU$3=$D187,BU$3=$AC187,BU$3=$AE187),"",IF(BU$3=$AD187,$F187&amp;"R",BU186))))</f>
        <v/>
      </c>
      <c r="BV187" s="11" t="str">
        <f aca="false">IF($P187=0,BV186,IF(BV$3=$E187,IF($AA187=1,$F187&amp;$AB187,$G187),IF(OR(BV$3=$D187,BV$3=$AC187,BV$3=$AE187),"",IF(BV$3=$AD187,$F187&amp;"R",BV186))))</f>
        <v/>
      </c>
      <c r="BW187" s="11" t="str">
        <f aca="false">IF($P187=0,BW186,IF(BW$3=$E187,IF($AA187=1,$F187&amp;$AB187,$G187),IF(OR(BW$3=$D187,BW$3=$AC187,BW$3=$AE187),"",IF(BW$3=$AD187,$F187&amp;"R",BW186))))</f>
        <v/>
      </c>
      <c r="BX187" s="11" t="str">
        <f aca="false">IF($P187=0,BX186,IF(BX$3=$E187,IF($AA187=1,$F187&amp;$AB187,$G187),IF(OR(BX$3=$D187,BX$3=$AC187,BX$3=$AE187),"",IF(BX$3=$AD187,$F187&amp;"R",BX186))))</f>
        <v/>
      </c>
      <c r="BY187" s="11" t="str">
        <f aca="false">IF($P187=0,BY186,IF(BY$3=$E187,IF($AA187=1,$F187&amp;$AB187,$G187),IF(OR(BY$3=$D187,BY$3=$AC187,BY$3=$AE187),"",IF(BY$3=$AD187,$F187&amp;"R",BY186))))</f>
        <v/>
      </c>
      <c r="BZ187" s="11" t="str">
        <f aca="false">IF($P187=0,BZ186,IF(BZ$3=$E187,IF($AA187=1,$F187&amp;$AB187,$G187),IF(OR(BZ$3=$D187,BZ$3=$AC187,BZ$3=$AE187),"",IF(BZ$3=$AD187,$F187&amp;"R",BZ186))))</f>
        <v/>
      </c>
      <c r="CA187" s="11" t="str">
        <f aca="false">IF($P187=0,CA186,IF(CA$3=$E187,IF($AA187=1,$F187&amp;$AB187,$G187),IF(OR(CA$3=$D187,CA$3=$AC187,CA$3=$AE187),"",IF(CA$3=$AD187,$F187&amp;"R",CA186))))</f>
        <v/>
      </c>
      <c r="CB187" s="11" t="str">
        <f aca="false">IF($P187=0,CB186,IF(CB$3=$E187,IF($AA187=1,$F187&amp;$AB187,$G187),IF(OR(CB$3=$D187,CB$3=$AC187,CB$3=$AE187),"",IF(CB$3=$AD187,$F187&amp;"R",CB186))))</f>
        <v/>
      </c>
      <c r="CC187" s="11" t="str">
        <f aca="false">IF($P187=0,CC186,IF(CC$3=$E187,IF($AA187=1,$F187&amp;$AB187,$G187),IF(OR(CC$3=$D187,CC$3=$AC187,CC$3=$AE187),"",IF(CC$3=$AD187,$F187&amp;"R",CC186))))</f>
        <v/>
      </c>
      <c r="CD187" s="11" t="str">
        <f aca="false">IF($P187=0,CD186,IF(CD$3=$E187,IF($AA187=1,$F187&amp;$AB187,$G187),IF(OR(CD$3=$D187,CD$3=$AC187,CD$3=$AE187),"",IF(CD$3=$AD187,$F187&amp;"R",CD186))))</f>
        <v>bP</v>
      </c>
      <c r="CE187" s="11" t="str">
        <f aca="false">IF($P187=0,CE186,IF(CE$3=$E187,IF($AA187=1,$F187&amp;$AB187,$G187),IF(OR(CE$3=$D187,CE$3=$AC187,CE$3=$AE187),"",IF(CE$3=$AD187,$F187&amp;"R",CE186))))</f>
        <v>bP</v>
      </c>
      <c r="CF187" s="11" t="str">
        <f aca="false">IF($P187=0,CF186,IF(CF$3=$E187,IF($AA187=1,$F187&amp;$AB187,$G187),IF(OR(CF$3=$D187,CF$3=$AC187,CF$3=$AE187),"",IF(CF$3=$AD187,$F187&amp;"R",CF186))))</f>
        <v>bP</v>
      </c>
      <c r="CG187" s="11" t="str">
        <f aca="false">IF($P187=0,CG186,IF(CG$3=$E187,IF($AA187=1,$F187&amp;$AB187,$G187),IF(OR(CG$3=$D187,CG$3=$AC187,CG$3=$AE187),"",IF(CG$3=$AD187,$F187&amp;"R",CG186))))</f>
        <v>bP</v>
      </c>
      <c r="CH187" s="11" t="str">
        <f aca="false">IF($P187=0,CH186,IF(CH$3=$E187,IF($AA187=1,$F187&amp;$AB187,$G187),IF(OR(CH$3=$D187,CH$3=$AC187,CH$3=$AE187),"",IF(CH$3=$AD187,$F187&amp;"R",CH186))))</f>
        <v>bP</v>
      </c>
      <c r="CI187" s="11" t="str">
        <f aca="false">IF($P187=0,CI186,IF(CI$3=$E187,IF($AA187=1,$F187&amp;$AB187,$G187),IF(OR(CI$3=$D187,CI$3=$AC187,CI$3=$AE187),"",IF(CI$3=$AD187,$F187&amp;"R",CI186))))</f>
        <v>bP</v>
      </c>
      <c r="CJ187" s="11" t="str">
        <f aca="false">IF($P187=0,CJ186,IF(CJ$3=$E187,IF($AA187=1,$F187&amp;$AB187,$G187),IF(OR(CJ$3=$D187,CJ$3=$AC187,CJ$3=$AE187),"",IF(CJ$3=$AD187,$F187&amp;"R",CJ186))))</f>
        <v>bP</v>
      </c>
      <c r="CK187" s="11" t="str">
        <f aca="false">IF($P187=0,CK186,IF(CK$3=$E187,IF($AA187=1,$F187&amp;$AB187,$G187),IF(OR(CK$3=$D187,CK$3=$AC187,CK$3=$AE187),"",IF(CK$3=$AD187,$F187&amp;"R",CK186))))</f>
        <v>bP</v>
      </c>
      <c r="CL187" s="11" t="str">
        <f aca="false">IF($P187=0,CL186,IF(CL$3=$E187,IF($AA187=1,$F187&amp;$AB187,$G187),IF(OR(CL$3=$D187,CL$3=$AC187,CL$3=$AE187),"",IF(CL$3=$AD187,$F187&amp;"R",CL186))))</f>
        <v>bR</v>
      </c>
      <c r="CM187" s="11" t="str">
        <f aca="false">IF($P187=0,CM186,IF(CM$3=$E187,IF($AA187=1,$F187&amp;$AB187,$G187),IF(OR(CM$3=$D187,CM$3=$AC187,CM$3=$AE187),"",IF(CM$3=$AD187,$F187&amp;"R",CM186))))</f>
        <v>bN</v>
      </c>
      <c r="CN187" s="11" t="str">
        <f aca="false">IF($P187=0,CN186,IF(CN$3=$E187,IF($AA187=1,$F187&amp;$AB187,$G187),IF(OR(CN$3=$D187,CN$3=$AC187,CN$3=$AE187),"",IF(CN$3=$AD187,$F187&amp;"R",CN186))))</f>
        <v>bB</v>
      </c>
      <c r="CO187" s="11" t="str">
        <f aca="false">IF($P187=0,CO186,IF(CO$3=$E187,IF($AA187=1,$F187&amp;$AB187,$G187),IF(OR(CO$3=$D187,CO$3=$AC187,CO$3=$AE187),"",IF(CO$3=$AD187,$F187&amp;"R",CO186))))</f>
        <v>bQ</v>
      </c>
      <c r="CP187" s="11" t="str">
        <f aca="false">IF($P187=0,CP186,IF(CP$3=$E187,IF($AA187=1,$F187&amp;$AB187,$G187),IF(OR(CP$3=$D187,CP$3=$AC187,CP$3=$AE187),"",IF(CP$3=$AD187,$F187&amp;"R",CP186))))</f>
        <v>bK</v>
      </c>
      <c r="CQ187" s="11" t="str">
        <f aca="false">IF($P187=0,CQ186,IF(CQ$3=$E187,IF($AA187=1,$F187&amp;$AB187,$G187),IF(OR(CQ$3=$D187,CQ$3=$AC187,CQ$3=$AE187),"",IF(CQ$3=$AD187,$F187&amp;"R",CQ186))))</f>
        <v>bB</v>
      </c>
      <c r="CR187" s="11" t="str">
        <f aca="false">IF($P187=0,CR186,IF(CR$3=$E187,IF($AA187=1,$F187&amp;$AB187,$G187),IF(OR(CR$3=$D187,CR$3=$AC187,CR$3=$AE187),"",IF(CR$3=$AD187,$F187&amp;"R",CR186))))</f>
        <v>bN</v>
      </c>
      <c r="CS187" s="11" t="str">
        <f aca="false">IF($P187=0,CS186,IF(CS$3=$E187,IF($AA187=1,$F187&amp;$AB187,$G187),IF(OR(CS$3=$D187,CS$3=$AC187,CS$3=$AE187),"",IF(CS$3=$AD187,$F187&amp;"R",CS186))))</f>
        <v>bR</v>
      </c>
      <c r="CT187" s="11"/>
      <c r="CU187" s="11"/>
      <c r="CV187" s="11"/>
    </row>
    <row r="188" customFormat="false" ht="15" hidden="false" customHeight="false" outlineLevel="0" collapsed="false">
      <c r="A188" s="11" t="n">
        <v>183</v>
      </c>
      <c r="B188" s="11" t="str">
        <f aca="false">IF(Chess!$L$192="","",Chess!$L$192&amp;"")</f>
        <v/>
      </c>
      <c r="C188" s="11" t="str">
        <f aca="false">LOWER(SUBSTITUTE(SUBSTITUTE(SUBSTITUTE(SUBSTITUTE(TRIM($B188),"-",""),"=","")," ",""),"x",""))</f>
        <v/>
      </c>
      <c r="D188" s="11" t="n">
        <f aca="false">IF(LEN($C188)&lt;4,0,IFERROR(IF(AND(CODE(MID($C188,1,1))&gt;=97,CODE(MID($C188,1,1))&lt;=104,VALUE(MID($C188,2,1))&gt;=1,VALUE(MID($C188,2,1))&lt;=8),(VALUE(MID($C188,2,1))-1)*8+CODE(MID($C188,1,1))-96,0),0))</f>
        <v>0</v>
      </c>
      <c r="E188" s="11" t="n">
        <f aca="false">IF(LEN($C188)&lt;4,0,IFERROR(IF(AND(CODE(MID($C188,3,1))&gt;=97,CODE(MID($C188,3,1))&lt;=104,VALUE(MID($C188,4,1))&gt;=1,VALUE(MID($C188,4,1))&lt;=8),(VALUE(MID($C188,4,1))-1)*8+CODE(MID($C188,3,1))-96,0),0))</f>
        <v>0</v>
      </c>
      <c r="F188" s="11" t="str">
        <f aca="false">IF(MOD(SUM($P$5:$P187),2)=0,"w","b")</f>
        <v>w</v>
      </c>
      <c r="G188" s="11" t="str">
        <f aca="false">IF($D188=0,"",INDEX($AH187:$CS187,1,$D188)&amp;"")</f>
        <v/>
      </c>
      <c r="H188" s="11" t="str">
        <f aca="false">IF($E188=0,"",INDEX($AH187:$CS187,1,$E188)&amp;"")</f>
        <v/>
      </c>
      <c r="I188" s="11" t="n">
        <f aca="false">IF(OR($D188=0,$E188=0),0,MOD($E188-1,8)-MOD($D188-1,8))</f>
        <v>0</v>
      </c>
      <c r="J188" s="11" t="n">
        <f aca="false">IF(OR($D188=0,$E188=0),0,INT(($E188-1)/8)-INT(($D188-1)/8))</f>
        <v>0</v>
      </c>
      <c r="K188" s="11" t="str">
        <f aca="false">IF($G188="","",RIGHT($G188,1))</f>
        <v/>
      </c>
      <c r="L188" s="11" t="n">
        <f aca="false">IF(OR($D188=0,$E188=0),0,SUMPRODUCT(($AH$3:$CS$3&gt;MIN($D188,$E188))*($AH$3:$CS$3&lt;MAX($D188,$E188))*(MOD($AH$3:$CS$3-MIN($D188,$E188),MAX(1,ABS(SIGN($J188)*8+SIGN($I188))))=0)*($AH187:$CS187&lt;&gt;"")))</f>
        <v>0</v>
      </c>
      <c r="M188" s="11" t="n">
        <f aca="false">IF($K188&lt;&gt;"K",0,IFERROR(--AND($J188=0,ABS($I188)=2,$D188=IF($F188="w",5,61),IF($F188="w",$S187,$V187)=0,IF($I188=2,AND(IF($F188="w",$U187,$X187)=0,INDEX($AH187:$CS187,1,$D188+1)&amp;""="",INDEX($AH187:$CS187,1,$D188+2)&amp;""=""),AND(IF($F188="w",$T187,$W187)=0,INDEX($AH187:$CS187,1,$D188-1)&amp;""="",INDEX($AH187:$CS187,1,$D188-2)&amp;""="",INDEX($AH187:$CS187,1,$D188-3)&amp;""=""))),0))</f>
        <v>0</v>
      </c>
      <c r="N188" s="11" t="n">
        <f aca="false">IF($K188&lt;&gt;"P",0,IFERROR(--OR(AND($I188=0,$J188=IF($F188="w",1,-1),$H188=""),AND($I188=0,$J188=2*IF($F188="w",1,-1),$H188="",INT(($D188-1)/8)=IF($F188="w",1,6),INDEX($AH187:$CS187,1,MAX(1,MIN(64,$D188+8*IF($F188="w",1,-1))))&amp;""=""),AND(ABS($I188)=1,$J188=IF($F188="w",1,-1),$H188&lt;&gt;""),AND(ABS($I188)=1,$J188=IF($F188="w",1,-1),$H188="",$R187&gt;0,$E188=$R187)),0))</f>
        <v>0</v>
      </c>
      <c r="O188" s="11" t="n">
        <f aca="false">IF(OR($D188=0,$E188=0,$G188=""),0,IF($K188="N",--OR(AND(ABS($I188)=1,ABS($J188)=2),AND(ABS($I188)=2,ABS($J188)=1)),IF($K188="B",--AND(ABS($I188)=ABS($J188),$I188&lt;&gt;0,$L188=0),IF($K188="R",--AND(OR($I188=0,$J188=0),OR($I188&lt;&gt;0,$J188&lt;&gt;0),$L188=0),IF($K188="Q",--AND(OR(AND(ABS($I188)=ABS($J188),$I188&lt;&gt;0),AND(OR($I188=0,$J188=0),OR($I188&lt;&gt;0,$J188&lt;&gt;0))),$L188=0),IF($K188="K",--OR(MAX(ABS($I188),ABS($J188))=1,$M188=1),$N188))))))</f>
        <v>0</v>
      </c>
      <c r="P188" s="11" t="n">
        <f aca="false">IF($Q188="OK",1,0)</f>
        <v>0</v>
      </c>
      <c r="Q188" s="11" t="str">
        <f aca="false">IF($B188="","",IF(OR(COUNTIF($AH187:$CS187,"wK")=0,COUNTIF($AH187:$CS187,"bK")=0),"Game is over",IF(OR($D188=0,$E188=0),"Use the format e2e4",IF($G188="","No piece on that square",IF(LEFT($G188,1)&lt;&gt;$F188,"Not your piece ("&amp;IF($F188="w","White","Black")&amp;" to move)",IF($D188=$E188,"Piece must move",IF(AND($H188&lt;&gt;"",LEFT($H188,1)=$F188),"Cannot capture your own piece",IF($O188=0,"Illegal move for that piece (or path blocked)","OK"))))))))</f>
        <v/>
      </c>
      <c r="R188" s="11" t="n">
        <f aca="false">IF($P188=1,IF(AND($K188="P",ABS($J188)=2),($D188+$E188)/2,0),$R187)</f>
        <v>0</v>
      </c>
      <c r="S188" s="12" t="b">
        <f aca="false">--OR($S187=1,AND($P188=1,OR($D188=5,$E188=5)))</f>
        <v>0</v>
      </c>
      <c r="T188" s="12" t="b">
        <f aca="false">--OR($T187=1,AND($P188=1,OR($D188=1,$E188=1)))</f>
        <v>0</v>
      </c>
      <c r="U188" s="12" t="b">
        <f aca="false">--OR($U187=1,AND($P188=1,OR($D188=8,$E188=8)))</f>
        <v>0</v>
      </c>
      <c r="V188" s="12" t="b">
        <f aca="false">--OR($V187=1,AND($P188=1,OR($D188=61,$E188=61)))</f>
        <v>0</v>
      </c>
      <c r="W188" s="12" t="b">
        <f aca="false">--OR($W187=1,AND($P188=1,OR($D188=57,$E188=57)))</f>
        <v>0</v>
      </c>
      <c r="X188" s="12" t="b">
        <f aca="false">--OR($X187=1,AND($P188=1,OR($D188=64,$E188=64)))</f>
        <v>0</v>
      </c>
      <c r="Y188" s="12" t="b">
        <f aca="false">--AND($P188=1,$K188="K",ABS($I188)=2)</f>
        <v>0</v>
      </c>
      <c r="Z188" s="12" t="b">
        <f aca="false">--AND($P188=1,$K188="P",ABS($I188)=1,$H188="")</f>
        <v>0</v>
      </c>
      <c r="AA188" s="12" t="b">
        <f aca="false">--AND($P188=1,$K188="P",INT(($E188-1)/8)=IF($F188="w",7,0))</f>
        <v>0</v>
      </c>
      <c r="AB188" s="11" t="str">
        <f aca="false">IF(LEN($C188)&gt;=5,IF(ISNUMBER(FIND(MID($C188,5,1),"qrbn")),UPPER(MID($C188,5,1)),"Q"),"Q")</f>
        <v>Q</v>
      </c>
      <c r="AC188" s="11" t="n">
        <f aca="false">IF($Y188=1,IF($I188=2,$D188+3,$D188-4),0)</f>
        <v>0</v>
      </c>
      <c r="AD188" s="11" t="n">
        <f aca="false">IF($Y188=1,IF($I188=2,$D188+1,$D188-1),0)</f>
        <v>0</v>
      </c>
      <c r="AE188" s="11" t="n">
        <f aca="false">IF($Z188=1,$E188-8*IF($F188="w",1,-1),0)</f>
        <v>0</v>
      </c>
      <c r="AF188" s="11" t="str">
        <f aca="false">IF($B188="","",IF($P188=1,LOWER(INDEX($CV$2:$CV$13,MATCH($G188,$CU$2:$CU$13,0)))&amp;" "&amp;MID("abcdefgh",MOD($D188-1,8)+1,1)&amp;(INT(($D188-1)/8)+1)&amp;"→"&amp;MID("abcdefgh",MOD($E188-1,8)+1,1)&amp;(INT(($E188-1)/8)+1)&amp;IF(OR($H188&lt;&gt;"",$Z188=1)," ×","")&amp;IF($Y188=1," castles","")&amp;IF($Z188=1," e.p.","")&amp;IF($AA188=1," =" &amp;LOWER(INDEX($CV$2:$CV$13,MATCH($F188&amp;$AB188,$CU$2:$CU$13,0))),""),"X "&amp;$Q188))</f>
        <v/>
      </c>
      <c r="AG188" s="11"/>
      <c r="AH188" s="11" t="str">
        <f aca="false">IF($P188=0,AH187,IF(AH$3=$E188,IF($AA188=1,$F188&amp;$AB188,$G188),IF(OR(AH$3=$D188,AH$3=$AC188,AH$3=$AE188),"",IF(AH$3=$AD188,$F188&amp;"R",AH187))))</f>
        <v>wR</v>
      </c>
      <c r="AI188" s="11" t="str">
        <f aca="false">IF($P188=0,AI187,IF(AI$3=$E188,IF($AA188=1,$F188&amp;$AB188,$G188),IF(OR(AI$3=$D188,AI$3=$AC188,AI$3=$AE188),"",IF(AI$3=$AD188,$F188&amp;"R",AI187))))</f>
        <v>wN</v>
      </c>
      <c r="AJ188" s="11" t="str">
        <f aca="false">IF($P188=0,AJ187,IF(AJ$3=$E188,IF($AA188=1,$F188&amp;$AB188,$G188),IF(OR(AJ$3=$D188,AJ$3=$AC188,AJ$3=$AE188),"",IF(AJ$3=$AD188,$F188&amp;"R",AJ187))))</f>
        <v>wB</v>
      </c>
      <c r="AK188" s="11" t="str">
        <f aca="false">IF($P188=0,AK187,IF(AK$3=$E188,IF($AA188=1,$F188&amp;$AB188,$G188),IF(OR(AK$3=$D188,AK$3=$AC188,AK$3=$AE188),"",IF(AK$3=$AD188,$F188&amp;"R",AK187))))</f>
        <v>wQ</v>
      </c>
      <c r="AL188" s="11" t="str">
        <f aca="false">IF($P188=0,AL187,IF(AL$3=$E188,IF($AA188=1,$F188&amp;$AB188,$G188),IF(OR(AL$3=$D188,AL$3=$AC188,AL$3=$AE188),"",IF(AL$3=$AD188,$F188&amp;"R",AL187))))</f>
        <v>wK</v>
      </c>
      <c r="AM188" s="11" t="str">
        <f aca="false">IF($P188=0,AM187,IF(AM$3=$E188,IF($AA188=1,$F188&amp;$AB188,$G188),IF(OR(AM$3=$D188,AM$3=$AC188,AM$3=$AE188),"",IF(AM$3=$AD188,$F188&amp;"R",AM187))))</f>
        <v>wB</v>
      </c>
      <c r="AN188" s="11" t="str">
        <f aca="false">IF($P188=0,AN187,IF(AN$3=$E188,IF($AA188=1,$F188&amp;$AB188,$G188),IF(OR(AN$3=$D188,AN$3=$AC188,AN$3=$AE188),"",IF(AN$3=$AD188,$F188&amp;"R",AN187))))</f>
        <v>wN</v>
      </c>
      <c r="AO188" s="11" t="str">
        <f aca="false">IF($P188=0,AO187,IF(AO$3=$E188,IF($AA188=1,$F188&amp;$AB188,$G188),IF(OR(AO$3=$D188,AO$3=$AC188,AO$3=$AE188),"",IF(AO$3=$AD188,$F188&amp;"R",AO187))))</f>
        <v>wR</v>
      </c>
      <c r="AP188" s="11" t="str">
        <f aca="false">IF($P188=0,AP187,IF(AP$3=$E188,IF($AA188=1,$F188&amp;$AB188,$G188),IF(OR(AP$3=$D188,AP$3=$AC188,AP$3=$AE188),"",IF(AP$3=$AD188,$F188&amp;"R",AP187))))</f>
        <v>wP</v>
      </c>
      <c r="AQ188" s="11" t="str">
        <f aca="false">IF($P188=0,AQ187,IF(AQ$3=$E188,IF($AA188=1,$F188&amp;$AB188,$G188),IF(OR(AQ$3=$D188,AQ$3=$AC188,AQ$3=$AE188),"",IF(AQ$3=$AD188,$F188&amp;"R",AQ187))))</f>
        <v>wP</v>
      </c>
      <c r="AR188" s="11" t="str">
        <f aca="false">IF($P188=0,AR187,IF(AR$3=$E188,IF($AA188=1,$F188&amp;$AB188,$G188),IF(OR(AR$3=$D188,AR$3=$AC188,AR$3=$AE188),"",IF(AR$3=$AD188,$F188&amp;"R",AR187))))</f>
        <v>wP</v>
      </c>
      <c r="AS188" s="11" t="str">
        <f aca="false">IF($P188=0,AS187,IF(AS$3=$E188,IF($AA188=1,$F188&amp;$AB188,$G188),IF(OR(AS$3=$D188,AS$3=$AC188,AS$3=$AE188),"",IF(AS$3=$AD188,$F188&amp;"R",AS187))))</f>
        <v>wP</v>
      </c>
      <c r="AT188" s="11" t="str">
        <f aca="false">IF($P188=0,AT187,IF(AT$3=$E188,IF($AA188=1,$F188&amp;$AB188,$G188),IF(OR(AT$3=$D188,AT$3=$AC188,AT$3=$AE188),"",IF(AT$3=$AD188,$F188&amp;"R",AT187))))</f>
        <v>wP</v>
      </c>
      <c r="AU188" s="11" t="str">
        <f aca="false">IF($P188=0,AU187,IF(AU$3=$E188,IF($AA188=1,$F188&amp;$AB188,$G188),IF(OR(AU$3=$D188,AU$3=$AC188,AU$3=$AE188),"",IF(AU$3=$AD188,$F188&amp;"R",AU187))))</f>
        <v>wP</v>
      </c>
      <c r="AV188" s="11" t="str">
        <f aca="false">IF($P188=0,AV187,IF(AV$3=$E188,IF($AA188=1,$F188&amp;$AB188,$G188),IF(OR(AV$3=$D188,AV$3=$AC188,AV$3=$AE188),"",IF(AV$3=$AD188,$F188&amp;"R",AV187))))</f>
        <v>wP</v>
      </c>
      <c r="AW188" s="11" t="str">
        <f aca="false">IF($P188=0,AW187,IF(AW$3=$E188,IF($AA188=1,$F188&amp;$AB188,$G188),IF(OR(AW$3=$D188,AW$3=$AC188,AW$3=$AE188),"",IF(AW$3=$AD188,$F188&amp;"R",AW187))))</f>
        <v>wP</v>
      </c>
      <c r="AX188" s="11" t="str">
        <f aca="false">IF($P188=0,AX187,IF(AX$3=$E188,IF($AA188=1,$F188&amp;$AB188,$G188),IF(OR(AX$3=$D188,AX$3=$AC188,AX$3=$AE188),"",IF(AX$3=$AD188,$F188&amp;"R",AX187))))</f>
        <v/>
      </c>
      <c r="AY188" s="11" t="str">
        <f aca="false">IF($P188=0,AY187,IF(AY$3=$E188,IF($AA188=1,$F188&amp;$AB188,$G188),IF(OR(AY$3=$D188,AY$3=$AC188,AY$3=$AE188),"",IF(AY$3=$AD188,$F188&amp;"R",AY187))))</f>
        <v/>
      </c>
      <c r="AZ188" s="11" t="str">
        <f aca="false">IF($P188=0,AZ187,IF(AZ$3=$E188,IF($AA188=1,$F188&amp;$AB188,$G188),IF(OR(AZ$3=$D188,AZ$3=$AC188,AZ$3=$AE188),"",IF(AZ$3=$AD188,$F188&amp;"R",AZ187))))</f>
        <v/>
      </c>
      <c r="BA188" s="11" t="str">
        <f aca="false">IF($P188=0,BA187,IF(BA$3=$E188,IF($AA188=1,$F188&amp;$AB188,$G188),IF(OR(BA$3=$D188,BA$3=$AC188,BA$3=$AE188),"",IF(BA$3=$AD188,$F188&amp;"R",BA187))))</f>
        <v/>
      </c>
      <c r="BB188" s="11" t="str">
        <f aca="false">IF($P188=0,BB187,IF(BB$3=$E188,IF($AA188=1,$F188&amp;$AB188,$G188),IF(OR(BB$3=$D188,BB$3=$AC188,BB$3=$AE188),"",IF(BB$3=$AD188,$F188&amp;"R",BB187))))</f>
        <v/>
      </c>
      <c r="BC188" s="11" t="str">
        <f aca="false">IF($P188=0,BC187,IF(BC$3=$E188,IF($AA188=1,$F188&amp;$AB188,$G188),IF(OR(BC$3=$D188,BC$3=$AC188,BC$3=$AE188),"",IF(BC$3=$AD188,$F188&amp;"R",BC187))))</f>
        <v/>
      </c>
      <c r="BD188" s="11" t="str">
        <f aca="false">IF($P188=0,BD187,IF(BD$3=$E188,IF($AA188=1,$F188&amp;$AB188,$G188),IF(OR(BD$3=$D188,BD$3=$AC188,BD$3=$AE188),"",IF(BD$3=$AD188,$F188&amp;"R",BD187))))</f>
        <v/>
      </c>
      <c r="BE188" s="11" t="str">
        <f aca="false">IF($P188=0,BE187,IF(BE$3=$E188,IF($AA188=1,$F188&amp;$AB188,$G188),IF(OR(BE$3=$D188,BE$3=$AC188,BE$3=$AE188),"",IF(BE$3=$AD188,$F188&amp;"R",BE187))))</f>
        <v/>
      </c>
      <c r="BF188" s="11" t="str">
        <f aca="false">IF($P188=0,BF187,IF(BF$3=$E188,IF($AA188=1,$F188&amp;$AB188,$G188),IF(OR(BF$3=$D188,BF$3=$AC188,BF$3=$AE188),"",IF(BF$3=$AD188,$F188&amp;"R",BF187))))</f>
        <v/>
      </c>
      <c r="BG188" s="11" t="str">
        <f aca="false">IF($P188=0,BG187,IF(BG$3=$E188,IF($AA188=1,$F188&amp;$AB188,$G188),IF(OR(BG$3=$D188,BG$3=$AC188,BG$3=$AE188),"",IF(BG$3=$AD188,$F188&amp;"R",BG187))))</f>
        <v/>
      </c>
      <c r="BH188" s="11" t="str">
        <f aca="false">IF($P188=0,BH187,IF(BH$3=$E188,IF($AA188=1,$F188&amp;$AB188,$G188),IF(OR(BH$3=$D188,BH$3=$AC188,BH$3=$AE188),"",IF(BH$3=$AD188,$F188&amp;"R",BH187))))</f>
        <v/>
      </c>
      <c r="BI188" s="11" t="str">
        <f aca="false">IF($P188=0,BI187,IF(BI$3=$E188,IF($AA188=1,$F188&amp;$AB188,$G188),IF(OR(BI$3=$D188,BI$3=$AC188,BI$3=$AE188),"",IF(BI$3=$AD188,$F188&amp;"R",BI187))))</f>
        <v/>
      </c>
      <c r="BJ188" s="11" t="str">
        <f aca="false">IF($P188=0,BJ187,IF(BJ$3=$E188,IF($AA188=1,$F188&amp;$AB188,$G188),IF(OR(BJ$3=$D188,BJ$3=$AC188,BJ$3=$AE188),"",IF(BJ$3=$AD188,$F188&amp;"R",BJ187))))</f>
        <v/>
      </c>
      <c r="BK188" s="11" t="str">
        <f aca="false">IF($P188=0,BK187,IF(BK$3=$E188,IF($AA188=1,$F188&amp;$AB188,$G188),IF(OR(BK$3=$D188,BK$3=$AC188,BK$3=$AE188),"",IF(BK$3=$AD188,$F188&amp;"R",BK187))))</f>
        <v/>
      </c>
      <c r="BL188" s="11" t="str">
        <f aca="false">IF($P188=0,BL187,IF(BL$3=$E188,IF($AA188=1,$F188&amp;$AB188,$G188),IF(OR(BL$3=$D188,BL$3=$AC188,BL$3=$AE188),"",IF(BL$3=$AD188,$F188&amp;"R",BL187))))</f>
        <v/>
      </c>
      <c r="BM188" s="11" t="str">
        <f aca="false">IF($P188=0,BM187,IF(BM$3=$E188,IF($AA188=1,$F188&amp;$AB188,$G188),IF(OR(BM$3=$D188,BM$3=$AC188,BM$3=$AE188),"",IF(BM$3=$AD188,$F188&amp;"R",BM187))))</f>
        <v/>
      </c>
      <c r="BN188" s="11" t="str">
        <f aca="false">IF($P188=0,BN187,IF(BN$3=$E188,IF($AA188=1,$F188&amp;$AB188,$G188),IF(OR(BN$3=$D188,BN$3=$AC188,BN$3=$AE188),"",IF(BN$3=$AD188,$F188&amp;"R",BN187))))</f>
        <v/>
      </c>
      <c r="BO188" s="11" t="str">
        <f aca="false">IF($P188=0,BO187,IF(BO$3=$E188,IF($AA188=1,$F188&amp;$AB188,$G188),IF(OR(BO$3=$D188,BO$3=$AC188,BO$3=$AE188),"",IF(BO$3=$AD188,$F188&amp;"R",BO187))))</f>
        <v/>
      </c>
      <c r="BP188" s="11" t="str">
        <f aca="false">IF($P188=0,BP187,IF(BP$3=$E188,IF($AA188=1,$F188&amp;$AB188,$G188),IF(OR(BP$3=$D188,BP$3=$AC188,BP$3=$AE188),"",IF(BP$3=$AD188,$F188&amp;"R",BP187))))</f>
        <v/>
      </c>
      <c r="BQ188" s="11" t="str">
        <f aca="false">IF($P188=0,BQ187,IF(BQ$3=$E188,IF($AA188=1,$F188&amp;$AB188,$G188),IF(OR(BQ$3=$D188,BQ$3=$AC188,BQ$3=$AE188),"",IF(BQ$3=$AD188,$F188&amp;"R",BQ187))))</f>
        <v/>
      </c>
      <c r="BR188" s="11" t="str">
        <f aca="false">IF($P188=0,BR187,IF(BR$3=$E188,IF($AA188=1,$F188&amp;$AB188,$G188),IF(OR(BR$3=$D188,BR$3=$AC188,BR$3=$AE188),"",IF(BR$3=$AD188,$F188&amp;"R",BR187))))</f>
        <v/>
      </c>
      <c r="BS188" s="11" t="str">
        <f aca="false">IF($P188=0,BS187,IF(BS$3=$E188,IF($AA188=1,$F188&amp;$AB188,$G188),IF(OR(BS$3=$D188,BS$3=$AC188,BS$3=$AE188),"",IF(BS$3=$AD188,$F188&amp;"R",BS187))))</f>
        <v/>
      </c>
      <c r="BT188" s="11" t="str">
        <f aca="false">IF($P188=0,BT187,IF(BT$3=$E188,IF($AA188=1,$F188&amp;$AB188,$G188),IF(OR(BT$3=$D188,BT$3=$AC188,BT$3=$AE188),"",IF(BT$3=$AD188,$F188&amp;"R",BT187))))</f>
        <v/>
      </c>
      <c r="BU188" s="11" t="str">
        <f aca="false">IF($P188=0,BU187,IF(BU$3=$E188,IF($AA188=1,$F188&amp;$AB188,$G188),IF(OR(BU$3=$D188,BU$3=$AC188,BU$3=$AE188),"",IF(BU$3=$AD188,$F188&amp;"R",BU187))))</f>
        <v/>
      </c>
      <c r="BV188" s="11" t="str">
        <f aca="false">IF($P188=0,BV187,IF(BV$3=$E188,IF($AA188=1,$F188&amp;$AB188,$G188),IF(OR(BV$3=$D188,BV$3=$AC188,BV$3=$AE188),"",IF(BV$3=$AD188,$F188&amp;"R",BV187))))</f>
        <v/>
      </c>
      <c r="BW188" s="11" t="str">
        <f aca="false">IF($P188=0,BW187,IF(BW$3=$E188,IF($AA188=1,$F188&amp;$AB188,$G188),IF(OR(BW$3=$D188,BW$3=$AC188,BW$3=$AE188),"",IF(BW$3=$AD188,$F188&amp;"R",BW187))))</f>
        <v/>
      </c>
      <c r="BX188" s="11" t="str">
        <f aca="false">IF($P188=0,BX187,IF(BX$3=$E188,IF($AA188=1,$F188&amp;$AB188,$G188),IF(OR(BX$3=$D188,BX$3=$AC188,BX$3=$AE188),"",IF(BX$3=$AD188,$F188&amp;"R",BX187))))</f>
        <v/>
      </c>
      <c r="BY188" s="11" t="str">
        <f aca="false">IF($P188=0,BY187,IF(BY$3=$E188,IF($AA188=1,$F188&amp;$AB188,$G188),IF(OR(BY$3=$D188,BY$3=$AC188,BY$3=$AE188),"",IF(BY$3=$AD188,$F188&amp;"R",BY187))))</f>
        <v/>
      </c>
      <c r="BZ188" s="11" t="str">
        <f aca="false">IF($P188=0,BZ187,IF(BZ$3=$E188,IF($AA188=1,$F188&amp;$AB188,$G188),IF(OR(BZ$3=$D188,BZ$3=$AC188,BZ$3=$AE188),"",IF(BZ$3=$AD188,$F188&amp;"R",BZ187))))</f>
        <v/>
      </c>
      <c r="CA188" s="11" t="str">
        <f aca="false">IF($P188=0,CA187,IF(CA$3=$E188,IF($AA188=1,$F188&amp;$AB188,$G188),IF(OR(CA$3=$D188,CA$3=$AC188,CA$3=$AE188),"",IF(CA$3=$AD188,$F188&amp;"R",CA187))))</f>
        <v/>
      </c>
      <c r="CB188" s="11" t="str">
        <f aca="false">IF($P188=0,CB187,IF(CB$3=$E188,IF($AA188=1,$F188&amp;$AB188,$G188),IF(OR(CB$3=$D188,CB$3=$AC188,CB$3=$AE188),"",IF(CB$3=$AD188,$F188&amp;"R",CB187))))</f>
        <v/>
      </c>
      <c r="CC188" s="11" t="str">
        <f aca="false">IF($P188=0,CC187,IF(CC$3=$E188,IF($AA188=1,$F188&amp;$AB188,$G188),IF(OR(CC$3=$D188,CC$3=$AC188,CC$3=$AE188),"",IF(CC$3=$AD188,$F188&amp;"R",CC187))))</f>
        <v/>
      </c>
      <c r="CD188" s="11" t="str">
        <f aca="false">IF($P188=0,CD187,IF(CD$3=$E188,IF($AA188=1,$F188&amp;$AB188,$G188),IF(OR(CD$3=$D188,CD$3=$AC188,CD$3=$AE188),"",IF(CD$3=$AD188,$F188&amp;"R",CD187))))</f>
        <v>bP</v>
      </c>
      <c r="CE188" s="11" t="str">
        <f aca="false">IF($P188=0,CE187,IF(CE$3=$E188,IF($AA188=1,$F188&amp;$AB188,$G188),IF(OR(CE$3=$D188,CE$3=$AC188,CE$3=$AE188),"",IF(CE$3=$AD188,$F188&amp;"R",CE187))))</f>
        <v>bP</v>
      </c>
      <c r="CF188" s="11" t="str">
        <f aca="false">IF($P188=0,CF187,IF(CF$3=$E188,IF($AA188=1,$F188&amp;$AB188,$G188),IF(OR(CF$3=$D188,CF$3=$AC188,CF$3=$AE188),"",IF(CF$3=$AD188,$F188&amp;"R",CF187))))</f>
        <v>bP</v>
      </c>
      <c r="CG188" s="11" t="str">
        <f aca="false">IF($P188=0,CG187,IF(CG$3=$E188,IF($AA188=1,$F188&amp;$AB188,$G188),IF(OR(CG$3=$D188,CG$3=$AC188,CG$3=$AE188),"",IF(CG$3=$AD188,$F188&amp;"R",CG187))))</f>
        <v>bP</v>
      </c>
      <c r="CH188" s="11" t="str">
        <f aca="false">IF($P188=0,CH187,IF(CH$3=$E188,IF($AA188=1,$F188&amp;$AB188,$G188),IF(OR(CH$3=$D188,CH$3=$AC188,CH$3=$AE188),"",IF(CH$3=$AD188,$F188&amp;"R",CH187))))</f>
        <v>bP</v>
      </c>
      <c r="CI188" s="11" t="str">
        <f aca="false">IF($P188=0,CI187,IF(CI$3=$E188,IF($AA188=1,$F188&amp;$AB188,$G188),IF(OR(CI$3=$D188,CI$3=$AC188,CI$3=$AE188),"",IF(CI$3=$AD188,$F188&amp;"R",CI187))))</f>
        <v>bP</v>
      </c>
      <c r="CJ188" s="11" t="str">
        <f aca="false">IF($P188=0,CJ187,IF(CJ$3=$E188,IF($AA188=1,$F188&amp;$AB188,$G188),IF(OR(CJ$3=$D188,CJ$3=$AC188,CJ$3=$AE188),"",IF(CJ$3=$AD188,$F188&amp;"R",CJ187))))</f>
        <v>bP</v>
      </c>
      <c r="CK188" s="11" t="str">
        <f aca="false">IF($P188=0,CK187,IF(CK$3=$E188,IF($AA188=1,$F188&amp;$AB188,$G188),IF(OR(CK$3=$D188,CK$3=$AC188,CK$3=$AE188),"",IF(CK$3=$AD188,$F188&amp;"R",CK187))))</f>
        <v>bP</v>
      </c>
      <c r="CL188" s="11" t="str">
        <f aca="false">IF($P188=0,CL187,IF(CL$3=$E188,IF($AA188=1,$F188&amp;$AB188,$G188),IF(OR(CL$3=$D188,CL$3=$AC188,CL$3=$AE188),"",IF(CL$3=$AD188,$F188&amp;"R",CL187))))</f>
        <v>bR</v>
      </c>
      <c r="CM188" s="11" t="str">
        <f aca="false">IF($P188=0,CM187,IF(CM$3=$E188,IF($AA188=1,$F188&amp;$AB188,$G188),IF(OR(CM$3=$D188,CM$3=$AC188,CM$3=$AE188),"",IF(CM$3=$AD188,$F188&amp;"R",CM187))))</f>
        <v>bN</v>
      </c>
      <c r="CN188" s="11" t="str">
        <f aca="false">IF($P188=0,CN187,IF(CN$3=$E188,IF($AA188=1,$F188&amp;$AB188,$G188),IF(OR(CN$3=$D188,CN$3=$AC188,CN$3=$AE188),"",IF(CN$3=$AD188,$F188&amp;"R",CN187))))</f>
        <v>bB</v>
      </c>
      <c r="CO188" s="11" t="str">
        <f aca="false">IF($P188=0,CO187,IF(CO$3=$E188,IF($AA188=1,$F188&amp;$AB188,$G188),IF(OR(CO$3=$D188,CO$3=$AC188,CO$3=$AE188),"",IF(CO$3=$AD188,$F188&amp;"R",CO187))))</f>
        <v>bQ</v>
      </c>
      <c r="CP188" s="11" t="str">
        <f aca="false">IF($P188=0,CP187,IF(CP$3=$E188,IF($AA188=1,$F188&amp;$AB188,$G188),IF(OR(CP$3=$D188,CP$3=$AC188,CP$3=$AE188),"",IF(CP$3=$AD188,$F188&amp;"R",CP187))))</f>
        <v>bK</v>
      </c>
      <c r="CQ188" s="11" t="str">
        <f aca="false">IF($P188=0,CQ187,IF(CQ$3=$E188,IF($AA188=1,$F188&amp;$AB188,$G188),IF(OR(CQ$3=$D188,CQ$3=$AC188,CQ$3=$AE188),"",IF(CQ$3=$AD188,$F188&amp;"R",CQ187))))</f>
        <v>bB</v>
      </c>
      <c r="CR188" s="11" t="str">
        <f aca="false">IF($P188=0,CR187,IF(CR$3=$E188,IF($AA188=1,$F188&amp;$AB188,$G188),IF(OR(CR$3=$D188,CR$3=$AC188,CR$3=$AE188),"",IF(CR$3=$AD188,$F188&amp;"R",CR187))))</f>
        <v>bN</v>
      </c>
      <c r="CS188" s="11" t="str">
        <f aca="false">IF($P188=0,CS187,IF(CS$3=$E188,IF($AA188=1,$F188&amp;$AB188,$G188),IF(OR(CS$3=$D188,CS$3=$AC188,CS$3=$AE188),"",IF(CS$3=$AD188,$F188&amp;"R",CS187))))</f>
        <v>bR</v>
      </c>
      <c r="CT188" s="11"/>
      <c r="CU188" s="11"/>
      <c r="CV188" s="11"/>
    </row>
    <row r="189" customFormat="false" ht="15" hidden="false" customHeight="false" outlineLevel="0" collapsed="false">
      <c r="A189" s="11" t="n">
        <v>184</v>
      </c>
      <c r="B189" s="11" t="str">
        <f aca="false">IF(Chess!$L$193="","",Chess!$L$193&amp;"")</f>
        <v/>
      </c>
      <c r="C189" s="11" t="str">
        <f aca="false">LOWER(SUBSTITUTE(SUBSTITUTE(SUBSTITUTE(SUBSTITUTE(TRIM($B189),"-",""),"=","")," ",""),"x",""))</f>
        <v/>
      </c>
      <c r="D189" s="11" t="n">
        <f aca="false">IF(LEN($C189)&lt;4,0,IFERROR(IF(AND(CODE(MID($C189,1,1))&gt;=97,CODE(MID($C189,1,1))&lt;=104,VALUE(MID($C189,2,1))&gt;=1,VALUE(MID($C189,2,1))&lt;=8),(VALUE(MID($C189,2,1))-1)*8+CODE(MID($C189,1,1))-96,0),0))</f>
        <v>0</v>
      </c>
      <c r="E189" s="11" t="n">
        <f aca="false">IF(LEN($C189)&lt;4,0,IFERROR(IF(AND(CODE(MID($C189,3,1))&gt;=97,CODE(MID($C189,3,1))&lt;=104,VALUE(MID($C189,4,1))&gt;=1,VALUE(MID($C189,4,1))&lt;=8),(VALUE(MID($C189,4,1))-1)*8+CODE(MID($C189,3,1))-96,0),0))</f>
        <v>0</v>
      </c>
      <c r="F189" s="11" t="str">
        <f aca="false">IF(MOD(SUM($P$5:$P188),2)=0,"w","b")</f>
        <v>w</v>
      </c>
      <c r="G189" s="11" t="str">
        <f aca="false">IF($D189=0,"",INDEX($AH188:$CS188,1,$D189)&amp;"")</f>
        <v/>
      </c>
      <c r="H189" s="11" t="str">
        <f aca="false">IF($E189=0,"",INDEX($AH188:$CS188,1,$E189)&amp;"")</f>
        <v/>
      </c>
      <c r="I189" s="11" t="n">
        <f aca="false">IF(OR($D189=0,$E189=0),0,MOD($E189-1,8)-MOD($D189-1,8))</f>
        <v>0</v>
      </c>
      <c r="J189" s="11" t="n">
        <f aca="false">IF(OR($D189=0,$E189=0),0,INT(($E189-1)/8)-INT(($D189-1)/8))</f>
        <v>0</v>
      </c>
      <c r="K189" s="11" t="str">
        <f aca="false">IF($G189="","",RIGHT($G189,1))</f>
        <v/>
      </c>
      <c r="L189" s="11" t="n">
        <f aca="false">IF(OR($D189=0,$E189=0),0,SUMPRODUCT(($AH$3:$CS$3&gt;MIN($D189,$E189))*($AH$3:$CS$3&lt;MAX($D189,$E189))*(MOD($AH$3:$CS$3-MIN($D189,$E189),MAX(1,ABS(SIGN($J189)*8+SIGN($I189))))=0)*($AH188:$CS188&lt;&gt;"")))</f>
        <v>0</v>
      </c>
      <c r="M189" s="11" t="n">
        <f aca="false">IF($K189&lt;&gt;"K",0,IFERROR(--AND($J189=0,ABS($I189)=2,$D189=IF($F189="w",5,61),IF($F189="w",$S188,$V188)=0,IF($I189=2,AND(IF($F189="w",$U188,$X188)=0,INDEX($AH188:$CS188,1,$D189+1)&amp;""="",INDEX($AH188:$CS188,1,$D189+2)&amp;""=""),AND(IF($F189="w",$T188,$W188)=0,INDEX($AH188:$CS188,1,$D189-1)&amp;""="",INDEX($AH188:$CS188,1,$D189-2)&amp;""="",INDEX($AH188:$CS188,1,$D189-3)&amp;""=""))),0))</f>
        <v>0</v>
      </c>
      <c r="N189" s="11" t="n">
        <f aca="false">IF($K189&lt;&gt;"P",0,IFERROR(--OR(AND($I189=0,$J189=IF($F189="w",1,-1),$H189=""),AND($I189=0,$J189=2*IF($F189="w",1,-1),$H189="",INT(($D189-1)/8)=IF($F189="w",1,6),INDEX($AH188:$CS188,1,MAX(1,MIN(64,$D189+8*IF($F189="w",1,-1))))&amp;""=""),AND(ABS($I189)=1,$J189=IF($F189="w",1,-1),$H189&lt;&gt;""),AND(ABS($I189)=1,$J189=IF($F189="w",1,-1),$H189="",$R188&gt;0,$E189=$R188)),0))</f>
        <v>0</v>
      </c>
      <c r="O189" s="11" t="n">
        <f aca="false">IF(OR($D189=0,$E189=0,$G189=""),0,IF($K189="N",--OR(AND(ABS($I189)=1,ABS($J189)=2),AND(ABS($I189)=2,ABS($J189)=1)),IF($K189="B",--AND(ABS($I189)=ABS($J189),$I189&lt;&gt;0,$L189=0),IF($K189="R",--AND(OR($I189=0,$J189=0),OR($I189&lt;&gt;0,$J189&lt;&gt;0),$L189=0),IF($K189="Q",--AND(OR(AND(ABS($I189)=ABS($J189),$I189&lt;&gt;0),AND(OR($I189=0,$J189=0),OR($I189&lt;&gt;0,$J189&lt;&gt;0))),$L189=0),IF($K189="K",--OR(MAX(ABS($I189),ABS($J189))=1,$M189=1),$N189))))))</f>
        <v>0</v>
      </c>
      <c r="P189" s="11" t="n">
        <f aca="false">IF($Q189="OK",1,0)</f>
        <v>0</v>
      </c>
      <c r="Q189" s="11" t="str">
        <f aca="false">IF($B189="","",IF(OR(COUNTIF($AH188:$CS188,"wK")=0,COUNTIF($AH188:$CS188,"bK")=0),"Game is over",IF(OR($D189=0,$E189=0),"Use the format e2e4",IF($G189="","No piece on that square",IF(LEFT($G189,1)&lt;&gt;$F189,"Not your piece ("&amp;IF($F189="w","White","Black")&amp;" to move)",IF($D189=$E189,"Piece must move",IF(AND($H189&lt;&gt;"",LEFT($H189,1)=$F189),"Cannot capture your own piece",IF($O189=0,"Illegal move for that piece (or path blocked)","OK"))))))))</f>
        <v/>
      </c>
      <c r="R189" s="11" t="n">
        <f aca="false">IF($P189=1,IF(AND($K189="P",ABS($J189)=2),($D189+$E189)/2,0),$R188)</f>
        <v>0</v>
      </c>
      <c r="S189" s="12" t="b">
        <f aca="false">--OR($S188=1,AND($P189=1,OR($D189=5,$E189=5)))</f>
        <v>0</v>
      </c>
      <c r="T189" s="12" t="b">
        <f aca="false">--OR($T188=1,AND($P189=1,OR($D189=1,$E189=1)))</f>
        <v>0</v>
      </c>
      <c r="U189" s="12" t="b">
        <f aca="false">--OR($U188=1,AND($P189=1,OR($D189=8,$E189=8)))</f>
        <v>0</v>
      </c>
      <c r="V189" s="12" t="b">
        <f aca="false">--OR($V188=1,AND($P189=1,OR($D189=61,$E189=61)))</f>
        <v>0</v>
      </c>
      <c r="W189" s="12" t="b">
        <f aca="false">--OR($W188=1,AND($P189=1,OR($D189=57,$E189=57)))</f>
        <v>0</v>
      </c>
      <c r="X189" s="12" t="b">
        <f aca="false">--OR($X188=1,AND($P189=1,OR($D189=64,$E189=64)))</f>
        <v>0</v>
      </c>
      <c r="Y189" s="12" t="b">
        <f aca="false">--AND($P189=1,$K189="K",ABS($I189)=2)</f>
        <v>0</v>
      </c>
      <c r="Z189" s="12" t="b">
        <f aca="false">--AND($P189=1,$K189="P",ABS($I189)=1,$H189="")</f>
        <v>0</v>
      </c>
      <c r="AA189" s="12" t="b">
        <f aca="false">--AND($P189=1,$K189="P",INT(($E189-1)/8)=IF($F189="w",7,0))</f>
        <v>0</v>
      </c>
      <c r="AB189" s="11" t="str">
        <f aca="false">IF(LEN($C189)&gt;=5,IF(ISNUMBER(FIND(MID($C189,5,1),"qrbn")),UPPER(MID($C189,5,1)),"Q"),"Q")</f>
        <v>Q</v>
      </c>
      <c r="AC189" s="11" t="n">
        <f aca="false">IF($Y189=1,IF($I189=2,$D189+3,$D189-4),0)</f>
        <v>0</v>
      </c>
      <c r="AD189" s="11" t="n">
        <f aca="false">IF($Y189=1,IF($I189=2,$D189+1,$D189-1),0)</f>
        <v>0</v>
      </c>
      <c r="AE189" s="11" t="n">
        <f aca="false">IF($Z189=1,$E189-8*IF($F189="w",1,-1),0)</f>
        <v>0</v>
      </c>
      <c r="AF189" s="11" t="str">
        <f aca="false">IF($B189="","",IF($P189=1,LOWER(INDEX($CV$2:$CV$13,MATCH($G189,$CU$2:$CU$13,0)))&amp;" "&amp;MID("abcdefgh",MOD($D189-1,8)+1,1)&amp;(INT(($D189-1)/8)+1)&amp;"→"&amp;MID("abcdefgh",MOD($E189-1,8)+1,1)&amp;(INT(($E189-1)/8)+1)&amp;IF(OR($H189&lt;&gt;"",$Z189=1)," ×","")&amp;IF($Y189=1," castles","")&amp;IF($Z189=1," e.p.","")&amp;IF($AA189=1," =" &amp;LOWER(INDEX($CV$2:$CV$13,MATCH($F189&amp;$AB189,$CU$2:$CU$13,0))),""),"X "&amp;$Q189))</f>
        <v/>
      </c>
      <c r="AG189" s="11"/>
      <c r="AH189" s="11" t="str">
        <f aca="false">IF($P189=0,AH188,IF(AH$3=$E189,IF($AA189=1,$F189&amp;$AB189,$G189),IF(OR(AH$3=$D189,AH$3=$AC189,AH$3=$AE189),"",IF(AH$3=$AD189,$F189&amp;"R",AH188))))</f>
        <v>wR</v>
      </c>
      <c r="AI189" s="11" t="str">
        <f aca="false">IF($P189=0,AI188,IF(AI$3=$E189,IF($AA189=1,$F189&amp;$AB189,$G189),IF(OR(AI$3=$D189,AI$3=$AC189,AI$3=$AE189),"",IF(AI$3=$AD189,$F189&amp;"R",AI188))))</f>
        <v>wN</v>
      </c>
      <c r="AJ189" s="11" t="str">
        <f aca="false">IF($P189=0,AJ188,IF(AJ$3=$E189,IF($AA189=1,$F189&amp;$AB189,$G189),IF(OR(AJ$3=$D189,AJ$3=$AC189,AJ$3=$AE189),"",IF(AJ$3=$AD189,$F189&amp;"R",AJ188))))</f>
        <v>wB</v>
      </c>
      <c r="AK189" s="11" t="str">
        <f aca="false">IF($P189=0,AK188,IF(AK$3=$E189,IF($AA189=1,$F189&amp;$AB189,$G189),IF(OR(AK$3=$D189,AK$3=$AC189,AK$3=$AE189),"",IF(AK$3=$AD189,$F189&amp;"R",AK188))))</f>
        <v>wQ</v>
      </c>
      <c r="AL189" s="11" t="str">
        <f aca="false">IF($P189=0,AL188,IF(AL$3=$E189,IF($AA189=1,$F189&amp;$AB189,$G189),IF(OR(AL$3=$D189,AL$3=$AC189,AL$3=$AE189),"",IF(AL$3=$AD189,$F189&amp;"R",AL188))))</f>
        <v>wK</v>
      </c>
      <c r="AM189" s="11" t="str">
        <f aca="false">IF($P189=0,AM188,IF(AM$3=$E189,IF($AA189=1,$F189&amp;$AB189,$G189),IF(OR(AM$3=$D189,AM$3=$AC189,AM$3=$AE189),"",IF(AM$3=$AD189,$F189&amp;"R",AM188))))</f>
        <v>wB</v>
      </c>
      <c r="AN189" s="11" t="str">
        <f aca="false">IF($P189=0,AN188,IF(AN$3=$E189,IF($AA189=1,$F189&amp;$AB189,$G189),IF(OR(AN$3=$D189,AN$3=$AC189,AN$3=$AE189),"",IF(AN$3=$AD189,$F189&amp;"R",AN188))))</f>
        <v>wN</v>
      </c>
      <c r="AO189" s="11" t="str">
        <f aca="false">IF($P189=0,AO188,IF(AO$3=$E189,IF($AA189=1,$F189&amp;$AB189,$G189),IF(OR(AO$3=$D189,AO$3=$AC189,AO$3=$AE189),"",IF(AO$3=$AD189,$F189&amp;"R",AO188))))</f>
        <v>wR</v>
      </c>
      <c r="AP189" s="11" t="str">
        <f aca="false">IF($P189=0,AP188,IF(AP$3=$E189,IF($AA189=1,$F189&amp;$AB189,$G189),IF(OR(AP$3=$D189,AP$3=$AC189,AP$3=$AE189),"",IF(AP$3=$AD189,$F189&amp;"R",AP188))))</f>
        <v>wP</v>
      </c>
      <c r="AQ189" s="11" t="str">
        <f aca="false">IF($P189=0,AQ188,IF(AQ$3=$E189,IF($AA189=1,$F189&amp;$AB189,$G189),IF(OR(AQ$3=$D189,AQ$3=$AC189,AQ$3=$AE189),"",IF(AQ$3=$AD189,$F189&amp;"R",AQ188))))</f>
        <v>wP</v>
      </c>
      <c r="AR189" s="11" t="str">
        <f aca="false">IF($P189=0,AR188,IF(AR$3=$E189,IF($AA189=1,$F189&amp;$AB189,$G189),IF(OR(AR$3=$D189,AR$3=$AC189,AR$3=$AE189),"",IF(AR$3=$AD189,$F189&amp;"R",AR188))))</f>
        <v>wP</v>
      </c>
      <c r="AS189" s="11" t="str">
        <f aca="false">IF($P189=0,AS188,IF(AS$3=$E189,IF($AA189=1,$F189&amp;$AB189,$G189),IF(OR(AS$3=$D189,AS$3=$AC189,AS$3=$AE189),"",IF(AS$3=$AD189,$F189&amp;"R",AS188))))</f>
        <v>wP</v>
      </c>
      <c r="AT189" s="11" t="str">
        <f aca="false">IF($P189=0,AT188,IF(AT$3=$E189,IF($AA189=1,$F189&amp;$AB189,$G189),IF(OR(AT$3=$D189,AT$3=$AC189,AT$3=$AE189),"",IF(AT$3=$AD189,$F189&amp;"R",AT188))))</f>
        <v>wP</v>
      </c>
      <c r="AU189" s="11" t="str">
        <f aca="false">IF($P189=0,AU188,IF(AU$3=$E189,IF($AA189=1,$F189&amp;$AB189,$G189),IF(OR(AU$3=$D189,AU$3=$AC189,AU$3=$AE189),"",IF(AU$3=$AD189,$F189&amp;"R",AU188))))</f>
        <v>wP</v>
      </c>
      <c r="AV189" s="11" t="str">
        <f aca="false">IF($P189=0,AV188,IF(AV$3=$E189,IF($AA189=1,$F189&amp;$AB189,$G189),IF(OR(AV$3=$D189,AV$3=$AC189,AV$3=$AE189),"",IF(AV$3=$AD189,$F189&amp;"R",AV188))))</f>
        <v>wP</v>
      </c>
      <c r="AW189" s="11" t="str">
        <f aca="false">IF($P189=0,AW188,IF(AW$3=$E189,IF($AA189=1,$F189&amp;$AB189,$G189),IF(OR(AW$3=$D189,AW$3=$AC189,AW$3=$AE189),"",IF(AW$3=$AD189,$F189&amp;"R",AW188))))</f>
        <v>wP</v>
      </c>
      <c r="AX189" s="11" t="str">
        <f aca="false">IF($P189=0,AX188,IF(AX$3=$E189,IF($AA189=1,$F189&amp;$AB189,$G189),IF(OR(AX$3=$D189,AX$3=$AC189,AX$3=$AE189),"",IF(AX$3=$AD189,$F189&amp;"R",AX188))))</f>
        <v/>
      </c>
      <c r="AY189" s="11" t="str">
        <f aca="false">IF($P189=0,AY188,IF(AY$3=$E189,IF($AA189=1,$F189&amp;$AB189,$G189),IF(OR(AY$3=$D189,AY$3=$AC189,AY$3=$AE189),"",IF(AY$3=$AD189,$F189&amp;"R",AY188))))</f>
        <v/>
      </c>
      <c r="AZ189" s="11" t="str">
        <f aca="false">IF($P189=0,AZ188,IF(AZ$3=$E189,IF($AA189=1,$F189&amp;$AB189,$G189),IF(OR(AZ$3=$D189,AZ$3=$AC189,AZ$3=$AE189),"",IF(AZ$3=$AD189,$F189&amp;"R",AZ188))))</f>
        <v/>
      </c>
      <c r="BA189" s="11" t="str">
        <f aca="false">IF($P189=0,BA188,IF(BA$3=$E189,IF($AA189=1,$F189&amp;$AB189,$G189),IF(OR(BA$3=$D189,BA$3=$AC189,BA$3=$AE189),"",IF(BA$3=$AD189,$F189&amp;"R",BA188))))</f>
        <v/>
      </c>
      <c r="BB189" s="11" t="str">
        <f aca="false">IF($P189=0,BB188,IF(BB$3=$E189,IF($AA189=1,$F189&amp;$AB189,$G189),IF(OR(BB$3=$D189,BB$3=$AC189,BB$3=$AE189),"",IF(BB$3=$AD189,$F189&amp;"R",BB188))))</f>
        <v/>
      </c>
      <c r="BC189" s="11" t="str">
        <f aca="false">IF($P189=0,BC188,IF(BC$3=$E189,IF($AA189=1,$F189&amp;$AB189,$G189),IF(OR(BC$3=$D189,BC$3=$AC189,BC$3=$AE189),"",IF(BC$3=$AD189,$F189&amp;"R",BC188))))</f>
        <v/>
      </c>
      <c r="BD189" s="11" t="str">
        <f aca="false">IF($P189=0,BD188,IF(BD$3=$E189,IF($AA189=1,$F189&amp;$AB189,$G189),IF(OR(BD$3=$D189,BD$3=$AC189,BD$3=$AE189),"",IF(BD$3=$AD189,$F189&amp;"R",BD188))))</f>
        <v/>
      </c>
      <c r="BE189" s="11" t="str">
        <f aca="false">IF($P189=0,BE188,IF(BE$3=$E189,IF($AA189=1,$F189&amp;$AB189,$G189),IF(OR(BE$3=$D189,BE$3=$AC189,BE$3=$AE189),"",IF(BE$3=$AD189,$F189&amp;"R",BE188))))</f>
        <v/>
      </c>
      <c r="BF189" s="11" t="str">
        <f aca="false">IF($P189=0,BF188,IF(BF$3=$E189,IF($AA189=1,$F189&amp;$AB189,$G189),IF(OR(BF$3=$D189,BF$3=$AC189,BF$3=$AE189),"",IF(BF$3=$AD189,$F189&amp;"R",BF188))))</f>
        <v/>
      </c>
      <c r="BG189" s="11" t="str">
        <f aca="false">IF($P189=0,BG188,IF(BG$3=$E189,IF($AA189=1,$F189&amp;$AB189,$G189),IF(OR(BG$3=$D189,BG$3=$AC189,BG$3=$AE189),"",IF(BG$3=$AD189,$F189&amp;"R",BG188))))</f>
        <v/>
      </c>
      <c r="BH189" s="11" t="str">
        <f aca="false">IF($P189=0,BH188,IF(BH$3=$E189,IF($AA189=1,$F189&amp;$AB189,$G189),IF(OR(BH$3=$D189,BH$3=$AC189,BH$3=$AE189),"",IF(BH$3=$AD189,$F189&amp;"R",BH188))))</f>
        <v/>
      </c>
      <c r="BI189" s="11" t="str">
        <f aca="false">IF($P189=0,BI188,IF(BI$3=$E189,IF($AA189=1,$F189&amp;$AB189,$G189),IF(OR(BI$3=$D189,BI$3=$AC189,BI$3=$AE189),"",IF(BI$3=$AD189,$F189&amp;"R",BI188))))</f>
        <v/>
      </c>
      <c r="BJ189" s="11" t="str">
        <f aca="false">IF($P189=0,BJ188,IF(BJ$3=$E189,IF($AA189=1,$F189&amp;$AB189,$G189),IF(OR(BJ$3=$D189,BJ$3=$AC189,BJ$3=$AE189),"",IF(BJ$3=$AD189,$F189&amp;"R",BJ188))))</f>
        <v/>
      </c>
      <c r="BK189" s="11" t="str">
        <f aca="false">IF($P189=0,BK188,IF(BK$3=$E189,IF($AA189=1,$F189&amp;$AB189,$G189),IF(OR(BK$3=$D189,BK$3=$AC189,BK$3=$AE189),"",IF(BK$3=$AD189,$F189&amp;"R",BK188))))</f>
        <v/>
      </c>
      <c r="BL189" s="11" t="str">
        <f aca="false">IF($P189=0,BL188,IF(BL$3=$E189,IF($AA189=1,$F189&amp;$AB189,$G189),IF(OR(BL$3=$D189,BL$3=$AC189,BL$3=$AE189),"",IF(BL$3=$AD189,$F189&amp;"R",BL188))))</f>
        <v/>
      </c>
      <c r="BM189" s="11" t="str">
        <f aca="false">IF($P189=0,BM188,IF(BM$3=$E189,IF($AA189=1,$F189&amp;$AB189,$G189),IF(OR(BM$3=$D189,BM$3=$AC189,BM$3=$AE189),"",IF(BM$3=$AD189,$F189&amp;"R",BM188))))</f>
        <v/>
      </c>
      <c r="BN189" s="11" t="str">
        <f aca="false">IF($P189=0,BN188,IF(BN$3=$E189,IF($AA189=1,$F189&amp;$AB189,$G189),IF(OR(BN$3=$D189,BN$3=$AC189,BN$3=$AE189),"",IF(BN$3=$AD189,$F189&amp;"R",BN188))))</f>
        <v/>
      </c>
      <c r="BO189" s="11" t="str">
        <f aca="false">IF($P189=0,BO188,IF(BO$3=$E189,IF($AA189=1,$F189&amp;$AB189,$G189),IF(OR(BO$3=$D189,BO$3=$AC189,BO$3=$AE189),"",IF(BO$3=$AD189,$F189&amp;"R",BO188))))</f>
        <v/>
      </c>
      <c r="BP189" s="11" t="str">
        <f aca="false">IF($P189=0,BP188,IF(BP$3=$E189,IF($AA189=1,$F189&amp;$AB189,$G189),IF(OR(BP$3=$D189,BP$3=$AC189,BP$3=$AE189),"",IF(BP$3=$AD189,$F189&amp;"R",BP188))))</f>
        <v/>
      </c>
      <c r="BQ189" s="11" t="str">
        <f aca="false">IF($P189=0,BQ188,IF(BQ$3=$E189,IF($AA189=1,$F189&amp;$AB189,$G189),IF(OR(BQ$3=$D189,BQ$3=$AC189,BQ$3=$AE189),"",IF(BQ$3=$AD189,$F189&amp;"R",BQ188))))</f>
        <v/>
      </c>
      <c r="BR189" s="11" t="str">
        <f aca="false">IF($P189=0,BR188,IF(BR$3=$E189,IF($AA189=1,$F189&amp;$AB189,$G189),IF(OR(BR$3=$D189,BR$3=$AC189,BR$3=$AE189),"",IF(BR$3=$AD189,$F189&amp;"R",BR188))))</f>
        <v/>
      </c>
      <c r="BS189" s="11" t="str">
        <f aca="false">IF($P189=0,BS188,IF(BS$3=$E189,IF($AA189=1,$F189&amp;$AB189,$G189),IF(OR(BS$3=$D189,BS$3=$AC189,BS$3=$AE189),"",IF(BS$3=$AD189,$F189&amp;"R",BS188))))</f>
        <v/>
      </c>
      <c r="BT189" s="11" t="str">
        <f aca="false">IF($P189=0,BT188,IF(BT$3=$E189,IF($AA189=1,$F189&amp;$AB189,$G189),IF(OR(BT$3=$D189,BT$3=$AC189,BT$3=$AE189),"",IF(BT$3=$AD189,$F189&amp;"R",BT188))))</f>
        <v/>
      </c>
      <c r="BU189" s="11" t="str">
        <f aca="false">IF($P189=0,BU188,IF(BU$3=$E189,IF($AA189=1,$F189&amp;$AB189,$G189),IF(OR(BU$3=$D189,BU$3=$AC189,BU$3=$AE189),"",IF(BU$3=$AD189,$F189&amp;"R",BU188))))</f>
        <v/>
      </c>
      <c r="BV189" s="11" t="str">
        <f aca="false">IF($P189=0,BV188,IF(BV$3=$E189,IF($AA189=1,$F189&amp;$AB189,$G189),IF(OR(BV$3=$D189,BV$3=$AC189,BV$3=$AE189),"",IF(BV$3=$AD189,$F189&amp;"R",BV188))))</f>
        <v/>
      </c>
      <c r="BW189" s="11" t="str">
        <f aca="false">IF($P189=0,BW188,IF(BW$3=$E189,IF($AA189=1,$F189&amp;$AB189,$G189),IF(OR(BW$3=$D189,BW$3=$AC189,BW$3=$AE189),"",IF(BW$3=$AD189,$F189&amp;"R",BW188))))</f>
        <v/>
      </c>
      <c r="BX189" s="11" t="str">
        <f aca="false">IF($P189=0,BX188,IF(BX$3=$E189,IF($AA189=1,$F189&amp;$AB189,$G189),IF(OR(BX$3=$D189,BX$3=$AC189,BX$3=$AE189),"",IF(BX$3=$AD189,$F189&amp;"R",BX188))))</f>
        <v/>
      </c>
      <c r="BY189" s="11" t="str">
        <f aca="false">IF($P189=0,BY188,IF(BY$3=$E189,IF($AA189=1,$F189&amp;$AB189,$G189),IF(OR(BY$3=$D189,BY$3=$AC189,BY$3=$AE189),"",IF(BY$3=$AD189,$F189&amp;"R",BY188))))</f>
        <v/>
      </c>
      <c r="BZ189" s="11" t="str">
        <f aca="false">IF($P189=0,BZ188,IF(BZ$3=$E189,IF($AA189=1,$F189&amp;$AB189,$G189),IF(OR(BZ$3=$D189,BZ$3=$AC189,BZ$3=$AE189),"",IF(BZ$3=$AD189,$F189&amp;"R",BZ188))))</f>
        <v/>
      </c>
      <c r="CA189" s="11" t="str">
        <f aca="false">IF($P189=0,CA188,IF(CA$3=$E189,IF($AA189=1,$F189&amp;$AB189,$G189),IF(OR(CA$3=$D189,CA$3=$AC189,CA$3=$AE189),"",IF(CA$3=$AD189,$F189&amp;"R",CA188))))</f>
        <v/>
      </c>
      <c r="CB189" s="11" t="str">
        <f aca="false">IF($P189=0,CB188,IF(CB$3=$E189,IF($AA189=1,$F189&amp;$AB189,$G189),IF(OR(CB$3=$D189,CB$3=$AC189,CB$3=$AE189),"",IF(CB$3=$AD189,$F189&amp;"R",CB188))))</f>
        <v/>
      </c>
      <c r="CC189" s="11" t="str">
        <f aca="false">IF($P189=0,CC188,IF(CC$3=$E189,IF($AA189=1,$F189&amp;$AB189,$G189),IF(OR(CC$3=$D189,CC$3=$AC189,CC$3=$AE189),"",IF(CC$3=$AD189,$F189&amp;"R",CC188))))</f>
        <v/>
      </c>
      <c r="CD189" s="11" t="str">
        <f aca="false">IF($P189=0,CD188,IF(CD$3=$E189,IF($AA189=1,$F189&amp;$AB189,$G189),IF(OR(CD$3=$D189,CD$3=$AC189,CD$3=$AE189),"",IF(CD$3=$AD189,$F189&amp;"R",CD188))))</f>
        <v>bP</v>
      </c>
      <c r="CE189" s="11" t="str">
        <f aca="false">IF($P189=0,CE188,IF(CE$3=$E189,IF($AA189=1,$F189&amp;$AB189,$G189),IF(OR(CE$3=$D189,CE$3=$AC189,CE$3=$AE189),"",IF(CE$3=$AD189,$F189&amp;"R",CE188))))</f>
        <v>bP</v>
      </c>
      <c r="CF189" s="11" t="str">
        <f aca="false">IF($P189=0,CF188,IF(CF$3=$E189,IF($AA189=1,$F189&amp;$AB189,$G189),IF(OR(CF$3=$D189,CF$3=$AC189,CF$3=$AE189),"",IF(CF$3=$AD189,$F189&amp;"R",CF188))))</f>
        <v>bP</v>
      </c>
      <c r="CG189" s="11" t="str">
        <f aca="false">IF($P189=0,CG188,IF(CG$3=$E189,IF($AA189=1,$F189&amp;$AB189,$G189),IF(OR(CG$3=$D189,CG$3=$AC189,CG$3=$AE189),"",IF(CG$3=$AD189,$F189&amp;"R",CG188))))</f>
        <v>bP</v>
      </c>
      <c r="CH189" s="11" t="str">
        <f aca="false">IF($P189=0,CH188,IF(CH$3=$E189,IF($AA189=1,$F189&amp;$AB189,$G189),IF(OR(CH$3=$D189,CH$3=$AC189,CH$3=$AE189),"",IF(CH$3=$AD189,$F189&amp;"R",CH188))))</f>
        <v>bP</v>
      </c>
      <c r="CI189" s="11" t="str">
        <f aca="false">IF($P189=0,CI188,IF(CI$3=$E189,IF($AA189=1,$F189&amp;$AB189,$G189),IF(OR(CI$3=$D189,CI$3=$AC189,CI$3=$AE189),"",IF(CI$3=$AD189,$F189&amp;"R",CI188))))</f>
        <v>bP</v>
      </c>
      <c r="CJ189" s="11" t="str">
        <f aca="false">IF($P189=0,CJ188,IF(CJ$3=$E189,IF($AA189=1,$F189&amp;$AB189,$G189),IF(OR(CJ$3=$D189,CJ$3=$AC189,CJ$3=$AE189),"",IF(CJ$3=$AD189,$F189&amp;"R",CJ188))))</f>
        <v>bP</v>
      </c>
      <c r="CK189" s="11" t="str">
        <f aca="false">IF($P189=0,CK188,IF(CK$3=$E189,IF($AA189=1,$F189&amp;$AB189,$G189),IF(OR(CK$3=$D189,CK$3=$AC189,CK$3=$AE189),"",IF(CK$3=$AD189,$F189&amp;"R",CK188))))</f>
        <v>bP</v>
      </c>
      <c r="CL189" s="11" t="str">
        <f aca="false">IF($P189=0,CL188,IF(CL$3=$E189,IF($AA189=1,$F189&amp;$AB189,$G189),IF(OR(CL$3=$D189,CL$3=$AC189,CL$3=$AE189),"",IF(CL$3=$AD189,$F189&amp;"R",CL188))))</f>
        <v>bR</v>
      </c>
      <c r="CM189" s="11" t="str">
        <f aca="false">IF($P189=0,CM188,IF(CM$3=$E189,IF($AA189=1,$F189&amp;$AB189,$G189),IF(OR(CM$3=$D189,CM$3=$AC189,CM$3=$AE189),"",IF(CM$3=$AD189,$F189&amp;"R",CM188))))</f>
        <v>bN</v>
      </c>
      <c r="CN189" s="11" t="str">
        <f aca="false">IF($P189=0,CN188,IF(CN$3=$E189,IF($AA189=1,$F189&amp;$AB189,$G189),IF(OR(CN$3=$D189,CN$3=$AC189,CN$3=$AE189),"",IF(CN$3=$AD189,$F189&amp;"R",CN188))))</f>
        <v>bB</v>
      </c>
      <c r="CO189" s="11" t="str">
        <f aca="false">IF($P189=0,CO188,IF(CO$3=$E189,IF($AA189=1,$F189&amp;$AB189,$G189),IF(OR(CO$3=$D189,CO$3=$AC189,CO$3=$AE189),"",IF(CO$3=$AD189,$F189&amp;"R",CO188))))</f>
        <v>bQ</v>
      </c>
      <c r="CP189" s="11" t="str">
        <f aca="false">IF($P189=0,CP188,IF(CP$3=$E189,IF($AA189=1,$F189&amp;$AB189,$G189),IF(OR(CP$3=$D189,CP$3=$AC189,CP$3=$AE189),"",IF(CP$3=$AD189,$F189&amp;"R",CP188))))</f>
        <v>bK</v>
      </c>
      <c r="CQ189" s="11" t="str">
        <f aca="false">IF($P189=0,CQ188,IF(CQ$3=$E189,IF($AA189=1,$F189&amp;$AB189,$G189),IF(OR(CQ$3=$D189,CQ$3=$AC189,CQ$3=$AE189),"",IF(CQ$3=$AD189,$F189&amp;"R",CQ188))))</f>
        <v>bB</v>
      </c>
      <c r="CR189" s="11" t="str">
        <f aca="false">IF($P189=0,CR188,IF(CR$3=$E189,IF($AA189=1,$F189&amp;$AB189,$G189),IF(OR(CR$3=$D189,CR$3=$AC189,CR$3=$AE189),"",IF(CR$3=$AD189,$F189&amp;"R",CR188))))</f>
        <v>bN</v>
      </c>
      <c r="CS189" s="11" t="str">
        <f aca="false">IF($P189=0,CS188,IF(CS$3=$E189,IF($AA189=1,$F189&amp;$AB189,$G189),IF(OR(CS$3=$D189,CS$3=$AC189,CS$3=$AE189),"",IF(CS$3=$AD189,$F189&amp;"R",CS188))))</f>
        <v>bR</v>
      </c>
      <c r="CT189" s="11"/>
      <c r="CU189" s="11"/>
      <c r="CV189" s="11"/>
    </row>
    <row r="190" customFormat="false" ht="15" hidden="false" customHeight="false" outlineLevel="0" collapsed="false">
      <c r="A190" s="11" t="n">
        <v>185</v>
      </c>
      <c r="B190" s="11" t="str">
        <f aca="false">IF(Chess!$L$194="","",Chess!$L$194&amp;"")</f>
        <v/>
      </c>
      <c r="C190" s="11" t="str">
        <f aca="false">LOWER(SUBSTITUTE(SUBSTITUTE(SUBSTITUTE(SUBSTITUTE(TRIM($B190),"-",""),"=","")," ",""),"x",""))</f>
        <v/>
      </c>
      <c r="D190" s="11" t="n">
        <f aca="false">IF(LEN($C190)&lt;4,0,IFERROR(IF(AND(CODE(MID($C190,1,1))&gt;=97,CODE(MID($C190,1,1))&lt;=104,VALUE(MID($C190,2,1))&gt;=1,VALUE(MID($C190,2,1))&lt;=8),(VALUE(MID($C190,2,1))-1)*8+CODE(MID($C190,1,1))-96,0),0))</f>
        <v>0</v>
      </c>
      <c r="E190" s="11" t="n">
        <f aca="false">IF(LEN($C190)&lt;4,0,IFERROR(IF(AND(CODE(MID($C190,3,1))&gt;=97,CODE(MID($C190,3,1))&lt;=104,VALUE(MID($C190,4,1))&gt;=1,VALUE(MID($C190,4,1))&lt;=8),(VALUE(MID($C190,4,1))-1)*8+CODE(MID($C190,3,1))-96,0),0))</f>
        <v>0</v>
      </c>
      <c r="F190" s="11" t="str">
        <f aca="false">IF(MOD(SUM($P$5:$P189),2)=0,"w","b")</f>
        <v>w</v>
      </c>
      <c r="G190" s="11" t="str">
        <f aca="false">IF($D190=0,"",INDEX($AH189:$CS189,1,$D190)&amp;"")</f>
        <v/>
      </c>
      <c r="H190" s="11" t="str">
        <f aca="false">IF($E190=0,"",INDEX($AH189:$CS189,1,$E190)&amp;"")</f>
        <v/>
      </c>
      <c r="I190" s="11" t="n">
        <f aca="false">IF(OR($D190=0,$E190=0),0,MOD($E190-1,8)-MOD($D190-1,8))</f>
        <v>0</v>
      </c>
      <c r="J190" s="11" t="n">
        <f aca="false">IF(OR($D190=0,$E190=0),0,INT(($E190-1)/8)-INT(($D190-1)/8))</f>
        <v>0</v>
      </c>
      <c r="K190" s="11" t="str">
        <f aca="false">IF($G190="","",RIGHT($G190,1))</f>
        <v/>
      </c>
      <c r="L190" s="11" t="n">
        <f aca="false">IF(OR($D190=0,$E190=0),0,SUMPRODUCT(($AH$3:$CS$3&gt;MIN($D190,$E190))*($AH$3:$CS$3&lt;MAX($D190,$E190))*(MOD($AH$3:$CS$3-MIN($D190,$E190),MAX(1,ABS(SIGN($J190)*8+SIGN($I190))))=0)*($AH189:$CS189&lt;&gt;"")))</f>
        <v>0</v>
      </c>
      <c r="M190" s="11" t="n">
        <f aca="false">IF($K190&lt;&gt;"K",0,IFERROR(--AND($J190=0,ABS($I190)=2,$D190=IF($F190="w",5,61),IF($F190="w",$S189,$V189)=0,IF($I190=2,AND(IF($F190="w",$U189,$X189)=0,INDEX($AH189:$CS189,1,$D190+1)&amp;""="",INDEX($AH189:$CS189,1,$D190+2)&amp;""=""),AND(IF($F190="w",$T189,$W189)=0,INDEX($AH189:$CS189,1,$D190-1)&amp;""="",INDEX($AH189:$CS189,1,$D190-2)&amp;""="",INDEX($AH189:$CS189,1,$D190-3)&amp;""=""))),0))</f>
        <v>0</v>
      </c>
      <c r="N190" s="11" t="n">
        <f aca="false">IF($K190&lt;&gt;"P",0,IFERROR(--OR(AND($I190=0,$J190=IF($F190="w",1,-1),$H190=""),AND($I190=0,$J190=2*IF($F190="w",1,-1),$H190="",INT(($D190-1)/8)=IF($F190="w",1,6),INDEX($AH189:$CS189,1,MAX(1,MIN(64,$D190+8*IF($F190="w",1,-1))))&amp;""=""),AND(ABS($I190)=1,$J190=IF($F190="w",1,-1),$H190&lt;&gt;""),AND(ABS($I190)=1,$J190=IF($F190="w",1,-1),$H190="",$R189&gt;0,$E190=$R189)),0))</f>
        <v>0</v>
      </c>
      <c r="O190" s="11" t="n">
        <f aca="false">IF(OR($D190=0,$E190=0,$G190=""),0,IF($K190="N",--OR(AND(ABS($I190)=1,ABS($J190)=2),AND(ABS($I190)=2,ABS($J190)=1)),IF($K190="B",--AND(ABS($I190)=ABS($J190),$I190&lt;&gt;0,$L190=0),IF($K190="R",--AND(OR($I190=0,$J190=0),OR($I190&lt;&gt;0,$J190&lt;&gt;0),$L190=0),IF($K190="Q",--AND(OR(AND(ABS($I190)=ABS($J190),$I190&lt;&gt;0),AND(OR($I190=0,$J190=0),OR($I190&lt;&gt;0,$J190&lt;&gt;0))),$L190=0),IF($K190="K",--OR(MAX(ABS($I190),ABS($J190))=1,$M190=1),$N190))))))</f>
        <v>0</v>
      </c>
      <c r="P190" s="11" t="n">
        <f aca="false">IF($Q190="OK",1,0)</f>
        <v>0</v>
      </c>
      <c r="Q190" s="11" t="str">
        <f aca="false">IF($B190="","",IF(OR(COUNTIF($AH189:$CS189,"wK")=0,COUNTIF($AH189:$CS189,"bK")=0),"Game is over",IF(OR($D190=0,$E190=0),"Use the format e2e4",IF($G190="","No piece on that square",IF(LEFT($G190,1)&lt;&gt;$F190,"Not your piece ("&amp;IF($F190="w","White","Black")&amp;" to move)",IF($D190=$E190,"Piece must move",IF(AND($H190&lt;&gt;"",LEFT($H190,1)=$F190),"Cannot capture your own piece",IF($O190=0,"Illegal move for that piece (or path blocked)","OK"))))))))</f>
        <v/>
      </c>
      <c r="R190" s="11" t="n">
        <f aca="false">IF($P190=1,IF(AND($K190="P",ABS($J190)=2),($D190+$E190)/2,0),$R189)</f>
        <v>0</v>
      </c>
      <c r="S190" s="12" t="b">
        <f aca="false">--OR($S189=1,AND($P190=1,OR($D190=5,$E190=5)))</f>
        <v>0</v>
      </c>
      <c r="T190" s="12" t="b">
        <f aca="false">--OR($T189=1,AND($P190=1,OR($D190=1,$E190=1)))</f>
        <v>0</v>
      </c>
      <c r="U190" s="12" t="b">
        <f aca="false">--OR($U189=1,AND($P190=1,OR($D190=8,$E190=8)))</f>
        <v>0</v>
      </c>
      <c r="V190" s="12" t="b">
        <f aca="false">--OR($V189=1,AND($P190=1,OR($D190=61,$E190=61)))</f>
        <v>0</v>
      </c>
      <c r="W190" s="12" t="b">
        <f aca="false">--OR($W189=1,AND($P190=1,OR($D190=57,$E190=57)))</f>
        <v>0</v>
      </c>
      <c r="X190" s="12" t="b">
        <f aca="false">--OR($X189=1,AND($P190=1,OR($D190=64,$E190=64)))</f>
        <v>0</v>
      </c>
      <c r="Y190" s="12" t="b">
        <f aca="false">--AND($P190=1,$K190="K",ABS($I190)=2)</f>
        <v>0</v>
      </c>
      <c r="Z190" s="12" t="b">
        <f aca="false">--AND($P190=1,$K190="P",ABS($I190)=1,$H190="")</f>
        <v>0</v>
      </c>
      <c r="AA190" s="12" t="b">
        <f aca="false">--AND($P190=1,$K190="P",INT(($E190-1)/8)=IF($F190="w",7,0))</f>
        <v>0</v>
      </c>
      <c r="AB190" s="11" t="str">
        <f aca="false">IF(LEN($C190)&gt;=5,IF(ISNUMBER(FIND(MID($C190,5,1),"qrbn")),UPPER(MID($C190,5,1)),"Q"),"Q")</f>
        <v>Q</v>
      </c>
      <c r="AC190" s="11" t="n">
        <f aca="false">IF($Y190=1,IF($I190=2,$D190+3,$D190-4),0)</f>
        <v>0</v>
      </c>
      <c r="AD190" s="11" t="n">
        <f aca="false">IF($Y190=1,IF($I190=2,$D190+1,$D190-1),0)</f>
        <v>0</v>
      </c>
      <c r="AE190" s="11" t="n">
        <f aca="false">IF($Z190=1,$E190-8*IF($F190="w",1,-1),0)</f>
        <v>0</v>
      </c>
      <c r="AF190" s="11" t="str">
        <f aca="false">IF($B190="","",IF($P190=1,LOWER(INDEX($CV$2:$CV$13,MATCH($G190,$CU$2:$CU$13,0)))&amp;" "&amp;MID("abcdefgh",MOD($D190-1,8)+1,1)&amp;(INT(($D190-1)/8)+1)&amp;"→"&amp;MID("abcdefgh",MOD($E190-1,8)+1,1)&amp;(INT(($E190-1)/8)+1)&amp;IF(OR($H190&lt;&gt;"",$Z190=1)," ×","")&amp;IF($Y190=1," castles","")&amp;IF($Z190=1," e.p.","")&amp;IF($AA190=1," =" &amp;LOWER(INDEX($CV$2:$CV$13,MATCH($F190&amp;$AB190,$CU$2:$CU$13,0))),""),"X "&amp;$Q190))</f>
        <v/>
      </c>
      <c r="AG190" s="11"/>
      <c r="AH190" s="11" t="str">
        <f aca="false">IF($P190=0,AH189,IF(AH$3=$E190,IF($AA190=1,$F190&amp;$AB190,$G190),IF(OR(AH$3=$D190,AH$3=$AC190,AH$3=$AE190),"",IF(AH$3=$AD190,$F190&amp;"R",AH189))))</f>
        <v>wR</v>
      </c>
      <c r="AI190" s="11" t="str">
        <f aca="false">IF($P190=0,AI189,IF(AI$3=$E190,IF($AA190=1,$F190&amp;$AB190,$G190),IF(OR(AI$3=$D190,AI$3=$AC190,AI$3=$AE190),"",IF(AI$3=$AD190,$F190&amp;"R",AI189))))</f>
        <v>wN</v>
      </c>
      <c r="AJ190" s="11" t="str">
        <f aca="false">IF($P190=0,AJ189,IF(AJ$3=$E190,IF($AA190=1,$F190&amp;$AB190,$G190),IF(OR(AJ$3=$D190,AJ$3=$AC190,AJ$3=$AE190),"",IF(AJ$3=$AD190,$F190&amp;"R",AJ189))))</f>
        <v>wB</v>
      </c>
      <c r="AK190" s="11" t="str">
        <f aca="false">IF($P190=0,AK189,IF(AK$3=$E190,IF($AA190=1,$F190&amp;$AB190,$G190),IF(OR(AK$3=$D190,AK$3=$AC190,AK$3=$AE190),"",IF(AK$3=$AD190,$F190&amp;"R",AK189))))</f>
        <v>wQ</v>
      </c>
      <c r="AL190" s="11" t="str">
        <f aca="false">IF($P190=0,AL189,IF(AL$3=$E190,IF($AA190=1,$F190&amp;$AB190,$G190),IF(OR(AL$3=$D190,AL$3=$AC190,AL$3=$AE190),"",IF(AL$3=$AD190,$F190&amp;"R",AL189))))</f>
        <v>wK</v>
      </c>
      <c r="AM190" s="11" t="str">
        <f aca="false">IF($P190=0,AM189,IF(AM$3=$E190,IF($AA190=1,$F190&amp;$AB190,$G190),IF(OR(AM$3=$D190,AM$3=$AC190,AM$3=$AE190),"",IF(AM$3=$AD190,$F190&amp;"R",AM189))))</f>
        <v>wB</v>
      </c>
      <c r="AN190" s="11" t="str">
        <f aca="false">IF($P190=0,AN189,IF(AN$3=$E190,IF($AA190=1,$F190&amp;$AB190,$G190),IF(OR(AN$3=$D190,AN$3=$AC190,AN$3=$AE190),"",IF(AN$3=$AD190,$F190&amp;"R",AN189))))</f>
        <v>wN</v>
      </c>
      <c r="AO190" s="11" t="str">
        <f aca="false">IF($P190=0,AO189,IF(AO$3=$E190,IF($AA190=1,$F190&amp;$AB190,$G190),IF(OR(AO$3=$D190,AO$3=$AC190,AO$3=$AE190),"",IF(AO$3=$AD190,$F190&amp;"R",AO189))))</f>
        <v>wR</v>
      </c>
      <c r="AP190" s="11" t="str">
        <f aca="false">IF($P190=0,AP189,IF(AP$3=$E190,IF($AA190=1,$F190&amp;$AB190,$G190),IF(OR(AP$3=$D190,AP$3=$AC190,AP$3=$AE190),"",IF(AP$3=$AD190,$F190&amp;"R",AP189))))</f>
        <v>wP</v>
      </c>
      <c r="AQ190" s="11" t="str">
        <f aca="false">IF($P190=0,AQ189,IF(AQ$3=$E190,IF($AA190=1,$F190&amp;$AB190,$G190),IF(OR(AQ$3=$D190,AQ$3=$AC190,AQ$3=$AE190),"",IF(AQ$3=$AD190,$F190&amp;"R",AQ189))))</f>
        <v>wP</v>
      </c>
      <c r="AR190" s="11" t="str">
        <f aca="false">IF($P190=0,AR189,IF(AR$3=$E190,IF($AA190=1,$F190&amp;$AB190,$G190),IF(OR(AR$3=$D190,AR$3=$AC190,AR$3=$AE190),"",IF(AR$3=$AD190,$F190&amp;"R",AR189))))</f>
        <v>wP</v>
      </c>
      <c r="AS190" s="11" t="str">
        <f aca="false">IF($P190=0,AS189,IF(AS$3=$E190,IF($AA190=1,$F190&amp;$AB190,$G190),IF(OR(AS$3=$D190,AS$3=$AC190,AS$3=$AE190),"",IF(AS$3=$AD190,$F190&amp;"R",AS189))))</f>
        <v>wP</v>
      </c>
      <c r="AT190" s="11" t="str">
        <f aca="false">IF($P190=0,AT189,IF(AT$3=$E190,IF($AA190=1,$F190&amp;$AB190,$G190),IF(OR(AT$3=$D190,AT$3=$AC190,AT$3=$AE190),"",IF(AT$3=$AD190,$F190&amp;"R",AT189))))</f>
        <v>wP</v>
      </c>
      <c r="AU190" s="11" t="str">
        <f aca="false">IF($P190=0,AU189,IF(AU$3=$E190,IF($AA190=1,$F190&amp;$AB190,$G190),IF(OR(AU$3=$D190,AU$3=$AC190,AU$3=$AE190),"",IF(AU$3=$AD190,$F190&amp;"R",AU189))))</f>
        <v>wP</v>
      </c>
      <c r="AV190" s="11" t="str">
        <f aca="false">IF($P190=0,AV189,IF(AV$3=$E190,IF($AA190=1,$F190&amp;$AB190,$G190),IF(OR(AV$3=$D190,AV$3=$AC190,AV$3=$AE190),"",IF(AV$3=$AD190,$F190&amp;"R",AV189))))</f>
        <v>wP</v>
      </c>
      <c r="AW190" s="11" t="str">
        <f aca="false">IF($P190=0,AW189,IF(AW$3=$E190,IF($AA190=1,$F190&amp;$AB190,$G190),IF(OR(AW$3=$D190,AW$3=$AC190,AW$3=$AE190),"",IF(AW$3=$AD190,$F190&amp;"R",AW189))))</f>
        <v>wP</v>
      </c>
      <c r="AX190" s="11" t="str">
        <f aca="false">IF($P190=0,AX189,IF(AX$3=$E190,IF($AA190=1,$F190&amp;$AB190,$G190),IF(OR(AX$3=$D190,AX$3=$AC190,AX$3=$AE190),"",IF(AX$3=$AD190,$F190&amp;"R",AX189))))</f>
        <v/>
      </c>
      <c r="AY190" s="11" t="str">
        <f aca="false">IF($P190=0,AY189,IF(AY$3=$E190,IF($AA190=1,$F190&amp;$AB190,$G190),IF(OR(AY$3=$D190,AY$3=$AC190,AY$3=$AE190),"",IF(AY$3=$AD190,$F190&amp;"R",AY189))))</f>
        <v/>
      </c>
      <c r="AZ190" s="11" t="str">
        <f aca="false">IF($P190=0,AZ189,IF(AZ$3=$E190,IF($AA190=1,$F190&amp;$AB190,$G190),IF(OR(AZ$3=$D190,AZ$3=$AC190,AZ$3=$AE190),"",IF(AZ$3=$AD190,$F190&amp;"R",AZ189))))</f>
        <v/>
      </c>
      <c r="BA190" s="11" t="str">
        <f aca="false">IF($P190=0,BA189,IF(BA$3=$E190,IF($AA190=1,$F190&amp;$AB190,$G190),IF(OR(BA$3=$D190,BA$3=$AC190,BA$3=$AE190),"",IF(BA$3=$AD190,$F190&amp;"R",BA189))))</f>
        <v/>
      </c>
      <c r="BB190" s="11" t="str">
        <f aca="false">IF($P190=0,BB189,IF(BB$3=$E190,IF($AA190=1,$F190&amp;$AB190,$G190),IF(OR(BB$3=$D190,BB$3=$AC190,BB$3=$AE190),"",IF(BB$3=$AD190,$F190&amp;"R",BB189))))</f>
        <v/>
      </c>
      <c r="BC190" s="11" t="str">
        <f aca="false">IF($P190=0,BC189,IF(BC$3=$E190,IF($AA190=1,$F190&amp;$AB190,$G190),IF(OR(BC$3=$D190,BC$3=$AC190,BC$3=$AE190),"",IF(BC$3=$AD190,$F190&amp;"R",BC189))))</f>
        <v/>
      </c>
      <c r="BD190" s="11" t="str">
        <f aca="false">IF($P190=0,BD189,IF(BD$3=$E190,IF($AA190=1,$F190&amp;$AB190,$G190),IF(OR(BD$3=$D190,BD$3=$AC190,BD$3=$AE190),"",IF(BD$3=$AD190,$F190&amp;"R",BD189))))</f>
        <v/>
      </c>
      <c r="BE190" s="11" t="str">
        <f aca="false">IF($P190=0,BE189,IF(BE$3=$E190,IF($AA190=1,$F190&amp;$AB190,$G190),IF(OR(BE$3=$D190,BE$3=$AC190,BE$3=$AE190),"",IF(BE$3=$AD190,$F190&amp;"R",BE189))))</f>
        <v/>
      </c>
      <c r="BF190" s="11" t="str">
        <f aca="false">IF($P190=0,BF189,IF(BF$3=$E190,IF($AA190=1,$F190&amp;$AB190,$G190),IF(OR(BF$3=$D190,BF$3=$AC190,BF$3=$AE190),"",IF(BF$3=$AD190,$F190&amp;"R",BF189))))</f>
        <v/>
      </c>
      <c r="BG190" s="11" t="str">
        <f aca="false">IF($P190=0,BG189,IF(BG$3=$E190,IF($AA190=1,$F190&amp;$AB190,$G190),IF(OR(BG$3=$D190,BG$3=$AC190,BG$3=$AE190),"",IF(BG$3=$AD190,$F190&amp;"R",BG189))))</f>
        <v/>
      </c>
      <c r="BH190" s="11" t="str">
        <f aca="false">IF($P190=0,BH189,IF(BH$3=$E190,IF($AA190=1,$F190&amp;$AB190,$G190),IF(OR(BH$3=$D190,BH$3=$AC190,BH$3=$AE190),"",IF(BH$3=$AD190,$F190&amp;"R",BH189))))</f>
        <v/>
      </c>
      <c r="BI190" s="11" t="str">
        <f aca="false">IF($P190=0,BI189,IF(BI$3=$E190,IF($AA190=1,$F190&amp;$AB190,$G190),IF(OR(BI$3=$D190,BI$3=$AC190,BI$3=$AE190),"",IF(BI$3=$AD190,$F190&amp;"R",BI189))))</f>
        <v/>
      </c>
      <c r="BJ190" s="11" t="str">
        <f aca="false">IF($P190=0,BJ189,IF(BJ$3=$E190,IF($AA190=1,$F190&amp;$AB190,$G190),IF(OR(BJ$3=$D190,BJ$3=$AC190,BJ$3=$AE190),"",IF(BJ$3=$AD190,$F190&amp;"R",BJ189))))</f>
        <v/>
      </c>
      <c r="BK190" s="11" t="str">
        <f aca="false">IF($P190=0,BK189,IF(BK$3=$E190,IF($AA190=1,$F190&amp;$AB190,$G190),IF(OR(BK$3=$D190,BK$3=$AC190,BK$3=$AE190),"",IF(BK$3=$AD190,$F190&amp;"R",BK189))))</f>
        <v/>
      </c>
      <c r="BL190" s="11" t="str">
        <f aca="false">IF($P190=0,BL189,IF(BL$3=$E190,IF($AA190=1,$F190&amp;$AB190,$G190),IF(OR(BL$3=$D190,BL$3=$AC190,BL$3=$AE190),"",IF(BL$3=$AD190,$F190&amp;"R",BL189))))</f>
        <v/>
      </c>
      <c r="BM190" s="11" t="str">
        <f aca="false">IF($P190=0,BM189,IF(BM$3=$E190,IF($AA190=1,$F190&amp;$AB190,$G190),IF(OR(BM$3=$D190,BM$3=$AC190,BM$3=$AE190),"",IF(BM$3=$AD190,$F190&amp;"R",BM189))))</f>
        <v/>
      </c>
      <c r="BN190" s="11" t="str">
        <f aca="false">IF($P190=0,BN189,IF(BN$3=$E190,IF($AA190=1,$F190&amp;$AB190,$G190),IF(OR(BN$3=$D190,BN$3=$AC190,BN$3=$AE190),"",IF(BN$3=$AD190,$F190&amp;"R",BN189))))</f>
        <v/>
      </c>
      <c r="BO190" s="11" t="str">
        <f aca="false">IF($P190=0,BO189,IF(BO$3=$E190,IF($AA190=1,$F190&amp;$AB190,$G190),IF(OR(BO$3=$D190,BO$3=$AC190,BO$3=$AE190),"",IF(BO$3=$AD190,$F190&amp;"R",BO189))))</f>
        <v/>
      </c>
      <c r="BP190" s="11" t="str">
        <f aca="false">IF($P190=0,BP189,IF(BP$3=$E190,IF($AA190=1,$F190&amp;$AB190,$G190),IF(OR(BP$3=$D190,BP$3=$AC190,BP$3=$AE190),"",IF(BP$3=$AD190,$F190&amp;"R",BP189))))</f>
        <v/>
      </c>
      <c r="BQ190" s="11" t="str">
        <f aca="false">IF($P190=0,BQ189,IF(BQ$3=$E190,IF($AA190=1,$F190&amp;$AB190,$G190),IF(OR(BQ$3=$D190,BQ$3=$AC190,BQ$3=$AE190),"",IF(BQ$3=$AD190,$F190&amp;"R",BQ189))))</f>
        <v/>
      </c>
      <c r="BR190" s="11" t="str">
        <f aca="false">IF($P190=0,BR189,IF(BR$3=$E190,IF($AA190=1,$F190&amp;$AB190,$G190),IF(OR(BR$3=$D190,BR$3=$AC190,BR$3=$AE190),"",IF(BR$3=$AD190,$F190&amp;"R",BR189))))</f>
        <v/>
      </c>
      <c r="BS190" s="11" t="str">
        <f aca="false">IF($P190=0,BS189,IF(BS$3=$E190,IF($AA190=1,$F190&amp;$AB190,$G190),IF(OR(BS$3=$D190,BS$3=$AC190,BS$3=$AE190),"",IF(BS$3=$AD190,$F190&amp;"R",BS189))))</f>
        <v/>
      </c>
      <c r="BT190" s="11" t="str">
        <f aca="false">IF($P190=0,BT189,IF(BT$3=$E190,IF($AA190=1,$F190&amp;$AB190,$G190),IF(OR(BT$3=$D190,BT$3=$AC190,BT$3=$AE190),"",IF(BT$3=$AD190,$F190&amp;"R",BT189))))</f>
        <v/>
      </c>
      <c r="BU190" s="11" t="str">
        <f aca="false">IF($P190=0,BU189,IF(BU$3=$E190,IF($AA190=1,$F190&amp;$AB190,$G190),IF(OR(BU$3=$D190,BU$3=$AC190,BU$3=$AE190),"",IF(BU$3=$AD190,$F190&amp;"R",BU189))))</f>
        <v/>
      </c>
      <c r="BV190" s="11" t="str">
        <f aca="false">IF($P190=0,BV189,IF(BV$3=$E190,IF($AA190=1,$F190&amp;$AB190,$G190),IF(OR(BV$3=$D190,BV$3=$AC190,BV$3=$AE190),"",IF(BV$3=$AD190,$F190&amp;"R",BV189))))</f>
        <v/>
      </c>
      <c r="BW190" s="11" t="str">
        <f aca="false">IF($P190=0,BW189,IF(BW$3=$E190,IF($AA190=1,$F190&amp;$AB190,$G190),IF(OR(BW$3=$D190,BW$3=$AC190,BW$3=$AE190),"",IF(BW$3=$AD190,$F190&amp;"R",BW189))))</f>
        <v/>
      </c>
      <c r="BX190" s="11" t="str">
        <f aca="false">IF($P190=0,BX189,IF(BX$3=$E190,IF($AA190=1,$F190&amp;$AB190,$G190),IF(OR(BX$3=$D190,BX$3=$AC190,BX$3=$AE190),"",IF(BX$3=$AD190,$F190&amp;"R",BX189))))</f>
        <v/>
      </c>
      <c r="BY190" s="11" t="str">
        <f aca="false">IF($P190=0,BY189,IF(BY$3=$E190,IF($AA190=1,$F190&amp;$AB190,$G190),IF(OR(BY$3=$D190,BY$3=$AC190,BY$3=$AE190),"",IF(BY$3=$AD190,$F190&amp;"R",BY189))))</f>
        <v/>
      </c>
      <c r="BZ190" s="11" t="str">
        <f aca="false">IF($P190=0,BZ189,IF(BZ$3=$E190,IF($AA190=1,$F190&amp;$AB190,$G190),IF(OR(BZ$3=$D190,BZ$3=$AC190,BZ$3=$AE190),"",IF(BZ$3=$AD190,$F190&amp;"R",BZ189))))</f>
        <v/>
      </c>
      <c r="CA190" s="11" t="str">
        <f aca="false">IF($P190=0,CA189,IF(CA$3=$E190,IF($AA190=1,$F190&amp;$AB190,$G190),IF(OR(CA$3=$D190,CA$3=$AC190,CA$3=$AE190),"",IF(CA$3=$AD190,$F190&amp;"R",CA189))))</f>
        <v/>
      </c>
      <c r="CB190" s="11" t="str">
        <f aca="false">IF($P190=0,CB189,IF(CB$3=$E190,IF($AA190=1,$F190&amp;$AB190,$G190),IF(OR(CB$3=$D190,CB$3=$AC190,CB$3=$AE190),"",IF(CB$3=$AD190,$F190&amp;"R",CB189))))</f>
        <v/>
      </c>
      <c r="CC190" s="11" t="str">
        <f aca="false">IF($P190=0,CC189,IF(CC$3=$E190,IF($AA190=1,$F190&amp;$AB190,$G190),IF(OR(CC$3=$D190,CC$3=$AC190,CC$3=$AE190),"",IF(CC$3=$AD190,$F190&amp;"R",CC189))))</f>
        <v/>
      </c>
      <c r="CD190" s="11" t="str">
        <f aca="false">IF($P190=0,CD189,IF(CD$3=$E190,IF($AA190=1,$F190&amp;$AB190,$G190),IF(OR(CD$3=$D190,CD$3=$AC190,CD$3=$AE190),"",IF(CD$3=$AD190,$F190&amp;"R",CD189))))</f>
        <v>bP</v>
      </c>
      <c r="CE190" s="11" t="str">
        <f aca="false">IF($P190=0,CE189,IF(CE$3=$E190,IF($AA190=1,$F190&amp;$AB190,$G190),IF(OR(CE$3=$D190,CE$3=$AC190,CE$3=$AE190),"",IF(CE$3=$AD190,$F190&amp;"R",CE189))))</f>
        <v>bP</v>
      </c>
      <c r="CF190" s="11" t="str">
        <f aca="false">IF($P190=0,CF189,IF(CF$3=$E190,IF($AA190=1,$F190&amp;$AB190,$G190),IF(OR(CF$3=$D190,CF$3=$AC190,CF$3=$AE190),"",IF(CF$3=$AD190,$F190&amp;"R",CF189))))</f>
        <v>bP</v>
      </c>
      <c r="CG190" s="11" t="str">
        <f aca="false">IF($P190=0,CG189,IF(CG$3=$E190,IF($AA190=1,$F190&amp;$AB190,$G190),IF(OR(CG$3=$D190,CG$3=$AC190,CG$3=$AE190),"",IF(CG$3=$AD190,$F190&amp;"R",CG189))))</f>
        <v>bP</v>
      </c>
      <c r="CH190" s="11" t="str">
        <f aca="false">IF($P190=0,CH189,IF(CH$3=$E190,IF($AA190=1,$F190&amp;$AB190,$G190),IF(OR(CH$3=$D190,CH$3=$AC190,CH$3=$AE190),"",IF(CH$3=$AD190,$F190&amp;"R",CH189))))</f>
        <v>bP</v>
      </c>
      <c r="CI190" s="11" t="str">
        <f aca="false">IF($P190=0,CI189,IF(CI$3=$E190,IF($AA190=1,$F190&amp;$AB190,$G190),IF(OR(CI$3=$D190,CI$3=$AC190,CI$3=$AE190),"",IF(CI$3=$AD190,$F190&amp;"R",CI189))))</f>
        <v>bP</v>
      </c>
      <c r="CJ190" s="11" t="str">
        <f aca="false">IF($P190=0,CJ189,IF(CJ$3=$E190,IF($AA190=1,$F190&amp;$AB190,$G190),IF(OR(CJ$3=$D190,CJ$3=$AC190,CJ$3=$AE190),"",IF(CJ$3=$AD190,$F190&amp;"R",CJ189))))</f>
        <v>bP</v>
      </c>
      <c r="CK190" s="11" t="str">
        <f aca="false">IF($P190=0,CK189,IF(CK$3=$E190,IF($AA190=1,$F190&amp;$AB190,$G190),IF(OR(CK$3=$D190,CK$3=$AC190,CK$3=$AE190),"",IF(CK$3=$AD190,$F190&amp;"R",CK189))))</f>
        <v>bP</v>
      </c>
      <c r="CL190" s="11" t="str">
        <f aca="false">IF($P190=0,CL189,IF(CL$3=$E190,IF($AA190=1,$F190&amp;$AB190,$G190),IF(OR(CL$3=$D190,CL$3=$AC190,CL$3=$AE190),"",IF(CL$3=$AD190,$F190&amp;"R",CL189))))</f>
        <v>bR</v>
      </c>
      <c r="CM190" s="11" t="str">
        <f aca="false">IF($P190=0,CM189,IF(CM$3=$E190,IF($AA190=1,$F190&amp;$AB190,$G190),IF(OR(CM$3=$D190,CM$3=$AC190,CM$3=$AE190),"",IF(CM$3=$AD190,$F190&amp;"R",CM189))))</f>
        <v>bN</v>
      </c>
      <c r="CN190" s="11" t="str">
        <f aca="false">IF($P190=0,CN189,IF(CN$3=$E190,IF($AA190=1,$F190&amp;$AB190,$G190),IF(OR(CN$3=$D190,CN$3=$AC190,CN$3=$AE190),"",IF(CN$3=$AD190,$F190&amp;"R",CN189))))</f>
        <v>bB</v>
      </c>
      <c r="CO190" s="11" t="str">
        <f aca="false">IF($P190=0,CO189,IF(CO$3=$E190,IF($AA190=1,$F190&amp;$AB190,$G190),IF(OR(CO$3=$D190,CO$3=$AC190,CO$3=$AE190),"",IF(CO$3=$AD190,$F190&amp;"R",CO189))))</f>
        <v>bQ</v>
      </c>
      <c r="CP190" s="11" t="str">
        <f aca="false">IF($P190=0,CP189,IF(CP$3=$E190,IF($AA190=1,$F190&amp;$AB190,$G190),IF(OR(CP$3=$D190,CP$3=$AC190,CP$3=$AE190),"",IF(CP$3=$AD190,$F190&amp;"R",CP189))))</f>
        <v>bK</v>
      </c>
      <c r="CQ190" s="11" t="str">
        <f aca="false">IF($P190=0,CQ189,IF(CQ$3=$E190,IF($AA190=1,$F190&amp;$AB190,$G190),IF(OR(CQ$3=$D190,CQ$3=$AC190,CQ$3=$AE190),"",IF(CQ$3=$AD190,$F190&amp;"R",CQ189))))</f>
        <v>bB</v>
      </c>
      <c r="CR190" s="11" t="str">
        <f aca="false">IF($P190=0,CR189,IF(CR$3=$E190,IF($AA190=1,$F190&amp;$AB190,$G190),IF(OR(CR$3=$D190,CR$3=$AC190,CR$3=$AE190),"",IF(CR$3=$AD190,$F190&amp;"R",CR189))))</f>
        <v>bN</v>
      </c>
      <c r="CS190" s="11" t="str">
        <f aca="false">IF($P190=0,CS189,IF(CS$3=$E190,IF($AA190=1,$F190&amp;$AB190,$G190),IF(OR(CS$3=$D190,CS$3=$AC190,CS$3=$AE190),"",IF(CS$3=$AD190,$F190&amp;"R",CS189))))</f>
        <v>bR</v>
      </c>
      <c r="CT190" s="11"/>
      <c r="CU190" s="11"/>
      <c r="CV190" s="11"/>
    </row>
    <row r="191" customFormat="false" ht="15" hidden="false" customHeight="false" outlineLevel="0" collapsed="false">
      <c r="A191" s="11" t="n">
        <v>186</v>
      </c>
      <c r="B191" s="11" t="str">
        <f aca="false">IF(Chess!$L$195="","",Chess!$L$195&amp;"")</f>
        <v/>
      </c>
      <c r="C191" s="11" t="str">
        <f aca="false">LOWER(SUBSTITUTE(SUBSTITUTE(SUBSTITUTE(SUBSTITUTE(TRIM($B191),"-",""),"=","")," ",""),"x",""))</f>
        <v/>
      </c>
      <c r="D191" s="11" t="n">
        <f aca="false">IF(LEN($C191)&lt;4,0,IFERROR(IF(AND(CODE(MID($C191,1,1))&gt;=97,CODE(MID($C191,1,1))&lt;=104,VALUE(MID($C191,2,1))&gt;=1,VALUE(MID($C191,2,1))&lt;=8),(VALUE(MID($C191,2,1))-1)*8+CODE(MID($C191,1,1))-96,0),0))</f>
        <v>0</v>
      </c>
      <c r="E191" s="11" t="n">
        <f aca="false">IF(LEN($C191)&lt;4,0,IFERROR(IF(AND(CODE(MID($C191,3,1))&gt;=97,CODE(MID($C191,3,1))&lt;=104,VALUE(MID($C191,4,1))&gt;=1,VALUE(MID($C191,4,1))&lt;=8),(VALUE(MID($C191,4,1))-1)*8+CODE(MID($C191,3,1))-96,0),0))</f>
        <v>0</v>
      </c>
      <c r="F191" s="11" t="str">
        <f aca="false">IF(MOD(SUM($P$5:$P190),2)=0,"w","b")</f>
        <v>w</v>
      </c>
      <c r="G191" s="11" t="str">
        <f aca="false">IF($D191=0,"",INDEX($AH190:$CS190,1,$D191)&amp;"")</f>
        <v/>
      </c>
      <c r="H191" s="11" t="str">
        <f aca="false">IF($E191=0,"",INDEX($AH190:$CS190,1,$E191)&amp;"")</f>
        <v/>
      </c>
      <c r="I191" s="11" t="n">
        <f aca="false">IF(OR($D191=0,$E191=0),0,MOD($E191-1,8)-MOD($D191-1,8))</f>
        <v>0</v>
      </c>
      <c r="J191" s="11" t="n">
        <f aca="false">IF(OR($D191=0,$E191=0),0,INT(($E191-1)/8)-INT(($D191-1)/8))</f>
        <v>0</v>
      </c>
      <c r="K191" s="11" t="str">
        <f aca="false">IF($G191="","",RIGHT($G191,1))</f>
        <v/>
      </c>
      <c r="L191" s="11" t="n">
        <f aca="false">IF(OR($D191=0,$E191=0),0,SUMPRODUCT(($AH$3:$CS$3&gt;MIN($D191,$E191))*($AH$3:$CS$3&lt;MAX($D191,$E191))*(MOD($AH$3:$CS$3-MIN($D191,$E191),MAX(1,ABS(SIGN($J191)*8+SIGN($I191))))=0)*($AH190:$CS190&lt;&gt;"")))</f>
        <v>0</v>
      </c>
      <c r="M191" s="11" t="n">
        <f aca="false">IF($K191&lt;&gt;"K",0,IFERROR(--AND($J191=0,ABS($I191)=2,$D191=IF($F191="w",5,61),IF($F191="w",$S190,$V190)=0,IF($I191=2,AND(IF($F191="w",$U190,$X190)=0,INDEX($AH190:$CS190,1,$D191+1)&amp;""="",INDEX($AH190:$CS190,1,$D191+2)&amp;""=""),AND(IF($F191="w",$T190,$W190)=0,INDEX($AH190:$CS190,1,$D191-1)&amp;""="",INDEX($AH190:$CS190,1,$D191-2)&amp;""="",INDEX($AH190:$CS190,1,$D191-3)&amp;""=""))),0))</f>
        <v>0</v>
      </c>
      <c r="N191" s="11" t="n">
        <f aca="false">IF($K191&lt;&gt;"P",0,IFERROR(--OR(AND($I191=0,$J191=IF($F191="w",1,-1),$H191=""),AND($I191=0,$J191=2*IF($F191="w",1,-1),$H191="",INT(($D191-1)/8)=IF($F191="w",1,6),INDEX($AH190:$CS190,1,MAX(1,MIN(64,$D191+8*IF($F191="w",1,-1))))&amp;""=""),AND(ABS($I191)=1,$J191=IF($F191="w",1,-1),$H191&lt;&gt;""),AND(ABS($I191)=1,$J191=IF($F191="w",1,-1),$H191="",$R190&gt;0,$E191=$R190)),0))</f>
        <v>0</v>
      </c>
      <c r="O191" s="11" t="n">
        <f aca="false">IF(OR($D191=0,$E191=0,$G191=""),0,IF($K191="N",--OR(AND(ABS($I191)=1,ABS($J191)=2),AND(ABS($I191)=2,ABS($J191)=1)),IF($K191="B",--AND(ABS($I191)=ABS($J191),$I191&lt;&gt;0,$L191=0),IF($K191="R",--AND(OR($I191=0,$J191=0),OR($I191&lt;&gt;0,$J191&lt;&gt;0),$L191=0),IF($K191="Q",--AND(OR(AND(ABS($I191)=ABS($J191),$I191&lt;&gt;0),AND(OR($I191=0,$J191=0),OR($I191&lt;&gt;0,$J191&lt;&gt;0))),$L191=0),IF($K191="K",--OR(MAX(ABS($I191),ABS($J191))=1,$M191=1),$N191))))))</f>
        <v>0</v>
      </c>
      <c r="P191" s="11" t="n">
        <f aca="false">IF($Q191="OK",1,0)</f>
        <v>0</v>
      </c>
      <c r="Q191" s="11" t="str">
        <f aca="false">IF($B191="","",IF(OR(COUNTIF($AH190:$CS190,"wK")=0,COUNTIF($AH190:$CS190,"bK")=0),"Game is over",IF(OR($D191=0,$E191=0),"Use the format e2e4",IF($G191="","No piece on that square",IF(LEFT($G191,1)&lt;&gt;$F191,"Not your piece ("&amp;IF($F191="w","White","Black")&amp;" to move)",IF($D191=$E191,"Piece must move",IF(AND($H191&lt;&gt;"",LEFT($H191,1)=$F191),"Cannot capture your own piece",IF($O191=0,"Illegal move for that piece (or path blocked)","OK"))))))))</f>
        <v/>
      </c>
      <c r="R191" s="11" t="n">
        <f aca="false">IF($P191=1,IF(AND($K191="P",ABS($J191)=2),($D191+$E191)/2,0),$R190)</f>
        <v>0</v>
      </c>
      <c r="S191" s="12" t="b">
        <f aca="false">--OR($S190=1,AND($P191=1,OR($D191=5,$E191=5)))</f>
        <v>0</v>
      </c>
      <c r="T191" s="12" t="b">
        <f aca="false">--OR($T190=1,AND($P191=1,OR($D191=1,$E191=1)))</f>
        <v>0</v>
      </c>
      <c r="U191" s="12" t="b">
        <f aca="false">--OR($U190=1,AND($P191=1,OR($D191=8,$E191=8)))</f>
        <v>0</v>
      </c>
      <c r="V191" s="12" t="b">
        <f aca="false">--OR($V190=1,AND($P191=1,OR($D191=61,$E191=61)))</f>
        <v>0</v>
      </c>
      <c r="W191" s="12" t="b">
        <f aca="false">--OR($W190=1,AND($P191=1,OR($D191=57,$E191=57)))</f>
        <v>0</v>
      </c>
      <c r="X191" s="12" t="b">
        <f aca="false">--OR($X190=1,AND($P191=1,OR($D191=64,$E191=64)))</f>
        <v>0</v>
      </c>
      <c r="Y191" s="12" t="b">
        <f aca="false">--AND($P191=1,$K191="K",ABS($I191)=2)</f>
        <v>0</v>
      </c>
      <c r="Z191" s="12" t="b">
        <f aca="false">--AND($P191=1,$K191="P",ABS($I191)=1,$H191="")</f>
        <v>0</v>
      </c>
      <c r="AA191" s="12" t="b">
        <f aca="false">--AND($P191=1,$K191="P",INT(($E191-1)/8)=IF($F191="w",7,0))</f>
        <v>0</v>
      </c>
      <c r="AB191" s="11" t="str">
        <f aca="false">IF(LEN($C191)&gt;=5,IF(ISNUMBER(FIND(MID($C191,5,1),"qrbn")),UPPER(MID($C191,5,1)),"Q"),"Q")</f>
        <v>Q</v>
      </c>
      <c r="AC191" s="11" t="n">
        <f aca="false">IF($Y191=1,IF($I191=2,$D191+3,$D191-4),0)</f>
        <v>0</v>
      </c>
      <c r="AD191" s="11" t="n">
        <f aca="false">IF($Y191=1,IF($I191=2,$D191+1,$D191-1),0)</f>
        <v>0</v>
      </c>
      <c r="AE191" s="11" t="n">
        <f aca="false">IF($Z191=1,$E191-8*IF($F191="w",1,-1),0)</f>
        <v>0</v>
      </c>
      <c r="AF191" s="11" t="str">
        <f aca="false">IF($B191="","",IF($P191=1,LOWER(INDEX($CV$2:$CV$13,MATCH($G191,$CU$2:$CU$13,0)))&amp;" "&amp;MID("abcdefgh",MOD($D191-1,8)+1,1)&amp;(INT(($D191-1)/8)+1)&amp;"→"&amp;MID("abcdefgh",MOD($E191-1,8)+1,1)&amp;(INT(($E191-1)/8)+1)&amp;IF(OR($H191&lt;&gt;"",$Z191=1)," ×","")&amp;IF($Y191=1," castles","")&amp;IF($Z191=1," e.p.","")&amp;IF($AA191=1," =" &amp;LOWER(INDEX($CV$2:$CV$13,MATCH($F191&amp;$AB191,$CU$2:$CU$13,0))),""),"X "&amp;$Q191))</f>
        <v/>
      </c>
      <c r="AG191" s="11"/>
      <c r="AH191" s="11" t="str">
        <f aca="false">IF($P191=0,AH190,IF(AH$3=$E191,IF($AA191=1,$F191&amp;$AB191,$G191),IF(OR(AH$3=$D191,AH$3=$AC191,AH$3=$AE191),"",IF(AH$3=$AD191,$F191&amp;"R",AH190))))</f>
        <v>wR</v>
      </c>
      <c r="AI191" s="11" t="str">
        <f aca="false">IF($P191=0,AI190,IF(AI$3=$E191,IF($AA191=1,$F191&amp;$AB191,$G191),IF(OR(AI$3=$D191,AI$3=$AC191,AI$3=$AE191),"",IF(AI$3=$AD191,$F191&amp;"R",AI190))))</f>
        <v>wN</v>
      </c>
      <c r="AJ191" s="11" t="str">
        <f aca="false">IF($P191=0,AJ190,IF(AJ$3=$E191,IF($AA191=1,$F191&amp;$AB191,$G191),IF(OR(AJ$3=$D191,AJ$3=$AC191,AJ$3=$AE191),"",IF(AJ$3=$AD191,$F191&amp;"R",AJ190))))</f>
        <v>wB</v>
      </c>
      <c r="AK191" s="11" t="str">
        <f aca="false">IF($P191=0,AK190,IF(AK$3=$E191,IF($AA191=1,$F191&amp;$AB191,$G191),IF(OR(AK$3=$D191,AK$3=$AC191,AK$3=$AE191),"",IF(AK$3=$AD191,$F191&amp;"R",AK190))))</f>
        <v>wQ</v>
      </c>
      <c r="AL191" s="11" t="str">
        <f aca="false">IF($P191=0,AL190,IF(AL$3=$E191,IF($AA191=1,$F191&amp;$AB191,$G191),IF(OR(AL$3=$D191,AL$3=$AC191,AL$3=$AE191),"",IF(AL$3=$AD191,$F191&amp;"R",AL190))))</f>
        <v>wK</v>
      </c>
      <c r="AM191" s="11" t="str">
        <f aca="false">IF($P191=0,AM190,IF(AM$3=$E191,IF($AA191=1,$F191&amp;$AB191,$G191),IF(OR(AM$3=$D191,AM$3=$AC191,AM$3=$AE191),"",IF(AM$3=$AD191,$F191&amp;"R",AM190))))</f>
        <v>wB</v>
      </c>
      <c r="AN191" s="11" t="str">
        <f aca="false">IF($P191=0,AN190,IF(AN$3=$E191,IF($AA191=1,$F191&amp;$AB191,$G191),IF(OR(AN$3=$D191,AN$3=$AC191,AN$3=$AE191),"",IF(AN$3=$AD191,$F191&amp;"R",AN190))))</f>
        <v>wN</v>
      </c>
      <c r="AO191" s="11" t="str">
        <f aca="false">IF($P191=0,AO190,IF(AO$3=$E191,IF($AA191=1,$F191&amp;$AB191,$G191),IF(OR(AO$3=$D191,AO$3=$AC191,AO$3=$AE191),"",IF(AO$3=$AD191,$F191&amp;"R",AO190))))</f>
        <v>wR</v>
      </c>
      <c r="AP191" s="11" t="str">
        <f aca="false">IF($P191=0,AP190,IF(AP$3=$E191,IF($AA191=1,$F191&amp;$AB191,$G191),IF(OR(AP$3=$D191,AP$3=$AC191,AP$3=$AE191),"",IF(AP$3=$AD191,$F191&amp;"R",AP190))))</f>
        <v>wP</v>
      </c>
      <c r="AQ191" s="11" t="str">
        <f aca="false">IF($P191=0,AQ190,IF(AQ$3=$E191,IF($AA191=1,$F191&amp;$AB191,$G191),IF(OR(AQ$3=$D191,AQ$3=$AC191,AQ$3=$AE191),"",IF(AQ$3=$AD191,$F191&amp;"R",AQ190))))</f>
        <v>wP</v>
      </c>
      <c r="AR191" s="11" t="str">
        <f aca="false">IF($P191=0,AR190,IF(AR$3=$E191,IF($AA191=1,$F191&amp;$AB191,$G191),IF(OR(AR$3=$D191,AR$3=$AC191,AR$3=$AE191),"",IF(AR$3=$AD191,$F191&amp;"R",AR190))))</f>
        <v>wP</v>
      </c>
      <c r="AS191" s="11" t="str">
        <f aca="false">IF($P191=0,AS190,IF(AS$3=$E191,IF($AA191=1,$F191&amp;$AB191,$G191),IF(OR(AS$3=$D191,AS$3=$AC191,AS$3=$AE191),"",IF(AS$3=$AD191,$F191&amp;"R",AS190))))</f>
        <v>wP</v>
      </c>
      <c r="AT191" s="11" t="str">
        <f aca="false">IF($P191=0,AT190,IF(AT$3=$E191,IF($AA191=1,$F191&amp;$AB191,$G191),IF(OR(AT$3=$D191,AT$3=$AC191,AT$3=$AE191),"",IF(AT$3=$AD191,$F191&amp;"R",AT190))))</f>
        <v>wP</v>
      </c>
      <c r="AU191" s="11" t="str">
        <f aca="false">IF($P191=0,AU190,IF(AU$3=$E191,IF($AA191=1,$F191&amp;$AB191,$G191),IF(OR(AU$3=$D191,AU$3=$AC191,AU$3=$AE191),"",IF(AU$3=$AD191,$F191&amp;"R",AU190))))</f>
        <v>wP</v>
      </c>
      <c r="AV191" s="11" t="str">
        <f aca="false">IF($P191=0,AV190,IF(AV$3=$E191,IF($AA191=1,$F191&amp;$AB191,$G191),IF(OR(AV$3=$D191,AV$3=$AC191,AV$3=$AE191),"",IF(AV$3=$AD191,$F191&amp;"R",AV190))))</f>
        <v>wP</v>
      </c>
      <c r="AW191" s="11" t="str">
        <f aca="false">IF($P191=0,AW190,IF(AW$3=$E191,IF($AA191=1,$F191&amp;$AB191,$G191),IF(OR(AW$3=$D191,AW$3=$AC191,AW$3=$AE191),"",IF(AW$3=$AD191,$F191&amp;"R",AW190))))</f>
        <v>wP</v>
      </c>
      <c r="AX191" s="11" t="str">
        <f aca="false">IF($P191=0,AX190,IF(AX$3=$E191,IF($AA191=1,$F191&amp;$AB191,$G191),IF(OR(AX$3=$D191,AX$3=$AC191,AX$3=$AE191),"",IF(AX$3=$AD191,$F191&amp;"R",AX190))))</f>
        <v/>
      </c>
      <c r="AY191" s="11" t="str">
        <f aca="false">IF($P191=0,AY190,IF(AY$3=$E191,IF($AA191=1,$F191&amp;$AB191,$G191),IF(OR(AY$3=$D191,AY$3=$AC191,AY$3=$AE191),"",IF(AY$3=$AD191,$F191&amp;"R",AY190))))</f>
        <v/>
      </c>
      <c r="AZ191" s="11" t="str">
        <f aca="false">IF($P191=0,AZ190,IF(AZ$3=$E191,IF($AA191=1,$F191&amp;$AB191,$G191),IF(OR(AZ$3=$D191,AZ$3=$AC191,AZ$3=$AE191),"",IF(AZ$3=$AD191,$F191&amp;"R",AZ190))))</f>
        <v/>
      </c>
      <c r="BA191" s="11" t="str">
        <f aca="false">IF($P191=0,BA190,IF(BA$3=$E191,IF($AA191=1,$F191&amp;$AB191,$G191),IF(OR(BA$3=$D191,BA$3=$AC191,BA$3=$AE191),"",IF(BA$3=$AD191,$F191&amp;"R",BA190))))</f>
        <v/>
      </c>
      <c r="BB191" s="11" t="str">
        <f aca="false">IF($P191=0,BB190,IF(BB$3=$E191,IF($AA191=1,$F191&amp;$AB191,$G191),IF(OR(BB$3=$D191,BB$3=$AC191,BB$3=$AE191),"",IF(BB$3=$AD191,$F191&amp;"R",BB190))))</f>
        <v/>
      </c>
      <c r="BC191" s="11" t="str">
        <f aca="false">IF($P191=0,BC190,IF(BC$3=$E191,IF($AA191=1,$F191&amp;$AB191,$G191),IF(OR(BC$3=$D191,BC$3=$AC191,BC$3=$AE191),"",IF(BC$3=$AD191,$F191&amp;"R",BC190))))</f>
        <v/>
      </c>
      <c r="BD191" s="11" t="str">
        <f aca="false">IF($P191=0,BD190,IF(BD$3=$E191,IF($AA191=1,$F191&amp;$AB191,$G191),IF(OR(BD$3=$D191,BD$3=$AC191,BD$3=$AE191),"",IF(BD$3=$AD191,$F191&amp;"R",BD190))))</f>
        <v/>
      </c>
      <c r="BE191" s="11" t="str">
        <f aca="false">IF($P191=0,BE190,IF(BE$3=$E191,IF($AA191=1,$F191&amp;$AB191,$G191),IF(OR(BE$3=$D191,BE$3=$AC191,BE$3=$AE191),"",IF(BE$3=$AD191,$F191&amp;"R",BE190))))</f>
        <v/>
      </c>
      <c r="BF191" s="11" t="str">
        <f aca="false">IF($P191=0,BF190,IF(BF$3=$E191,IF($AA191=1,$F191&amp;$AB191,$G191),IF(OR(BF$3=$D191,BF$3=$AC191,BF$3=$AE191),"",IF(BF$3=$AD191,$F191&amp;"R",BF190))))</f>
        <v/>
      </c>
      <c r="BG191" s="11" t="str">
        <f aca="false">IF($P191=0,BG190,IF(BG$3=$E191,IF($AA191=1,$F191&amp;$AB191,$G191),IF(OR(BG$3=$D191,BG$3=$AC191,BG$3=$AE191),"",IF(BG$3=$AD191,$F191&amp;"R",BG190))))</f>
        <v/>
      </c>
      <c r="BH191" s="11" t="str">
        <f aca="false">IF($P191=0,BH190,IF(BH$3=$E191,IF($AA191=1,$F191&amp;$AB191,$G191),IF(OR(BH$3=$D191,BH$3=$AC191,BH$3=$AE191),"",IF(BH$3=$AD191,$F191&amp;"R",BH190))))</f>
        <v/>
      </c>
      <c r="BI191" s="11" t="str">
        <f aca="false">IF($P191=0,BI190,IF(BI$3=$E191,IF($AA191=1,$F191&amp;$AB191,$G191),IF(OR(BI$3=$D191,BI$3=$AC191,BI$3=$AE191),"",IF(BI$3=$AD191,$F191&amp;"R",BI190))))</f>
        <v/>
      </c>
      <c r="BJ191" s="11" t="str">
        <f aca="false">IF($P191=0,BJ190,IF(BJ$3=$E191,IF($AA191=1,$F191&amp;$AB191,$G191),IF(OR(BJ$3=$D191,BJ$3=$AC191,BJ$3=$AE191),"",IF(BJ$3=$AD191,$F191&amp;"R",BJ190))))</f>
        <v/>
      </c>
      <c r="BK191" s="11" t="str">
        <f aca="false">IF($P191=0,BK190,IF(BK$3=$E191,IF($AA191=1,$F191&amp;$AB191,$G191),IF(OR(BK$3=$D191,BK$3=$AC191,BK$3=$AE191),"",IF(BK$3=$AD191,$F191&amp;"R",BK190))))</f>
        <v/>
      </c>
      <c r="BL191" s="11" t="str">
        <f aca="false">IF($P191=0,BL190,IF(BL$3=$E191,IF($AA191=1,$F191&amp;$AB191,$G191),IF(OR(BL$3=$D191,BL$3=$AC191,BL$3=$AE191),"",IF(BL$3=$AD191,$F191&amp;"R",BL190))))</f>
        <v/>
      </c>
      <c r="BM191" s="11" t="str">
        <f aca="false">IF($P191=0,BM190,IF(BM$3=$E191,IF($AA191=1,$F191&amp;$AB191,$G191),IF(OR(BM$3=$D191,BM$3=$AC191,BM$3=$AE191),"",IF(BM$3=$AD191,$F191&amp;"R",BM190))))</f>
        <v/>
      </c>
      <c r="BN191" s="11" t="str">
        <f aca="false">IF($P191=0,BN190,IF(BN$3=$E191,IF($AA191=1,$F191&amp;$AB191,$G191),IF(OR(BN$3=$D191,BN$3=$AC191,BN$3=$AE191),"",IF(BN$3=$AD191,$F191&amp;"R",BN190))))</f>
        <v/>
      </c>
      <c r="BO191" s="11" t="str">
        <f aca="false">IF($P191=0,BO190,IF(BO$3=$E191,IF($AA191=1,$F191&amp;$AB191,$G191),IF(OR(BO$3=$D191,BO$3=$AC191,BO$3=$AE191),"",IF(BO$3=$AD191,$F191&amp;"R",BO190))))</f>
        <v/>
      </c>
      <c r="BP191" s="11" t="str">
        <f aca="false">IF($P191=0,BP190,IF(BP$3=$E191,IF($AA191=1,$F191&amp;$AB191,$G191),IF(OR(BP$3=$D191,BP$3=$AC191,BP$3=$AE191),"",IF(BP$3=$AD191,$F191&amp;"R",BP190))))</f>
        <v/>
      </c>
      <c r="BQ191" s="11" t="str">
        <f aca="false">IF($P191=0,BQ190,IF(BQ$3=$E191,IF($AA191=1,$F191&amp;$AB191,$G191),IF(OR(BQ$3=$D191,BQ$3=$AC191,BQ$3=$AE191),"",IF(BQ$3=$AD191,$F191&amp;"R",BQ190))))</f>
        <v/>
      </c>
      <c r="BR191" s="11" t="str">
        <f aca="false">IF($P191=0,BR190,IF(BR$3=$E191,IF($AA191=1,$F191&amp;$AB191,$G191),IF(OR(BR$3=$D191,BR$3=$AC191,BR$3=$AE191),"",IF(BR$3=$AD191,$F191&amp;"R",BR190))))</f>
        <v/>
      </c>
      <c r="BS191" s="11" t="str">
        <f aca="false">IF($P191=0,BS190,IF(BS$3=$E191,IF($AA191=1,$F191&amp;$AB191,$G191),IF(OR(BS$3=$D191,BS$3=$AC191,BS$3=$AE191),"",IF(BS$3=$AD191,$F191&amp;"R",BS190))))</f>
        <v/>
      </c>
      <c r="BT191" s="11" t="str">
        <f aca="false">IF($P191=0,BT190,IF(BT$3=$E191,IF($AA191=1,$F191&amp;$AB191,$G191),IF(OR(BT$3=$D191,BT$3=$AC191,BT$3=$AE191),"",IF(BT$3=$AD191,$F191&amp;"R",BT190))))</f>
        <v/>
      </c>
      <c r="BU191" s="11" t="str">
        <f aca="false">IF($P191=0,BU190,IF(BU$3=$E191,IF($AA191=1,$F191&amp;$AB191,$G191),IF(OR(BU$3=$D191,BU$3=$AC191,BU$3=$AE191),"",IF(BU$3=$AD191,$F191&amp;"R",BU190))))</f>
        <v/>
      </c>
      <c r="BV191" s="11" t="str">
        <f aca="false">IF($P191=0,BV190,IF(BV$3=$E191,IF($AA191=1,$F191&amp;$AB191,$G191),IF(OR(BV$3=$D191,BV$3=$AC191,BV$3=$AE191),"",IF(BV$3=$AD191,$F191&amp;"R",BV190))))</f>
        <v/>
      </c>
      <c r="BW191" s="11" t="str">
        <f aca="false">IF($P191=0,BW190,IF(BW$3=$E191,IF($AA191=1,$F191&amp;$AB191,$G191),IF(OR(BW$3=$D191,BW$3=$AC191,BW$3=$AE191),"",IF(BW$3=$AD191,$F191&amp;"R",BW190))))</f>
        <v/>
      </c>
      <c r="BX191" s="11" t="str">
        <f aca="false">IF($P191=0,BX190,IF(BX$3=$E191,IF($AA191=1,$F191&amp;$AB191,$G191),IF(OR(BX$3=$D191,BX$3=$AC191,BX$3=$AE191),"",IF(BX$3=$AD191,$F191&amp;"R",BX190))))</f>
        <v/>
      </c>
      <c r="BY191" s="11" t="str">
        <f aca="false">IF($P191=0,BY190,IF(BY$3=$E191,IF($AA191=1,$F191&amp;$AB191,$G191),IF(OR(BY$3=$D191,BY$3=$AC191,BY$3=$AE191),"",IF(BY$3=$AD191,$F191&amp;"R",BY190))))</f>
        <v/>
      </c>
      <c r="BZ191" s="11" t="str">
        <f aca="false">IF($P191=0,BZ190,IF(BZ$3=$E191,IF($AA191=1,$F191&amp;$AB191,$G191),IF(OR(BZ$3=$D191,BZ$3=$AC191,BZ$3=$AE191),"",IF(BZ$3=$AD191,$F191&amp;"R",BZ190))))</f>
        <v/>
      </c>
      <c r="CA191" s="11" t="str">
        <f aca="false">IF($P191=0,CA190,IF(CA$3=$E191,IF($AA191=1,$F191&amp;$AB191,$G191),IF(OR(CA$3=$D191,CA$3=$AC191,CA$3=$AE191),"",IF(CA$3=$AD191,$F191&amp;"R",CA190))))</f>
        <v/>
      </c>
      <c r="CB191" s="11" t="str">
        <f aca="false">IF($P191=0,CB190,IF(CB$3=$E191,IF($AA191=1,$F191&amp;$AB191,$G191),IF(OR(CB$3=$D191,CB$3=$AC191,CB$3=$AE191),"",IF(CB$3=$AD191,$F191&amp;"R",CB190))))</f>
        <v/>
      </c>
      <c r="CC191" s="11" t="str">
        <f aca="false">IF($P191=0,CC190,IF(CC$3=$E191,IF($AA191=1,$F191&amp;$AB191,$G191),IF(OR(CC$3=$D191,CC$3=$AC191,CC$3=$AE191),"",IF(CC$3=$AD191,$F191&amp;"R",CC190))))</f>
        <v/>
      </c>
      <c r="CD191" s="11" t="str">
        <f aca="false">IF($P191=0,CD190,IF(CD$3=$E191,IF($AA191=1,$F191&amp;$AB191,$G191),IF(OR(CD$3=$D191,CD$3=$AC191,CD$3=$AE191),"",IF(CD$3=$AD191,$F191&amp;"R",CD190))))</f>
        <v>bP</v>
      </c>
      <c r="CE191" s="11" t="str">
        <f aca="false">IF($P191=0,CE190,IF(CE$3=$E191,IF($AA191=1,$F191&amp;$AB191,$G191),IF(OR(CE$3=$D191,CE$3=$AC191,CE$3=$AE191),"",IF(CE$3=$AD191,$F191&amp;"R",CE190))))</f>
        <v>bP</v>
      </c>
      <c r="CF191" s="11" t="str">
        <f aca="false">IF($P191=0,CF190,IF(CF$3=$E191,IF($AA191=1,$F191&amp;$AB191,$G191),IF(OR(CF$3=$D191,CF$3=$AC191,CF$3=$AE191),"",IF(CF$3=$AD191,$F191&amp;"R",CF190))))</f>
        <v>bP</v>
      </c>
      <c r="CG191" s="11" t="str">
        <f aca="false">IF($P191=0,CG190,IF(CG$3=$E191,IF($AA191=1,$F191&amp;$AB191,$G191),IF(OR(CG$3=$D191,CG$3=$AC191,CG$3=$AE191),"",IF(CG$3=$AD191,$F191&amp;"R",CG190))))</f>
        <v>bP</v>
      </c>
      <c r="CH191" s="11" t="str">
        <f aca="false">IF($P191=0,CH190,IF(CH$3=$E191,IF($AA191=1,$F191&amp;$AB191,$G191),IF(OR(CH$3=$D191,CH$3=$AC191,CH$3=$AE191),"",IF(CH$3=$AD191,$F191&amp;"R",CH190))))</f>
        <v>bP</v>
      </c>
      <c r="CI191" s="11" t="str">
        <f aca="false">IF($P191=0,CI190,IF(CI$3=$E191,IF($AA191=1,$F191&amp;$AB191,$G191),IF(OR(CI$3=$D191,CI$3=$AC191,CI$3=$AE191),"",IF(CI$3=$AD191,$F191&amp;"R",CI190))))</f>
        <v>bP</v>
      </c>
      <c r="CJ191" s="11" t="str">
        <f aca="false">IF($P191=0,CJ190,IF(CJ$3=$E191,IF($AA191=1,$F191&amp;$AB191,$G191),IF(OR(CJ$3=$D191,CJ$3=$AC191,CJ$3=$AE191),"",IF(CJ$3=$AD191,$F191&amp;"R",CJ190))))</f>
        <v>bP</v>
      </c>
      <c r="CK191" s="11" t="str">
        <f aca="false">IF($P191=0,CK190,IF(CK$3=$E191,IF($AA191=1,$F191&amp;$AB191,$G191),IF(OR(CK$3=$D191,CK$3=$AC191,CK$3=$AE191),"",IF(CK$3=$AD191,$F191&amp;"R",CK190))))</f>
        <v>bP</v>
      </c>
      <c r="CL191" s="11" t="str">
        <f aca="false">IF($P191=0,CL190,IF(CL$3=$E191,IF($AA191=1,$F191&amp;$AB191,$G191),IF(OR(CL$3=$D191,CL$3=$AC191,CL$3=$AE191),"",IF(CL$3=$AD191,$F191&amp;"R",CL190))))</f>
        <v>bR</v>
      </c>
      <c r="CM191" s="11" t="str">
        <f aca="false">IF($P191=0,CM190,IF(CM$3=$E191,IF($AA191=1,$F191&amp;$AB191,$G191),IF(OR(CM$3=$D191,CM$3=$AC191,CM$3=$AE191),"",IF(CM$3=$AD191,$F191&amp;"R",CM190))))</f>
        <v>bN</v>
      </c>
      <c r="CN191" s="11" t="str">
        <f aca="false">IF($P191=0,CN190,IF(CN$3=$E191,IF($AA191=1,$F191&amp;$AB191,$G191),IF(OR(CN$3=$D191,CN$3=$AC191,CN$3=$AE191),"",IF(CN$3=$AD191,$F191&amp;"R",CN190))))</f>
        <v>bB</v>
      </c>
      <c r="CO191" s="11" t="str">
        <f aca="false">IF($P191=0,CO190,IF(CO$3=$E191,IF($AA191=1,$F191&amp;$AB191,$G191),IF(OR(CO$3=$D191,CO$3=$AC191,CO$3=$AE191),"",IF(CO$3=$AD191,$F191&amp;"R",CO190))))</f>
        <v>bQ</v>
      </c>
      <c r="CP191" s="11" t="str">
        <f aca="false">IF($P191=0,CP190,IF(CP$3=$E191,IF($AA191=1,$F191&amp;$AB191,$G191),IF(OR(CP$3=$D191,CP$3=$AC191,CP$3=$AE191),"",IF(CP$3=$AD191,$F191&amp;"R",CP190))))</f>
        <v>bK</v>
      </c>
      <c r="CQ191" s="11" t="str">
        <f aca="false">IF($P191=0,CQ190,IF(CQ$3=$E191,IF($AA191=1,$F191&amp;$AB191,$G191),IF(OR(CQ$3=$D191,CQ$3=$AC191,CQ$3=$AE191),"",IF(CQ$3=$AD191,$F191&amp;"R",CQ190))))</f>
        <v>bB</v>
      </c>
      <c r="CR191" s="11" t="str">
        <f aca="false">IF($P191=0,CR190,IF(CR$3=$E191,IF($AA191=1,$F191&amp;$AB191,$G191),IF(OR(CR$3=$D191,CR$3=$AC191,CR$3=$AE191),"",IF(CR$3=$AD191,$F191&amp;"R",CR190))))</f>
        <v>bN</v>
      </c>
      <c r="CS191" s="11" t="str">
        <f aca="false">IF($P191=0,CS190,IF(CS$3=$E191,IF($AA191=1,$F191&amp;$AB191,$G191),IF(OR(CS$3=$D191,CS$3=$AC191,CS$3=$AE191),"",IF(CS$3=$AD191,$F191&amp;"R",CS190))))</f>
        <v>bR</v>
      </c>
      <c r="CT191" s="11"/>
      <c r="CU191" s="11"/>
      <c r="CV191" s="11"/>
    </row>
    <row r="192" customFormat="false" ht="15" hidden="false" customHeight="false" outlineLevel="0" collapsed="false">
      <c r="A192" s="11" t="n">
        <v>187</v>
      </c>
      <c r="B192" s="11" t="str">
        <f aca="false">IF(Chess!$L$196="","",Chess!$L$196&amp;"")</f>
        <v/>
      </c>
      <c r="C192" s="11" t="str">
        <f aca="false">LOWER(SUBSTITUTE(SUBSTITUTE(SUBSTITUTE(SUBSTITUTE(TRIM($B192),"-",""),"=","")," ",""),"x",""))</f>
        <v/>
      </c>
      <c r="D192" s="11" t="n">
        <f aca="false">IF(LEN($C192)&lt;4,0,IFERROR(IF(AND(CODE(MID($C192,1,1))&gt;=97,CODE(MID($C192,1,1))&lt;=104,VALUE(MID($C192,2,1))&gt;=1,VALUE(MID($C192,2,1))&lt;=8),(VALUE(MID($C192,2,1))-1)*8+CODE(MID($C192,1,1))-96,0),0))</f>
        <v>0</v>
      </c>
      <c r="E192" s="11" t="n">
        <f aca="false">IF(LEN($C192)&lt;4,0,IFERROR(IF(AND(CODE(MID($C192,3,1))&gt;=97,CODE(MID($C192,3,1))&lt;=104,VALUE(MID($C192,4,1))&gt;=1,VALUE(MID($C192,4,1))&lt;=8),(VALUE(MID($C192,4,1))-1)*8+CODE(MID($C192,3,1))-96,0),0))</f>
        <v>0</v>
      </c>
      <c r="F192" s="11" t="str">
        <f aca="false">IF(MOD(SUM($P$5:$P191),2)=0,"w","b")</f>
        <v>w</v>
      </c>
      <c r="G192" s="11" t="str">
        <f aca="false">IF($D192=0,"",INDEX($AH191:$CS191,1,$D192)&amp;"")</f>
        <v/>
      </c>
      <c r="H192" s="11" t="str">
        <f aca="false">IF($E192=0,"",INDEX($AH191:$CS191,1,$E192)&amp;"")</f>
        <v/>
      </c>
      <c r="I192" s="11" t="n">
        <f aca="false">IF(OR($D192=0,$E192=0),0,MOD($E192-1,8)-MOD($D192-1,8))</f>
        <v>0</v>
      </c>
      <c r="J192" s="11" t="n">
        <f aca="false">IF(OR($D192=0,$E192=0),0,INT(($E192-1)/8)-INT(($D192-1)/8))</f>
        <v>0</v>
      </c>
      <c r="K192" s="11" t="str">
        <f aca="false">IF($G192="","",RIGHT($G192,1))</f>
        <v/>
      </c>
      <c r="L192" s="11" t="n">
        <f aca="false">IF(OR($D192=0,$E192=0),0,SUMPRODUCT(($AH$3:$CS$3&gt;MIN($D192,$E192))*($AH$3:$CS$3&lt;MAX($D192,$E192))*(MOD($AH$3:$CS$3-MIN($D192,$E192),MAX(1,ABS(SIGN($J192)*8+SIGN($I192))))=0)*($AH191:$CS191&lt;&gt;"")))</f>
        <v>0</v>
      </c>
      <c r="M192" s="11" t="n">
        <f aca="false">IF($K192&lt;&gt;"K",0,IFERROR(--AND($J192=0,ABS($I192)=2,$D192=IF($F192="w",5,61),IF($F192="w",$S191,$V191)=0,IF($I192=2,AND(IF($F192="w",$U191,$X191)=0,INDEX($AH191:$CS191,1,$D192+1)&amp;""="",INDEX($AH191:$CS191,1,$D192+2)&amp;""=""),AND(IF($F192="w",$T191,$W191)=0,INDEX($AH191:$CS191,1,$D192-1)&amp;""="",INDEX($AH191:$CS191,1,$D192-2)&amp;""="",INDEX($AH191:$CS191,1,$D192-3)&amp;""=""))),0))</f>
        <v>0</v>
      </c>
      <c r="N192" s="11" t="n">
        <f aca="false">IF($K192&lt;&gt;"P",0,IFERROR(--OR(AND($I192=0,$J192=IF($F192="w",1,-1),$H192=""),AND($I192=0,$J192=2*IF($F192="w",1,-1),$H192="",INT(($D192-1)/8)=IF($F192="w",1,6),INDEX($AH191:$CS191,1,MAX(1,MIN(64,$D192+8*IF($F192="w",1,-1))))&amp;""=""),AND(ABS($I192)=1,$J192=IF($F192="w",1,-1),$H192&lt;&gt;""),AND(ABS($I192)=1,$J192=IF($F192="w",1,-1),$H192="",$R191&gt;0,$E192=$R191)),0))</f>
        <v>0</v>
      </c>
      <c r="O192" s="11" t="n">
        <f aca="false">IF(OR($D192=0,$E192=0,$G192=""),0,IF($K192="N",--OR(AND(ABS($I192)=1,ABS($J192)=2),AND(ABS($I192)=2,ABS($J192)=1)),IF($K192="B",--AND(ABS($I192)=ABS($J192),$I192&lt;&gt;0,$L192=0),IF($K192="R",--AND(OR($I192=0,$J192=0),OR($I192&lt;&gt;0,$J192&lt;&gt;0),$L192=0),IF($K192="Q",--AND(OR(AND(ABS($I192)=ABS($J192),$I192&lt;&gt;0),AND(OR($I192=0,$J192=0),OR($I192&lt;&gt;0,$J192&lt;&gt;0))),$L192=0),IF($K192="K",--OR(MAX(ABS($I192),ABS($J192))=1,$M192=1),$N192))))))</f>
        <v>0</v>
      </c>
      <c r="P192" s="11" t="n">
        <f aca="false">IF($Q192="OK",1,0)</f>
        <v>0</v>
      </c>
      <c r="Q192" s="11" t="str">
        <f aca="false">IF($B192="","",IF(OR(COUNTIF($AH191:$CS191,"wK")=0,COUNTIF($AH191:$CS191,"bK")=0),"Game is over",IF(OR($D192=0,$E192=0),"Use the format e2e4",IF($G192="","No piece on that square",IF(LEFT($G192,1)&lt;&gt;$F192,"Not your piece ("&amp;IF($F192="w","White","Black")&amp;" to move)",IF($D192=$E192,"Piece must move",IF(AND($H192&lt;&gt;"",LEFT($H192,1)=$F192),"Cannot capture your own piece",IF($O192=0,"Illegal move for that piece (or path blocked)","OK"))))))))</f>
        <v/>
      </c>
      <c r="R192" s="11" t="n">
        <f aca="false">IF($P192=1,IF(AND($K192="P",ABS($J192)=2),($D192+$E192)/2,0),$R191)</f>
        <v>0</v>
      </c>
      <c r="S192" s="12" t="b">
        <f aca="false">--OR($S191=1,AND($P192=1,OR($D192=5,$E192=5)))</f>
        <v>0</v>
      </c>
      <c r="T192" s="12" t="b">
        <f aca="false">--OR($T191=1,AND($P192=1,OR($D192=1,$E192=1)))</f>
        <v>0</v>
      </c>
      <c r="U192" s="12" t="b">
        <f aca="false">--OR($U191=1,AND($P192=1,OR($D192=8,$E192=8)))</f>
        <v>0</v>
      </c>
      <c r="V192" s="12" t="b">
        <f aca="false">--OR($V191=1,AND($P192=1,OR($D192=61,$E192=61)))</f>
        <v>0</v>
      </c>
      <c r="W192" s="12" t="b">
        <f aca="false">--OR($W191=1,AND($P192=1,OR($D192=57,$E192=57)))</f>
        <v>0</v>
      </c>
      <c r="X192" s="12" t="b">
        <f aca="false">--OR($X191=1,AND($P192=1,OR($D192=64,$E192=64)))</f>
        <v>0</v>
      </c>
      <c r="Y192" s="12" t="b">
        <f aca="false">--AND($P192=1,$K192="K",ABS($I192)=2)</f>
        <v>0</v>
      </c>
      <c r="Z192" s="12" t="b">
        <f aca="false">--AND($P192=1,$K192="P",ABS($I192)=1,$H192="")</f>
        <v>0</v>
      </c>
      <c r="AA192" s="12" t="b">
        <f aca="false">--AND($P192=1,$K192="P",INT(($E192-1)/8)=IF($F192="w",7,0))</f>
        <v>0</v>
      </c>
      <c r="AB192" s="11" t="str">
        <f aca="false">IF(LEN($C192)&gt;=5,IF(ISNUMBER(FIND(MID($C192,5,1),"qrbn")),UPPER(MID($C192,5,1)),"Q"),"Q")</f>
        <v>Q</v>
      </c>
      <c r="AC192" s="11" t="n">
        <f aca="false">IF($Y192=1,IF($I192=2,$D192+3,$D192-4),0)</f>
        <v>0</v>
      </c>
      <c r="AD192" s="11" t="n">
        <f aca="false">IF($Y192=1,IF($I192=2,$D192+1,$D192-1),0)</f>
        <v>0</v>
      </c>
      <c r="AE192" s="11" t="n">
        <f aca="false">IF($Z192=1,$E192-8*IF($F192="w",1,-1),0)</f>
        <v>0</v>
      </c>
      <c r="AF192" s="11" t="str">
        <f aca="false">IF($B192="","",IF($P192=1,LOWER(INDEX($CV$2:$CV$13,MATCH($G192,$CU$2:$CU$13,0)))&amp;" "&amp;MID("abcdefgh",MOD($D192-1,8)+1,1)&amp;(INT(($D192-1)/8)+1)&amp;"→"&amp;MID("abcdefgh",MOD($E192-1,8)+1,1)&amp;(INT(($E192-1)/8)+1)&amp;IF(OR($H192&lt;&gt;"",$Z192=1)," ×","")&amp;IF($Y192=1," castles","")&amp;IF($Z192=1," e.p.","")&amp;IF($AA192=1," =" &amp;LOWER(INDEX($CV$2:$CV$13,MATCH($F192&amp;$AB192,$CU$2:$CU$13,0))),""),"X "&amp;$Q192))</f>
        <v/>
      </c>
      <c r="AG192" s="11"/>
      <c r="AH192" s="11" t="str">
        <f aca="false">IF($P192=0,AH191,IF(AH$3=$E192,IF($AA192=1,$F192&amp;$AB192,$G192),IF(OR(AH$3=$D192,AH$3=$AC192,AH$3=$AE192),"",IF(AH$3=$AD192,$F192&amp;"R",AH191))))</f>
        <v>wR</v>
      </c>
      <c r="AI192" s="11" t="str">
        <f aca="false">IF($P192=0,AI191,IF(AI$3=$E192,IF($AA192=1,$F192&amp;$AB192,$G192),IF(OR(AI$3=$D192,AI$3=$AC192,AI$3=$AE192),"",IF(AI$3=$AD192,$F192&amp;"R",AI191))))</f>
        <v>wN</v>
      </c>
      <c r="AJ192" s="11" t="str">
        <f aca="false">IF($P192=0,AJ191,IF(AJ$3=$E192,IF($AA192=1,$F192&amp;$AB192,$G192),IF(OR(AJ$3=$D192,AJ$3=$AC192,AJ$3=$AE192),"",IF(AJ$3=$AD192,$F192&amp;"R",AJ191))))</f>
        <v>wB</v>
      </c>
      <c r="AK192" s="11" t="str">
        <f aca="false">IF($P192=0,AK191,IF(AK$3=$E192,IF($AA192=1,$F192&amp;$AB192,$G192),IF(OR(AK$3=$D192,AK$3=$AC192,AK$3=$AE192),"",IF(AK$3=$AD192,$F192&amp;"R",AK191))))</f>
        <v>wQ</v>
      </c>
      <c r="AL192" s="11" t="str">
        <f aca="false">IF($P192=0,AL191,IF(AL$3=$E192,IF($AA192=1,$F192&amp;$AB192,$G192),IF(OR(AL$3=$D192,AL$3=$AC192,AL$3=$AE192),"",IF(AL$3=$AD192,$F192&amp;"R",AL191))))</f>
        <v>wK</v>
      </c>
      <c r="AM192" s="11" t="str">
        <f aca="false">IF($P192=0,AM191,IF(AM$3=$E192,IF($AA192=1,$F192&amp;$AB192,$G192),IF(OR(AM$3=$D192,AM$3=$AC192,AM$3=$AE192),"",IF(AM$3=$AD192,$F192&amp;"R",AM191))))</f>
        <v>wB</v>
      </c>
      <c r="AN192" s="11" t="str">
        <f aca="false">IF($P192=0,AN191,IF(AN$3=$E192,IF($AA192=1,$F192&amp;$AB192,$G192),IF(OR(AN$3=$D192,AN$3=$AC192,AN$3=$AE192),"",IF(AN$3=$AD192,$F192&amp;"R",AN191))))</f>
        <v>wN</v>
      </c>
      <c r="AO192" s="11" t="str">
        <f aca="false">IF($P192=0,AO191,IF(AO$3=$E192,IF($AA192=1,$F192&amp;$AB192,$G192),IF(OR(AO$3=$D192,AO$3=$AC192,AO$3=$AE192),"",IF(AO$3=$AD192,$F192&amp;"R",AO191))))</f>
        <v>wR</v>
      </c>
      <c r="AP192" s="11" t="str">
        <f aca="false">IF($P192=0,AP191,IF(AP$3=$E192,IF($AA192=1,$F192&amp;$AB192,$G192),IF(OR(AP$3=$D192,AP$3=$AC192,AP$3=$AE192),"",IF(AP$3=$AD192,$F192&amp;"R",AP191))))</f>
        <v>wP</v>
      </c>
      <c r="AQ192" s="11" t="str">
        <f aca="false">IF($P192=0,AQ191,IF(AQ$3=$E192,IF($AA192=1,$F192&amp;$AB192,$G192),IF(OR(AQ$3=$D192,AQ$3=$AC192,AQ$3=$AE192),"",IF(AQ$3=$AD192,$F192&amp;"R",AQ191))))</f>
        <v>wP</v>
      </c>
      <c r="AR192" s="11" t="str">
        <f aca="false">IF($P192=0,AR191,IF(AR$3=$E192,IF($AA192=1,$F192&amp;$AB192,$G192),IF(OR(AR$3=$D192,AR$3=$AC192,AR$3=$AE192),"",IF(AR$3=$AD192,$F192&amp;"R",AR191))))</f>
        <v>wP</v>
      </c>
      <c r="AS192" s="11" t="str">
        <f aca="false">IF($P192=0,AS191,IF(AS$3=$E192,IF($AA192=1,$F192&amp;$AB192,$G192),IF(OR(AS$3=$D192,AS$3=$AC192,AS$3=$AE192),"",IF(AS$3=$AD192,$F192&amp;"R",AS191))))</f>
        <v>wP</v>
      </c>
      <c r="AT192" s="11" t="str">
        <f aca="false">IF($P192=0,AT191,IF(AT$3=$E192,IF($AA192=1,$F192&amp;$AB192,$G192),IF(OR(AT$3=$D192,AT$3=$AC192,AT$3=$AE192),"",IF(AT$3=$AD192,$F192&amp;"R",AT191))))</f>
        <v>wP</v>
      </c>
      <c r="AU192" s="11" t="str">
        <f aca="false">IF($P192=0,AU191,IF(AU$3=$E192,IF($AA192=1,$F192&amp;$AB192,$G192),IF(OR(AU$3=$D192,AU$3=$AC192,AU$3=$AE192),"",IF(AU$3=$AD192,$F192&amp;"R",AU191))))</f>
        <v>wP</v>
      </c>
      <c r="AV192" s="11" t="str">
        <f aca="false">IF($P192=0,AV191,IF(AV$3=$E192,IF($AA192=1,$F192&amp;$AB192,$G192),IF(OR(AV$3=$D192,AV$3=$AC192,AV$3=$AE192),"",IF(AV$3=$AD192,$F192&amp;"R",AV191))))</f>
        <v>wP</v>
      </c>
      <c r="AW192" s="11" t="str">
        <f aca="false">IF($P192=0,AW191,IF(AW$3=$E192,IF($AA192=1,$F192&amp;$AB192,$G192),IF(OR(AW$3=$D192,AW$3=$AC192,AW$3=$AE192),"",IF(AW$3=$AD192,$F192&amp;"R",AW191))))</f>
        <v>wP</v>
      </c>
      <c r="AX192" s="11" t="str">
        <f aca="false">IF($P192=0,AX191,IF(AX$3=$E192,IF($AA192=1,$F192&amp;$AB192,$G192),IF(OR(AX$3=$D192,AX$3=$AC192,AX$3=$AE192),"",IF(AX$3=$AD192,$F192&amp;"R",AX191))))</f>
        <v/>
      </c>
      <c r="AY192" s="11" t="str">
        <f aca="false">IF($P192=0,AY191,IF(AY$3=$E192,IF($AA192=1,$F192&amp;$AB192,$G192),IF(OR(AY$3=$D192,AY$3=$AC192,AY$3=$AE192),"",IF(AY$3=$AD192,$F192&amp;"R",AY191))))</f>
        <v/>
      </c>
      <c r="AZ192" s="11" t="str">
        <f aca="false">IF($P192=0,AZ191,IF(AZ$3=$E192,IF($AA192=1,$F192&amp;$AB192,$G192),IF(OR(AZ$3=$D192,AZ$3=$AC192,AZ$3=$AE192),"",IF(AZ$3=$AD192,$F192&amp;"R",AZ191))))</f>
        <v/>
      </c>
      <c r="BA192" s="11" t="str">
        <f aca="false">IF($P192=0,BA191,IF(BA$3=$E192,IF($AA192=1,$F192&amp;$AB192,$G192),IF(OR(BA$3=$D192,BA$3=$AC192,BA$3=$AE192),"",IF(BA$3=$AD192,$F192&amp;"R",BA191))))</f>
        <v/>
      </c>
      <c r="BB192" s="11" t="str">
        <f aca="false">IF($P192=0,BB191,IF(BB$3=$E192,IF($AA192=1,$F192&amp;$AB192,$G192),IF(OR(BB$3=$D192,BB$3=$AC192,BB$3=$AE192),"",IF(BB$3=$AD192,$F192&amp;"R",BB191))))</f>
        <v/>
      </c>
      <c r="BC192" s="11" t="str">
        <f aca="false">IF($P192=0,BC191,IF(BC$3=$E192,IF($AA192=1,$F192&amp;$AB192,$G192),IF(OR(BC$3=$D192,BC$3=$AC192,BC$3=$AE192),"",IF(BC$3=$AD192,$F192&amp;"R",BC191))))</f>
        <v/>
      </c>
      <c r="BD192" s="11" t="str">
        <f aca="false">IF($P192=0,BD191,IF(BD$3=$E192,IF($AA192=1,$F192&amp;$AB192,$G192),IF(OR(BD$3=$D192,BD$3=$AC192,BD$3=$AE192),"",IF(BD$3=$AD192,$F192&amp;"R",BD191))))</f>
        <v/>
      </c>
      <c r="BE192" s="11" t="str">
        <f aca="false">IF($P192=0,BE191,IF(BE$3=$E192,IF($AA192=1,$F192&amp;$AB192,$G192),IF(OR(BE$3=$D192,BE$3=$AC192,BE$3=$AE192),"",IF(BE$3=$AD192,$F192&amp;"R",BE191))))</f>
        <v/>
      </c>
      <c r="BF192" s="11" t="str">
        <f aca="false">IF($P192=0,BF191,IF(BF$3=$E192,IF($AA192=1,$F192&amp;$AB192,$G192),IF(OR(BF$3=$D192,BF$3=$AC192,BF$3=$AE192),"",IF(BF$3=$AD192,$F192&amp;"R",BF191))))</f>
        <v/>
      </c>
      <c r="BG192" s="11" t="str">
        <f aca="false">IF($P192=0,BG191,IF(BG$3=$E192,IF($AA192=1,$F192&amp;$AB192,$G192),IF(OR(BG$3=$D192,BG$3=$AC192,BG$3=$AE192),"",IF(BG$3=$AD192,$F192&amp;"R",BG191))))</f>
        <v/>
      </c>
      <c r="BH192" s="11" t="str">
        <f aca="false">IF($P192=0,BH191,IF(BH$3=$E192,IF($AA192=1,$F192&amp;$AB192,$G192),IF(OR(BH$3=$D192,BH$3=$AC192,BH$3=$AE192),"",IF(BH$3=$AD192,$F192&amp;"R",BH191))))</f>
        <v/>
      </c>
      <c r="BI192" s="11" t="str">
        <f aca="false">IF($P192=0,BI191,IF(BI$3=$E192,IF($AA192=1,$F192&amp;$AB192,$G192),IF(OR(BI$3=$D192,BI$3=$AC192,BI$3=$AE192),"",IF(BI$3=$AD192,$F192&amp;"R",BI191))))</f>
        <v/>
      </c>
      <c r="BJ192" s="11" t="str">
        <f aca="false">IF($P192=0,BJ191,IF(BJ$3=$E192,IF($AA192=1,$F192&amp;$AB192,$G192),IF(OR(BJ$3=$D192,BJ$3=$AC192,BJ$3=$AE192),"",IF(BJ$3=$AD192,$F192&amp;"R",BJ191))))</f>
        <v/>
      </c>
      <c r="BK192" s="11" t="str">
        <f aca="false">IF($P192=0,BK191,IF(BK$3=$E192,IF($AA192=1,$F192&amp;$AB192,$G192),IF(OR(BK$3=$D192,BK$3=$AC192,BK$3=$AE192),"",IF(BK$3=$AD192,$F192&amp;"R",BK191))))</f>
        <v/>
      </c>
      <c r="BL192" s="11" t="str">
        <f aca="false">IF($P192=0,BL191,IF(BL$3=$E192,IF($AA192=1,$F192&amp;$AB192,$G192),IF(OR(BL$3=$D192,BL$3=$AC192,BL$3=$AE192),"",IF(BL$3=$AD192,$F192&amp;"R",BL191))))</f>
        <v/>
      </c>
      <c r="BM192" s="11" t="str">
        <f aca="false">IF($P192=0,BM191,IF(BM$3=$E192,IF($AA192=1,$F192&amp;$AB192,$G192),IF(OR(BM$3=$D192,BM$3=$AC192,BM$3=$AE192),"",IF(BM$3=$AD192,$F192&amp;"R",BM191))))</f>
        <v/>
      </c>
      <c r="BN192" s="11" t="str">
        <f aca="false">IF($P192=0,BN191,IF(BN$3=$E192,IF($AA192=1,$F192&amp;$AB192,$G192),IF(OR(BN$3=$D192,BN$3=$AC192,BN$3=$AE192),"",IF(BN$3=$AD192,$F192&amp;"R",BN191))))</f>
        <v/>
      </c>
      <c r="BO192" s="11" t="str">
        <f aca="false">IF($P192=0,BO191,IF(BO$3=$E192,IF($AA192=1,$F192&amp;$AB192,$G192),IF(OR(BO$3=$D192,BO$3=$AC192,BO$3=$AE192),"",IF(BO$3=$AD192,$F192&amp;"R",BO191))))</f>
        <v/>
      </c>
      <c r="BP192" s="11" t="str">
        <f aca="false">IF($P192=0,BP191,IF(BP$3=$E192,IF($AA192=1,$F192&amp;$AB192,$G192),IF(OR(BP$3=$D192,BP$3=$AC192,BP$3=$AE192),"",IF(BP$3=$AD192,$F192&amp;"R",BP191))))</f>
        <v/>
      </c>
      <c r="BQ192" s="11" t="str">
        <f aca="false">IF($P192=0,BQ191,IF(BQ$3=$E192,IF($AA192=1,$F192&amp;$AB192,$G192),IF(OR(BQ$3=$D192,BQ$3=$AC192,BQ$3=$AE192),"",IF(BQ$3=$AD192,$F192&amp;"R",BQ191))))</f>
        <v/>
      </c>
      <c r="BR192" s="11" t="str">
        <f aca="false">IF($P192=0,BR191,IF(BR$3=$E192,IF($AA192=1,$F192&amp;$AB192,$G192),IF(OR(BR$3=$D192,BR$3=$AC192,BR$3=$AE192),"",IF(BR$3=$AD192,$F192&amp;"R",BR191))))</f>
        <v/>
      </c>
      <c r="BS192" s="11" t="str">
        <f aca="false">IF($P192=0,BS191,IF(BS$3=$E192,IF($AA192=1,$F192&amp;$AB192,$G192),IF(OR(BS$3=$D192,BS$3=$AC192,BS$3=$AE192),"",IF(BS$3=$AD192,$F192&amp;"R",BS191))))</f>
        <v/>
      </c>
      <c r="BT192" s="11" t="str">
        <f aca="false">IF($P192=0,BT191,IF(BT$3=$E192,IF($AA192=1,$F192&amp;$AB192,$G192),IF(OR(BT$3=$D192,BT$3=$AC192,BT$3=$AE192),"",IF(BT$3=$AD192,$F192&amp;"R",BT191))))</f>
        <v/>
      </c>
      <c r="BU192" s="11" t="str">
        <f aca="false">IF($P192=0,BU191,IF(BU$3=$E192,IF($AA192=1,$F192&amp;$AB192,$G192),IF(OR(BU$3=$D192,BU$3=$AC192,BU$3=$AE192),"",IF(BU$3=$AD192,$F192&amp;"R",BU191))))</f>
        <v/>
      </c>
      <c r="BV192" s="11" t="str">
        <f aca="false">IF($P192=0,BV191,IF(BV$3=$E192,IF($AA192=1,$F192&amp;$AB192,$G192),IF(OR(BV$3=$D192,BV$3=$AC192,BV$3=$AE192),"",IF(BV$3=$AD192,$F192&amp;"R",BV191))))</f>
        <v/>
      </c>
      <c r="BW192" s="11" t="str">
        <f aca="false">IF($P192=0,BW191,IF(BW$3=$E192,IF($AA192=1,$F192&amp;$AB192,$G192),IF(OR(BW$3=$D192,BW$3=$AC192,BW$3=$AE192),"",IF(BW$3=$AD192,$F192&amp;"R",BW191))))</f>
        <v/>
      </c>
      <c r="BX192" s="11" t="str">
        <f aca="false">IF($P192=0,BX191,IF(BX$3=$E192,IF($AA192=1,$F192&amp;$AB192,$G192),IF(OR(BX$3=$D192,BX$3=$AC192,BX$3=$AE192),"",IF(BX$3=$AD192,$F192&amp;"R",BX191))))</f>
        <v/>
      </c>
      <c r="BY192" s="11" t="str">
        <f aca="false">IF($P192=0,BY191,IF(BY$3=$E192,IF($AA192=1,$F192&amp;$AB192,$G192),IF(OR(BY$3=$D192,BY$3=$AC192,BY$3=$AE192),"",IF(BY$3=$AD192,$F192&amp;"R",BY191))))</f>
        <v/>
      </c>
      <c r="BZ192" s="11" t="str">
        <f aca="false">IF($P192=0,BZ191,IF(BZ$3=$E192,IF($AA192=1,$F192&amp;$AB192,$G192),IF(OR(BZ$3=$D192,BZ$3=$AC192,BZ$3=$AE192),"",IF(BZ$3=$AD192,$F192&amp;"R",BZ191))))</f>
        <v/>
      </c>
      <c r="CA192" s="11" t="str">
        <f aca="false">IF($P192=0,CA191,IF(CA$3=$E192,IF($AA192=1,$F192&amp;$AB192,$G192),IF(OR(CA$3=$D192,CA$3=$AC192,CA$3=$AE192),"",IF(CA$3=$AD192,$F192&amp;"R",CA191))))</f>
        <v/>
      </c>
      <c r="CB192" s="11" t="str">
        <f aca="false">IF($P192=0,CB191,IF(CB$3=$E192,IF($AA192=1,$F192&amp;$AB192,$G192),IF(OR(CB$3=$D192,CB$3=$AC192,CB$3=$AE192),"",IF(CB$3=$AD192,$F192&amp;"R",CB191))))</f>
        <v/>
      </c>
      <c r="CC192" s="11" t="str">
        <f aca="false">IF($P192=0,CC191,IF(CC$3=$E192,IF($AA192=1,$F192&amp;$AB192,$G192),IF(OR(CC$3=$D192,CC$3=$AC192,CC$3=$AE192),"",IF(CC$3=$AD192,$F192&amp;"R",CC191))))</f>
        <v/>
      </c>
      <c r="CD192" s="11" t="str">
        <f aca="false">IF($P192=0,CD191,IF(CD$3=$E192,IF($AA192=1,$F192&amp;$AB192,$G192),IF(OR(CD$3=$D192,CD$3=$AC192,CD$3=$AE192),"",IF(CD$3=$AD192,$F192&amp;"R",CD191))))</f>
        <v>bP</v>
      </c>
      <c r="CE192" s="11" t="str">
        <f aca="false">IF($P192=0,CE191,IF(CE$3=$E192,IF($AA192=1,$F192&amp;$AB192,$G192),IF(OR(CE$3=$D192,CE$3=$AC192,CE$3=$AE192),"",IF(CE$3=$AD192,$F192&amp;"R",CE191))))</f>
        <v>bP</v>
      </c>
      <c r="CF192" s="11" t="str">
        <f aca="false">IF($P192=0,CF191,IF(CF$3=$E192,IF($AA192=1,$F192&amp;$AB192,$G192),IF(OR(CF$3=$D192,CF$3=$AC192,CF$3=$AE192),"",IF(CF$3=$AD192,$F192&amp;"R",CF191))))</f>
        <v>bP</v>
      </c>
      <c r="CG192" s="11" t="str">
        <f aca="false">IF($P192=0,CG191,IF(CG$3=$E192,IF($AA192=1,$F192&amp;$AB192,$G192),IF(OR(CG$3=$D192,CG$3=$AC192,CG$3=$AE192),"",IF(CG$3=$AD192,$F192&amp;"R",CG191))))</f>
        <v>bP</v>
      </c>
      <c r="CH192" s="11" t="str">
        <f aca="false">IF($P192=0,CH191,IF(CH$3=$E192,IF($AA192=1,$F192&amp;$AB192,$G192),IF(OR(CH$3=$D192,CH$3=$AC192,CH$3=$AE192),"",IF(CH$3=$AD192,$F192&amp;"R",CH191))))</f>
        <v>bP</v>
      </c>
      <c r="CI192" s="11" t="str">
        <f aca="false">IF($P192=0,CI191,IF(CI$3=$E192,IF($AA192=1,$F192&amp;$AB192,$G192),IF(OR(CI$3=$D192,CI$3=$AC192,CI$3=$AE192),"",IF(CI$3=$AD192,$F192&amp;"R",CI191))))</f>
        <v>bP</v>
      </c>
      <c r="CJ192" s="11" t="str">
        <f aca="false">IF($P192=0,CJ191,IF(CJ$3=$E192,IF($AA192=1,$F192&amp;$AB192,$G192),IF(OR(CJ$3=$D192,CJ$3=$AC192,CJ$3=$AE192),"",IF(CJ$3=$AD192,$F192&amp;"R",CJ191))))</f>
        <v>bP</v>
      </c>
      <c r="CK192" s="11" t="str">
        <f aca="false">IF($P192=0,CK191,IF(CK$3=$E192,IF($AA192=1,$F192&amp;$AB192,$G192),IF(OR(CK$3=$D192,CK$3=$AC192,CK$3=$AE192),"",IF(CK$3=$AD192,$F192&amp;"R",CK191))))</f>
        <v>bP</v>
      </c>
      <c r="CL192" s="11" t="str">
        <f aca="false">IF($P192=0,CL191,IF(CL$3=$E192,IF($AA192=1,$F192&amp;$AB192,$G192),IF(OR(CL$3=$D192,CL$3=$AC192,CL$3=$AE192),"",IF(CL$3=$AD192,$F192&amp;"R",CL191))))</f>
        <v>bR</v>
      </c>
      <c r="CM192" s="11" t="str">
        <f aca="false">IF($P192=0,CM191,IF(CM$3=$E192,IF($AA192=1,$F192&amp;$AB192,$G192),IF(OR(CM$3=$D192,CM$3=$AC192,CM$3=$AE192),"",IF(CM$3=$AD192,$F192&amp;"R",CM191))))</f>
        <v>bN</v>
      </c>
      <c r="CN192" s="11" t="str">
        <f aca="false">IF($P192=0,CN191,IF(CN$3=$E192,IF($AA192=1,$F192&amp;$AB192,$G192),IF(OR(CN$3=$D192,CN$3=$AC192,CN$3=$AE192),"",IF(CN$3=$AD192,$F192&amp;"R",CN191))))</f>
        <v>bB</v>
      </c>
      <c r="CO192" s="11" t="str">
        <f aca="false">IF($P192=0,CO191,IF(CO$3=$E192,IF($AA192=1,$F192&amp;$AB192,$G192),IF(OR(CO$3=$D192,CO$3=$AC192,CO$3=$AE192),"",IF(CO$3=$AD192,$F192&amp;"R",CO191))))</f>
        <v>bQ</v>
      </c>
      <c r="CP192" s="11" t="str">
        <f aca="false">IF($P192=0,CP191,IF(CP$3=$E192,IF($AA192=1,$F192&amp;$AB192,$G192),IF(OR(CP$3=$D192,CP$3=$AC192,CP$3=$AE192),"",IF(CP$3=$AD192,$F192&amp;"R",CP191))))</f>
        <v>bK</v>
      </c>
      <c r="CQ192" s="11" t="str">
        <f aca="false">IF($P192=0,CQ191,IF(CQ$3=$E192,IF($AA192=1,$F192&amp;$AB192,$G192),IF(OR(CQ$3=$D192,CQ$3=$AC192,CQ$3=$AE192),"",IF(CQ$3=$AD192,$F192&amp;"R",CQ191))))</f>
        <v>bB</v>
      </c>
      <c r="CR192" s="11" t="str">
        <f aca="false">IF($P192=0,CR191,IF(CR$3=$E192,IF($AA192=1,$F192&amp;$AB192,$G192),IF(OR(CR$3=$D192,CR$3=$AC192,CR$3=$AE192),"",IF(CR$3=$AD192,$F192&amp;"R",CR191))))</f>
        <v>bN</v>
      </c>
      <c r="CS192" s="11" t="str">
        <f aca="false">IF($P192=0,CS191,IF(CS$3=$E192,IF($AA192=1,$F192&amp;$AB192,$G192),IF(OR(CS$3=$D192,CS$3=$AC192,CS$3=$AE192),"",IF(CS$3=$AD192,$F192&amp;"R",CS191))))</f>
        <v>bR</v>
      </c>
      <c r="CT192" s="11"/>
      <c r="CU192" s="11"/>
      <c r="CV192" s="11"/>
    </row>
    <row r="193" customFormat="false" ht="15" hidden="false" customHeight="false" outlineLevel="0" collapsed="false">
      <c r="A193" s="11" t="n">
        <v>188</v>
      </c>
      <c r="B193" s="11" t="str">
        <f aca="false">IF(Chess!$L$197="","",Chess!$L$197&amp;"")</f>
        <v/>
      </c>
      <c r="C193" s="11" t="str">
        <f aca="false">LOWER(SUBSTITUTE(SUBSTITUTE(SUBSTITUTE(SUBSTITUTE(TRIM($B193),"-",""),"=","")," ",""),"x",""))</f>
        <v/>
      </c>
      <c r="D193" s="11" t="n">
        <f aca="false">IF(LEN($C193)&lt;4,0,IFERROR(IF(AND(CODE(MID($C193,1,1))&gt;=97,CODE(MID($C193,1,1))&lt;=104,VALUE(MID($C193,2,1))&gt;=1,VALUE(MID($C193,2,1))&lt;=8),(VALUE(MID($C193,2,1))-1)*8+CODE(MID($C193,1,1))-96,0),0))</f>
        <v>0</v>
      </c>
      <c r="E193" s="11" t="n">
        <f aca="false">IF(LEN($C193)&lt;4,0,IFERROR(IF(AND(CODE(MID($C193,3,1))&gt;=97,CODE(MID($C193,3,1))&lt;=104,VALUE(MID($C193,4,1))&gt;=1,VALUE(MID($C193,4,1))&lt;=8),(VALUE(MID($C193,4,1))-1)*8+CODE(MID($C193,3,1))-96,0),0))</f>
        <v>0</v>
      </c>
      <c r="F193" s="11" t="str">
        <f aca="false">IF(MOD(SUM($P$5:$P192),2)=0,"w","b")</f>
        <v>w</v>
      </c>
      <c r="G193" s="11" t="str">
        <f aca="false">IF($D193=0,"",INDEX($AH192:$CS192,1,$D193)&amp;"")</f>
        <v/>
      </c>
      <c r="H193" s="11" t="str">
        <f aca="false">IF($E193=0,"",INDEX($AH192:$CS192,1,$E193)&amp;"")</f>
        <v/>
      </c>
      <c r="I193" s="11" t="n">
        <f aca="false">IF(OR($D193=0,$E193=0),0,MOD($E193-1,8)-MOD($D193-1,8))</f>
        <v>0</v>
      </c>
      <c r="J193" s="11" t="n">
        <f aca="false">IF(OR($D193=0,$E193=0),0,INT(($E193-1)/8)-INT(($D193-1)/8))</f>
        <v>0</v>
      </c>
      <c r="K193" s="11" t="str">
        <f aca="false">IF($G193="","",RIGHT($G193,1))</f>
        <v/>
      </c>
      <c r="L193" s="11" t="n">
        <f aca="false">IF(OR($D193=0,$E193=0),0,SUMPRODUCT(($AH$3:$CS$3&gt;MIN($D193,$E193))*($AH$3:$CS$3&lt;MAX($D193,$E193))*(MOD($AH$3:$CS$3-MIN($D193,$E193),MAX(1,ABS(SIGN($J193)*8+SIGN($I193))))=0)*($AH192:$CS192&lt;&gt;"")))</f>
        <v>0</v>
      </c>
      <c r="M193" s="11" t="n">
        <f aca="false">IF($K193&lt;&gt;"K",0,IFERROR(--AND($J193=0,ABS($I193)=2,$D193=IF($F193="w",5,61),IF($F193="w",$S192,$V192)=0,IF($I193=2,AND(IF($F193="w",$U192,$X192)=0,INDEX($AH192:$CS192,1,$D193+1)&amp;""="",INDEX($AH192:$CS192,1,$D193+2)&amp;""=""),AND(IF($F193="w",$T192,$W192)=0,INDEX($AH192:$CS192,1,$D193-1)&amp;""="",INDEX($AH192:$CS192,1,$D193-2)&amp;""="",INDEX($AH192:$CS192,1,$D193-3)&amp;""=""))),0))</f>
        <v>0</v>
      </c>
      <c r="N193" s="11" t="n">
        <f aca="false">IF($K193&lt;&gt;"P",0,IFERROR(--OR(AND($I193=0,$J193=IF($F193="w",1,-1),$H193=""),AND($I193=0,$J193=2*IF($F193="w",1,-1),$H193="",INT(($D193-1)/8)=IF($F193="w",1,6),INDEX($AH192:$CS192,1,MAX(1,MIN(64,$D193+8*IF($F193="w",1,-1))))&amp;""=""),AND(ABS($I193)=1,$J193=IF($F193="w",1,-1),$H193&lt;&gt;""),AND(ABS($I193)=1,$J193=IF($F193="w",1,-1),$H193="",$R192&gt;0,$E193=$R192)),0))</f>
        <v>0</v>
      </c>
      <c r="O193" s="11" t="n">
        <f aca="false">IF(OR($D193=0,$E193=0,$G193=""),0,IF($K193="N",--OR(AND(ABS($I193)=1,ABS($J193)=2),AND(ABS($I193)=2,ABS($J193)=1)),IF($K193="B",--AND(ABS($I193)=ABS($J193),$I193&lt;&gt;0,$L193=0),IF($K193="R",--AND(OR($I193=0,$J193=0),OR($I193&lt;&gt;0,$J193&lt;&gt;0),$L193=0),IF($K193="Q",--AND(OR(AND(ABS($I193)=ABS($J193),$I193&lt;&gt;0),AND(OR($I193=0,$J193=0),OR($I193&lt;&gt;0,$J193&lt;&gt;0))),$L193=0),IF($K193="K",--OR(MAX(ABS($I193),ABS($J193))=1,$M193=1),$N193))))))</f>
        <v>0</v>
      </c>
      <c r="P193" s="11" t="n">
        <f aca="false">IF($Q193="OK",1,0)</f>
        <v>0</v>
      </c>
      <c r="Q193" s="11" t="str">
        <f aca="false">IF($B193="","",IF(OR(COUNTIF($AH192:$CS192,"wK")=0,COUNTIF($AH192:$CS192,"bK")=0),"Game is over",IF(OR($D193=0,$E193=0),"Use the format e2e4",IF($G193="","No piece on that square",IF(LEFT($G193,1)&lt;&gt;$F193,"Not your piece ("&amp;IF($F193="w","White","Black")&amp;" to move)",IF($D193=$E193,"Piece must move",IF(AND($H193&lt;&gt;"",LEFT($H193,1)=$F193),"Cannot capture your own piece",IF($O193=0,"Illegal move for that piece (or path blocked)","OK"))))))))</f>
        <v/>
      </c>
      <c r="R193" s="11" t="n">
        <f aca="false">IF($P193=1,IF(AND($K193="P",ABS($J193)=2),($D193+$E193)/2,0),$R192)</f>
        <v>0</v>
      </c>
      <c r="S193" s="12" t="b">
        <f aca="false">--OR($S192=1,AND($P193=1,OR($D193=5,$E193=5)))</f>
        <v>0</v>
      </c>
      <c r="T193" s="12" t="b">
        <f aca="false">--OR($T192=1,AND($P193=1,OR($D193=1,$E193=1)))</f>
        <v>0</v>
      </c>
      <c r="U193" s="12" t="b">
        <f aca="false">--OR($U192=1,AND($P193=1,OR($D193=8,$E193=8)))</f>
        <v>0</v>
      </c>
      <c r="V193" s="12" t="b">
        <f aca="false">--OR($V192=1,AND($P193=1,OR($D193=61,$E193=61)))</f>
        <v>0</v>
      </c>
      <c r="W193" s="12" t="b">
        <f aca="false">--OR($W192=1,AND($P193=1,OR($D193=57,$E193=57)))</f>
        <v>0</v>
      </c>
      <c r="X193" s="12" t="b">
        <f aca="false">--OR($X192=1,AND($P193=1,OR($D193=64,$E193=64)))</f>
        <v>0</v>
      </c>
      <c r="Y193" s="12" t="b">
        <f aca="false">--AND($P193=1,$K193="K",ABS($I193)=2)</f>
        <v>0</v>
      </c>
      <c r="Z193" s="12" t="b">
        <f aca="false">--AND($P193=1,$K193="P",ABS($I193)=1,$H193="")</f>
        <v>0</v>
      </c>
      <c r="AA193" s="12" t="b">
        <f aca="false">--AND($P193=1,$K193="P",INT(($E193-1)/8)=IF($F193="w",7,0))</f>
        <v>0</v>
      </c>
      <c r="AB193" s="11" t="str">
        <f aca="false">IF(LEN($C193)&gt;=5,IF(ISNUMBER(FIND(MID($C193,5,1),"qrbn")),UPPER(MID($C193,5,1)),"Q"),"Q")</f>
        <v>Q</v>
      </c>
      <c r="AC193" s="11" t="n">
        <f aca="false">IF($Y193=1,IF($I193=2,$D193+3,$D193-4),0)</f>
        <v>0</v>
      </c>
      <c r="AD193" s="11" t="n">
        <f aca="false">IF($Y193=1,IF($I193=2,$D193+1,$D193-1),0)</f>
        <v>0</v>
      </c>
      <c r="AE193" s="11" t="n">
        <f aca="false">IF($Z193=1,$E193-8*IF($F193="w",1,-1),0)</f>
        <v>0</v>
      </c>
      <c r="AF193" s="11" t="str">
        <f aca="false">IF($B193="","",IF($P193=1,LOWER(INDEX($CV$2:$CV$13,MATCH($G193,$CU$2:$CU$13,0)))&amp;" "&amp;MID("abcdefgh",MOD($D193-1,8)+1,1)&amp;(INT(($D193-1)/8)+1)&amp;"→"&amp;MID("abcdefgh",MOD($E193-1,8)+1,1)&amp;(INT(($E193-1)/8)+1)&amp;IF(OR($H193&lt;&gt;"",$Z193=1)," ×","")&amp;IF($Y193=1," castles","")&amp;IF($Z193=1," e.p.","")&amp;IF($AA193=1," =" &amp;LOWER(INDEX($CV$2:$CV$13,MATCH($F193&amp;$AB193,$CU$2:$CU$13,0))),""),"X "&amp;$Q193))</f>
        <v/>
      </c>
      <c r="AG193" s="11"/>
      <c r="AH193" s="11" t="str">
        <f aca="false">IF($P193=0,AH192,IF(AH$3=$E193,IF($AA193=1,$F193&amp;$AB193,$G193),IF(OR(AH$3=$D193,AH$3=$AC193,AH$3=$AE193),"",IF(AH$3=$AD193,$F193&amp;"R",AH192))))</f>
        <v>wR</v>
      </c>
      <c r="AI193" s="11" t="str">
        <f aca="false">IF($P193=0,AI192,IF(AI$3=$E193,IF($AA193=1,$F193&amp;$AB193,$G193),IF(OR(AI$3=$D193,AI$3=$AC193,AI$3=$AE193),"",IF(AI$3=$AD193,$F193&amp;"R",AI192))))</f>
        <v>wN</v>
      </c>
      <c r="AJ193" s="11" t="str">
        <f aca="false">IF($P193=0,AJ192,IF(AJ$3=$E193,IF($AA193=1,$F193&amp;$AB193,$G193),IF(OR(AJ$3=$D193,AJ$3=$AC193,AJ$3=$AE193),"",IF(AJ$3=$AD193,$F193&amp;"R",AJ192))))</f>
        <v>wB</v>
      </c>
      <c r="AK193" s="11" t="str">
        <f aca="false">IF($P193=0,AK192,IF(AK$3=$E193,IF($AA193=1,$F193&amp;$AB193,$G193),IF(OR(AK$3=$D193,AK$3=$AC193,AK$3=$AE193),"",IF(AK$3=$AD193,$F193&amp;"R",AK192))))</f>
        <v>wQ</v>
      </c>
      <c r="AL193" s="11" t="str">
        <f aca="false">IF($P193=0,AL192,IF(AL$3=$E193,IF($AA193=1,$F193&amp;$AB193,$G193),IF(OR(AL$3=$D193,AL$3=$AC193,AL$3=$AE193),"",IF(AL$3=$AD193,$F193&amp;"R",AL192))))</f>
        <v>wK</v>
      </c>
      <c r="AM193" s="11" t="str">
        <f aca="false">IF($P193=0,AM192,IF(AM$3=$E193,IF($AA193=1,$F193&amp;$AB193,$G193),IF(OR(AM$3=$D193,AM$3=$AC193,AM$3=$AE193),"",IF(AM$3=$AD193,$F193&amp;"R",AM192))))</f>
        <v>wB</v>
      </c>
      <c r="AN193" s="11" t="str">
        <f aca="false">IF($P193=0,AN192,IF(AN$3=$E193,IF($AA193=1,$F193&amp;$AB193,$G193),IF(OR(AN$3=$D193,AN$3=$AC193,AN$3=$AE193),"",IF(AN$3=$AD193,$F193&amp;"R",AN192))))</f>
        <v>wN</v>
      </c>
      <c r="AO193" s="11" t="str">
        <f aca="false">IF($P193=0,AO192,IF(AO$3=$E193,IF($AA193=1,$F193&amp;$AB193,$G193),IF(OR(AO$3=$D193,AO$3=$AC193,AO$3=$AE193),"",IF(AO$3=$AD193,$F193&amp;"R",AO192))))</f>
        <v>wR</v>
      </c>
      <c r="AP193" s="11" t="str">
        <f aca="false">IF($P193=0,AP192,IF(AP$3=$E193,IF($AA193=1,$F193&amp;$AB193,$G193),IF(OR(AP$3=$D193,AP$3=$AC193,AP$3=$AE193),"",IF(AP$3=$AD193,$F193&amp;"R",AP192))))</f>
        <v>wP</v>
      </c>
      <c r="AQ193" s="11" t="str">
        <f aca="false">IF($P193=0,AQ192,IF(AQ$3=$E193,IF($AA193=1,$F193&amp;$AB193,$G193),IF(OR(AQ$3=$D193,AQ$3=$AC193,AQ$3=$AE193),"",IF(AQ$3=$AD193,$F193&amp;"R",AQ192))))</f>
        <v>wP</v>
      </c>
      <c r="AR193" s="11" t="str">
        <f aca="false">IF($P193=0,AR192,IF(AR$3=$E193,IF($AA193=1,$F193&amp;$AB193,$G193),IF(OR(AR$3=$D193,AR$3=$AC193,AR$3=$AE193),"",IF(AR$3=$AD193,$F193&amp;"R",AR192))))</f>
        <v>wP</v>
      </c>
      <c r="AS193" s="11" t="str">
        <f aca="false">IF($P193=0,AS192,IF(AS$3=$E193,IF($AA193=1,$F193&amp;$AB193,$G193),IF(OR(AS$3=$D193,AS$3=$AC193,AS$3=$AE193),"",IF(AS$3=$AD193,$F193&amp;"R",AS192))))</f>
        <v>wP</v>
      </c>
      <c r="AT193" s="11" t="str">
        <f aca="false">IF($P193=0,AT192,IF(AT$3=$E193,IF($AA193=1,$F193&amp;$AB193,$G193),IF(OR(AT$3=$D193,AT$3=$AC193,AT$3=$AE193),"",IF(AT$3=$AD193,$F193&amp;"R",AT192))))</f>
        <v>wP</v>
      </c>
      <c r="AU193" s="11" t="str">
        <f aca="false">IF($P193=0,AU192,IF(AU$3=$E193,IF($AA193=1,$F193&amp;$AB193,$G193),IF(OR(AU$3=$D193,AU$3=$AC193,AU$3=$AE193),"",IF(AU$3=$AD193,$F193&amp;"R",AU192))))</f>
        <v>wP</v>
      </c>
      <c r="AV193" s="11" t="str">
        <f aca="false">IF($P193=0,AV192,IF(AV$3=$E193,IF($AA193=1,$F193&amp;$AB193,$G193),IF(OR(AV$3=$D193,AV$3=$AC193,AV$3=$AE193),"",IF(AV$3=$AD193,$F193&amp;"R",AV192))))</f>
        <v>wP</v>
      </c>
      <c r="AW193" s="11" t="str">
        <f aca="false">IF($P193=0,AW192,IF(AW$3=$E193,IF($AA193=1,$F193&amp;$AB193,$G193),IF(OR(AW$3=$D193,AW$3=$AC193,AW$3=$AE193),"",IF(AW$3=$AD193,$F193&amp;"R",AW192))))</f>
        <v>wP</v>
      </c>
      <c r="AX193" s="11" t="str">
        <f aca="false">IF($P193=0,AX192,IF(AX$3=$E193,IF($AA193=1,$F193&amp;$AB193,$G193),IF(OR(AX$3=$D193,AX$3=$AC193,AX$3=$AE193),"",IF(AX$3=$AD193,$F193&amp;"R",AX192))))</f>
        <v/>
      </c>
      <c r="AY193" s="11" t="str">
        <f aca="false">IF($P193=0,AY192,IF(AY$3=$E193,IF($AA193=1,$F193&amp;$AB193,$G193),IF(OR(AY$3=$D193,AY$3=$AC193,AY$3=$AE193),"",IF(AY$3=$AD193,$F193&amp;"R",AY192))))</f>
        <v/>
      </c>
      <c r="AZ193" s="11" t="str">
        <f aca="false">IF($P193=0,AZ192,IF(AZ$3=$E193,IF($AA193=1,$F193&amp;$AB193,$G193),IF(OR(AZ$3=$D193,AZ$3=$AC193,AZ$3=$AE193),"",IF(AZ$3=$AD193,$F193&amp;"R",AZ192))))</f>
        <v/>
      </c>
      <c r="BA193" s="11" t="str">
        <f aca="false">IF($P193=0,BA192,IF(BA$3=$E193,IF($AA193=1,$F193&amp;$AB193,$G193),IF(OR(BA$3=$D193,BA$3=$AC193,BA$3=$AE193),"",IF(BA$3=$AD193,$F193&amp;"R",BA192))))</f>
        <v/>
      </c>
      <c r="BB193" s="11" t="str">
        <f aca="false">IF($P193=0,BB192,IF(BB$3=$E193,IF($AA193=1,$F193&amp;$AB193,$G193),IF(OR(BB$3=$D193,BB$3=$AC193,BB$3=$AE193),"",IF(BB$3=$AD193,$F193&amp;"R",BB192))))</f>
        <v/>
      </c>
      <c r="BC193" s="11" t="str">
        <f aca="false">IF($P193=0,BC192,IF(BC$3=$E193,IF($AA193=1,$F193&amp;$AB193,$G193),IF(OR(BC$3=$D193,BC$3=$AC193,BC$3=$AE193),"",IF(BC$3=$AD193,$F193&amp;"R",BC192))))</f>
        <v/>
      </c>
      <c r="BD193" s="11" t="str">
        <f aca="false">IF($P193=0,BD192,IF(BD$3=$E193,IF($AA193=1,$F193&amp;$AB193,$G193),IF(OR(BD$3=$D193,BD$3=$AC193,BD$3=$AE193),"",IF(BD$3=$AD193,$F193&amp;"R",BD192))))</f>
        <v/>
      </c>
      <c r="BE193" s="11" t="str">
        <f aca="false">IF($P193=0,BE192,IF(BE$3=$E193,IF($AA193=1,$F193&amp;$AB193,$G193),IF(OR(BE$3=$D193,BE$3=$AC193,BE$3=$AE193),"",IF(BE$3=$AD193,$F193&amp;"R",BE192))))</f>
        <v/>
      </c>
      <c r="BF193" s="11" t="str">
        <f aca="false">IF($P193=0,BF192,IF(BF$3=$E193,IF($AA193=1,$F193&amp;$AB193,$G193),IF(OR(BF$3=$D193,BF$3=$AC193,BF$3=$AE193),"",IF(BF$3=$AD193,$F193&amp;"R",BF192))))</f>
        <v/>
      </c>
      <c r="BG193" s="11" t="str">
        <f aca="false">IF($P193=0,BG192,IF(BG$3=$E193,IF($AA193=1,$F193&amp;$AB193,$G193),IF(OR(BG$3=$D193,BG$3=$AC193,BG$3=$AE193),"",IF(BG$3=$AD193,$F193&amp;"R",BG192))))</f>
        <v/>
      </c>
      <c r="BH193" s="11" t="str">
        <f aca="false">IF($P193=0,BH192,IF(BH$3=$E193,IF($AA193=1,$F193&amp;$AB193,$G193),IF(OR(BH$3=$D193,BH$3=$AC193,BH$3=$AE193),"",IF(BH$3=$AD193,$F193&amp;"R",BH192))))</f>
        <v/>
      </c>
      <c r="BI193" s="11" t="str">
        <f aca="false">IF($P193=0,BI192,IF(BI$3=$E193,IF($AA193=1,$F193&amp;$AB193,$G193),IF(OR(BI$3=$D193,BI$3=$AC193,BI$3=$AE193),"",IF(BI$3=$AD193,$F193&amp;"R",BI192))))</f>
        <v/>
      </c>
      <c r="BJ193" s="11" t="str">
        <f aca="false">IF($P193=0,BJ192,IF(BJ$3=$E193,IF($AA193=1,$F193&amp;$AB193,$G193),IF(OR(BJ$3=$D193,BJ$3=$AC193,BJ$3=$AE193),"",IF(BJ$3=$AD193,$F193&amp;"R",BJ192))))</f>
        <v/>
      </c>
      <c r="BK193" s="11" t="str">
        <f aca="false">IF($P193=0,BK192,IF(BK$3=$E193,IF($AA193=1,$F193&amp;$AB193,$G193),IF(OR(BK$3=$D193,BK$3=$AC193,BK$3=$AE193),"",IF(BK$3=$AD193,$F193&amp;"R",BK192))))</f>
        <v/>
      </c>
      <c r="BL193" s="11" t="str">
        <f aca="false">IF($P193=0,BL192,IF(BL$3=$E193,IF($AA193=1,$F193&amp;$AB193,$G193),IF(OR(BL$3=$D193,BL$3=$AC193,BL$3=$AE193),"",IF(BL$3=$AD193,$F193&amp;"R",BL192))))</f>
        <v/>
      </c>
      <c r="BM193" s="11" t="str">
        <f aca="false">IF($P193=0,BM192,IF(BM$3=$E193,IF($AA193=1,$F193&amp;$AB193,$G193),IF(OR(BM$3=$D193,BM$3=$AC193,BM$3=$AE193),"",IF(BM$3=$AD193,$F193&amp;"R",BM192))))</f>
        <v/>
      </c>
      <c r="BN193" s="11" t="str">
        <f aca="false">IF($P193=0,BN192,IF(BN$3=$E193,IF($AA193=1,$F193&amp;$AB193,$G193),IF(OR(BN$3=$D193,BN$3=$AC193,BN$3=$AE193),"",IF(BN$3=$AD193,$F193&amp;"R",BN192))))</f>
        <v/>
      </c>
      <c r="BO193" s="11" t="str">
        <f aca="false">IF($P193=0,BO192,IF(BO$3=$E193,IF($AA193=1,$F193&amp;$AB193,$G193),IF(OR(BO$3=$D193,BO$3=$AC193,BO$3=$AE193),"",IF(BO$3=$AD193,$F193&amp;"R",BO192))))</f>
        <v/>
      </c>
      <c r="BP193" s="11" t="str">
        <f aca="false">IF($P193=0,BP192,IF(BP$3=$E193,IF($AA193=1,$F193&amp;$AB193,$G193),IF(OR(BP$3=$D193,BP$3=$AC193,BP$3=$AE193),"",IF(BP$3=$AD193,$F193&amp;"R",BP192))))</f>
        <v/>
      </c>
      <c r="BQ193" s="11" t="str">
        <f aca="false">IF($P193=0,BQ192,IF(BQ$3=$E193,IF($AA193=1,$F193&amp;$AB193,$G193),IF(OR(BQ$3=$D193,BQ$3=$AC193,BQ$3=$AE193),"",IF(BQ$3=$AD193,$F193&amp;"R",BQ192))))</f>
        <v/>
      </c>
      <c r="BR193" s="11" t="str">
        <f aca="false">IF($P193=0,BR192,IF(BR$3=$E193,IF($AA193=1,$F193&amp;$AB193,$G193),IF(OR(BR$3=$D193,BR$3=$AC193,BR$3=$AE193),"",IF(BR$3=$AD193,$F193&amp;"R",BR192))))</f>
        <v/>
      </c>
      <c r="BS193" s="11" t="str">
        <f aca="false">IF($P193=0,BS192,IF(BS$3=$E193,IF($AA193=1,$F193&amp;$AB193,$G193),IF(OR(BS$3=$D193,BS$3=$AC193,BS$3=$AE193),"",IF(BS$3=$AD193,$F193&amp;"R",BS192))))</f>
        <v/>
      </c>
      <c r="BT193" s="11" t="str">
        <f aca="false">IF($P193=0,BT192,IF(BT$3=$E193,IF($AA193=1,$F193&amp;$AB193,$G193),IF(OR(BT$3=$D193,BT$3=$AC193,BT$3=$AE193),"",IF(BT$3=$AD193,$F193&amp;"R",BT192))))</f>
        <v/>
      </c>
      <c r="BU193" s="11" t="str">
        <f aca="false">IF($P193=0,BU192,IF(BU$3=$E193,IF($AA193=1,$F193&amp;$AB193,$G193),IF(OR(BU$3=$D193,BU$3=$AC193,BU$3=$AE193),"",IF(BU$3=$AD193,$F193&amp;"R",BU192))))</f>
        <v/>
      </c>
      <c r="BV193" s="11" t="str">
        <f aca="false">IF($P193=0,BV192,IF(BV$3=$E193,IF($AA193=1,$F193&amp;$AB193,$G193),IF(OR(BV$3=$D193,BV$3=$AC193,BV$3=$AE193),"",IF(BV$3=$AD193,$F193&amp;"R",BV192))))</f>
        <v/>
      </c>
      <c r="BW193" s="11" t="str">
        <f aca="false">IF($P193=0,BW192,IF(BW$3=$E193,IF($AA193=1,$F193&amp;$AB193,$G193),IF(OR(BW$3=$D193,BW$3=$AC193,BW$3=$AE193),"",IF(BW$3=$AD193,$F193&amp;"R",BW192))))</f>
        <v/>
      </c>
      <c r="BX193" s="11" t="str">
        <f aca="false">IF($P193=0,BX192,IF(BX$3=$E193,IF($AA193=1,$F193&amp;$AB193,$G193),IF(OR(BX$3=$D193,BX$3=$AC193,BX$3=$AE193),"",IF(BX$3=$AD193,$F193&amp;"R",BX192))))</f>
        <v/>
      </c>
      <c r="BY193" s="11" t="str">
        <f aca="false">IF($P193=0,BY192,IF(BY$3=$E193,IF($AA193=1,$F193&amp;$AB193,$G193),IF(OR(BY$3=$D193,BY$3=$AC193,BY$3=$AE193),"",IF(BY$3=$AD193,$F193&amp;"R",BY192))))</f>
        <v/>
      </c>
      <c r="BZ193" s="11" t="str">
        <f aca="false">IF($P193=0,BZ192,IF(BZ$3=$E193,IF($AA193=1,$F193&amp;$AB193,$G193),IF(OR(BZ$3=$D193,BZ$3=$AC193,BZ$3=$AE193),"",IF(BZ$3=$AD193,$F193&amp;"R",BZ192))))</f>
        <v/>
      </c>
      <c r="CA193" s="11" t="str">
        <f aca="false">IF($P193=0,CA192,IF(CA$3=$E193,IF($AA193=1,$F193&amp;$AB193,$G193),IF(OR(CA$3=$D193,CA$3=$AC193,CA$3=$AE193),"",IF(CA$3=$AD193,$F193&amp;"R",CA192))))</f>
        <v/>
      </c>
      <c r="CB193" s="11" t="str">
        <f aca="false">IF($P193=0,CB192,IF(CB$3=$E193,IF($AA193=1,$F193&amp;$AB193,$G193),IF(OR(CB$3=$D193,CB$3=$AC193,CB$3=$AE193),"",IF(CB$3=$AD193,$F193&amp;"R",CB192))))</f>
        <v/>
      </c>
      <c r="CC193" s="11" t="str">
        <f aca="false">IF($P193=0,CC192,IF(CC$3=$E193,IF($AA193=1,$F193&amp;$AB193,$G193),IF(OR(CC$3=$D193,CC$3=$AC193,CC$3=$AE193),"",IF(CC$3=$AD193,$F193&amp;"R",CC192))))</f>
        <v/>
      </c>
      <c r="CD193" s="11" t="str">
        <f aca="false">IF($P193=0,CD192,IF(CD$3=$E193,IF($AA193=1,$F193&amp;$AB193,$G193),IF(OR(CD$3=$D193,CD$3=$AC193,CD$3=$AE193),"",IF(CD$3=$AD193,$F193&amp;"R",CD192))))</f>
        <v>bP</v>
      </c>
      <c r="CE193" s="11" t="str">
        <f aca="false">IF($P193=0,CE192,IF(CE$3=$E193,IF($AA193=1,$F193&amp;$AB193,$G193),IF(OR(CE$3=$D193,CE$3=$AC193,CE$3=$AE193),"",IF(CE$3=$AD193,$F193&amp;"R",CE192))))</f>
        <v>bP</v>
      </c>
      <c r="CF193" s="11" t="str">
        <f aca="false">IF($P193=0,CF192,IF(CF$3=$E193,IF($AA193=1,$F193&amp;$AB193,$G193),IF(OR(CF$3=$D193,CF$3=$AC193,CF$3=$AE193),"",IF(CF$3=$AD193,$F193&amp;"R",CF192))))</f>
        <v>bP</v>
      </c>
      <c r="CG193" s="11" t="str">
        <f aca="false">IF($P193=0,CG192,IF(CG$3=$E193,IF($AA193=1,$F193&amp;$AB193,$G193),IF(OR(CG$3=$D193,CG$3=$AC193,CG$3=$AE193),"",IF(CG$3=$AD193,$F193&amp;"R",CG192))))</f>
        <v>bP</v>
      </c>
      <c r="CH193" s="11" t="str">
        <f aca="false">IF($P193=0,CH192,IF(CH$3=$E193,IF($AA193=1,$F193&amp;$AB193,$G193),IF(OR(CH$3=$D193,CH$3=$AC193,CH$3=$AE193),"",IF(CH$3=$AD193,$F193&amp;"R",CH192))))</f>
        <v>bP</v>
      </c>
      <c r="CI193" s="11" t="str">
        <f aca="false">IF($P193=0,CI192,IF(CI$3=$E193,IF($AA193=1,$F193&amp;$AB193,$G193),IF(OR(CI$3=$D193,CI$3=$AC193,CI$3=$AE193),"",IF(CI$3=$AD193,$F193&amp;"R",CI192))))</f>
        <v>bP</v>
      </c>
      <c r="CJ193" s="11" t="str">
        <f aca="false">IF($P193=0,CJ192,IF(CJ$3=$E193,IF($AA193=1,$F193&amp;$AB193,$G193),IF(OR(CJ$3=$D193,CJ$3=$AC193,CJ$3=$AE193),"",IF(CJ$3=$AD193,$F193&amp;"R",CJ192))))</f>
        <v>bP</v>
      </c>
      <c r="CK193" s="11" t="str">
        <f aca="false">IF($P193=0,CK192,IF(CK$3=$E193,IF($AA193=1,$F193&amp;$AB193,$G193),IF(OR(CK$3=$D193,CK$3=$AC193,CK$3=$AE193),"",IF(CK$3=$AD193,$F193&amp;"R",CK192))))</f>
        <v>bP</v>
      </c>
      <c r="CL193" s="11" t="str">
        <f aca="false">IF($P193=0,CL192,IF(CL$3=$E193,IF($AA193=1,$F193&amp;$AB193,$G193),IF(OR(CL$3=$D193,CL$3=$AC193,CL$3=$AE193),"",IF(CL$3=$AD193,$F193&amp;"R",CL192))))</f>
        <v>bR</v>
      </c>
      <c r="CM193" s="11" t="str">
        <f aca="false">IF($P193=0,CM192,IF(CM$3=$E193,IF($AA193=1,$F193&amp;$AB193,$G193),IF(OR(CM$3=$D193,CM$3=$AC193,CM$3=$AE193),"",IF(CM$3=$AD193,$F193&amp;"R",CM192))))</f>
        <v>bN</v>
      </c>
      <c r="CN193" s="11" t="str">
        <f aca="false">IF($P193=0,CN192,IF(CN$3=$E193,IF($AA193=1,$F193&amp;$AB193,$G193),IF(OR(CN$3=$D193,CN$3=$AC193,CN$3=$AE193),"",IF(CN$3=$AD193,$F193&amp;"R",CN192))))</f>
        <v>bB</v>
      </c>
      <c r="CO193" s="11" t="str">
        <f aca="false">IF($P193=0,CO192,IF(CO$3=$E193,IF($AA193=1,$F193&amp;$AB193,$G193),IF(OR(CO$3=$D193,CO$3=$AC193,CO$3=$AE193),"",IF(CO$3=$AD193,$F193&amp;"R",CO192))))</f>
        <v>bQ</v>
      </c>
      <c r="CP193" s="11" t="str">
        <f aca="false">IF($P193=0,CP192,IF(CP$3=$E193,IF($AA193=1,$F193&amp;$AB193,$G193),IF(OR(CP$3=$D193,CP$3=$AC193,CP$3=$AE193),"",IF(CP$3=$AD193,$F193&amp;"R",CP192))))</f>
        <v>bK</v>
      </c>
      <c r="CQ193" s="11" t="str">
        <f aca="false">IF($P193=0,CQ192,IF(CQ$3=$E193,IF($AA193=1,$F193&amp;$AB193,$G193),IF(OR(CQ$3=$D193,CQ$3=$AC193,CQ$3=$AE193),"",IF(CQ$3=$AD193,$F193&amp;"R",CQ192))))</f>
        <v>bB</v>
      </c>
      <c r="CR193" s="11" t="str">
        <f aca="false">IF($P193=0,CR192,IF(CR$3=$E193,IF($AA193=1,$F193&amp;$AB193,$G193),IF(OR(CR$3=$D193,CR$3=$AC193,CR$3=$AE193),"",IF(CR$3=$AD193,$F193&amp;"R",CR192))))</f>
        <v>bN</v>
      </c>
      <c r="CS193" s="11" t="str">
        <f aca="false">IF($P193=0,CS192,IF(CS$3=$E193,IF($AA193=1,$F193&amp;$AB193,$G193),IF(OR(CS$3=$D193,CS$3=$AC193,CS$3=$AE193),"",IF(CS$3=$AD193,$F193&amp;"R",CS192))))</f>
        <v>bR</v>
      </c>
      <c r="CT193" s="11"/>
      <c r="CU193" s="11"/>
      <c r="CV193" s="11"/>
    </row>
    <row r="194" customFormat="false" ht="15" hidden="false" customHeight="false" outlineLevel="0" collapsed="false">
      <c r="A194" s="11" t="n">
        <v>189</v>
      </c>
      <c r="B194" s="11" t="str">
        <f aca="false">IF(Chess!$L$198="","",Chess!$L$198&amp;"")</f>
        <v/>
      </c>
      <c r="C194" s="11" t="str">
        <f aca="false">LOWER(SUBSTITUTE(SUBSTITUTE(SUBSTITUTE(SUBSTITUTE(TRIM($B194),"-",""),"=","")," ",""),"x",""))</f>
        <v/>
      </c>
      <c r="D194" s="11" t="n">
        <f aca="false">IF(LEN($C194)&lt;4,0,IFERROR(IF(AND(CODE(MID($C194,1,1))&gt;=97,CODE(MID($C194,1,1))&lt;=104,VALUE(MID($C194,2,1))&gt;=1,VALUE(MID($C194,2,1))&lt;=8),(VALUE(MID($C194,2,1))-1)*8+CODE(MID($C194,1,1))-96,0),0))</f>
        <v>0</v>
      </c>
      <c r="E194" s="11" t="n">
        <f aca="false">IF(LEN($C194)&lt;4,0,IFERROR(IF(AND(CODE(MID($C194,3,1))&gt;=97,CODE(MID($C194,3,1))&lt;=104,VALUE(MID($C194,4,1))&gt;=1,VALUE(MID($C194,4,1))&lt;=8),(VALUE(MID($C194,4,1))-1)*8+CODE(MID($C194,3,1))-96,0),0))</f>
        <v>0</v>
      </c>
      <c r="F194" s="11" t="str">
        <f aca="false">IF(MOD(SUM($P$5:$P193),2)=0,"w","b")</f>
        <v>w</v>
      </c>
      <c r="G194" s="11" t="str">
        <f aca="false">IF($D194=0,"",INDEX($AH193:$CS193,1,$D194)&amp;"")</f>
        <v/>
      </c>
      <c r="H194" s="11" t="str">
        <f aca="false">IF($E194=0,"",INDEX($AH193:$CS193,1,$E194)&amp;"")</f>
        <v/>
      </c>
      <c r="I194" s="11" t="n">
        <f aca="false">IF(OR($D194=0,$E194=0),0,MOD($E194-1,8)-MOD($D194-1,8))</f>
        <v>0</v>
      </c>
      <c r="J194" s="11" t="n">
        <f aca="false">IF(OR($D194=0,$E194=0),0,INT(($E194-1)/8)-INT(($D194-1)/8))</f>
        <v>0</v>
      </c>
      <c r="K194" s="11" t="str">
        <f aca="false">IF($G194="","",RIGHT($G194,1))</f>
        <v/>
      </c>
      <c r="L194" s="11" t="n">
        <f aca="false">IF(OR($D194=0,$E194=0),0,SUMPRODUCT(($AH$3:$CS$3&gt;MIN($D194,$E194))*($AH$3:$CS$3&lt;MAX($D194,$E194))*(MOD($AH$3:$CS$3-MIN($D194,$E194),MAX(1,ABS(SIGN($J194)*8+SIGN($I194))))=0)*($AH193:$CS193&lt;&gt;"")))</f>
        <v>0</v>
      </c>
      <c r="M194" s="11" t="n">
        <f aca="false">IF($K194&lt;&gt;"K",0,IFERROR(--AND($J194=0,ABS($I194)=2,$D194=IF($F194="w",5,61),IF($F194="w",$S193,$V193)=0,IF($I194=2,AND(IF($F194="w",$U193,$X193)=0,INDEX($AH193:$CS193,1,$D194+1)&amp;""="",INDEX($AH193:$CS193,1,$D194+2)&amp;""=""),AND(IF($F194="w",$T193,$W193)=0,INDEX($AH193:$CS193,1,$D194-1)&amp;""="",INDEX($AH193:$CS193,1,$D194-2)&amp;""="",INDEX($AH193:$CS193,1,$D194-3)&amp;""=""))),0))</f>
        <v>0</v>
      </c>
      <c r="N194" s="11" t="n">
        <f aca="false">IF($K194&lt;&gt;"P",0,IFERROR(--OR(AND($I194=0,$J194=IF($F194="w",1,-1),$H194=""),AND($I194=0,$J194=2*IF($F194="w",1,-1),$H194="",INT(($D194-1)/8)=IF($F194="w",1,6),INDEX($AH193:$CS193,1,MAX(1,MIN(64,$D194+8*IF($F194="w",1,-1))))&amp;""=""),AND(ABS($I194)=1,$J194=IF($F194="w",1,-1),$H194&lt;&gt;""),AND(ABS($I194)=1,$J194=IF($F194="w",1,-1),$H194="",$R193&gt;0,$E194=$R193)),0))</f>
        <v>0</v>
      </c>
      <c r="O194" s="11" t="n">
        <f aca="false">IF(OR($D194=0,$E194=0,$G194=""),0,IF($K194="N",--OR(AND(ABS($I194)=1,ABS($J194)=2),AND(ABS($I194)=2,ABS($J194)=1)),IF($K194="B",--AND(ABS($I194)=ABS($J194),$I194&lt;&gt;0,$L194=0),IF($K194="R",--AND(OR($I194=0,$J194=0),OR($I194&lt;&gt;0,$J194&lt;&gt;0),$L194=0),IF($K194="Q",--AND(OR(AND(ABS($I194)=ABS($J194),$I194&lt;&gt;0),AND(OR($I194=0,$J194=0),OR($I194&lt;&gt;0,$J194&lt;&gt;0))),$L194=0),IF($K194="K",--OR(MAX(ABS($I194),ABS($J194))=1,$M194=1),$N194))))))</f>
        <v>0</v>
      </c>
      <c r="P194" s="11" t="n">
        <f aca="false">IF($Q194="OK",1,0)</f>
        <v>0</v>
      </c>
      <c r="Q194" s="11" t="str">
        <f aca="false">IF($B194="","",IF(OR(COUNTIF($AH193:$CS193,"wK")=0,COUNTIF($AH193:$CS193,"bK")=0),"Game is over",IF(OR($D194=0,$E194=0),"Use the format e2e4",IF($G194="","No piece on that square",IF(LEFT($G194,1)&lt;&gt;$F194,"Not your piece ("&amp;IF($F194="w","White","Black")&amp;" to move)",IF($D194=$E194,"Piece must move",IF(AND($H194&lt;&gt;"",LEFT($H194,1)=$F194),"Cannot capture your own piece",IF($O194=0,"Illegal move for that piece (or path blocked)","OK"))))))))</f>
        <v/>
      </c>
      <c r="R194" s="11" t="n">
        <f aca="false">IF($P194=1,IF(AND($K194="P",ABS($J194)=2),($D194+$E194)/2,0),$R193)</f>
        <v>0</v>
      </c>
      <c r="S194" s="12" t="b">
        <f aca="false">--OR($S193=1,AND($P194=1,OR($D194=5,$E194=5)))</f>
        <v>0</v>
      </c>
      <c r="T194" s="12" t="b">
        <f aca="false">--OR($T193=1,AND($P194=1,OR($D194=1,$E194=1)))</f>
        <v>0</v>
      </c>
      <c r="U194" s="12" t="b">
        <f aca="false">--OR($U193=1,AND($P194=1,OR($D194=8,$E194=8)))</f>
        <v>0</v>
      </c>
      <c r="V194" s="12" t="b">
        <f aca="false">--OR($V193=1,AND($P194=1,OR($D194=61,$E194=61)))</f>
        <v>0</v>
      </c>
      <c r="W194" s="12" t="b">
        <f aca="false">--OR($W193=1,AND($P194=1,OR($D194=57,$E194=57)))</f>
        <v>0</v>
      </c>
      <c r="X194" s="12" t="b">
        <f aca="false">--OR($X193=1,AND($P194=1,OR($D194=64,$E194=64)))</f>
        <v>0</v>
      </c>
      <c r="Y194" s="12" t="b">
        <f aca="false">--AND($P194=1,$K194="K",ABS($I194)=2)</f>
        <v>0</v>
      </c>
      <c r="Z194" s="12" t="b">
        <f aca="false">--AND($P194=1,$K194="P",ABS($I194)=1,$H194="")</f>
        <v>0</v>
      </c>
      <c r="AA194" s="12" t="b">
        <f aca="false">--AND($P194=1,$K194="P",INT(($E194-1)/8)=IF($F194="w",7,0))</f>
        <v>0</v>
      </c>
      <c r="AB194" s="11" t="str">
        <f aca="false">IF(LEN($C194)&gt;=5,IF(ISNUMBER(FIND(MID($C194,5,1),"qrbn")),UPPER(MID($C194,5,1)),"Q"),"Q")</f>
        <v>Q</v>
      </c>
      <c r="AC194" s="11" t="n">
        <f aca="false">IF($Y194=1,IF($I194=2,$D194+3,$D194-4),0)</f>
        <v>0</v>
      </c>
      <c r="AD194" s="11" t="n">
        <f aca="false">IF($Y194=1,IF($I194=2,$D194+1,$D194-1),0)</f>
        <v>0</v>
      </c>
      <c r="AE194" s="11" t="n">
        <f aca="false">IF($Z194=1,$E194-8*IF($F194="w",1,-1),0)</f>
        <v>0</v>
      </c>
      <c r="AF194" s="11" t="str">
        <f aca="false">IF($B194="","",IF($P194=1,LOWER(INDEX($CV$2:$CV$13,MATCH($G194,$CU$2:$CU$13,0)))&amp;" "&amp;MID("abcdefgh",MOD($D194-1,8)+1,1)&amp;(INT(($D194-1)/8)+1)&amp;"→"&amp;MID("abcdefgh",MOD($E194-1,8)+1,1)&amp;(INT(($E194-1)/8)+1)&amp;IF(OR($H194&lt;&gt;"",$Z194=1)," ×","")&amp;IF($Y194=1," castles","")&amp;IF($Z194=1," e.p.","")&amp;IF($AA194=1," =" &amp;LOWER(INDEX($CV$2:$CV$13,MATCH($F194&amp;$AB194,$CU$2:$CU$13,0))),""),"X "&amp;$Q194))</f>
        <v/>
      </c>
      <c r="AG194" s="11"/>
      <c r="AH194" s="11" t="str">
        <f aca="false">IF($P194=0,AH193,IF(AH$3=$E194,IF($AA194=1,$F194&amp;$AB194,$G194),IF(OR(AH$3=$D194,AH$3=$AC194,AH$3=$AE194),"",IF(AH$3=$AD194,$F194&amp;"R",AH193))))</f>
        <v>wR</v>
      </c>
      <c r="AI194" s="11" t="str">
        <f aca="false">IF($P194=0,AI193,IF(AI$3=$E194,IF($AA194=1,$F194&amp;$AB194,$G194),IF(OR(AI$3=$D194,AI$3=$AC194,AI$3=$AE194),"",IF(AI$3=$AD194,$F194&amp;"R",AI193))))</f>
        <v>wN</v>
      </c>
      <c r="AJ194" s="11" t="str">
        <f aca="false">IF($P194=0,AJ193,IF(AJ$3=$E194,IF($AA194=1,$F194&amp;$AB194,$G194),IF(OR(AJ$3=$D194,AJ$3=$AC194,AJ$3=$AE194),"",IF(AJ$3=$AD194,$F194&amp;"R",AJ193))))</f>
        <v>wB</v>
      </c>
      <c r="AK194" s="11" t="str">
        <f aca="false">IF($P194=0,AK193,IF(AK$3=$E194,IF($AA194=1,$F194&amp;$AB194,$G194),IF(OR(AK$3=$D194,AK$3=$AC194,AK$3=$AE194),"",IF(AK$3=$AD194,$F194&amp;"R",AK193))))</f>
        <v>wQ</v>
      </c>
      <c r="AL194" s="11" t="str">
        <f aca="false">IF($P194=0,AL193,IF(AL$3=$E194,IF($AA194=1,$F194&amp;$AB194,$G194),IF(OR(AL$3=$D194,AL$3=$AC194,AL$3=$AE194),"",IF(AL$3=$AD194,$F194&amp;"R",AL193))))</f>
        <v>wK</v>
      </c>
      <c r="AM194" s="11" t="str">
        <f aca="false">IF($P194=0,AM193,IF(AM$3=$E194,IF($AA194=1,$F194&amp;$AB194,$G194),IF(OR(AM$3=$D194,AM$3=$AC194,AM$3=$AE194),"",IF(AM$3=$AD194,$F194&amp;"R",AM193))))</f>
        <v>wB</v>
      </c>
      <c r="AN194" s="11" t="str">
        <f aca="false">IF($P194=0,AN193,IF(AN$3=$E194,IF($AA194=1,$F194&amp;$AB194,$G194),IF(OR(AN$3=$D194,AN$3=$AC194,AN$3=$AE194),"",IF(AN$3=$AD194,$F194&amp;"R",AN193))))</f>
        <v>wN</v>
      </c>
      <c r="AO194" s="11" t="str">
        <f aca="false">IF($P194=0,AO193,IF(AO$3=$E194,IF($AA194=1,$F194&amp;$AB194,$G194),IF(OR(AO$3=$D194,AO$3=$AC194,AO$3=$AE194),"",IF(AO$3=$AD194,$F194&amp;"R",AO193))))</f>
        <v>wR</v>
      </c>
      <c r="AP194" s="11" t="str">
        <f aca="false">IF($P194=0,AP193,IF(AP$3=$E194,IF($AA194=1,$F194&amp;$AB194,$G194),IF(OR(AP$3=$D194,AP$3=$AC194,AP$3=$AE194),"",IF(AP$3=$AD194,$F194&amp;"R",AP193))))</f>
        <v>wP</v>
      </c>
      <c r="AQ194" s="11" t="str">
        <f aca="false">IF($P194=0,AQ193,IF(AQ$3=$E194,IF($AA194=1,$F194&amp;$AB194,$G194),IF(OR(AQ$3=$D194,AQ$3=$AC194,AQ$3=$AE194),"",IF(AQ$3=$AD194,$F194&amp;"R",AQ193))))</f>
        <v>wP</v>
      </c>
      <c r="AR194" s="11" t="str">
        <f aca="false">IF($P194=0,AR193,IF(AR$3=$E194,IF($AA194=1,$F194&amp;$AB194,$G194),IF(OR(AR$3=$D194,AR$3=$AC194,AR$3=$AE194),"",IF(AR$3=$AD194,$F194&amp;"R",AR193))))</f>
        <v>wP</v>
      </c>
      <c r="AS194" s="11" t="str">
        <f aca="false">IF($P194=0,AS193,IF(AS$3=$E194,IF($AA194=1,$F194&amp;$AB194,$G194),IF(OR(AS$3=$D194,AS$3=$AC194,AS$3=$AE194),"",IF(AS$3=$AD194,$F194&amp;"R",AS193))))</f>
        <v>wP</v>
      </c>
      <c r="AT194" s="11" t="str">
        <f aca="false">IF($P194=0,AT193,IF(AT$3=$E194,IF($AA194=1,$F194&amp;$AB194,$G194),IF(OR(AT$3=$D194,AT$3=$AC194,AT$3=$AE194),"",IF(AT$3=$AD194,$F194&amp;"R",AT193))))</f>
        <v>wP</v>
      </c>
      <c r="AU194" s="11" t="str">
        <f aca="false">IF($P194=0,AU193,IF(AU$3=$E194,IF($AA194=1,$F194&amp;$AB194,$G194),IF(OR(AU$3=$D194,AU$3=$AC194,AU$3=$AE194),"",IF(AU$3=$AD194,$F194&amp;"R",AU193))))</f>
        <v>wP</v>
      </c>
      <c r="AV194" s="11" t="str">
        <f aca="false">IF($P194=0,AV193,IF(AV$3=$E194,IF($AA194=1,$F194&amp;$AB194,$G194),IF(OR(AV$3=$D194,AV$3=$AC194,AV$3=$AE194),"",IF(AV$3=$AD194,$F194&amp;"R",AV193))))</f>
        <v>wP</v>
      </c>
      <c r="AW194" s="11" t="str">
        <f aca="false">IF($P194=0,AW193,IF(AW$3=$E194,IF($AA194=1,$F194&amp;$AB194,$G194),IF(OR(AW$3=$D194,AW$3=$AC194,AW$3=$AE194),"",IF(AW$3=$AD194,$F194&amp;"R",AW193))))</f>
        <v>wP</v>
      </c>
      <c r="AX194" s="11" t="str">
        <f aca="false">IF($P194=0,AX193,IF(AX$3=$E194,IF($AA194=1,$F194&amp;$AB194,$G194),IF(OR(AX$3=$D194,AX$3=$AC194,AX$3=$AE194),"",IF(AX$3=$AD194,$F194&amp;"R",AX193))))</f>
        <v/>
      </c>
      <c r="AY194" s="11" t="str">
        <f aca="false">IF($P194=0,AY193,IF(AY$3=$E194,IF($AA194=1,$F194&amp;$AB194,$G194),IF(OR(AY$3=$D194,AY$3=$AC194,AY$3=$AE194),"",IF(AY$3=$AD194,$F194&amp;"R",AY193))))</f>
        <v/>
      </c>
      <c r="AZ194" s="11" t="str">
        <f aca="false">IF($P194=0,AZ193,IF(AZ$3=$E194,IF($AA194=1,$F194&amp;$AB194,$G194),IF(OR(AZ$3=$D194,AZ$3=$AC194,AZ$3=$AE194),"",IF(AZ$3=$AD194,$F194&amp;"R",AZ193))))</f>
        <v/>
      </c>
      <c r="BA194" s="11" t="str">
        <f aca="false">IF($P194=0,BA193,IF(BA$3=$E194,IF($AA194=1,$F194&amp;$AB194,$G194),IF(OR(BA$3=$D194,BA$3=$AC194,BA$3=$AE194),"",IF(BA$3=$AD194,$F194&amp;"R",BA193))))</f>
        <v/>
      </c>
      <c r="BB194" s="11" t="str">
        <f aca="false">IF($P194=0,BB193,IF(BB$3=$E194,IF($AA194=1,$F194&amp;$AB194,$G194),IF(OR(BB$3=$D194,BB$3=$AC194,BB$3=$AE194),"",IF(BB$3=$AD194,$F194&amp;"R",BB193))))</f>
        <v/>
      </c>
      <c r="BC194" s="11" t="str">
        <f aca="false">IF($P194=0,BC193,IF(BC$3=$E194,IF($AA194=1,$F194&amp;$AB194,$G194),IF(OR(BC$3=$D194,BC$3=$AC194,BC$3=$AE194),"",IF(BC$3=$AD194,$F194&amp;"R",BC193))))</f>
        <v/>
      </c>
      <c r="BD194" s="11" t="str">
        <f aca="false">IF($P194=0,BD193,IF(BD$3=$E194,IF($AA194=1,$F194&amp;$AB194,$G194),IF(OR(BD$3=$D194,BD$3=$AC194,BD$3=$AE194),"",IF(BD$3=$AD194,$F194&amp;"R",BD193))))</f>
        <v/>
      </c>
      <c r="BE194" s="11" t="str">
        <f aca="false">IF($P194=0,BE193,IF(BE$3=$E194,IF($AA194=1,$F194&amp;$AB194,$G194),IF(OR(BE$3=$D194,BE$3=$AC194,BE$3=$AE194),"",IF(BE$3=$AD194,$F194&amp;"R",BE193))))</f>
        <v/>
      </c>
      <c r="BF194" s="11" t="str">
        <f aca="false">IF($P194=0,BF193,IF(BF$3=$E194,IF($AA194=1,$F194&amp;$AB194,$G194),IF(OR(BF$3=$D194,BF$3=$AC194,BF$3=$AE194),"",IF(BF$3=$AD194,$F194&amp;"R",BF193))))</f>
        <v/>
      </c>
      <c r="BG194" s="11" t="str">
        <f aca="false">IF($P194=0,BG193,IF(BG$3=$E194,IF($AA194=1,$F194&amp;$AB194,$G194),IF(OR(BG$3=$D194,BG$3=$AC194,BG$3=$AE194),"",IF(BG$3=$AD194,$F194&amp;"R",BG193))))</f>
        <v/>
      </c>
      <c r="BH194" s="11" t="str">
        <f aca="false">IF($P194=0,BH193,IF(BH$3=$E194,IF($AA194=1,$F194&amp;$AB194,$G194),IF(OR(BH$3=$D194,BH$3=$AC194,BH$3=$AE194),"",IF(BH$3=$AD194,$F194&amp;"R",BH193))))</f>
        <v/>
      </c>
      <c r="BI194" s="11" t="str">
        <f aca="false">IF($P194=0,BI193,IF(BI$3=$E194,IF($AA194=1,$F194&amp;$AB194,$G194),IF(OR(BI$3=$D194,BI$3=$AC194,BI$3=$AE194),"",IF(BI$3=$AD194,$F194&amp;"R",BI193))))</f>
        <v/>
      </c>
      <c r="BJ194" s="11" t="str">
        <f aca="false">IF($P194=0,BJ193,IF(BJ$3=$E194,IF($AA194=1,$F194&amp;$AB194,$G194),IF(OR(BJ$3=$D194,BJ$3=$AC194,BJ$3=$AE194),"",IF(BJ$3=$AD194,$F194&amp;"R",BJ193))))</f>
        <v/>
      </c>
      <c r="BK194" s="11" t="str">
        <f aca="false">IF($P194=0,BK193,IF(BK$3=$E194,IF($AA194=1,$F194&amp;$AB194,$G194),IF(OR(BK$3=$D194,BK$3=$AC194,BK$3=$AE194),"",IF(BK$3=$AD194,$F194&amp;"R",BK193))))</f>
        <v/>
      </c>
      <c r="BL194" s="11" t="str">
        <f aca="false">IF($P194=0,BL193,IF(BL$3=$E194,IF($AA194=1,$F194&amp;$AB194,$G194),IF(OR(BL$3=$D194,BL$3=$AC194,BL$3=$AE194),"",IF(BL$3=$AD194,$F194&amp;"R",BL193))))</f>
        <v/>
      </c>
      <c r="BM194" s="11" t="str">
        <f aca="false">IF($P194=0,BM193,IF(BM$3=$E194,IF($AA194=1,$F194&amp;$AB194,$G194),IF(OR(BM$3=$D194,BM$3=$AC194,BM$3=$AE194),"",IF(BM$3=$AD194,$F194&amp;"R",BM193))))</f>
        <v/>
      </c>
      <c r="BN194" s="11" t="str">
        <f aca="false">IF($P194=0,BN193,IF(BN$3=$E194,IF($AA194=1,$F194&amp;$AB194,$G194),IF(OR(BN$3=$D194,BN$3=$AC194,BN$3=$AE194),"",IF(BN$3=$AD194,$F194&amp;"R",BN193))))</f>
        <v/>
      </c>
      <c r="BO194" s="11" t="str">
        <f aca="false">IF($P194=0,BO193,IF(BO$3=$E194,IF($AA194=1,$F194&amp;$AB194,$G194),IF(OR(BO$3=$D194,BO$3=$AC194,BO$3=$AE194),"",IF(BO$3=$AD194,$F194&amp;"R",BO193))))</f>
        <v/>
      </c>
      <c r="BP194" s="11" t="str">
        <f aca="false">IF($P194=0,BP193,IF(BP$3=$E194,IF($AA194=1,$F194&amp;$AB194,$G194),IF(OR(BP$3=$D194,BP$3=$AC194,BP$3=$AE194),"",IF(BP$3=$AD194,$F194&amp;"R",BP193))))</f>
        <v/>
      </c>
      <c r="BQ194" s="11" t="str">
        <f aca="false">IF($P194=0,BQ193,IF(BQ$3=$E194,IF($AA194=1,$F194&amp;$AB194,$G194),IF(OR(BQ$3=$D194,BQ$3=$AC194,BQ$3=$AE194),"",IF(BQ$3=$AD194,$F194&amp;"R",BQ193))))</f>
        <v/>
      </c>
      <c r="BR194" s="11" t="str">
        <f aca="false">IF($P194=0,BR193,IF(BR$3=$E194,IF($AA194=1,$F194&amp;$AB194,$G194),IF(OR(BR$3=$D194,BR$3=$AC194,BR$3=$AE194),"",IF(BR$3=$AD194,$F194&amp;"R",BR193))))</f>
        <v/>
      </c>
      <c r="BS194" s="11" t="str">
        <f aca="false">IF($P194=0,BS193,IF(BS$3=$E194,IF($AA194=1,$F194&amp;$AB194,$G194),IF(OR(BS$3=$D194,BS$3=$AC194,BS$3=$AE194),"",IF(BS$3=$AD194,$F194&amp;"R",BS193))))</f>
        <v/>
      </c>
      <c r="BT194" s="11" t="str">
        <f aca="false">IF($P194=0,BT193,IF(BT$3=$E194,IF($AA194=1,$F194&amp;$AB194,$G194),IF(OR(BT$3=$D194,BT$3=$AC194,BT$3=$AE194),"",IF(BT$3=$AD194,$F194&amp;"R",BT193))))</f>
        <v/>
      </c>
      <c r="BU194" s="11" t="str">
        <f aca="false">IF($P194=0,BU193,IF(BU$3=$E194,IF($AA194=1,$F194&amp;$AB194,$G194),IF(OR(BU$3=$D194,BU$3=$AC194,BU$3=$AE194),"",IF(BU$3=$AD194,$F194&amp;"R",BU193))))</f>
        <v/>
      </c>
      <c r="BV194" s="11" t="str">
        <f aca="false">IF($P194=0,BV193,IF(BV$3=$E194,IF($AA194=1,$F194&amp;$AB194,$G194),IF(OR(BV$3=$D194,BV$3=$AC194,BV$3=$AE194),"",IF(BV$3=$AD194,$F194&amp;"R",BV193))))</f>
        <v/>
      </c>
      <c r="BW194" s="11" t="str">
        <f aca="false">IF($P194=0,BW193,IF(BW$3=$E194,IF($AA194=1,$F194&amp;$AB194,$G194),IF(OR(BW$3=$D194,BW$3=$AC194,BW$3=$AE194),"",IF(BW$3=$AD194,$F194&amp;"R",BW193))))</f>
        <v/>
      </c>
      <c r="BX194" s="11" t="str">
        <f aca="false">IF($P194=0,BX193,IF(BX$3=$E194,IF($AA194=1,$F194&amp;$AB194,$G194),IF(OR(BX$3=$D194,BX$3=$AC194,BX$3=$AE194),"",IF(BX$3=$AD194,$F194&amp;"R",BX193))))</f>
        <v/>
      </c>
      <c r="BY194" s="11" t="str">
        <f aca="false">IF($P194=0,BY193,IF(BY$3=$E194,IF($AA194=1,$F194&amp;$AB194,$G194),IF(OR(BY$3=$D194,BY$3=$AC194,BY$3=$AE194),"",IF(BY$3=$AD194,$F194&amp;"R",BY193))))</f>
        <v/>
      </c>
      <c r="BZ194" s="11" t="str">
        <f aca="false">IF($P194=0,BZ193,IF(BZ$3=$E194,IF($AA194=1,$F194&amp;$AB194,$G194),IF(OR(BZ$3=$D194,BZ$3=$AC194,BZ$3=$AE194),"",IF(BZ$3=$AD194,$F194&amp;"R",BZ193))))</f>
        <v/>
      </c>
      <c r="CA194" s="11" t="str">
        <f aca="false">IF($P194=0,CA193,IF(CA$3=$E194,IF($AA194=1,$F194&amp;$AB194,$G194),IF(OR(CA$3=$D194,CA$3=$AC194,CA$3=$AE194),"",IF(CA$3=$AD194,$F194&amp;"R",CA193))))</f>
        <v/>
      </c>
      <c r="CB194" s="11" t="str">
        <f aca="false">IF($P194=0,CB193,IF(CB$3=$E194,IF($AA194=1,$F194&amp;$AB194,$G194),IF(OR(CB$3=$D194,CB$3=$AC194,CB$3=$AE194),"",IF(CB$3=$AD194,$F194&amp;"R",CB193))))</f>
        <v/>
      </c>
      <c r="CC194" s="11" t="str">
        <f aca="false">IF($P194=0,CC193,IF(CC$3=$E194,IF($AA194=1,$F194&amp;$AB194,$G194),IF(OR(CC$3=$D194,CC$3=$AC194,CC$3=$AE194),"",IF(CC$3=$AD194,$F194&amp;"R",CC193))))</f>
        <v/>
      </c>
      <c r="CD194" s="11" t="str">
        <f aca="false">IF($P194=0,CD193,IF(CD$3=$E194,IF($AA194=1,$F194&amp;$AB194,$G194),IF(OR(CD$3=$D194,CD$3=$AC194,CD$3=$AE194),"",IF(CD$3=$AD194,$F194&amp;"R",CD193))))</f>
        <v>bP</v>
      </c>
      <c r="CE194" s="11" t="str">
        <f aca="false">IF($P194=0,CE193,IF(CE$3=$E194,IF($AA194=1,$F194&amp;$AB194,$G194),IF(OR(CE$3=$D194,CE$3=$AC194,CE$3=$AE194),"",IF(CE$3=$AD194,$F194&amp;"R",CE193))))</f>
        <v>bP</v>
      </c>
      <c r="CF194" s="11" t="str">
        <f aca="false">IF($P194=0,CF193,IF(CF$3=$E194,IF($AA194=1,$F194&amp;$AB194,$G194),IF(OR(CF$3=$D194,CF$3=$AC194,CF$3=$AE194),"",IF(CF$3=$AD194,$F194&amp;"R",CF193))))</f>
        <v>bP</v>
      </c>
      <c r="CG194" s="11" t="str">
        <f aca="false">IF($P194=0,CG193,IF(CG$3=$E194,IF($AA194=1,$F194&amp;$AB194,$G194),IF(OR(CG$3=$D194,CG$3=$AC194,CG$3=$AE194),"",IF(CG$3=$AD194,$F194&amp;"R",CG193))))</f>
        <v>bP</v>
      </c>
      <c r="CH194" s="11" t="str">
        <f aca="false">IF($P194=0,CH193,IF(CH$3=$E194,IF($AA194=1,$F194&amp;$AB194,$G194),IF(OR(CH$3=$D194,CH$3=$AC194,CH$3=$AE194),"",IF(CH$3=$AD194,$F194&amp;"R",CH193))))</f>
        <v>bP</v>
      </c>
      <c r="CI194" s="11" t="str">
        <f aca="false">IF($P194=0,CI193,IF(CI$3=$E194,IF($AA194=1,$F194&amp;$AB194,$G194),IF(OR(CI$3=$D194,CI$3=$AC194,CI$3=$AE194),"",IF(CI$3=$AD194,$F194&amp;"R",CI193))))</f>
        <v>bP</v>
      </c>
      <c r="CJ194" s="11" t="str">
        <f aca="false">IF($P194=0,CJ193,IF(CJ$3=$E194,IF($AA194=1,$F194&amp;$AB194,$G194),IF(OR(CJ$3=$D194,CJ$3=$AC194,CJ$3=$AE194),"",IF(CJ$3=$AD194,$F194&amp;"R",CJ193))))</f>
        <v>bP</v>
      </c>
      <c r="CK194" s="11" t="str">
        <f aca="false">IF($P194=0,CK193,IF(CK$3=$E194,IF($AA194=1,$F194&amp;$AB194,$G194),IF(OR(CK$3=$D194,CK$3=$AC194,CK$3=$AE194),"",IF(CK$3=$AD194,$F194&amp;"R",CK193))))</f>
        <v>bP</v>
      </c>
      <c r="CL194" s="11" t="str">
        <f aca="false">IF($P194=0,CL193,IF(CL$3=$E194,IF($AA194=1,$F194&amp;$AB194,$G194),IF(OR(CL$3=$D194,CL$3=$AC194,CL$3=$AE194),"",IF(CL$3=$AD194,$F194&amp;"R",CL193))))</f>
        <v>bR</v>
      </c>
      <c r="CM194" s="11" t="str">
        <f aca="false">IF($P194=0,CM193,IF(CM$3=$E194,IF($AA194=1,$F194&amp;$AB194,$G194),IF(OR(CM$3=$D194,CM$3=$AC194,CM$3=$AE194),"",IF(CM$3=$AD194,$F194&amp;"R",CM193))))</f>
        <v>bN</v>
      </c>
      <c r="CN194" s="11" t="str">
        <f aca="false">IF($P194=0,CN193,IF(CN$3=$E194,IF($AA194=1,$F194&amp;$AB194,$G194),IF(OR(CN$3=$D194,CN$3=$AC194,CN$3=$AE194),"",IF(CN$3=$AD194,$F194&amp;"R",CN193))))</f>
        <v>bB</v>
      </c>
      <c r="CO194" s="11" t="str">
        <f aca="false">IF($P194=0,CO193,IF(CO$3=$E194,IF($AA194=1,$F194&amp;$AB194,$G194),IF(OR(CO$3=$D194,CO$3=$AC194,CO$3=$AE194),"",IF(CO$3=$AD194,$F194&amp;"R",CO193))))</f>
        <v>bQ</v>
      </c>
      <c r="CP194" s="11" t="str">
        <f aca="false">IF($P194=0,CP193,IF(CP$3=$E194,IF($AA194=1,$F194&amp;$AB194,$G194),IF(OR(CP$3=$D194,CP$3=$AC194,CP$3=$AE194),"",IF(CP$3=$AD194,$F194&amp;"R",CP193))))</f>
        <v>bK</v>
      </c>
      <c r="CQ194" s="11" t="str">
        <f aca="false">IF($P194=0,CQ193,IF(CQ$3=$E194,IF($AA194=1,$F194&amp;$AB194,$G194),IF(OR(CQ$3=$D194,CQ$3=$AC194,CQ$3=$AE194),"",IF(CQ$3=$AD194,$F194&amp;"R",CQ193))))</f>
        <v>bB</v>
      </c>
      <c r="CR194" s="11" t="str">
        <f aca="false">IF($P194=0,CR193,IF(CR$3=$E194,IF($AA194=1,$F194&amp;$AB194,$G194),IF(OR(CR$3=$D194,CR$3=$AC194,CR$3=$AE194),"",IF(CR$3=$AD194,$F194&amp;"R",CR193))))</f>
        <v>bN</v>
      </c>
      <c r="CS194" s="11" t="str">
        <f aca="false">IF($P194=0,CS193,IF(CS$3=$E194,IF($AA194=1,$F194&amp;$AB194,$G194),IF(OR(CS$3=$D194,CS$3=$AC194,CS$3=$AE194),"",IF(CS$3=$AD194,$F194&amp;"R",CS193))))</f>
        <v>bR</v>
      </c>
      <c r="CT194" s="11"/>
      <c r="CU194" s="11"/>
      <c r="CV194" s="11"/>
    </row>
    <row r="195" customFormat="false" ht="15" hidden="false" customHeight="false" outlineLevel="0" collapsed="false">
      <c r="A195" s="11" t="n">
        <v>190</v>
      </c>
      <c r="B195" s="11" t="str">
        <f aca="false">IF(Chess!$L$199="","",Chess!$L$199&amp;"")</f>
        <v/>
      </c>
      <c r="C195" s="11" t="str">
        <f aca="false">LOWER(SUBSTITUTE(SUBSTITUTE(SUBSTITUTE(SUBSTITUTE(TRIM($B195),"-",""),"=","")," ",""),"x",""))</f>
        <v/>
      </c>
      <c r="D195" s="11" t="n">
        <f aca="false">IF(LEN($C195)&lt;4,0,IFERROR(IF(AND(CODE(MID($C195,1,1))&gt;=97,CODE(MID($C195,1,1))&lt;=104,VALUE(MID($C195,2,1))&gt;=1,VALUE(MID($C195,2,1))&lt;=8),(VALUE(MID($C195,2,1))-1)*8+CODE(MID($C195,1,1))-96,0),0))</f>
        <v>0</v>
      </c>
      <c r="E195" s="11" t="n">
        <f aca="false">IF(LEN($C195)&lt;4,0,IFERROR(IF(AND(CODE(MID($C195,3,1))&gt;=97,CODE(MID($C195,3,1))&lt;=104,VALUE(MID($C195,4,1))&gt;=1,VALUE(MID($C195,4,1))&lt;=8),(VALUE(MID($C195,4,1))-1)*8+CODE(MID($C195,3,1))-96,0),0))</f>
        <v>0</v>
      </c>
      <c r="F195" s="11" t="str">
        <f aca="false">IF(MOD(SUM($P$5:$P194),2)=0,"w","b")</f>
        <v>w</v>
      </c>
      <c r="G195" s="11" t="str">
        <f aca="false">IF($D195=0,"",INDEX($AH194:$CS194,1,$D195)&amp;"")</f>
        <v/>
      </c>
      <c r="H195" s="11" t="str">
        <f aca="false">IF($E195=0,"",INDEX($AH194:$CS194,1,$E195)&amp;"")</f>
        <v/>
      </c>
      <c r="I195" s="11" t="n">
        <f aca="false">IF(OR($D195=0,$E195=0),0,MOD($E195-1,8)-MOD($D195-1,8))</f>
        <v>0</v>
      </c>
      <c r="J195" s="11" t="n">
        <f aca="false">IF(OR($D195=0,$E195=0),0,INT(($E195-1)/8)-INT(($D195-1)/8))</f>
        <v>0</v>
      </c>
      <c r="K195" s="11" t="str">
        <f aca="false">IF($G195="","",RIGHT($G195,1))</f>
        <v/>
      </c>
      <c r="L195" s="11" t="n">
        <f aca="false">IF(OR($D195=0,$E195=0),0,SUMPRODUCT(($AH$3:$CS$3&gt;MIN($D195,$E195))*($AH$3:$CS$3&lt;MAX($D195,$E195))*(MOD($AH$3:$CS$3-MIN($D195,$E195),MAX(1,ABS(SIGN($J195)*8+SIGN($I195))))=0)*($AH194:$CS194&lt;&gt;"")))</f>
        <v>0</v>
      </c>
      <c r="M195" s="11" t="n">
        <f aca="false">IF($K195&lt;&gt;"K",0,IFERROR(--AND($J195=0,ABS($I195)=2,$D195=IF($F195="w",5,61),IF($F195="w",$S194,$V194)=0,IF($I195=2,AND(IF($F195="w",$U194,$X194)=0,INDEX($AH194:$CS194,1,$D195+1)&amp;""="",INDEX($AH194:$CS194,1,$D195+2)&amp;""=""),AND(IF($F195="w",$T194,$W194)=0,INDEX($AH194:$CS194,1,$D195-1)&amp;""="",INDEX($AH194:$CS194,1,$D195-2)&amp;""="",INDEX($AH194:$CS194,1,$D195-3)&amp;""=""))),0))</f>
        <v>0</v>
      </c>
      <c r="N195" s="11" t="n">
        <f aca="false">IF($K195&lt;&gt;"P",0,IFERROR(--OR(AND($I195=0,$J195=IF($F195="w",1,-1),$H195=""),AND($I195=0,$J195=2*IF($F195="w",1,-1),$H195="",INT(($D195-1)/8)=IF($F195="w",1,6),INDEX($AH194:$CS194,1,MAX(1,MIN(64,$D195+8*IF($F195="w",1,-1))))&amp;""=""),AND(ABS($I195)=1,$J195=IF($F195="w",1,-1),$H195&lt;&gt;""),AND(ABS($I195)=1,$J195=IF($F195="w",1,-1),$H195="",$R194&gt;0,$E195=$R194)),0))</f>
        <v>0</v>
      </c>
      <c r="O195" s="11" t="n">
        <f aca="false">IF(OR($D195=0,$E195=0,$G195=""),0,IF($K195="N",--OR(AND(ABS($I195)=1,ABS($J195)=2),AND(ABS($I195)=2,ABS($J195)=1)),IF($K195="B",--AND(ABS($I195)=ABS($J195),$I195&lt;&gt;0,$L195=0),IF($K195="R",--AND(OR($I195=0,$J195=0),OR($I195&lt;&gt;0,$J195&lt;&gt;0),$L195=0),IF($K195="Q",--AND(OR(AND(ABS($I195)=ABS($J195),$I195&lt;&gt;0),AND(OR($I195=0,$J195=0),OR($I195&lt;&gt;0,$J195&lt;&gt;0))),$L195=0),IF($K195="K",--OR(MAX(ABS($I195),ABS($J195))=1,$M195=1),$N195))))))</f>
        <v>0</v>
      </c>
      <c r="P195" s="11" t="n">
        <f aca="false">IF($Q195="OK",1,0)</f>
        <v>0</v>
      </c>
      <c r="Q195" s="11" t="str">
        <f aca="false">IF($B195="","",IF(OR(COUNTIF($AH194:$CS194,"wK")=0,COUNTIF($AH194:$CS194,"bK")=0),"Game is over",IF(OR($D195=0,$E195=0),"Use the format e2e4",IF($G195="","No piece on that square",IF(LEFT($G195,1)&lt;&gt;$F195,"Not your piece ("&amp;IF($F195="w","White","Black")&amp;" to move)",IF($D195=$E195,"Piece must move",IF(AND($H195&lt;&gt;"",LEFT($H195,1)=$F195),"Cannot capture your own piece",IF($O195=0,"Illegal move for that piece (or path blocked)","OK"))))))))</f>
        <v/>
      </c>
      <c r="R195" s="11" t="n">
        <f aca="false">IF($P195=1,IF(AND($K195="P",ABS($J195)=2),($D195+$E195)/2,0),$R194)</f>
        <v>0</v>
      </c>
      <c r="S195" s="12" t="b">
        <f aca="false">--OR($S194=1,AND($P195=1,OR($D195=5,$E195=5)))</f>
        <v>0</v>
      </c>
      <c r="T195" s="12" t="b">
        <f aca="false">--OR($T194=1,AND($P195=1,OR($D195=1,$E195=1)))</f>
        <v>0</v>
      </c>
      <c r="U195" s="12" t="b">
        <f aca="false">--OR($U194=1,AND($P195=1,OR($D195=8,$E195=8)))</f>
        <v>0</v>
      </c>
      <c r="V195" s="12" t="b">
        <f aca="false">--OR($V194=1,AND($P195=1,OR($D195=61,$E195=61)))</f>
        <v>0</v>
      </c>
      <c r="W195" s="12" t="b">
        <f aca="false">--OR($W194=1,AND($P195=1,OR($D195=57,$E195=57)))</f>
        <v>0</v>
      </c>
      <c r="X195" s="12" t="b">
        <f aca="false">--OR($X194=1,AND($P195=1,OR($D195=64,$E195=64)))</f>
        <v>0</v>
      </c>
      <c r="Y195" s="12" t="b">
        <f aca="false">--AND($P195=1,$K195="K",ABS($I195)=2)</f>
        <v>0</v>
      </c>
      <c r="Z195" s="12" t="b">
        <f aca="false">--AND($P195=1,$K195="P",ABS($I195)=1,$H195="")</f>
        <v>0</v>
      </c>
      <c r="AA195" s="12" t="b">
        <f aca="false">--AND($P195=1,$K195="P",INT(($E195-1)/8)=IF($F195="w",7,0))</f>
        <v>0</v>
      </c>
      <c r="AB195" s="11" t="str">
        <f aca="false">IF(LEN($C195)&gt;=5,IF(ISNUMBER(FIND(MID($C195,5,1),"qrbn")),UPPER(MID($C195,5,1)),"Q"),"Q")</f>
        <v>Q</v>
      </c>
      <c r="AC195" s="11" t="n">
        <f aca="false">IF($Y195=1,IF($I195=2,$D195+3,$D195-4),0)</f>
        <v>0</v>
      </c>
      <c r="AD195" s="11" t="n">
        <f aca="false">IF($Y195=1,IF($I195=2,$D195+1,$D195-1),0)</f>
        <v>0</v>
      </c>
      <c r="AE195" s="11" t="n">
        <f aca="false">IF($Z195=1,$E195-8*IF($F195="w",1,-1),0)</f>
        <v>0</v>
      </c>
      <c r="AF195" s="11" t="str">
        <f aca="false">IF($B195="","",IF($P195=1,LOWER(INDEX($CV$2:$CV$13,MATCH($G195,$CU$2:$CU$13,0)))&amp;" "&amp;MID("abcdefgh",MOD($D195-1,8)+1,1)&amp;(INT(($D195-1)/8)+1)&amp;"→"&amp;MID("abcdefgh",MOD($E195-1,8)+1,1)&amp;(INT(($E195-1)/8)+1)&amp;IF(OR($H195&lt;&gt;"",$Z195=1)," ×","")&amp;IF($Y195=1," castles","")&amp;IF($Z195=1," e.p.","")&amp;IF($AA195=1," =" &amp;LOWER(INDEX($CV$2:$CV$13,MATCH($F195&amp;$AB195,$CU$2:$CU$13,0))),""),"X "&amp;$Q195))</f>
        <v/>
      </c>
      <c r="AG195" s="11"/>
      <c r="AH195" s="11" t="str">
        <f aca="false">IF($P195=0,AH194,IF(AH$3=$E195,IF($AA195=1,$F195&amp;$AB195,$G195),IF(OR(AH$3=$D195,AH$3=$AC195,AH$3=$AE195),"",IF(AH$3=$AD195,$F195&amp;"R",AH194))))</f>
        <v>wR</v>
      </c>
      <c r="AI195" s="11" t="str">
        <f aca="false">IF($P195=0,AI194,IF(AI$3=$E195,IF($AA195=1,$F195&amp;$AB195,$G195),IF(OR(AI$3=$D195,AI$3=$AC195,AI$3=$AE195),"",IF(AI$3=$AD195,$F195&amp;"R",AI194))))</f>
        <v>wN</v>
      </c>
      <c r="AJ195" s="11" t="str">
        <f aca="false">IF($P195=0,AJ194,IF(AJ$3=$E195,IF($AA195=1,$F195&amp;$AB195,$G195),IF(OR(AJ$3=$D195,AJ$3=$AC195,AJ$3=$AE195),"",IF(AJ$3=$AD195,$F195&amp;"R",AJ194))))</f>
        <v>wB</v>
      </c>
      <c r="AK195" s="11" t="str">
        <f aca="false">IF($P195=0,AK194,IF(AK$3=$E195,IF($AA195=1,$F195&amp;$AB195,$G195),IF(OR(AK$3=$D195,AK$3=$AC195,AK$3=$AE195),"",IF(AK$3=$AD195,$F195&amp;"R",AK194))))</f>
        <v>wQ</v>
      </c>
      <c r="AL195" s="11" t="str">
        <f aca="false">IF($P195=0,AL194,IF(AL$3=$E195,IF($AA195=1,$F195&amp;$AB195,$G195),IF(OR(AL$3=$D195,AL$3=$AC195,AL$3=$AE195),"",IF(AL$3=$AD195,$F195&amp;"R",AL194))))</f>
        <v>wK</v>
      </c>
      <c r="AM195" s="11" t="str">
        <f aca="false">IF($P195=0,AM194,IF(AM$3=$E195,IF($AA195=1,$F195&amp;$AB195,$G195),IF(OR(AM$3=$D195,AM$3=$AC195,AM$3=$AE195),"",IF(AM$3=$AD195,$F195&amp;"R",AM194))))</f>
        <v>wB</v>
      </c>
      <c r="AN195" s="11" t="str">
        <f aca="false">IF($P195=0,AN194,IF(AN$3=$E195,IF($AA195=1,$F195&amp;$AB195,$G195),IF(OR(AN$3=$D195,AN$3=$AC195,AN$3=$AE195),"",IF(AN$3=$AD195,$F195&amp;"R",AN194))))</f>
        <v>wN</v>
      </c>
      <c r="AO195" s="11" t="str">
        <f aca="false">IF($P195=0,AO194,IF(AO$3=$E195,IF($AA195=1,$F195&amp;$AB195,$G195),IF(OR(AO$3=$D195,AO$3=$AC195,AO$3=$AE195),"",IF(AO$3=$AD195,$F195&amp;"R",AO194))))</f>
        <v>wR</v>
      </c>
      <c r="AP195" s="11" t="str">
        <f aca="false">IF($P195=0,AP194,IF(AP$3=$E195,IF($AA195=1,$F195&amp;$AB195,$G195),IF(OR(AP$3=$D195,AP$3=$AC195,AP$3=$AE195),"",IF(AP$3=$AD195,$F195&amp;"R",AP194))))</f>
        <v>wP</v>
      </c>
      <c r="AQ195" s="11" t="str">
        <f aca="false">IF($P195=0,AQ194,IF(AQ$3=$E195,IF($AA195=1,$F195&amp;$AB195,$G195),IF(OR(AQ$3=$D195,AQ$3=$AC195,AQ$3=$AE195),"",IF(AQ$3=$AD195,$F195&amp;"R",AQ194))))</f>
        <v>wP</v>
      </c>
      <c r="AR195" s="11" t="str">
        <f aca="false">IF($P195=0,AR194,IF(AR$3=$E195,IF($AA195=1,$F195&amp;$AB195,$G195),IF(OR(AR$3=$D195,AR$3=$AC195,AR$3=$AE195),"",IF(AR$3=$AD195,$F195&amp;"R",AR194))))</f>
        <v>wP</v>
      </c>
      <c r="AS195" s="11" t="str">
        <f aca="false">IF($P195=0,AS194,IF(AS$3=$E195,IF($AA195=1,$F195&amp;$AB195,$G195),IF(OR(AS$3=$D195,AS$3=$AC195,AS$3=$AE195),"",IF(AS$3=$AD195,$F195&amp;"R",AS194))))</f>
        <v>wP</v>
      </c>
      <c r="AT195" s="11" t="str">
        <f aca="false">IF($P195=0,AT194,IF(AT$3=$E195,IF($AA195=1,$F195&amp;$AB195,$G195),IF(OR(AT$3=$D195,AT$3=$AC195,AT$3=$AE195),"",IF(AT$3=$AD195,$F195&amp;"R",AT194))))</f>
        <v>wP</v>
      </c>
      <c r="AU195" s="11" t="str">
        <f aca="false">IF($P195=0,AU194,IF(AU$3=$E195,IF($AA195=1,$F195&amp;$AB195,$G195),IF(OR(AU$3=$D195,AU$3=$AC195,AU$3=$AE195),"",IF(AU$3=$AD195,$F195&amp;"R",AU194))))</f>
        <v>wP</v>
      </c>
      <c r="AV195" s="11" t="str">
        <f aca="false">IF($P195=0,AV194,IF(AV$3=$E195,IF($AA195=1,$F195&amp;$AB195,$G195),IF(OR(AV$3=$D195,AV$3=$AC195,AV$3=$AE195),"",IF(AV$3=$AD195,$F195&amp;"R",AV194))))</f>
        <v>wP</v>
      </c>
      <c r="AW195" s="11" t="str">
        <f aca="false">IF($P195=0,AW194,IF(AW$3=$E195,IF($AA195=1,$F195&amp;$AB195,$G195),IF(OR(AW$3=$D195,AW$3=$AC195,AW$3=$AE195),"",IF(AW$3=$AD195,$F195&amp;"R",AW194))))</f>
        <v>wP</v>
      </c>
      <c r="AX195" s="11" t="str">
        <f aca="false">IF($P195=0,AX194,IF(AX$3=$E195,IF($AA195=1,$F195&amp;$AB195,$G195),IF(OR(AX$3=$D195,AX$3=$AC195,AX$3=$AE195),"",IF(AX$3=$AD195,$F195&amp;"R",AX194))))</f>
        <v/>
      </c>
      <c r="AY195" s="11" t="str">
        <f aca="false">IF($P195=0,AY194,IF(AY$3=$E195,IF($AA195=1,$F195&amp;$AB195,$G195),IF(OR(AY$3=$D195,AY$3=$AC195,AY$3=$AE195),"",IF(AY$3=$AD195,$F195&amp;"R",AY194))))</f>
        <v/>
      </c>
      <c r="AZ195" s="11" t="str">
        <f aca="false">IF($P195=0,AZ194,IF(AZ$3=$E195,IF($AA195=1,$F195&amp;$AB195,$G195),IF(OR(AZ$3=$D195,AZ$3=$AC195,AZ$3=$AE195),"",IF(AZ$3=$AD195,$F195&amp;"R",AZ194))))</f>
        <v/>
      </c>
      <c r="BA195" s="11" t="str">
        <f aca="false">IF($P195=0,BA194,IF(BA$3=$E195,IF($AA195=1,$F195&amp;$AB195,$G195),IF(OR(BA$3=$D195,BA$3=$AC195,BA$3=$AE195),"",IF(BA$3=$AD195,$F195&amp;"R",BA194))))</f>
        <v/>
      </c>
      <c r="BB195" s="11" t="str">
        <f aca="false">IF($P195=0,BB194,IF(BB$3=$E195,IF($AA195=1,$F195&amp;$AB195,$G195),IF(OR(BB$3=$D195,BB$3=$AC195,BB$3=$AE195),"",IF(BB$3=$AD195,$F195&amp;"R",BB194))))</f>
        <v/>
      </c>
      <c r="BC195" s="11" t="str">
        <f aca="false">IF($P195=0,BC194,IF(BC$3=$E195,IF($AA195=1,$F195&amp;$AB195,$G195),IF(OR(BC$3=$D195,BC$3=$AC195,BC$3=$AE195),"",IF(BC$3=$AD195,$F195&amp;"R",BC194))))</f>
        <v/>
      </c>
      <c r="BD195" s="11" t="str">
        <f aca="false">IF($P195=0,BD194,IF(BD$3=$E195,IF($AA195=1,$F195&amp;$AB195,$G195),IF(OR(BD$3=$D195,BD$3=$AC195,BD$3=$AE195),"",IF(BD$3=$AD195,$F195&amp;"R",BD194))))</f>
        <v/>
      </c>
      <c r="BE195" s="11" t="str">
        <f aca="false">IF($P195=0,BE194,IF(BE$3=$E195,IF($AA195=1,$F195&amp;$AB195,$G195),IF(OR(BE$3=$D195,BE$3=$AC195,BE$3=$AE195),"",IF(BE$3=$AD195,$F195&amp;"R",BE194))))</f>
        <v/>
      </c>
      <c r="BF195" s="11" t="str">
        <f aca="false">IF($P195=0,BF194,IF(BF$3=$E195,IF($AA195=1,$F195&amp;$AB195,$G195),IF(OR(BF$3=$D195,BF$3=$AC195,BF$3=$AE195),"",IF(BF$3=$AD195,$F195&amp;"R",BF194))))</f>
        <v/>
      </c>
      <c r="BG195" s="11" t="str">
        <f aca="false">IF($P195=0,BG194,IF(BG$3=$E195,IF($AA195=1,$F195&amp;$AB195,$G195),IF(OR(BG$3=$D195,BG$3=$AC195,BG$3=$AE195),"",IF(BG$3=$AD195,$F195&amp;"R",BG194))))</f>
        <v/>
      </c>
      <c r="BH195" s="11" t="str">
        <f aca="false">IF($P195=0,BH194,IF(BH$3=$E195,IF($AA195=1,$F195&amp;$AB195,$G195),IF(OR(BH$3=$D195,BH$3=$AC195,BH$3=$AE195),"",IF(BH$3=$AD195,$F195&amp;"R",BH194))))</f>
        <v/>
      </c>
      <c r="BI195" s="11" t="str">
        <f aca="false">IF($P195=0,BI194,IF(BI$3=$E195,IF($AA195=1,$F195&amp;$AB195,$G195),IF(OR(BI$3=$D195,BI$3=$AC195,BI$3=$AE195),"",IF(BI$3=$AD195,$F195&amp;"R",BI194))))</f>
        <v/>
      </c>
      <c r="BJ195" s="11" t="str">
        <f aca="false">IF($P195=0,BJ194,IF(BJ$3=$E195,IF($AA195=1,$F195&amp;$AB195,$G195),IF(OR(BJ$3=$D195,BJ$3=$AC195,BJ$3=$AE195),"",IF(BJ$3=$AD195,$F195&amp;"R",BJ194))))</f>
        <v/>
      </c>
      <c r="BK195" s="11" t="str">
        <f aca="false">IF($P195=0,BK194,IF(BK$3=$E195,IF($AA195=1,$F195&amp;$AB195,$G195),IF(OR(BK$3=$D195,BK$3=$AC195,BK$3=$AE195),"",IF(BK$3=$AD195,$F195&amp;"R",BK194))))</f>
        <v/>
      </c>
      <c r="BL195" s="11" t="str">
        <f aca="false">IF($P195=0,BL194,IF(BL$3=$E195,IF($AA195=1,$F195&amp;$AB195,$G195),IF(OR(BL$3=$D195,BL$3=$AC195,BL$3=$AE195),"",IF(BL$3=$AD195,$F195&amp;"R",BL194))))</f>
        <v/>
      </c>
      <c r="BM195" s="11" t="str">
        <f aca="false">IF($P195=0,BM194,IF(BM$3=$E195,IF($AA195=1,$F195&amp;$AB195,$G195),IF(OR(BM$3=$D195,BM$3=$AC195,BM$3=$AE195),"",IF(BM$3=$AD195,$F195&amp;"R",BM194))))</f>
        <v/>
      </c>
      <c r="BN195" s="11" t="str">
        <f aca="false">IF($P195=0,BN194,IF(BN$3=$E195,IF($AA195=1,$F195&amp;$AB195,$G195),IF(OR(BN$3=$D195,BN$3=$AC195,BN$3=$AE195),"",IF(BN$3=$AD195,$F195&amp;"R",BN194))))</f>
        <v/>
      </c>
      <c r="BO195" s="11" t="str">
        <f aca="false">IF($P195=0,BO194,IF(BO$3=$E195,IF($AA195=1,$F195&amp;$AB195,$G195),IF(OR(BO$3=$D195,BO$3=$AC195,BO$3=$AE195),"",IF(BO$3=$AD195,$F195&amp;"R",BO194))))</f>
        <v/>
      </c>
      <c r="BP195" s="11" t="str">
        <f aca="false">IF($P195=0,BP194,IF(BP$3=$E195,IF($AA195=1,$F195&amp;$AB195,$G195),IF(OR(BP$3=$D195,BP$3=$AC195,BP$3=$AE195),"",IF(BP$3=$AD195,$F195&amp;"R",BP194))))</f>
        <v/>
      </c>
      <c r="BQ195" s="11" t="str">
        <f aca="false">IF($P195=0,BQ194,IF(BQ$3=$E195,IF($AA195=1,$F195&amp;$AB195,$G195),IF(OR(BQ$3=$D195,BQ$3=$AC195,BQ$3=$AE195),"",IF(BQ$3=$AD195,$F195&amp;"R",BQ194))))</f>
        <v/>
      </c>
      <c r="BR195" s="11" t="str">
        <f aca="false">IF($P195=0,BR194,IF(BR$3=$E195,IF($AA195=1,$F195&amp;$AB195,$G195),IF(OR(BR$3=$D195,BR$3=$AC195,BR$3=$AE195),"",IF(BR$3=$AD195,$F195&amp;"R",BR194))))</f>
        <v/>
      </c>
      <c r="BS195" s="11" t="str">
        <f aca="false">IF($P195=0,BS194,IF(BS$3=$E195,IF($AA195=1,$F195&amp;$AB195,$G195),IF(OR(BS$3=$D195,BS$3=$AC195,BS$3=$AE195),"",IF(BS$3=$AD195,$F195&amp;"R",BS194))))</f>
        <v/>
      </c>
      <c r="BT195" s="11" t="str">
        <f aca="false">IF($P195=0,BT194,IF(BT$3=$E195,IF($AA195=1,$F195&amp;$AB195,$G195),IF(OR(BT$3=$D195,BT$3=$AC195,BT$3=$AE195),"",IF(BT$3=$AD195,$F195&amp;"R",BT194))))</f>
        <v/>
      </c>
      <c r="BU195" s="11" t="str">
        <f aca="false">IF($P195=0,BU194,IF(BU$3=$E195,IF($AA195=1,$F195&amp;$AB195,$G195),IF(OR(BU$3=$D195,BU$3=$AC195,BU$3=$AE195),"",IF(BU$3=$AD195,$F195&amp;"R",BU194))))</f>
        <v/>
      </c>
      <c r="BV195" s="11" t="str">
        <f aca="false">IF($P195=0,BV194,IF(BV$3=$E195,IF($AA195=1,$F195&amp;$AB195,$G195),IF(OR(BV$3=$D195,BV$3=$AC195,BV$3=$AE195),"",IF(BV$3=$AD195,$F195&amp;"R",BV194))))</f>
        <v/>
      </c>
      <c r="BW195" s="11" t="str">
        <f aca="false">IF($P195=0,BW194,IF(BW$3=$E195,IF($AA195=1,$F195&amp;$AB195,$G195),IF(OR(BW$3=$D195,BW$3=$AC195,BW$3=$AE195),"",IF(BW$3=$AD195,$F195&amp;"R",BW194))))</f>
        <v/>
      </c>
      <c r="BX195" s="11" t="str">
        <f aca="false">IF($P195=0,BX194,IF(BX$3=$E195,IF($AA195=1,$F195&amp;$AB195,$G195),IF(OR(BX$3=$D195,BX$3=$AC195,BX$3=$AE195),"",IF(BX$3=$AD195,$F195&amp;"R",BX194))))</f>
        <v/>
      </c>
      <c r="BY195" s="11" t="str">
        <f aca="false">IF($P195=0,BY194,IF(BY$3=$E195,IF($AA195=1,$F195&amp;$AB195,$G195),IF(OR(BY$3=$D195,BY$3=$AC195,BY$3=$AE195),"",IF(BY$3=$AD195,$F195&amp;"R",BY194))))</f>
        <v/>
      </c>
      <c r="BZ195" s="11" t="str">
        <f aca="false">IF($P195=0,BZ194,IF(BZ$3=$E195,IF($AA195=1,$F195&amp;$AB195,$G195),IF(OR(BZ$3=$D195,BZ$3=$AC195,BZ$3=$AE195),"",IF(BZ$3=$AD195,$F195&amp;"R",BZ194))))</f>
        <v/>
      </c>
      <c r="CA195" s="11" t="str">
        <f aca="false">IF($P195=0,CA194,IF(CA$3=$E195,IF($AA195=1,$F195&amp;$AB195,$G195),IF(OR(CA$3=$D195,CA$3=$AC195,CA$3=$AE195),"",IF(CA$3=$AD195,$F195&amp;"R",CA194))))</f>
        <v/>
      </c>
      <c r="CB195" s="11" t="str">
        <f aca="false">IF($P195=0,CB194,IF(CB$3=$E195,IF($AA195=1,$F195&amp;$AB195,$G195),IF(OR(CB$3=$D195,CB$3=$AC195,CB$3=$AE195),"",IF(CB$3=$AD195,$F195&amp;"R",CB194))))</f>
        <v/>
      </c>
      <c r="CC195" s="11" t="str">
        <f aca="false">IF($P195=0,CC194,IF(CC$3=$E195,IF($AA195=1,$F195&amp;$AB195,$G195),IF(OR(CC$3=$D195,CC$3=$AC195,CC$3=$AE195),"",IF(CC$3=$AD195,$F195&amp;"R",CC194))))</f>
        <v/>
      </c>
      <c r="CD195" s="11" t="str">
        <f aca="false">IF($P195=0,CD194,IF(CD$3=$E195,IF($AA195=1,$F195&amp;$AB195,$G195),IF(OR(CD$3=$D195,CD$3=$AC195,CD$3=$AE195),"",IF(CD$3=$AD195,$F195&amp;"R",CD194))))</f>
        <v>bP</v>
      </c>
      <c r="CE195" s="11" t="str">
        <f aca="false">IF($P195=0,CE194,IF(CE$3=$E195,IF($AA195=1,$F195&amp;$AB195,$G195),IF(OR(CE$3=$D195,CE$3=$AC195,CE$3=$AE195),"",IF(CE$3=$AD195,$F195&amp;"R",CE194))))</f>
        <v>bP</v>
      </c>
      <c r="CF195" s="11" t="str">
        <f aca="false">IF($P195=0,CF194,IF(CF$3=$E195,IF($AA195=1,$F195&amp;$AB195,$G195),IF(OR(CF$3=$D195,CF$3=$AC195,CF$3=$AE195),"",IF(CF$3=$AD195,$F195&amp;"R",CF194))))</f>
        <v>bP</v>
      </c>
      <c r="CG195" s="11" t="str">
        <f aca="false">IF($P195=0,CG194,IF(CG$3=$E195,IF($AA195=1,$F195&amp;$AB195,$G195),IF(OR(CG$3=$D195,CG$3=$AC195,CG$3=$AE195),"",IF(CG$3=$AD195,$F195&amp;"R",CG194))))</f>
        <v>bP</v>
      </c>
      <c r="CH195" s="11" t="str">
        <f aca="false">IF($P195=0,CH194,IF(CH$3=$E195,IF($AA195=1,$F195&amp;$AB195,$G195),IF(OR(CH$3=$D195,CH$3=$AC195,CH$3=$AE195),"",IF(CH$3=$AD195,$F195&amp;"R",CH194))))</f>
        <v>bP</v>
      </c>
      <c r="CI195" s="11" t="str">
        <f aca="false">IF($P195=0,CI194,IF(CI$3=$E195,IF($AA195=1,$F195&amp;$AB195,$G195),IF(OR(CI$3=$D195,CI$3=$AC195,CI$3=$AE195),"",IF(CI$3=$AD195,$F195&amp;"R",CI194))))</f>
        <v>bP</v>
      </c>
      <c r="CJ195" s="11" t="str">
        <f aca="false">IF($P195=0,CJ194,IF(CJ$3=$E195,IF($AA195=1,$F195&amp;$AB195,$G195),IF(OR(CJ$3=$D195,CJ$3=$AC195,CJ$3=$AE195),"",IF(CJ$3=$AD195,$F195&amp;"R",CJ194))))</f>
        <v>bP</v>
      </c>
      <c r="CK195" s="11" t="str">
        <f aca="false">IF($P195=0,CK194,IF(CK$3=$E195,IF($AA195=1,$F195&amp;$AB195,$G195),IF(OR(CK$3=$D195,CK$3=$AC195,CK$3=$AE195),"",IF(CK$3=$AD195,$F195&amp;"R",CK194))))</f>
        <v>bP</v>
      </c>
      <c r="CL195" s="11" t="str">
        <f aca="false">IF($P195=0,CL194,IF(CL$3=$E195,IF($AA195=1,$F195&amp;$AB195,$G195),IF(OR(CL$3=$D195,CL$3=$AC195,CL$3=$AE195),"",IF(CL$3=$AD195,$F195&amp;"R",CL194))))</f>
        <v>bR</v>
      </c>
      <c r="CM195" s="11" t="str">
        <f aca="false">IF($P195=0,CM194,IF(CM$3=$E195,IF($AA195=1,$F195&amp;$AB195,$G195),IF(OR(CM$3=$D195,CM$3=$AC195,CM$3=$AE195),"",IF(CM$3=$AD195,$F195&amp;"R",CM194))))</f>
        <v>bN</v>
      </c>
      <c r="CN195" s="11" t="str">
        <f aca="false">IF($P195=0,CN194,IF(CN$3=$E195,IF($AA195=1,$F195&amp;$AB195,$G195),IF(OR(CN$3=$D195,CN$3=$AC195,CN$3=$AE195),"",IF(CN$3=$AD195,$F195&amp;"R",CN194))))</f>
        <v>bB</v>
      </c>
      <c r="CO195" s="11" t="str">
        <f aca="false">IF($P195=0,CO194,IF(CO$3=$E195,IF($AA195=1,$F195&amp;$AB195,$G195),IF(OR(CO$3=$D195,CO$3=$AC195,CO$3=$AE195),"",IF(CO$3=$AD195,$F195&amp;"R",CO194))))</f>
        <v>bQ</v>
      </c>
      <c r="CP195" s="11" t="str">
        <f aca="false">IF($P195=0,CP194,IF(CP$3=$E195,IF($AA195=1,$F195&amp;$AB195,$G195),IF(OR(CP$3=$D195,CP$3=$AC195,CP$3=$AE195),"",IF(CP$3=$AD195,$F195&amp;"R",CP194))))</f>
        <v>bK</v>
      </c>
      <c r="CQ195" s="11" t="str">
        <f aca="false">IF($P195=0,CQ194,IF(CQ$3=$E195,IF($AA195=1,$F195&amp;$AB195,$G195),IF(OR(CQ$3=$D195,CQ$3=$AC195,CQ$3=$AE195),"",IF(CQ$3=$AD195,$F195&amp;"R",CQ194))))</f>
        <v>bB</v>
      </c>
      <c r="CR195" s="11" t="str">
        <f aca="false">IF($P195=0,CR194,IF(CR$3=$E195,IF($AA195=1,$F195&amp;$AB195,$G195),IF(OR(CR$3=$D195,CR$3=$AC195,CR$3=$AE195),"",IF(CR$3=$AD195,$F195&amp;"R",CR194))))</f>
        <v>bN</v>
      </c>
      <c r="CS195" s="11" t="str">
        <f aca="false">IF($P195=0,CS194,IF(CS$3=$E195,IF($AA195=1,$F195&amp;$AB195,$G195),IF(OR(CS$3=$D195,CS$3=$AC195,CS$3=$AE195),"",IF(CS$3=$AD195,$F195&amp;"R",CS194))))</f>
        <v>bR</v>
      </c>
      <c r="CT195" s="11"/>
      <c r="CU195" s="11"/>
      <c r="CV195" s="11"/>
    </row>
    <row r="196" customFormat="false" ht="15" hidden="false" customHeight="false" outlineLevel="0" collapsed="false">
      <c r="A196" s="11" t="n">
        <v>191</v>
      </c>
      <c r="B196" s="11" t="str">
        <f aca="false">IF(Chess!$L$200="","",Chess!$L$200&amp;"")</f>
        <v/>
      </c>
      <c r="C196" s="11" t="str">
        <f aca="false">LOWER(SUBSTITUTE(SUBSTITUTE(SUBSTITUTE(SUBSTITUTE(TRIM($B196),"-",""),"=","")," ",""),"x",""))</f>
        <v/>
      </c>
      <c r="D196" s="11" t="n">
        <f aca="false">IF(LEN($C196)&lt;4,0,IFERROR(IF(AND(CODE(MID($C196,1,1))&gt;=97,CODE(MID($C196,1,1))&lt;=104,VALUE(MID($C196,2,1))&gt;=1,VALUE(MID($C196,2,1))&lt;=8),(VALUE(MID($C196,2,1))-1)*8+CODE(MID($C196,1,1))-96,0),0))</f>
        <v>0</v>
      </c>
      <c r="E196" s="11" t="n">
        <f aca="false">IF(LEN($C196)&lt;4,0,IFERROR(IF(AND(CODE(MID($C196,3,1))&gt;=97,CODE(MID($C196,3,1))&lt;=104,VALUE(MID($C196,4,1))&gt;=1,VALUE(MID($C196,4,1))&lt;=8),(VALUE(MID($C196,4,1))-1)*8+CODE(MID($C196,3,1))-96,0),0))</f>
        <v>0</v>
      </c>
      <c r="F196" s="11" t="str">
        <f aca="false">IF(MOD(SUM($P$5:$P195),2)=0,"w","b")</f>
        <v>w</v>
      </c>
      <c r="G196" s="11" t="str">
        <f aca="false">IF($D196=0,"",INDEX($AH195:$CS195,1,$D196)&amp;"")</f>
        <v/>
      </c>
      <c r="H196" s="11" t="str">
        <f aca="false">IF($E196=0,"",INDEX($AH195:$CS195,1,$E196)&amp;"")</f>
        <v/>
      </c>
      <c r="I196" s="11" t="n">
        <f aca="false">IF(OR($D196=0,$E196=0),0,MOD($E196-1,8)-MOD($D196-1,8))</f>
        <v>0</v>
      </c>
      <c r="J196" s="11" t="n">
        <f aca="false">IF(OR($D196=0,$E196=0),0,INT(($E196-1)/8)-INT(($D196-1)/8))</f>
        <v>0</v>
      </c>
      <c r="K196" s="11" t="str">
        <f aca="false">IF($G196="","",RIGHT($G196,1))</f>
        <v/>
      </c>
      <c r="L196" s="11" t="n">
        <f aca="false">IF(OR($D196=0,$E196=0),0,SUMPRODUCT(($AH$3:$CS$3&gt;MIN($D196,$E196))*($AH$3:$CS$3&lt;MAX($D196,$E196))*(MOD($AH$3:$CS$3-MIN($D196,$E196),MAX(1,ABS(SIGN($J196)*8+SIGN($I196))))=0)*($AH195:$CS195&lt;&gt;"")))</f>
        <v>0</v>
      </c>
      <c r="M196" s="11" t="n">
        <f aca="false">IF($K196&lt;&gt;"K",0,IFERROR(--AND($J196=0,ABS($I196)=2,$D196=IF($F196="w",5,61),IF($F196="w",$S195,$V195)=0,IF($I196=2,AND(IF($F196="w",$U195,$X195)=0,INDEX($AH195:$CS195,1,$D196+1)&amp;""="",INDEX($AH195:$CS195,1,$D196+2)&amp;""=""),AND(IF($F196="w",$T195,$W195)=0,INDEX($AH195:$CS195,1,$D196-1)&amp;""="",INDEX($AH195:$CS195,1,$D196-2)&amp;""="",INDEX($AH195:$CS195,1,$D196-3)&amp;""=""))),0))</f>
        <v>0</v>
      </c>
      <c r="N196" s="11" t="n">
        <f aca="false">IF($K196&lt;&gt;"P",0,IFERROR(--OR(AND($I196=0,$J196=IF($F196="w",1,-1),$H196=""),AND($I196=0,$J196=2*IF($F196="w",1,-1),$H196="",INT(($D196-1)/8)=IF($F196="w",1,6),INDEX($AH195:$CS195,1,MAX(1,MIN(64,$D196+8*IF($F196="w",1,-1))))&amp;""=""),AND(ABS($I196)=1,$J196=IF($F196="w",1,-1),$H196&lt;&gt;""),AND(ABS($I196)=1,$J196=IF($F196="w",1,-1),$H196="",$R195&gt;0,$E196=$R195)),0))</f>
        <v>0</v>
      </c>
      <c r="O196" s="11" t="n">
        <f aca="false">IF(OR($D196=0,$E196=0,$G196=""),0,IF($K196="N",--OR(AND(ABS($I196)=1,ABS($J196)=2),AND(ABS($I196)=2,ABS($J196)=1)),IF($K196="B",--AND(ABS($I196)=ABS($J196),$I196&lt;&gt;0,$L196=0),IF($K196="R",--AND(OR($I196=0,$J196=0),OR($I196&lt;&gt;0,$J196&lt;&gt;0),$L196=0),IF($K196="Q",--AND(OR(AND(ABS($I196)=ABS($J196),$I196&lt;&gt;0),AND(OR($I196=0,$J196=0),OR($I196&lt;&gt;0,$J196&lt;&gt;0))),$L196=0),IF($K196="K",--OR(MAX(ABS($I196),ABS($J196))=1,$M196=1),$N196))))))</f>
        <v>0</v>
      </c>
      <c r="P196" s="11" t="n">
        <f aca="false">IF($Q196="OK",1,0)</f>
        <v>0</v>
      </c>
      <c r="Q196" s="11" t="str">
        <f aca="false">IF($B196="","",IF(OR(COUNTIF($AH195:$CS195,"wK")=0,COUNTIF($AH195:$CS195,"bK")=0),"Game is over",IF(OR($D196=0,$E196=0),"Use the format e2e4",IF($G196="","No piece on that square",IF(LEFT($G196,1)&lt;&gt;$F196,"Not your piece ("&amp;IF($F196="w","White","Black")&amp;" to move)",IF($D196=$E196,"Piece must move",IF(AND($H196&lt;&gt;"",LEFT($H196,1)=$F196),"Cannot capture your own piece",IF($O196=0,"Illegal move for that piece (or path blocked)","OK"))))))))</f>
        <v/>
      </c>
      <c r="R196" s="11" t="n">
        <f aca="false">IF($P196=1,IF(AND($K196="P",ABS($J196)=2),($D196+$E196)/2,0),$R195)</f>
        <v>0</v>
      </c>
      <c r="S196" s="12" t="b">
        <f aca="false">--OR($S195=1,AND($P196=1,OR($D196=5,$E196=5)))</f>
        <v>0</v>
      </c>
      <c r="T196" s="12" t="b">
        <f aca="false">--OR($T195=1,AND($P196=1,OR($D196=1,$E196=1)))</f>
        <v>0</v>
      </c>
      <c r="U196" s="12" t="b">
        <f aca="false">--OR($U195=1,AND($P196=1,OR($D196=8,$E196=8)))</f>
        <v>0</v>
      </c>
      <c r="V196" s="12" t="b">
        <f aca="false">--OR($V195=1,AND($P196=1,OR($D196=61,$E196=61)))</f>
        <v>0</v>
      </c>
      <c r="W196" s="12" t="b">
        <f aca="false">--OR($W195=1,AND($P196=1,OR($D196=57,$E196=57)))</f>
        <v>0</v>
      </c>
      <c r="X196" s="12" t="b">
        <f aca="false">--OR($X195=1,AND($P196=1,OR($D196=64,$E196=64)))</f>
        <v>0</v>
      </c>
      <c r="Y196" s="12" t="b">
        <f aca="false">--AND($P196=1,$K196="K",ABS($I196)=2)</f>
        <v>0</v>
      </c>
      <c r="Z196" s="12" t="b">
        <f aca="false">--AND($P196=1,$K196="P",ABS($I196)=1,$H196="")</f>
        <v>0</v>
      </c>
      <c r="AA196" s="12" t="b">
        <f aca="false">--AND($P196=1,$K196="P",INT(($E196-1)/8)=IF($F196="w",7,0))</f>
        <v>0</v>
      </c>
      <c r="AB196" s="11" t="str">
        <f aca="false">IF(LEN($C196)&gt;=5,IF(ISNUMBER(FIND(MID($C196,5,1),"qrbn")),UPPER(MID($C196,5,1)),"Q"),"Q")</f>
        <v>Q</v>
      </c>
      <c r="AC196" s="11" t="n">
        <f aca="false">IF($Y196=1,IF($I196=2,$D196+3,$D196-4),0)</f>
        <v>0</v>
      </c>
      <c r="AD196" s="11" t="n">
        <f aca="false">IF($Y196=1,IF($I196=2,$D196+1,$D196-1),0)</f>
        <v>0</v>
      </c>
      <c r="AE196" s="11" t="n">
        <f aca="false">IF($Z196=1,$E196-8*IF($F196="w",1,-1),0)</f>
        <v>0</v>
      </c>
      <c r="AF196" s="11" t="str">
        <f aca="false">IF($B196="","",IF($P196=1,LOWER(INDEX($CV$2:$CV$13,MATCH($G196,$CU$2:$CU$13,0)))&amp;" "&amp;MID("abcdefgh",MOD($D196-1,8)+1,1)&amp;(INT(($D196-1)/8)+1)&amp;"→"&amp;MID("abcdefgh",MOD($E196-1,8)+1,1)&amp;(INT(($E196-1)/8)+1)&amp;IF(OR($H196&lt;&gt;"",$Z196=1)," ×","")&amp;IF($Y196=1," castles","")&amp;IF($Z196=1," e.p.","")&amp;IF($AA196=1," =" &amp;LOWER(INDEX($CV$2:$CV$13,MATCH($F196&amp;$AB196,$CU$2:$CU$13,0))),""),"X "&amp;$Q196))</f>
        <v/>
      </c>
      <c r="AG196" s="11"/>
      <c r="AH196" s="11" t="str">
        <f aca="false">IF($P196=0,AH195,IF(AH$3=$E196,IF($AA196=1,$F196&amp;$AB196,$G196),IF(OR(AH$3=$D196,AH$3=$AC196,AH$3=$AE196),"",IF(AH$3=$AD196,$F196&amp;"R",AH195))))</f>
        <v>wR</v>
      </c>
      <c r="AI196" s="11" t="str">
        <f aca="false">IF($P196=0,AI195,IF(AI$3=$E196,IF($AA196=1,$F196&amp;$AB196,$G196),IF(OR(AI$3=$D196,AI$3=$AC196,AI$3=$AE196),"",IF(AI$3=$AD196,$F196&amp;"R",AI195))))</f>
        <v>wN</v>
      </c>
      <c r="AJ196" s="11" t="str">
        <f aca="false">IF($P196=0,AJ195,IF(AJ$3=$E196,IF($AA196=1,$F196&amp;$AB196,$G196),IF(OR(AJ$3=$D196,AJ$3=$AC196,AJ$3=$AE196),"",IF(AJ$3=$AD196,$F196&amp;"R",AJ195))))</f>
        <v>wB</v>
      </c>
      <c r="AK196" s="11" t="str">
        <f aca="false">IF($P196=0,AK195,IF(AK$3=$E196,IF($AA196=1,$F196&amp;$AB196,$G196),IF(OR(AK$3=$D196,AK$3=$AC196,AK$3=$AE196),"",IF(AK$3=$AD196,$F196&amp;"R",AK195))))</f>
        <v>wQ</v>
      </c>
      <c r="AL196" s="11" t="str">
        <f aca="false">IF($P196=0,AL195,IF(AL$3=$E196,IF($AA196=1,$F196&amp;$AB196,$G196),IF(OR(AL$3=$D196,AL$3=$AC196,AL$3=$AE196),"",IF(AL$3=$AD196,$F196&amp;"R",AL195))))</f>
        <v>wK</v>
      </c>
      <c r="AM196" s="11" t="str">
        <f aca="false">IF($P196=0,AM195,IF(AM$3=$E196,IF($AA196=1,$F196&amp;$AB196,$G196),IF(OR(AM$3=$D196,AM$3=$AC196,AM$3=$AE196),"",IF(AM$3=$AD196,$F196&amp;"R",AM195))))</f>
        <v>wB</v>
      </c>
      <c r="AN196" s="11" t="str">
        <f aca="false">IF($P196=0,AN195,IF(AN$3=$E196,IF($AA196=1,$F196&amp;$AB196,$G196),IF(OR(AN$3=$D196,AN$3=$AC196,AN$3=$AE196),"",IF(AN$3=$AD196,$F196&amp;"R",AN195))))</f>
        <v>wN</v>
      </c>
      <c r="AO196" s="11" t="str">
        <f aca="false">IF($P196=0,AO195,IF(AO$3=$E196,IF($AA196=1,$F196&amp;$AB196,$G196),IF(OR(AO$3=$D196,AO$3=$AC196,AO$3=$AE196),"",IF(AO$3=$AD196,$F196&amp;"R",AO195))))</f>
        <v>wR</v>
      </c>
      <c r="AP196" s="11" t="str">
        <f aca="false">IF($P196=0,AP195,IF(AP$3=$E196,IF($AA196=1,$F196&amp;$AB196,$G196),IF(OR(AP$3=$D196,AP$3=$AC196,AP$3=$AE196),"",IF(AP$3=$AD196,$F196&amp;"R",AP195))))</f>
        <v>wP</v>
      </c>
      <c r="AQ196" s="11" t="str">
        <f aca="false">IF($P196=0,AQ195,IF(AQ$3=$E196,IF($AA196=1,$F196&amp;$AB196,$G196),IF(OR(AQ$3=$D196,AQ$3=$AC196,AQ$3=$AE196),"",IF(AQ$3=$AD196,$F196&amp;"R",AQ195))))</f>
        <v>wP</v>
      </c>
      <c r="AR196" s="11" t="str">
        <f aca="false">IF($P196=0,AR195,IF(AR$3=$E196,IF($AA196=1,$F196&amp;$AB196,$G196),IF(OR(AR$3=$D196,AR$3=$AC196,AR$3=$AE196),"",IF(AR$3=$AD196,$F196&amp;"R",AR195))))</f>
        <v>wP</v>
      </c>
      <c r="AS196" s="11" t="str">
        <f aca="false">IF($P196=0,AS195,IF(AS$3=$E196,IF($AA196=1,$F196&amp;$AB196,$G196),IF(OR(AS$3=$D196,AS$3=$AC196,AS$3=$AE196),"",IF(AS$3=$AD196,$F196&amp;"R",AS195))))</f>
        <v>wP</v>
      </c>
      <c r="AT196" s="11" t="str">
        <f aca="false">IF($P196=0,AT195,IF(AT$3=$E196,IF($AA196=1,$F196&amp;$AB196,$G196),IF(OR(AT$3=$D196,AT$3=$AC196,AT$3=$AE196),"",IF(AT$3=$AD196,$F196&amp;"R",AT195))))</f>
        <v>wP</v>
      </c>
      <c r="AU196" s="11" t="str">
        <f aca="false">IF($P196=0,AU195,IF(AU$3=$E196,IF($AA196=1,$F196&amp;$AB196,$G196),IF(OR(AU$3=$D196,AU$3=$AC196,AU$3=$AE196),"",IF(AU$3=$AD196,$F196&amp;"R",AU195))))</f>
        <v>wP</v>
      </c>
      <c r="AV196" s="11" t="str">
        <f aca="false">IF($P196=0,AV195,IF(AV$3=$E196,IF($AA196=1,$F196&amp;$AB196,$G196),IF(OR(AV$3=$D196,AV$3=$AC196,AV$3=$AE196),"",IF(AV$3=$AD196,$F196&amp;"R",AV195))))</f>
        <v>wP</v>
      </c>
      <c r="AW196" s="11" t="str">
        <f aca="false">IF($P196=0,AW195,IF(AW$3=$E196,IF($AA196=1,$F196&amp;$AB196,$G196),IF(OR(AW$3=$D196,AW$3=$AC196,AW$3=$AE196),"",IF(AW$3=$AD196,$F196&amp;"R",AW195))))</f>
        <v>wP</v>
      </c>
      <c r="AX196" s="11" t="str">
        <f aca="false">IF($P196=0,AX195,IF(AX$3=$E196,IF($AA196=1,$F196&amp;$AB196,$G196),IF(OR(AX$3=$D196,AX$3=$AC196,AX$3=$AE196),"",IF(AX$3=$AD196,$F196&amp;"R",AX195))))</f>
        <v/>
      </c>
      <c r="AY196" s="11" t="str">
        <f aca="false">IF($P196=0,AY195,IF(AY$3=$E196,IF($AA196=1,$F196&amp;$AB196,$G196),IF(OR(AY$3=$D196,AY$3=$AC196,AY$3=$AE196),"",IF(AY$3=$AD196,$F196&amp;"R",AY195))))</f>
        <v/>
      </c>
      <c r="AZ196" s="11" t="str">
        <f aca="false">IF($P196=0,AZ195,IF(AZ$3=$E196,IF($AA196=1,$F196&amp;$AB196,$G196),IF(OR(AZ$3=$D196,AZ$3=$AC196,AZ$3=$AE196),"",IF(AZ$3=$AD196,$F196&amp;"R",AZ195))))</f>
        <v/>
      </c>
      <c r="BA196" s="11" t="str">
        <f aca="false">IF($P196=0,BA195,IF(BA$3=$E196,IF($AA196=1,$F196&amp;$AB196,$G196),IF(OR(BA$3=$D196,BA$3=$AC196,BA$3=$AE196),"",IF(BA$3=$AD196,$F196&amp;"R",BA195))))</f>
        <v/>
      </c>
      <c r="BB196" s="11" t="str">
        <f aca="false">IF($P196=0,BB195,IF(BB$3=$E196,IF($AA196=1,$F196&amp;$AB196,$G196),IF(OR(BB$3=$D196,BB$3=$AC196,BB$3=$AE196),"",IF(BB$3=$AD196,$F196&amp;"R",BB195))))</f>
        <v/>
      </c>
      <c r="BC196" s="11" t="str">
        <f aca="false">IF($P196=0,BC195,IF(BC$3=$E196,IF($AA196=1,$F196&amp;$AB196,$G196),IF(OR(BC$3=$D196,BC$3=$AC196,BC$3=$AE196),"",IF(BC$3=$AD196,$F196&amp;"R",BC195))))</f>
        <v/>
      </c>
      <c r="BD196" s="11" t="str">
        <f aca="false">IF($P196=0,BD195,IF(BD$3=$E196,IF($AA196=1,$F196&amp;$AB196,$G196),IF(OR(BD$3=$D196,BD$3=$AC196,BD$3=$AE196),"",IF(BD$3=$AD196,$F196&amp;"R",BD195))))</f>
        <v/>
      </c>
      <c r="BE196" s="11" t="str">
        <f aca="false">IF($P196=0,BE195,IF(BE$3=$E196,IF($AA196=1,$F196&amp;$AB196,$G196),IF(OR(BE$3=$D196,BE$3=$AC196,BE$3=$AE196),"",IF(BE$3=$AD196,$F196&amp;"R",BE195))))</f>
        <v/>
      </c>
      <c r="BF196" s="11" t="str">
        <f aca="false">IF($P196=0,BF195,IF(BF$3=$E196,IF($AA196=1,$F196&amp;$AB196,$G196),IF(OR(BF$3=$D196,BF$3=$AC196,BF$3=$AE196),"",IF(BF$3=$AD196,$F196&amp;"R",BF195))))</f>
        <v/>
      </c>
      <c r="BG196" s="11" t="str">
        <f aca="false">IF($P196=0,BG195,IF(BG$3=$E196,IF($AA196=1,$F196&amp;$AB196,$G196),IF(OR(BG$3=$D196,BG$3=$AC196,BG$3=$AE196),"",IF(BG$3=$AD196,$F196&amp;"R",BG195))))</f>
        <v/>
      </c>
      <c r="BH196" s="11" t="str">
        <f aca="false">IF($P196=0,BH195,IF(BH$3=$E196,IF($AA196=1,$F196&amp;$AB196,$G196),IF(OR(BH$3=$D196,BH$3=$AC196,BH$3=$AE196),"",IF(BH$3=$AD196,$F196&amp;"R",BH195))))</f>
        <v/>
      </c>
      <c r="BI196" s="11" t="str">
        <f aca="false">IF($P196=0,BI195,IF(BI$3=$E196,IF($AA196=1,$F196&amp;$AB196,$G196),IF(OR(BI$3=$D196,BI$3=$AC196,BI$3=$AE196),"",IF(BI$3=$AD196,$F196&amp;"R",BI195))))</f>
        <v/>
      </c>
      <c r="BJ196" s="11" t="str">
        <f aca="false">IF($P196=0,BJ195,IF(BJ$3=$E196,IF($AA196=1,$F196&amp;$AB196,$G196),IF(OR(BJ$3=$D196,BJ$3=$AC196,BJ$3=$AE196),"",IF(BJ$3=$AD196,$F196&amp;"R",BJ195))))</f>
        <v/>
      </c>
      <c r="BK196" s="11" t="str">
        <f aca="false">IF($P196=0,BK195,IF(BK$3=$E196,IF($AA196=1,$F196&amp;$AB196,$G196),IF(OR(BK$3=$D196,BK$3=$AC196,BK$3=$AE196),"",IF(BK$3=$AD196,$F196&amp;"R",BK195))))</f>
        <v/>
      </c>
      <c r="BL196" s="11" t="str">
        <f aca="false">IF($P196=0,BL195,IF(BL$3=$E196,IF($AA196=1,$F196&amp;$AB196,$G196),IF(OR(BL$3=$D196,BL$3=$AC196,BL$3=$AE196),"",IF(BL$3=$AD196,$F196&amp;"R",BL195))))</f>
        <v/>
      </c>
      <c r="BM196" s="11" t="str">
        <f aca="false">IF($P196=0,BM195,IF(BM$3=$E196,IF($AA196=1,$F196&amp;$AB196,$G196),IF(OR(BM$3=$D196,BM$3=$AC196,BM$3=$AE196),"",IF(BM$3=$AD196,$F196&amp;"R",BM195))))</f>
        <v/>
      </c>
      <c r="BN196" s="11" t="str">
        <f aca="false">IF($P196=0,BN195,IF(BN$3=$E196,IF($AA196=1,$F196&amp;$AB196,$G196),IF(OR(BN$3=$D196,BN$3=$AC196,BN$3=$AE196),"",IF(BN$3=$AD196,$F196&amp;"R",BN195))))</f>
        <v/>
      </c>
      <c r="BO196" s="11" t="str">
        <f aca="false">IF($P196=0,BO195,IF(BO$3=$E196,IF($AA196=1,$F196&amp;$AB196,$G196),IF(OR(BO$3=$D196,BO$3=$AC196,BO$3=$AE196),"",IF(BO$3=$AD196,$F196&amp;"R",BO195))))</f>
        <v/>
      </c>
      <c r="BP196" s="11" t="str">
        <f aca="false">IF($P196=0,BP195,IF(BP$3=$E196,IF($AA196=1,$F196&amp;$AB196,$G196),IF(OR(BP$3=$D196,BP$3=$AC196,BP$3=$AE196),"",IF(BP$3=$AD196,$F196&amp;"R",BP195))))</f>
        <v/>
      </c>
      <c r="BQ196" s="11" t="str">
        <f aca="false">IF($P196=0,BQ195,IF(BQ$3=$E196,IF($AA196=1,$F196&amp;$AB196,$G196),IF(OR(BQ$3=$D196,BQ$3=$AC196,BQ$3=$AE196),"",IF(BQ$3=$AD196,$F196&amp;"R",BQ195))))</f>
        <v/>
      </c>
      <c r="BR196" s="11" t="str">
        <f aca="false">IF($P196=0,BR195,IF(BR$3=$E196,IF($AA196=1,$F196&amp;$AB196,$G196),IF(OR(BR$3=$D196,BR$3=$AC196,BR$3=$AE196),"",IF(BR$3=$AD196,$F196&amp;"R",BR195))))</f>
        <v/>
      </c>
      <c r="BS196" s="11" t="str">
        <f aca="false">IF($P196=0,BS195,IF(BS$3=$E196,IF($AA196=1,$F196&amp;$AB196,$G196),IF(OR(BS$3=$D196,BS$3=$AC196,BS$3=$AE196),"",IF(BS$3=$AD196,$F196&amp;"R",BS195))))</f>
        <v/>
      </c>
      <c r="BT196" s="11" t="str">
        <f aca="false">IF($P196=0,BT195,IF(BT$3=$E196,IF($AA196=1,$F196&amp;$AB196,$G196),IF(OR(BT$3=$D196,BT$3=$AC196,BT$3=$AE196),"",IF(BT$3=$AD196,$F196&amp;"R",BT195))))</f>
        <v/>
      </c>
      <c r="BU196" s="11" t="str">
        <f aca="false">IF($P196=0,BU195,IF(BU$3=$E196,IF($AA196=1,$F196&amp;$AB196,$G196),IF(OR(BU$3=$D196,BU$3=$AC196,BU$3=$AE196),"",IF(BU$3=$AD196,$F196&amp;"R",BU195))))</f>
        <v/>
      </c>
      <c r="BV196" s="11" t="str">
        <f aca="false">IF($P196=0,BV195,IF(BV$3=$E196,IF($AA196=1,$F196&amp;$AB196,$G196),IF(OR(BV$3=$D196,BV$3=$AC196,BV$3=$AE196),"",IF(BV$3=$AD196,$F196&amp;"R",BV195))))</f>
        <v/>
      </c>
      <c r="BW196" s="11" t="str">
        <f aca="false">IF($P196=0,BW195,IF(BW$3=$E196,IF($AA196=1,$F196&amp;$AB196,$G196),IF(OR(BW$3=$D196,BW$3=$AC196,BW$3=$AE196),"",IF(BW$3=$AD196,$F196&amp;"R",BW195))))</f>
        <v/>
      </c>
      <c r="BX196" s="11" t="str">
        <f aca="false">IF($P196=0,BX195,IF(BX$3=$E196,IF($AA196=1,$F196&amp;$AB196,$G196),IF(OR(BX$3=$D196,BX$3=$AC196,BX$3=$AE196),"",IF(BX$3=$AD196,$F196&amp;"R",BX195))))</f>
        <v/>
      </c>
      <c r="BY196" s="11" t="str">
        <f aca="false">IF($P196=0,BY195,IF(BY$3=$E196,IF($AA196=1,$F196&amp;$AB196,$G196),IF(OR(BY$3=$D196,BY$3=$AC196,BY$3=$AE196),"",IF(BY$3=$AD196,$F196&amp;"R",BY195))))</f>
        <v/>
      </c>
      <c r="BZ196" s="11" t="str">
        <f aca="false">IF($P196=0,BZ195,IF(BZ$3=$E196,IF($AA196=1,$F196&amp;$AB196,$G196),IF(OR(BZ$3=$D196,BZ$3=$AC196,BZ$3=$AE196),"",IF(BZ$3=$AD196,$F196&amp;"R",BZ195))))</f>
        <v/>
      </c>
      <c r="CA196" s="11" t="str">
        <f aca="false">IF($P196=0,CA195,IF(CA$3=$E196,IF($AA196=1,$F196&amp;$AB196,$G196),IF(OR(CA$3=$D196,CA$3=$AC196,CA$3=$AE196),"",IF(CA$3=$AD196,$F196&amp;"R",CA195))))</f>
        <v/>
      </c>
      <c r="CB196" s="11" t="str">
        <f aca="false">IF($P196=0,CB195,IF(CB$3=$E196,IF($AA196=1,$F196&amp;$AB196,$G196),IF(OR(CB$3=$D196,CB$3=$AC196,CB$3=$AE196),"",IF(CB$3=$AD196,$F196&amp;"R",CB195))))</f>
        <v/>
      </c>
      <c r="CC196" s="11" t="str">
        <f aca="false">IF($P196=0,CC195,IF(CC$3=$E196,IF($AA196=1,$F196&amp;$AB196,$G196),IF(OR(CC$3=$D196,CC$3=$AC196,CC$3=$AE196),"",IF(CC$3=$AD196,$F196&amp;"R",CC195))))</f>
        <v/>
      </c>
      <c r="CD196" s="11" t="str">
        <f aca="false">IF($P196=0,CD195,IF(CD$3=$E196,IF($AA196=1,$F196&amp;$AB196,$G196),IF(OR(CD$3=$D196,CD$3=$AC196,CD$3=$AE196),"",IF(CD$3=$AD196,$F196&amp;"R",CD195))))</f>
        <v>bP</v>
      </c>
      <c r="CE196" s="11" t="str">
        <f aca="false">IF($P196=0,CE195,IF(CE$3=$E196,IF($AA196=1,$F196&amp;$AB196,$G196),IF(OR(CE$3=$D196,CE$3=$AC196,CE$3=$AE196),"",IF(CE$3=$AD196,$F196&amp;"R",CE195))))</f>
        <v>bP</v>
      </c>
      <c r="CF196" s="11" t="str">
        <f aca="false">IF($P196=0,CF195,IF(CF$3=$E196,IF($AA196=1,$F196&amp;$AB196,$G196),IF(OR(CF$3=$D196,CF$3=$AC196,CF$3=$AE196),"",IF(CF$3=$AD196,$F196&amp;"R",CF195))))</f>
        <v>bP</v>
      </c>
      <c r="CG196" s="11" t="str">
        <f aca="false">IF($P196=0,CG195,IF(CG$3=$E196,IF($AA196=1,$F196&amp;$AB196,$G196),IF(OR(CG$3=$D196,CG$3=$AC196,CG$3=$AE196),"",IF(CG$3=$AD196,$F196&amp;"R",CG195))))</f>
        <v>bP</v>
      </c>
      <c r="CH196" s="11" t="str">
        <f aca="false">IF($P196=0,CH195,IF(CH$3=$E196,IF($AA196=1,$F196&amp;$AB196,$G196),IF(OR(CH$3=$D196,CH$3=$AC196,CH$3=$AE196),"",IF(CH$3=$AD196,$F196&amp;"R",CH195))))</f>
        <v>bP</v>
      </c>
      <c r="CI196" s="11" t="str">
        <f aca="false">IF($P196=0,CI195,IF(CI$3=$E196,IF($AA196=1,$F196&amp;$AB196,$G196),IF(OR(CI$3=$D196,CI$3=$AC196,CI$3=$AE196),"",IF(CI$3=$AD196,$F196&amp;"R",CI195))))</f>
        <v>bP</v>
      </c>
      <c r="CJ196" s="11" t="str">
        <f aca="false">IF($P196=0,CJ195,IF(CJ$3=$E196,IF($AA196=1,$F196&amp;$AB196,$G196),IF(OR(CJ$3=$D196,CJ$3=$AC196,CJ$3=$AE196),"",IF(CJ$3=$AD196,$F196&amp;"R",CJ195))))</f>
        <v>bP</v>
      </c>
      <c r="CK196" s="11" t="str">
        <f aca="false">IF($P196=0,CK195,IF(CK$3=$E196,IF($AA196=1,$F196&amp;$AB196,$G196),IF(OR(CK$3=$D196,CK$3=$AC196,CK$3=$AE196),"",IF(CK$3=$AD196,$F196&amp;"R",CK195))))</f>
        <v>bP</v>
      </c>
      <c r="CL196" s="11" t="str">
        <f aca="false">IF($P196=0,CL195,IF(CL$3=$E196,IF($AA196=1,$F196&amp;$AB196,$G196),IF(OR(CL$3=$D196,CL$3=$AC196,CL$3=$AE196),"",IF(CL$3=$AD196,$F196&amp;"R",CL195))))</f>
        <v>bR</v>
      </c>
      <c r="CM196" s="11" t="str">
        <f aca="false">IF($P196=0,CM195,IF(CM$3=$E196,IF($AA196=1,$F196&amp;$AB196,$G196),IF(OR(CM$3=$D196,CM$3=$AC196,CM$3=$AE196),"",IF(CM$3=$AD196,$F196&amp;"R",CM195))))</f>
        <v>bN</v>
      </c>
      <c r="CN196" s="11" t="str">
        <f aca="false">IF($P196=0,CN195,IF(CN$3=$E196,IF($AA196=1,$F196&amp;$AB196,$G196),IF(OR(CN$3=$D196,CN$3=$AC196,CN$3=$AE196),"",IF(CN$3=$AD196,$F196&amp;"R",CN195))))</f>
        <v>bB</v>
      </c>
      <c r="CO196" s="11" t="str">
        <f aca="false">IF($P196=0,CO195,IF(CO$3=$E196,IF($AA196=1,$F196&amp;$AB196,$G196),IF(OR(CO$3=$D196,CO$3=$AC196,CO$3=$AE196),"",IF(CO$3=$AD196,$F196&amp;"R",CO195))))</f>
        <v>bQ</v>
      </c>
      <c r="CP196" s="11" t="str">
        <f aca="false">IF($P196=0,CP195,IF(CP$3=$E196,IF($AA196=1,$F196&amp;$AB196,$G196),IF(OR(CP$3=$D196,CP$3=$AC196,CP$3=$AE196),"",IF(CP$3=$AD196,$F196&amp;"R",CP195))))</f>
        <v>bK</v>
      </c>
      <c r="CQ196" s="11" t="str">
        <f aca="false">IF($P196=0,CQ195,IF(CQ$3=$E196,IF($AA196=1,$F196&amp;$AB196,$G196),IF(OR(CQ$3=$D196,CQ$3=$AC196,CQ$3=$AE196),"",IF(CQ$3=$AD196,$F196&amp;"R",CQ195))))</f>
        <v>bB</v>
      </c>
      <c r="CR196" s="11" t="str">
        <f aca="false">IF($P196=0,CR195,IF(CR$3=$E196,IF($AA196=1,$F196&amp;$AB196,$G196),IF(OR(CR$3=$D196,CR$3=$AC196,CR$3=$AE196),"",IF(CR$3=$AD196,$F196&amp;"R",CR195))))</f>
        <v>bN</v>
      </c>
      <c r="CS196" s="11" t="str">
        <f aca="false">IF($P196=0,CS195,IF(CS$3=$E196,IF($AA196=1,$F196&amp;$AB196,$G196),IF(OR(CS$3=$D196,CS$3=$AC196,CS$3=$AE196),"",IF(CS$3=$AD196,$F196&amp;"R",CS195))))</f>
        <v>bR</v>
      </c>
      <c r="CT196" s="11"/>
      <c r="CU196" s="11"/>
      <c r="CV196" s="11"/>
    </row>
    <row r="197" customFormat="false" ht="15" hidden="false" customHeight="false" outlineLevel="0" collapsed="false">
      <c r="A197" s="11" t="n">
        <v>192</v>
      </c>
      <c r="B197" s="11" t="str">
        <f aca="false">IF(Chess!$L$201="","",Chess!$L$201&amp;"")</f>
        <v/>
      </c>
      <c r="C197" s="11" t="str">
        <f aca="false">LOWER(SUBSTITUTE(SUBSTITUTE(SUBSTITUTE(SUBSTITUTE(TRIM($B197),"-",""),"=","")," ",""),"x",""))</f>
        <v/>
      </c>
      <c r="D197" s="11" t="n">
        <f aca="false">IF(LEN($C197)&lt;4,0,IFERROR(IF(AND(CODE(MID($C197,1,1))&gt;=97,CODE(MID($C197,1,1))&lt;=104,VALUE(MID($C197,2,1))&gt;=1,VALUE(MID($C197,2,1))&lt;=8),(VALUE(MID($C197,2,1))-1)*8+CODE(MID($C197,1,1))-96,0),0))</f>
        <v>0</v>
      </c>
      <c r="E197" s="11" t="n">
        <f aca="false">IF(LEN($C197)&lt;4,0,IFERROR(IF(AND(CODE(MID($C197,3,1))&gt;=97,CODE(MID($C197,3,1))&lt;=104,VALUE(MID($C197,4,1))&gt;=1,VALUE(MID($C197,4,1))&lt;=8),(VALUE(MID($C197,4,1))-1)*8+CODE(MID($C197,3,1))-96,0),0))</f>
        <v>0</v>
      </c>
      <c r="F197" s="11" t="str">
        <f aca="false">IF(MOD(SUM($P$5:$P196),2)=0,"w","b")</f>
        <v>w</v>
      </c>
      <c r="G197" s="11" t="str">
        <f aca="false">IF($D197=0,"",INDEX($AH196:$CS196,1,$D197)&amp;"")</f>
        <v/>
      </c>
      <c r="H197" s="11" t="str">
        <f aca="false">IF($E197=0,"",INDEX($AH196:$CS196,1,$E197)&amp;"")</f>
        <v/>
      </c>
      <c r="I197" s="11" t="n">
        <f aca="false">IF(OR($D197=0,$E197=0),0,MOD($E197-1,8)-MOD($D197-1,8))</f>
        <v>0</v>
      </c>
      <c r="J197" s="11" t="n">
        <f aca="false">IF(OR($D197=0,$E197=0),0,INT(($E197-1)/8)-INT(($D197-1)/8))</f>
        <v>0</v>
      </c>
      <c r="K197" s="11" t="str">
        <f aca="false">IF($G197="","",RIGHT($G197,1))</f>
        <v/>
      </c>
      <c r="L197" s="11" t="n">
        <f aca="false">IF(OR($D197=0,$E197=0),0,SUMPRODUCT(($AH$3:$CS$3&gt;MIN($D197,$E197))*($AH$3:$CS$3&lt;MAX($D197,$E197))*(MOD($AH$3:$CS$3-MIN($D197,$E197),MAX(1,ABS(SIGN($J197)*8+SIGN($I197))))=0)*($AH196:$CS196&lt;&gt;"")))</f>
        <v>0</v>
      </c>
      <c r="M197" s="11" t="n">
        <f aca="false">IF($K197&lt;&gt;"K",0,IFERROR(--AND($J197=0,ABS($I197)=2,$D197=IF($F197="w",5,61),IF($F197="w",$S196,$V196)=0,IF($I197=2,AND(IF($F197="w",$U196,$X196)=0,INDEX($AH196:$CS196,1,$D197+1)&amp;""="",INDEX($AH196:$CS196,1,$D197+2)&amp;""=""),AND(IF($F197="w",$T196,$W196)=0,INDEX($AH196:$CS196,1,$D197-1)&amp;""="",INDEX($AH196:$CS196,1,$D197-2)&amp;""="",INDEX($AH196:$CS196,1,$D197-3)&amp;""=""))),0))</f>
        <v>0</v>
      </c>
      <c r="N197" s="11" t="n">
        <f aca="false">IF($K197&lt;&gt;"P",0,IFERROR(--OR(AND($I197=0,$J197=IF($F197="w",1,-1),$H197=""),AND($I197=0,$J197=2*IF($F197="w",1,-1),$H197="",INT(($D197-1)/8)=IF($F197="w",1,6),INDEX($AH196:$CS196,1,MAX(1,MIN(64,$D197+8*IF($F197="w",1,-1))))&amp;""=""),AND(ABS($I197)=1,$J197=IF($F197="w",1,-1),$H197&lt;&gt;""),AND(ABS($I197)=1,$J197=IF($F197="w",1,-1),$H197="",$R196&gt;0,$E197=$R196)),0))</f>
        <v>0</v>
      </c>
      <c r="O197" s="11" t="n">
        <f aca="false">IF(OR($D197=0,$E197=0,$G197=""),0,IF($K197="N",--OR(AND(ABS($I197)=1,ABS($J197)=2),AND(ABS($I197)=2,ABS($J197)=1)),IF($K197="B",--AND(ABS($I197)=ABS($J197),$I197&lt;&gt;0,$L197=0),IF($K197="R",--AND(OR($I197=0,$J197=0),OR($I197&lt;&gt;0,$J197&lt;&gt;0),$L197=0),IF($K197="Q",--AND(OR(AND(ABS($I197)=ABS($J197),$I197&lt;&gt;0),AND(OR($I197=0,$J197=0),OR($I197&lt;&gt;0,$J197&lt;&gt;0))),$L197=0),IF($K197="K",--OR(MAX(ABS($I197),ABS($J197))=1,$M197=1),$N197))))))</f>
        <v>0</v>
      </c>
      <c r="P197" s="11" t="n">
        <f aca="false">IF($Q197="OK",1,0)</f>
        <v>0</v>
      </c>
      <c r="Q197" s="11" t="str">
        <f aca="false">IF($B197="","",IF(OR(COUNTIF($AH196:$CS196,"wK")=0,COUNTIF($AH196:$CS196,"bK")=0),"Game is over",IF(OR($D197=0,$E197=0),"Use the format e2e4",IF($G197="","No piece on that square",IF(LEFT($G197,1)&lt;&gt;$F197,"Not your piece ("&amp;IF($F197="w","White","Black")&amp;" to move)",IF($D197=$E197,"Piece must move",IF(AND($H197&lt;&gt;"",LEFT($H197,1)=$F197),"Cannot capture your own piece",IF($O197=0,"Illegal move for that piece (or path blocked)","OK"))))))))</f>
        <v/>
      </c>
      <c r="R197" s="11" t="n">
        <f aca="false">IF($P197=1,IF(AND($K197="P",ABS($J197)=2),($D197+$E197)/2,0),$R196)</f>
        <v>0</v>
      </c>
      <c r="S197" s="12" t="b">
        <f aca="false">--OR($S196=1,AND($P197=1,OR($D197=5,$E197=5)))</f>
        <v>0</v>
      </c>
      <c r="T197" s="12" t="b">
        <f aca="false">--OR($T196=1,AND($P197=1,OR($D197=1,$E197=1)))</f>
        <v>0</v>
      </c>
      <c r="U197" s="12" t="b">
        <f aca="false">--OR($U196=1,AND($P197=1,OR($D197=8,$E197=8)))</f>
        <v>0</v>
      </c>
      <c r="V197" s="12" t="b">
        <f aca="false">--OR($V196=1,AND($P197=1,OR($D197=61,$E197=61)))</f>
        <v>0</v>
      </c>
      <c r="W197" s="12" t="b">
        <f aca="false">--OR($W196=1,AND($P197=1,OR($D197=57,$E197=57)))</f>
        <v>0</v>
      </c>
      <c r="X197" s="12" t="b">
        <f aca="false">--OR($X196=1,AND($P197=1,OR($D197=64,$E197=64)))</f>
        <v>0</v>
      </c>
      <c r="Y197" s="12" t="b">
        <f aca="false">--AND($P197=1,$K197="K",ABS($I197)=2)</f>
        <v>0</v>
      </c>
      <c r="Z197" s="12" t="b">
        <f aca="false">--AND($P197=1,$K197="P",ABS($I197)=1,$H197="")</f>
        <v>0</v>
      </c>
      <c r="AA197" s="12" t="b">
        <f aca="false">--AND($P197=1,$K197="P",INT(($E197-1)/8)=IF($F197="w",7,0))</f>
        <v>0</v>
      </c>
      <c r="AB197" s="11" t="str">
        <f aca="false">IF(LEN($C197)&gt;=5,IF(ISNUMBER(FIND(MID($C197,5,1),"qrbn")),UPPER(MID($C197,5,1)),"Q"),"Q")</f>
        <v>Q</v>
      </c>
      <c r="AC197" s="11" t="n">
        <f aca="false">IF($Y197=1,IF($I197=2,$D197+3,$D197-4),0)</f>
        <v>0</v>
      </c>
      <c r="AD197" s="11" t="n">
        <f aca="false">IF($Y197=1,IF($I197=2,$D197+1,$D197-1),0)</f>
        <v>0</v>
      </c>
      <c r="AE197" s="11" t="n">
        <f aca="false">IF($Z197=1,$E197-8*IF($F197="w",1,-1),0)</f>
        <v>0</v>
      </c>
      <c r="AF197" s="11" t="str">
        <f aca="false">IF($B197="","",IF($P197=1,LOWER(INDEX($CV$2:$CV$13,MATCH($G197,$CU$2:$CU$13,0)))&amp;" "&amp;MID("abcdefgh",MOD($D197-1,8)+1,1)&amp;(INT(($D197-1)/8)+1)&amp;"→"&amp;MID("abcdefgh",MOD($E197-1,8)+1,1)&amp;(INT(($E197-1)/8)+1)&amp;IF(OR($H197&lt;&gt;"",$Z197=1)," ×","")&amp;IF($Y197=1," castles","")&amp;IF($Z197=1," e.p.","")&amp;IF($AA197=1," =" &amp;LOWER(INDEX($CV$2:$CV$13,MATCH($F197&amp;$AB197,$CU$2:$CU$13,0))),""),"X "&amp;$Q197))</f>
        <v/>
      </c>
      <c r="AG197" s="11"/>
      <c r="AH197" s="11" t="str">
        <f aca="false">IF($P197=0,AH196,IF(AH$3=$E197,IF($AA197=1,$F197&amp;$AB197,$G197),IF(OR(AH$3=$D197,AH$3=$AC197,AH$3=$AE197),"",IF(AH$3=$AD197,$F197&amp;"R",AH196))))</f>
        <v>wR</v>
      </c>
      <c r="AI197" s="11" t="str">
        <f aca="false">IF($P197=0,AI196,IF(AI$3=$E197,IF($AA197=1,$F197&amp;$AB197,$G197),IF(OR(AI$3=$D197,AI$3=$AC197,AI$3=$AE197),"",IF(AI$3=$AD197,$F197&amp;"R",AI196))))</f>
        <v>wN</v>
      </c>
      <c r="AJ197" s="11" t="str">
        <f aca="false">IF($P197=0,AJ196,IF(AJ$3=$E197,IF($AA197=1,$F197&amp;$AB197,$G197),IF(OR(AJ$3=$D197,AJ$3=$AC197,AJ$3=$AE197),"",IF(AJ$3=$AD197,$F197&amp;"R",AJ196))))</f>
        <v>wB</v>
      </c>
      <c r="AK197" s="11" t="str">
        <f aca="false">IF($P197=0,AK196,IF(AK$3=$E197,IF($AA197=1,$F197&amp;$AB197,$G197),IF(OR(AK$3=$D197,AK$3=$AC197,AK$3=$AE197),"",IF(AK$3=$AD197,$F197&amp;"R",AK196))))</f>
        <v>wQ</v>
      </c>
      <c r="AL197" s="11" t="str">
        <f aca="false">IF($P197=0,AL196,IF(AL$3=$E197,IF($AA197=1,$F197&amp;$AB197,$G197),IF(OR(AL$3=$D197,AL$3=$AC197,AL$3=$AE197),"",IF(AL$3=$AD197,$F197&amp;"R",AL196))))</f>
        <v>wK</v>
      </c>
      <c r="AM197" s="11" t="str">
        <f aca="false">IF($P197=0,AM196,IF(AM$3=$E197,IF($AA197=1,$F197&amp;$AB197,$G197),IF(OR(AM$3=$D197,AM$3=$AC197,AM$3=$AE197),"",IF(AM$3=$AD197,$F197&amp;"R",AM196))))</f>
        <v>wB</v>
      </c>
      <c r="AN197" s="11" t="str">
        <f aca="false">IF($P197=0,AN196,IF(AN$3=$E197,IF($AA197=1,$F197&amp;$AB197,$G197),IF(OR(AN$3=$D197,AN$3=$AC197,AN$3=$AE197),"",IF(AN$3=$AD197,$F197&amp;"R",AN196))))</f>
        <v>wN</v>
      </c>
      <c r="AO197" s="11" t="str">
        <f aca="false">IF($P197=0,AO196,IF(AO$3=$E197,IF($AA197=1,$F197&amp;$AB197,$G197),IF(OR(AO$3=$D197,AO$3=$AC197,AO$3=$AE197),"",IF(AO$3=$AD197,$F197&amp;"R",AO196))))</f>
        <v>wR</v>
      </c>
      <c r="AP197" s="11" t="str">
        <f aca="false">IF($P197=0,AP196,IF(AP$3=$E197,IF($AA197=1,$F197&amp;$AB197,$G197),IF(OR(AP$3=$D197,AP$3=$AC197,AP$3=$AE197),"",IF(AP$3=$AD197,$F197&amp;"R",AP196))))</f>
        <v>wP</v>
      </c>
      <c r="AQ197" s="11" t="str">
        <f aca="false">IF($P197=0,AQ196,IF(AQ$3=$E197,IF($AA197=1,$F197&amp;$AB197,$G197),IF(OR(AQ$3=$D197,AQ$3=$AC197,AQ$3=$AE197),"",IF(AQ$3=$AD197,$F197&amp;"R",AQ196))))</f>
        <v>wP</v>
      </c>
      <c r="AR197" s="11" t="str">
        <f aca="false">IF($P197=0,AR196,IF(AR$3=$E197,IF($AA197=1,$F197&amp;$AB197,$G197),IF(OR(AR$3=$D197,AR$3=$AC197,AR$3=$AE197),"",IF(AR$3=$AD197,$F197&amp;"R",AR196))))</f>
        <v>wP</v>
      </c>
      <c r="AS197" s="11" t="str">
        <f aca="false">IF($P197=0,AS196,IF(AS$3=$E197,IF($AA197=1,$F197&amp;$AB197,$G197),IF(OR(AS$3=$D197,AS$3=$AC197,AS$3=$AE197),"",IF(AS$3=$AD197,$F197&amp;"R",AS196))))</f>
        <v>wP</v>
      </c>
      <c r="AT197" s="11" t="str">
        <f aca="false">IF($P197=0,AT196,IF(AT$3=$E197,IF($AA197=1,$F197&amp;$AB197,$G197),IF(OR(AT$3=$D197,AT$3=$AC197,AT$3=$AE197),"",IF(AT$3=$AD197,$F197&amp;"R",AT196))))</f>
        <v>wP</v>
      </c>
      <c r="AU197" s="11" t="str">
        <f aca="false">IF($P197=0,AU196,IF(AU$3=$E197,IF($AA197=1,$F197&amp;$AB197,$G197),IF(OR(AU$3=$D197,AU$3=$AC197,AU$3=$AE197),"",IF(AU$3=$AD197,$F197&amp;"R",AU196))))</f>
        <v>wP</v>
      </c>
      <c r="AV197" s="11" t="str">
        <f aca="false">IF($P197=0,AV196,IF(AV$3=$E197,IF($AA197=1,$F197&amp;$AB197,$G197),IF(OR(AV$3=$D197,AV$3=$AC197,AV$3=$AE197),"",IF(AV$3=$AD197,$F197&amp;"R",AV196))))</f>
        <v>wP</v>
      </c>
      <c r="AW197" s="11" t="str">
        <f aca="false">IF($P197=0,AW196,IF(AW$3=$E197,IF($AA197=1,$F197&amp;$AB197,$G197),IF(OR(AW$3=$D197,AW$3=$AC197,AW$3=$AE197),"",IF(AW$3=$AD197,$F197&amp;"R",AW196))))</f>
        <v>wP</v>
      </c>
      <c r="AX197" s="11" t="str">
        <f aca="false">IF($P197=0,AX196,IF(AX$3=$E197,IF($AA197=1,$F197&amp;$AB197,$G197),IF(OR(AX$3=$D197,AX$3=$AC197,AX$3=$AE197),"",IF(AX$3=$AD197,$F197&amp;"R",AX196))))</f>
        <v/>
      </c>
      <c r="AY197" s="11" t="str">
        <f aca="false">IF($P197=0,AY196,IF(AY$3=$E197,IF($AA197=1,$F197&amp;$AB197,$G197),IF(OR(AY$3=$D197,AY$3=$AC197,AY$3=$AE197),"",IF(AY$3=$AD197,$F197&amp;"R",AY196))))</f>
        <v/>
      </c>
      <c r="AZ197" s="11" t="str">
        <f aca="false">IF($P197=0,AZ196,IF(AZ$3=$E197,IF($AA197=1,$F197&amp;$AB197,$G197),IF(OR(AZ$3=$D197,AZ$3=$AC197,AZ$3=$AE197),"",IF(AZ$3=$AD197,$F197&amp;"R",AZ196))))</f>
        <v/>
      </c>
      <c r="BA197" s="11" t="str">
        <f aca="false">IF($P197=0,BA196,IF(BA$3=$E197,IF($AA197=1,$F197&amp;$AB197,$G197),IF(OR(BA$3=$D197,BA$3=$AC197,BA$3=$AE197),"",IF(BA$3=$AD197,$F197&amp;"R",BA196))))</f>
        <v/>
      </c>
      <c r="BB197" s="11" t="str">
        <f aca="false">IF($P197=0,BB196,IF(BB$3=$E197,IF($AA197=1,$F197&amp;$AB197,$G197),IF(OR(BB$3=$D197,BB$3=$AC197,BB$3=$AE197),"",IF(BB$3=$AD197,$F197&amp;"R",BB196))))</f>
        <v/>
      </c>
      <c r="BC197" s="11" t="str">
        <f aca="false">IF($P197=0,BC196,IF(BC$3=$E197,IF($AA197=1,$F197&amp;$AB197,$G197),IF(OR(BC$3=$D197,BC$3=$AC197,BC$3=$AE197),"",IF(BC$3=$AD197,$F197&amp;"R",BC196))))</f>
        <v/>
      </c>
      <c r="BD197" s="11" t="str">
        <f aca="false">IF($P197=0,BD196,IF(BD$3=$E197,IF($AA197=1,$F197&amp;$AB197,$G197),IF(OR(BD$3=$D197,BD$3=$AC197,BD$3=$AE197),"",IF(BD$3=$AD197,$F197&amp;"R",BD196))))</f>
        <v/>
      </c>
      <c r="BE197" s="11" t="str">
        <f aca="false">IF($P197=0,BE196,IF(BE$3=$E197,IF($AA197=1,$F197&amp;$AB197,$G197),IF(OR(BE$3=$D197,BE$3=$AC197,BE$3=$AE197),"",IF(BE$3=$AD197,$F197&amp;"R",BE196))))</f>
        <v/>
      </c>
      <c r="BF197" s="11" t="str">
        <f aca="false">IF($P197=0,BF196,IF(BF$3=$E197,IF($AA197=1,$F197&amp;$AB197,$G197),IF(OR(BF$3=$D197,BF$3=$AC197,BF$3=$AE197),"",IF(BF$3=$AD197,$F197&amp;"R",BF196))))</f>
        <v/>
      </c>
      <c r="BG197" s="11" t="str">
        <f aca="false">IF($P197=0,BG196,IF(BG$3=$E197,IF($AA197=1,$F197&amp;$AB197,$G197),IF(OR(BG$3=$D197,BG$3=$AC197,BG$3=$AE197),"",IF(BG$3=$AD197,$F197&amp;"R",BG196))))</f>
        <v/>
      </c>
      <c r="BH197" s="11" t="str">
        <f aca="false">IF($P197=0,BH196,IF(BH$3=$E197,IF($AA197=1,$F197&amp;$AB197,$G197),IF(OR(BH$3=$D197,BH$3=$AC197,BH$3=$AE197),"",IF(BH$3=$AD197,$F197&amp;"R",BH196))))</f>
        <v/>
      </c>
      <c r="BI197" s="11" t="str">
        <f aca="false">IF($P197=0,BI196,IF(BI$3=$E197,IF($AA197=1,$F197&amp;$AB197,$G197),IF(OR(BI$3=$D197,BI$3=$AC197,BI$3=$AE197),"",IF(BI$3=$AD197,$F197&amp;"R",BI196))))</f>
        <v/>
      </c>
      <c r="BJ197" s="11" t="str">
        <f aca="false">IF($P197=0,BJ196,IF(BJ$3=$E197,IF($AA197=1,$F197&amp;$AB197,$G197),IF(OR(BJ$3=$D197,BJ$3=$AC197,BJ$3=$AE197),"",IF(BJ$3=$AD197,$F197&amp;"R",BJ196))))</f>
        <v/>
      </c>
      <c r="BK197" s="11" t="str">
        <f aca="false">IF($P197=0,BK196,IF(BK$3=$E197,IF($AA197=1,$F197&amp;$AB197,$G197),IF(OR(BK$3=$D197,BK$3=$AC197,BK$3=$AE197),"",IF(BK$3=$AD197,$F197&amp;"R",BK196))))</f>
        <v/>
      </c>
      <c r="BL197" s="11" t="str">
        <f aca="false">IF($P197=0,BL196,IF(BL$3=$E197,IF($AA197=1,$F197&amp;$AB197,$G197),IF(OR(BL$3=$D197,BL$3=$AC197,BL$3=$AE197),"",IF(BL$3=$AD197,$F197&amp;"R",BL196))))</f>
        <v/>
      </c>
      <c r="BM197" s="11" t="str">
        <f aca="false">IF($P197=0,BM196,IF(BM$3=$E197,IF($AA197=1,$F197&amp;$AB197,$G197),IF(OR(BM$3=$D197,BM$3=$AC197,BM$3=$AE197),"",IF(BM$3=$AD197,$F197&amp;"R",BM196))))</f>
        <v/>
      </c>
      <c r="BN197" s="11" t="str">
        <f aca="false">IF($P197=0,BN196,IF(BN$3=$E197,IF($AA197=1,$F197&amp;$AB197,$G197),IF(OR(BN$3=$D197,BN$3=$AC197,BN$3=$AE197),"",IF(BN$3=$AD197,$F197&amp;"R",BN196))))</f>
        <v/>
      </c>
      <c r="BO197" s="11" t="str">
        <f aca="false">IF($P197=0,BO196,IF(BO$3=$E197,IF($AA197=1,$F197&amp;$AB197,$G197),IF(OR(BO$3=$D197,BO$3=$AC197,BO$3=$AE197),"",IF(BO$3=$AD197,$F197&amp;"R",BO196))))</f>
        <v/>
      </c>
      <c r="BP197" s="11" t="str">
        <f aca="false">IF($P197=0,BP196,IF(BP$3=$E197,IF($AA197=1,$F197&amp;$AB197,$G197),IF(OR(BP$3=$D197,BP$3=$AC197,BP$3=$AE197),"",IF(BP$3=$AD197,$F197&amp;"R",BP196))))</f>
        <v/>
      </c>
      <c r="BQ197" s="11" t="str">
        <f aca="false">IF($P197=0,BQ196,IF(BQ$3=$E197,IF($AA197=1,$F197&amp;$AB197,$G197),IF(OR(BQ$3=$D197,BQ$3=$AC197,BQ$3=$AE197),"",IF(BQ$3=$AD197,$F197&amp;"R",BQ196))))</f>
        <v/>
      </c>
      <c r="BR197" s="11" t="str">
        <f aca="false">IF($P197=0,BR196,IF(BR$3=$E197,IF($AA197=1,$F197&amp;$AB197,$G197),IF(OR(BR$3=$D197,BR$3=$AC197,BR$3=$AE197),"",IF(BR$3=$AD197,$F197&amp;"R",BR196))))</f>
        <v/>
      </c>
      <c r="BS197" s="11" t="str">
        <f aca="false">IF($P197=0,BS196,IF(BS$3=$E197,IF($AA197=1,$F197&amp;$AB197,$G197),IF(OR(BS$3=$D197,BS$3=$AC197,BS$3=$AE197),"",IF(BS$3=$AD197,$F197&amp;"R",BS196))))</f>
        <v/>
      </c>
      <c r="BT197" s="11" t="str">
        <f aca="false">IF($P197=0,BT196,IF(BT$3=$E197,IF($AA197=1,$F197&amp;$AB197,$G197),IF(OR(BT$3=$D197,BT$3=$AC197,BT$3=$AE197),"",IF(BT$3=$AD197,$F197&amp;"R",BT196))))</f>
        <v/>
      </c>
      <c r="BU197" s="11" t="str">
        <f aca="false">IF($P197=0,BU196,IF(BU$3=$E197,IF($AA197=1,$F197&amp;$AB197,$G197),IF(OR(BU$3=$D197,BU$3=$AC197,BU$3=$AE197),"",IF(BU$3=$AD197,$F197&amp;"R",BU196))))</f>
        <v/>
      </c>
      <c r="BV197" s="11" t="str">
        <f aca="false">IF($P197=0,BV196,IF(BV$3=$E197,IF($AA197=1,$F197&amp;$AB197,$G197),IF(OR(BV$3=$D197,BV$3=$AC197,BV$3=$AE197),"",IF(BV$3=$AD197,$F197&amp;"R",BV196))))</f>
        <v/>
      </c>
      <c r="BW197" s="11" t="str">
        <f aca="false">IF($P197=0,BW196,IF(BW$3=$E197,IF($AA197=1,$F197&amp;$AB197,$G197),IF(OR(BW$3=$D197,BW$3=$AC197,BW$3=$AE197),"",IF(BW$3=$AD197,$F197&amp;"R",BW196))))</f>
        <v/>
      </c>
      <c r="BX197" s="11" t="str">
        <f aca="false">IF($P197=0,BX196,IF(BX$3=$E197,IF($AA197=1,$F197&amp;$AB197,$G197),IF(OR(BX$3=$D197,BX$3=$AC197,BX$3=$AE197),"",IF(BX$3=$AD197,$F197&amp;"R",BX196))))</f>
        <v/>
      </c>
      <c r="BY197" s="11" t="str">
        <f aca="false">IF($P197=0,BY196,IF(BY$3=$E197,IF($AA197=1,$F197&amp;$AB197,$G197),IF(OR(BY$3=$D197,BY$3=$AC197,BY$3=$AE197),"",IF(BY$3=$AD197,$F197&amp;"R",BY196))))</f>
        <v/>
      </c>
      <c r="BZ197" s="11" t="str">
        <f aca="false">IF($P197=0,BZ196,IF(BZ$3=$E197,IF($AA197=1,$F197&amp;$AB197,$G197),IF(OR(BZ$3=$D197,BZ$3=$AC197,BZ$3=$AE197),"",IF(BZ$3=$AD197,$F197&amp;"R",BZ196))))</f>
        <v/>
      </c>
      <c r="CA197" s="11" t="str">
        <f aca="false">IF($P197=0,CA196,IF(CA$3=$E197,IF($AA197=1,$F197&amp;$AB197,$G197),IF(OR(CA$3=$D197,CA$3=$AC197,CA$3=$AE197),"",IF(CA$3=$AD197,$F197&amp;"R",CA196))))</f>
        <v/>
      </c>
      <c r="CB197" s="11" t="str">
        <f aca="false">IF($P197=0,CB196,IF(CB$3=$E197,IF($AA197=1,$F197&amp;$AB197,$G197),IF(OR(CB$3=$D197,CB$3=$AC197,CB$3=$AE197),"",IF(CB$3=$AD197,$F197&amp;"R",CB196))))</f>
        <v/>
      </c>
      <c r="CC197" s="11" t="str">
        <f aca="false">IF($P197=0,CC196,IF(CC$3=$E197,IF($AA197=1,$F197&amp;$AB197,$G197),IF(OR(CC$3=$D197,CC$3=$AC197,CC$3=$AE197),"",IF(CC$3=$AD197,$F197&amp;"R",CC196))))</f>
        <v/>
      </c>
      <c r="CD197" s="11" t="str">
        <f aca="false">IF($P197=0,CD196,IF(CD$3=$E197,IF($AA197=1,$F197&amp;$AB197,$G197),IF(OR(CD$3=$D197,CD$3=$AC197,CD$3=$AE197),"",IF(CD$3=$AD197,$F197&amp;"R",CD196))))</f>
        <v>bP</v>
      </c>
      <c r="CE197" s="11" t="str">
        <f aca="false">IF($P197=0,CE196,IF(CE$3=$E197,IF($AA197=1,$F197&amp;$AB197,$G197),IF(OR(CE$3=$D197,CE$3=$AC197,CE$3=$AE197),"",IF(CE$3=$AD197,$F197&amp;"R",CE196))))</f>
        <v>bP</v>
      </c>
      <c r="CF197" s="11" t="str">
        <f aca="false">IF($P197=0,CF196,IF(CF$3=$E197,IF($AA197=1,$F197&amp;$AB197,$G197),IF(OR(CF$3=$D197,CF$3=$AC197,CF$3=$AE197),"",IF(CF$3=$AD197,$F197&amp;"R",CF196))))</f>
        <v>bP</v>
      </c>
      <c r="CG197" s="11" t="str">
        <f aca="false">IF($P197=0,CG196,IF(CG$3=$E197,IF($AA197=1,$F197&amp;$AB197,$G197),IF(OR(CG$3=$D197,CG$3=$AC197,CG$3=$AE197),"",IF(CG$3=$AD197,$F197&amp;"R",CG196))))</f>
        <v>bP</v>
      </c>
      <c r="CH197" s="11" t="str">
        <f aca="false">IF($P197=0,CH196,IF(CH$3=$E197,IF($AA197=1,$F197&amp;$AB197,$G197),IF(OR(CH$3=$D197,CH$3=$AC197,CH$3=$AE197),"",IF(CH$3=$AD197,$F197&amp;"R",CH196))))</f>
        <v>bP</v>
      </c>
      <c r="CI197" s="11" t="str">
        <f aca="false">IF($P197=0,CI196,IF(CI$3=$E197,IF($AA197=1,$F197&amp;$AB197,$G197),IF(OR(CI$3=$D197,CI$3=$AC197,CI$3=$AE197),"",IF(CI$3=$AD197,$F197&amp;"R",CI196))))</f>
        <v>bP</v>
      </c>
      <c r="CJ197" s="11" t="str">
        <f aca="false">IF($P197=0,CJ196,IF(CJ$3=$E197,IF($AA197=1,$F197&amp;$AB197,$G197),IF(OR(CJ$3=$D197,CJ$3=$AC197,CJ$3=$AE197),"",IF(CJ$3=$AD197,$F197&amp;"R",CJ196))))</f>
        <v>bP</v>
      </c>
      <c r="CK197" s="11" t="str">
        <f aca="false">IF($P197=0,CK196,IF(CK$3=$E197,IF($AA197=1,$F197&amp;$AB197,$G197),IF(OR(CK$3=$D197,CK$3=$AC197,CK$3=$AE197),"",IF(CK$3=$AD197,$F197&amp;"R",CK196))))</f>
        <v>bP</v>
      </c>
      <c r="CL197" s="11" t="str">
        <f aca="false">IF($P197=0,CL196,IF(CL$3=$E197,IF($AA197=1,$F197&amp;$AB197,$G197),IF(OR(CL$3=$D197,CL$3=$AC197,CL$3=$AE197),"",IF(CL$3=$AD197,$F197&amp;"R",CL196))))</f>
        <v>bR</v>
      </c>
      <c r="CM197" s="11" t="str">
        <f aca="false">IF($P197=0,CM196,IF(CM$3=$E197,IF($AA197=1,$F197&amp;$AB197,$G197),IF(OR(CM$3=$D197,CM$3=$AC197,CM$3=$AE197),"",IF(CM$3=$AD197,$F197&amp;"R",CM196))))</f>
        <v>bN</v>
      </c>
      <c r="CN197" s="11" t="str">
        <f aca="false">IF($P197=0,CN196,IF(CN$3=$E197,IF($AA197=1,$F197&amp;$AB197,$G197),IF(OR(CN$3=$D197,CN$3=$AC197,CN$3=$AE197),"",IF(CN$3=$AD197,$F197&amp;"R",CN196))))</f>
        <v>bB</v>
      </c>
      <c r="CO197" s="11" t="str">
        <f aca="false">IF($P197=0,CO196,IF(CO$3=$E197,IF($AA197=1,$F197&amp;$AB197,$G197),IF(OR(CO$3=$D197,CO$3=$AC197,CO$3=$AE197),"",IF(CO$3=$AD197,$F197&amp;"R",CO196))))</f>
        <v>bQ</v>
      </c>
      <c r="CP197" s="11" t="str">
        <f aca="false">IF($P197=0,CP196,IF(CP$3=$E197,IF($AA197=1,$F197&amp;$AB197,$G197),IF(OR(CP$3=$D197,CP$3=$AC197,CP$3=$AE197),"",IF(CP$3=$AD197,$F197&amp;"R",CP196))))</f>
        <v>bK</v>
      </c>
      <c r="CQ197" s="11" t="str">
        <f aca="false">IF($P197=0,CQ196,IF(CQ$3=$E197,IF($AA197=1,$F197&amp;$AB197,$G197),IF(OR(CQ$3=$D197,CQ$3=$AC197,CQ$3=$AE197),"",IF(CQ$3=$AD197,$F197&amp;"R",CQ196))))</f>
        <v>bB</v>
      </c>
      <c r="CR197" s="11" t="str">
        <f aca="false">IF($P197=0,CR196,IF(CR$3=$E197,IF($AA197=1,$F197&amp;$AB197,$G197),IF(OR(CR$3=$D197,CR$3=$AC197,CR$3=$AE197),"",IF(CR$3=$AD197,$F197&amp;"R",CR196))))</f>
        <v>bN</v>
      </c>
      <c r="CS197" s="11" t="str">
        <f aca="false">IF($P197=0,CS196,IF(CS$3=$E197,IF($AA197=1,$F197&amp;$AB197,$G197),IF(OR(CS$3=$D197,CS$3=$AC197,CS$3=$AE197),"",IF(CS$3=$AD197,$F197&amp;"R",CS196))))</f>
        <v>bR</v>
      </c>
      <c r="CT197" s="11"/>
      <c r="CU197" s="11"/>
      <c r="CV197" s="11"/>
    </row>
    <row r="198" customFormat="false" ht="15" hidden="false" customHeight="false" outlineLevel="0" collapsed="false">
      <c r="A198" s="11" t="n">
        <v>193</v>
      </c>
      <c r="B198" s="11" t="str">
        <f aca="false">IF(Chess!$L$202="","",Chess!$L$202&amp;"")</f>
        <v/>
      </c>
      <c r="C198" s="11" t="str">
        <f aca="false">LOWER(SUBSTITUTE(SUBSTITUTE(SUBSTITUTE(SUBSTITUTE(TRIM($B198),"-",""),"=","")," ",""),"x",""))</f>
        <v/>
      </c>
      <c r="D198" s="11" t="n">
        <f aca="false">IF(LEN($C198)&lt;4,0,IFERROR(IF(AND(CODE(MID($C198,1,1))&gt;=97,CODE(MID($C198,1,1))&lt;=104,VALUE(MID($C198,2,1))&gt;=1,VALUE(MID($C198,2,1))&lt;=8),(VALUE(MID($C198,2,1))-1)*8+CODE(MID($C198,1,1))-96,0),0))</f>
        <v>0</v>
      </c>
      <c r="E198" s="11" t="n">
        <f aca="false">IF(LEN($C198)&lt;4,0,IFERROR(IF(AND(CODE(MID($C198,3,1))&gt;=97,CODE(MID($C198,3,1))&lt;=104,VALUE(MID($C198,4,1))&gt;=1,VALUE(MID($C198,4,1))&lt;=8),(VALUE(MID($C198,4,1))-1)*8+CODE(MID($C198,3,1))-96,0),0))</f>
        <v>0</v>
      </c>
      <c r="F198" s="11" t="str">
        <f aca="false">IF(MOD(SUM($P$5:$P197),2)=0,"w","b")</f>
        <v>w</v>
      </c>
      <c r="G198" s="11" t="str">
        <f aca="false">IF($D198=0,"",INDEX($AH197:$CS197,1,$D198)&amp;"")</f>
        <v/>
      </c>
      <c r="H198" s="11" t="str">
        <f aca="false">IF($E198=0,"",INDEX($AH197:$CS197,1,$E198)&amp;"")</f>
        <v/>
      </c>
      <c r="I198" s="11" t="n">
        <f aca="false">IF(OR($D198=0,$E198=0),0,MOD($E198-1,8)-MOD($D198-1,8))</f>
        <v>0</v>
      </c>
      <c r="J198" s="11" t="n">
        <f aca="false">IF(OR($D198=0,$E198=0),0,INT(($E198-1)/8)-INT(($D198-1)/8))</f>
        <v>0</v>
      </c>
      <c r="K198" s="11" t="str">
        <f aca="false">IF($G198="","",RIGHT($G198,1))</f>
        <v/>
      </c>
      <c r="L198" s="11" t="n">
        <f aca="false">IF(OR($D198=0,$E198=0),0,SUMPRODUCT(($AH$3:$CS$3&gt;MIN($D198,$E198))*($AH$3:$CS$3&lt;MAX($D198,$E198))*(MOD($AH$3:$CS$3-MIN($D198,$E198),MAX(1,ABS(SIGN($J198)*8+SIGN($I198))))=0)*($AH197:$CS197&lt;&gt;"")))</f>
        <v>0</v>
      </c>
      <c r="M198" s="11" t="n">
        <f aca="false">IF($K198&lt;&gt;"K",0,IFERROR(--AND($J198=0,ABS($I198)=2,$D198=IF($F198="w",5,61),IF($F198="w",$S197,$V197)=0,IF($I198=2,AND(IF($F198="w",$U197,$X197)=0,INDEX($AH197:$CS197,1,$D198+1)&amp;""="",INDEX($AH197:$CS197,1,$D198+2)&amp;""=""),AND(IF($F198="w",$T197,$W197)=0,INDEX($AH197:$CS197,1,$D198-1)&amp;""="",INDEX($AH197:$CS197,1,$D198-2)&amp;""="",INDEX($AH197:$CS197,1,$D198-3)&amp;""=""))),0))</f>
        <v>0</v>
      </c>
      <c r="N198" s="11" t="n">
        <f aca="false">IF($K198&lt;&gt;"P",0,IFERROR(--OR(AND($I198=0,$J198=IF($F198="w",1,-1),$H198=""),AND($I198=0,$J198=2*IF($F198="w",1,-1),$H198="",INT(($D198-1)/8)=IF($F198="w",1,6),INDEX($AH197:$CS197,1,MAX(1,MIN(64,$D198+8*IF($F198="w",1,-1))))&amp;""=""),AND(ABS($I198)=1,$J198=IF($F198="w",1,-1),$H198&lt;&gt;""),AND(ABS($I198)=1,$J198=IF($F198="w",1,-1),$H198="",$R197&gt;0,$E198=$R197)),0))</f>
        <v>0</v>
      </c>
      <c r="O198" s="11" t="n">
        <f aca="false">IF(OR($D198=0,$E198=0,$G198=""),0,IF($K198="N",--OR(AND(ABS($I198)=1,ABS($J198)=2),AND(ABS($I198)=2,ABS($J198)=1)),IF($K198="B",--AND(ABS($I198)=ABS($J198),$I198&lt;&gt;0,$L198=0),IF($K198="R",--AND(OR($I198=0,$J198=0),OR($I198&lt;&gt;0,$J198&lt;&gt;0),$L198=0),IF($K198="Q",--AND(OR(AND(ABS($I198)=ABS($J198),$I198&lt;&gt;0),AND(OR($I198=0,$J198=0),OR($I198&lt;&gt;0,$J198&lt;&gt;0))),$L198=0),IF($K198="K",--OR(MAX(ABS($I198),ABS($J198))=1,$M198=1),$N198))))))</f>
        <v>0</v>
      </c>
      <c r="P198" s="11" t="n">
        <f aca="false">IF($Q198="OK",1,0)</f>
        <v>0</v>
      </c>
      <c r="Q198" s="11" t="str">
        <f aca="false">IF($B198="","",IF(OR(COUNTIF($AH197:$CS197,"wK")=0,COUNTIF($AH197:$CS197,"bK")=0),"Game is over",IF(OR($D198=0,$E198=0),"Use the format e2e4",IF($G198="","No piece on that square",IF(LEFT($G198,1)&lt;&gt;$F198,"Not your piece ("&amp;IF($F198="w","White","Black")&amp;" to move)",IF($D198=$E198,"Piece must move",IF(AND($H198&lt;&gt;"",LEFT($H198,1)=$F198),"Cannot capture your own piece",IF($O198=0,"Illegal move for that piece (or path blocked)","OK"))))))))</f>
        <v/>
      </c>
      <c r="R198" s="11" t="n">
        <f aca="false">IF($P198=1,IF(AND($K198="P",ABS($J198)=2),($D198+$E198)/2,0),$R197)</f>
        <v>0</v>
      </c>
      <c r="S198" s="12" t="b">
        <f aca="false">--OR($S197=1,AND($P198=1,OR($D198=5,$E198=5)))</f>
        <v>0</v>
      </c>
      <c r="T198" s="12" t="b">
        <f aca="false">--OR($T197=1,AND($P198=1,OR($D198=1,$E198=1)))</f>
        <v>0</v>
      </c>
      <c r="U198" s="12" t="b">
        <f aca="false">--OR($U197=1,AND($P198=1,OR($D198=8,$E198=8)))</f>
        <v>0</v>
      </c>
      <c r="V198" s="12" t="b">
        <f aca="false">--OR($V197=1,AND($P198=1,OR($D198=61,$E198=61)))</f>
        <v>0</v>
      </c>
      <c r="W198" s="12" t="b">
        <f aca="false">--OR($W197=1,AND($P198=1,OR($D198=57,$E198=57)))</f>
        <v>0</v>
      </c>
      <c r="X198" s="12" t="b">
        <f aca="false">--OR($X197=1,AND($P198=1,OR($D198=64,$E198=64)))</f>
        <v>0</v>
      </c>
      <c r="Y198" s="12" t="b">
        <f aca="false">--AND($P198=1,$K198="K",ABS($I198)=2)</f>
        <v>0</v>
      </c>
      <c r="Z198" s="12" t="b">
        <f aca="false">--AND($P198=1,$K198="P",ABS($I198)=1,$H198="")</f>
        <v>0</v>
      </c>
      <c r="AA198" s="12" t="b">
        <f aca="false">--AND($P198=1,$K198="P",INT(($E198-1)/8)=IF($F198="w",7,0))</f>
        <v>0</v>
      </c>
      <c r="AB198" s="11" t="str">
        <f aca="false">IF(LEN($C198)&gt;=5,IF(ISNUMBER(FIND(MID($C198,5,1),"qrbn")),UPPER(MID($C198,5,1)),"Q"),"Q")</f>
        <v>Q</v>
      </c>
      <c r="AC198" s="11" t="n">
        <f aca="false">IF($Y198=1,IF($I198=2,$D198+3,$D198-4),0)</f>
        <v>0</v>
      </c>
      <c r="AD198" s="11" t="n">
        <f aca="false">IF($Y198=1,IF($I198=2,$D198+1,$D198-1),0)</f>
        <v>0</v>
      </c>
      <c r="AE198" s="11" t="n">
        <f aca="false">IF($Z198=1,$E198-8*IF($F198="w",1,-1),0)</f>
        <v>0</v>
      </c>
      <c r="AF198" s="11" t="str">
        <f aca="false">IF($B198="","",IF($P198=1,LOWER(INDEX($CV$2:$CV$13,MATCH($G198,$CU$2:$CU$13,0)))&amp;" "&amp;MID("abcdefgh",MOD($D198-1,8)+1,1)&amp;(INT(($D198-1)/8)+1)&amp;"→"&amp;MID("abcdefgh",MOD($E198-1,8)+1,1)&amp;(INT(($E198-1)/8)+1)&amp;IF(OR($H198&lt;&gt;"",$Z198=1)," ×","")&amp;IF($Y198=1," castles","")&amp;IF($Z198=1," e.p.","")&amp;IF($AA198=1," =" &amp;LOWER(INDEX($CV$2:$CV$13,MATCH($F198&amp;$AB198,$CU$2:$CU$13,0))),""),"X "&amp;$Q198))</f>
        <v/>
      </c>
      <c r="AG198" s="11"/>
      <c r="AH198" s="11" t="str">
        <f aca="false">IF($P198=0,AH197,IF(AH$3=$E198,IF($AA198=1,$F198&amp;$AB198,$G198),IF(OR(AH$3=$D198,AH$3=$AC198,AH$3=$AE198),"",IF(AH$3=$AD198,$F198&amp;"R",AH197))))</f>
        <v>wR</v>
      </c>
      <c r="AI198" s="11" t="str">
        <f aca="false">IF($P198=0,AI197,IF(AI$3=$E198,IF($AA198=1,$F198&amp;$AB198,$G198),IF(OR(AI$3=$D198,AI$3=$AC198,AI$3=$AE198),"",IF(AI$3=$AD198,$F198&amp;"R",AI197))))</f>
        <v>wN</v>
      </c>
      <c r="AJ198" s="11" t="str">
        <f aca="false">IF($P198=0,AJ197,IF(AJ$3=$E198,IF($AA198=1,$F198&amp;$AB198,$G198),IF(OR(AJ$3=$D198,AJ$3=$AC198,AJ$3=$AE198),"",IF(AJ$3=$AD198,$F198&amp;"R",AJ197))))</f>
        <v>wB</v>
      </c>
      <c r="AK198" s="11" t="str">
        <f aca="false">IF($P198=0,AK197,IF(AK$3=$E198,IF($AA198=1,$F198&amp;$AB198,$G198),IF(OR(AK$3=$D198,AK$3=$AC198,AK$3=$AE198),"",IF(AK$3=$AD198,$F198&amp;"R",AK197))))</f>
        <v>wQ</v>
      </c>
      <c r="AL198" s="11" t="str">
        <f aca="false">IF($P198=0,AL197,IF(AL$3=$E198,IF($AA198=1,$F198&amp;$AB198,$G198),IF(OR(AL$3=$D198,AL$3=$AC198,AL$3=$AE198),"",IF(AL$3=$AD198,$F198&amp;"R",AL197))))</f>
        <v>wK</v>
      </c>
      <c r="AM198" s="11" t="str">
        <f aca="false">IF($P198=0,AM197,IF(AM$3=$E198,IF($AA198=1,$F198&amp;$AB198,$G198),IF(OR(AM$3=$D198,AM$3=$AC198,AM$3=$AE198),"",IF(AM$3=$AD198,$F198&amp;"R",AM197))))</f>
        <v>wB</v>
      </c>
      <c r="AN198" s="11" t="str">
        <f aca="false">IF($P198=0,AN197,IF(AN$3=$E198,IF($AA198=1,$F198&amp;$AB198,$G198),IF(OR(AN$3=$D198,AN$3=$AC198,AN$3=$AE198),"",IF(AN$3=$AD198,$F198&amp;"R",AN197))))</f>
        <v>wN</v>
      </c>
      <c r="AO198" s="11" t="str">
        <f aca="false">IF($P198=0,AO197,IF(AO$3=$E198,IF($AA198=1,$F198&amp;$AB198,$G198),IF(OR(AO$3=$D198,AO$3=$AC198,AO$3=$AE198),"",IF(AO$3=$AD198,$F198&amp;"R",AO197))))</f>
        <v>wR</v>
      </c>
      <c r="AP198" s="11" t="str">
        <f aca="false">IF($P198=0,AP197,IF(AP$3=$E198,IF($AA198=1,$F198&amp;$AB198,$G198),IF(OR(AP$3=$D198,AP$3=$AC198,AP$3=$AE198),"",IF(AP$3=$AD198,$F198&amp;"R",AP197))))</f>
        <v>wP</v>
      </c>
      <c r="AQ198" s="11" t="str">
        <f aca="false">IF($P198=0,AQ197,IF(AQ$3=$E198,IF($AA198=1,$F198&amp;$AB198,$G198),IF(OR(AQ$3=$D198,AQ$3=$AC198,AQ$3=$AE198),"",IF(AQ$3=$AD198,$F198&amp;"R",AQ197))))</f>
        <v>wP</v>
      </c>
      <c r="AR198" s="11" t="str">
        <f aca="false">IF($P198=0,AR197,IF(AR$3=$E198,IF($AA198=1,$F198&amp;$AB198,$G198),IF(OR(AR$3=$D198,AR$3=$AC198,AR$3=$AE198),"",IF(AR$3=$AD198,$F198&amp;"R",AR197))))</f>
        <v>wP</v>
      </c>
      <c r="AS198" s="11" t="str">
        <f aca="false">IF($P198=0,AS197,IF(AS$3=$E198,IF($AA198=1,$F198&amp;$AB198,$G198),IF(OR(AS$3=$D198,AS$3=$AC198,AS$3=$AE198),"",IF(AS$3=$AD198,$F198&amp;"R",AS197))))</f>
        <v>wP</v>
      </c>
      <c r="AT198" s="11" t="str">
        <f aca="false">IF($P198=0,AT197,IF(AT$3=$E198,IF($AA198=1,$F198&amp;$AB198,$G198),IF(OR(AT$3=$D198,AT$3=$AC198,AT$3=$AE198),"",IF(AT$3=$AD198,$F198&amp;"R",AT197))))</f>
        <v>wP</v>
      </c>
      <c r="AU198" s="11" t="str">
        <f aca="false">IF($P198=0,AU197,IF(AU$3=$E198,IF($AA198=1,$F198&amp;$AB198,$G198),IF(OR(AU$3=$D198,AU$3=$AC198,AU$3=$AE198),"",IF(AU$3=$AD198,$F198&amp;"R",AU197))))</f>
        <v>wP</v>
      </c>
      <c r="AV198" s="11" t="str">
        <f aca="false">IF($P198=0,AV197,IF(AV$3=$E198,IF($AA198=1,$F198&amp;$AB198,$G198),IF(OR(AV$3=$D198,AV$3=$AC198,AV$3=$AE198),"",IF(AV$3=$AD198,$F198&amp;"R",AV197))))</f>
        <v>wP</v>
      </c>
      <c r="AW198" s="11" t="str">
        <f aca="false">IF($P198=0,AW197,IF(AW$3=$E198,IF($AA198=1,$F198&amp;$AB198,$G198),IF(OR(AW$3=$D198,AW$3=$AC198,AW$3=$AE198),"",IF(AW$3=$AD198,$F198&amp;"R",AW197))))</f>
        <v>wP</v>
      </c>
      <c r="AX198" s="11" t="str">
        <f aca="false">IF($P198=0,AX197,IF(AX$3=$E198,IF($AA198=1,$F198&amp;$AB198,$G198),IF(OR(AX$3=$D198,AX$3=$AC198,AX$3=$AE198),"",IF(AX$3=$AD198,$F198&amp;"R",AX197))))</f>
        <v/>
      </c>
      <c r="AY198" s="11" t="str">
        <f aca="false">IF($P198=0,AY197,IF(AY$3=$E198,IF($AA198=1,$F198&amp;$AB198,$G198),IF(OR(AY$3=$D198,AY$3=$AC198,AY$3=$AE198),"",IF(AY$3=$AD198,$F198&amp;"R",AY197))))</f>
        <v/>
      </c>
      <c r="AZ198" s="11" t="str">
        <f aca="false">IF($P198=0,AZ197,IF(AZ$3=$E198,IF($AA198=1,$F198&amp;$AB198,$G198),IF(OR(AZ$3=$D198,AZ$3=$AC198,AZ$3=$AE198),"",IF(AZ$3=$AD198,$F198&amp;"R",AZ197))))</f>
        <v/>
      </c>
      <c r="BA198" s="11" t="str">
        <f aca="false">IF($P198=0,BA197,IF(BA$3=$E198,IF($AA198=1,$F198&amp;$AB198,$G198),IF(OR(BA$3=$D198,BA$3=$AC198,BA$3=$AE198),"",IF(BA$3=$AD198,$F198&amp;"R",BA197))))</f>
        <v/>
      </c>
      <c r="BB198" s="11" t="str">
        <f aca="false">IF($P198=0,BB197,IF(BB$3=$E198,IF($AA198=1,$F198&amp;$AB198,$G198),IF(OR(BB$3=$D198,BB$3=$AC198,BB$3=$AE198),"",IF(BB$3=$AD198,$F198&amp;"R",BB197))))</f>
        <v/>
      </c>
      <c r="BC198" s="11" t="str">
        <f aca="false">IF($P198=0,BC197,IF(BC$3=$E198,IF($AA198=1,$F198&amp;$AB198,$G198),IF(OR(BC$3=$D198,BC$3=$AC198,BC$3=$AE198),"",IF(BC$3=$AD198,$F198&amp;"R",BC197))))</f>
        <v/>
      </c>
      <c r="BD198" s="11" t="str">
        <f aca="false">IF($P198=0,BD197,IF(BD$3=$E198,IF($AA198=1,$F198&amp;$AB198,$G198),IF(OR(BD$3=$D198,BD$3=$AC198,BD$3=$AE198),"",IF(BD$3=$AD198,$F198&amp;"R",BD197))))</f>
        <v/>
      </c>
      <c r="BE198" s="11" t="str">
        <f aca="false">IF($P198=0,BE197,IF(BE$3=$E198,IF($AA198=1,$F198&amp;$AB198,$G198),IF(OR(BE$3=$D198,BE$3=$AC198,BE$3=$AE198),"",IF(BE$3=$AD198,$F198&amp;"R",BE197))))</f>
        <v/>
      </c>
      <c r="BF198" s="11" t="str">
        <f aca="false">IF($P198=0,BF197,IF(BF$3=$E198,IF($AA198=1,$F198&amp;$AB198,$G198),IF(OR(BF$3=$D198,BF$3=$AC198,BF$3=$AE198),"",IF(BF$3=$AD198,$F198&amp;"R",BF197))))</f>
        <v/>
      </c>
      <c r="BG198" s="11" t="str">
        <f aca="false">IF($P198=0,BG197,IF(BG$3=$E198,IF($AA198=1,$F198&amp;$AB198,$G198),IF(OR(BG$3=$D198,BG$3=$AC198,BG$3=$AE198),"",IF(BG$3=$AD198,$F198&amp;"R",BG197))))</f>
        <v/>
      </c>
      <c r="BH198" s="11" t="str">
        <f aca="false">IF($P198=0,BH197,IF(BH$3=$E198,IF($AA198=1,$F198&amp;$AB198,$G198),IF(OR(BH$3=$D198,BH$3=$AC198,BH$3=$AE198),"",IF(BH$3=$AD198,$F198&amp;"R",BH197))))</f>
        <v/>
      </c>
      <c r="BI198" s="11" t="str">
        <f aca="false">IF($P198=0,BI197,IF(BI$3=$E198,IF($AA198=1,$F198&amp;$AB198,$G198),IF(OR(BI$3=$D198,BI$3=$AC198,BI$3=$AE198),"",IF(BI$3=$AD198,$F198&amp;"R",BI197))))</f>
        <v/>
      </c>
      <c r="BJ198" s="11" t="str">
        <f aca="false">IF($P198=0,BJ197,IF(BJ$3=$E198,IF($AA198=1,$F198&amp;$AB198,$G198),IF(OR(BJ$3=$D198,BJ$3=$AC198,BJ$3=$AE198),"",IF(BJ$3=$AD198,$F198&amp;"R",BJ197))))</f>
        <v/>
      </c>
      <c r="BK198" s="11" t="str">
        <f aca="false">IF($P198=0,BK197,IF(BK$3=$E198,IF($AA198=1,$F198&amp;$AB198,$G198),IF(OR(BK$3=$D198,BK$3=$AC198,BK$3=$AE198),"",IF(BK$3=$AD198,$F198&amp;"R",BK197))))</f>
        <v/>
      </c>
      <c r="BL198" s="11" t="str">
        <f aca="false">IF($P198=0,BL197,IF(BL$3=$E198,IF($AA198=1,$F198&amp;$AB198,$G198),IF(OR(BL$3=$D198,BL$3=$AC198,BL$3=$AE198),"",IF(BL$3=$AD198,$F198&amp;"R",BL197))))</f>
        <v/>
      </c>
      <c r="BM198" s="11" t="str">
        <f aca="false">IF($P198=0,BM197,IF(BM$3=$E198,IF($AA198=1,$F198&amp;$AB198,$G198),IF(OR(BM$3=$D198,BM$3=$AC198,BM$3=$AE198),"",IF(BM$3=$AD198,$F198&amp;"R",BM197))))</f>
        <v/>
      </c>
      <c r="BN198" s="11" t="str">
        <f aca="false">IF($P198=0,BN197,IF(BN$3=$E198,IF($AA198=1,$F198&amp;$AB198,$G198),IF(OR(BN$3=$D198,BN$3=$AC198,BN$3=$AE198),"",IF(BN$3=$AD198,$F198&amp;"R",BN197))))</f>
        <v/>
      </c>
      <c r="BO198" s="11" t="str">
        <f aca="false">IF($P198=0,BO197,IF(BO$3=$E198,IF($AA198=1,$F198&amp;$AB198,$G198),IF(OR(BO$3=$D198,BO$3=$AC198,BO$3=$AE198),"",IF(BO$3=$AD198,$F198&amp;"R",BO197))))</f>
        <v/>
      </c>
      <c r="BP198" s="11" t="str">
        <f aca="false">IF($P198=0,BP197,IF(BP$3=$E198,IF($AA198=1,$F198&amp;$AB198,$G198),IF(OR(BP$3=$D198,BP$3=$AC198,BP$3=$AE198),"",IF(BP$3=$AD198,$F198&amp;"R",BP197))))</f>
        <v/>
      </c>
      <c r="BQ198" s="11" t="str">
        <f aca="false">IF($P198=0,BQ197,IF(BQ$3=$E198,IF($AA198=1,$F198&amp;$AB198,$G198),IF(OR(BQ$3=$D198,BQ$3=$AC198,BQ$3=$AE198),"",IF(BQ$3=$AD198,$F198&amp;"R",BQ197))))</f>
        <v/>
      </c>
      <c r="BR198" s="11" t="str">
        <f aca="false">IF($P198=0,BR197,IF(BR$3=$E198,IF($AA198=1,$F198&amp;$AB198,$G198),IF(OR(BR$3=$D198,BR$3=$AC198,BR$3=$AE198),"",IF(BR$3=$AD198,$F198&amp;"R",BR197))))</f>
        <v/>
      </c>
      <c r="BS198" s="11" t="str">
        <f aca="false">IF($P198=0,BS197,IF(BS$3=$E198,IF($AA198=1,$F198&amp;$AB198,$G198),IF(OR(BS$3=$D198,BS$3=$AC198,BS$3=$AE198),"",IF(BS$3=$AD198,$F198&amp;"R",BS197))))</f>
        <v/>
      </c>
      <c r="BT198" s="11" t="str">
        <f aca="false">IF($P198=0,BT197,IF(BT$3=$E198,IF($AA198=1,$F198&amp;$AB198,$G198),IF(OR(BT$3=$D198,BT$3=$AC198,BT$3=$AE198),"",IF(BT$3=$AD198,$F198&amp;"R",BT197))))</f>
        <v/>
      </c>
      <c r="BU198" s="11" t="str">
        <f aca="false">IF($P198=0,BU197,IF(BU$3=$E198,IF($AA198=1,$F198&amp;$AB198,$G198),IF(OR(BU$3=$D198,BU$3=$AC198,BU$3=$AE198),"",IF(BU$3=$AD198,$F198&amp;"R",BU197))))</f>
        <v/>
      </c>
      <c r="BV198" s="11" t="str">
        <f aca="false">IF($P198=0,BV197,IF(BV$3=$E198,IF($AA198=1,$F198&amp;$AB198,$G198),IF(OR(BV$3=$D198,BV$3=$AC198,BV$3=$AE198),"",IF(BV$3=$AD198,$F198&amp;"R",BV197))))</f>
        <v/>
      </c>
      <c r="BW198" s="11" t="str">
        <f aca="false">IF($P198=0,BW197,IF(BW$3=$E198,IF($AA198=1,$F198&amp;$AB198,$G198),IF(OR(BW$3=$D198,BW$3=$AC198,BW$3=$AE198),"",IF(BW$3=$AD198,$F198&amp;"R",BW197))))</f>
        <v/>
      </c>
      <c r="BX198" s="11" t="str">
        <f aca="false">IF($P198=0,BX197,IF(BX$3=$E198,IF($AA198=1,$F198&amp;$AB198,$G198),IF(OR(BX$3=$D198,BX$3=$AC198,BX$3=$AE198),"",IF(BX$3=$AD198,$F198&amp;"R",BX197))))</f>
        <v/>
      </c>
      <c r="BY198" s="11" t="str">
        <f aca="false">IF($P198=0,BY197,IF(BY$3=$E198,IF($AA198=1,$F198&amp;$AB198,$G198),IF(OR(BY$3=$D198,BY$3=$AC198,BY$3=$AE198),"",IF(BY$3=$AD198,$F198&amp;"R",BY197))))</f>
        <v/>
      </c>
      <c r="BZ198" s="11" t="str">
        <f aca="false">IF($P198=0,BZ197,IF(BZ$3=$E198,IF($AA198=1,$F198&amp;$AB198,$G198),IF(OR(BZ$3=$D198,BZ$3=$AC198,BZ$3=$AE198),"",IF(BZ$3=$AD198,$F198&amp;"R",BZ197))))</f>
        <v/>
      </c>
      <c r="CA198" s="11" t="str">
        <f aca="false">IF($P198=0,CA197,IF(CA$3=$E198,IF($AA198=1,$F198&amp;$AB198,$G198),IF(OR(CA$3=$D198,CA$3=$AC198,CA$3=$AE198),"",IF(CA$3=$AD198,$F198&amp;"R",CA197))))</f>
        <v/>
      </c>
      <c r="CB198" s="11" t="str">
        <f aca="false">IF($P198=0,CB197,IF(CB$3=$E198,IF($AA198=1,$F198&amp;$AB198,$G198),IF(OR(CB$3=$D198,CB$3=$AC198,CB$3=$AE198),"",IF(CB$3=$AD198,$F198&amp;"R",CB197))))</f>
        <v/>
      </c>
      <c r="CC198" s="11" t="str">
        <f aca="false">IF($P198=0,CC197,IF(CC$3=$E198,IF($AA198=1,$F198&amp;$AB198,$G198),IF(OR(CC$3=$D198,CC$3=$AC198,CC$3=$AE198),"",IF(CC$3=$AD198,$F198&amp;"R",CC197))))</f>
        <v/>
      </c>
      <c r="CD198" s="11" t="str">
        <f aca="false">IF($P198=0,CD197,IF(CD$3=$E198,IF($AA198=1,$F198&amp;$AB198,$G198),IF(OR(CD$3=$D198,CD$3=$AC198,CD$3=$AE198),"",IF(CD$3=$AD198,$F198&amp;"R",CD197))))</f>
        <v>bP</v>
      </c>
      <c r="CE198" s="11" t="str">
        <f aca="false">IF($P198=0,CE197,IF(CE$3=$E198,IF($AA198=1,$F198&amp;$AB198,$G198),IF(OR(CE$3=$D198,CE$3=$AC198,CE$3=$AE198),"",IF(CE$3=$AD198,$F198&amp;"R",CE197))))</f>
        <v>bP</v>
      </c>
      <c r="CF198" s="11" t="str">
        <f aca="false">IF($P198=0,CF197,IF(CF$3=$E198,IF($AA198=1,$F198&amp;$AB198,$G198),IF(OR(CF$3=$D198,CF$3=$AC198,CF$3=$AE198),"",IF(CF$3=$AD198,$F198&amp;"R",CF197))))</f>
        <v>bP</v>
      </c>
      <c r="CG198" s="11" t="str">
        <f aca="false">IF($P198=0,CG197,IF(CG$3=$E198,IF($AA198=1,$F198&amp;$AB198,$G198),IF(OR(CG$3=$D198,CG$3=$AC198,CG$3=$AE198),"",IF(CG$3=$AD198,$F198&amp;"R",CG197))))</f>
        <v>bP</v>
      </c>
      <c r="CH198" s="11" t="str">
        <f aca="false">IF($P198=0,CH197,IF(CH$3=$E198,IF($AA198=1,$F198&amp;$AB198,$G198),IF(OR(CH$3=$D198,CH$3=$AC198,CH$3=$AE198),"",IF(CH$3=$AD198,$F198&amp;"R",CH197))))</f>
        <v>bP</v>
      </c>
      <c r="CI198" s="11" t="str">
        <f aca="false">IF($P198=0,CI197,IF(CI$3=$E198,IF($AA198=1,$F198&amp;$AB198,$G198),IF(OR(CI$3=$D198,CI$3=$AC198,CI$3=$AE198),"",IF(CI$3=$AD198,$F198&amp;"R",CI197))))</f>
        <v>bP</v>
      </c>
      <c r="CJ198" s="11" t="str">
        <f aca="false">IF($P198=0,CJ197,IF(CJ$3=$E198,IF($AA198=1,$F198&amp;$AB198,$G198),IF(OR(CJ$3=$D198,CJ$3=$AC198,CJ$3=$AE198),"",IF(CJ$3=$AD198,$F198&amp;"R",CJ197))))</f>
        <v>bP</v>
      </c>
      <c r="CK198" s="11" t="str">
        <f aca="false">IF($P198=0,CK197,IF(CK$3=$E198,IF($AA198=1,$F198&amp;$AB198,$G198),IF(OR(CK$3=$D198,CK$3=$AC198,CK$3=$AE198),"",IF(CK$3=$AD198,$F198&amp;"R",CK197))))</f>
        <v>bP</v>
      </c>
      <c r="CL198" s="11" t="str">
        <f aca="false">IF($P198=0,CL197,IF(CL$3=$E198,IF($AA198=1,$F198&amp;$AB198,$G198),IF(OR(CL$3=$D198,CL$3=$AC198,CL$3=$AE198),"",IF(CL$3=$AD198,$F198&amp;"R",CL197))))</f>
        <v>bR</v>
      </c>
      <c r="CM198" s="11" t="str">
        <f aca="false">IF($P198=0,CM197,IF(CM$3=$E198,IF($AA198=1,$F198&amp;$AB198,$G198),IF(OR(CM$3=$D198,CM$3=$AC198,CM$3=$AE198),"",IF(CM$3=$AD198,$F198&amp;"R",CM197))))</f>
        <v>bN</v>
      </c>
      <c r="CN198" s="11" t="str">
        <f aca="false">IF($P198=0,CN197,IF(CN$3=$E198,IF($AA198=1,$F198&amp;$AB198,$G198),IF(OR(CN$3=$D198,CN$3=$AC198,CN$3=$AE198),"",IF(CN$3=$AD198,$F198&amp;"R",CN197))))</f>
        <v>bB</v>
      </c>
      <c r="CO198" s="11" t="str">
        <f aca="false">IF($P198=0,CO197,IF(CO$3=$E198,IF($AA198=1,$F198&amp;$AB198,$G198),IF(OR(CO$3=$D198,CO$3=$AC198,CO$3=$AE198),"",IF(CO$3=$AD198,$F198&amp;"R",CO197))))</f>
        <v>bQ</v>
      </c>
      <c r="CP198" s="11" t="str">
        <f aca="false">IF($P198=0,CP197,IF(CP$3=$E198,IF($AA198=1,$F198&amp;$AB198,$G198),IF(OR(CP$3=$D198,CP$3=$AC198,CP$3=$AE198),"",IF(CP$3=$AD198,$F198&amp;"R",CP197))))</f>
        <v>bK</v>
      </c>
      <c r="CQ198" s="11" t="str">
        <f aca="false">IF($P198=0,CQ197,IF(CQ$3=$E198,IF($AA198=1,$F198&amp;$AB198,$G198),IF(OR(CQ$3=$D198,CQ$3=$AC198,CQ$3=$AE198),"",IF(CQ$3=$AD198,$F198&amp;"R",CQ197))))</f>
        <v>bB</v>
      </c>
      <c r="CR198" s="11" t="str">
        <f aca="false">IF($P198=0,CR197,IF(CR$3=$E198,IF($AA198=1,$F198&amp;$AB198,$G198),IF(OR(CR$3=$D198,CR$3=$AC198,CR$3=$AE198),"",IF(CR$3=$AD198,$F198&amp;"R",CR197))))</f>
        <v>bN</v>
      </c>
      <c r="CS198" s="11" t="str">
        <f aca="false">IF($P198=0,CS197,IF(CS$3=$E198,IF($AA198=1,$F198&amp;$AB198,$G198),IF(OR(CS$3=$D198,CS$3=$AC198,CS$3=$AE198),"",IF(CS$3=$AD198,$F198&amp;"R",CS197))))</f>
        <v>bR</v>
      </c>
      <c r="CT198" s="11"/>
      <c r="CU198" s="11"/>
      <c r="CV198" s="11"/>
    </row>
    <row r="199" customFormat="false" ht="15" hidden="false" customHeight="false" outlineLevel="0" collapsed="false">
      <c r="A199" s="11" t="n">
        <v>194</v>
      </c>
      <c r="B199" s="11" t="str">
        <f aca="false">IF(Chess!$L$203="","",Chess!$L$203&amp;"")</f>
        <v/>
      </c>
      <c r="C199" s="11" t="str">
        <f aca="false">LOWER(SUBSTITUTE(SUBSTITUTE(SUBSTITUTE(SUBSTITUTE(TRIM($B199),"-",""),"=","")," ",""),"x",""))</f>
        <v/>
      </c>
      <c r="D199" s="11" t="n">
        <f aca="false">IF(LEN($C199)&lt;4,0,IFERROR(IF(AND(CODE(MID($C199,1,1))&gt;=97,CODE(MID($C199,1,1))&lt;=104,VALUE(MID($C199,2,1))&gt;=1,VALUE(MID($C199,2,1))&lt;=8),(VALUE(MID($C199,2,1))-1)*8+CODE(MID($C199,1,1))-96,0),0))</f>
        <v>0</v>
      </c>
      <c r="E199" s="11" t="n">
        <f aca="false">IF(LEN($C199)&lt;4,0,IFERROR(IF(AND(CODE(MID($C199,3,1))&gt;=97,CODE(MID($C199,3,1))&lt;=104,VALUE(MID($C199,4,1))&gt;=1,VALUE(MID($C199,4,1))&lt;=8),(VALUE(MID($C199,4,1))-1)*8+CODE(MID($C199,3,1))-96,0),0))</f>
        <v>0</v>
      </c>
      <c r="F199" s="11" t="str">
        <f aca="false">IF(MOD(SUM($P$5:$P198),2)=0,"w","b")</f>
        <v>w</v>
      </c>
      <c r="G199" s="11" t="str">
        <f aca="false">IF($D199=0,"",INDEX($AH198:$CS198,1,$D199)&amp;"")</f>
        <v/>
      </c>
      <c r="H199" s="11" t="str">
        <f aca="false">IF($E199=0,"",INDEX($AH198:$CS198,1,$E199)&amp;"")</f>
        <v/>
      </c>
      <c r="I199" s="11" t="n">
        <f aca="false">IF(OR($D199=0,$E199=0),0,MOD($E199-1,8)-MOD($D199-1,8))</f>
        <v>0</v>
      </c>
      <c r="J199" s="11" t="n">
        <f aca="false">IF(OR($D199=0,$E199=0),0,INT(($E199-1)/8)-INT(($D199-1)/8))</f>
        <v>0</v>
      </c>
      <c r="K199" s="11" t="str">
        <f aca="false">IF($G199="","",RIGHT($G199,1))</f>
        <v/>
      </c>
      <c r="L199" s="11" t="n">
        <f aca="false">IF(OR($D199=0,$E199=0),0,SUMPRODUCT(($AH$3:$CS$3&gt;MIN($D199,$E199))*($AH$3:$CS$3&lt;MAX($D199,$E199))*(MOD($AH$3:$CS$3-MIN($D199,$E199),MAX(1,ABS(SIGN($J199)*8+SIGN($I199))))=0)*($AH198:$CS198&lt;&gt;"")))</f>
        <v>0</v>
      </c>
      <c r="M199" s="11" t="n">
        <f aca="false">IF($K199&lt;&gt;"K",0,IFERROR(--AND($J199=0,ABS($I199)=2,$D199=IF($F199="w",5,61),IF($F199="w",$S198,$V198)=0,IF($I199=2,AND(IF($F199="w",$U198,$X198)=0,INDEX($AH198:$CS198,1,$D199+1)&amp;""="",INDEX($AH198:$CS198,1,$D199+2)&amp;""=""),AND(IF($F199="w",$T198,$W198)=0,INDEX($AH198:$CS198,1,$D199-1)&amp;""="",INDEX($AH198:$CS198,1,$D199-2)&amp;""="",INDEX($AH198:$CS198,1,$D199-3)&amp;""=""))),0))</f>
        <v>0</v>
      </c>
      <c r="N199" s="11" t="n">
        <f aca="false">IF($K199&lt;&gt;"P",0,IFERROR(--OR(AND($I199=0,$J199=IF($F199="w",1,-1),$H199=""),AND($I199=0,$J199=2*IF($F199="w",1,-1),$H199="",INT(($D199-1)/8)=IF($F199="w",1,6),INDEX($AH198:$CS198,1,MAX(1,MIN(64,$D199+8*IF($F199="w",1,-1))))&amp;""=""),AND(ABS($I199)=1,$J199=IF($F199="w",1,-1),$H199&lt;&gt;""),AND(ABS($I199)=1,$J199=IF($F199="w",1,-1),$H199="",$R198&gt;0,$E199=$R198)),0))</f>
        <v>0</v>
      </c>
      <c r="O199" s="11" t="n">
        <f aca="false">IF(OR($D199=0,$E199=0,$G199=""),0,IF($K199="N",--OR(AND(ABS($I199)=1,ABS($J199)=2),AND(ABS($I199)=2,ABS($J199)=1)),IF($K199="B",--AND(ABS($I199)=ABS($J199),$I199&lt;&gt;0,$L199=0),IF($K199="R",--AND(OR($I199=0,$J199=0),OR($I199&lt;&gt;0,$J199&lt;&gt;0),$L199=0),IF($K199="Q",--AND(OR(AND(ABS($I199)=ABS($J199),$I199&lt;&gt;0),AND(OR($I199=0,$J199=0),OR($I199&lt;&gt;0,$J199&lt;&gt;0))),$L199=0),IF($K199="K",--OR(MAX(ABS($I199),ABS($J199))=1,$M199=1),$N199))))))</f>
        <v>0</v>
      </c>
      <c r="P199" s="11" t="n">
        <f aca="false">IF($Q199="OK",1,0)</f>
        <v>0</v>
      </c>
      <c r="Q199" s="11" t="str">
        <f aca="false">IF($B199="","",IF(OR(COUNTIF($AH198:$CS198,"wK")=0,COUNTIF($AH198:$CS198,"bK")=0),"Game is over",IF(OR($D199=0,$E199=0),"Use the format e2e4",IF($G199="","No piece on that square",IF(LEFT($G199,1)&lt;&gt;$F199,"Not your piece ("&amp;IF($F199="w","White","Black")&amp;" to move)",IF($D199=$E199,"Piece must move",IF(AND($H199&lt;&gt;"",LEFT($H199,1)=$F199),"Cannot capture your own piece",IF($O199=0,"Illegal move for that piece (or path blocked)","OK"))))))))</f>
        <v/>
      </c>
      <c r="R199" s="11" t="n">
        <f aca="false">IF($P199=1,IF(AND($K199="P",ABS($J199)=2),($D199+$E199)/2,0),$R198)</f>
        <v>0</v>
      </c>
      <c r="S199" s="12" t="b">
        <f aca="false">--OR($S198=1,AND($P199=1,OR($D199=5,$E199=5)))</f>
        <v>0</v>
      </c>
      <c r="T199" s="12" t="b">
        <f aca="false">--OR($T198=1,AND($P199=1,OR($D199=1,$E199=1)))</f>
        <v>0</v>
      </c>
      <c r="U199" s="12" t="b">
        <f aca="false">--OR($U198=1,AND($P199=1,OR($D199=8,$E199=8)))</f>
        <v>0</v>
      </c>
      <c r="V199" s="12" t="b">
        <f aca="false">--OR($V198=1,AND($P199=1,OR($D199=61,$E199=61)))</f>
        <v>0</v>
      </c>
      <c r="W199" s="12" t="b">
        <f aca="false">--OR($W198=1,AND($P199=1,OR($D199=57,$E199=57)))</f>
        <v>0</v>
      </c>
      <c r="X199" s="12" t="b">
        <f aca="false">--OR($X198=1,AND($P199=1,OR($D199=64,$E199=64)))</f>
        <v>0</v>
      </c>
      <c r="Y199" s="12" t="b">
        <f aca="false">--AND($P199=1,$K199="K",ABS($I199)=2)</f>
        <v>0</v>
      </c>
      <c r="Z199" s="12" t="b">
        <f aca="false">--AND($P199=1,$K199="P",ABS($I199)=1,$H199="")</f>
        <v>0</v>
      </c>
      <c r="AA199" s="12" t="b">
        <f aca="false">--AND($P199=1,$K199="P",INT(($E199-1)/8)=IF($F199="w",7,0))</f>
        <v>0</v>
      </c>
      <c r="AB199" s="11" t="str">
        <f aca="false">IF(LEN($C199)&gt;=5,IF(ISNUMBER(FIND(MID($C199,5,1),"qrbn")),UPPER(MID($C199,5,1)),"Q"),"Q")</f>
        <v>Q</v>
      </c>
      <c r="AC199" s="11" t="n">
        <f aca="false">IF($Y199=1,IF($I199=2,$D199+3,$D199-4),0)</f>
        <v>0</v>
      </c>
      <c r="AD199" s="11" t="n">
        <f aca="false">IF($Y199=1,IF($I199=2,$D199+1,$D199-1),0)</f>
        <v>0</v>
      </c>
      <c r="AE199" s="11" t="n">
        <f aca="false">IF($Z199=1,$E199-8*IF($F199="w",1,-1),0)</f>
        <v>0</v>
      </c>
      <c r="AF199" s="11" t="str">
        <f aca="false">IF($B199="","",IF($P199=1,LOWER(INDEX($CV$2:$CV$13,MATCH($G199,$CU$2:$CU$13,0)))&amp;" "&amp;MID("abcdefgh",MOD($D199-1,8)+1,1)&amp;(INT(($D199-1)/8)+1)&amp;"→"&amp;MID("abcdefgh",MOD($E199-1,8)+1,1)&amp;(INT(($E199-1)/8)+1)&amp;IF(OR($H199&lt;&gt;"",$Z199=1)," ×","")&amp;IF($Y199=1," castles","")&amp;IF($Z199=1," e.p.","")&amp;IF($AA199=1," =" &amp;LOWER(INDEX($CV$2:$CV$13,MATCH($F199&amp;$AB199,$CU$2:$CU$13,0))),""),"X "&amp;$Q199))</f>
        <v/>
      </c>
      <c r="AG199" s="11"/>
      <c r="AH199" s="11" t="str">
        <f aca="false">IF($P199=0,AH198,IF(AH$3=$E199,IF($AA199=1,$F199&amp;$AB199,$G199),IF(OR(AH$3=$D199,AH$3=$AC199,AH$3=$AE199),"",IF(AH$3=$AD199,$F199&amp;"R",AH198))))</f>
        <v>wR</v>
      </c>
      <c r="AI199" s="11" t="str">
        <f aca="false">IF($P199=0,AI198,IF(AI$3=$E199,IF($AA199=1,$F199&amp;$AB199,$G199),IF(OR(AI$3=$D199,AI$3=$AC199,AI$3=$AE199),"",IF(AI$3=$AD199,$F199&amp;"R",AI198))))</f>
        <v>wN</v>
      </c>
      <c r="AJ199" s="11" t="str">
        <f aca="false">IF($P199=0,AJ198,IF(AJ$3=$E199,IF($AA199=1,$F199&amp;$AB199,$G199),IF(OR(AJ$3=$D199,AJ$3=$AC199,AJ$3=$AE199),"",IF(AJ$3=$AD199,$F199&amp;"R",AJ198))))</f>
        <v>wB</v>
      </c>
      <c r="AK199" s="11" t="str">
        <f aca="false">IF($P199=0,AK198,IF(AK$3=$E199,IF($AA199=1,$F199&amp;$AB199,$G199),IF(OR(AK$3=$D199,AK$3=$AC199,AK$3=$AE199),"",IF(AK$3=$AD199,$F199&amp;"R",AK198))))</f>
        <v>wQ</v>
      </c>
      <c r="AL199" s="11" t="str">
        <f aca="false">IF($P199=0,AL198,IF(AL$3=$E199,IF($AA199=1,$F199&amp;$AB199,$G199),IF(OR(AL$3=$D199,AL$3=$AC199,AL$3=$AE199),"",IF(AL$3=$AD199,$F199&amp;"R",AL198))))</f>
        <v>wK</v>
      </c>
      <c r="AM199" s="11" t="str">
        <f aca="false">IF($P199=0,AM198,IF(AM$3=$E199,IF($AA199=1,$F199&amp;$AB199,$G199),IF(OR(AM$3=$D199,AM$3=$AC199,AM$3=$AE199),"",IF(AM$3=$AD199,$F199&amp;"R",AM198))))</f>
        <v>wB</v>
      </c>
      <c r="AN199" s="11" t="str">
        <f aca="false">IF($P199=0,AN198,IF(AN$3=$E199,IF($AA199=1,$F199&amp;$AB199,$G199),IF(OR(AN$3=$D199,AN$3=$AC199,AN$3=$AE199),"",IF(AN$3=$AD199,$F199&amp;"R",AN198))))</f>
        <v>wN</v>
      </c>
      <c r="AO199" s="11" t="str">
        <f aca="false">IF($P199=0,AO198,IF(AO$3=$E199,IF($AA199=1,$F199&amp;$AB199,$G199),IF(OR(AO$3=$D199,AO$3=$AC199,AO$3=$AE199),"",IF(AO$3=$AD199,$F199&amp;"R",AO198))))</f>
        <v>wR</v>
      </c>
      <c r="AP199" s="11" t="str">
        <f aca="false">IF($P199=0,AP198,IF(AP$3=$E199,IF($AA199=1,$F199&amp;$AB199,$G199),IF(OR(AP$3=$D199,AP$3=$AC199,AP$3=$AE199),"",IF(AP$3=$AD199,$F199&amp;"R",AP198))))</f>
        <v>wP</v>
      </c>
      <c r="AQ199" s="11" t="str">
        <f aca="false">IF($P199=0,AQ198,IF(AQ$3=$E199,IF($AA199=1,$F199&amp;$AB199,$G199),IF(OR(AQ$3=$D199,AQ$3=$AC199,AQ$3=$AE199),"",IF(AQ$3=$AD199,$F199&amp;"R",AQ198))))</f>
        <v>wP</v>
      </c>
      <c r="AR199" s="11" t="str">
        <f aca="false">IF($P199=0,AR198,IF(AR$3=$E199,IF($AA199=1,$F199&amp;$AB199,$G199),IF(OR(AR$3=$D199,AR$3=$AC199,AR$3=$AE199),"",IF(AR$3=$AD199,$F199&amp;"R",AR198))))</f>
        <v>wP</v>
      </c>
      <c r="AS199" s="11" t="str">
        <f aca="false">IF($P199=0,AS198,IF(AS$3=$E199,IF($AA199=1,$F199&amp;$AB199,$G199),IF(OR(AS$3=$D199,AS$3=$AC199,AS$3=$AE199),"",IF(AS$3=$AD199,$F199&amp;"R",AS198))))</f>
        <v>wP</v>
      </c>
      <c r="AT199" s="11" t="str">
        <f aca="false">IF($P199=0,AT198,IF(AT$3=$E199,IF($AA199=1,$F199&amp;$AB199,$G199),IF(OR(AT$3=$D199,AT$3=$AC199,AT$3=$AE199),"",IF(AT$3=$AD199,$F199&amp;"R",AT198))))</f>
        <v>wP</v>
      </c>
      <c r="AU199" s="11" t="str">
        <f aca="false">IF($P199=0,AU198,IF(AU$3=$E199,IF($AA199=1,$F199&amp;$AB199,$G199),IF(OR(AU$3=$D199,AU$3=$AC199,AU$3=$AE199),"",IF(AU$3=$AD199,$F199&amp;"R",AU198))))</f>
        <v>wP</v>
      </c>
      <c r="AV199" s="11" t="str">
        <f aca="false">IF($P199=0,AV198,IF(AV$3=$E199,IF($AA199=1,$F199&amp;$AB199,$G199),IF(OR(AV$3=$D199,AV$3=$AC199,AV$3=$AE199),"",IF(AV$3=$AD199,$F199&amp;"R",AV198))))</f>
        <v>wP</v>
      </c>
      <c r="AW199" s="11" t="str">
        <f aca="false">IF($P199=0,AW198,IF(AW$3=$E199,IF($AA199=1,$F199&amp;$AB199,$G199),IF(OR(AW$3=$D199,AW$3=$AC199,AW$3=$AE199),"",IF(AW$3=$AD199,$F199&amp;"R",AW198))))</f>
        <v>wP</v>
      </c>
      <c r="AX199" s="11" t="str">
        <f aca="false">IF($P199=0,AX198,IF(AX$3=$E199,IF($AA199=1,$F199&amp;$AB199,$G199),IF(OR(AX$3=$D199,AX$3=$AC199,AX$3=$AE199),"",IF(AX$3=$AD199,$F199&amp;"R",AX198))))</f>
        <v/>
      </c>
      <c r="AY199" s="11" t="str">
        <f aca="false">IF($P199=0,AY198,IF(AY$3=$E199,IF($AA199=1,$F199&amp;$AB199,$G199),IF(OR(AY$3=$D199,AY$3=$AC199,AY$3=$AE199),"",IF(AY$3=$AD199,$F199&amp;"R",AY198))))</f>
        <v/>
      </c>
      <c r="AZ199" s="11" t="str">
        <f aca="false">IF($P199=0,AZ198,IF(AZ$3=$E199,IF($AA199=1,$F199&amp;$AB199,$G199),IF(OR(AZ$3=$D199,AZ$3=$AC199,AZ$3=$AE199),"",IF(AZ$3=$AD199,$F199&amp;"R",AZ198))))</f>
        <v/>
      </c>
      <c r="BA199" s="11" t="str">
        <f aca="false">IF($P199=0,BA198,IF(BA$3=$E199,IF($AA199=1,$F199&amp;$AB199,$G199),IF(OR(BA$3=$D199,BA$3=$AC199,BA$3=$AE199),"",IF(BA$3=$AD199,$F199&amp;"R",BA198))))</f>
        <v/>
      </c>
      <c r="BB199" s="11" t="str">
        <f aca="false">IF($P199=0,BB198,IF(BB$3=$E199,IF($AA199=1,$F199&amp;$AB199,$G199),IF(OR(BB$3=$D199,BB$3=$AC199,BB$3=$AE199),"",IF(BB$3=$AD199,$F199&amp;"R",BB198))))</f>
        <v/>
      </c>
      <c r="BC199" s="11" t="str">
        <f aca="false">IF($P199=0,BC198,IF(BC$3=$E199,IF($AA199=1,$F199&amp;$AB199,$G199),IF(OR(BC$3=$D199,BC$3=$AC199,BC$3=$AE199),"",IF(BC$3=$AD199,$F199&amp;"R",BC198))))</f>
        <v/>
      </c>
      <c r="BD199" s="11" t="str">
        <f aca="false">IF($P199=0,BD198,IF(BD$3=$E199,IF($AA199=1,$F199&amp;$AB199,$G199),IF(OR(BD$3=$D199,BD$3=$AC199,BD$3=$AE199),"",IF(BD$3=$AD199,$F199&amp;"R",BD198))))</f>
        <v/>
      </c>
      <c r="BE199" s="11" t="str">
        <f aca="false">IF($P199=0,BE198,IF(BE$3=$E199,IF($AA199=1,$F199&amp;$AB199,$G199),IF(OR(BE$3=$D199,BE$3=$AC199,BE$3=$AE199),"",IF(BE$3=$AD199,$F199&amp;"R",BE198))))</f>
        <v/>
      </c>
      <c r="BF199" s="11" t="str">
        <f aca="false">IF($P199=0,BF198,IF(BF$3=$E199,IF($AA199=1,$F199&amp;$AB199,$G199),IF(OR(BF$3=$D199,BF$3=$AC199,BF$3=$AE199),"",IF(BF$3=$AD199,$F199&amp;"R",BF198))))</f>
        <v/>
      </c>
      <c r="BG199" s="11" t="str">
        <f aca="false">IF($P199=0,BG198,IF(BG$3=$E199,IF($AA199=1,$F199&amp;$AB199,$G199),IF(OR(BG$3=$D199,BG$3=$AC199,BG$3=$AE199),"",IF(BG$3=$AD199,$F199&amp;"R",BG198))))</f>
        <v/>
      </c>
      <c r="BH199" s="11" t="str">
        <f aca="false">IF($P199=0,BH198,IF(BH$3=$E199,IF($AA199=1,$F199&amp;$AB199,$G199),IF(OR(BH$3=$D199,BH$3=$AC199,BH$3=$AE199),"",IF(BH$3=$AD199,$F199&amp;"R",BH198))))</f>
        <v/>
      </c>
      <c r="BI199" s="11" t="str">
        <f aca="false">IF($P199=0,BI198,IF(BI$3=$E199,IF($AA199=1,$F199&amp;$AB199,$G199),IF(OR(BI$3=$D199,BI$3=$AC199,BI$3=$AE199),"",IF(BI$3=$AD199,$F199&amp;"R",BI198))))</f>
        <v/>
      </c>
      <c r="BJ199" s="11" t="str">
        <f aca="false">IF($P199=0,BJ198,IF(BJ$3=$E199,IF($AA199=1,$F199&amp;$AB199,$G199),IF(OR(BJ$3=$D199,BJ$3=$AC199,BJ$3=$AE199),"",IF(BJ$3=$AD199,$F199&amp;"R",BJ198))))</f>
        <v/>
      </c>
      <c r="BK199" s="11" t="str">
        <f aca="false">IF($P199=0,BK198,IF(BK$3=$E199,IF($AA199=1,$F199&amp;$AB199,$G199),IF(OR(BK$3=$D199,BK$3=$AC199,BK$3=$AE199),"",IF(BK$3=$AD199,$F199&amp;"R",BK198))))</f>
        <v/>
      </c>
      <c r="BL199" s="11" t="str">
        <f aca="false">IF($P199=0,BL198,IF(BL$3=$E199,IF($AA199=1,$F199&amp;$AB199,$G199),IF(OR(BL$3=$D199,BL$3=$AC199,BL$3=$AE199),"",IF(BL$3=$AD199,$F199&amp;"R",BL198))))</f>
        <v/>
      </c>
      <c r="BM199" s="11" t="str">
        <f aca="false">IF($P199=0,BM198,IF(BM$3=$E199,IF($AA199=1,$F199&amp;$AB199,$G199),IF(OR(BM$3=$D199,BM$3=$AC199,BM$3=$AE199),"",IF(BM$3=$AD199,$F199&amp;"R",BM198))))</f>
        <v/>
      </c>
      <c r="BN199" s="11" t="str">
        <f aca="false">IF($P199=0,BN198,IF(BN$3=$E199,IF($AA199=1,$F199&amp;$AB199,$G199),IF(OR(BN$3=$D199,BN$3=$AC199,BN$3=$AE199),"",IF(BN$3=$AD199,$F199&amp;"R",BN198))))</f>
        <v/>
      </c>
      <c r="BO199" s="11" t="str">
        <f aca="false">IF($P199=0,BO198,IF(BO$3=$E199,IF($AA199=1,$F199&amp;$AB199,$G199),IF(OR(BO$3=$D199,BO$3=$AC199,BO$3=$AE199),"",IF(BO$3=$AD199,$F199&amp;"R",BO198))))</f>
        <v/>
      </c>
      <c r="BP199" s="11" t="str">
        <f aca="false">IF($P199=0,BP198,IF(BP$3=$E199,IF($AA199=1,$F199&amp;$AB199,$G199),IF(OR(BP$3=$D199,BP$3=$AC199,BP$3=$AE199),"",IF(BP$3=$AD199,$F199&amp;"R",BP198))))</f>
        <v/>
      </c>
      <c r="BQ199" s="11" t="str">
        <f aca="false">IF($P199=0,BQ198,IF(BQ$3=$E199,IF($AA199=1,$F199&amp;$AB199,$G199),IF(OR(BQ$3=$D199,BQ$3=$AC199,BQ$3=$AE199),"",IF(BQ$3=$AD199,$F199&amp;"R",BQ198))))</f>
        <v/>
      </c>
      <c r="BR199" s="11" t="str">
        <f aca="false">IF($P199=0,BR198,IF(BR$3=$E199,IF($AA199=1,$F199&amp;$AB199,$G199),IF(OR(BR$3=$D199,BR$3=$AC199,BR$3=$AE199),"",IF(BR$3=$AD199,$F199&amp;"R",BR198))))</f>
        <v/>
      </c>
      <c r="BS199" s="11" t="str">
        <f aca="false">IF($P199=0,BS198,IF(BS$3=$E199,IF($AA199=1,$F199&amp;$AB199,$G199),IF(OR(BS$3=$D199,BS$3=$AC199,BS$3=$AE199),"",IF(BS$3=$AD199,$F199&amp;"R",BS198))))</f>
        <v/>
      </c>
      <c r="BT199" s="11" t="str">
        <f aca="false">IF($P199=0,BT198,IF(BT$3=$E199,IF($AA199=1,$F199&amp;$AB199,$G199),IF(OR(BT$3=$D199,BT$3=$AC199,BT$3=$AE199),"",IF(BT$3=$AD199,$F199&amp;"R",BT198))))</f>
        <v/>
      </c>
      <c r="BU199" s="11" t="str">
        <f aca="false">IF($P199=0,BU198,IF(BU$3=$E199,IF($AA199=1,$F199&amp;$AB199,$G199),IF(OR(BU$3=$D199,BU$3=$AC199,BU$3=$AE199),"",IF(BU$3=$AD199,$F199&amp;"R",BU198))))</f>
        <v/>
      </c>
      <c r="BV199" s="11" t="str">
        <f aca="false">IF($P199=0,BV198,IF(BV$3=$E199,IF($AA199=1,$F199&amp;$AB199,$G199),IF(OR(BV$3=$D199,BV$3=$AC199,BV$3=$AE199),"",IF(BV$3=$AD199,$F199&amp;"R",BV198))))</f>
        <v/>
      </c>
      <c r="BW199" s="11" t="str">
        <f aca="false">IF($P199=0,BW198,IF(BW$3=$E199,IF($AA199=1,$F199&amp;$AB199,$G199),IF(OR(BW$3=$D199,BW$3=$AC199,BW$3=$AE199),"",IF(BW$3=$AD199,$F199&amp;"R",BW198))))</f>
        <v/>
      </c>
      <c r="BX199" s="11" t="str">
        <f aca="false">IF($P199=0,BX198,IF(BX$3=$E199,IF($AA199=1,$F199&amp;$AB199,$G199),IF(OR(BX$3=$D199,BX$3=$AC199,BX$3=$AE199),"",IF(BX$3=$AD199,$F199&amp;"R",BX198))))</f>
        <v/>
      </c>
      <c r="BY199" s="11" t="str">
        <f aca="false">IF($P199=0,BY198,IF(BY$3=$E199,IF($AA199=1,$F199&amp;$AB199,$G199),IF(OR(BY$3=$D199,BY$3=$AC199,BY$3=$AE199),"",IF(BY$3=$AD199,$F199&amp;"R",BY198))))</f>
        <v/>
      </c>
      <c r="BZ199" s="11" t="str">
        <f aca="false">IF($P199=0,BZ198,IF(BZ$3=$E199,IF($AA199=1,$F199&amp;$AB199,$G199),IF(OR(BZ$3=$D199,BZ$3=$AC199,BZ$3=$AE199),"",IF(BZ$3=$AD199,$F199&amp;"R",BZ198))))</f>
        <v/>
      </c>
      <c r="CA199" s="11" t="str">
        <f aca="false">IF($P199=0,CA198,IF(CA$3=$E199,IF($AA199=1,$F199&amp;$AB199,$G199),IF(OR(CA$3=$D199,CA$3=$AC199,CA$3=$AE199),"",IF(CA$3=$AD199,$F199&amp;"R",CA198))))</f>
        <v/>
      </c>
      <c r="CB199" s="11" t="str">
        <f aca="false">IF($P199=0,CB198,IF(CB$3=$E199,IF($AA199=1,$F199&amp;$AB199,$G199),IF(OR(CB$3=$D199,CB$3=$AC199,CB$3=$AE199),"",IF(CB$3=$AD199,$F199&amp;"R",CB198))))</f>
        <v/>
      </c>
      <c r="CC199" s="11" t="str">
        <f aca="false">IF($P199=0,CC198,IF(CC$3=$E199,IF($AA199=1,$F199&amp;$AB199,$G199),IF(OR(CC$3=$D199,CC$3=$AC199,CC$3=$AE199),"",IF(CC$3=$AD199,$F199&amp;"R",CC198))))</f>
        <v/>
      </c>
      <c r="CD199" s="11" t="str">
        <f aca="false">IF($P199=0,CD198,IF(CD$3=$E199,IF($AA199=1,$F199&amp;$AB199,$G199),IF(OR(CD$3=$D199,CD$3=$AC199,CD$3=$AE199),"",IF(CD$3=$AD199,$F199&amp;"R",CD198))))</f>
        <v>bP</v>
      </c>
      <c r="CE199" s="11" t="str">
        <f aca="false">IF($P199=0,CE198,IF(CE$3=$E199,IF($AA199=1,$F199&amp;$AB199,$G199),IF(OR(CE$3=$D199,CE$3=$AC199,CE$3=$AE199),"",IF(CE$3=$AD199,$F199&amp;"R",CE198))))</f>
        <v>bP</v>
      </c>
      <c r="CF199" s="11" t="str">
        <f aca="false">IF($P199=0,CF198,IF(CF$3=$E199,IF($AA199=1,$F199&amp;$AB199,$G199),IF(OR(CF$3=$D199,CF$3=$AC199,CF$3=$AE199),"",IF(CF$3=$AD199,$F199&amp;"R",CF198))))</f>
        <v>bP</v>
      </c>
      <c r="CG199" s="11" t="str">
        <f aca="false">IF($P199=0,CG198,IF(CG$3=$E199,IF($AA199=1,$F199&amp;$AB199,$G199),IF(OR(CG$3=$D199,CG$3=$AC199,CG$3=$AE199),"",IF(CG$3=$AD199,$F199&amp;"R",CG198))))</f>
        <v>bP</v>
      </c>
      <c r="CH199" s="11" t="str">
        <f aca="false">IF($P199=0,CH198,IF(CH$3=$E199,IF($AA199=1,$F199&amp;$AB199,$G199),IF(OR(CH$3=$D199,CH$3=$AC199,CH$3=$AE199),"",IF(CH$3=$AD199,$F199&amp;"R",CH198))))</f>
        <v>bP</v>
      </c>
      <c r="CI199" s="11" t="str">
        <f aca="false">IF($P199=0,CI198,IF(CI$3=$E199,IF($AA199=1,$F199&amp;$AB199,$G199),IF(OR(CI$3=$D199,CI$3=$AC199,CI$3=$AE199),"",IF(CI$3=$AD199,$F199&amp;"R",CI198))))</f>
        <v>bP</v>
      </c>
      <c r="CJ199" s="11" t="str">
        <f aca="false">IF($P199=0,CJ198,IF(CJ$3=$E199,IF($AA199=1,$F199&amp;$AB199,$G199),IF(OR(CJ$3=$D199,CJ$3=$AC199,CJ$3=$AE199),"",IF(CJ$3=$AD199,$F199&amp;"R",CJ198))))</f>
        <v>bP</v>
      </c>
      <c r="CK199" s="11" t="str">
        <f aca="false">IF($P199=0,CK198,IF(CK$3=$E199,IF($AA199=1,$F199&amp;$AB199,$G199),IF(OR(CK$3=$D199,CK$3=$AC199,CK$3=$AE199),"",IF(CK$3=$AD199,$F199&amp;"R",CK198))))</f>
        <v>bP</v>
      </c>
      <c r="CL199" s="11" t="str">
        <f aca="false">IF($P199=0,CL198,IF(CL$3=$E199,IF($AA199=1,$F199&amp;$AB199,$G199),IF(OR(CL$3=$D199,CL$3=$AC199,CL$3=$AE199),"",IF(CL$3=$AD199,$F199&amp;"R",CL198))))</f>
        <v>bR</v>
      </c>
      <c r="CM199" s="11" t="str">
        <f aca="false">IF($P199=0,CM198,IF(CM$3=$E199,IF($AA199=1,$F199&amp;$AB199,$G199),IF(OR(CM$3=$D199,CM$3=$AC199,CM$3=$AE199),"",IF(CM$3=$AD199,$F199&amp;"R",CM198))))</f>
        <v>bN</v>
      </c>
      <c r="CN199" s="11" t="str">
        <f aca="false">IF($P199=0,CN198,IF(CN$3=$E199,IF($AA199=1,$F199&amp;$AB199,$G199),IF(OR(CN$3=$D199,CN$3=$AC199,CN$3=$AE199),"",IF(CN$3=$AD199,$F199&amp;"R",CN198))))</f>
        <v>bB</v>
      </c>
      <c r="CO199" s="11" t="str">
        <f aca="false">IF($P199=0,CO198,IF(CO$3=$E199,IF($AA199=1,$F199&amp;$AB199,$G199),IF(OR(CO$3=$D199,CO$3=$AC199,CO$3=$AE199),"",IF(CO$3=$AD199,$F199&amp;"R",CO198))))</f>
        <v>bQ</v>
      </c>
      <c r="CP199" s="11" t="str">
        <f aca="false">IF($P199=0,CP198,IF(CP$3=$E199,IF($AA199=1,$F199&amp;$AB199,$G199),IF(OR(CP$3=$D199,CP$3=$AC199,CP$3=$AE199),"",IF(CP$3=$AD199,$F199&amp;"R",CP198))))</f>
        <v>bK</v>
      </c>
      <c r="CQ199" s="11" t="str">
        <f aca="false">IF($P199=0,CQ198,IF(CQ$3=$E199,IF($AA199=1,$F199&amp;$AB199,$G199),IF(OR(CQ$3=$D199,CQ$3=$AC199,CQ$3=$AE199),"",IF(CQ$3=$AD199,$F199&amp;"R",CQ198))))</f>
        <v>bB</v>
      </c>
      <c r="CR199" s="11" t="str">
        <f aca="false">IF($P199=0,CR198,IF(CR$3=$E199,IF($AA199=1,$F199&amp;$AB199,$G199),IF(OR(CR$3=$D199,CR$3=$AC199,CR$3=$AE199),"",IF(CR$3=$AD199,$F199&amp;"R",CR198))))</f>
        <v>bN</v>
      </c>
      <c r="CS199" s="11" t="str">
        <f aca="false">IF($P199=0,CS198,IF(CS$3=$E199,IF($AA199=1,$F199&amp;$AB199,$G199),IF(OR(CS$3=$D199,CS$3=$AC199,CS$3=$AE199),"",IF(CS$3=$AD199,$F199&amp;"R",CS198))))</f>
        <v>bR</v>
      </c>
      <c r="CT199" s="11"/>
      <c r="CU199" s="11"/>
      <c r="CV199" s="11"/>
    </row>
    <row r="200" customFormat="false" ht="15" hidden="false" customHeight="false" outlineLevel="0" collapsed="false">
      <c r="A200" s="11" t="n">
        <v>195</v>
      </c>
      <c r="B200" s="11" t="str">
        <f aca="false">IF(Chess!$L$204="","",Chess!$L$204&amp;"")</f>
        <v/>
      </c>
      <c r="C200" s="11" t="str">
        <f aca="false">LOWER(SUBSTITUTE(SUBSTITUTE(SUBSTITUTE(SUBSTITUTE(TRIM($B200),"-",""),"=","")," ",""),"x",""))</f>
        <v/>
      </c>
      <c r="D200" s="11" t="n">
        <f aca="false">IF(LEN($C200)&lt;4,0,IFERROR(IF(AND(CODE(MID($C200,1,1))&gt;=97,CODE(MID($C200,1,1))&lt;=104,VALUE(MID($C200,2,1))&gt;=1,VALUE(MID($C200,2,1))&lt;=8),(VALUE(MID($C200,2,1))-1)*8+CODE(MID($C200,1,1))-96,0),0))</f>
        <v>0</v>
      </c>
      <c r="E200" s="11" t="n">
        <f aca="false">IF(LEN($C200)&lt;4,0,IFERROR(IF(AND(CODE(MID($C200,3,1))&gt;=97,CODE(MID($C200,3,1))&lt;=104,VALUE(MID($C200,4,1))&gt;=1,VALUE(MID($C200,4,1))&lt;=8),(VALUE(MID($C200,4,1))-1)*8+CODE(MID($C200,3,1))-96,0),0))</f>
        <v>0</v>
      </c>
      <c r="F200" s="11" t="str">
        <f aca="false">IF(MOD(SUM($P$5:$P199),2)=0,"w","b")</f>
        <v>w</v>
      </c>
      <c r="G200" s="11" t="str">
        <f aca="false">IF($D200=0,"",INDEX($AH199:$CS199,1,$D200)&amp;"")</f>
        <v/>
      </c>
      <c r="H200" s="11" t="str">
        <f aca="false">IF($E200=0,"",INDEX($AH199:$CS199,1,$E200)&amp;"")</f>
        <v/>
      </c>
      <c r="I200" s="11" t="n">
        <f aca="false">IF(OR($D200=0,$E200=0),0,MOD($E200-1,8)-MOD($D200-1,8))</f>
        <v>0</v>
      </c>
      <c r="J200" s="11" t="n">
        <f aca="false">IF(OR($D200=0,$E200=0),0,INT(($E200-1)/8)-INT(($D200-1)/8))</f>
        <v>0</v>
      </c>
      <c r="K200" s="11" t="str">
        <f aca="false">IF($G200="","",RIGHT($G200,1))</f>
        <v/>
      </c>
      <c r="L200" s="11" t="n">
        <f aca="false">IF(OR($D200=0,$E200=0),0,SUMPRODUCT(($AH$3:$CS$3&gt;MIN($D200,$E200))*($AH$3:$CS$3&lt;MAX($D200,$E200))*(MOD($AH$3:$CS$3-MIN($D200,$E200),MAX(1,ABS(SIGN($J200)*8+SIGN($I200))))=0)*($AH199:$CS199&lt;&gt;"")))</f>
        <v>0</v>
      </c>
      <c r="M200" s="11" t="n">
        <f aca="false">IF($K200&lt;&gt;"K",0,IFERROR(--AND($J200=0,ABS($I200)=2,$D200=IF($F200="w",5,61),IF($F200="w",$S199,$V199)=0,IF($I200=2,AND(IF($F200="w",$U199,$X199)=0,INDEX($AH199:$CS199,1,$D200+1)&amp;""="",INDEX($AH199:$CS199,1,$D200+2)&amp;""=""),AND(IF($F200="w",$T199,$W199)=0,INDEX($AH199:$CS199,1,$D200-1)&amp;""="",INDEX($AH199:$CS199,1,$D200-2)&amp;""="",INDEX($AH199:$CS199,1,$D200-3)&amp;""=""))),0))</f>
        <v>0</v>
      </c>
      <c r="N200" s="11" t="n">
        <f aca="false">IF($K200&lt;&gt;"P",0,IFERROR(--OR(AND($I200=0,$J200=IF($F200="w",1,-1),$H200=""),AND($I200=0,$J200=2*IF($F200="w",1,-1),$H200="",INT(($D200-1)/8)=IF($F200="w",1,6),INDEX($AH199:$CS199,1,MAX(1,MIN(64,$D200+8*IF($F200="w",1,-1))))&amp;""=""),AND(ABS($I200)=1,$J200=IF($F200="w",1,-1),$H200&lt;&gt;""),AND(ABS($I200)=1,$J200=IF($F200="w",1,-1),$H200="",$R199&gt;0,$E200=$R199)),0))</f>
        <v>0</v>
      </c>
      <c r="O200" s="11" t="n">
        <f aca="false">IF(OR($D200=0,$E200=0,$G200=""),0,IF($K200="N",--OR(AND(ABS($I200)=1,ABS($J200)=2),AND(ABS($I200)=2,ABS($J200)=1)),IF($K200="B",--AND(ABS($I200)=ABS($J200),$I200&lt;&gt;0,$L200=0),IF($K200="R",--AND(OR($I200=0,$J200=0),OR($I200&lt;&gt;0,$J200&lt;&gt;0),$L200=0),IF($K200="Q",--AND(OR(AND(ABS($I200)=ABS($J200),$I200&lt;&gt;0),AND(OR($I200=0,$J200=0),OR($I200&lt;&gt;0,$J200&lt;&gt;0))),$L200=0),IF($K200="K",--OR(MAX(ABS($I200),ABS($J200))=1,$M200=1),$N200))))))</f>
        <v>0</v>
      </c>
      <c r="P200" s="11" t="n">
        <f aca="false">IF($Q200="OK",1,0)</f>
        <v>0</v>
      </c>
      <c r="Q200" s="11" t="str">
        <f aca="false">IF($B200="","",IF(OR(COUNTIF($AH199:$CS199,"wK")=0,COUNTIF($AH199:$CS199,"bK")=0),"Game is over",IF(OR($D200=0,$E200=0),"Use the format e2e4",IF($G200="","No piece on that square",IF(LEFT($G200,1)&lt;&gt;$F200,"Not your piece ("&amp;IF($F200="w","White","Black")&amp;" to move)",IF($D200=$E200,"Piece must move",IF(AND($H200&lt;&gt;"",LEFT($H200,1)=$F200),"Cannot capture your own piece",IF($O200=0,"Illegal move for that piece (or path blocked)","OK"))))))))</f>
        <v/>
      </c>
      <c r="R200" s="11" t="n">
        <f aca="false">IF($P200=1,IF(AND($K200="P",ABS($J200)=2),($D200+$E200)/2,0),$R199)</f>
        <v>0</v>
      </c>
      <c r="S200" s="12" t="b">
        <f aca="false">--OR($S199=1,AND($P200=1,OR($D200=5,$E200=5)))</f>
        <v>0</v>
      </c>
      <c r="T200" s="12" t="b">
        <f aca="false">--OR($T199=1,AND($P200=1,OR($D200=1,$E200=1)))</f>
        <v>0</v>
      </c>
      <c r="U200" s="12" t="b">
        <f aca="false">--OR($U199=1,AND($P200=1,OR($D200=8,$E200=8)))</f>
        <v>0</v>
      </c>
      <c r="V200" s="12" t="b">
        <f aca="false">--OR($V199=1,AND($P200=1,OR($D200=61,$E200=61)))</f>
        <v>0</v>
      </c>
      <c r="W200" s="12" t="b">
        <f aca="false">--OR($W199=1,AND($P200=1,OR($D200=57,$E200=57)))</f>
        <v>0</v>
      </c>
      <c r="X200" s="12" t="b">
        <f aca="false">--OR($X199=1,AND($P200=1,OR($D200=64,$E200=64)))</f>
        <v>0</v>
      </c>
      <c r="Y200" s="12" t="b">
        <f aca="false">--AND($P200=1,$K200="K",ABS($I200)=2)</f>
        <v>0</v>
      </c>
      <c r="Z200" s="12" t="b">
        <f aca="false">--AND($P200=1,$K200="P",ABS($I200)=1,$H200="")</f>
        <v>0</v>
      </c>
      <c r="AA200" s="12" t="b">
        <f aca="false">--AND($P200=1,$K200="P",INT(($E200-1)/8)=IF($F200="w",7,0))</f>
        <v>0</v>
      </c>
      <c r="AB200" s="11" t="str">
        <f aca="false">IF(LEN($C200)&gt;=5,IF(ISNUMBER(FIND(MID($C200,5,1),"qrbn")),UPPER(MID($C200,5,1)),"Q"),"Q")</f>
        <v>Q</v>
      </c>
      <c r="AC200" s="11" t="n">
        <f aca="false">IF($Y200=1,IF($I200=2,$D200+3,$D200-4),0)</f>
        <v>0</v>
      </c>
      <c r="AD200" s="11" t="n">
        <f aca="false">IF($Y200=1,IF($I200=2,$D200+1,$D200-1),0)</f>
        <v>0</v>
      </c>
      <c r="AE200" s="11" t="n">
        <f aca="false">IF($Z200=1,$E200-8*IF($F200="w",1,-1),0)</f>
        <v>0</v>
      </c>
      <c r="AF200" s="11" t="str">
        <f aca="false">IF($B200="","",IF($P200=1,LOWER(INDEX($CV$2:$CV$13,MATCH($G200,$CU$2:$CU$13,0)))&amp;" "&amp;MID("abcdefgh",MOD($D200-1,8)+1,1)&amp;(INT(($D200-1)/8)+1)&amp;"→"&amp;MID("abcdefgh",MOD($E200-1,8)+1,1)&amp;(INT(($E200-1)/8)+1)&amp;IF(OR($H200&lt;&gt;"",$Z200=1)," ×","")&amp;IF($Y200=1," castles","")&amp;IF($Z200=1," e.p.","")&amp;IF($AA200=1," =" &amp;LOWER(INDEX($CV$2:$CV$13,MATCH($F200&amp;$AB200,$CU$2:$CU$13,0))),""),"X "&amp;$Q200))</f>
        <v/>
      </c>
      <c r="AG200" s="11"/>
      <c r="AH200" s="11" t="str">
        <f aca="false">IF($P200=0,AH199,IF(AH$3=$E200,IF($AA200=1,$F200&amp;$AB200,$G200),IF(OR(AH$3=$D200,AH$3=$AC200,AH$3=$AE200),"",IF(AH$3=$AD200,$F200&amp;"R",AH199))))</f>
        <v>wR</v>
      </c>
      <c r="AI200" s="11" t="str">
        <f aca="false">IF($P200=0,AI199,IF(AI$3=$E200,IF($AA200=1,$F200&amp;$AB200,$G200),IF(OR(AI$3=$D200,AI$3=$AC200,AI$3=$AE200),"",IF(AI$3=$AD200,$F200&amp;"R",AI199))))</f>
        <v>wN</v>
      </c>
      <c r="AJ200" s="11" t="str">
        <f aca="false">IF($P200=0,AJ199,IF(AJ$3=$E200,IF($AA200=1,$F200&amp;$AB200,$G200),IF(OR(AJ$3=$D200,AJ$3=$AC200,AJ$3=$AE200),"",IF(AJ$3=$AD200,$F200&amp;"R",AJ199))))</f>
        <v>wB</v>
      </c>
      <c r="AK200" s="11" t="str">
        <f aca="false">IF($P200=0,AK199,IF(AK$3=$E200,IF($AA200=1,$F200&amp;$AB200,$G200),IF(OR(AK$3=$D200,AK$3=$AC200,AK$3=$AE200),"",IF(AK$3=$AD200,$F200&amp;"R",AK199))))</f>
        <v>wQ</v>
      </c>
      <c r="AL200" s="11" t="str">
        <f aca="false">IF($P200=0,AL199,IF(AL$3=$E200,IF($AA200=1,$F200&amp;$AB200,$G200),IF(OR(AL$3=$D200,AL$3=$AC200,AL$3=$AE200),"",IF(AL$3=$AD200,$F200&amp;"R",AL199))))</f>
        <v>wK</v>
      </c>
      <c r="AM200" s="11" t="str">
        <f aca="false">IF($P200=0,AM199,IF(AM$3=$E200,IF($AA200=1,$F200&amp;$AB200,$G200),IF(OR(AM$3=$D200,AM$3=$AC200,AM$3=$AE200),"",IF(AM$3=$AD200,$F200&amp;"R",AM199))))</f>
        <v>wB</v>
      </c>
      <c r="AN200" s="11" t="str">
        <f aca="false">IF($P200=0,AN199,IF(AN$3=$E200,IF($AA200=1,$F200&amp;$AB200,$G200),IF(OR(AN$3=$D200,AN$3=$AC200,AN$3=$AE200),"",IF(AN$3=$AD200,$F200&amp;"R",AN199))))</f>
        <v>wN</v>
      </c>
      <c r="AO200" s="11" t="str">
        <f aca="false">IF($P200=0,AO199,IF(AO$3=$E200,IF($AA200=1,$F200&amp;$AB200,$G200),IF(OR(AO$3=$D200,AO$3=$AC200,AO$3=$AE200),"",IF(AO$3=$AD200,$F200&amp;"R",AO199))))</f>
        <v>wR</v>
      </c>
      <c r="AP200" s="11" t="str">
        <f aca="false">IF($P200=0,AP199,IF(AP$3=$E200,IF($AA200=1,$F200&amp;$AB200,$G200),IF(OR(AP$3=$D200,AP$3=$AC200,AP$3=$AE200),"",IF(AP$3=$AD200,$F200&amp;"R",AP199))))</f>
        <v>wP</v>
      </c>
      <c r="AQ200" s="11" t="str">
        <f aca="false">IF($P200=0,AQ199,IF(AQ$3=$E200,IF($AA200=1,$F200&amp;$AB200,$G200),IF(OR(AQ$3=$D200,AQ$3=$AC200,AQ$3=$AE200),"",IF(AQ$3=$AD200,$F200&amp;"R",AQ199))))</f>
        <v>wP</v>
      </c>
      <c r="AR200" s="11" t="str">
        <f aca="false">IF($P200=0,AR199,IF(AR$3=$E200,IF($AA200=1,$F200&amp;$AB200,$G200),IF(OR(AR$3=$D200,AR$3=$AC200,AR$3=$AE200),"",IF(AR$3=$AD200,$F200&amp;"R",AR199))))</f>
        <v>wP</v>
      </c>
      <c r="AS200" s="11" t="str">
        <f aca="false">IF($P200=0,AS199,IF(AS$3=$E200,IF($AA200=1,$F200&amp;$AB200,$G200),IF(OR(AS$3=$D200,AS$3=$AC200,AS$3=$AE200),"",IF(AS$3=$AD200,$F200&amp;"R",AS199))))</f>
        <v>wP</v>
      </c>
      <c r="AT200" s="11" t="str">
        <f aca="false">IF($P200=0,AT199,IF(AT$3=$E200,IF($AA200=1,$F200&amp;$AB200,$G200),IF(OR(AT$3=$D200,AT$3=$AC200,AT$3=$AE200),"",IF(AT$3=$AD200,$F200&amp;"R",AT199))))</f>
        <v>wP</v>
      </c>
      <c r="AU200" s="11" t="str">
        <f aca="false">IF($P200=0,AU199,IF(AU$3=$E200,IF($AA200=1,$F200&amp;$AB200,$G200),IF(OR(AU$3=$D200,AU$3=$AC200,AU$3=$AE200),"",IF(AU$3=$AD200,$F200&amp;"R",AU199))))</f>
        <v>wP</v>
      </c>
      <c r="AV200" s="11" t="str">
        <f aca="false">IF($P200=0,AV199,IF(AV$3=$E200,IF($AA200=1,$F200&amp;$AB200,$G200),IF(OR(AV$3=$D200,AV$3=$AC200,AV$3=$AE200),"",IF(AV$3=$AD200,$F200&amp;"R",AV199))))</f>
        <v>wP</v>
      </c>
      <c r="AW200" s="11" t="str">
        <f aca="false">IF($P200=0,AW199,IF(AW$3=$E200,IF($AA200=1,$F200&amp;$AB200,$G200),IF(OR(AW$3=$D200,AW$3=$AC200,AW$3=$AE200),"",IF(AW$3=$AD200,$F200&amp;"R",AW199))))</f>
        <v>wP</v>
      </c>
      <c r="AX200" s="11" t="str">
        <f aca="false">IF($P200=0,AX199,IF(AX$3=$E200,IF($AA200=1,$F200&amp;$AB200,$G200),IF(OR(AX$3=$D200,AX$3=$AC200,AX$3=$AE200),"",IF(AX$3=$AD200,$F200&amp;"R",AX199))))</f>
        <v/>
      </c>
      <c r="AY200" s="11" t="str">
        <f aca="false">IF($P200=0,AY199,IF(AY$3=$E200,IF($AA200=1,$F200&amp;$AB200,$G200),IF(OR(AY$3=$D200,AY$3=$AC200,AY$3=$AE200),"",IF(AY$3=$AD200,$F200&amp;"R",AY199))))</f>
        <v/>
      </c>
      <c r="AZ200" s="11" t="str">
        <f aca="false">IF($P200=0,AZ199,IF(AZ$3=$E200,IF($AA200=1,$F200&amp;$AB200,$G200),IF(OR(AZ$3=$D200,AZ$3=$AC200,AZ$3=$AE200),"",IF(AZ$3=$AD200,$F200&amp;"R",AZ199))))</f>
        <v/>
      </c>
      <c r="BA200" s="11" t="str">
        <f aca="false">IF($P200=0,BA199,IF(BA$3=$E200,IF($AA200=1,$F200&amp;$AB200,$G200),IF(OR(BA$3=$D200,BA$3=$AC200,BA$3=$AE200),"",IF(BA$3=$AD200,$F200&amp;"R",BA199))))</f>
        <v/>
      </c>
      <c r="BB200" s="11" t="str">
        <f aca="false">IF($P200=0,BB199,IF(BB$3=$E200,IF($AA200=1,$F200&amp;$AB200,$G200),IF(OR(BB$3=$D200,BB$3=$AC200,BB$3=$AE200),"",IF(BB$3=$AD200,$F200&amp;"R",BB199))))</f>
        <v/>
      </c>
      <c r="BC200" s="11" t="str">
        <f aca="false">IF($P200=0,BC199,IF(BC$3=$E200,IF($AA200=1,$F200&amp;$AB200,$G200),IF(OR(BC$3=$D200,BC$3=$AC200,BC$3=$AE200),"",IF(BC$3=$AD200,$F200&amp;"R",BC199))))</f>
        <v/>
      </c>
      <c r="BD200" s="11" t="str">
        <f aca="false">IF($P200=0,BD199,IF(BD$3=$E200,IF($AA200=1,$F200&amp;$AB200,$G200),IF(OR(BD$3=$D200,BD$3=$AC200,BD$3=$AE200),"",IF(BD$3=$AD200,$F200&amp;"R",BD199))))</f>
        <v/>
      </c>
      <c r="BE200" s="11" t="str">
        <f aca="false">IF($P200=0,BE199,IF(BE$3=$E200,IF($AA200=1,$F200&amp;$AB200,$G200),IF(OR(BE$3=$D200,BE$3=$AC200,BE$3=$AE200),"",IF(BE$3=$AD200,$F200&amp;"R",BE199))))</f>
        <v/>
      </c>
      <c r="BF200" s="11" t="str">
        <f aca="false">IF($P200=0,BF199,IF(BF$3=$E200,IF($AA200=1,$F200&amp;$AB200,$G200),IF(OR(BF$3=$D200,BF$3=$AC200,BF$3=$AE200),"",IF(BF$3=$AD200,$F200&amp;"R",BF199))))</f>
        <v/>
      </c>
      <c r="BG200" s="11" t="str">
        <f aca="false">IF($P200=0,BG199,IF(BG$3=$E200,IF($AA200=1,$F200&amp;$AB200,$G200),IF(OR(BG$3=$D200,BG$3=$AC200,BG$3=$AE200),"",IF(BG$3=$AD200,$F200&amp;"R",BG199))))</f>
        <v/>
      </c>
      <c r="BH200" s="11" t="str">
        <f aca="false">IF($P200=0,BH199,IF(BH$3=$E200,IF($AA200=1,$F200&amp;$AB200,$G200),IF(OR(BH$3=$D200,BH$3=$AC200,BH$3=$AE200),"",IF(BH$3=$AD200,$F200&amp;"R",BH199))))</f>
        <v/>
      </c>
      <c r="BI200" s="11" t="str">
        <f aca="false">IF($P200=0,BI199,IF(BI$3=$E200,IF($AA200=1,$F200&amp;$AB200,$G200),IF(OR(BI$3=$D200,BI$3=$AC200,BI$3=$AE200),"",IF(BI$3=$AD200,$F200&amp;"R",BI199))))</f>
        <v/>
      </c>
      <c r="BJ200" s="11" t="str">
        <f aca="false">IF($P200=0,BJ199,IF(BJ$3=$E200,IF($AA200=1,$F200&amp;$AB200,$G200),IF(OR(BJ$3=$D200,BJ$3=$AC200,BJ$3=$AE200),"",IF(BJ$3=$AD200,$F200&amp;"R",BJ199))))</f>
        <v/>
      </c>
      <c r="BK200" s="11" t="str">
        <f aca="false">IF($P200=0,BK199,IF(BK$3=$E200,IF($AA200=1,$F200&amp;$AB200,$G200),IF(OR(BK$3=$D200,BK$3=$AC200,BK$3=$AE200),"",IF(BK$3=$AD200,$F200&amp;"R",BK199))))</f>
        <v/>
      </c>
      <c r="BL200" s="11" t="str">
        <f aca="false">IF($P200=0,BL199,IF(BL$3=$E200,IF($AA200=1,$F200&amp;$AB200,$G200),IF(OR(BL$3=$D200,BL$3=$AC200,BL$3=$AE200),"",IF(BL$3=$AD200,$F200&amp;"R",BL199))))</f>
        <v/>
      </c>
      <c r="BM200" s="11" t="str">
        <f aca="false">IF($P200=0,BM199,IF(BM$3=$E200,IF($AA200=1,$F200&amp;$AB200,$G200),IF(OR(BM$3=$D200,BM$3=$AC200,BM$3=$AE200),"",IF(BM$3=$AD200,$F200&amp;"R",BM199))))</f>
        <v/>
      </c>
      <c r="BN200" s="11" t="str">
        <f aca="false">IF($P200=0,BN199,IF(BN$3=$E200,IF($AA200=1,$F200&amp;$AB200,$G200),IF(OR(BN$3=$D200,BN$3=$AC200,BN$3=$AE200),"",IF(BN$3=$AD200,$F200&amp;"R",BN199))))</f>
        <v/>
      </c>
      <c r="BO200" s="11" t="str">
        <f aca="false">IF($P200=0,BO199,IF(BO$3=$E200,IF($AA200=1,$F200&amp;$AB200,$G200),IF(OR(BO$3=$D200,BO$3=$AC200,BO$3=$AE200),"",IF(BO$3=$AD200,$F200&amp;"R",BO199))))</f>
        <v/>
      </c>
      <c r="BP200" s="11" t="str">
        <f aca="false">IF($P200=0,BP199,IF(BP$3=$E200,IF($AA200=1,$F200&amp;$AB200,$G200),IF(OR(BP$3=$D200,BP$3=$AC200,BP$3=$AE200),"",IF(BP$3=$AD200,$F200&amp;"R",BP199))))</f>
        <v/>
      </c>
      <c r="BQ200" s="11" t="str">
        <f aca="false">IF($P200=0,BQ199,IF(BQ$3=$E200,IF($AA200=1,$F200&amp;$AB200,$G200),IF(OR(BQ$3=$D200,BQ$3=$AC200,BQ$3=$AE200),"",IF(BQ$3=$AD200,$F200&amp;"R",BQ199))))</f>
        <v/>
      </c>
      <c r="BR200" s="11" t="str">
        <f aca="false">IF($P200=0,BR199,IF(BR$3=$E200,IF($AA200=1,$F200&amp;$AB200,$G200),IF(OR(BR$3=$D200,BR$3=$AC200,BR$3=$AE200),"",IF(BR$3=$AD200,$F200&amp;"R",BR199))))</f>
        <v/>
      </c>
      <c r="BS200" s="11" t="str">
        <f aca="false">IF($P200=0,BS199,IF(BS$3=$E200,IF($AA200=1,$F200&amp;$AB200,$G200),IF(OR(BS$3=$D200,BS$3=$AC200,BS$3=$AE200),"",IF(BS$3=$AD200,$F200&amp;"R",BS199))))</f>
        <v/>
      </c>
      <c r="BT200" s="11" t="str">
        <f aca="false">IF($P200=0,BT199,IF(BT$3=$E200,IF($AA200=1,$F200&amp;$AB200,$G200),IF(OR(BT$3=$D200,BT$3=$AC200,BT$3=$AE200),"",IF(BT$3=$AD200,$F200&amp;"R",BT199))))</f>
        <v/>
      </c>
      <c r="BU200" s="11" t="str">
        <f aca="false">IF($P200=0,BU199,IF(BU$3=$E200,IF($AA200=1,$F200&amp;$AB200,$G200),IF(OR(BU$3=$D200,BU$3=$AC200,BU$3=$AE200),"",IF(BU$3=$AD200,$F200&amp;"R",BU199))))</f>
        <v/>
      </c>
      <c r="BV200" s="11" t="str">
        <f aca="false">IF($P200=0,BV199,IF(BV$3=$E200,IF($AA200=1,$F200&amp;$AB200,$G200),IF(OR(BV$3=$D200,BV$3=$AC200,BV$3=$AE200),"",IF(BV$3=$AD200,$F200&amp;"R",BV199))))</f>
        <v/>
      </c>
      <c r="BW200" s="11" t="str">
        <f aca="false">IF($P200=0,BW199,IF(BW$3=$E200,IF($AA200=1,$F200&amp;$AB200,$G200),IF(OR(BW$3=$D200,BW$3=$AC200,BW$3=$AE200),"",IF(BW$3=$AD200,$F200&amp;"R",BW199))))</f>
        <v/>
      </c>
      <c r="BX200" s="11" t="str">
        <f aca="false">IF($P200=0,BX199,IF(BX$3=$E200,IF($AA200=1,$F200&amp;$AB200,$G200),IF(OR(BX$3=$D200,BX$3=$AC200,BX$3=$AE200),"",IF(BX$3=$AD200,$F200&amp;"R",BX199))))</f>
        <v/>
      </c>
      <c r="BY200" s="11" t="str">
        <f aca="false">IF($P200=0,BY199,IF(BY$3=$E200,IF($AA200=1,$F200&amp;$AB200,$G200),IF(OR(BY$3=$D200,BY$3=$AC200,BY$3=$AE200),"",IF(BY$3=$AD200,$F200&amp;"R",BY199))))</f>
        <v/>
      </c>
      <c r="BZ200" s="11" t="str">
        <f aca="false">IF($P200=0,BZ199,IF(BZ$3=$E200,IF($AA200=1,$F200&amp;$AB200,$G200),IF(OR(BZ$3=$D200,BZ$3=$AC200,BZ$3=$AE200),"",IF(BZ$3=$AD200,$F200&amp;"R",BZ199))))</f>
        <v/>
      </c>
      <c r="CA200" s="11" t="str">
        <f aca="false">IF($P200=0,CA199,IF(CA$3=$E200,IF($AA200=1,$F200&amp;$AB200,$G200),IF(OR(CA$3=$D200,CA$3=$AC200,CA$3=$AE200),"",IF(CA$3=$AD200,$F200&amp;"R",CA199))))</f>
        <v/>
      </c>
      <c r="CB200" s="11" t="str">
        <f aca="false">IF($P200=0,CB199,IF(CB$3=$E200,IF($AA200=1,$F200&amp;$AB200,$G200),IF(OR(CB$3=$D200,CB$3=$AC200,CB$3=$AE200),"",IF(CB$3=$AD200,$F200&amp;"R",CB199))))</f>
        <v/>
      </c>
      <c r="CC200" s="11" t="str">
        <f aca="false">IF($P200=0,CC199,IF(CC$3=$E200,IF($AA200=1,$F200&amp;$AB200,$G200),IF(OR(CC$3=$D200,CC$3=$AC200,CC$3=$AE200),"",IF(CC$3=$AD200,$F200&amp;"R",CC199))))</f>
        <v/>
      </c>
      <c r="CD200" s="11" t="str">
        <f aca="false">IF($P200=0,CD199,IF(CD$3=$E200,IF($AA200=1,$F200&amp;$AB200,$G200),IF(OR(CD$3=$D200,CD$3=$AC200,CD$3=$AE200),"",IF(CD$3=$AD200,$F200&amp;"R",CD199))))</f>
        <v>bP</v>
      </c>
      <c r="CE200" s="11" t="str">
        <f aca="false">IF($P200=0,CE199,IF(CE$3=$E200,IF($AA200=1,$F200&amp;$AB200,$G200),IF(OR(CE$3=$D200,CE$3=$AC200,CE$3=$AE200),"",IF(CE$3=$AD200,$F200&amp;"R",CE199))))</f>
        <v>bP</v>
      </c>
      <c r="CF200" s="11" t="str">
        <f aca="false">IF($P200=0,CF199,IF(CF$3=$E200,IF($AA200=1,$F200&amp;$AB200,$G200),IF(OR(CF$3=$D200,CF$3=$AC200,CF$3=$AE200),"",IF(CF$3=$AD200,$F200&amp;"R",CF199))))</f>
        <v>bP</v>
      </c>
      <c r="CG200" s="11" t="str">
        <f aca="false">IF($P200=0,CG199,IF(CG$3=$E200,IF($AA200=1,$F200&amp;$AB200,$G200),IF(OR(CG$3=$D200,CG$3=$AC200,CG$3=$AE200),"",IF(CG$3=$AD200,$F200&amp;"R",CG199))))</f>
        <v>bP</v>
      </c>
      <c r="CH200" s="11" t="str">
        <f aca="false">IF($P200=0,CH199,IF(CH$3=$E200,IF($AA200=1,$F200&amp;$AB200,$G200),IF(OR(CH$3=$D200,CH$3=$AC200,CH$3=$AE200),"",IF(CH$3=$AD200,$F200&amp;"R",CH199))))</f>
        <v>bP</v>
      </c>
      <c r="CI200" s="11" t="str">
        <f aca="false">IF($P200=0,CI199,IF(CI$3=$E200,IF($AA200=1,$F200&amp;$AB200,$G200),IF(OR(CI$3=$D200,CI$3=$AC200,CI$3=$AE200),"",IF(CI$3=$AD200,$F200&amp;"R",CI199))))</f>
        <v>bP</v>
      </c>
      <c r="CJ200" s="11" t="str">
        <f aca="false">IF($P200=0,CJ199,IF(CJ$3=$E200,IF($AA200=1,$F200&amp;$AB200,$G200),IF(OR(CJ$3=$D200,CJ$3=$AC200,CJ$3=$AE200),"",IF(CJ$3=$AD200,$F200&amp;"R",CJ199))))</f>
        <v>bP</v>
      </c>
      <c r="CK200" s="11" t="str">
        <f aca="false">IF($P200=0,CK199,IF(CK$3=$E200,IF($AA200=1,$F200&amp;$AB200,$G200),IF(OR(CK$3=$D200,CK$3=$AC200,CK$3=$AE200),"",IF(CK$3=$AD200,$F200&amp;"R",CK199))))</f>
        <v>bP</v>
      </c>
      <c r="CL200" s="11" t="str">
        <f aca="false">IF($P200=0,CL199,IF(CL$3=$E200,IF($AA200=1,$F200&amp;$AB200,$G200),IF(OR(CL$3=$D200,CL$3=$AC200,CL$3=$AE200),"",IF(CL$3=$AD200,$F200&amp;"R",CL199))))</f>
        <v>bR</v>
      </c>
      <c r="CM200" s="11" t="str">
        <f aca="false">IF($P200=0,CM199,IF(CM$3=$E200,IF($AA200=1,$F200&amp;$AB200,$G200),IF(OR(CM$3=$D200,CM$3=$AC200,CM$3=$AE200),"",IF(CM$3=$AD200,$F200&amp;"R",CM199))))</f>
        <v>bN</v>
      </c>
      <c r="CN200" s="11" t="str">
        <f aca="false">IF($P200=0,CN199,IF(CN$3=$E200,IF($AA200=1,$F200&amp;$AB200,$G200),IF(OR(CN$3=$D200,CN$3=$AC200,CN$3=$AE200),"",IF(CN$3=$AD200,$F200&amp;"R",CN199))))</f>
        <v>bB</v>
      </c>
      <c r="CO200" s="11" t="str">
        <f aca="false">IF($P200=0,CO199,IF(CO$3=$E200,IF($AA200=1,$F200&amp;$AB200,$G200),IF(OR(CO$3=$D200,CO$3=$AC200,CO$3=$AE200),"",IF(CO$3=$AD200,$F200&amp;"R",CO199))))</f>
        <v>bQ</v>
      </c>
      <c r="CP200" s="11" t="str">
        <f aca="false">IF($P200=0,CP199,IF(CP$3=$E200,IF($AA200=1,$F200&amp;$AB200,$G200),IF(OR(CP$3=$D200,CP$3=$AC200,CP$3=$AE200),"",IF(CP$3=$AD200,$F200&amp;"R",CP199))))</f>
        <v>bK</v>
      </c>
      <c r="CQ200" s="11" t="str">
        <f aca="false">IF($P200=0,CQ199,IF(CQ$3=$E200,IF($AA200=1,$F200&amp;$AB200,$G200),IF(OR(CQ$3=$D200,CQ$3=$AC200,CQ$3=$AE200),"",IF(CQ$3=$AD200,$F200&amp;"R",CQ199))))</f>
        <v>bB</v>
      </c>
      <c r="CR200" s="11" t="str">
        <f aca="false">IF($P200=0,CR199,IF(CR$3=$E200,IF($AA200=1,$F200&amp;$AB200,$G200),IF(OR(CR$3=$D200,CR$3=$AC200,CR$3=$AE200),"",IF(CR$3=$AD200,$F200&amp;"R",CR199))))</f>
        <v>bN</v>
      </c>
      <c r="CS200" s="11" t="str">
        <f aca="false">IF($P200=0,CS199,IF(CS$3=$E200,IF($AA200=1,$F200&amp;$AB200,$G200),IF(OR(CS$3=$D200,CS$3=$AC200,CS$3=$AE200),"",IF(CS$3=$AD200,$F200&amp;"R",CS199))))</f>
        <v>bR</v>
      </c>
      <c r="CT200" s="11"/>
      <c r="CU200" s="11"/>
      <c r="CV200" s="11"/>
    </row>
    <row r="201" customFormat="false" ht="15" hidden="false" customHeight="false" outlineLevel="0" collapsed="false">
      <c r="A201" s="11" t="n">
        <v>196</v>
      </c>
      <c r="B201" s="11" t="str">
        <f aca="false">IF(Chess!$L$205="","",Chess!$L$205&amp;"")</f>
        <v/>
      </c>
      <c r="C201" s="11" t="str">
        <f aca="false">LOWER(SUBSTITUTE(SUBSTITUTE(SUBSTITUTE(SUBSTITUTE(TRIM($B201),"-",""),"=","")," ",""),"x",""))</f>
        <v/>
      </c>
      <c r="D201" s="11" t="n">
        <f aca="false">IF(LEN($C201)&lt;4,0,IFERROR(IF(AND(CODE(MID($C201,1,1))&gt;=97,CODE(MID($C201,1,1))&lt;=104,VALUE(MID($C201,2,1))&gt;=1,VALUE(MID($C201,2,1))&lt;=8),(VALUE(MID($C201,2,1))-1)*8+CODE(MID($C201,1,1))-96,0),0))</f>
        <v>0</v>
      </c>
      <c r="E201" s="11" t="n">
        <f aca="false">IF(LEN($C201)&lt;4,0,IFERROR(IF(AND(CODE(MID($C201,3,1))&gt;=97,CODE(MID($C201,3,1))&lt;=104,VALUE(MID($C201,4,1))&gt;=1,VALUE(MID($C201,4,1))&lt;=8),(VALUE(MID($C201,4,1))-1)*8+CODE(MID($C201,3,1))-96,0),0))</f>
        <v>0</v>
      </c>
      <c r="F201" s="11" t="str">
        <f aca="false">IF(MOD(SUM($P$5:$P200),2)=0,"w","b")</f>
        <v>w</v>
      </c>
      <c r="G201" s="11" t="str">
        <f aca="false">IF($D201=0,"",INDEX($AH200:$CS200,1,$D201)&amp;"")</f>
        <v/>
      </c>
      <c r="H201" s="11" t="str">
        <f aca="false">IF($E201=0,"",INDEX($AH200:$CS200,1,$E201)&amp;"")</f>
        <v/>
      </c>
      <c r="I201" s="11" t="n">
        <f aca="false">IF(OR($D201=0,$E201=0),0,MOD($E201-1,8)-MOD($D201-1,8))</f>
        <v>0</v>
      </c>
      <c r="J201" s="11" t="n">
        <f aca="false">IF(OR($D201=0,$E201=0),0,INT(($E201-1)/8)-INT(($D201-1)/8))</f>
        <v>0</v>
      </c>
      <c r="K201" s="11" t="str">
        <f aca="false">IF($G201="","",RIGHT($G201,1))</f>
        <v/>
      </c>
      <c r="L201" s="11" t="n">
        <f aca="false">IF(OR($D201=0,$E201=0),0,SUMPRODUCT(($AH$3:$CS$3&gt;MIN($D201,$E201))*($AH$3:$CS$3&lt;MAX($D201,$E201))*(MOD($AH$3:$CS$3-MIN($D201,$E201),MAX(1,ABS(SIGN($J201)*8+SIGN($I201))))=0)*($AH200:$CS200&lt;&gt;"")))</f>
        <v>0</v>
      </c>
      <c r="M201" s="11" t="n">
        <f aca="false">IF($K201&lt;&gt;"K",0,IFERROR(--AND($J201=0,ABS($I201)=2,$D201=IF($F201="w",5,61),IF($F201="w",$S200,$V200)=0,IF($I201=2,AND(IF($F201="w",$U200,$X200)=0,INDEX($AH200:$CS200,1,$D201+1)&amp;""="",INDEX($AH200:$CS200,1,$D201+2)&amp;""=""),AND(IF($F201="w",$T200,$W200)=0,INDEX($AH200:$CS200,1,$D201-1)&amp;""="",INDEX($AH200:$CS200,1,$D201-2)&amp;""="",INDEX($AH200:$CS200,1,$D201-3)&amp;""=""))),0))</f>
        <v>0</v>
      </c>
      <c r="N201" s="11" t="n">
        <f aca="false">IF($K201&lt;&gt;"P",0,IFERROR(--OR(AND($I201=0,$J201=IF($F201="w",1,-1),$H201=""),AND($I201=0,$J201=2*IF($F201="w",1,-1),$H201="",INT(($D201-1)/8)=IF($F201="w",1,6),INDEX($AH200:$CS200,1,MAX(1,MIN(64,$D201+8*IF($F201="w",1,-1))))&amp;""=""),AND(ABS($I201)=1,$J201=IF($F201="w",1,-1),$H201&lt;&gt;""),AND(ABS($I201)=1,$J201=IF($F201="w",1,-1),$H201="",$R200&gt;0,$E201=$R200)),0))</f>
        <v>0</v>
      </c>
      <c r="O201" s="11" t="n">
        <f aca="false">IF(OR($D201=0,$E201=0,$G201=""),0,IF($K201="N",--OR(AND(ABS($I201)=1,ABS($J201)=2),AND(ABS($I201)=2,ABS($J201)=1)),IF($K201="B",--AND(ABS($I201)=ABS($J201),$I201&lt;&gt;0,$L201=0),IF($K201="R",--AND(OR($I201=0,$J201=0),OR($I201&lt;&gt;0,$J201&lt;&gt;0),$L201=0),IF($K201="Q",--AND(OR(AND(ABS($I201)=ABS($J201),$I201&lt;&gt;0),AND(OR($I201=0,$J201=0),OR($I201&lt;&gt;0,$J201&lt;&gt;0))),$L201=0),IF($K201="K",--OR(MAX(ABS($I201),ABS($J201))=1,$M201=1),$N201))))))</f>
        <v>0</v>
      </c>
      <c r="P201" s="11" t="n">
        <f aca="false">IF($Q201="OK",1,0)</f>
        <v>0</v>
      </c>
      <c r="Q201" s="11" t="str">
        <f aca="false">IF($B201="","",IF(OR(COUNTIF($AH200:$CS200,"wK")=0,COUNTIF($AH200:$CS200,"bK")=0),"Game is over",IF(OR($D201=0,$E201=0),"Use the format e2e4",IF($G201="","No piece on that square",IF(LEFT($G201,1)&lt;&gt;$F201,"Not your piece ("&amp;IF($F201="w","White","Black")&amp;" to move)",IF($D201=$E201,"Piece must move",IF(AND($H201&lt;&gt;"",LEFT($H201,1)=$F201),"Cannot capture your own piece",IF($O201=0,"Illegal move for that piece (or path blocked)","OK"))))))))</f>
        <v/>
      </c>
      <c r="R201" s="11" t="n">
        <f aca="false">IF($P201=1,IF(AND($K201="P",ABS($J201)=2),($D201+$E201)/2,0),$R200)</f>
        <v>0</v>
      </c>
      <c r="S201" s="12" t="b">
        <f aca="false">--OR($S200=1,AND($P201=1,OR($D201=5,$E201=5)))</f>
        <v>0</v>
      </c>
      <c r="T201" s="12" t="b">
        <f aca="false">--OR($T200=1,AND($P201=1,OR($D201=1,$E201=1)))</f>
        <v>0</v>
      </c>
      <c r="U201" s="12" t="b">
        <f aca="false">--OR($U200=1,AND($P201=1,OR($D201=8,$E201=8)))</f>
        <v>0</v>
      </c>
      <c r="V201" s="12" t="b">
        <f aca="false">--OR($V200=1,AND($P201=1,OR($D201=61,$E201=61)))</f>
        <v>0</v>
      </c>
      <c r="W201" s="12" t="b">
        <f aca="false">--OR($W200=1,AND($P201=1,OR($D201=57,$E201=57)))</f>
        <v>0</v>
      </c>
      <c r="X201" s="12" t="b">
        <f aca="false">--OR($X200=1,AND($P201=1,OR($D201=64,$E201=64)))</f>
        <v>0</v>
      </c>
      <c r="Y201" s="12" t="b">
        <f aca="false">--AND($P201=1,$K201="K",ABS($I201)=2)</f>
        <v>0</v>
      </c>
      <c r="Z201" s="12" t="b">
        <f aca="false">--AND($P201=1,$K201="P",ABS($I201)=1,$H201="")</f>
        <v>0</v>
      </c>
      <c r="AA201" s="12" t="b">
        <f aca="false">--AND($P201=1,$K201="P",INT(($E201-1)/8)=IF($F201="w",7,0))</f>
        <v>0</v>
      </c>
      <c r="AB201" s="11" t="str">
        <f aca="false">IF(LEN($C201)&gt;=5,IF(ISNUMBER(FIND(MID($C201,5,1),"qrbn")),UPPER(MID($C201,5,1)),"Q"),"Q")</f>
        <v>Q</v>
      </c>
      <c r="AC201" s="11" t="n">
        <f aca="false">IF($Y201=1,IF($I201=2,$D201+3,$D201-4),0)</f>
        <v>0</v>
      </c>
      <c r="AD201" s="11" t="n">
        <f aca="false">IF($Y201=1,IF($I201=2,$D201+1,$D201-1),0)</f>
        <v>0</v>
      </c>
      <c r="AE201" s="11" t="n">
        <f aca="false">IF($Z201=1,$E201-8*IF($F201="w",1,-1),0)</f>
        <v>0</v>
      </c>
      <c r="AF201" s="11" t="str">
        <f aca="false">IF($B201="","",IF($P201=1,LOWER(INDEX($CV$2:$CV$13,MATCH($G201,$CU$2:$CU$13,0)))&amp;" "&amp;MID("abcdefgh",MOD($D201-1,8)+1,1)&amp;(INT(($D201-1)/8)+1)&amp;"→"&amp;MID("abcdefgh",MOD($E201-1,8)+1,1)&amp;(INT(($E201-1)/8)+1)&amp;IF(OR($H201&lt;&gt;"",$Z201=1)," ×","")&amp;IF($Y201=1," castles","")&amp;IF($Z201=1," e.p.","")&amp;IF($AA201=1," =" &amp;LOWER(INDEX($CV$2:$CV$13,MATCH($F201&amp;$AB201,$CU$2:$CU$13,0))),""),"X "&amp;$Q201))</f>
        <v/>
      </c>
      <c r="AG201" s="11"/>
      <c r="AH201" s="11" t="str">
        <f aca="false">IF($P201=0,AH200,IF(AH$3=$E201,IF($AA201=1,$F201&amp;$AB201,$G201),IF(OR(AH$3=$D201,AH$3=$AC201,AH$3=$AE201),"",IF(AH$3=$AD201,$F201&amp;"R",AH200))))</f>
        <v>wR</v>
      </c>
      <c r="AI201" s="11" t="str">
        <f aca="false">IF($P201=0,AI200,IF(AI$3=$E201,IF($AA201=1,$F201&amp;$AB201,$G201),IF(OR(AI$3=$D201,AI$3=$AC201,AI$3=$AE201),"",IF(AI$3=$AD201,$F201&amp;"R",AI200))))</f>
        <v>wN</v>
      </c>
      <c r="AJ201" s="11" t="str">
        <f aca="false">IF($P201=0,AJ200,IF(AJ$3=$E201,IF($AA201=1,$F201&amp;$AB201,$G201),IF(OR(AJ$3=$D201,AJ$3=$AC201,AJ$3=$AE201),"",IF(AJ$3=$AD201,$F201&amp;"R",AJ200))))</f>
        <v>wB</v>
      </c>
      <c r="AK201" s="11" t="str">
        <f aca="false">IF($P201=0,AK200,IF(AK$3=$E201,IF($AA201=1,$F201&amp;$AB201,$G201),IF(OR(AK$3=$D201,AK$3=$AC201,AK$3=$AE201),"",IF(AK$3=$AD201,$F201&amp;"R",AK200))))</f>
        <v>wQ</v>
      </c>
      <c r="AL201" s="11" t="str">
        <f aca="false">IF($P201=0,AL200,IF(AL$3=$E201,IF($AA201=1,$F201&amp;$AB201,$G201),IF(OR(AL$3=$D201,AL$3=$AC201,AL$3=$AE201),"",IF(AL$3=$AD201,$F201&amp;"R",AL200))))</f>
        <v>wK</v>
      </c>
      <c r="AM201" s="11" t="str">
        <f aca="false">IF($P201=0,AM200,IF(AM$3=$E201,IF($AA201=1,$F201&amp;$AB201,$G201),IF(OR(AM$3=$D201,AM$3=$AC201,AM$3=$AE201),"",IF(AM$3=$AD201,$F201&amp;"R",AM200))))</f>
        <v>wB</v>
      </c>
      <c r="AN201" s="11" t="str">
        <f aca="false">IF($P201=0,AN200,IF(AN$3=$E201,IF($AA201=1,$F201&amp;$AB201,$G201),IF(OR(AN$3=$D201,AN$3=$AC201,AN$3=$AE201),"",IF(AN$3=$AD201,$F201&amp;"R",AN200))))</f>
        <v>wN</v>
      </c>
      <c r="AO201" s="11" t="str">
        <f aca="false">IF($P201=0,AO200,IF(AO$3=$E201,IF($AA201=1,$F201&amp;$AB201,$G201),IF(OR(AO$3=$D201,AO$3=$AC201,AO$3=$AE201),"",IF(AO$3=$AD201,$F201&amp;"R",AO200))))</f>
        <v>wR</v>
      </c>
      <c r="AP201" s="11" t="str">
        <f aca="false">IF($P201=0,AP200,IF(AP$3=$E201,IF($AA201=1,$F201&amp;$AB201,$G201),IF(OR(AP$3=$D201,AP$3=$AC201,AP$3=$AE201),"",IF(AP$3=$AD201,$F201&amp;"R",AP200))))</f>
        <v>wP</v>
      </c>
      <c r="AQ201" s="11" t="str">
        <f aca="false">IF($P201=0,AQ200,IF(AQ$3=$E201,IF($AA201=1,$F201&amp;$AB201,$G201),IF(OR(AQ$3=$D201,AQ$3=$AC201,AQ$3=$AE201),"",IF(AQ$3=$AD201,$F201&amp;"R",AQ200))))</f>
        <v>wP</v>
      </c>
      <c r="AR201" s="11" t="str">
        <f aca="false">IF($P201=0,AR200,IF(AR$3=$E201,IF($AA201=1,$F201&amp;$AB201,$G201),IF(OR(AR$3=$D201,AR$3=$AC201,AR$3=$AE201),"",IF(AR$3=$AD201,$F201&amp;"R",AR200))))</f>
        <v>wP</v>
      </c>
      <c r="AS201" s="11" t="str">
        <f aca="false">IF($P201=0,AS200,IF(AS$3=$E201,IF($AA201=1,$F201&amp;$AB201,$G201),IF(OR(AS$3=$D201,AS$3=$AC201,AS$3=$AE201),"",IF(AS$3=$AD201,$F201&amp;"R",AS200))))</f>
        <v>wP</v>
      </c>
      <c r="AT201" s="11" t="str">
        <f aca="false">IF($P201=0,AT200,IF(AT$3=$E201,IF($AA201=1,$F201&amp;$AB201,$G201),IF(OR(AT$3=$D201,AT$3=$AC201,AT$3=$AE201),"",IF(AT$3=$AD201,$F201&amp;"R",AT200))))</f>
        <v>wP</v>
      </c>
      <c r="AU201" s="11" t="str">
        <f aca="false">IF($P201=0,AU200,IF(AU$3=$E201,IF($AA201=1,$F201&amp;$AB201,$G201),IF(OR(AU$3=$D201,AU$3=$AC201,AU$3=$AE201),"",IF(AU$3=$AD201,$F201&amp;"R",AU200))))</f>
        <v>wP</v>
      </c>
      <c r="AV201" s="11" t="str">
        <f aca="false">IF($P201=0,AV200,IF(AV$3=$E201,IF($AA201=1,$F201&amp;$AB201,$G201),IF(OR(AV$3=$D201,AV$3=$AC201,AV$3=$AE201),"",IF(AV$3=$AD201,$F201&amp;"R",AV200))))</f>
        <v>wP</v>
      </c>
      <c r="AW201" s="11" t="str">
        <f aca="false">IF($P201=0,AW200,IF(AW$3=$E201,IF($AA201=1,$F201&amp;$AB201,$G201),IF(OR(AW$3=$D201,AW$3=$AC201,AW$3=$AE201),"",IF(AW$3=$AD201,$F201&amp;"R",AW200))))</f>
        <v>wP</v>
      </c>
      <c r="AX201" s="11" t="str">
        <f aca="false">IF($P201=0,AX200,IF(AX$3=$E201,IF($AA201=1,$F201&amp;$AB201,$G201),IF(OR(AX$3=$D201,AX$3=$AC201,AX$3=$AE201),"",IF(AX$3=$AD201,$F201&amp;"R",AX200))))</f>
        <v/>
      </c>
      <c r="AY201" s="11" t="str">
        <f aca="false">IF($P201=0,AY200,IF(AY$3=$E201,IF($AA201=1,$F201&amp;$AB201,$G201),IF(OR(AY$3=$D201,AY$3=$AC201,AY$3=$AE201),"",IF(AY$3=$AD201,$F201&amp;"R",AY200))))</f>
        <v/>
      </c>
      <c r="AZ201" s="11" t="str">
        <f aca="false">IF($P201=0,AZ200,IF(AZ$3=$E201,IF($AA201=1,$F201&amp;$AB201,$G201),IF(OR(AZ$3=$D201,AZ$3=$AC201,AZ$3=$AE201),"",IF(AZ$3=$AD201,$F201&amp;"R",AZ200))))</f>
        <v/>
      </c>
      <c r="BA201" s="11" t="str">
        <f aca="false">IF($P201=0,BA200,IF(BA$3=$E201,IF($AA201=1,$F201&amp;$AB201,$G201),IF(OR(BA$3=$D201,BA$3=$AC201,BA$3=$AE201),"",IF(BA$3=$AD201,$F201&amp;"R",BA200))))</f>
        <v/>
      </c>
      <c r="BB201" s="11" t="str">
        <f aca="false">IF($P201=0,BB200,IF(BB$3=$E201,IF($AA201=1,$F201&amp;$AB201,$G201),IF(OR(BB$3=$D201,BB$3=$AC201,BB$3=$AE201),"",IF(BB$3=$AD201,$F201&amp;"R",BB200))))</f>
        <v/>
      </c>
      <c r="BC201" s="11" t="str">
        <f aca="false">IF($P201=0,BC200,IF(BC$3=$E201,IF($AA201=1,$F201&amp;$AB201,$G201),IF(OR(BC$3=$D201,BC$3=$AC201,BC$3=$AE201),"",IF(BC$3=$AD201,$F201&amp;"R",BC200))))</f>
        <v/>
      </c>
      <c r="BD201" s="11" t="str">
        <f aca="false">IF($P201=0,BD200,IF(BD$3=$E201,IF($AA201=1,$F201&amp;$AB201,$G201),IF(OR(BD$3=$D201,BD$3=$AC201,BD$3=$AE201),"",IF(BD$3=$AD201,$F201&amp;"R",BD200))))</f>
        <v/>
      </c>
      <c r="BE201" s="11" t="str">
        <f aca="false">IF($P201=0,BE200,IF(BE$3=$E201,IF($AA201=1,$F201&amp;$AB201,$G201),IF(OR(BE$3=$D201,BE$3=$AC201,BE$3=$AE201),"",IF(BE$3=$AD201,$F201&amp;"R",BE200))))</f>
        <v/>
      </c>
      <c r="BF201" s="11" t="str">
        <f aca="false">IF($P201=0,BF200,IF(BF$3=$E201,IF($AA201=1,$F201&amp;$AB201,$G201),IF(OR(BF$3=$D201,BF$3=$AC201,BF$3=$AE201),"",IF(BF$3=$AD201,$F201&amp;"R",BF200))))</f>
        <v/>
      </c>
      <c r="BG201" s="11" t="str">
        <f aca="false">IF($P201=0,BG200,IF(BG$3=$E201,IF($AA201=1,$F201&amp;$AB201,$G201),IF(OR(BG$3=$D201,BG$3=$AC201,BG$3=$AE201),"",IF(BG$3=$AD201,$F201&amp;"R",BG200))))</f>
        <v/>
      </c>
      <c r="BH201" s="11" t="str">
        <f aca="false">IF($P201=0,BH200,IF(BH$3=$E201,IF($AA201=1,$F201&amp;$AB201,$G201),IF(OR(BH$3=$D201,BH$3=$AC201,BH$3=$AE201),"",IF(BH$3=$AD201,$F201&amp;"R",BH200))))</f>
        <v/>
      </c>
      <c r="BI201" s="11" t="str">
        <f aca="false">IF($P201=0,BI200,IF(BI$3=$E201,IF($AA201=1,$F201&amp;$AB201,$G201),IF(OR(BI$3=$D201,BI$3=$AC201,BI$3=$AE201),"",IF(BI$3=$AD201,$F201&amp;"R",BI200))))</f>
        <v/>
      </c>
      <c r="BJ201" s="11" t="str">
        <f aca="false">IF($P201=0,BJ200,IF(BJ$3=$E201,IF($AA201=1,$F201&amp;$AB201,$G201),IF(OR(BJ$3=$D201,BJ$3=$AC201,BJ$3=$AE201),"",IF(BJ$3=$AD201,$F201&amp;"R",BJ200))))</f>
        <v/>
      </c>
      <c r="BK201" s="11" t="str">
        <f aca="false">IF($P201=0,BK200,IF(BK$3=$E201,IF($AA201=1,$F201&amp;$AB201,$G201),IF(OR(BK$3=$D201,BK$3=$AC201,BK$3=$AE201),"",IF(BK$3=$AD201,$F201&amp;"R",BK200))))</f>
        <v/>
      </c>
      <c r="BL201" s="11" t="str">
        <f aca="false">IF($P201=0,BL200,IF(BL$3=$E201,IF($AA201=1,$F201&amp;$AB201,$G201),IF(OR(BL$3=$D201,BL$3=$AC201,BL$3=$AE201),"",IF(BL$3=$AD201,$F201&amp;"R",BL200))))</f>
        <v/>
      </c>
      <c r="BM201" s="11" t="str">
        <f aca="false">IF($P201=0,BM200,IF(BM$3=$E201,IF($AA201=1,$F201&amp;$AB201,$G201),IF(OR(BM$3=$D201,BM$3=$AC201,BM$3=$AE201),"",IF(BM$3=$AD201,$F201&amp;"R",BM200))))</f>
        <v/>
      </c>
      <c r="BN201" s="11" t="str">
        <f aca="false">IF($P201=0,BN200,IF(BN$3=$E201,IF($AA201=1,$F201&amp;$AB201,$G201),IF(OR(BN$3=$D201,BN$3=$AC201,BN$3=$AE201),"",IF(BN$3=$AD201,$F201&amp;"R",BN200))))</f>
        <v/>
      </c>
      <c r="BO201" s="11" t="str">
        <f aca="false">IF($P201=0,BO200,IF(BO$3=$E201,IF($AA201=1,$F201&amp;$AB201,$G201),IF(OR(BO$3=$D201,BO$3=$AC201,BO$3=$AE201),"",IF(BO$3=$AD201,$F201&amp;"R",BO200))))</f>
        <v/>
      </c>
      <c r="BP201" s="11" t="str">
        <f aca="false">IF($P201=0,BP200,IF(BP$3=$E201,IF($AA201=1,$F201&amp;$AB201,$G201),IF(OR(BP$3=$D201,BP$3=$AC201,BP$3=$AE201),"",IF(BP$3=$AD201,$F201&amp;"R",BP200))))</f>
        <v/>
      </c>
      <c r="BQ201" s="11" t="str">
        <f aca="false">IF($P201=0,BQ200,IF(BQ$3=$E201,IF($AA201=1,$F201&amp;$AB201,$G201),IF(OR(BQ$3=$D201,BQ$3=$AC201,BQ$3=$AE201),"",IF(BQ$3=$AD201,$F201&amp;"R",BQ200))))</f>
        <v/>
      </c>
      <c r="BR201" s="11" t="str">
        <f aca="false">IF($P201=0,BR200,IF(BR$3=$E201,IF($AA201=1,$F201&amp;$AB201,$G201),IF(OR(BR$3=$D201,BR$3=$AC201,BR$3=$AE201),"",IF(BR$3=$AD201,$F201&amp;"R",BR200))))</f>
        <v/>
      </c>
      <c r="BS201" s="11" t="str">
        <f aca="false">IF($P201=0,BS200,IF(BS$3=$E201,IF($AA201=1,$F201&amp;$AB201,$G201),IF(OR(BS$3=$D201,BS$3=$AC201,BS$3=$AE201),"",IF(BS$3=$AD201,$F201&amp;"R",BS200))))</f>
        <v/>
      </c>
      <c r="BT201" s="11" t="str">
        <f aca="false">IF($P201=0,BT200,IF(BT$3=$E201,IF($AA201=1,$F201&amp;$AB201,$G201),IF(OR(BT$3=$D201,BT$3=$AC201,BT$3=$AE201),"",IF(BT$3=$AD201,$F201&amp;"R",BT200))))</f>
        <v/>
      </c>
      <c r="BU201" s="11" t="str">
        <f aca="false">IF($P201=0,BU200,IF(BU$3=$E201,IF($AA201=1,$F201&amp;$AB201,$G201),IF(OR(BU$3=$D201,BU$3=$AC201,BU$3=$AE201),"",IF(BU$3=$AD201,$F201&amp;"R",BU200))))</f>
        <v/>
      </c>
      <c r="BV201" s="11" t="str">
        <f aca="false">IF($P201=0,BV200,IF(BV$3=$E201,IF($AA201=1,$F201&amp;$AB201,$G201),IF(OR(BV$3=$D201,BV$3=$AC201,BV$3=$AE201),"",IF(BV$3=$AD201,$F201&amp;"R",BV200))))</f>
        <v/>
      </c>
      <c r="BW201" s="11" t="str">
        <f aca="false">IF($P201=0,BW200,IF(BW$3=$E201,IF($AA201=1,$F201&amp;$AB201,$G201),IF(OR(BW$3=$D201,BW$3=$AC201,BW$3=$AE201),"",IF(BW$3=$AD201,$F201&amp;"R",BW200))))</f>
        <v/>
      </c>
      <c r="BX201" s="11" t="str">
        <f aca="false">IF($P201=0,BX200,IF(BX$3=$E201,IF($AA201=1,$F201&amp;$AB201,$G201),IF(OR(BX$3=$D201,BX$3=$AC201,BX$3=$AE201),"",IF(BX$3=$AD201,$F201&amp;"R",BX200))))</f>
        <v/>
      </c>
      <c r="BY201" s="11" t="str">
        <f aca="false">IF($P201=0,BY200,IF(BY$3=$E201,IF($AA201=1,$F201&amp;$AB201,$G201),IF(OR(BY$3=$D201,BY$3=$AC201,BY$3=$AE201),"",IF(BY$3=$AD201,$F201&amp;"R",BY200))))</f>
        <v/>
      </c>
      <c r="BZ201" s="11" t="str">
        <f aca="false">IF($P201=0,BZ200,IF(BZ$3=$E201,IF($AA201=1,$F201&amp;$AB201,$G201),IF(OR(BZ$3=$D201,BZ$3=$AC201,BZ$3=$AE201),"",IF(BZ$3=$AD201,$F201&amp;"R",BZ200))))</f>
        <v/>
      </c>
      <c r="CA201" s="11" t="str">
        <f aca="false">IF($P201=0,CA200,IF(CA$3=$E201,IF($AA201=1,$F201&amp;$AB201,$G201),IF(OR(CA$3=$D201,CA$3=$AC201,CA$3=$AE201),"",IF(CA$3=$AD201,$F201&amp;"R",CA200))))</f>
        <v/>
      </c>
      <c r="CB201" s="11" t="str">
        <f aca="false">IF($P201=0,CB200,IF(CB$3=$E201,IF($AA201=1,$F201&amp;$AB201,$G201),IF(OR(CB$3=$D201,CB$3=$AC201,CB$3=$AE201),"",IF(CB$3=$AD201,$F201&amp;"R",CB200))))</f>
        <v/>
      </c>
      <c r="CC201" s="11" t="str">
        <f aca="false">IF($P201=0,CC200,IF(CC$3=$E201,IF($AA201=1,$F201&amp;$AB201,$G201),IF(OR(CC$3=$D201,CC$3=$AC201,CC$3=$AE201),"",IF(CC$3=$AD201,$F201&amp;"R",CC200))))</f>
        <v/>
      </c>
      <c r="CD201" s="11" t="str">
        <f aca="false">IF($P201=0,CD200,IF(CD$3=$E201,IF($AA201=1,$F201&amp;$AB201,$G201),IF(OR(CD$3=$D201,CD$3=$AC201,CD$3=$AE201),"",IF(CD$3=$AD201,$F201&amp;"R",CD200))))</f>
        <v>bP</v>
      </c>
      <c r="CE201" s="11" t="str">
        <f aca="false">IF($P201=0,CE200,IF(CE$3=$E201,IF($AA201=1,$F201&amp;$AB201,$G201),IF(OR(CE$3=$D201,CE$3=$AC201,CE$3=$AE201),"",IF(CE$3=$AD201,$F201&amp;"R",CE200))))</f>
        <v>bP</v>
      </c>
      <c r="CF201" s="11" t="str">
        <f aca="false">IF($P201=0,CF200,IF(CF$3=$E201,IF($AA201=1,$F201&amp;$AB201,$G201),IF(OR(CF$3=$D201,CF$3=$AC201,CF$3=$AE201),"",IF(CF$3=$AD201,$F201&amp;"R",CF200))))</f>
        <v>bP</v>
      </c>
      <c r="CG201" s="11" t="str">
        <f aca="false">IF($P201=0,CG200,IF(CG$3=$E201,IF($AA201=1,$F201&amp;$AB201,$G201),IF(OR(CG$3=$D201,CG$3=$AC201,CG$3=$AE201),"",IF(CG$3=$AD201,$F201&amp;"R",CG200))))</f>
        <v>bP</v>
      </c>
      <c r="CH201" s="11" t="str">
        <f aca="false">IF($P201=0,CH200,IF(CH$3=$E201,IF($AA201=1,$F201&amp;$AB201,$G201),IF(OR(CH$3=$D201,CH$3=$AC201,CH$3=$AE201),"",IF(CH$3=$AD201,$F201&amp;"R",CH200))))</f>
        <v>bP</v>
      </c>
      <c r="CI201" s="11" t="str">
        <f aca="false">IF($P201=0,CI200,IF(CI$3=$E201,IF($AA201=1,$F201&amp;$AB201,$G201),IF(OR(CI$3=$D201,CI$3=$AC201,CI$3=$AE201),"",IF(CI$3=$AD201,$F201&amp;"R",CI200))))</f>
        <v>bP</v>
      </c>
      <c r="CJ201" s="11" t="str">
        <f aca="false">IF($P201=0,CJ200,IF(CJ$3=$E201,IF($AA201=1,$F201&amp;$AB201,$G201),IF(OR(CJ$3=$D201,CJ$3=$AC201,CJ$3=$AE201),"",IF(CJ$3=$AD201,$F201&amp;"R",CJ200))))</f>
        <v>bP</v>
      </c>
      <c r="CK201" s="11" t="str">
        <f aca="false">IF($P201=0,CK200,IF(CK$3=$E201,IF($AA201=1,$F201&amp;$AB201,$G201),IF(OR(CK$3=$D201,CK$3=$AC201,CK$3=$AE201),"",IF(CK$3=$AD201,$F201&amp;"R",CK200))))</f>
        <v>bP</v>
      </c>
      <c r="CL201" s="11" t="str">
        <f aca="false">IF($P201=0,CL200,IF(CL$3=$E201,IF($AA201=1,$F201&amp;$AB201,$G201),IF(OR(CL$3=$D201,CL$3=$AC201,CL$3=$AE201),"",IF(CL$3=$AD201,$F201&amp;"R",CL200))))</f>
        <v>bR</v>
      </c>
      <c r="CM201" s="11" t="str">
        <f aca="false">IF($P201=0,CM200,IF(CM$3=$E201,IF($AA201=1,$F201&amp;$AB201,$G201),IF(OR(CM$3=$D201,CM$3=$AC201,CM$3=$AE201),"",IF(CM$3=$AD201,$F201&amp;"R",CM200))))</f>
        <v>bN</v>
      </c>
      <c r="CN201" s="11" t="str">
        <f aca="false">IF($P201=0,CN200,IF(CN$3=$E201,IF($AA201=1,$F201&amp;$AB201,$G201),IF(OR(CN$3=$D201,CN$3=$AC201,CN$3=$AE201),"",IF(CN$3=$AD201,$F201&amp;"R",CN200))))</f>
        <v>bB</v>
      </c>
      <c r="CO201" s="11" t="str">
        <f aca="false">IF($P201=0,CO200,IF(CO$3=$E201,IF($AA201=1,$F201&amp;$AB201,$G201),IF(OR(CO$3=$D201,CO$3=$AC201,CO$3=$AE201),"",IF(CO$3=$AD201,$F201&amp;"R",CO200))))</f>
        <v>bQ</v>
      </c>
      <c r="CP201" s="11" t="str">
        <f aca="false">IF($P201=0,CP200,IF(CP$3=$E201,IF($AA201=1,$F201&amp;$AB201,$G201),IF(OR(CP$3=$D201,CP$3=$AC201,CP$3=$AE201),"",IF(CP$3=$AD201,$F201&amp;"R",CP200))))</f>
        <v>bK</v>
      </c>
      <c r="CQ201" s="11" t="str">
        <f aca="false">IF($P201=0,CQ200,IF(CQ$3=$E201,IF($AA201=1,$F201&amp;$AB201,$G201),IF(OR(CQ$3=$D201,CQ$3=$AC201,CQ$3=$AE201),"",IF(CQ$3=$AD201,$F201&amp;"R",CQ200))))</f>
        <v>bB</v>
      </c>
      <c r="CR201" s="11" t="str">
        <f aca="false">IF($P201=0,CR200,IF(CR$3=$E201,IF($AA201=1,$F201&amp;$AB201,$G201),IF(OR(CR$3=$D201,CR$3=$AC201,CR$3=$AE201),"",IF(CR$3=$AD201,$F201&amp;"R",CR200))))</f>
        <v>bN</v>
      </c>
      <c r="CS201" s="11" t="str">
        <f aca="false">IF($P201=0,CS200,IF(CS$3=$E201,IF($AA201=1,$F201&amp;$AB201,$G201),IF(OR(CS$3=$D201,CS$3=$AC201,CS$3=$AE201),"",IF(CS$3=$AD201,$F201&amp;"R",CS200))))</f>
        <v>bR</v>
      </c>
      <c r="CT201" s="11"/>
      <c r="CU201" s="11"/>
      <c r="CV201" s="11"/>
    </row>
    <row r="202" customFormat="false" ht="15" hidden="false" customHeight="false" outlineLevel="0" collapsed="false">
      <c r="A202" s="11" t="n">
        <v>197</v>
      </c>
      <c r="B202" s="11" t="str">
        <f aca="false">IF(Chess!$L$206="","",Chess!$L$206&amp;"")</f>
        <v/>
      </c>
      <c r="C202" s="11" t="str">
        <f aca="false">LOWER(SUBSTITUTE(SUBSTITUTE(SUBSTITUTE(SUBSTITUTE(TRIM($B202),"-",""),"=","")," ",""),"x",""))</f>
        <v/>
      </c>
      <c r="D202" s="11" t="n">
        <f aca="false">IF(LEN($C202)&lt;4,0,IFERROR(IF(AND(CODE(MID($C202,1,1))&gt;=97,CODE(MID($C202,1,1))&lt;=104,VALUE(MID($C202,2,1))&gt;=1,VALUE(MID($C202,2,1))&lt;=8),(VALUE(MID($C202,2,1))-1)*8+CODE(MID($C202,1,1))-96,0),0))</f>
        <v>0</v>
      </c>
      <c r="E202" s="11" t="n">
        <f aca="false">IF(LEN($C202)&lt;4,0,IFERROR(IF(AND(CODE(MID($C202,3,1))&gt;=97,CODE(MID($C202,3,1))&lt;=104,VALUE(MID($C202,4,1))&gt;=1,VALUE(MID($C202,4,1))&lt;=8),(VALUE(MID($C202,4,1))-1)*8+CODE(MID($C202,3,1))-96,0),0))</f>
        <v>0</v>
      </c>
      <c r="F202" s="11" t="str">
        <f aca="false">IF(MOD(SUM($P$5:$P201),2)=0,"w","b")</f>
        <v>w</v>
      </c>
      <c r="G202" s="11" t="str">
        <f aca="false">IF($D202=0,"",INDEX($AH201:$CS201,1,$D202)&amp;"")</f>
        <v/>
      </c>
      <c r="H202" s="11" t="str">
        <f aca="false">IF($E202=0,"",INDEX($AH201:$CS201,1,$E202)&amp;"")</f>
        <v/>
      </c>
      <c r="I202" s="11" t="n">
        <f aca="false">IF(OR($D202=0,$E202=0),0,MOD($E202-1,8)-MOD($D202-1,8))</f>
        <v>0</v>
      </c>
      <c r="J202" s="11" t="n">
        <f aca="false">IF(OR($D202=0,$E202=0),0,INT(($E202-1)/8)-INT(($D202-1)/8))</f>
        <v>0</v>
      </c>
      <c r="K202" s="11" t="str">
        <f aca="false">IF($G202="","",RIGHT($G202,1))</f>
        <v/>
      </c>
      <c r="L202" s="11" t="n">
        <f aca="false">IF(OR($D202=0,$E202=0),0,SUMPRODUCT(($AH$3:$CS$3&gt;MIN($D202,$E202))*($AH$3:$CS$3&lt;MAX($D202,$E202))*(MOD($AH$3:$CS$3-MIN($D202,$E202),MAX(1,ABS(SIGN($J202)*8+SIGN($I202))))=0)*($AH201:$CS201&lt;&gt;"")))</f>
        <v>0</v>
      </c>
      <c r="M202" s="11" t="n">
        <f aca="false">IF($K202&lt;&gt;"K",0,IFERROR(--AND($J202=0,ABS($I202)=2,$D202=IF($F202="w",5,61),IF($F202="w",$S201,$V201)=0,IF($I202=2,AND(IF($F202="w",$U201,$X201)=0,INDEX($AH201:$CS201,1,$D202+1)&amp;""="",INDEX($AH201:$CS201,1,$D202+2)&amp;""=""),AND(IF($F202="w",$T201,$W201)=0,INDEX($AH201:$CS201,1,$D202-1)&amp;""="",INDEX($AH201:$CS201,1,$D202-2)&amp;""="",INDEX($AH201:$CS201,1,$D202-3)&amp;""=""))),0))</f>
        <v>0</v>
      </c>
      <c r="N202" s="11" t="n">
        <f aca="false">IF($K202&lt;&gt;"P",0,IFERROR(--OR(AND($I202=0,$J202=IF($F202="w",1,-1),$H202=""),AND($I202=0,$J202=2*IF($F202="w",1,-1),$H202="",INT(($D202-1)/8)=IF($F202="w",1,6),INDEX($AH201:$CS201,1,MAX(1,MIN(64,$D202+8*IF($F202="w",1,-1))))&amp;""=""),AND(ABS($I202)=1,$J202=IF($F202="w",1,-1),$H202&lt;&gt;""),AND(ABS($I202)=1,$J202=IF($F202="w",1,-1),$H202="",$R201&gt;0,$E202=$R201)),0))</f>
        <v>0</v>
      </c>
      <c r="O202" s="11" t="n">
        <f aca="false">IF(OR($D202=0,$E202=0,$G202=""),0,IF($K202="N",--OR(AND(ABS($I202)=1,ABS($J202)=2),AND(ABS($I202)=2,ABS($J202)=1)),IF($K202="B",--AND(ABS($I202)=ABS($J202),$I202&lt;&gt;0,$L202=0),IF($K202="R",--AND(OR($I202=0,$J202=0),OR($I202&lt;&gt;0,$J202&lt;&gt;0),$L202=0),IF($K202="Q",--AND(OR(AND(ABS($I202)=ABS($J202),$I202&lt;&gt;0),AND(OR($I202=0,$J202=0),OR($I202&lt;&gt;0,$J202&lt;&gt;0))),$L202=0),IF($K202="K",--OR(MAX(ABS($I202),ABS($J202))=1,$M202=1),$N202))))))</f>
        <v>0</v>
      </c>
      <c r="P202" s="11" t="n">
        <f aca="false">IF($Q202="OK",1,0)</f>
        <v>0</v>
      </c>
      <c r="Q202" s="11" t="str">
        <f aca="false">IF($B202="","",IF(OR(COUNTIF($AH201:$CS201,"wK")=0,COUNTIF($AH201:$CS201,"bK")=0),"Game is over",IF(OR($D202=0,$E202=0),"Use the format e2e4",IF($G202="","No piece on that square",IF(LEFT($G202,1)&lt;&gt;$F202,"Not your piece ("&amp;IF($F202="w","White","Black")&amp;" to move)",IF($D202=$E202,"Piece must move",IF(AND($H202&lt;&gt;"",LEFT($H202,1)=$F202),"Cannot capture your own piece",IF($O202=0,"Illegal move for that piece (or path blocked)","OK"))))))))</f>
        <v/>
      </c>
      <c r="R202" s="11" t="n">
        <f aca="false">IF($P202=1,IF(AND($K202="P",ABS($J202)=2),($D202+$E202)/2,0),$R201)</f>
        <v>0</v>
      </c>
      <c r="S202" s="12" t="b">
        <f aca="false">--OR($S201=1,AND($P202=1,OR($D202=5,$E202=5)))</f>
        <v>0</v>
      </c>
      <c r="T202" s="12" t="b">
        <f aca="false">--OR($T201=1,AND($P202=1,OR($D202=1,$E202=1)))</f>
        <v>0</v>
      </c>
      <c r="U202" s="12" t="b">
        <f aca="false">--OR($U201=1,AND($P202=1,OR($D202=8,$E202=8)))</f>
        <v>0</v>
      </c>
      <c r="V202" s="12" t="b">
        <f aca="false">--OR($V201=1,AND($P202=1,OR($D202=61,$E202=61)))</f>
        <v>0</v>
      </c>
      <c r="W202" s="12" t="b">
        <f aca="false">--OR($W201=1,AND($P202=1,OR($D202=57,$E202=57)))</f>
        <v>0</v>
      </c>
      <c r="X202" s="12" t="b">
        <f aca="false">--OR($X201=1,AND($P202=1,OR($D202=64,$E202=64)))</f>
        <v>0</v>
      </c>
      <c r="Y202" s="12" t="b">
        <f aca="false">--AND($P202=1,$K202="K",ABS($I202)=2)</f>
        <v>0</v>
      </c>
      <c r="Z202" s="12" t="b">
        <f aca="false">--AND($P202=1,$K202="P",ABS($I202)=1,$H202="")</f>
        <v>0</v>
      </c>
      <c r="AA202" s="12" t="b">
        <f aca="false">--AND($P202=1,$K202="P",INT(($E202-1)/8)=IF($F202="w",7,0))</f>
        <v>0</v>
      </c>
      <c r="AB202" s="11" t="str">
        <f aca="false">IF(LEN($C202)&gt;=5,IF(ISNUMBER(FIND(MID($C202,5,1),"qrbn")),UPPER(MID($C202,5,1)),"Q"),"Q")</f>
        <v>Q</v>
      </c>
      <c r="AC202" s="11" t="n">
        <f aca="false">IF($Y202=1,IF($I202=2,$D202+3,$D202-4),0)</f>
        <v>0</v>
      </c>
      <c r="AD202" s="11" t="n">
        <f aca="false">IF($Y202=1,IF($I202=2,$D202+1,$D202-1),0)</f>
        <v>0</v>
      </c>
      <c r="AE202" s="11" t="n">
        <f aca="false">IF($Z202=1,$E202-8*IF($F202="w",1,-1),0)</f>
        <v>0</v>
      </c>
      <c r="AF202" s="11" t="str">
        <f aca="false">IF($B202="","",IF($P202=1,LOWER(INDEX($CV$2:$CV$13,MATCH($G202,$CU$2:$CU$13,0)))&amp;" "&amp;MID("abcdefgh",MOD($D202-1,8)+1,1)&amp;(INT(($D202-1)/8)+1)&amp;"→"&amp;MID("abcdefgh",MOD($E202-1,8)+1,1)&amp;(INT(($E202-1)/8)+1)&amp;IF(OR($H202&lt;&gt;"",$Z202=1)," ×","")&amp;IF($Y202=1," castles","")&amp;IF($Z202=1," e.p.","")&amp;IF($AA202=1," =" &amp;LOWER(INDEX($CV$2:$CV$13,MATCH($F202&amp;$AB202,$CU$2:$CU$13,0))),""),"X "&amp;$Q202))</f>
        <v/>
      </c>
      <c r="AG202" s="11"/>
      <c r="AH202" s="11" t="str">
        <f aca="false">IF($P202=0,AH201,IF(AH$3=$E202,IF($AA202=1,$F202&amp;$AB202,$G202),IF(OR(AH$3=$D202,AH$3=$AC202,AH$3=$AE202),"",IF(AH$3=$AD202,$F202&amp;"R",AH201))))</f>
        <v>wR</v>
      </c>
      <c r="AI202" s="11" t="str">
        <f aca="false">IF($P202=0,AI201,IF(AI$3=$E202,IF($AA202=1,$F202&amp;$AB202,$G202),IF(OR(AI$3=$D202,AI$3=$AC202,AI$3=$AE202),"",IF(AI$3=$AD202,$F202&amp;"R",AI201))))</f>
        <v>wN</v>
      </c>
      <c r="AJ202" s="11" t="str">
        <f aca="false">IF($P202=0,AJ201,IF(AJ$3=$E202,IF($AA202=1,$F202&amp;$AB202,$G202),IF(OR(AJ$3=$D202,AJ$3=$AC202,AJ$3=$AE202),"",IF(AJ$3=$AD202,$F202&amp;"R",AJ201))))</f>
        <v>wB</v>
      </c>
      <c r="AK202" s="11" t="str">
        <f aca="false">IF($P202=0,AK201,IF(AK$3=$E202,IF($AA202=1,$F202&amp;$AB202,$G202),IF(OR(AK$3=$D202,AK$3=$AC202,AK$3=$AE202),"",IF(AK$3=$AD202,$F202&amp;"R",AK201))))</f>
        <v>wQ</v>
      </c>
      <c r="AL202" s="11" t="str">
        <f aca="false">IF($P202=0,AL201,IF(AL$3=$E202,IF($AA202=1,$F202&amp;$AB202,$G202),IF(OR(AL$3=$D202,AL$3=$AC202,AL$3=$AE202),"",IF(AL$3=$AD202,$F202&amp;"R",AL201))))</f>
        <v>wK</v>
      </c>
      <c r="AM202" s="11" t="str">
        <f aca="false">IF($P202=0,AM201,IF(AM$3=$E202,IF($AA202=1,$F202&amp;$AB202,$G202),IF(OR(AM$3=$D202,AM$3=$AC202,AM$3=$AE202),"",IF(AM$3=$AD202,$F202&amp;"R",AM201))))</f>
        <v>wB</v>
      </c>
      <c r="AN202" s="11" t="str">
        <f aca="false">IF($P202=0,AN201,IF(AN$3=$E202,IF($AA202=1,$F202&amp;$AB202,$G202),IF(OR(AN$3=$D202,AN$3=$AC202,AN$3=$AE202),"",IF(AN$3=$AD202,$F202&amp;"R",AN201))))</f>
        <v>wN</v>
      </c>
      <c r="AO202" s="11" t="str">
        <f aca="false">IF($P202=0,AO201,IF(AO$3=$E202,IF($AA202=1,$F202&amp;$AB202,$G202),IF(OR(AO$3=$D202,AO$3=$AC202,AO$3=$AE202),"",IF(AO$3=$AD202,$F202&amp;"R",AO201))))</f>
        <v>wR</v>
      </c>
      <c r="AP202" s="11" t="str">
        <f aca="false">IF($P202=0,AP201,IF(AP$3=$E202,IF($AA202=1,$F202&amp;$AB202,$G202),IF(OR(AP$3=$D202,AP$3=$AC202,AP$3=$AE202),"",IF(AP$3=$AD202,$F202&amp;"R",AP201))))</f>
        <v>wP</v>
      </c>
      <c r="AQ202" s="11" t="str">
        <f aca="false">IF($P202=0,AQ201,IF(AQ$3=$E202,IF($AA202=1,$F202&amp;$AB202,$G202),IF(OR(AQ$3=$D202,AQ$3=$AC202,AQ$3=$AE202),"",IF(AQ$3=$AD202,$F202&amp;"R",AQ201))))</f>
        <v>wP</v>
      </c>
      <c r="AR202" s="11" t="str">
        <f aca="false">IF($P202=0,AR201,IF(AR$3=$E202,IF($AA202=1,$F202&amp;$AB202,$G202),IF(OR(AR$3=$D202,AR$3=$AC202,AR$3=$AE202),"",IF(AR$3=$AD202,$F202&amp;"R",AR201))))</f>
        <v>wP</v>
      </c>
      <c r="AS202" s="11" t="str">
        <f aca="false">IF($P202=0,AS201,IF(AS$3=$E202,IF($AA202=1,$F202&amp;$AB202,$G202),IF(OR(AS$3=$D202,AS$3=$AC202,AS$3=$AE202),"",IF(AS$3=$AD202,$F202&amp;"R",AS201))))</f>
        <v>wP</v>
      </c>
      <c r="AT202" s="11" t="str">
        <f aca="false">IF($P202=0,AT201,IF(AT$3=$E202,IF($AA202=1,$F202&amp;$AB202,$G202),IF(OR(AT$3=$D202,AT$3=$AC202,AT$3=$AE202),"",IF(AT$3=$AD202,$F202&amp;"R",AT201))))</f>
        <v>wP</v>
      </c>
      <c r="AU202" s="11" t="str">
        <f aca="false">IF($P202=0,AU201,IF(AU$3=$E202,IF($AA202=1,$F202&amp;$AB202,$G202),IF(OR(AU$3=$D202,AU$3=$AC202,AU$3=$AE202),"",IF(AU$3=$AD202,$F202&amp;"R",AU201))))</f>
        <v>wP</v>
      </c>
      <c r="AV202" s="11" t="str">
        <f aca="false">IF($P202=0,AV201,IF(AV$3=$E202,IF($AA202=1,$F202&amp;$AB202,$G202),IF(OR(AV$3=$D202,AV$3=$AC202,AV$3=$AE202),"",IF(AV$3=$AD202,$F202&amp;"R",AV201))))</f>
        <v>wP</v>
      </c>
      <c r="AW202" s="11" t="str">
        <f aca="false">IF($P202=0,AW201,IF(AW$3=$E202,IF($AA202=1,$F202&amp;$AB202,$G202),IF(OR(AW$3=$D202,AW$3=$AC202,AW$3=$AE202),"",IF(AW$3=$AD202,$F202&amp;"R",AW201))))</f>
        <v>wP</v>
      </c>
      <c r="AX202" s="11" t="str">
        <f aca="false">IF($P202=0,AX201,IF(AX$3=$E202,IF($AA202=1,$F202&amp;$AB202,$G202),IF(OR(AX$3=$D202,AX$3=$AC202,AX$3=$AE202),"",IF(AX$3=$AD202,$F202&amp;"R",AX201))))</f>
        <v/>
      </c>
      <c r="AY202" s="11" t="str">
        <f aca="false">IF($P202=0,AY201,IF(AY$3=$E202,IF($AA202=1,$F202&amp;$AB202,$G202),IF(OR(AY$3=$D202,AY$3=$AC202,AY$3=$AE202),"",IF(AY$3=$AD202,$F202&amp;"R",AY201))))</f>
        <v/>
      </c>
      <c r="AZ202" s="11" t="str">
        <f aca="false">IF($P202=0,AZ201,IF(AZ$3=$E202,IF($AA202=1,$F202&amp;$AB202,$G202),IF(OR(AZ$3=$D202,AZ$3=$AC202,AZ$3=$AE202),"",IF(AZ$3=$AD202,$F202&amp;"R",AZ201))))</f>
        <v/>
      </c>
      <c r="BA202" s="11" t="str">
        <f aca="false">IF($P202=0,BA201,IF(BA$3=$E202,IF($AA202=1,$F202&amp;$AB202,$G202),IF(OR(BA$3=$D202,BA$3=$AC202,BA$3=$AE202),"",IF(BA$3=$AD202,$F202&amp;"R",BA201))))</f>
        <v/>
      </c>
      <c r="BB202" s="11" t="str">
        <f aca="false">IF($P202=0,BB201,IF(BB$3=$E202,IF($AA202=1,$F202&amp;$AB202,$G202),IF(OR(BB$3=$D202,BB$3=$AC202,BB$3=$AE202),"",IF(BB$3=$AD202,$F202&amp;"R",BB201))))</f>
        <v/>
      </c>
      <c r="BC202" s="11" t="str">
        <f aca="false">IF($P202=0,BC201,IF(BC$3=$E202,IF($AA202=1,$F202&amp;$AB202,$G202),IF(OR(BC$3=$D202,BC$3=$AC202,BC$3=$AE202),"",IF(BC$3=$AD202,$F202&amp;"R",BC201))))</f>
        <v/>
      </c>
      <c r="BD202" s="11" t="str">
        <f aca="false">IF($P202=0,BD201,IF(BD$3=$E202,IF($AA202=1,$F202&amp;$AB202,$G202),IF(OR(BD$3=$D202,BD$3=$AC202,BD$3=$AE202),"",IF(BD$3=$AD202,$F202&amp;"R",BD201))))</f>
        <v/>
      </c>
      <c r="BE202" s="11" t="str">
        <f aca="false">IF($P202=0,BE201,IF(BE$3=$E202,IF($AA202=1,$F202&amp;$AB202,$G202),IF(OR(BE$3=$D202,BE$3=$AC202,BE$3=$AE202),"",IF(BE$3=$AD202,$F202&amp;"R",BE201))))</f>
        <v/>
      </c>
      <c r="BF202" s="11" t="str">
        <f aca="false">IF($P202=0,BF201,IF(BF$3=$E202,IF($AA202=1,$F202&amp;$AB202,$G202),IF(OR(BF$3=$D202,BF$3=$AC202,BF$3=$AE202),"",IF(BF$3=$AD202,$F202&amp;"R",BF201))))</f>
        <v/>
      </c>
      <c r="BG202" s="11" t="str">
        <f aca="false">IF($P202=0,BG201,IF(BG$3=$E202,IF($AA202=1,$F202&amp;$AB202,$G202),IF(OR(BG$3=$D202,BG$3=$AC202,BG$3=$AE202),"",IF(BG$3=$AD202,$F202&amp;"R",BG201))))</f>
        <v/>
      </c>
      <c r="BH202" s="11" t="str">
        <f aca="false">IF($P202=0,BH201,IF(BH$3=$E202,IF($AA202=1,$F202&amp;$AB202,$G202),IF(OR(BH$3=$D202,BH$3=$AC202,BH$3=$AE202),"",IF(BH$3=$AD202,$F202&amp;"R",BH201))))</f>
        <v/>
      </c>
      <c r="BI202" s="11" t="str">
        <f aca="false">IF($P202=0,BI201,IF(BI$3=$E202,IF($AA202=1,$F202&amp;$AB202,$G202),IF(OR(BI$3=$D202,BI$3=$AC202,BI$3=$AE202),"",IF(BI$3=$AD202,$F202&amp;"R",BI201))))</f>
        <v/>
      </c>
      <c r="BJ202" s="11" t="str">
        <f aca="false">IF($P202=0,BJ201,IF(BJ$3=$E202,IF($AA202=1,$F202&amp;$AB202,$G202),IF(OR(BJ$3=$D202,BJ$3=$AC202,BJ$3=$AE202),"",IF(BJ$3=$AD202,$F202&amp;"R",BJ201))))</f>
        <v/>
      </c>
      <c r="BK202" s="11" t="str">
        <f aca="false">IF($P202=0,BK201,IF(BK$3=$E202,IF($AA202=1,$F202&amp;$AB202,$G202),IF(OR(BK$3=$D202,BK$3=$AC202,BK$3=$AE202),"",IF(BK$3=$AD202,$F202&amp;"R",BK201))))</f>
        <v/>
      </c>
      <c r="BL202" s="11" t="str">
        <f aca="false">IF($P202=0,BL201,IF(BL$3=$E202,IF($AA202=1,$F202&amp;$AB202,$G202),IF(OR(BL$3=$D202,BL$3=$AC202,BL$3=$AE202),"",IF(BL$3=$AD202,$F202&amp;"R",BL201))))</f>
        <v/>
      </c>
      <c r="BM202" s="11" t="str">
        <f aca="false">IF($P202=0,BM201,IF(BM$3=$E202,IF($AA202=1,$F202&amp;$AB202,$G202),IF(OR(BM$3=$D202,BM$3=$AC202,BM$3=$AE202),"",IF(BM$3=$AD202,$F202&amp;"R",BM201))))</f>
        <v/>
      </c>
      <c r="BN202" s="11" t="str">
        <f aca="false">IF($P202=0,BN201,IF(BN$3=$E202,IF($AA202=1,$F202&amp;$AB202,$G202),IF(OR(BN$3=$D202,BN$3=$AC202,BN$3=$AE202),"",IF(BN$3=$AD202,$F202&amp;"R",BN201))))</f>
        <v/>
      </c>
      <c r="BO202" s="11" t="str">
        <f aca="false">IF($P202=0,BO201,IF(BO$3=$E202,IF($AA202=1,$F202&amp;$AB202,$G202),IF(OR(BO$3=$D202,BO$3=$AC202,BO$3=$AE202),"",IF(BO$3=$AD202,$F202&amp;"R",BO201))))</f>
        <v/>
      </c>
      <c r="BP202" s="11" t="str">
        <f aca="false">IF($P202=0,BP201,IF(BP$3=$E202,IF($AA202=1,$F202&amp;$AB202,$G202),IF(OR(BP$3=$D202,BP$3=$AC202,BP$3=$AE202),"",IF(BP$3=$AD202,$F202&amp;"R",BP201))))</f>
        <v/>
      </c>
      <c r="BQ202" s="11" t="str">
        <f aca="false">IF($P202=0,BQ201,IF(BQ$3=$E202,IF($AA202=1,$F202&amp;$AB202,$G202),IF(OR(BQ$3=$D202,BQ$3=$AC202,BQ$3=$AE202),"",IF(BQ$3=$AD202,$F202&amp;"R",BQ201))))</f>
        <v/>
      </c>
      <c r="BR202" s="11" t="str">
        <f aca="false">IF($P202=0,BR201,IF(BR$3=$E202,IF($AA202=1,$F202&amp;$AB202,$G202),IF(OR(BR$3=$D202,BR$3=$AC202,BR$3=$AE202),"",IF(BR$3=$AD202,$F202&amp;"R",BR201))))</f>
        <v/>
      </c>
      <c r="BS202" s="11" t="str">
        <f aca="false">IF($P202=0,BS201,IF(BS$3=$E202,IF($AA202=1,$F202&amp;$AB202,$G202),IF(OR(BS$3=$D202,BS$3=$AC202,BS$3=$AE202),"",IF(BS$3=$AD202,$F202&amp;"R",BS201))))</f>
        <v/>
      </c>
      <c r="BT202" s="11" t="str">
        <f aca="false">IF($P202=0,BT201,IF(BT$3=$E202,IF($AA202=1,$F202&amp;$AB202,$G202),IF(OR(BT$3=$D202,BT$3=$AC202,BT$3=$AE202),"",IF(BT$3=$AD202,$F202&amp;"R",BT201))))</f>
        <v/>
      </c>
      <c r="BU202" s="11" t="str">
        <f aca="false">IF($P202=0,BU201,IF(BU$3=$E202,IF($AA202=1,$F202&amp;$AB202,$G202),IF(OR(BU$3=$D202,BU$3=$AC202,BU$3=$AE202),"",IF(BU$3=$AD202,$F202&amp;"R",BU201))))</f>
        <v/>
      </c>
      <c r="BV202" s="11" t="str">
        <f aca="false">IF($P202=0,BV201,IF(BV$3=$E202,IF($AA202=1,$F202&amp;$AB202,$G202),IF(OR(BV$3=$D202,BV$3=$AC202,BV$3=$AE202),"",IF(BV$3=$AD202,$F202&amp;"R",BV201))))</f>
        <v/>
      </c>
      <c r="BW202" s="11" t="str">
        <f aca="false">IF($P202=0,BW201,IF(BW$3=$E202,IF($AA202=1,$F202&amp;$AB202,$G202),IF(OR(BW$3=$D202,BW$3=$AC202,BW$3=$AE202),"",IF(BW$3=$AD202,$F202&amp;"R",BW201))))</f>
        <v/>
      </c>
      <c r="BX202" s="11" t="str">
        <f aca="false">IF($P202=0,BX201,IF(BX$3=$E202,IF($AA202=1,$F202&amp;$AB202,$G202),IF(OR(BX$3=$D202,BX$3=$AC202,BX$3=$AE202),"",IF(BX$3=$AD202,$F202&amp;"R",BX201))))</f>
        <v/>
      </c>
      <c r="BY202" s="11" t="str">
        <f aca="false">IF($P202=0,BY201,IF(BY$3=$E202,IF($AA202=1,$F202&amp;$AB202,$G202),IF(OR(BY$3=$D202,BY$3=$AC202,BY$3=$AE202),"",IF(BY$3=$AD202,$F202&amp;"R",BY201))))</f>
        <v/>
      </c>
      <c r="BZ202" s="11" t="str">
        <f aca="false">IF($P202=0,BZ201,IF(BZ$3=$E202,IF($AA202=1,$F202&amp;$AB202,$G202),IF(OR(BZ$3=$D202,BZ$3=$AC202,BZ$3=$AE202),"",IF(BZ$3=$AD202,$F202&amp;"R",BZ201))))</f>
        <v/>
      </c>
      <c r="CA202" s="11" t="str">
        <f aca="false">IF($P202=0,CA201,IF(CA$3=$E202,IF($AA202=1,$F202&amp;$AB202,$G202),IF(OR(CA$3=$D202,CA$3=$AC202,CA$3=$AE202),"",IF(CA$3=$AD202,$F202&amp;"R",CA201))))</f>
        <v/>
      </c>
      <c r="CB202" s="11" t="str">
        <f aca="false">IF($P202=0,CB201,IF(CB$3=$E202,IF($AA202=1,$F202&amp;$AB202,$G202),IF(OR(CB$3=$D202,CB$3=$AC202,CB$3=$AE202),"",IF(CB$3=$AD202,$F202&amp;"R",CB201))))</f>
        <v/>
      </c>
      <c r="CC202" s="11" t="str">
        <f aca="false">IF($P202=0,CC201,IF(CC$3=$E202,IF($AA202=1,$F202&amp;$AB202,$G202),IF(OR(CC$3=$D202,CC$3=$AC202,CC$3=$AE202),"",IF(CC$3=$AD202,$F202&amp;"R",CC201))))</f>
        <v/>
      </c>
      <c r="CD202" s="11" t="str">
        <f aca="false">IF($P202=0,CD201,IF(CD$3=$E202,IF($AA202=1,$F202&amp;$AB202,$G202),IF(OR(CD$3=$D202,CD$3=$AC202,CD$3=$AE202),"",IF(CD$3=$AD202,$F202&amp;"R",CD201))))</f>
        <v>bP</v>
      </c>
      <c r="CE202" s="11" t="str">
        <f aca="false">IF($P202=0,CE201,IF(CE$3=$E202,IF($AA202=1,$F202&amp;$AB202,$G202),IF(OR(CE$3=$D202,CE$3=$AC202,CE$3=$AE202),"",IF(CE$3=$AD202,$F202&amp;"R",CE201))))</f>
        <v>bP</v>
      </c>
      <c r="CF202" s="11" t="str">
        <f aca="false">IF($P202=0,CF201,IF(CF$3=$E202,IF($AA202=1,$F202&amp;$AB202,$G202),IF(OR(CF$3=$D202,CF$3=$AC202,CF$3=$AE202),"",IF(CF$3=$AD202,$F202&amp;"R",CF201))))</f>
        <v>bP</v>
      </c>
      <c r="CG202" s="11" t="str">
        <f aca="false">IF($P202=0,CG201,IF(CG$3=$E202,IF($AA202=1,$F202&amp;$AB202,$G202),IF(OR(CG$3=$D202,CG$3=$AC202,CG$3=$AE202),"",IF(CG$3=$AD202,$F202&amp;"R",CG201))))</f>
        <v>bP</v>
      </c>
      <c r="CH202" s="11" t="str">
        <f aca="false">IF($P202=0,CH201,IF(CH$3=$E202,IF($AA202=1,$F202&amp;$AB202,$G202),IF(OR(CH$3=$D202,CH$3=$AC202,CH$3=$AE202),"",IF(CH$3=$AD202,$F202&amp;"R",CH201))))</f>
        <v>bP</v>
      </c>
      <c r="CI202" s="11" t="str">
        <f aca="false">IF($P202=0,CI201,IF(CI$3=$E202,IF($AA202=1,$F202&amp;$AB202,$G202),IF(OR(CI$3=$D202,CI$3=$AC202,CI$3=$AE202),"",IF(CI$3=$AD202,$F202&amp;"R",CI201))))</f>
        <v>bP</v>
      </c>
      <c r="CJ202" s="11" t="str">
        <f aca="false">IF($P202=0,CJ201,IF(CJ$3=$E202,IF($AA202=1,$F202&amp;$AB202,$G202),IF(OR(CJ$3=$D202,CJ$3=$AC202,CJ$3=$AE202),"",IF(CJ$3=$AD202,$F202&amp;"R",CJ201))))</f>
        <v>bP</v>
      </c>
      <c r="CK202" s="11" t="str">
        <f aca="false">IF($P202=0,CK201,IF(CK$3=$E202,IF($AA202=1,$F202&amp;$AB202,$G202),IF(OR(CK$3=$D202,CK$3=$AC202,CK$3=$AE202),"",IF(CK$3=$AD202,$F202&amp;"R",CK201))))</f>
        <v>bP</v>
      </c>
      <c r="CL202" s="11" t="str">
        <f aca="false">IF($P202=0,CL201,IF(CL$3=$E202,IF($AA202=1,$F202&amp;$AB202,$G202),IF(OR(CL$3=$D202,CL$3=$AC202,CL$3=$AE202),"",IF(CL$3=$AD202,$F202&amp;"R",CL201))))</f>
        <v>bR</v>
      </c>
      <c r="CM202" s="11" t="str">
        <f aca="false">IF($P202=0,CM201,IF(CM$3=$E202,IF($AA202=1,$F202&amp;$AB202,$G202),IF(OR(CM$3=$D202,CM$3=$AC202,CM$3=$AE202),"",IF(CM$3=$AD202,$F202&amp;"R",CM201))))</f>
        <v>bN</v>
      </c>
      <c r="CN202" s="11" t="str">
        <f aca="false">IF($P202=0,CN201,IF(CN$3=$E202,IF($AA202=1,$F202&amp;$AB202,$G202),IF(OR(CN$3=$D202,CN$3=$AC202,CN$3=$AE202),"",IF(CN$3=$AD202,$F202&amp;"R",CN201))))</f>
        <v>bB</v>
      </c>
      <c r="CO202" s="11" t="str">
        <f aca="false">IF($P202=0,CO201,IF(CO$3=$E202,IF($AA202=1,$F202&amp;$AB202,$G202),IF(OR(CO$3=$D202,CO$3=$AC202,CO$3=$AE202),"",IF(CO$3=$AD202,$F202&amp;"R",CO201))))</f>
        <v>bQ</v>
      </c>
      <c r="CP202" s="11" t="str">
        <f aca="false">IF($P202=0,CP201,IF(CP$3=$E202,IF($AA202=1,$F202&amp;$AB202,$G202),IF(OR(CP$3=$D202,CP$3=$AC202,CP$3=$AE202),"",IF(CP$3=$AD202,$F202&amp;"R",CP201))))</f>
        <v>bK</v>
      </c>
      <c r="CQ202" s="11" t="str">
        <f aca="false">IF($P202=0,CQ201,IF(CQ$3=$E202,IF($AA202=1,$F202&amp;$AB202,$G202),IF(OR(CQ$3=$D202,CQ$3=$AC202,CQ$3=$AE202),"",IF(CQ$3=$AD202,$F202&amp;"R",CQ201))))</f>
        <v>bB</v>
      </c>
      <c r="CR202" s="11" t="str">
        <f aca="false">IF($P202=0,CR201,IF(CR$3=$E202,IF($AA202=1,$F202&amp;$AB202,$G202),IF(OR(CR$3=$D202,CR$3=$AC202,CR$3=$AE202),"",IF(CR$3=$AD202,$F202&amp;"R",CR201))))</f>
        <v>bN</v>
      </c>
      <c r="CS202" s="11" t="str">
        <f aca="false">IF($P202=0,CS201,IF(CS$3=$E202,IF($AA202=1,$F202&amp;$AB202,$G202),IF(OR(CS$3=$D202,CS$3=$AC202,CS$3=$AE202),"",IF(CS$3=$AD202,$F202&amp;"R",CS201))))</f>
        <v>bR</v>
      </c>
      <c r="CT202" s="11"/>
      <c r="CU202" s="11"/>
      <c r="CV202" s="11"/>
    </row>
    <row r="203" customFormat="false" ht="15" hidden="false" customHeight="false" outlineLevel="0" collapsed="false">
      <c r="A203" s="11" t="n">
        <v>198</v>
      </c>
      <c r="B203" s="11" t="str">
        <f aca="false">IF(Chess!$L$207="","",Chess!$L$207&amp;"")</f>
        <v/>
      </c>
      <c r="C203" s="11" t="str">
        <f aca="false">LOWER(SUBSTITUTE(SUBSTITUTE(SUBSTITUTE(SUBSTITUTE(TRIM($B203),"-",""),"=","")," ",""),"x",""))</f>
        <v/>
      </c>
      <c r="D203" s="11" t="n">
        <f aca="false">IF(LEN($C203)&lt;4,0,IFERROR(IF(AND(CODE(MID($C203,1,1))&gt;=97,CODE(MID($C203,1,1))&lt;=104,VALUE(MID($C203,2,1))&gt;=1,VALUE(MID($C203,2,1))&lt;=8),(VALUE(MID($C203,2,1))-1)*8+CODE(MID($C203,1,1))-96,0),0))</f>
        <v>0</v>
      </c>
      <c r="E203" s="11" t="n">
        <f aca="false">IF(LEN($C203)&lt;4,0,IFERROR(IF(AND(CODE(MID($C203,3,1))&gt;=97,CODE(MID($C203,3,1))&lt;=104,VALUE(MID($C203,4,1))&gt;=1,VALUE(MID($C203,4,1))&lt;=8),(VALUE(MID($C203,4,1))-1)*8+CODE(MID($C203,3,1))-96,0),0))</f>
        <v>0</v>
      </c>
      <c r="F203" s="11" t="str">
        <f aca="false">IF(MOD(SUM($P$5:$P202),2)=0,"w","b")</f>
        <v>w</v>
      </c>
      <c r="G203" s="11" t="str">
        <f aca="false">IF($D203=0,"",INDEX($AH202:$CS202,1,$D203)&amp;"")</f>
        <v/>
      </c>
      <c r="H203" s="11" t="str">
        <f aca="false">IF($E203=0,"",INDEX($AH202:$CS202,1,$E203)&amp;"")</f>
        <v/>
      </c>
      <c r="I203" s="11" t="n">
        <f aca="false">IF(OR($D203=0,$E203=0),0,MOD($E203-1,8)-MOD($D203-1,8))</f>
        <v>0</v>
      </c>
      <c r="J203" s="11" t="n">
        <f aca="false">IF(OR($D203=0,$E203=0),0,INT(($E203-1)/8)-INT(($D203-1)/8))</f>
        <v>0</v>
      </c>
      <c r="K203" s="11" t="str">
        <f aca="false">IF($G203="","",RIGHT($G203,1))</f>
        <v/>
      </c>
      <c r="L203" s="11" t="n">
        <f aca="false">IF(OR($D203=0,$E203=0),0,SUMPRODUCT(($AH$3:$CS$3&gt;MIN($D203,$E203))*($AH$3:$CS$3&lt;MAX($D203,$E203))*(MOD($AH$3:$CS$3-MIN($D203,$E203),MAX(1,ABS(SIGN($J203)*8+SIGN($I203))))=0)*($AH202:$CS202&lt;&gt;"")))</f>
        <v>0</v>
      </c>
      <c r="M203" s="11" t="n">
        <f aca="false">IF($K203&lt;&gt;"K",0,IFERROR(--AND($J203=0,ABS($I203)=2,$D203=IF($F203="w",5,61),IF($F203="w",$S202,$V202)=0,IF($I203=2,AND(IF($F203="w",$U202,$X202)=0,INDEX($AH202:$CS202,1,$D203+1)&amp;""="",INDEX($AH202:$CS202,1,$D203+2)&amp;""=""),AND(IF($F203="w",$T202,$W202)=0,INDEX($AH202:$CS202,1,$D203-1)&amp;""="",INDEX($AH202:$CS202,1,$D203-2)&amp;""="",INDEX($AH202:$CS202,1,$D203-3)&amp;""=""))),0))</f>
        <v>0</v>
      </c>
      <c r="N203" s="11" t="n">
        <f aca="false">IF($K203&lt;&gt;"P",0,IFERROR(--OR(AND($I203=0,$J203=IF($F203="w",1,-1),$H203=""),AND($I203=0,$J203=2*IF($F203="w",1,-1),$H203="",INT(($D203-1)/8)=IF($F203="w",1,6),INDEX($AH202:$CS202,1,MAX(1,MIN(64,$D203+8*IF($F203="w",1,-1))))&amp;""=""),AND(ABS($I203)=1,$J203=IF($F203="w",1,-1),$H203&lt;&gt;""),AND(ABS($I203)=1,$J203=IF($F203="w",1,-1),$H203="",$R202&gt;0,$E203=$R202)),0))</f>
        <v>0</v>
      </c>
      <c r="O203" s="11" t="n">
        <f aca="false">IF(OR($D203=0,$E203=0,$G203=""),0,IF($K203="N",--OR(AND(ABS($I203)=1,ABS($J203)=2),AND(ABS($I203)=2,ABS($J203)=1)),IF($K203="B",--AND(ABS($I203)=ABS($J203),$I203&lt;&gt;0,$L203=0),IF($K203="R",--AND(OR($I203=0,$J203=0),OR($I203&lt;&gt;0,$J203&lt;&gt;0),$L203=0),IF($K203="Q",--AND(OR(AND(ABS($I203)=ABS($J203),$I203&lt;&gt;0),AND(OR($I203=0,$J203=0),OR($I203&lt;&gt;0,$J203&lt;&gt;0))),$L203=0),IF($K203="K",--OR(MAX(ABS($I203),ABS($J203))=1,$M203=1),$N203))))))</f>
        <v>0</v>
      </c>
      <c r="P203" s="11" t="n">
        <f aca="false">IF($Q203="OK",1,0)</f>
        <v>0</v>
      </c>
      <c r="Q203" s="11" t="str">
        <f aca="false">IF($B203="","",IF(OR(COUNTIF($AH202:$CS202,"wK")=0,COUNTIF($AH202:$CS202,"bK")=0),"Game is over",IF(OR($D203=0,$E203=0),"Use the format e2e4",IF($G203="","No piece on that square",IF(LEFT($G203,1)&lt;&gt;$F203,"Not your piece ("&amp;IF($F203="w","White","Black")&amp;" to move)",IF($D203=$E203,"Piece must move",IF(AND($H203&lt;&gt;"",LEFT($H203,1)=$F203),"Cannot capture your own piece",IF($O203=0,"Illegal move for that piece (or path blocked)","OK"))))))))</f>
        <v/>
      </c>
      <c r="R203" s="11" t="n">
        <f aca="false">IF($P203=1,IF(AND($K203="P",ABS($J203)=2),($D203+$E203)/2,0),$R202)</f>
        <v>0</v>
      </c>
      <c r="S203" s="12" t="b">
        <f aca="false">--OR($S202=1,AND($P203=1,OR($D203=5,$E203=5)))</f>
        <v>0</v>
      </c>
      <c r="T203" s="12" t="b">
        <f aca="false">--OR($T202=1,AND($P203=1,OR($D203=1,$E203=1)))</f>
        <v>0</v>
      </c>
      <c r="U203" s="12" t="b">
        <f aca="false">--OR($U202=1,AND($P203=1,OR($D203=8,$E203=8)))</f>
        <v>0</v>
      </c>
      <c r="V203" s="12" t="b">
        <f aca="false">--OR($V202=1,AND($P203=1,OR($D203=61,$E203=61)))</f>
        <v>0</v>
      </c>
      <c r="W203" s="12" t="b">
        <f aca="false">--OR($W202=1,AND($P203=1,OR($D203=57,$E203=57)))</f>
        <v>0</v>
      </c>
      <c r="X203" s="12" t="b">
        <f aca="false">--OR($X202=1,AND($P203=1,OR($D203=64,$E203=64)))</f>
        <v>0</v>
      </c>
      <c r="Y203" s="12" t="b">
        <f aca="false">--AND($P203=1,$K203="K",ABS($I203)=2)</f>
        <v>0</v>
      </c>
      <c r="Z203" s="12" t="b">
        <f aca="false">--AND($P203=1,$K203="P",ABS($I203)=1,$H203="")</f>
        <v>0</v>
      </c>
      <c r="AA203" s="12" t="b">
        <f aca="false">--AND($P203=1,$K203="P",INT(($E203-1)/8)=IF($F203="w",7,0))</f>
        <v>0</v>
      </c>
      <c r="AB203" s="11" t="str">
        <f aca="false">IF(LEN($C203)&gt;=5,IF(ISNUMBER(FIND(MID($C203,5,1),"qrbn")),UPPER(MID($C203,5,1)),"Q"),"Q")</f>
        <v>Q</v>
      </c>
      <c r="AC203" s="11" t="n">
        <f aca="false">IF($Y203=1,IF($I203=2,$D203+3,$D203-4),0)</f>
        <v>0</v>
      </c>
      <c r="AD203" s="11" t="n">
        <f aca="false">IF($Y203=1,IF($I203=2,$D203+1,$D203-1),0)</f>
        <v>0</v>
      </c>
      <c r="AE203" s="11" t="n">
        <f aca="false">IF($Z203=1,$E203-8*IF($F203="w",1,-1),0)</f>
        <v>0</v>
      </c>
      <c r="AF203" s="11" t="str">
        <f aca="false">IF($B203="","",IF($P203=1,LOWER(INDEX($CV$2:$CV$13,MATCH($G203,$CU$2:$CU$13,0)))&amp;" "&amp;MID("abcdefgh",MOD($D203-1,8)+1,1)&amp;(INT(($D203-1)/8)+1)&amp;"→"&amp;MID("abcdefgh",MOD($E203-1,8)+1,1)&amp;(INT(($E203-1)/8)+1)&amp;IF(OR($H203&lt;&gt;"",$Z203=1)," ×","")&amp;IF($Y203=1," castles","")&amp;IF($Z203=1," e.p.","")&amp;IF($AA203=1," =" &amp;LOWER(INDEX($CV$2:$CV$13,MATCH($F203&amp;$AB203,$CU$2:$CU$13,0))),""),"X "&amp;$Q203))</f>
        <v/>
      </c>
      <c r="AG203" s="11"/>
      <c r="AH203" s="11" t="str">
        <f aca="false">IF($P203=0,AH202,IF(AH$3=$E203,IF($AA203=1,$F203&amp;$AB203,$G203),IF(OR(AH$3=$D203,AH$3=$AC203,AH$3=$AE203),"",IF(AH$3=$AD203,$F203&amp;"R",AH202))))</f>
        <v>wR</v>
      </c>
      <c r="AI203" s="11" t="str">
        <f aca="false">IF($P203=0,AI202,IF(AI$3=$E203,IF($AA203=1,$F203&amp;$AB203,$G203),IF(OR(AI$3=$D203,AI$3=$AC203,AI$3=$AE203),"",IF(AI$3=$AD203,$F203&amp;"R",AI202))))</f>
        <v>wN</v>
      </c>
      <c r="AJ203" s="11" t="str">
        <f aca="false">IF($P203=0,AJ202,IF(AJ$3=$E203,IF($AA203=1,$F203&amp;$AB203,$G203),IF(OR(AJ$3=$D203,AJ$3=$AC203,AJ$3=$AE203),"",IF(AJ$3=$AD203,$F203&amp;"R",AJ202))))</f>
        <v>wB</v>
      </c>
      <c r="AK203" s="11" t="str">
        <f aca="false">IF($P203=0,AK202,IF(AK$3=$E203,IF($AA203=1,$F203&amp;$AB203,$G203),IF(OR(AK$3=$D203,AK$3=$AC203,AK$3=$AE203),"",IF(AK$3=$AD203,$F203&amp;"R",AK202))))</f>
        <v>wQ</v>
      </c>
      <c r="AL203" s="11" t="str">
        <f aca="false">IF($P203=0,AL202,IF(AL$3=$E203,IF($AA203=1,$F203&amp;$AB203,$G203),IF(OR(AL$3=$D203,AL$3=$AC203,AL$3=$AE203),"",IF(AL$3=$AD203,$F203&amp;"R",AL202))))</f>
        <v>wK</v>
      </c>
      <c r="AM203" s="11" t="str">
        <f aca="false">IF($P203=0,AM202,IF(AM$3=$E203,IF($AA203=1,$F203&amp;$AB203,$G203),IF(OR(AM$3=$D203,AM$3=$AC203,AM$3=$AE203),"",IF(AM$3=$AD203,$F203&amp;"R",AM202))))</f>
        <v>wB</v>
      </c>
      <c r="AN203" s="11" t="str">
        <f aca="false">IF($P203=0,AN202,IF(AN$3=$E203,IF($AA203=1,$F203&amp;$AB203,$G203),IF(OR(AN$3=$D203,AN$3=$AC203,AN$3=$AE203),"",IF(AN$3=$AD203,$F203&amp;"R",AN202))))</f>
        <v>wN</v>
      </c>
      <c r="AO203" s="11" t="str">
        <f aca="false">IF($P203=0,AO202,IF(AO$3=$E203,IF($AA203=1,$F203&amp;$AB203,$G203),IF(OR(AO$3=$D203,AO$3=$AC203,AO$3=$AE203),"",IF(AO$3=$AD203,$F203&amp;"R",AO202))))</f>
        <v>wR</v>
      </c>
      <c r="AP203" s="11" t="str">
        <f aca="false">IF($P203=0,AP202,IF(AP$3=$E203,IF($AA203=1,$F203&amp;$AB203,$G203),IF(OR(AP$3=$D203,AP$3=$AC203,AP$3=$AE203),"",IF(AP$3=$AD203,$F203&amp;"R",AP202))))</f>
        <v>wP</v>
      </c>
      <c r="AQ203" s="11" t="str">
        <f aca="false">IF($P203=0,AQ202,IF(AQ$3=$E203,IF($AA203=1,$F203&amp;$AB203,$G203),IF(OR(AQ$3=$D203,AQ$3=$AC203,AQ$3=$AE203),"",IF(AQ$3=$AD203,$F203&amp;"R",AQ202))))</f>
        <v>wP</v>
      </c>
      <c r="AR203" s="11" t="str">
        <f aca="false">IF($P203=0,AR202,IF(AR$3=$E203,IF($AA203=1,$F203&amp;$AB203,$G203),IF(OR(AR$3=$D203,AR$3=$AC203,AR$3=$AE203),"",IF(AR$3=$AD203,$F203&amp;"R",AR202))))</f>
        <v>wP</v>
      </c>
      <c r="AS203" s="11" t="str">
        <f aca="false">IF($P203=0,AS202,IF(AS$3=$E203,IF($AA203=1,$F203&amp;$AB203,$G203),IF(OR(AS$3=$D203,AS$3=$AC203,AS$3=$AE203),"",IF(AS$3=$AD203,$F203&amp;"R",AS202))))</f>
        <v>wP</v>
      </c>
      <c r="AT203" s="11" t="str">
        <f aca="false">IF($P203=0,AT202,IF(AT$3=$E203,IF($AA203=1,$F203&amp;$AB203,$G203),IF(OR(AT$3=$D203,AT$3=$AC203,AT$3=$AE203),"",IF(AT$3=$AD203,$F203&amp;"R",AT202))))</f>
        <v>wP</v>
      </c>
      <c r="AU203" s="11" t="str">
        <f aca="false">IF($P203=0,AU202,IF(AU$3=$E203,IF($AA203=1,$F203&amp;$AB203,$G203),IF(OR(AU$3=$D203,AU$3=$AC203,AU$3=$AE203),"",IF(AU$3=$AD203,$F203&amp;"R",AU202))))</f>
        <v>wP</v>
      </c>
      <c r="AV203" s="11" t="str">
        <f aca="false">IF($P203=0,AV202,IF(AV$3=$E203,IF($AA203=1,$F203&amp;$AB203,$G203),IF(OR(AV$3=$D203,AV$3=$AC203,AV$3=$AE203),"",IF(AV$3=$AD203,$F203&amp;"R",AV202))))</f>
        <v>wP</v>
      </c>
      <c r="AW203" s="11" t="str">
        <f aca="false">IF($P203=0,AW202,IF(AW$3=$E203,IF($AA203=1,$F203&amp;$AB203,$G203),IF(OR(AW$3=$D203,AW$3=$AC203,AW$3=$AE203),"",IF(AW$3=$AD203,$F203&amp;"R",AW202))))</f>
        <v>wP</v>
      </c>
      <c r="AX203" s="11" t="str">
        <f aca="false">IF($P203=0,AX202,IF(AX$3=$E203,IF($AA203=1,$F203&amp;$AB203,$G203),IF(OR(AX$3=$D203,AX$3=$AC203,AX$3=$AE203),"",IF(AX$3=$AD203,$F203&amp;"R",AX202))))</f>
        <v/>
      </c>
      <c r="AY203" s="11" t="str">
        <f aca="false">IF($P203=0,AY202,IF(AY$3=$E203,IF($AA203=1,$F203&amp;$AB203,$G203),IF(OR(AY$3=$D203,AY$3=$AC203,AY$3=$AE203),"",IF(AY$3=$AD203,$F203&amp;"R",AY202))))</f>
        <v/>
      </c>
      <c r="AZ203" s="11" t="str">
        <f aca="false">IF($P203=0,AZ202,IF(AZ$3=$E203,IF($AA203=1,$F203&amp;$AB203,$G203),IF(OR(AZ$3=$D203,AZ$3=$AC203,AZ$3=$AE203),"",IF(AZ$3=$AD203,$F203&amp;"R",AZ202))))</f>
        <v/>
      </c>
      <c r="BA203" s="11" t="str">
        <f aca="false">IF($P203=0,BA202,IF(BA$3=$E203,IF($AA203=1,$F203&amp;$AB203,$G203),IF(OR(BA$3=$D203,BA$3=$AC203,BA$3=$AE203),"",IF(BA$3=$AD203,$F203&amp;"R",BA202))))</f>
        <v/>
      </c>
      <c r="BB203" s="11" t="str">
        <f aca="false">IF($P203=0,BB202,IF(BB$3=$E203,IF($AA203=1,$F203&amp;$AB203,$G203),IF(OR(BB$3=$D203,BB$3=$AC203,BB$3=$AE203),"",IF(BB$3=$AD203,$F203&amp;"R",BB202))))</f>
        <v/>
      </c>
      <c r="BC203" s="11" t="str">
        <f aca="false">IF($P203=0,BC202,IF(BC$3=$E203,IF($AA203=1,$F203&amp;$AB203,$G203),IF(OR(BC$3=$D203,BC$3=$AC203,BC$3=$AE203),"",IF(BC$3=$AD203,$F203&amp;"R",BC202))))</f>
        <v/>
      </c>
      <c r="BD203" s="11" t="str">
        <f aca="false">IF($P203=0,BD202,IF(BD$3=$E203,IF($AA203=1,$F203&amp;$AB203,$G203),IF(OR(BD$3=$D203,BD$3=$AC203,BD$3=$AE203),"",IF(BD$3=$AD203,$F203&amp;"R",BD202))))</f>
        <v/>
      </c>
      <c r="BE203" s="11" t="str">
        <f aca="false">IF($P203=0,BE202,IF(BE$3=$E203,IF($AA203=1,$F203&amp;$AB203,$G203),IF(OR(BE$3=$D203,BE$3=$AC203,BE$3=$AE203),"",IF(BE$3=$AD203,$F203&amp;"R",BE202))))</f>
        <v/>
      </c>
      <c r="BF203" s="11" t="str">
        <f aca="false">IF($P203=0,BF202,IF(BF$3=$E203,IF($AA203=1,$F203&amp;$AB203,$G203),IF(OR(BF$3=$D203,BF$3=$AC203,BF$3=$AE203),"",IF(BF$3=$AD203,$F203&amp;"R",BF202))))</f>
        <v/>
      </c>
      <c r="BG203" s="11" t="str">
        <f aca="false">IF($P203=0,BG202,IF(BG$3=$E203,IF($AA203=1,$F203&amp;$AB203,$G203),IF(OR(BG$3=$D203,BG$3=$AC203,BG$3=$AE203),"",IF(BG$3=$AD203,$F203&amp;"R",BG202))))</f>
        <v/>
      </c>
      <c r="BH203" s="11" t="str">
        <f aca="false">IF($P203=0,BH202,IF(BH$3=$E203,IF($AA203=1,$F203&amp;$AB203,$G203),IF(OR(BH$3=$D203,BH$3=$AC203,BH$3=$AE203),"",IF(BH$3=$AD203,$F203&amp;"R",BH202))))</f>
        <v/>
      </c>
      <c r="BI203" s="11" t="str">
        <f aca="false">IF($P203=0,BI202,IF(BI$3=$E203,IF($AA203=1,$F203&amp;$AB203,$G203),IF(OR(BI$3=$D203,BI$3=$AC203,BI$3=$AE203),"",IF(BI$3=$AD203,$F203&amp;"R",BI202))))</f>
        <v/>
      </c>
      <c r="BJ203" s="11" t="str">
        <f aca="false">IF($P203=0,BJ202,IF(BJ$3=$E203,IF($AA203=1,$F203&amp;$AB203,$G203),IF(OR(BJ$3=$D203,BJ$3=$AC203,BJ$3=$AE203),"",IF(BJ$3=$AD203,$F203&amp;"R",BJ202))))</f>
        <v/>
      </c>
      <c r="BK203" s="11" t="str">
        <f aca="false">IF($P203=0,BK202,IF(BK$3=$E203,IF($AA203=1,$F203&amp;$AB203,$G203),IF(OR(BK$3=$D203,BK$3=$AC203,BK$3=$AE203),"",IF(BK$3=$AD203,$F203&amp;"R",BK202))))</f>
        <v/>
      </c>
      <c r="BL203" s="11" t="str">
        <f aca="false">IF($P203=0,BL202,IF(BL$3=$E203,IF($AA203=1,$F203&amp;$AB203,$G203),IF(OR(BL$3=$D203,BL$3=$AC203,BL$3=$AE203),"",IF(BL$3=$AD203,$F203&amp;"R",BL202))))</f>
        <v/>
      </c>
      <c r="BM203" s="11" t="str">
        <f aca="false">IF($P203=0,BM202,IF(BM$3=$E203,IF($AA203=1,$F203&amp;$AB203,$G203),IF(OR(BM$3=$D203,BM$3=$AC203,BM$3=$AE203),"",IF(BM$3=$AD203,$F203&amp;"R",BM202))))</f>
        <v/>
      </c>
      <c r="BN203" s="11" t="str">
        <f aca="false">IF($P203=0,BN202,IF(BN$3=$E203,IF($AA203=1,$F203&amp;$AB203,$G203),IF(OR(BN$3=$D203,BN$3=$AC203,BN$3=$AE203),"",IF(BN$3=$AD203,$F203&amp;"R",BN202))))</f>
        <v/>
      </c>
      <c r="BO203" s="11" t="str">
        <f aca="false">IF($P203=0,BO202,IF(BO$3=$E203,IF($AA203=1,$F203&amp;$AB203,$G203),IF(OR(BO$3=$D203,BO$3=$AC203,BO$3=$AE203),"",IF(BO$3=$AD203,$F203&amp;"R",BO202))))</f>
        <v/>
      </c>
      <c r="BP203" s="11" t="str">
        <f aca="false">IF($P203=0,BP202,IF(BP$3=$E203,IF($AA203=1,$F203&amp;$AB203,$G203),IF(OR(BP$3=$D203,BP$3=$AC203,BP$3=$AE203),"",IF(BP$3=$AD203,$F203&amp;"R",BP202))))</f>
        <v/>
      </c>
      <c r="BQ203" s="11" t="str">
        <f aca="false">IF($P203=0,BQ202,IF(BQ$3=$E203,IF($AA203=1,$F203&amp;$AB203,$G203),IF(OR(BQ$3=$D203,BQ$3=$AC203,BQ$3=$AE203),"",IF(BQ$3=$AD203,$F203&amp;"R",BQ202))))</f>
        <v/>
      </c>
      <c r="BR203" s="11" t="str">
        <f aca="false">IF($P203=0,BR202,IF(BR$3=$E203,IF($AA203=1,$F203&amp;$AB203,$G203),IF(OR(BR$3=$D203,BR$3=$AC203,BR$3=$AE203),"",IF(BR$3=$AD203,$F203&amp;"R",BR202))))</f>
        <v/>
      </c>
      <c r="BS203" s="11" t="str">
        <f aca="false">IF($P203=0,BS202,IF(BS$3=$E203,IF($AA203=1,$F203&amp;$AB203,$G203),IF(OR(BS$3=$D203,BS$3=$AC203,BS$3=$AE203),"",IF(BS$3=$AD203,$F203&amp;"R",BS202))))</f>
        <v/>
      </c>
      <c r="BT203" s="11" t="str">
        <f aca="false">IF($P203=0,BT202,IF(BT$3=$E203,IF($AA203=1,$F203&amp;$AB203,$G203),IF(OR(BT$3=$D203,BT$3=$AC203,BT$3=$AE203),"",IF(BT$3=$AD203,$F203&amp;"R",BT202))))</f>
        <v/>
      </c>
      <c r="BU203" s="11" t="str">
        <f aca="false">IF($P203=0,BU202,IF(BU$3=$E203,IF($AA203=1,$F203&amp;$AB203,$G203),IF(OR(BU$3=$D203,BU$3=$AC203,BU$3=$AE203),"",IF(BU$3=$AD203,$F203&amp;"R",BU202))))</f>
        <v/>
      </c>
      <c r="BV203" s="11" t="str">
        <f aca="false">IF($P203=0,BV202,IF(BV$3=$E203,IF($AA203=1,$F203&amp;$AB203,$G203),IF(OR(BV$3=$D203,BV$3=$AC203,BV$3=$AE203),"",IF(BV$3=$AD203,$F203&amp;"R",BV202))))</f>
        <v/>
      </c>
      <c r="BW203" s="11" t="str">
        <f aca="false">IF($P203=0,BW202,IF(BW$3=$E203,IF($AA203=1,$F203&amp;$AB203,$G203),IF(OR(BW$3=$D203,BW$3=$AC203,BW$3=$AE203),"",IF(BW$3=$AD203,$F203&amp;"R",BW202))))</f>
        <v/>
      </c>
      <c r="BX203" s="11" t="str">
        <f aca="false">IF($P203=0,BX202,IF(BX$3=$E203,IF($AA203=1,$F203&amp;$AB203,$G203),IF(OR(BX$3=$D203,BX$3=$AC203,BX$3=$AE203),"",IF(BX$3=$AD203,$F203&amp;"R",BX202))))</f>
        <v/>
      </c>
      <c r="BY203" s="11" t="str">
        <f aca="false">IF($P203=0,BY202,IF(BY$3=$E203,IF($AA203=1,$F203&amp;$AB203,$G203),IF(OR(BY$3=$D203,BY$3=$AC203,BY$3=$AE203),"",IF(BY$3=$AD203,$F203&amp;"R",BY202))))</f>
        <v/>
      </c>
      <c r="BZ203" s="11" t="str">
        <f aca="false">IF($P203=0,BZ202,IF(BZ$3=$E203,IF($AA203=1,$F203&amp;$AB203,$G203),IF(OR(BZ$3=$D203,BZ$3=$AC203,BZ$3=$AE203),"",IF(BZ$3=$AD203,$F203&amp;"R",BZ202))))</f>
        <v/>
      </c>
      <c r="CA203" s="11" t="str">
        <f aca="false">IF($P203=0,CA202,IF(CA$3=$E203,IF($AA203=1,$F203&amp;$AB203,$G203),IF(OR(CA$3=$D203,CA$3=$AC203,CA$3=$AE203),"",IF(CA$3=$AD203,$F203&amp;"R",CA202))))</f>
        <v/>
      </c>
      <c r="CB203" s="11" t="str">
        <f aca="false">IF($P203=0,CB202,IF(CB$3=$E203,IF($AA203=1,$F203&amp;$AB203,$G203),IF(OR(CB$3=$D203,CB$3=$AC203,CB$3=$AE203),"",IF(CB$3=$AD203,$F203&amp;"R",CB202))))</f>
        <v/>
      </c>
      <c r="CC203" s="11" t="str">
        <f aca="false">IF($P203=0,CC202,IF(CC$3=$E203,IF($AA203=1,$F203&amp;$AB203,$G203),IF(OR(CC$3=$D203,CC$3=$AC203,CC$3=$AE203),"",IF(CC$3=$AD203,$F203&amp;"R",CC202))))</f>
        <v/>
      </c>
      <c r="CD203" s="11" t="str">
        <f aca="false">IF($P203=0,CD202,IF(CD$3=$E203,IF($AA203=1,$F203&amp;$AB203,$G203),IF(OR(CD$3=$D203,CD$3=$AC203,CD$3=$AE203),"",IF(CD$3=$AD203,$F203&amp;"R",CD202))))</f>
        <v>bP</v>
      </c>
      <c r="CE203" s="11" t="str">
        <f aca="false">IF($P203=0,CE202,IF(CE$3=$E203,IF($AA203=1,$F203&amp;$AB203,$G203),IF(OR(CE$3=$D203,CE$3=$AC203,CE$3=$AE203),"",IF(CE$3=$AD203,$F203&amp;"R",CE202))))</f>
        <v>bP</v>
      </c>
      <c r="CF203" s="11" t="str">
        <f aca="false">IF($P203=0,CF202,IF(CF$3=$E203,IF($AA203=1,$F203&amp;$AB203,$G203),IF(OR(CF$3=$D203,CF$3=$AC203,CF$3=$AE203),"",IF(CF$3=$AD203,$F203&amp;"R",CF202))))</f>
        <v>bP</v>
      </c>
      <c r="CG203" s="11" t="str">
        <f aca="false">IF($P203=0,CG202,IF(CG$3=$E203,IF($AA203=1,$F203&amp;$AB203,$G203),IF(OR(CG$3=$D203,CG$3=$AC203,CG$3=$AE203),"",IF(CG$3=$AD203,$F203&amp;"R",CG202))))</f>
        <v>bP</v>
      </c>
      <c r="CH203" s="11" t="str">
        <f aca="false">IF($P203=0,CH202,IF(CH$3=$E203,IF($AA203=1,$F203&amp;$AB203,$G203),IF(OR(CH$3=$D203,CH$3=$AC203,CH$3=$AE203),"",IF(CH$3=$AD203,$F203&amp;"R",CH202))))</f>
        <v>bP</v>
      </c>
      <c r="CI203" s="11" t="str">
        <f aca="false">IF($P203=0,CI202,IF(CI$3=$E203,IF($AA203=1,$F203&amp;$AB203,$G203),IF(OR(CI$3=$D203,CI$3=$AC203,CI$3=$AE203),"",IF(CI$3=$AD203,$F203&amp;"R",CI202))))</f>
        <v>bP</v>
      </c>
      <c r="CJ203" s="11" t="str">
        <f aca="false">IF($P203=0,CJ202,IF(CJ$3=$E203,IF($AA203=1,$F203&amp;$AB203,$G203),IF(OR(CJ$3=$D203,CJ$3=$AC203,CJ$3=$AE203),"",IF(CJ$3=$AD203,$F203&amp;"R",CJ202))))</f>
        <v>bP</v>
      </c>
      <c r="CK203" s="11" t="str">
        <f aca="false">IF($P203=0,CK202,IF(CK$3=$E203,IF($AA203=1,$F203&amp;$AB203,$G203),IF(OR(CK$3=$D203,CK$3=$AC203,CK$3=$AE203),"",IF(CK$3=$AD203,$F203&amp;"R",CK202))))</f>
        <v>bP</v>
      </c>
      <c r="CL203" s="11" t="str">
        <f aca="false">IF($P203=0,CL202,IF(CL$3=$E203,IF($AA203=1,$F203&amp;$AB203,$G203),IF(OR(CL$3=$D203,CL$3=$AC203,CL$3=$AE203),"",IF(CL$3=$AD203,$F203&amp;"R",CL202))))</f>
        <v>bR</v>
      </c>
      <c r="CM203" s="11" t="str">
        <f aca="false">IF($P203=0,CM202,IF(CM$3=$E203,IF($AA203=1,$F203&amp;$AB203,$G203),IF(OR(CM$3=$D203,CM$3=$AC203,CM$3=$AE203),"",IF(CM$3=$AD203,$F203&amp;"R",CM202))))</f>
        <v>bN</v>
      </c>
      <c r="CN203" s="11" t="str">
        <f aca="false">IF($P203=0,CN202,IF(CN$3=$E203,IF($AA203=1,$F203&amp;$AB203,$G203),IF(OR(CN$3=$D203,CN$3=$AC203,CN$3=$AE203),"",IF(CN$3=$AD203,$F203&amp;"R",CN202))))</f>
        <v>bB</v>
      </c>
      <c r="CO203" s="11" t="str">
        <f aca="false">IF($P203=0,CO202,IF(CO$3=$E203,IF($AA203=1,$F203&amp;$AB203,$G203),IF(OR(CO$3=$D203,CO$3=$AC203,CO$3=$AE203),"",IF(CO$3=$AD203,$F203&amp;"R",CO202))))</f>
        <v>bQ</v>
      </c>
      <c r="CP203" s="11" t="str">
        <f aca="false">IF($P203=0,CP202,IF(CP$3=$E203,IF($AA203=1,$F203&amp;$AB203,$G203),IF(OR(CP$3=$D203,CP$3=$AC203,CP$3=$AE203),"",IF(CP$3=$AD203,$F203&amp;"R",CP202))))</f>
        <v>bK</v>
      </c>
      <c r="CQ203" s="11" t="str">
        <f aca="false">IF($P203=0,CQ202,IF(CQ$3=$E203,IF($AA203=1,$F203&amp;$AB203,$G203),IF(OR(CQ$3=$D203,CQ$3=$AC203,CQ$3=$AE203),"",IF(CQ$3=$AD203,$F203&amp;"R",CQ202))))</f>
        <v>bB</v>
      </c>
      <c r="CR203" s="11" t="str">
        <f aca="false">IF($P203=0,CR202,IF(CR$3=$E203,IF($AA203=1,$F203&amp;$AB203,$G203),IF(OR(CR$3=$D203,CR$3=$AC203,CR$3=$AE203),"",IF(CR$3=$AD203,$F203&amp;"R",CR202))))</f>
        <v>bN</v>
      </c>
      <c r="CS203" s="11" t="str">
        <f aca="false">IF($P203=0,CS202,IF(CS$3=$E203,IF($AA203=1,$F203&amp;$AB203,$G203),IF(OR(CS$3=$D203,CS$3=$AC203,CS$3=$AE203),"",IF(CS$3=$AD203,$F203&amp;"R",CS202))))</f>
        <v>bR</v>
      </c>
      <c r="CT203" s="11"/>
      <c r="CU203" s="11"/>
      <c r="CV203" s="11"/>
    </row>
    <row r="204" customFormat="false" ht="15" hidden="false" customHeight="false" outlineLevel="0" collapsed="false">
      <c r="A204" s="11" t="n">
        <v>199</v>
      </c>
      <c r="B204" s="11" t="str">
        <f aca="false">IF(Chess!$L$208="","",Chess!$L$208&amp;"")</f>
        <v/>
      </c>
      <c r="C204" s="11" t="str">
        <f aca="false">LOWER(SUBSTITUTE(SUBSTITUTE(SUBSTITUTE(SUBSTITUTE(TRIM($B204),"-",""),"=","")," ",""),"x",""))</f>
        <v/>
      </c>
      <c r="D204" s="11" t="n">
        <f aca="false">IF(LEN($C204)&lt;4,0,IFERROR(IF(AND(CODE(MID($C204,1,1))&gt;=97,CODE(MID($C204,1,1))&lt;=104,VALUE(MID($C204,2,1))&gt;=1,VALUE(MID($C204,2,1))&lt;=8),(VALUE(MID($C204,2,1))-1)*8+CODE(MID($C204,1,1))-96,0),0))</f>
        <v>0</v>
      </c>
      <c r="E204" s="11" t="n">
        <f aca="false">IF(LEN($C204)&lt;4,0,IFERROR(IF(AND(CODE(MID($C204,3,1))&gt;=97,CODE(MID($C204,3,1))&lt;=104,VALUE(MID($C204,4,1))&gt;=1,VALUE(MID($C204,4,1))&lt;=8),(VALUE(MID($C204,4,1))-1)*8+CODE(MID($C204,3,1))-96,0),0))</f>
        <v>0</v>
      </c>
      <c r="F204" s="11" t="str">
        <f aca="false">IF(MOD(SUM($P$5:$P203),2)=0,"w","b")</f>
        <v>w</v>
      </c>
      <c r="G204" s="11" t="str">
        <f aca="false">IF($D204=0,"",INDEX($AH203:$CS203,1,$D204)&amp;"")</f>
        <v/>
      </c>
      <c r="H204" s="11" t="str">
        <f aca="false">IF($E204=0,"",INDEX($AH203:$CS203,1,$E204)&amp;"")</f>
        <v/>
      </c>
      <c r="I204" s="11" t="n">
        <f aca="false">IF(OR($D204=0,$E204=0),0,MOD($E204-1,8)-MOD($D204-1,8))</f>
        <v>0</v>
      </c>
      <c r="J204" s="11" t="n">
        <f aca="false">IF(OR($D204=0,$E204=0),0,INT(($E204-1)/8)-INT(($D204-1)/8))</f>
        <v>0</v>
      </c>
      <c r="K204" s="11" t="str">
        <f aca="false">IF($G204="","",RIGHT($G204,1))</f>
        <v/>
      </c>
      <c r="L204" s="11" t="n">
        <f aca="false">IF(OR($D204=0,$E204=0),0,SUMPRODUCT(($AH$3:$CS$3&gt;MIN($D204,$E204))*($AH$3:$CS$3&lt;MAX($D204,$E204))*(MOD($AH$3:$CS$3-MIN($D204,$E204),MAX(1,ABS(SIGN($J204)*8+SIGN($I204))))=0)*($AH203:$CS203&lt;&gt;"")))</f>
        <v>0</v>
      </c>
      <c r="M204" s="11" t="n">
        <f aca="false">IF($K204&lt;&gt;"K",0,IFERROR(--AND($J204=0,ABS($I204)=2,$D204=IF($F204="w",5,61),IF($F204="w",$S203,$V203)=0,IF($I204=2,AND(IF($F204="w",$U203,$X203)=0,INDEX($AH203:$CS203,1,$D204+1)&amp;""="",INDEX($AH203:$CS203,1,$D204+2)&amp;""=""),AND(IF($F204="w",$T203,$W203)=0,INDEX($AH203:$CS203,1,$D204-1)&amp;""="",INDEX($AH203:$CS203,1,$D204-2)&amp;""="",INDEX($AH203:$CS203,1,$D204-3)&amp;""=""))),0))</f>
        <v>0</v>
      </c>
      <c r="N204" s="11" t="n">
        <f aca="false">IF($K204&lt;&gt;"P",0,IFERROR(--OR(AND($I204=0,$J204=IF($F204="w",1,-1),$H204=""),AND($I204=0,$J204=2*IF($F204="w",1,-1),$H204="",INT(($D204-1)/8)=IF($F204="w",1,6),INDEX($AH203:$CS203,1,MAX(1,MIN(64,$D204+8*IF($F204="w",1,-1))))&amp;""=""),AND(ABS($I204)=1,$J204=IF($F204="w",1,-1),$H204&lt;&gt;""),AND(ABS($I204)=1,$J204=IF($F204="w",1,-1),$H204="",$R203&gt;0,$E204=$R203)),0))</f>
        <v>0</v>
      </c>
      <c r="O204" s="11" t="n">
        <f aca="false">IF(OR($D204=0,$E204=0,$G204=""),0,IF($K204="N",--OR(AND(ABS($I204)=1,ABS($J204)=2),AND(ABS($I204)=2,ABS($J204)=1)),IF($K204="B",--AND(ABS($I204)=ABS($J204),$I204&lt;&gt;0,$L204=0),IF($K204="R",--AND(OR($I204=0,$J204=0),OR($I204&lt;&gt;0,$J204&lt;&gt;0),$L204=0),IF($K204="Q",--AND(OR(AND(ABS($I204)=ABS($J204),$I204&lt;&gt;0),AND(OR($I204=0,$J204=0),OR($I204&lt;&gt;0,$J204&lt;&gt;0))),$L204=0),IF($K204="K",--OR(MAX(ABS($I204),ABS($J204))=1,$M204=1),$N204))))))</f>
        <v>0</v>
      </c>
      <c r="P204" s="11" t="n">
        <f aca="false">IF($Q204="OK",1,0)</f>
        <v>0</v>
      </c>
      <c r="Q204" s="11" t="str">
        <f aca="false">IF($B204="","",IF(OR(COUNTIF($AH203:$CS203,"wK")=0,COUNTIF($AH203:$CS203,"bK")=0),"Game is over",IF(OR($D204=0,$E204=0),"Use the format e2e4",IF($G204="","No piece on that square",IF(LEFT($G204,1)&lt;&gt;$F204,"Not your piece ("&amp;IF($F204="w","White","Black")&amp;" to move)",IF($D204=$E204,"Piece must move",IF(AND($H204&lt;&gt;"",LEFT($H204,1)=$F204),"Cannot capture your own piece",IF($O204=0,"Illegal move for that piece (or path blocked)","OK"))))))))</f>
        <v/>
      </c>
      <c r="R204" s="11" t="n">
        <f aca="false">IF($P204=1,IF(AND($K204="P",ABS($J204)=2),($D204+$E204)/2,0),$R203)</f>
        <v>0</v>
      </c>
      <c r="S204" s="12" t="b">
        <f aca="false">--OR($S203=1,AND($P204=1,OR($D204=5,$E204=5)))</f>
        <v>0</v>
      </c>
      <c r="T204" s="12" t="b">
        <f aca="false">--OR($T203=1,AND($P204=1,OR($D204=1,$E204=1)))</f>
        <v>0</v>
      </c>
      <c r="U204" s="12" t="b">
        <f aca="false">--OR($U203=1,AND($P204=1,OR($D204=8,$E204=8)))</f>
        <v>0</v>
      </c>
      <c r="V204" s="12" t="b">
        <f aca="false">--OR($V203=1,AND($P204=1,OR($D204=61,$E204=61)))</f>
        <v>0</v>
      </c>
      <c r="W204" s="12" t="b">
        <f aca="false">--OR($W203=1,AND($P204=1,OR($D204=57,$E204=57)))</f>
        <v>0</v>
      </c>
      <c r="X204" s="12" t="b">
        <f aca="false">--OR($X203=1,AND($P204=1,OR($D204=64,$E204=64)))</f>
        <v>0</v>
      </c>
      <c r="Y204" s="12" t="b">
        <f aca="false">--AND($P204=1,$K204="K",ABS($I204)=2)</f>
        <v>0</v>
      </c>
      <c r="Z204" s="12" t="b">
        <f aca="false">--AND($P204=1,$K204="P",ABS($I204)=1,$H204="")</f>
        <v>0</v>
      </c>
      <c r="AA204" s="12" t="b">
        <f aca="false">--AND($P204=1,$K204="P",INT(($E204-1)/8)=IF($F204="w",7,0))</f>
        <v>0</v>
      </c>
      <c r="AB204" s="11" t="str">
        <f aca="false">IF(LEN($C204)&gt;=5,IF(ISNUMBER(FIND(MID($C204,5,1),"qrbn")),UPPER(MID($C204,5,1)),"Q"),"Q")</f>
        <v>Q</v>
      </c>
      <c r="AC204" s="11" t="n">
        <f aca="false">IF($Y204=1,IF($I204=2,$D204+3,$D204-4),0)</f>
        <v>0</v>
      </c>
      <c r="AD204" s="11" t="n">
        <f aca="false">IF($Y204=1,IF($I204=2,$D204+1,$D204-1),0)</f>
        <v>0</v>
      </c>
      <c r="AE204" s="11" t="n">
        <f aca="false">IF($Z204=1,$E204-8*IF($F204="w",1,-1),0)</f>
        <v>0</v>
      </c>
      <c r="AF204" s="11" t="str">
        <f aca="false">IF($B204="","",IF($P204=1,LOWER(INDEX($CV$2:$CV$13,MATCH($G204,$CU$2:$CU$13,0)))&amp;" "&amp;MID("abcdefgh",MOD($D204-1,8)+1,1)&amp;(INT(($D204-1)/8)+1)&amp;"→"&amp;MID("abcdefgh",MOD($E204-1,8)+1,1)&amp;(INT(($E204-1)/8)+1)&amp;IF(OR($H204&lt;&gt;"",$Z204=1)," ×","")&amp;IF($Y204=1," castles","")&amp;IF($Z204=1," e.p.","")&amp;IF($AA204=1," =" &amp;LOWER(INDEX($CV$2:$CV$13,MATCH($F204&amp;$AB204,$CU$2:$CU$13,0))),""),"X "&amp;$Q204))</f>
        <v/>
      </c>
      <c r="AG204" s="11"/>
      <c r="AH204" s="11" t="str">
        <f aca="false">IF($P204=0,AH203,IF(AH$3=$E204,IF($AA204=1,$F204&amp;$AB204,$G204),IF(OR(AH$3=$D204,AH$3=$AC204,AH$3=$AE204),"",IF(AH$3=$AD204,$F204&amp;"R",AH203))))</f>
        <v>wR</v>
      </c>
      <c r="AI204" s="11" t="str">
        <f aca="false">IF($P204=0,AI203,IF(AI$3=$E204,IF($AA204=1,$F204&amp;$AB204,$G204),IF(OR(AI$3=$D204,AI$3=$AC204,AI$3=$AE204),"",IF(AI$3=$AD204,$F204&amp;"R",AI203))))</f>
        <v>wN</v>
      </c>
      <c r="AJ204" s="11" t="str">
        <f aca="false">IF($P204=0,AJ203,IF(AJ$3=$E204,IF($AA204=1,$F204&amp;$AB204,$G204),IF(OR(AJ$3=$D204,AJ$3=$AC204,AJ$3=$AE204),"",IF(AJ$3=$AD204,$F204&amp;"R",AJ203))))</f>
        <v>wB</v>
      </c>
      <c r="AK204" s="11" t="str">
        <f aca="false">IF($P204=0,AK203,IF(AK$3=$E204,IF($AA204=1,$F204&amp;$AB204,$G204),IF(OR(AK$3=$D204,AK$3=$AC204,AK$3=$AE204),"",IF(AK$3=$AD204,$F204&amp;"R",AK203))))</f>
        <v>wQ</v>
      </c>
      <c r="AL204" s="11" t="str">
        <f aca="false">IF($P204=0,AL203,IF(AL$3=$E204,IF($AA204=1,$F204&amp;$AB204,$G204),IF(OR(AL$3=$D204,AL$3=$AC204,AL$3=$AE204),"",IF(AL$3=$AD204,$F204&amp;"R",AL203))))</f>
        <v>wK</v>
      </c>
      <c r="AM204" s="11" t="str">
        <f aca="false">IF($P204=0,AM203,IF(AM$3=$E204,IF($AA204=1,$F204&amp;$AB204,$G204),IF(OR(AM$3=$D204,AM$3=$AC204,AM$3=$AE204),"",IF(AM$3=$AD204,$F204&amp;"R",AM203))))</f>
        <v>wB</v>
      </c>
      <c r="AN204" s="11" t="str">
        <f aca="false">IF($P204=0,AN203,IF(AN$3=$E204,IF($AA204=1,$F204&amp;$AB204,$G204),IF(OR(AN$3=$D204,AN$3=$AC204,AN$3=$AE204),"",IF(AN$3=$AD204,$F204&amp;"R",AN203))))</f>
        <v>wN</v>
      </c>
      <c r="AO204" s="11" t="str">
        <f aca="false">IF($P204=0,AO203,IF(AO$3=$E204,IF($AA204=1,$F204&amp;$AB204,$G204),IF(OR(AO$3=$D204,AO$3=$AC204,AO$3=$AE204),"",IF(AO$3=$AD204,$F204&amp;"R",AO203))))</f>
        <v>wR</v>
      </c>
      <c r="AP204" s="11" t="str">
        <f aca="false">IF($P204=0,AP203,IF(AP$3=$E204,IF($AA204=1,$F204&amp;$AB204,$G204),IF(OR(AP$3=$D204,AP$3=$AC204,AP$3=$AE204),"",IF(AP$3=$AD204,$F204&amp;"R",AP203))))</f>
        <v>wP</v>
      </c>
      <c r="AQ204" s="11" t="str">
        <f aca="false">IF($P204=0,AQ203,IF(AQ$3=$E204,IF($AA204=1,$F204&amp;$AB204,$G204),IF(OR(AQ$3=$D204,AQ$3=$AC204,AQ$3=$AE204),"",IF(AQ$3=$AD204,$F204&amp;"R",AQ203))))</f>
        <v>wP</v>
      </c>
      <c r="AR204" s="11" t="str">
        <f aca="false">IF($P204=0,AR203,IF(AR$3=$E204,IF($AA204=1,$F204&amp;$AB204,$G204),IF(OR(AR$3=$D204,AR$3=$AC204,AR$3=$AE204),"",IF(AR$3=$AD204,$F204&amp;"R",AR203))))</f>
        <v>wP</v>
      </c>
      <c r="AS204" s="11" t="str">
        <f aca="false">IF($P204=0,AS203,IF(AS$3=$E204,IF($AA204=1,$F204&amp;$AB204,$G204),IF(OR(AS$3=$D204,AS$3=$AC204,AS$3=$AE204),"",IF(AS$3=$AD204,$F204&amp;"R",AS203))))</f>
        <v>wP</v>
      </c>
      <c r="AT204" s="11" t="str">
        <f aca="false">IF($P204=0,AT203,IF(AT$3=$E204,IF($AA204=1,$F204&amp;$AB204,$G204),IF(OR(AT$3=$D204,AT$3=$AC204,AT$3=$AE204),"",IF(AT$3=$AD204,$F204&amp;"R",AT203))))</f>
        <v>wP</v>
      </c>
      <c r="AU204" s="11" t="str">
        <f aca="false">IF($P204=0,AU203,IF(AU$3=$E204,IF($AA204=1,$F204&amp;$AB204,$G204),IF(OR(AU$3=$D204,AU$3=$AC204,AU$3=$AE204),"",IF(AU$3=$AD204,$F204&amp;"R",AU203))))</f>
        <v>wP</v>
      </c>
      <c r="AV204" s="11" t="str">
        <f aca="false">IF($P204=0,AV203,IF(AV$3=$E204,IF($AA204=1,$F204&amp;$AB204,$G204),IF(OR(AV$3=$D204,AV$3=$AC204,AV$3=$AE204),"",IF(AV$3=$AD204,$F204&amp;"R",AV203))))</f>
        <v>wP</v>
      </c>
      <c r="AW204" s="11" t="str">
        <f aca="false">IF($P204=0,AW203,IF(AW$3=$E204,IF($AA204=1,$F204&amp;$AB204,$G204),IF(OR(AW$3=$D204,AW$3=$AC204,AW$3=$AE204),"",IF(AW$3=$AD204,$F204&amp;"R",AW203))))</f>
        <v>wP</v>
      </c>
      <c r="AX204" s="11" t="str">
        <f aca="false">IF($P204=0,AX203,IF(AX$3=$E204,IF($AA204=1,$F204&amp;$AB204,$G204),IF(OR(AX$3=$D204,AX$3=$AC204,AX$3=$AE204),"",IF(AX$3=$AD204,$F204&amp;"R",AX203))))</f>
        <v/>
      </c>
      <c r="AY204" s="11" t="str">
        <f aca="false">IF($P204=0,AY203,IF(AY$3=$E204,IF($AA204=1,$F204&amp;$AB204,$G204),IF(OR(AY$3=$D204,AY$3=$AC204,AY$3=$AE204),"",IF(AY$3=$AD204,$F204&amp;"R",AY203))))</f>
        <v/>
      </c>
      <c r="AZ204" s="11" t="str">
        <f aca="false">IF($P204=0,AZ203,IF(AZ$3=$E204,IF($AA204=1,$F204&amp;$AB204,$G204),IF(OR(AZ$3=$D204,AZ$3=$AC204,AZ$3=$AE204),"",IF(AZ$3=$AD204,$F204&amp;"R",AZ203))))</f>
        <v/>
      </c>
      <c r="BA204" s="11" t="str">
        <f aca="false">IF($P204=0,BA203,IF(BA$3=$E204,IF($AA204=1,$F204&amp;$AB204,$G204),IF(OR(BA$3=$D204,BA$3=$AC204,BA$3=$AE204),"",IF(BA$3=$AD204,$F204&amp;"R",BA203))))</f>
        <v/>
      </c>
      <c r="BB204" s="11" t="str">
        <f aca="false">IF($P204=0,BB203,IF(BB$3=$E204,IF($AA204=1,$F204&amp;$AB204,$G204),IF(OR(BB$3=$D204,BB$3=$AC204,BB$3=$AE204),"",IF(BB$3=$AD204,$F204&amp;"R",BB203))))</f>
        <v/>
      </c>
      <c r="BC204" s="11" t="str">
        <f aca="false">IF($P204=0,BC203,IF(BC$3=$E204,IF($AA204=1,$F204&amp;$AB204,$G204),IF(OR(BC$3=$D204,BC$3=$AC204,BC$3=$AE204),"",IF(BC$3=$AD204,$F204&amp;"R",BC203))))</f>
        <v/>
      </c>
      <c r="BD204" s="11" t="str">
        <f aca="false">IF($P204=0,BD203,IF(BD$3=$E204,IF($AA204=1,$F204&amp;$AB204,$G204),IF(OR(BD$3=$D204,BD$3=$AC204,BD$3=$AE204),"",IF(BD$3=$AD204,$F204&amp;"R",BD203))))</f>
        <v/>
      </c>
      <c r="BE204" s="11" t="str">
        <f aca="false">IF($P204=0,BE203,IF(BE$3=$E204,IF($AA204=1,$F204&amp;$AB204,$G204),IF(OR(BE$3=$D204,BE$3=$AC204,BE$3=$AE204),"",IF(BE$3=$AD204,$F204&amp;"R",BE203))))</f>
        <v/>
      </c>
      <c r="BF204" s="11" t="str">
        <f aca="false">IF($P204=0,BF203,IF(BF$3=$E204,IF($AA204=1,$F204&amp;$AB204,$G204),IF(OR(BF$3=$D204,BF$3=$AC204,BF$3=$AE204),"",IF(BF$3=$AD204,$F204&amp;"R",BF203))))</f>
        <v/>
      </c>
      <c r="BG204" s="11" t="str">
        <f aca="false">IF($P204=0,BG203,IF(BG$3=$E204,IF($AA204=1,$F204&amp;$AB204,$G204),IF(OR(BG$3=$D204,BG$3=$AC204,BG$3=$AE204),"",IF(BG$3=$AD204,$F204&amp;"R",BG203))))</f>
        <v/>
      </c>
      <c r="BH204" s="11" t="str">
        <f aca="false">IF($P204=0,BH203,IF(BH$3=$E204,IF($AA204=1,$F204&amp;$AB204,$G204),IF(OR(BH$3=$D204,BH$3=$AC204,BH$3=$AE204),"",IF(BH$3=$AD204,$F204&amp;"R",BH203))))</f>
        <v/>
      </c>
      <c r="BI204" s="11" t="str">
        <f aca="false">IF($P204=0,BI203,IF(BI$3=$E204,IF($AA204=1,$F204&amp;$AB204,$G204),IF(OR(BI$3=$D204,BI$3=$AC204,BI$3=$AE204),"",IF(BI$3=$AD204,$F204&amp;"R",BI203))))</f>
        <v/>
      </c>
      <c r="BJ204" s="11" t="str">
        <f aca="false">IF($P204=0,BJ203,IF(BJ$3=$E204,IF($AA204=1,$F204&amp;$AB204,$G204),IF(OR(BJ$3=$D204,BJ$3=$AC204,BJ$3=$AE204),"",IF(BJ$3=$AD204,$F204&amp;"R",BJ203))))</f>
        <v/>
      </c>
      <c r="BK204" s="11" t="str">
        <f aca="false">IF($P204=0,BK203,IF(BK$3=$E204,IF($AA204=1,$F204&amp;$AB204,$G204),IF(OR(BK$3=$D204,BK$3=$AC204,BK$3=$AE204),"",IF(BK$3=$AD204,$F204&amp;"R",BK203))))</f>
        <v/>
      </c>
      <c r="BL204" s="11" t="str">
        <f aca="false">IF($P204=0,BL203,IF(BL$3=$E204,IF($AA204=1,$F204&amp;$AB204,$G204),IF(OR(BL$3=$D204,BL$3=$AC204,BL$3=$AE204),"",IF(BL$3=$AD204,$F204&amp;"R",BL203))))</f>
        <v/>
      </c>
      <c r="BM204" s="11" t="str">
        <f aca="false">IF($P204=0,BM203,IF(BM$3=$E204,IF($AA204=1,$F204&amp;$AB204,$G204),IF(OR(BM$3=$D204,BM$3=$AC204,BM$3=$AE204),"",IF(BM$3=$AD204,$F204&amp;"R",BM203))))</f>
        <v/>
      </c>
      <c r="BN204" s="11" t="str">
        <f aca="false">IF($P204=0,BN203,IF(BN$3=$E204,IF($AA204=1,$F204&amp;$AB204,$G204),IF(OR(BN$3=$D204,BN$3=$AC204,BN$3=$AE204),"",IF(BN$3=$AD204,$F204&amp;"R",BN203))))</f>
        <v/>
      </c>
      <c r="BO204" s="11" t="str">
        <f aca="false">IF($P204=0,BO203,IF(BO$3=$E204,IF($AA204=1,$F204&amp;$AB204,$G204),IF(OR(BO$3=$D204,BO$3=$AC204,BO$3=$AE204),"",IF(BO$3=$AD204,$F204&amp;"R",BO203))))</f>
        <v/>
      </c>
      <c r="BP204" s="11" t="str">
        <f aca="false">IF($P204=0,BP203,IF(BP$3=$E204,IF($AA204=1,$F204&amp;$AB204,$G204),IF(OR(BP$3=$D204,BP$3=$AC204,BP$3=$AE204),"",IF(BP$3=$AD204,$F204&amp;"R",BP203))))</f>
        <v/>
      </c>
      <c r="BQ204" s="11" t="str">
        <f aca="false">IF($P204=0,BQ203,IF(BQ$3=$E204,IF($AA204=1,$F204&amp;$AB204,$G204),IF(OR(BQ$3=$D204,BQ$3=$AC204,BQ$3=$AE204),"",IF(BQ$3=$AD204,$F204&amp;"R",BQ203))))</f>
        <v/>
      </c>
      <c r="BR204" s="11" t="str">
        <f aca="false">IF($P204=0,BR203,IF(BR$3=$E204,IF($AA204=1,$F204&amp;$AB204,$G204),IF(OR(BR$3=$D204,BR$3=$AC204,BR$3=$AE204),"",IF(BR$3=$AD204,$F204&amp;"R",BR203))))</f>
        <v/>
      </c>
      <c r="BS204" s="11" t="str">
        <f aca="false">IF($P204=0,BS203,IF(BS$3=$E204,IF($AA204=1,$F204&amp;$AB204,$G204),IF(OR(BS$3=$D204,BS$3=$AC204,BS$3=$AE204),"",IF(BS$3=$AD204,$F204&amp;"R",BS203))))</f>
        <v/>
      </c>
      <c r="BT204" s="11" t="str">
        <f aca="false">IF($P204=0,BT203,IF(BT$3=$E204,IF($AA204=1,$F204&amp;$AB204,$G204),IF(OR(BT$3=$D204,BT$3=$AC204,BT$3=$AE204),"",IF(BT$3=$AD204,$F204&amp;"R",BT203))))</f>
        <v/>
      </c>
      <c r="BU204" s="11" t="str">
        <f aca="false">IF($P204=0,BU203,IF(BU$3=$E204,IF($AA204=1,$F204&amp;$AB204,$G204),IF(OR(BU$3=$D204,BU$3=$AC204,BU$3=$AE204),"",IF(BU$3=$AD204,$F204&amp;"R",BU203))))</f>
        <v/>
      </c>
      <c r="BV204" s="11" t="str">
        <f aca="false">IF($P204=0,BV203,IF(BV$3=$E204,IF($AA204=1,$F204&amp;$AB204,$G204),IF(OR(BV$3=$D204,BV$3=$AC204,BV$3=$AE204),"",IF(BV$3=$AD204,$F204&amp;"R",BV203))))</f>
        <v/>
      </c>
      <c r="BW204" s="11" t="str">
        <f aca="false">IF($P204=0,BW203,IF(BW$3=$E204,IF($AA204=1,$F204&amp;$AB204,$G204),IF(OR(BW$3=$D204,BW$3=$AC204,BW$3=$AE204),"",IF(BW$3=$AD204,$F204&amp;"R",BW203))))</f>
        <v/>
      </c>
      <c r="BX204" s="11" t="str">
        <f aca="false">IF($P204=0,BX203,IF(BX$3=$E204,IF($AA204=1,$F204&amp;$AB204,$G204),IF(OR(BX$3=$D204,BX$3=$AC204,BX$3=$AE204),"",IF(BX$3=$AD204,$F204&amp;"R",BX203))))</f>
        <v/>
      </c>
      <c r="BY204" s="11" t="str">
        <f aca="false">IF($P204=0,BY203,IF(BY$3=$E204,IF($AA204=1,$F204&amp;$AB204,$G204),IF(OR(BY$3=$D204,BY$3=$AC204,BY$3=$AE204),"",IF(BY$3=$AD204,$F204&amp;"R",BY203))))</f>
        <v/>
      </c>
      <c r="BZ204" s="11" t="str">
        <f aca="false">IF($P204=0,BZ203,IF(BZ$3=$E204,IF($AA204=1,$F204&amp;$AB204,$G204),IF(OR(BZ$3=$D204,BZ$3=$AC204,BZ$3=$AE204),"",IF(BZ$3=$AD204,$F204&amp;"R",BZ203))))</f>
        <v/>
      </c>
      <c r="CA204" s="11" t="str">
        <f aca="false">IF($P204=0,CA203,IF(CA$3=$E204,IF($AA204=1,$F204&amp;$AB204,$G204),IF(OR(CA$3=$D204,CA$3=$AC204,CA$3=$AE204),"",IF(CA$3=$AD204,$F204&amp;"R",CA203))))</f>
        <v/>
      </c>
      <c r="CB204" s="11" t="str">
        <f aca="false">IF($P204=0,CB203,IF(CB$3=$E204,IF($AA204=1,$F204&amp;$AB204,$G204),IF(OR(CB$3=$D204,CB$3=$AC204,CB$3=$AE204),"",IF(CB$3=$AD204,$F204&amp;"R",CB203))))</f>
        <v/>
      </c>
      <c r="CC204" s="11" t="str">
        <f aca="false">IF($P204=0,CC203,IF(CC$3=$E204,IF($AA204=1,$F204&amp;$AB204,$G204),IF(OR(CC$3=$D204,CC$3=$AC204,CC$3=$AE204),"",IF(CC$3=$AD204,$F204&amp;"R",CC203))))</f>
        <v/>
      </c>
      <c r="CD204" s="11" t="str">
        <f aca="false">IF($P204=0,CD203,IF(CD$3=$E204,IF($AA204=1,$F204&amp;$AB204,$G204),IF(OR(CD$3=$D204,CD$3=$AC204,CD$3=$AE204),"",IF(CD$3=$AD204,$F204&amp;"R",CD203))))</f>
        <v>bP</v>
      </c>
      <c r="CE204" s="11" t="str">
        <f aca="false">IF($P204=0,CE203,IF(CE$3=$E204,IF($AA204=1,$F204&amp;$AB204,$G204),IF(OR(CE$3=$D204,CE$3=$AC204,CE$3=$AE204),"",IF(CE$3=$AD204,$F204&amp;"R",CE203))))</f>
        <v>bP</v>
      </c>
      <c r="CF204" s="11" t="str">
        <f aca="false">IF($P204=0,CF203,IF(CF$3=$E204,IF($AA204=1,$F204&amp;$AB204,$G204),IF(OR(CF$3=$D204,CF$3=$AC204,CF$3=$AE204),"",IF(CF$3=$AD204,$F204&amp;"R",CF203))))</f>
        <v>bP</v>
      </c>
      <c r="CG204" s="11" t="str">
        <f aca="false">IF($P204=0,CG203,IF(CG$3=$E204,IF($AA204=1,$F204&amp;$AB204,$G204),IF(OR(CG$3=$D204,CG$3=$AC204,CG$3=$AE204),"",IF(CG$3=$AD204,$F204&amp;"R",CG203))))</f>
        <v>bP</v>
      </c>
      <c r="CH204" s="11" t="str">
        <f aca="false">IF($P204=0,CH203,IF(CH$3=$E204,IF($AA204=1,$F204&amp;$AB204,$G204),IF(OR(CH$3=$D204,CH$3=$AC204,CH$3=$AE204),"",IF(CH$3=$AD204,$F204&amp;"R",CH203))))</f>
        <v>bP</v>
      </c>
      <c r="CI204" s="11" t="str">
        <f aca="false">IF($P204=0,CI203,IF(CI$3=$E204,IF($AA204=1,$F204&amp;$AB204,$G204),IF(OR(CI$3=$D204,CI$3=$AC204,CI$3=$AE204),"",IF(CI$3=$AD204,$F204&amp;"R",CI203))))</f>
        <v>bP</v>
      </c>
      <c r="CJ204" s="11" t="str">
        <f aca="false">IF($P204=0,CJ203,IF(CJ$3=$E204,IF($AA204=1,$F204&amp;$AB204,$G204),IF(OR(CJ$3=$D204,CJ$3=$AC204,CJ$3=$AE204),"",IF(CJ$3=$AD204,$F204&amp;"R",CJ203))))</f>
        <v>bP</v>
      </c>
      <c r="CK204" s="11" t="str">
        <f aca="false">IF($P204=0,CK203,IF(CK$3=$E204,IF($AA204=1,$F204&amp;$AB204,$G204),IF(OR(CK$3=$D204,CK$3=$AC204,CK$3=$AE204),"",IF(CK$3=$AD204,$F204&amp;"R",CK203))))</f>
        <v>bP</v>
      </c>
      <c r="CL204" s="11" t="str">
        <f aca="false">IF($P204=0,CL203,IF(CL$3=$E204,IF($AA204=1,$F204&amp;$AB204,$G204),IF(OR(CL$3=$D204,CL$3=$AC204,CL$3=$AE204),"",IF(CL$3=$AD204,$F204&amp;"R",CL203))))</f>
        <v>bR</v>
      </c>
      <c r="CM204" s="11" t="str">
        <f aca="false">IF($P204=0,CM203,IF(CM$3=$E204,IF($AA204=1,$F204&amp;$AB204,$G204),IF(OR(CM$3=$D204,CM$3=$AC204,CM$3=$AE204),"",IF(CM$3=$AD204,$F204&amp;"R",CM203))))</f>
        <v>bN</v>
      </c>
      <c r="CN204" s="11" t="str">
        <f aca="false">IF($P204=0,CN203,IF(CN$3=$E204,IF($AA204=1,$F204&amp;$AB204,$G204),IF(OR(CN$3=$D204,CN$3=$AC204,CN$3=$AE204),"",IF(CN$3=$AD204,$F204&amp;"R",CN203))))</f>
        <v>bB</v>
      </c>
      <c r="CO204" s="11" t="str">
        <f aca="false">IF($P204=0,CO203,IF(CO$3=$E204,IF($AA204=1,$F204&amp;$AB204,$G204),IF(OR(CO$3=$D204,CO$3=$AC204,CO$3=$AE204),"",IF(CO$3=$AD204,$F204&amp;"R",CO203))))</f>
        <v>bQ</v>
      </c>
      <c r="CP204" s="11" t="str">
        <f aca="false">IF($P204=0,CP203,IF(CP$3=$E204,IF($AA204=1,$F204&amp;$AB204,$G204),IF(OR(CP$3=$D204,CP$3=$AC204,CP$3=$AE204),"",IF(CP$3=$AD204,$F204&amp;"R",CP203))))</f>
        <v>bK</v>
      </c>
      <c r="CQ204" s="11" t="str">
        <f aca="false">IF($P204=0,CQ203,IF(CQ$3=$E204,IF($AA204=1,$F204&amp;$AB204,$G204),IF(OR(CQ$3=$D204,CQ$3=$AC204,CQ$3=$AE204),"",IF(CQ$3=$AD204,$F204&amp;"R",CQ203))))</f>
        <v>bB</v>
      </c>
      <c r="CR204" s="11" t="str">
        <f aca="false">IF($P204=0,CR203,IF(CR$3=$E204,IF($AA204=1,$F204&amp;$AB204,$G204),IF(OR(CR$3=$D204,CR$3=$AC204,CR$3=$AE204),"",IF(CR$3=$AD204,$F204&amp;"R",CR203))))</f>
        <v>bN</v>
      </c>
      <c r="CS204" s="11" t="str">
        <f aca="false">IF($P204=0,CS203,IF(CS$3=$E204,IF($AA204=1,$F204&amp;$AB204,$G204),IF(OR(CS$3=$D204,CS$3=$AC204,CS$3=$AE204),"",IF(CS$3=$AD204,$F204&amp;"R",CS203))))</f>
        <v>bR</v>
      </c>
      <c r="CT204" s="11"/>
      <c r="CU204" s="11"/>
      <c r="CV204" s="11"/>
    </row>
    <row r="205" customFormat="false" ht="15" hidden="false" customHeight="false" outlineLevel="0" collapsed="false">
      <c r="A205" s="11" t="n">
        <v>200</v>
      </c>
      <c r="B205" s="11" t="str">
        <f aca="false">IF(Chess!$L$209="","",Chess!$L$209&amp;"")</f>
        <v/>
      </c>
      <c r="C205" s="11" t="str">
        <f aca="false">LOWER(SUBSTITUTE(SUBSTITUTE(SUBSTITUTE(SUBSTITUTE(TRIM($B205),"-",""),"=","")," ",""),"x",""))</f>
        <v/>
      </c>
      <c r="D205" s="11" t="n">
        <f aca="false">IF(LEN($C205)&lt;4,0,IFERROR(IF(AND(CODE(MID($C205,1,1))&gt;=97,CODE(MID($C205,1,1))&lt;=104,VALUE(MID($C205,2,1))&gt;=1,VALUE(MID($C205,2,1))&lt;=8),(VALUE(MID($C205,2,1))-1)*8+CODE(MID($C205,1,1))-96,0),0))</f>
        <v>0</v>
      </c>
      <c r="E205" s="11" t="n">
        <f aca="false">IF(LEN($C205)&lt;4,0,IFERROR(IF(AND(CODE(MID($C205,3,1))&gt;=97,CODE(MID($C205,3,1))&lt;=104,VALUE(MID($C205,4,1))&gt;=1,VALUE(MID($C205,4,1))&lt;=8),(VALUE(MID($C205,4,1))-1)*8+CODE(MID($C205,3,1))-96,0),0))</f>
        <v>0</v>
      </c>
      <c r="F205" s="11" t="str">
        <f aca="false">IF(MOD(SUM($P$5:$P204),2)=0,"w","b")</f>
        <v>w</v>
      </c>
      <c r="G205" s="11" t="str">
        <f aca="false">IF($D205=0,"",INDEX($AH204:$CS204,1,$D205)&amp;"")</f>
        <v/>
      </c>
      <c r="H205" s="11" t="str">
        <f aca="false">IF($E205=0,"",INDEX($AH204:$CS204,1,$E205)&amp;"")</f>
        <v/>
      </c>
      <c r="I205" s="11" t="n">
        <f aca="false">IF(OR($D205=0,$E205=0),0,MOD($E205-1,8)-MOD($D205-1,8))</f>
        <v>0</v>
      </c>
      <c r="J205" s="11" t="n">
        <f aca="false">IF(OR($D205=0,$E205=0),0,INT(($E205-1)/8)-INT(($D205-1)/8))</f>
        <v>0</v>
      </c>
      <c r="K205" s="11" t="str">
        <f aca="false">IF($G205="","",RIGHT($G205,1))</f>
        <v/>
      </c>
      <c r="L205" s="11" t="n">
        <f aca="false">IF(OR($D205=0,$E205=0),0,SUMPRODUCT(($AH$3:$CS$3&gt;MIN($D205,$E205))*($AH$3:$CS$3&lt;MAX($D205,$E205))*(MOD($AH$3:$CS$3-MIN($D205,$E205),MAX(1,ABS(SIGN($J205)*8+SIGN($I205))))=0)*($AH204:$CS204&lt;&gt;"")))</f>
        <v>0</v>
      </c>
      <c r="M205" s="11" t="n">
        <f aca="false">IF($K205&lt;&gt;"K",0,IFERROR(--AND($J205=0,ABS($I205)=2,$D205=IF($F205="w",5,61),IF($F205="w",$S204,$V204)=0,IF($I205=2,AND(IF($F205="w",$U204,$X204)=0,INDEX($AH204:$CS204,1,$D205+1)&amp;""="",INDEX($AH204:$CS204,1,$D205+2)&amp;""=""),AND(IF($F205="w",$T204,$W204)=0,INDEX($AH204:$CS204,1,$D205-1)&amp;""="",INDEX($AH204:$CS204,1,$D205-2)&amp;""="",INDEX($AH204:$CS204,1,$D205-3)&amp;""=""))),0))</f>
        <v>0</v>
      </c>
      <c r="N205" s="11" t="n">
        <f aca="false">IF($K205&lt;&gt;"P",0,IFERROR(--OR(AND($I205=0,$J205=IF($F205="w",1,-1),$H205=""),AND($I205=0,$J205=2*IF($F205="w",1,-1),$H205="",INT(($D205-1)/8)=IF($F205="w",1,6),INDEX($AH204:$CS204,1,MAX(1,MIN(64,$D205+8*IF($F205="w",1,-1))))&amp;""=""),AND(ABS($I205)=1,$J205=IF($F205="w",1,-1),$H205&lt;&gt;""),AND(ABS($I205)=1,$J205=IF($F205="w",1,-1),$H205="",$R204&gt;0,$E205=$R204)),0))</f>
        <v>0</v>
      </c>
      <c r="O205" s="11" t="n">
        <f aca="false">IF(OR($D205=0,$E205=0,$G205=""),0,IF($K205="N",--OR(AND(ABS($I205)=1,ABS($J205)=2),AND(ABS($I205)=2,ABS($J205)=1)),IF($K205="B",--AND(ABS($I205)=ABS($J205),$I205&lt;&gt;0,$L205=0),IF($K205="R",--AND(OR($I205=0,$J205=0),OR($I205&lt;&gt;0,$J205&lt;&gt;0),$L205=0),IF($K205="Q",--AND(OR(AND(ABS($I205)=ABS($J205),$I205&lt;&gt;0),AND(OR($I205=0,$J205=0),OR($I205&lt;&gt;0,$J205&lt;&gt;0))),$L205=0),IF($K205="K",--OR(MAX(ABS($I205),ABS($J205))=1,$M205=1),$N205))))))</f>
        <v>0</v>
      </c>
      <c r="P205" s="11" t="n">
        <f aca="false">IF($Q205="OK",1,0)</f>
        <v>0</v>
      </c>
      <c r="Q205" s="11" t="str">
        <f aca="false">IF($B205="","",IF(OR(COUNTIF($AH204:$CS204,"wK")=0,COUNTIF($AH204:$CS204,"bK")=0),"Game is over",IF(OR($D205=0,$E205=0),"Use the format e2e4",IF($G205="","No piece on that square",IF(LEFT($G205,1)&lt;&gt;$F205,"Not your piece ("&amp;IF($F205="w","White","Black")&amp;" to move)",IF($D205=$E205,"Piece must move",IF(AND($H205&lt;&gt;"",LEFT($H205,1)=$F205),"Cannot capture your own piece",IF($O205=0,"Illegal move for that piece (or path blocked)","OK"))))))))</f>
        <v/>
      </c>
      <c r="R205" s="11" t="n">
        <f aca="false">IF($P205=1,IF(AND($K205="P",ABS($J205)=2),($D205+$E205)/2,0),$R204)</f>
        <v>0</v>
      </c>
      <c r="S205" s="12" t="b">
        <f aca="false">--OR($S204=1,AND($P205=1,OR($D205=5,$E205=5)))</f>
        <v>0</v>
      </c>
      <c r="T205" s="12" t="b">
        <f aca="false">--OR($T204=1,AND($P205=1,OR($D205=1,$E205=1)))</f>
        <v>0</v>
      </c>
      <c r="U205" s="12" t="b">
        <f aca="false">--OR($U204=1,AND($P205=1,OR($D205=8,$E205=8)))</f>
        <v>0</v>
      </c>
      <c r="V205" s="12" t="b">
        <f aca="false">--OR($V204=1,AND($P205=1,OR($D205=61,$E205=61)))</f>
        <v>0</v>
      </c>
      <c r="W205" s="12" t="b">
        <f aca="false">--OR($W204=1,AND($P205=1,OR($D205=57,$E205=57)))</f>
        <v>0</v>
      </c>
      <c r="X205" s="12" t="b">
        <f aca="false">--OR($X204=1,AND($P205=1,OR($D205=64,$E205=64)))</f>
        <v>0</v>
      </c>
      <c r="Y205" s="12" t="b">
        <f aca="false">--AND($P205=1,$K205="K",ABS($I205)=2)</f>
        <v>0</v>
      </c>
      <c r="Z205" s="12" t="b">
        <f aca="false">--AND($P205=1,$K205="P",ABS($I205)=1,$H205="")</f>
        <v>0</v>
      </c>
      <c r="AA205" s="12" t="b">
        <f aca="false">--AND($P205=1,$K205="P",INT(($E205-1)/8)=IF($F205="w",7,0))</f>
        <v>0</v>
      </c>
      <c r="AB205" s="11" t="str">
        <f aca="false">IF(LEN($C205)&gt;=5,IF(ISNUMBER(FIND(MID($C205,5,1),"qrbn")),UPPER(MID($C205,5,1)),"Q"),"Q")</f>
        <v>Q</v>
      </c>
      <c r="AC205" s="11" t="n">
        <f aca="false">IF($Y205=1,IF($I205=2,$D205+3,$D205-4),0)</f>
        <v>0</v>
      </c>
      <c r="AD205" s="11" t="n">
        <f aca="false">IF($Y205=1,IF($I205=2,$D205+1,$D205-1),0)</f>
        <v>0</v>
      </c>
      <c r="AE205" s="11" t="n">
        <f aca="false">IF($Z205=1,$E205-8*IF($F205="w",1,-1),0)</f>
        <v>0</v>
      </c>
      <c r="AF205" s="11" t="str">
        <f aca="false">IF($B205="","",IF($P205=1,LOWER(INDEX($CV$2:$CV$13,MATCH($G205,$CU$2:$CU$13,0)))&amp;" "&amp;MID("abcdefgh",MOD($D205-1,8)+1,1)&amp;(INT(($D205-1)/8)+1)&amp;"→"&amp;MID("abcdefgh",MOD($E205-1,8)+1,1)&amp;(INT(($E205-1)/8)+1)&amp;IF(OR($H205&lt;&gt;"",$Z205=1)," ×","")&amp;IF($Y205=1," castles","")&amp;IF($Z205=1," e.p.","")&amp;IF($AA205=1," =" &amp;LOWER(INDEX($CV$2:$CV$13,MATCH($F205&amp;$AB205,$CU$2:$CU$13,0))),""),"X "&amp;$Q205))</f>
        <v/>
      </c>
      <c r="AG205" s="11"/>
      <c r="AH205" s="11" t="str">
        <f aca="false">IF($P205=0,AH204,IF(AH$3=$E205,IF($AA205=1,$F205&amp;$AB205,$G205),IF(OR(AH$3=$D205,AH$3=$AC205,AH$3=$AE205),"",IF(AH$3=$AD205,$F205&amp;"R",AH204))))</f>
        <v>wR</v>
      </c>
      <c r="AI205" s="11" t="str">
        <f aca="false">IF($P205=0,AI204,IF(AI$3=$E205,IF($AA205=1,$F205&amp;$AB205,$G205),IF(OR(AI$3=$D205,AI$3=$AC205,AI$3=$AE205),"",IF(AI$3=$AD205,$F205&amp;"R",AI204))))</f>
        <v>wN</v>
      </c>
      <c r="AJ205" s="11" t="str">
        <f aca="false">IF($P205=0,AJ204,IF(AJ$3=$E205,IF($AA205=1,$F205&amp;$AB205,$G205),IF(OR(AJ$3=$D205,AJ$3=$AC205,AJ$3=$AE205),"",IF(AJ$3=$AD205,$F205&amp;"R",AJ204))))</f>
        <v>wB</v>
      </c>
      <c r="AK205" s="11" t="str">
        <f aca="false">IF($P205=0,AK204,IF(AK$3=$E205,IF($AA205=1,$F205&amp;$AB205,$G205),IF(OR(AK$3=$D205,AK$3=$AC205,AK$3=$AE205),"",IF(AK$3=$AD205,$F205&amp;"R",AK204))))</f>
        <v>wQ</v>
      </c>
      <c r="AL205" s="11" t="str">
        <f aca="false">IF($P205=0,AL204,IF(AL$3=$E205,IF($AA205=1,$F205&amp;$AB205,$G205),IF(OR(AL$3=$D205,AL$3=$AC205,AL$3=$AE205),"",IF(AL$3=$AD205,$F205&amp;"R",AL204))))</f>
        <v>wK</v>
      </c>
      <c r="AM205" s="11" t="str">
        <f aca="false">IF($P205=0,AM204,IF(AM$3=$E205,IF($AA205=1,$F205&amp;$AB205,$G205),IF(OR(AM$3=$D205,AM$3=$AC205,AM$3=$AE205),"",IF(AM$3=$AD205,$F205&amp;"R",AM204))))</f>
        <v>wB</v>
      </c>
      <c r="AN205" s="11" t="str">
        <f aca="false">IF($P205=0,AN204,IF(AN$3=$E205,IF($AA205=1,$F205&amp;$AB205,$G205),IF(OR(AN$3=$D205,AN$3=$AC205,AN$3=$AE205),"",IF(AN$3=$AD205,$F205&amp;"R",AN204))))</f>
        <v>wN</v>
      </c>
      <c r="AO205" s="11" t="str">
        <f aca="false">IF($P205=0,AO204,IF(AO$3=$E205,IF($AA205=1,$F205&amp;$AB205,$G205),IF(OR(AO$3=$D205,AO$3=$AC205,AO$3=$AE205),"",IF(AO$3=$AD205,$F205&amp;"R",AO204))))</f>
        <v>wR</v>
      </c>
      <c r="AP205" s="11" t="str">
        <f aca="false">IF($P205=0,AP204,IF(AP$3=$E205,IF($AA205=1,$F205&amp;$AB205,$G205),IF(OR(AP$3=$D205,AP$3=$AC205,AP$3=$AE205),"",IF(AP$3=$AD205,$F205&amp;"R",AP204))))</f>
        <v>wP</v>
      </c>
      <c r="AQ205" s="11" t="str">
        <f aca="false">IF($P205=0,AQ204,IF(AQ$3=$E205,IF($AA205=1,$F205&amp;$AB205,$G205),IF(OR(AQ$3=$D205,AQ$3=$AC205,AQ$3=$AE205),"",IF(AQ$3=$AD205,$F205&amp;"R",AQ204))))</f>
        <v>wP</v>
      </c>
      <c r="AR205" s="11" t="str">
        <f aca="false">IF($P205=0,AR204,IF(AR$3=$E205,IF($AA205=1,$F205&amp;$AB205,$G205),IF(OR(AR$3=$D205,AR$3=$AC205,AR$3=$AE205),"",IF(AR$3=$AD205,$F205&amp;"R",AR204))))</f>
        <v>wP</v>
      </c>
      <c r="AS205" s="11" t="str">
        <f aca="false">IF($P205=0,AS204,IF(AS$3=$E205,IF($AA205=1,$F205&amp;$AB205,$G205),IF(OR(AS$3=$D205,AS$3=$AC205,AS$3=$AE205),"",IF(AS$3=$AD205,$F205&amp;"R",AS204))))</f>
        <v>wP</v>
      </c>
      <c r="AT205" s="11" t="str">
        <f aca="false">IF($P205=0,AT204,IF(AT$3=$E205,IF($AA205=1,$F205&amp;$AB205,$G205),IF(OR(AT$3=$D205,AT$3=$AC205,AT$3=$AE205),"",IF(AT$3=$AD205,$F205&amp;"R",AT204))))</f>
        <v>wP</v>
      </c>
      <c r="AU205" s="11" t="str">
        <f aca="false">IF($P205=0,AU204,IF(AU$3=$E205,IF($AA205=1,$F205&amp;$AB205,$G205),IF(OR(AU$3=$D205,AU$3=$AC205,AU$3=$AE205),"",IF(AU$3=$AD205,$F205&amp;"R",AU204))))</f>
        <v>wP</v>
      </c>
      <c r="AV205" s="11" t="str">
        <f aca="false">IF($P205=0,AV204,IF(AV$3=$E205,IF($AA205=1,$F205&amp;$AB205,$G205),IF(OR(AV$3=$D205,AV$3=$AC205,AV$3=$AE205),"",IF(AV$3=$AD205,$F205&amp;"R",AV204))))</f>
        <v>wP</v>
      </c>
      <c r="AW205" s="11" t="str">
        <f aca="false">IF($P205=0,AW204,IF(AW$3=$E205,IF($AA205=1,$F205&amp;$AB205,$G205),IF(OR(AW$3=$D205,AW$3=$AC205,AW$3=$AE205),"",IF(AW$3=$AD205,$F205&amp;"R",AW204))))</f>
        <v>wP</v>
      </c>
      <c r="AX205" s="11" t="str">
        <f aca="false">IF($P205=0,AX204,IF(AX$3=$E205,IF($AA205=1,$F205&amp;$AB205,$G205),IF(OR(AX$3=$D205,AX$3=$AC205,AX$3=$AE205),"",IF(AX$3=$AD205,$F205&amp;"R",AX204))))</f>
        <v/>
      </c>
      <c r="AY205" s="11" t="str">
        <f aca="false">IF($P205=0,AY204,IF(AY$3=$E205,IF($AA205=1,$F205&amp;$AB205,$G205),IF(OR(AY$3=$D205,AY$3=$AC205,AY$3=$AE205),"",IF(AY$3=$AD205,$F205&amp;"R",AY204))))</f>
        <v/>
      </c>
      <c r="AZ205" s="11" t="str">
        <f aca="false">IF($P205=0,AZ204,IF(AZ$3=$E205,IF($AA205=1,$F205&amp;$AB205,$G205),IF(OR(AZ$3=$D205,AZ$3=$AC205,AZ$3=$AE205),"",IF(AZ$3=$AD205,$F205&amp;"R",AZ204))))</f>
        <v/>
      </c>
      <c r="BA205" s="11" t="str">
        <f aca="false">IF($P205=0,BA204,IF(BA$3=$E205,IF($AA205=1,$F205&amp;$AB205,$G205),IF(OR(BA$3=$D205,BA$3=$AC205,BA$3=$AE205),"",IF(BA$3=$AD205,$F205&amp;"R",BA204))))</f>
        <v/>
      </c>
      <c r="BB205" s="11" t="str">
        <f aca="false">IF($P205=0,BB204,IF(BB$3=$E205,IF($AA205=1,$F205&amp;$AB205,$G205),IF(OR(BB$3=$D205,BB$3=$AC205,BB$3=$AE205),"",IF(BB$3=$AD205,$F205&amp;"R",BB204))))</f>
        <v/>
      </c>
      <c r="BC205" s="11" t="str">
        <f aca="false">IF($P205=0,BC204,IF(BC$3=$E205,IF($AA205=1,$F205&amp;$AB205,$G205),IF(OR(BC$3=$D205,BC$3=$AC205,BC$3=$AE205),"",IF(BC$3=$AD205,$F205&amp;"R",BC204))))</f>
        <v/>
      </c>
      <c r="BD205" s="11" t="str">
        <f aca="false">IF($P205=0,BD204,IF(BD$3=$E205,IF($AA205=1,$F205&amp;$AB205,$G205),IF(OR(BD$3=$D205,BD$3=$AC205,BD$3=$AE205),"",IF(BD$3=$AD205,$F205&amp;"R",BD204))))</f>
        <v/>
      </c>
      <c r="BE205" s="11" t="str">
        <f aca="false">IF($P205=0,BE204,IF(BE$3=$E205,IF($AA205=1,$F205&amp;$AB205,$G205),IF(OR(BE$3=$D205,BE$3=$AC205,BE$3=$AE205),"",IF(BE$3=$AD205,$F205&amp;"R",BE204))))</f>
        <v/>
      </c>
      <c r="BF205" s="11" t="str">
        <f aca="false">IF($P205=0,BF204,IF(BF$3=$E205,IF($AA205=1,$F205&amp;$AB205,$G205),IF(OR(BF$3=$D205,BF$3=$AC205,BF$3=$AE205),"",IF(BF$3=$AD205,$F205&amp;"R",BF204))))</f>
        <v/>
      </c>
      <c r="BG205" s="11" t="str">
        <f aca="false">IF($P205=0,BG204,IF(BG$3=$E205,IF($AA205=1,$F205&amp;$AB205,$G205),IF(OR(BG$3=$D205,BG$3=$AC205,BG$3=$AE205),"",IF(BG$3=$AD205,$F205&amp;"R",BG204))))</f>
        <v/>
      </c>
      <c r="BH205" s="11" t="str">
        <f aca="false">IF($P205=0,BH204,IF(BH$3=$E205,IF($AA205=1,$F205&amp;$AB205,$G205),IF(OR(BH$3=$D205,BH$3=$AC205,BH$3=$AE205),"",IF(BH$3=$AD205,$F205&amp;"R",BH204))))</f>
        <v/>
      </c>
      <c r="BI205" s="11" t="str">
        <f aca="false">IF($P205=0,BI204,IF(BI$3=$E205,IF($AA205=1,$F205&amp;$AB205,$G205),IF(OR(BI$3=$D205,BI$3=$AC205,BI$3=$AE205),"",IF(BI$3=$AD205,$F205&amp;"R",BI204))))</f>
        <v/>
      </c>
      <c r="BJ205" s="11" t="str">
        <f aca="false">IF($P205=0,BJ204,IF(BJ$3=$E205,IF($AA205=1,$F205&amp;$AB205,$G205),IF(OR(BJ$3=$D205,BJ$3=$AC205,BJ$3=$AE205),"",IF(BJ$3=$AD205,$F205&amp;"R",BJ204))))</f>
        <v/>
      </c>
      <c r="BK205" s="11" t="str">
        <f aca="false">IF($P205=0,BK204,IF(BK$3=$E205,IF($AA205=1,$F205&amp;$AB205,$G205),IF(OR(BK$3=$D205,BK$3=$AC205,BK$3=$AE205),"",IF(BK$3=$AD205,$F205&amp;"R",BK204))))</f>
        <v/>
      </c>
      <c r="BL205" s="11" t="str">
        <f aca="false">IF($P205=0,BL204,IF(BL$3=$E205,IF($AA205=1,$F205&amp;$AB205,$G205),IF(OR(BL$3=$D205,BL$3=$AC205,BL$3=$AE205),"",IF(BL$3=$AD205,$F205&amp;"R",BL204))))</f>
        <v/>
      </c>
      <c r="BM205" s="11" t="str">
        <f aca="false">IF($P205=0,BM204,IF(BM$3=$E205,IF($AA205=1,$F205&amp;$AB205,$G205),IF(OR(BM$3=$D205,BM$3=$AC205,BM$3=$AE205),"",IF(BM$3=$AD205,$F205&amp;"R",BM204))))</f>
        <v/>
      </c>
      <c r="BN205" s="11" t="str">
        <f aca="false">IF($P205=0,BN204,IF(BN$3=$E205,IF($AA205=1,$F205&amp;$AB205,$G205),IF(OR(BN$3=$D205,BN$3=$AC205,BN$3=$AE205),"",IF(BN$3=$AD205,$F205&amp;"R",BN204))))</f>
        <v/>
      </c>
      <c r="BO205" s="11" t="str">
        <f aca="false">IF($P205=0,BO204,IF(BO$3=$E205,IF($AA205=1,$F205&amp;$AB205,$G205),IF(OR(BO$3=$D205,BO$3=$AC205,BO$3=$AE205),"",IF(BO$3=$AD205,$F205&amp;"R",BO204))))</f>
        <v/>
      </c>
      <c r="BP205" s="11" t="str">
        <f aca="false">IF($P205=0,BP204,IF(BP$3=$E205,IF($AA205=1,$F205&amp;$AB205,$G205),IF(OR(BP$3=$D205,BP$3=$AC205,BP$3=$AE205),"",IF(BP$3=$AD205,$F205&amp;"R",BP204))))</f>
        <v/>
      </c>
      <c r="BQ205" s="11" t="str">
        <f aca="false">IF($P205=0,BQ204,IF(BQ$3=$E205,IF($AA205=1,$F205&amp;$AB205,$G205),IF(OR(BQ$3=$D205,BQ$3=$AC205,BQ$3=$AE205),"",IF(BQ$3=$AD205,$F205&amp;"R",BQ204))))</f>
        <v/>
      </c>
      <c r="BR205" s="11" t="str">
        <f aca="false">IF($P205=0,BR204,IF(BR$3=$E205,IF($AA205=1,$F205&amp;$AB205,$G205),IF(OR(BR$3=$D205,BR$3=$AC205,BR$3=$AE205),"",IF(BR$3=$AD205,$F205&amp;"R",BR204))))</f>
        <v/>
      </c>
      <c r="BS205" s="11" t="str">
        <f aca="false">IF($P205=0,BS204,IF(BS$3=$E205,IF($AA205=1,$F205&amp;$AB205,$G205),IF(OR(BS$3=$D205,BS$3=$AC205,BS$3=$AE205),"",IF(BS$3=$AD205,$F205&amp;"R",BS204))))</f>
        <v/>
      </c>
      <c r="BT205" s="11" t="str">
        <f aca="false">IF($P205=0,BT204,IF(BT$3=$E205,IF($AA205=1,$F205&amp;$AB205,$G205),IF(OR(BT$3=$D205,BT$3=$AC205,BT$3=$AE205),"",IF(BT$3=$AD205,$F205&amp;"R",BT204))))</f>
        <v/>
      </c>
      <c r="BU205" s="11" t="str">
        <f aca="false">IF($P205=0,BU204,IF(BU$3=$E205,IF($AA205=1,$F205&amp;$AB205,$G205),IF(OR(BU$3=$D205,BU$3=$AC205,BU$3=$AE205),"",IF(BU$3=$AD205,$F205&amp;"R",BU204))))</f>
        <v/>
      </c>
      <c r="BV205" s="11" t="str">
        <f aca="false">IF($P205=0,BV204,IF(BV$3=$E205,IF($AA205=1,$F205&amp;$AB205,$G205),IF(OR(BV$3=$D205,BV$3=$AC205,BV$3=$AE205),"",IF(BV$3=$AD205,$F205&amp;"R",BV204))))</f>
        <v/>
      </c>
      <c r="BW205" s="11" t="str">
        <f aca="false">IF($P205=0,BW204,IF(BW$3=$E205,IF($AA205=1,$F205&amp;$AB205,$G205),IF(OR(BW$3=$D205,BW$3=$AC205,BW$3=$AE205),"",IF(BW$3=$AD205,$F205&amp;"R",BW204))))</f>
        <v/>
      </c>
      <c r="BX205" s="11" t="str">
        <f aca="false">IF($P205=0,BX204,IF(BX$3=$E205,IF($AA205=1,$F205&amp;$AB205,$G205),IF(OR(BX$3=$D205,BX$3=$AC205,BX$3=$AE205),"",IF(BX$3=$AD205,$F205&amp;"R",BX204))))</f>
        <v/>
      </c>
      <c r="BY205" s="11" t="str">
        <f aca="false">IF($P205=0,BY204,IF(BY$3=$E205,IF($AA205=1,$F205&amp;$AB205,$G205),IF(OR(BY$3=$D205,BY$3=$AC205,BY$3=$AE205),"",IF(BY$3=$AD205,$F205&amp;"R",BY204))))</f>
        <v/>
      </c>
      <c r="BZ205" s="11" t="str">
        <f aca="false">IF($P205=0,BZ204,IF(BZ$3=$E205,IF($AA205=1,$F205&amp;$AB205,$G205),IF(OR(BZ$3=$D205,BZ$3=$AC205,BZ$3=$AE205),"",IF(BZ$3=$AD205,$F205&amp;"R",BZ204))))</f>
        <v/>
      </c>
      <c r="CA205" s="11" t="str">
        <f aca="false">IF($P205=0,CA204,IF(CA$3=$E205,IF($AA205=1,$F205&amp;$AB205,$G205),IF(OR(CA$3=$D205,CA$3=$AC205,CA$3=$AE205),"",IF(CA$3=$AD205,$F205&amp;"R",CA204))))</f>
        <v/>
      </c>
      <c r="CB205" s="11" t="str">
        <f aca="false">IF($P205=0,CB204,IF(CB$3=$E205,IF($AA205=1,$F205&amp;$AB205,$G205),IF(OR(CB$3=$D205,CB$3=$AC205,CB$3=$AE205),"",IF(CB$3=$AD205,$F205&amp;"R",CB204))))</f>
        <v/>
      </c>
      <c r="CC205" s="11" t="str">
        <f aca="false">IF($P205=0,CC204,IF(CC$3=$E205,IF($AA205=1,$F205&amp;$AB205,$G205),IF(OR(CC$3=$D205,CC$3=$AC205,CC$3=$AE205),"",IF(CC$3=$AD205,$F205&amp;"R",CC204))))</f>
        <v/>
      </c>
      <c r="CD205" s="11" t="str">
        <f aca="false">IF($P205=0,CD204,IF(CD$3=$E205,IF($AA205=1,$F205&amp;$AB205,$G205),IF(OR(CD$3=$D205,CD$3=$AC205,CD$3=$AE205),"",IF(CD$3=$AD205,$F205&amp;"R",CD204))))</f>
        <v>bP</v>
      </c>
      <c r="CE205" s="11" t="str">
        <f aca="false">IF($P205=0,CE204,IF(CE$3=$E205,IF($AA205=1,$F205&amp;$AB205,$G205),IF(OR(CE$3=$D205,CE$3=$AC205,CE$3=$AE205),"",IF(CE$3=$AD205,$F205&amp;"R",CE204))))</f>
        <v>bP</v>
      </c>
      <c r="CF205" s="11" t="str">
        <f aca="false">IF($P205=0,CF204,IF(CF$3=$E205,IF($AA205=1,$F205&amp;$AB205,$G205),IF(OR(CF$3=$D205,CF$3=$AC205,CF$3=$AE205),"",IF(CF$3=$AD205,$F205&amp;"R",CF204))))</f>
        <v>bP</v>
      </c>
      <c r="CG205" s="11" t="str">
        <f aca="false">IF($P205=0,CG204,IF(CG$3=$E205,IF($AA205=1,$F205&amp;$AB205,$G205),IF(OR(CG$3=$D205,CG$3=$AC205,CG$3=$AE205),"",IF(CG$3=$AD205,$F205&amp;"R",CG204))))</f>
        <v>bP</v>
      </c>
      <c r="CH205" s="11" t="str">
        <f aca="false">IF($P205=0,CH204,IF(CH$3=$E205,IF($AA205=1,$F205&amp;$AB205,$G205),IF(OR(CH$3=$D205,CH$3=$AC205,CH$3=$AE205),"",IF(CH$3=$AD205,$F205&amp;"R",CH204))))</f>
        <v>bP</v>
      </c>
      <c r="CI205" s="11" t="str">
        <f aca="false">IF($P205=0,CI204,IF(CI$3=$E205,IF($AA205=1,$F205&amp;$AB205,$G205),IF(OR(CI$3=$D205,CI$3=$AC205,CI$3=$AE205),"",IF(CI$3=$AD205,$F205&amp;"R",CI204))))</f>
        <v>bP</v>
      </c>
      <c r="CJ205" s="11" t="str">
        <f aca="false">IF($P205=0,CJ204,IF(CJ$3=$E205,IF($AA205=1,$F205&amp;$AB205,$G205),IF(OR(CJ$3=$D205,CJ$3=$AC205,CJ$3=$AE205),"",IF(CJ$3=$AD205,$F205&amp;"R",CJ204))))</f>
        <v>bP</v>
      </c>
      <c r="CK205" s="11" t="str">
        <f aca="false">IF($P205=0,CK204,IF(CK$3=$E205,IF($AA205=1,$F205&amp;$AB205,$G205),IF(OR(CK$3=$D205,CK$3=$AC205,CK$3=$AE205),"",IF(CK$3=$AD205,$F205&amp;"R",CK204))))</f>
        <v>bP</v>
      </c>
      <c r="CL205" s="11" t="str">
        <f aca="false">IF($P205=0,CL204,IF(CL$3=$E205,IF($AA205=1,$F205&amp;$AB205,$G205),IF(OR(CL$3=$D205,CL$3=$AC205,CL$3=$AE205),"",IF(CL$3=$AD205,$F205&amp;"R",CL204))))</f>
        <v>bR</v>
      </c>
      <c r="CM205" s="11" t="str">
        <f aca="false">IF($P205=0,CM204,IF(CM$3=$E205,IF($AA205=1,$F205&amp;$AB205,$G205),IF(OR(CM$3=$D205,CM$3=$AC205,CM$3=$AE205),"",IF(CM$3=$AD205,$F205&amp;"R",CM204))))</f>
        <v>bN</v>
      </c>
      <c r="CN205" s="11" t="str">
        <f aca="false">IF($P205=0,CN204,IF(CN$3=$E205,IF($AA205=1,$F205&amp;$AB205,$G205),IF(OR(CN$3=$D205,CN$3=$AC205,CN$3=$AE205),"",IF(CN$3=$AD205,$F205&amp;"R",CN204))))</f>
        <v>bB</v>
      </c>
      <c r="CO205" s="11" t="str">
        <f aca="false">IF($P205=0,CO204,IF(CO$3=$E205,IF($AA205=1,$F205&amp;$AB205,$G205),IF(OR(CO$3=$D205,CO$3=$AC205,CO$3=$AE205),"",IF(CO$3=$AD205,$F205&amp;"R",CO204))))</f>
        <v>bQ</v>
      </c>
      <c r="CP205" s="11" t="str">
        <f aca="false">IF($P205=0,CP204,IF(CP$3=$E205,IF($AA205=1,$F205&amp;$AB205,$G205),IF(OR(CP$3=$D205,CP$3=$AC205,CP$3=$AE205),"",IF(CP$3=$AD205,$F205&amp;"R",CP204))))</f>
        <v>bK</v>
      </c>
      <c r="CQ205" s="11" t="str">
        <f aca="false">IF($P205=0,CQ204,IF(CQ$3=$E205,IF($AA205=1,$F205&amp;$AB205,$G205),IF(OR(CQ$3=$D205,CQ$3=$AC205,CQ$3=$AE205),"",IF(CQ$3=$AD205,$F205&amp;"R",CQ204))))</f>
        <v>bB</v>
      </c>
      <c r="CR205" s="11" t="str">
        <f aca="false">IF($P205=0,CR204,IF(CR$3=$E205,IF($AA205=1,$F205&amp;$AB205,$G205),IF(OR(CR$3=$D205,CR$3=$AC205,CR$3=$AE205),"",IF(CR$3=$AD205,$F205&amp;"R",CR204))))</f>
        <v>bN</v>
      </c>
      <c r="CS205" s="11" t="str">
        <f aca="false">IF($P205=0,CS204,IF(CS$3=$E205,IF($AA205=1,$F205&amp;$AB205,$G205),IF(OR(CS$3=$D205,CS$3=$AC205,CS$3=$AE205),"",IF(CS$3=$AD205,$F205&amp;"R",CS204))))</f>
        <v>bR</v>
      </c>
      <c r="CT205" s="11"/>
      <c r="CU205" s="11"/>
      <c r="CV205" s="11"/>
    </row>
    <row r="206" customFormat="false" ht="15" hidden="false" customHeight="false" outlineLevel="0" collapsed="false">
      <c r="A206" s="11" t="n">
        <v>201</v>
      </c>
      <c r="B206" s="11" t="str">
        <f aca="false">IF(Chess!$L$210="","",Chess!$L$210&amp;"")</f>
        <v/>
      </c>
      <c r="C206" s="11" t="str">
        <f aca="false">LOWER(SUBSTITUTE(SUBSTITUTE(SUBSTITUTE(SUBSTITUTE(TRIM($B206),"-",""),"=","")," ",""),"x",""))</f>
        <v/>
      </c>
      <c r="D206" s="11" t="n">
        <f aca="false">IF(LEN($C206)&lt;4,0,IFERROR(IF(AND(CODE(MID($C206,1,1))&gt;=97,CODE(MID($C206,1,1))&lt;=104,VALUE(MID($C206,2,1))&gt;=1,VALUE(MID($C206,2,1))&lt;=8),(VALUE(MID($C206,2,1))-1)*8+CODE(MID($C206,1,1))-96,0),0))</f>
        <v>0</v>
      </c>
      <c r="E206" s="11" t="n">
        <f aca="false">IF(LEN($C206)&lt;4,0,IFERROR(IF(AND(CODE(MID($C206,3,1))&gt;=97,CODE(MID($C206,3,1))&lt;=104,VALUE(MID($C206,4,1))&gt;=1,VALUE(MID($C206,4,1))&lt;=8),(VALUE(MID($C206,4,1))-1)*8+CODE(MID($C206,3,1))-96,0),0))</f>
        <v>0</v>
      </c>
      <c r="F206" s="11" t="str">
        <f aca="false">IF(MOD(SUM($P$5:$P205),2)=0,"w","b")</f>
        <v>w</v>
      </c>
      <c r="G206" s="11" t="str">
        <f aca="false">IF($D206=0,"",INDEX($AH205:$CS205,1,$D206)&amp;"")</f>
        <v/>
      </c>
      <c r="H206" s="11" t="str">
        <f aca="false">IF($E206=0,"",INDEX($AH205:$CS205,1,$E206)&amp;"")</f>
        <v/>
      </c>
      <c r="I206" s="11" t="n">
        <f aca="false">IF(OR($D206=0,$E206=0),0,MOD($E206-1,8)-MOD($D206-1,8))</f>
        <v>0</v>
      </c>
      <c r="J206" s="11" t="n">
        <f aca="false">IF(OR($D206=0,$E206=0),0,INT(($E206-1)/8)-INT(($D206-1)/8))</f>
        <v>0</v>
      </c>
      <c r="K206" s="11" t="str">
        <f aca="false">IF($G206="","",RIGHT($G206,1))</f>
        <v/>
      </c>
      <c r="L206" s="11" t="n">
        <f aca="false">IF(OR($D206=0,$E206=0),0,SUMPRODUCT(($AH$3:$CS$3&gt;MIN($D206,$E206))*($AH$3:$CS$3&lt;MAX($D206,$E206))*(MOD($AH$3:$CS$3-MIN($D206,$E206),MAX(1,ABS(SIGN($J206)*8+SIGN($I206))))=0)*($AH205:$CS205&lt;&gt;"")))</f>
        <v>0</v>
      </c>
      <c r="M206" s="11" t="n">
        <f aca="false">IF($K206&lt;&gt;"K",0,IFERROR(--AND($J206=0,ABS($I206)=2,$D206=IF($F206="w",5,61),IF($F206="w",$S205,$V205)=0,IF($I206=2,AND(IF($F206="w",$U205,$X205)=0,INDEX($AH205:$CS205,1,$D206+1)&amp;""="",INDEX($AH205:$CS205,1,$D206+2)&amp;""=""),AND(IF($F206="w",$T205,$W205)=0,INDEX($AH205:$CS205,1,$D206-1)&amp;""="",INDEX($AH205:$CS205,1,$D206-2)&amp;""="",INDEX($AH205:$CS205,1,$D206-3)&amp;""=""))),0))</f>
        <v>0</v>
      </c>
      <c r="N206" s="11" t="n">
        <f aca="false">IF($K206&lt;&gt;"P",0,IFERROR(--OR(AND($I206=0,$J206=IF($F206="w",1,-1),$H206=""),AND($I206=0,$J206=2*IF($F206="w",1,-1),$H206="",INT(($D206-1)/8)=IF($F206="w",1,6),INDEX($AH205:$CS205,1,MAX(1,MIN(64,$D206+8*IF($F206="w",1,-1))))&amp;""=""),AND(ABS($I206)=1,$J206=IF($F206="w",1,-1),$H206&lt;&gt;""),AND(ABS($I206)=1,$J206=IF($F206="w",1,-1),$H206="",$R205&gt;0,$E206=$R205)),0))</f>
        <v>0</v>
      </c>
      <c r="O206" s="11" t="n">
        <f aca="false">IF(OR($D206=0,$E206=0,$G206=""),0,IF($K206="N",--OR(AND(ABS($I206)=1,ABS($J206)=2),AND(ABS($I206)=2,ABS($J206)=1)),IF($K206="B",--AND(ABS($I206)=ABS($J206),$I206&lt;&gt;0,$L206=0),IF($K206="R",--AND(OR($I206=0,$J206=0),OR($I206&lt;&gt;0,$J206&lt;&gt;0),$L206=0),IF($K206="Q",--AND(OR(AND(ABS($I206)=ABS($J206),$I206&lt;&gt;0),AND(OR($I206=0,$J206=0),OR($I206&lt;&gt;0,$J206&lt;&gt;0))),$L206=0),IF($K206="K",--OR(MAX(ABS($I206),ABS($J206))=1,$M206=1),$N206))))))</f>
        <v>0</v>
      </c>
      <c r="P206" s="11" t="n">
        <f aca="false">IF($Q206="OK",1,0)</f>
        <v>0</v>
      </c>
      <c r="Q206" s="11" t="str">
        <f aca="false">IF($B206="","",IF(OR(COUNTIF($AH205:$CS205,"wK")=0,COUNTIF($AH205:$CS205,"bK")=0),"Game is over",IF(OR($D206=0,$E206=0),"Use the format e2e4",IF($G206="","No piece on that square",IF(LEFT($G206,1)&lt;&gt;$F206,"Not your piece ("&amp;IF($F206="w","White","Black")&amp;" to move)",IF($D206=$E206,"Piece must move",IF(AND($H206&lt;&gt;"",LEFT($H206,1)=$F206),"Cannot capture your own piece",IF($O206=0,"Illegal move for that piece (or path blocked)","OK"))))))))</f>
        <v/>
      </c>
      <c r="R206" s="11" t="n">
        <f aca="false">IF($P206=1,IF(AND($K206="P",ABS($J206)=2),($D206+$E206)/2,0),$R205)</f>
        <v>0</v>
      </c>
      <c r="S206" s="12" t="b">
        <f aca="false">--OR($S205=1,AND($P206=1,OR($D206=5,$E206=5)))</f>
        <v>0</v>
      </c>
      <c r="T206" s="12" t="b">
        <f aca="false">--OR($T205=1,AND($P206=1,OR($D206=1,$E206=1)))</f>
        <v>0</v>
      </c>
      <c r="U206" s="12" t="b">
        <f aca="false">--OR($U205=1,AND($P206=1,OR($D206=8,$E206=8)))</f>
        <v>0</v>
      </c>
      <c r="V206" s="12" t="b">
        <f aca="false">--OR($V205=1,AND($P206=1,OR($D206=61,$E206=61)))</f>
        <v>0</v>
      </c>
      <c r="W206" s="12" t="b">
        <f aca="false">--OR($W205=1,AND($P206=1,OR($D206=57,$E206=57)))</f>
        <v>0</v>
      </c>
      <c r="X206" s="12" t="b">
        <f aca="false">--OR($X205=1,AND($P206=1,OR($D206=64,$E206=64)))</f>
        <v>0</v>
      </c>
      <c r="Y206" s="12" t="b">
        <f aca="false">--AND($P206=1,$K206="K",ABS($I206)=2)</f>
        <v>0</v>
      </c>
      <c r="Z206" s="12" t="b">
        <f aca="false">--AND($P206=1,$K206="P",ABS($I206)=1,$H206="")</f>
        <v>0</v>
      </c>
      <c r="AA206" s="12" t="b">
        <f aca="false">--AND($P206=1,$K206="P",INT(($E206-1)/8)=IF($F206="w",7,0))</f>
        <v>0</v>
      </c>
      <c r="AB206" s="11" t="str">
        <f aca="false">IF(LEN($C206)&gt;=5,IF(ISNUMBER(FIND(MID($C206,5,1),"qrbn")),UPPER(MID($C206,5,1)),"Q"),"Q")</f>
        <v>Q</v>
      </c>
      <c r="AC206" s="11" t="n">
        <f aca="false">IF($Y206=1,IF($I206=2,$D206+3,$D206-4),0)</f>
        <v>0</v>
      </c>
      <c r="AD206" s="11" t="n">
        <f aca="false">IF($Y206=1,IF($I206=2,$D206+1,$D206-1),0)</f>
        <v>0</v>
      </c>
      <c r="AE206" s="11" t="n">
        <f aca="false">IF($Z206=1,$E206-8*IF($F206="w",1,-1),0)</f>
        <v>0</v>
      </c>
      <c r="AF206" s="11" t="str">
        <f aca="false">IF($B206="","",IF($P206=1,LOWER(INDEX($CV$2:$CV$13,MATCH($G206,$CU$2:$CU$13,0)))&amp;" "&amp;MID("abcdefgh",MOD($D206-1,8)+1,1)&amp;(INT(($D206-1)/8)+1)&amp;"→"&amp;MID("abcdefgh",MOD($E206-1,8)+1,1)&amp;(INT(($E206-1)/8)+1)&amp;IF(OR($H206&lt;&gt;"",$Z206=1)," ×","")&amp;IF($Y206=1," castles","")&amp;IF($Z206=1," e.p.","")&amp;IF($AA206=1," =" &amp;LOWER(INDEX($CV$2:$CV$13,MATCH($F206&amp;$AB206,$CU$2:$CU$13,0))),""),"X "&amp;$Q206))</f>
        <v/>
      </c>
      <c r="AG206" s="11"/>
      <c r="AH206" s="11" t="str">
        <f aca="false">IF($P206=0,AH205,IF(AH$3=$E206,IF($AA206=1,$F206&amp;$AB206,$G206),IF(OR(AH$3=$D206,AH$3=$AC206,AH$3=$AE206),"",IF(AH$3=$AD206,$F206&amp;"R",AH205))))</f>
        <v>wR</v>
      </c>
      <c r="AI206" s="11" t="str">
        <f aca="false">IF($P206=0,AI205,IF(AI$3=$E206,IF($AA206=1,$F206&amp;$AB206,$G206),IF(OR(AI$3=$D206,AI$3=$AC206,AI$3=$AE206),"",IF(AI$3=$AD206,$F206&amp;"R",AI205))))</f>
        <v>wN</v>
      </c>
      <c r="AJ206" s="11" t="str">
        <f aca="false">IF($P206=0,AJ205,IF(AJ$3=$E206,IF($AA206=1,$F206&amp;$AB206,$G206),IF(OR(AJ$3=$D206,AJ$3=$AC206,AJ$3=$AE206),"",IF(AJ$3=$AD206,$F206&amp;"R",AJ205))))</f>
        <v>wB</v>
      </c>
      <c r="AK206" s="11" t="str">
        <f aca="false">IF($P206=0,AK205,IF(AK$3=$E206,IF($AA206=1,$F206&amp;$AB206,$G206),IF(OR(AK$3=$D206,AK$3=$AC206,AK$3=$AE206),"",IF(AK$3=$AD206,$F206&amp;"R",AK205))))</f>
        <v>wQ</v>
      </c>
      <c r="AL206" s="11" t="str">
        <f aca="false">IF($P206=0,AL205,IF(AL$3=$E206,IF($AA206=1,$F206&amp;$AB206,$G206),IF(OR(AL$3=$D206,AL$3=$AC206,AL$3=$AE206),"",IF(AL$3=$AD206,$F206&amp;"R",AL205))))</f>
        <v>wK</v>
      </c>
      <c r="AM206" s="11" t="str">
        <f aca="false">IF($P206=0,AM205,IF(AM$3=$E206,IF($AA206=1,$F206&amp;$AB206,$G206),IF(OR(AM$3=$D206,AM$3=$AC206,AM$3=$AE206),"",IF(AM$3=$AD206,$F206&amp;"R",AM205))))</f>
        <v>wB</v>
      </c>
      <c r="AN206" s="11" t="str">
        <f aca="false">IF($P206=0,AN205,IF(AN$3=$E206,IF($AA206=1,$F206&amp;$AB206,$G206),IF(OR(AN$3=$D206,AN$3=$AC206,AN$3=$AE206),"",IF(AN$3=$AD206,$F206&amp;"R",AN205))))</f>
        <v>wN</v>
      </c>
      <c r="AO206" s="11" t="str">
        <f aca="false">IF($P206=0,AO205,IF(AO$3=$E206,IF($AA206=1,$F206&amp;$AB206,$G206),IF(OR(AO$3=$D206,AO$3=$AC206,AO$3=$AE206),"",IF(AO$3=$AD206,$F206&amp;"R",AO205))))</f>
        <v>wR</v>
      </c>
      <c r="AP206" s="11" t="str">
        <f aca="false">IF($P206=0,AP205,IF(AP$3=$E206,IF($AA206=1,$F206&amp;$AB206,$G206),IF(OR(AP$3=$D206,AP$3=$AC206,AP$3=$AE206),"",IF(AP$3=$AD206,$F206&amp;"R",AP205))))</f>
        <v>wP</v>
      </c>
      <c r="AQ206" s="11" t="str">
        <f aca="false">IF($P206=0,AQ205,IF(AQ$3=$E206,IF($AA206=1,$F206&amp;$AB206,$G206),IF(OR(AQ$3=$D206,AQ$3=$AC206,AQ$3=$AE206),"",IF(AQ$3=$AD206,$F206&amp;"R",AQ205))))</f>
        <v>wP</v>
      </c>
      <c r="AR206" s="11" t="str">
        <f aca="false">IF($P206=0,AR205,IF(AR$3=$E206,IF($AA206=1,$F206&amp;$AB206,$G206),IF(OR(AR$3=$D206,AR$3=$AC206,AR$3=$AE206),"",IF(AR$3=$AD206,$F206&amp;"R",AR205))))</f>
        <v>wP</v>
      </c>
      <c r="AS206" s="11" t="str">
        <f aca="false">IF($P206=0,AS205,IF(AS$3=$E206,IF($AA206=1,$F206&amp;$AB206,$G206),IF(OR(AS$3=$D206,AS$3=$AC206,AS$3=$AE206),"",IF(AS$3=$AD206,$F206&amp;"R",AS205))))</f>
        <v>wP</v>
      </c>
      <c r="AT206" s="11" t="str">
        <f aca="false">IF($P206=0,AT205,IF(AT$3=$E206,IF($AA206=1,$F206&amp;$AB206,$G206),IF(OR(AT$3=$D206,AT$3=$AC206,AT$3=$AE206),"",IF(AT$3=$AD206,$F206&amp;"R",AT205))))</f>
        <v>wP</v>
      </c>
      <c r="AU206" s="11" t="str">
        <f aca="false">IF($P206=0,AU205,IF(AU$3=$E206,IF($AA206=1,$F206&amp;$AB206,$G206),IF(OR(AU$3=$D206,AU$3=$AC206,AU$3=$AE206),"",IF(AU$3=$AD206,$F206&amp;"R",AU205))))</f>
        <v>wP</v>
      </c>
      <c r="AV206" s="11" t="str">
        <f aca="false">IF($P206=0,AV205,IF(AV$3=$E206,IF($AA206=1,$F206&amp;$AB206,$G206),IF(OR(AV$3=$D206,AV$3=$AC206,AV$3=$AE206),"",IF(AV$3=$AD206,$F206&amp;"R",AV205))))</f>
        <v>wP</v>
      </c>
      <c r="AW206" s="11" t="str">
        <f aca="false">IF($P206=0,AW205,IF(AW$3=$E206,IF($AA206=1,$F206&amp;$AB206,$G206),IF(OR(AW$3=$D206,AW$3=$AC206,AW$3=$AE206),"",IF(AW$3=$AD206,$F206&amp;"R",AW205))))</f>
        <v>wP</v>
      </c>
      <c r="AX206" s="11" t="str">
        <f aca="false">IF($P206=0,AX205,IF(AX$3=$E206,IF($AA206=1,$F206&amp;$AB206,$G206),IF(OR(AX$3=$D206,AX$3=$AC206,AX$3=$AE206),"",IF(AX$3=$AD206,$F206&amp;"R",AX205))))</f>
        <v/>
      </c>
      <c r="AY206" s="11" t="str">
        <f aca="false">IF($P206=0,AY205,IF(AY$3=$E206,IF($AA206=1,$F206&amp;$AB206,$G206),IF(OR(AY$3=$D206,AY$3=$AC206,AY$3=$AE206),"",IF(AY$3=$AD206,$F206&amp;"R",AY205))))</f>
        <v/>
      </c>
      <c r="AZ206" s="11" t="str">
        <f aca="false">IF($P206=0,AZ205,IF(AZ$3=$E206,IF($AA206=1,$F206&amp;$AB206,$G206),IF(OR(AZ$3=$D206,AZ$3=$AC206,AZ$3=$AE206),"",IF(AZ$3=$AD206,$F206&amp;"R",AZ205))))</f>
        <v/>
      </c>
      <c r="BA206" s="11" t="str">
        <f aca="false">IF($P206=0,BA205,IF(BA$3=$E206,IF($AA206=1,$F206&amp;$AB206,$G206),IF(OR(BA$3=$D206,BA$3=$AC206,BA$3=$AE206),"",IF(BA$3=$AD206,$F206&amp;"R",BA205))))</f>
        <v/>
      </c>
      <c r="BB206" s="11" t="str">
        <f aca="false">IF($P206=0,BB205,IF(BB$3=$E206,IF($AA206=1,$F206&amp;$AB206,$G206),IF(OR(BB$3=$D206,BB$3=$AC206,BB$3=$AE206),"",IF(BB$3=$AD206,$F206&amp;"R",BB205))))</f>
        <v/>
      </c>
      <c r="BC206" s="11" t="str">
        <f aca="false">IF($P206=0,BC205,IF(BC$3=$E206,IF($AA206=1,$F206&amp;$AB206,$G206),IF(OR(BC$3=$D206,BC$3=$AC206,BC$3=$AE206),"",IF(BC$3=$AD206,$F206&amp;"R",BC205))))</f>
        <v/>
      </c>
      <c r="BD206" s="11" t="str">
        <f aca="false">IF($P206=0,BD205,IF(BD$3=$E206,IF($AA206=1,$F206&amp;$AB206,$G206),IF(OR(BD$3=$D206,BD$3=$AC206,BD$3=$AE206),"",IF(BD$3=$AD206,$F206&amp;"R",BD205))))</f>
        <v/>
      </c>
      <c r="BE206" s="11" t="str">
        <f aca="false">IF($P206=0,BE205,IF(BE$3=$E206,IF($AA206=1,$F206&amp;$AB206,$G206),IF(OR(BE$3=$D206,BE$3=$AC206,BE$3=$AE206),"",IF(BE$3=$AD206,$F206&amp;"R",BE205))))</f>
        <v/>
      </c>
      <c r="BF206" s="11" t="str">
        <f aca="false">IF($P206=0,BF205,IF(BF$3=$E206,IF($AA206=1,$F206&amp;$AB206,$G206),IF(OR(BF$3=$D206,BF$3=$AC206,BF$3=$AE206),"",IF(BF$3=$AD206,$F206&amp;"R",BF205))))</f>
        <v/>
      </c>
      <c r="BG206" s="11" t="str">
        <f aca="false">IF($P206=0,BG205,IF(BG$3=$E206,IF($AA206=1,$F206&amp;$AB206,$G206),IF(OR(BG$3=$D206,BG$3=$AC206,BG$3=$AE206),"",IF(BG$3=$AD206,$F206&amp;"R",BG205))))</f>
        <v/>
      </c>
      <c r="BH206" s="11" t="str">
        <f aca="false">IF($P206=0,BH205,IF(BH$3=$E206,IF($AA206=1,$F206&amp;$AB206,$G206),IF(OR(BH$3=$D206,BH$3=$AC206,BH$3=$AE206),"",IF(BH$3=$AD206,$F206&amp;"R",BH205))))</f>
        <v/>
      </c>
      <c r="BI206" s="11" t="str">
        <f aca="false">IF($P206=0,BI205,IF(BI$3=$E206,IF($AA206=1,$F206&amp;$AB206,$G206),IF(OR(BI$3=$D206,BI$3=$AC206,BI$3=$AE206),"",IF(BI$3=$AD206,$F206&amp;"R",BI205))))</f>
        <v/>
      </c>
      <c r="BJ206" s="11" t="str">
        <f aca="false">IF($P206=0,BJ205,IF(BJ$3=$E206,IF($AA206=1,$F206&amp;$AB206,$G206),IF(OR(BJ$3=$D206,BJ$3=$AC206,BJ$3=$AE206),"",IF(BJ$3=$AD206,$F206&amp;"R",BJ205))))</f>
        <v/>
      </c>
      <c r="BK206" s="11" t="str">
        <f aca="false">IF($P206=0,BK205,IF(BK$3=$E206,IF($AA206=1,$F206&amp;$AB206,$G206),IF(OR(BK$3=$D206,BK$3=$AC206,BK$3=$AE206),"",IF(BK$3=$AD206,$F206&amp;"R",BK205))))</f>
        <v/>
      </c>
      <c r="BL206" s="11" t="str">
        <f aca="false">IF($P206=0,BL205,IF(BL$3=$E206,IF($AA206=1,$F206&amp;$AB206,$G206),IF(OR(BL$3=$D206,BL$3=$AC206,BL$3=$AE206),"",IF(BL$3=$AD206,$F206&amp;"R",BL205))))</f>
        <v/>
      </c>
      <c r="BM206" s="11" t="str">
        <f aca="false">IF($P206=0,BM205,IF(BM$3=$E206,IF($AA206=1,$F206&amp;$AB206,$G206),IF(OR(BM$3=$D206,BM$3=$AC206,BM$3=$AE206),"",IF(BM$3=$AD206,$F206&amp;"R",BM205))))</f>
        <v/>
      </c>
      <c r="BN206" s="11" t="str">
        <f aca="false">IF($P206=0,BN205,IF(BN$3=$E206,IF($AA206=1,$F206&amp;$AB206,$G206),IF(OR(BN$3=$D206,BN$3=$AC206,BN$3=$AE206),"",IF(BN$3=$AD206,$F206&amp;"R",BN205))))</f>
        <v/>
      </c>
      <c r="BO206" s="11" t="str">
        <f aca="false">IF($P206=0,BO205,IF(BO$3=$E206,IF($AA206=1,$F206&amp;$AB206,$G206),IF(OR(BO$3=$D206,BO$3=$AC206,BO$3=$AE206),"",IF(BO$3=$AD206,$F206&amp;"R",BO205))))</f>
        <v/>
      </c>
      <c r="BP206" s="11" t="str">
        <f aca="false">IF($P206=0,BP205,IF(BP$3=$E206,IF($AA206=1,$F206&amp;$AB206,$G206),IF(OR(BP$3=$D206,BP$3=$AC206,BP$3=$AE206),"",IF(BP$3=$AD206,$F206&amp;"R",BP205))))</f>
        <v/>
      </c>
      <c r="BQ206" s="11" t="str">
        <f aca="false">IF($P206=0,BQ205,IF(BQ$3=$E206,IF($AA206=1,$F206&amp;$AB206,$G206),IF(OR(BQ$3=$D206,BQ$3=$AC206,BQ$3=$AE206),"",IF(BQ$3=$AD206,$F206&amp;"R",BQ205))))</f>
        <v/>
      </c>
      <c r="BR206" s="11" t="str">
        <f aca="false">IF($P206=0,BR205,IF(BR$3=$E206,IF($AA206=1,$F206&amp;$AB206,$G206),IF(OR(BR$3=$D206,BR$3=$AC206,BR$3=$AE206),"",IF(BR$3=$AD206,$F206&amp;"R",BR205))))</f>
        <v/>
      </c>
      <c r="BS206" s="11" t="str">
        <f aca="false">IF($P206=0,BS205,IF(BS$3=$E206,IF($AA206=1,$F206&amp;$AB206,$G206),IF(OR(BS$3=$D206,BS$3=$AC206,BS$3=$AE206),"",IF(BS$3=$AD206,$F206&amp;"R",BS205))))</f>
        <v/>
      </c>
      <c r="BT206" s="11" t="str">
        <f aca="false">IF($P206=0,BT205,IF(BT$3=$E206,IF($AA206=1,$F206&amp;$AB206,$G206),IF(OR(BT$3=$D206,BT$3=$AC206,BT$3=$AE206),"",IF(BT$3=$AD206,$F206&amp;"R",BT205))))</f>
        <v/>
      </c>
      <c r="BU206" s="11" t="str">
        <f aca="false">IF($P206=0,BU205,IF(BU$3=$E206,IF($AA206=1,$F206&amp;$AB206,$G206),IF(OR(BU$3=$D206,BU$3=$AC206,BU$3=$AE206),"",IF(BU$3=$AD206,$F206&amp;"R",BU205))))</f>
        <v/>
      </c>
      <c r="BV206" s="11" t="str">
        <f aca="false">IF($P206=0,BV205,IF(BV$3=$E206,IF($AA206=1,$F206&amp;$AB206,$G206),IF(OR(BV$3=$D206,BV$3=$AC206,BV$3=$AE206),"",IF(BV$3=$AD206,$F206&amp;"R",BV205))))</f>
        <v/>
      </c>
      <c r="BW206" s="11" t="str">
        <f aca="false">IF($P206=0,BW205,IF(BW$3=$E206,IF($AA206=1,$F206&amp;$AB206,$G206),IF(OR(BW$3=$D206,BW$3=$AC206,BW$3=$AE206),"",IF(BW$3=$AD206,$F206&amp;"R",BW205))))</f>
        <v/>
      </c>
      <c r="BX206" s="11" t="str">
        <f aca="false">IF($P206=0,BX205,IF(BX$3=$E206,IF($AA206=1,$F206&amp;$AB206,$G206),IF(OR(BX$3=$D206,BX$3=$AC206,BX$3=$AE206),"",IF(BX$3=$AD206,$F206&amp;"R",BX205))))</f>
        <v/>
      </c>
      <c r="BY206" s="11" t="str">
        <f aca="false">IF($P206=0,BY205,IF(BY$3=$E206,IF($AA206=1,$F206&amp;$AB206,$G206),IF(OR(BY$3=$D206,BY$3=$AC206,BY$3=$AE206),"",IF(BY$3=$AD206,$F206&amp;"R",BY205))))</f>
        <v/>
      </c>
      <c r="BZ206" s="11" t="str">
        <f aca="false">IF($P206=0,BZ205,IF(BZ$3=$E206,IF($AA206=1,$F206&amp;$AB206,$G206),IF(OR(BZ$3=$D206,BZ$3=$AC206,BZ$3=$AE206),"",IF(BZ$3=$AD206,$F206&amp;"R",BZ205))))</f>
        <v/>
      </c>
      <c r="CA206" s="11" t="str">
        <f aca="false">IF($P206=0,CA205,IF(CA$3=$E206,IF($AA206=1,$F206&amp;$AB206,$G206),IF(OR(CA$3=$D206,CA$3=$AC206,CA$3=$AE206),"",IF(CA$3=$AD206,$F206&amp;"R",CA205))))</f>
        <v/>
      </c>
      <c r="CB206" s="11" t="str">
        <f aca="false">IF($P206=0,CB205,IF(CB$3=$E206,IF($AA206=1,$F206&amp;$AB206,$G206),IF(OR(CB$3=$D206,CB$3=$AC206,CB$3=$AE206),"",IF(CB$3=$AD206,$F206&amp;"R",CB205))))</f>
        <v/>
      </c>
      <c r="CC206" s="11" t="str">
        <f aca="false">IF($P206=0,CC205,IF(CC$3=$E206,IF($AA206=1,$F206&amp;$AB206,$G206),IF(OR(CC$3=$D206,CC$3=$AC206,CC$3=$AE206),"",IF(CC$3=$AD206,$F206&amp;"R",CC205))))</f>
        <v/>
      </c>
      <c r="CD206" s="11" t="str">
        <f aca="false">IF($P206=0,CD205,IF(CD$3=$E206,IF($AA206=1,$F206&amp;$AB206,$G206),IF(OR(CD$3=$D206,CD$3=$AC206,CD$3=$AE206),"",IF(CD$3=$AD206,$F206&amp;"R",CD205))))</f>
        <v>bP</v>
      </c>
      <c r="CE206" s="11" t="str">
        <f aca="false">IF($P206=0,CE205,IF(CE$3=$E206,IF($AA206=1,$F206&amp;$AB206,$G206),IF(OR(CE$3=$D206,CE$3=$AC206,CE$3=$AE206),"",IF(CE$3=$AD206,$F206&amp;"R",CE205))))</f>
        <v>bP</v>
      </c>
      <c r="CF206" s="11" t="str">
        <f aca="false">IF($P206=0,CF205,IF(CF$3=$E206,IF($AA206=1,$F206&amp;$AB206,$G206),IF(OR(CF$3=$D206,CF$3=$AC206,CF$3=$AE206),"",IF(CF$3=$AD206,$F206&amp;"R",CF205))))</f>
        <v>bP</v>
      </c>
      <c r="CG206" s="11" t="str">
        <f aca="false">IF($P206=0,CG205,IF(CG$3=$E206,IF($AA206=1,$F206&amp;$AB206,$G206),IF(OR(CG$3=$D206,CG$3=$AC206,CG$3=$AE206),"",IF(CG$3=$AD206,$F206&amp;"R",CG205))))</f>
        <v>bP</v>
      </c>
      <c r="CH206" s="11" t="str">
        <f aca="false">IF($P206=0,CH205,IF(CH$3=$E206,IF($AA206=1,$F206&amp;$AB206,$G206),IF(OR(CH$3=$D206,CH$3=$AC206,CH$3=$AE206),"",IF(CH$3=$AD206,$F206&amp;"R",CH205))))</f>
        <v>bP</v>
      </c>
      <c r="CI206" s="11" t="str">
        <f aca="false">IF($P206=0,CI205,IF(CI$3=$E206,IF($AA206=1,$F206&amp;$AB206,$G206),IF(OR(CI$3=$D206,CI$3=$AC206,CI$3=$AE206),"",IF(CI$3=$AD206,$F206&amp;"R",CI205))))</f>
        <v>bP</v>
      </c>
      <c r="CJ206" s="11" t="str">
        <f aca="false">IF($P206=0,CJ205,IF(CJ$3=$E206,IF($AA206=1,$F206&amp;$AB206,$G206),IF(OR(CJ$3=$D206,CJ$3=$AC206,CJ$3=$AE206),"",IF(CJ$3=$AD206,$F206&amp;"R",CJ205))))</f>
        <v>bP</v>
      </c>
      <c r="CK206" s="11" t="str">
        <f aca="false">IF($P206=0,CK205,IF(CK$3=$E206,IF($AA206=1,$F206&amp;$AB206,$G206),IF(OR(CK$3=$D206,CK$3=$AC206,CK$3=$AE206),"",IF(CK$3=$AD206,$F206&amp;"R",CK205))))</f>
        <v>bP</v>
      </c>
      <c r="CL206" s="11" t="str">
        <f aca="false">IF($P206=0,CL205,IF(CL$3=$E206,IF($AA206=1,$F206&amp;$AB206,$G206),IF(OR(CL$3=$D206,CL$3=$AC206,CL$3=$AE206),"",IF(CL$3=$AD206,$F206&amp;"R",CL205))))</f>
        <v>bR</v>
      </c>
      <c r="CM206" s="11" t="str">
        <f aca="false">IF($P206=0,CM205,IF(CM$3=$E206,IF($AA206=1,$F206&amp;$AB206,$G206),IF(OR(CM$3=$D206,CM$3=$AC206,CM$3=$AE206),"",IF(CM$3=$AD206,$F206&amp;"R",CM205))))</f>
        <v>bN</v>
      </c>
      <c r="CN206" s="11" t="str">
        <f aca="false">IF($P206=0,CN205,IF(CN$3=$E206,IF($AA206=1,$F206&amp;$AB206,$G206),IF(OR(CN$3=$D206,CN$3=$AC206,CN$3=$AE206),"",IF(CN$3=$AD206,$F206&amp;"R",CN205))))</f>
        <v>bB</v>
      </c>
      <c r="CO206" s="11" t="str">
        <f aca="false">IF($P206=0,CO205,IF(CO$3=$E206,IF($AA206=1,$F206&amp;$AB206,$G206),IF(OR(CO$3=$D206,CO$3=$AC206,CO$3=$AE206),"",IF(CO$3=$AD206,$F206&amp;"R",CO205))))</f>
        <v>bQ</v>
      </c>
      <c r="CP206" s="11" t="str">
        <f aca="false">IF($P206=0,CP205,IF(CP$3=$E206,IF($AA206=1,$F206&amp;$AB206,$G206),IF(OR(CP$3=$D206,CP$3=$AC206,CP$3=$AE206),"",IF(CP$3=$AD206,$F206&amp;"R",CP205))))</f>
        <v>bK</v>
      </c>
      <c r="CQ206" s="11" t="str">
        <f aca="false">IF($P206=0,CQ205,IF(CQ$3=$E206,IF($AA206=1,$F206&amp;$AB206,$G206),IF(OR(CQ$3=$D206,CQ$3=$AC206,CQ$3=$AE206),"",IF(CQ$3=$AD206,$F206&amp;"R",CQ205))))</f>
        <v>bB</v>
      </c>
      <c r="CR206" s="11" t="str">
        <f aca="false">IF($P206=0,CR205,IF(CR$3=$E206,IF($AA206=1,$F206&amp;$AB206,$G206),IF(OR(CR$3=$D206,CR$3=$AC206,CR$3=$AE206),"",IF(CR$3=$AD206,$F206&amp;"R",CR205))))</f>
        <v>bN</v>
      </c>
      <c r="CS206" s="11" t="str">
        <f aca="false">IF($P206=0,CS205,IF(CS$3=$E206,IF($AA206=1,$F206&amp;$AB206,$G206),IF(OR(CS$3=$D206,CS$3=$AC206,CS$3=$AE206),"",IF(CS$3=$AD206,$F206&amp;"R",CS205))))</f>
        <v>bR</v>
      </c>
      <c r="CT206" s="11"/>
      <c r="CU206" s="11"/>
      <c r="CV206" s="11"/>
    </row>
    <row r="207" customFormat="false" ht="15" hidden="false" customHeight="false" outlineLevel="0" collapsed="false">
      <c r="A207" s="11" t="n">
        <v>202</v>
      </c>
      <c r="B207" s="11" t="str">
        <f aca="false">IF(Chess!$L$211="","",Chess!$L$211&amp;"")</f>
        <v/>
      </c>
      <c r="C207" s="11" t="str">
        <f aca="false">LOWER(SUBSTITUTE(SUBSTITUTE(SUBSTITUTE(SUBSTITUTE(TRIM($B207),"-",""),"=","")," ",""),"x",""))</f>
        <v/>
      </c>
      <c r="D207" s="11" t="n">
        <f aca="false">IF(LEN($C207)&lt;4,0,IFERROR(IF(AND(CODE(MID($C207,1,1))&gt;=97,CODE(MID($C207,1,1))&lt;=104,VALUE(MID($C207,2,1))&gt;=1,VALUE(MID($C207,2,1))&lt;=8),(VALUE(MID($C207,2,1))-1)*8+CODE(MID($C207,1,1))-96,0),0))</f>
        <v>0</v>
      </c>
      <c r="E207" s="11" t="n">
        <f aca="false">IF(LEN($C207)&lt;4,0,IFERROR(IF(AND(CODE(MID($C207,3,1))&gt;=97,CODE(MID($C207,3,1))&lt;=104,VALUE(MID($C207,4,1))&gt;=1,VALUE(MID($C207,4,1))&lt;=8),(VALUE(MID($C207,4,1))-1)*8+CODE(MID($C207,3,1))-96,0),0))</f>
        <v>0</v>
      </c>
      <c r="F207" s="11" t="str">
        <f aca="false">IF(MOD(SUM($P$5:$P206),2)=0,"w","b")</f>
        <v>w</v>
      </c>
      <c r="G207" s="11" t="str">
        <f aca="false">IF($D207=0,"",INDEX($AH206:$CS206,1,$D207)&amp;"")</f>
        <v/>
      </c>
      <c r="H207" s="11" t="str">
        <f aca="false">IF($E207=0,"",INDEX($AH206:$CS206,1,$E207)&amp;"")</f>
        <v/>
      </c>
      <c r="I207" s="11" t="n">
        <f aca="false">IF(OR($D207=0,$E207=0),0,MOD($E207-1,8)-MOD($D207-1,8))</f>
        <v>0</v>
      </c>
      <c r="J207" s="11" t="n">
        <f aca="false">IF(OR($D207=0,$E207=0),0,INT(($E207-1)/8)-INT(($D207-1)/8))</f>
        <v>0</v>
      </c>
      <c r="K207" s="11" t="str">
        <f aca="false">IF($G207="","",RIGHT($G207,1))</f>
        <v/>
      </c>
      <c r="L207" s="11" t="n">
        <f aca="false">IF(OR($D207=0,$E207=0),0,SUMPRODUCT(($AH$3:$CS$3&gt;MIN($D207,$E207))*($AH$3:$CS$3&lt;MAX($D207,$E207))*(MOD($AH$3:$CS$3-MIN($D207,$E207),MAX(1,ABS(SIGN($J207)*8+SIGN($I207))))=0)*($AH206:$CS206&lt;&gt;"")))</f>
        <v>0</v>
      </c>
      <c r="M207" s="11" t="n">
        <f aca="false">IF($K207&lt;&gt;"K",0,IFERROR(--AND($J207=0,ABS($I207)=2,$D207=IF($F207="w",5,61),IF($F207="w",$S206,$V206)=0,IF($I207=2,AND(IF($F207="w",$U206,$X206)=0,INDEX($AH206:$CS206,1,$D207+1)&amp;""="",INDEX($AH206:$CS206,1,$D207+2)&amp;""=""),AND(IF($F207="w",$T206,$W206)=0,INDEX($AH206:$CS206,1,$D207-1)&amp;""="",INDEX($AH206:$CS206,1,$D207-2)&amp;""="",INDEX($AH206:$CS206,1,$D207-3)&amp;""=""))),0))</f>
        <v>0</v>
      </c>
      <c r="N207" s="11" t="n">
        <f aca="false">IF($K207&lt;&gt;"P",0,IFERROR(--OR(AND($I207=0,$J207=IF($F207="w",1,-1),$H207=""),AND($I207=0,$J207=2*IF($F207="w",1,-1),$H207="",INT(($D207-1)/8)=IF($F207="w",1,6),INDEX($AH206:$CS206,1,MAX(1,MIN(64,$D207+8*IF($F207="w",1,-1))))&amp;""=""),AND(ABS($I207)=1,$J207=IF($F207="w",1,-1),$H207&lt;&gt;""),AND(ABS($I207)=1,$J207=IF($F207="w",1,-1),$H207="",$R206&gt;0,$E207=$R206)),0))</f>
        <v>0</v>
      </c>
      <c r="O207" s="11" t="n">
        <f aca="false">IF(OR($D207=0,$E207=0,$G207=""),0,IF($K207="N",--OR(AND(ABS($I207)=1,ABS($J207)=2),AND(ABS($I207)=2,ABS($J207)=1)),IF($K207="B",--AND(ABS($I207)=ABS($J207),$I207&lt;&gt;0,$L207=0),IF($K207="R",--AND(OR($I207=0,$J207=0),OR($I207&lt;&gt;0,$J207&lt;&gt;0),$L207=0),IF($K207="Q",--AND(OR(AND(ABS($I207)=ABS($J207),$I207&lt;&gt;0),AND(OR($I207=0,$J207=0),OR($I207&lt;&gt;0,$J207&lt;&gt;0))),$L207=0),IF($K207="K",--OR(MAX(ABS($I207),ABS($J207))=1,$M207=1),$N207))))))</f>
        <v>0</v>
      </c>
      <c r="P207" s="11" t="n">
        <f aca="false">IF($Q207="OK",1,0)</f>
        <v>0</v>
      </c>
      <c r="Q207" s="11" t="str">
        <f aca="false">IF($B207="","",IF(OR(COUNTIF($AH206:$CS206,"wK")=0,COUNTIF($AH206:$CS206,"bK")=0),"Game is over",IF(OR($D207=0,$E207=0),"Use the format e2e4",IF($G207="","No piece on that square",IF(LEFT($G207,1)&lt;&gt;$F207,"Not your piece ("&amp;IF($F207="w","White","Black")&amp;" to move)",IF($D207=$E207,"Piece must move",IF(AND($H207&lt;&gt;"",LEFT($H207,1)=$F207),"Cannot capture your own piece",IF($O207=0,"Illegal move for that piece (or path blocked)","OK"))))))))</f>
        <v/>
      </c>
      <c r="R207" s="11" t="n">
        <f aca="false">IF($P207=1,IF(AND($K207="P",ABS($J207)=2),($D207+$E207)/2,0),$R206)</f>
        <v>0</v>
      </c>
      <c r="S207" s="12" t="b">
        <f aca="false">--OR($S206=1,AND($P207=1,OR($D207=5,$E207=5)))</f>
        <v>0</v>
      </c>
      <c r="T207" s="12" t="b">
        <f aca="false">--OR($T206=1,AND($P207=1,OR($D207=1,$E207=1)))</f>
        <v>0</v>
      </c>
      <c r="U207" s="12" t="b">
        <f aca="false">--OR($U206=1,AND($P207=1,OR($D207=8,$E207=8)))</f>
        <v>0</v>
      </c>
      <c r="V207" s="12" t="b">
        <f aca="false">--OR($V206=1,AND($P207=1,OR($D207=61,$E207=61)))</f>
        <v>0</v>
      </c>
      <c r="W207" s="12" t="b">
        <f aca="false">--OR($W206=1,AND($P207=1,OR($D207=57,$E207=57)))</f>
        <v>0</v>
      </c>
      <c r="X207" s="12" t="b">
        <f aca="false">--OR($X206=1,AND($P207=1,OR($D207=64,$E207=64)))</f>
        <v>0</v>
      </c>
      <c r="Y207" s="12" t="b">
        <f aca="false">--AND($P207=1,$K207="K",ABS($I207)=2)</f>
        <v>0</v>
      </c>
      <c r="Z207" s="12" t="b">
        <f aca="false">--AND($P207=1,$K207="P",ABS($I207)=1,$H207="")</f>
        <v>0</v>
      </c>
      <c r="AA207" s="12" t="b">
        <f aca="false">--AND($P207=1,$K207="P",INT(($E207-1)/8)=IF($F207="w",7,0))</f>
        <v>0</v>
      </c>
      <c r="AB207" s="11" t="str">
        <f aca="false">IF(LEN($C207)&gt;=5,IF(ISNUMBER(FIND(MID($C207,5,1),"qrbn")),UPPER(MID($C207,5,1)),"Q"),"Q")</f>
        <v>Q</v>
      </c>
      <c r="AC207" s="11" t="n">
        <f aca="false">IF($Y207=1,IF($I207=2,$D207+3,$D207-4),0)</f>
        <v>0</v>
      </c>
      <c r="AD207" s="11" t="n">
        <f aca="false">IF($Y207=1,IF($I207=2,$D207+1,$D207-1),0)</f>
        <v>0</v>
      </c>
      <c r="AE207" s="11" t="n">
        <f aca="false">IF($Z207=1,$E207-8*IF($F207="w",1,-1),0)</f>
        <v>0</v>
      </c>
      <c r="AF207" s="11" t="str">
        <f aca="false">IF($B207="","",IF($P207=1,LOWER(INDEX($CV$2:$CV$13,MATCH($G207,$CU$2:$CU$13,0)))&amp;" "&amp;MID("abcdefgh",MOD($D207-1,8)+1,1)&amp;(INT(($D207-1)/8)+1)&amp;"→"&amp;MID("abcdefgh",MOD($E207-1,8)+1,1)&amp;(INT(($E207-1)/8)+1)&amp;IF(OR($H207&lt;&gt;"",$Z207=1)," ×","")&amp;IF($Y207=1," castles","")&amp;IF($Z207=1," e.p.","")&amp;IF($AA207=1," =" &amp;LOWER(INDEX($CV$2:$CV$13,MATCH($F207&amp;$AB207,$CU$2:$CU$13,0))),""),"X "&amp;$Q207))</f>
        <v/>
      </c>
      <c r="AG207" s="11"/>
      <c r="AH207" s="11" t="str">
        <f aca="false">IF($P207=0,AH206,IF(AH$3=$E207,IF($AA207=1,$F207&amp;$AB207,$G207),IF(OR(AH$3=$D207,AH$3=$AC207,AH$3=$AE207),"",IF(AH$3=$AD207,$F207&amp;"R",AH206))))</f>
        <v>wR</v>
      </c>
      <c r="AI207" s="11" t="str">
        <f aca="false">IF($P207=0,AI206,IF(AI$3=$E207,IF($AA207=1,$F207&amp;$AB207,$G207),IF(OR(AI$3=$D207,AI$3=$AC207,AI$3=$AE207),"",IF(AI$3=$AD207,$F207&amp;"R",AI206))))</f>
        <v>wN</v>
      </c>
      <c r="AJ207" s="11" t="str">
        <f aca="false">IF($P207=0,AJ206,IF(AJ$3=$E207,IF($AA207=1,$F207&amp;$AB207,$G207),IF(OR(AJ$3=$D207,AJ$3=$AC207,AJ$3=$AE207),"",IF(AJ$3=$AD207,$F207&amp;"R",AJ206))))</f>
        <v>wB</v>
      </c>
      <c r="AK207" s="11" t="str">
        <f aca="false">IF($P207=0,AK206,IF(AK$3=$E207,IF($AA207=1,$F207&amp;$AB207,$G207),IF(OR(AK$3=$D207,AK$3=$AC207,AK$3=$AE207),"",IF(AK$3=$AD207,$F207&amp;"R",AK206))))</f>
        <v>wQ</v>
      </c>
      <c r="AL207" s="11" t="str">
        <f aca="false">IF($P207=0,AL206,IF(AL$3=$E207,IF($AA207=1,$F207&amp;$AB207,$G207),IF(OR(AL$3=$D207,AL$3=$AC207,AL$3=$AE207),"",IF(AL$3=$AD207,$F207&amp;"R",AL206))))</f>
        <v>wK</v>
      </c>
      <c r="AM207" s="11" t="str">
        <f aca="false">IF($P207=0,AM206,IF(AM$3=$E207,IF($AA207=1,$F207&amp;$AB207,$G207),IF(OR(AM$3=$D207,AM$3=$AC207,AM$3=$AE207),"",IF(AM$3=$AD207,$F207&amp;"R",AM206))))</f>
        <v>wB</v>
      </c>
      <c r="AN207" s="11" t="str">
        <f aca="false">IF($P207=0,AN206,IF(AN$3=$E207,IF($AA207=1,$F207&amp;$AB207,$G207),IF(OR(AN$3=$D207,AN$3=$AC207,AN$3=$AE207),"",IF(AN$3=$AD207,$F207&amp;"R",AN206))))</f>
        <v>wN</v>
      </c>
      <c r="AO207" s="11" t="str">
        <f aca="false">IF($P207=0,AO206,IF(AO$3=$E207,IF($AA207=1,$F207&amp;$AB207,$G207),IF(OR(AO$3=$D207,AO$3=$AC207,AO$3=$AE207),"",IF(AO$3=$AD207,$F207&amp;"R",AO206))))</f>
        <v>wR</v>
      </c>
      <c r="AP207" s="11" t="str">
        <f aca="false">IF($P207=0,AP206,IF(AP$3=$E207,IF($AA207=1,$F207&amp;$AB207,$G207),IF(OR(AP$3=$D207,AP$3=$AC207,AP$3=$AE207),"",IF(AP$3=$AD207,$F207&amp;"R",AP206))))</f>
        <v>wP</v>
      </c>
      <c r="AQ207" s="11" t="str">
        <f aca="false">IF($P207=0,AQ206,IF(AQ$3=$E207,IF($AA207=1,$F207&amp;$AB207,$G207),IF(OR(AQ$3=$D207,AQ$3=$AC207,AQ$3=$AE207),"",IF(AQ$3=$AD207,$F207&amp;"R",AQ206))))</f>
        <v>wP</v>
      </c>
      <c r="AR207" s="11" t="str">
        <f aca="false">IF($P207=0,AR206,IF(AR$3=$E207,IF($AA207=1,$F207&amp;$AB207,$G207),IF(OR(AR$3=$D207,AR$3=$AC207,AR$3=$AE207),"",IF(AR$3=$AD207,$F207&amp;"R",AR206))))</f>
        <v>wP</v>
      </c>
      <c r="AS207" s="11" t="str">
        <f aca="false">IF($P207=0,AS206,IF(AS$3=$E207,IF($AA207=1,$F207&amp;$AB207,$G207),IF(OR(AS$3=$D207,AS$3=$AC207,AS$3=$AE207),"",IF(AS$3=$AD207,$F207&amp;"R",AS206))))</f>
        <v>wP</v>
      </c>
      <c r="AT207" s="11" t="str">
        <f aca="false">IF($P207=0,AT206,IF(AT$3=$E207,IF($AA207=1,$F207&amp;$AB207,$G207),IF(OR(AT$3=$D207,AT$3=$AC207,AT$3=$AE207),"",IF(AT$3=$AD207,$F207&amp;"R",AT206))))</f>
        <v>wP</v>
      </c>
      <c r="AU207" s="11" t="str">
        <f aca="false">IF($P207=0,AU206,IF(AU$3=$E207,IF($AA207=1,$F207&amp;$AB207,$G207),IF(OR(AU$3=$D207,AU$3=$AC207,AU$3=$AE207),"",IF(AU$3=$AD207,$F207&amp;"R",AU206))))</f>
        <v>wP</v>
      </c>
      <c r="AV207" s="11" t="str">
        <f aca="false">IF($P207=0,AV206,IF(AV$3=$E207,IF($AA207=1,$F207&amp;$AB207,$G207),IF(OR(AV$3=$D207,AV$3=$AC207,AV$3=$AE207),"",IF(AV$3=$AD207,$F207&amp;"R",AV206))))</f>
        <v>wP</v>
      </c>
      <c r="AW207" s="11" t="str">
        <f aca="false">IF($P207=0,AW206,IF(AW$3=$E207,IF($AA207=1,$F207&amp;$AB207,$G207),IF(OR(AW$3=$D207,AW$3=$AC207,AW$3=$AE207),"",IF(AW$3=$AD207,$F207&amp;"R",AW206))))</f>
        <v>wP</v>
      </c>
      <c r="AX207" s="11" t="str">
        <f aca="false">IF($P207=0,AX206,IF(AX$3=$E207,IF($AA207=1,$F207&amp;$AB207,$G207),IF(OR(AX$3=$D207,AX$3=$AC207,AX$3=$AE207),"",IF(AX$3=$AD207,$F207&amp;"R",AX206))))</f>
        <v/>
      </c>
      <c r="AY207" s="11" t="str">
        <f aca="false">IF($P207=0,AY206,IF(AY$3=$E207,IF($AA207=1,$F207&amp;$AB207,$G207),IF(OR(AY$3=$D207,AY$3=$AC207,AY$3=$AE207),"",IF(AY$3=$AD207,$F207&amp;"R",AY206))))</f>
        <v/>
      </c>
      <c r="AZ207" s="11" t="str">
        <f aca="false">IF($P207=0,AZ206,IF(AZ$3=$E207,IF($AA207=1,$F207&amp;$AB207,$G207),IF(OR(AZ$3=$D207,AZ$3=$AC207,AZ$3=$AE207),"",IF(AZ$3=$AD207,$F207&amp;"R",AZ206))))</f>
        <v/>
      </c>
      <c r="BA207" s="11" t="str">
        <f aca="false">IF($P207=0,BA206,IF(BA$3=$E207,IF($AA207=1,$F207&amp;$AB207,$G207),IF(OR(BA$3=$D207,BA$3=$AC207,BA$3=$AE207),"",IF(BA$3=$AD207,$F207&amp;"R",BA206))))</f>
        <v/>
      </c>
      <c r="BB207" s="11" t="str">
        <f aca="false">IF($P207=0,BB206,IF(BB$3=$E207,IF($AA207=1,$F207&amp;$AB207,$G207),IF(OR(BB$3=$D207,BB$3=$AC207,BB$3=$AE207),"",IF(BB$3=$AD207,$F207&amp;"R",BB206))))</f>
        <v/>
      </c>
      <c r="BC207" s="11" t="str">
        <f aca="false">IF($P207=0,BC206,IF(BC$3=$E207,IF($AA207=1,$F207&amp;$AB207,$G207),IF(OR(BC$3=$D207,BC$3=$AC207,BC$3=$AE207),"",IF(BC$3=$AD207,$F207&amp;"R",BC206))))</f>
        <v/>
      </c>
      <c r="BD207" s="11" t="str">
        <f aca="false">IF($P207=0,BD206,IF(BD$3=$E207,IF($AA207=1,$F207&amp;$AB207,$G207),IF(OR(BD$3=$D207,BD$3=$AC207,BD$3=$AE207),"",IF(BD$3=$AD207,$F207&amp;"R",BD206))))</f>
        <v/>
      </c>
      <c r="BE207" s="11" t="str">
        <f aca="false">IF($P207=0,BE206,IF(BE$3=$E207,IF($AA207=1,$F207&amp;$AB207,$G207),IF(OR(BE$3=$D207,BE$3=$AC207,BE$3=$AE207),"",IF(BE$3=$AD207,$F207&amp;"R",BE206))))</f>
        <v/>
      </c>
      <c r="BF207" s="11" t="str">
        <f aca="false">IF($P207=0,BF206,IF(BF$3=$E207,IF($AA207=1,$F207&amp;$AB207,$G207),IF(OR(BF$3=$D207,BF$3=$AC207,BF$3=$AE207),"",IF(BF$3=$AD207,$F207&amp;"R",BF206))))</f>
        <v/>
      </c>
      <c r="BG207" s="11" t="str">
        <f aca="false">IF($P207=0,BG206,IF(BG$3=$E207,IF($AA207=1,$F207&amp;$AB207,$G207),IF(OR(BG$3=$D207,BG$3=$AC207,BG$3=$AE207),"",IF(BG$3=$AD207,$F207&amp;"R",BG206))))</f>
        <v/>
      </c>
      <c r="BH207" s="11" t="str">
        <f aca="false">IF($P207=0,BH206,IF(BH$3=$E207,IF($AA207=1,$F207&amp;$AB207,$G207),IF(OR(BH$3=$D207,BH$3=$AC207,BH$3=$AE207),"",IF(BH$3=$AD207,$F207&amp;"R",BH206))))</f>
        <v/>
      </c>
      <c r="BI207" s="11" t="str">
        <f aca="false">IF($P207=0,BI206,IF(BI$3=$E207,IF($AA207=1,$F207&amp;$AB207,$G207),IF(OR(BI$3=$D207,BI$3=$AC207,BI$3=$AE207),"",IF(BI$3=$AD207,$F207&amp;"R",BI206))))</f>
        <v/>
      </c>
      <c r="BJ207" s="11" t="str">
        <f aca="false">IF($P207=0,BJ206,IF(BJ$3=$E207,IF($AA207=1,$F207&amp;$AB207,$G207),IF(OR(BJ$3=$D207,BJ$3=$AC207,BJ$3=$AE207),"",IF(BJ$3=$AD207,$F207&amp;"R",BJ206))))</f>
        <v/>
      </c>
      <c r="BK207" s="11" t="str">
        <f aca="false">IF($P207=0,BK206,IF(BK$3=$E207,IF($AA207=1,$F207&amp;$AB207,$G207),IF(OR(BK$3=$D207,BK$3=$AC207,BK$3=$AE207),"",IF(BK$3=$AD207,$F207&amp;"R",BK206))))</f>
        <v/>
      </c>
      <c r="BL207" s="11" t="str">
        <f aca="false">IF($P207=0,BL206,IF(BL$3=$E207,IF($AA207=1,$F207&amp;$AB207,$G207),IF(OR(BL$3=$D207,BL$3=$AC207,BL$3=$AE207),"",IF(BL$3=$AD207,$F207&amp;"R",BL206))))</f>
        <v/>
      </c>
      <c r="BM207" s="11" t="str">
        <f aca="false">IF($P207=0,BM206,IF(BM$3=$E207,IF($AA207=1,$F207&amp;$AB207,$G207),IF(OR(BM$3=$D207,BM$3=$AC207,BM$3=$AE207),"",IF(BM$3=$AD207,$F207&amp;"R",BM206))))</f>
        <v/>
      </c>
      <c r="BN207" s="11" t="str">
        <f aca="false">IF($P207=0,BN206,IF(BN$3=$E207,IF($AA207=1,$F207&amp;$AB207,$G207),IF(OR(BN$3=$D207,BN$3=$AC207,BN$3=$AE207),"",IF(BN$3=$AD207,$F207&amp;"R",BN206))))</f>
        <v/>
      </c>
      <c r="BO207" s="11" t="str">
        <f aca="false">IF($P207=0,BO206,IF(BO$3=$E207,IF($AA207=1,$F207&amp;$AB207,$G207),IF(OR(BO$3=$D207,BO$3=$AC207,BO$3=$AE207),"",IF(BO$3=$AD207,$F207&amp;"R",BO206))))</f>
        <v/>
      </c>
      <c r="BP207" s="11" t="str">
        <f aca="false">IF($P207=0,BP206,IF(BP$3=$E207,IF($AA207=1,$F207&amp;$AB207,$G207),IF(OR(BP$3=$D207,BP$3=$AC207,BP$3=$AE207),"",IF(BP$3=$AD207,$F207&amp;"R",BP206))))</f>
        <v/>
      </c>
      <c r="BQ207" s="11" t="str">
        <f aca="false">IF($P207=0,BQ206,IF(BQ$3=$E207,IF($AA207=1,$F207&amp;$AB207,$G207),IF(OR(BQ$3=$D207,BQ$3=$AC207,BQ$3=$AE207),"",IF(BQ$3=$AD207,$F207&amp;"R",BQ206))))</f>
        <v/>
      </c>
      <c r="BR207" s="11" t="str">
        <f aca="false">IF($P207=0,BR206,IF(BR$3=$E207,IF($AA207=1,$F207&amp;$AB207,$G207),IF(OR(BR$3=$D207,BR$3=$AC207,BR$3=$AE207),"",IF(BR$3=$AD207,$F207&amp;"R",BR206))))</f>
        <v/>
      </c>
      <c r="BS207" s="11" t="str">
        <f aca="false">IF($P207=0,BS206,IF(BS$3=$E207,IF($AA207=1,$F207&amp;$AB207,$G207),IF(OR(BS$3=$D207,BS$3=$AC207,BS$3=$AE207),"",IF(BS$3=$AD207,$F207&amp;"R",BS206))))</f>
        <v/>
      </c>
      <c r="BT207" s="11" t="str">
        <f aca="false">IF($P207=0,BT206,IF(BT$3=$E207,IF($AA207=1,$F207&amp;$AB207,$G207),IF(OR(BT$3=$D207,BT$3=$AC207,BT$3=$AE207),"",IF(BT$3=$AD207,$F207&amp;"R",BT206))))</f>
        <v/>
      </c>
      <c r="BU207" s="11" t="str">
        <f aca="false">IF($P207=0,BU206,IF(BU$3=$E207,IF($AA207=1,$F207&amp;$AB207,$G207),IF(OR(BU$3=$D207,BU$3=$AC207,BU$3=$AE207),"",IF(BU$3=$AD207,$F207&amp;"R",BU206))))</f>
        <v/>
      </c>
      <c r="BV207" s="11" t="str">
        <f aca="false">IF($P207=0,BV206,IF(BV$3=$E207,IF($AA207=1,$F207&amp;$AB207,$G207),IF(OR(BV$3=$D207,BV$3=$AC207,BV$3=$AE207),"",IF(BV$3=$AD207,$F207&amp;"R",BV206))))</f>
        <v/>
      </c>
      <c r="BW207" s="11" t="str">
        <f aca="false">IF($P207=0,BW206,IF(BW$3=$E207,IF($AA207=1,$F207&amp;$AB207,$G207),IF(OR(BW$3=$D207,BW$3=$AC207,BW$3=$AE207),"",IF(BW$3=$AD207,$F207&amp;"R",BW206))))</f>
        <v/>
      </c>
      <c r="BX207" s="11" t="str">
        <f aca="false">IF($P207=0,BX206,IF(BX$3=$E207,IF($AA207=1,$F207&amp;$AB207,$G207),IF(OR(BX$3=$D207,BX$3=$AC207,BX$3=$AE207),"",IF(BX$3=$AD207,$F207&amp;"R",BX206))))</f>
        <v/>
      </c>
      <c r="BY207" s="11" t="str">
        <f aca="false">IF($P207=0,BY206,IF(BY$3=$E207,IF($AA207=1,$F207&amp;$AB207,$G207),IF(OR(BY$3=$D207,BY$3=$AC207,BY$3=$AE207),"",IF(BY$3=$AD207,$F207&amp;"R",BY206))))</f>
        <v/>
      </c>
      <c r="BZ207" s="11" t="str">
        <f aca="false">IF($P207=0,BZ206,IF(BZ$3=$E207,IF($AA207=1,$F207&amp;$AB207,$G207),IF(OR(BZ$3=$D207,BZ$3=$AC207,BZ$3=$AE207),"",IF(BZ$3=$AD207,$F207&amp;"R",BZ206))))</f>
        <v/>
      </c>
      <c r="CA207" s="11" t="str">
        <f aca="false">IF($P207=0,CA206,IF(CA$3=$E207,IF($AA207=1,$F207&amp;$AB207,$G207),IF(OR(CA$3=$D207,CA$3=$AC207,CA$3=$AE207),"",IF(CA$3=$AD207,$F207&amp;"R",CA206))))</f>
        <v/>
      </c>
      <c r="CB207" s="11" t="str">
        <f aca="false">IF($P207=0,CB206,IF(CB$3=$E207,IF($AA207=1,$F207&amp;$AB207,$G207),IF(OR(CB$3=$D207,CB$3=$AC207,CB$3=$AE207),"",IF(CB$3=$AD207,$F207&amp;"R",CB206))))</f>
        <v/>
      </c>
      <c r="CC207" s="11" t="str">
        <f aca="false">IF($P207=0,CC206,IF(CC$3=$E207,IF($AA207=1,$F207&amp;$AB207,$G207),IF(OR(CC$3=$D207,CC$3=$AC207,CC$3=$AE207),"",IF(CC$3=$AD207,$F207&amp;"R",CC206))))</f>
        <v/>
      </c>
      <c r="CD207" s="11" t="str">
        <f aca="false">IF($P207=0,CD206,IF(CD$3=$E207,IF($AA207=1,$F207&amp;$AB207,$G207),IF(OR(CD$3=$D207,CD$3=$AC207,CD$3=$AE207),"",IF(CD$3=$AD207,$F207&amp;"R",CD206))))</f>
        <v>bP</v>
      </c>
      <c r="CE207" s="11" t="str">
        <f aca="false">IF($P207=0,CE206,IF(CE$3=$E207,IF($AA207=1,$F207&amp;$AB207,$G207),IF(OR(CE$3=$D207,CE$3=$AC207,CE$3=$AE207),"",IF(CE$3=$AD207,$F207&amp;"R",CE206))))</f>
        <v>bP</v>
      </c>
      <c r="CF207" s="11" t="str">
        <f aca="false">IF($P207=0,CF206,IF(CF$3=$E207,IF($AA207=1,$F207&amp;$AB207,$G207),IF(OR(CF$3=$D207,CF$3=$AC207,CF$3=$AE207),"",IF(CF$3=$AD207,$F207&amp;"R",CF206))))</f>
        <v>bP</v>
      </c>
      <c r="CG207" s="11" t="str">
        <f aca="false">IF($P207=0,CG206,IF(CG$3=$E207,IF($AA207=1,$F207&amp;$AB207,$G207),IF(OR(CG$3=$D207,CG$3=$AC207,CG$3=$AE207),"",IF(CG$3=$AD207,$F207&amp;"R",CG206))))</f>
        <v>bP</v>
      </c>
      <c r="CH207" s="11" t="str">
        <f aca="false">IF($P207=0,CH206,IF(CH$3=$E207,IF($AA207=1,$F207&amp;$AB207,$G207),IF(OR(CH$3=$D207,CH$3=$AC207,CH$3=$AE207),"",IF(CH$3=$AD207,$F207&amp;"R",CH206))))</f>
        <v>bP</v>
      </c>
      <c r="CI207" s="11" t="str">
        <f aca="false">IF($P207=0,CI206,IF(CI$3=$E207,IF($AA207=1,$F207&amp;$AB207,$G207),IF(OR(CI$3=$D207,CI$3=$AC207,CI$3=$AE207),"",IF(CI$3=$AD207,$F207&amp;"R",CI206))))</f>
        <v>bP</v>
      </c>
      <c r="CJ207" s="11" t="str">
        <f aca="false">IF($P207=0,CJ206,IF(CJ$3=$E207,IF($AA207=1,$F207&amp;$AB207,$G207),IF(OR(CJ$3=$D207,CJ$3=$AC207,CJ$3=$AE207),"",IF(CJ$3=$AD207,$F207&amp;"R",CJ206))))</f>
        <v>bP</v>
      </c>
      <c r="CK207" s="11" t="str">
        <f aca="false">IF($P207=0,CK206,IF(CK$3=$E207,IF($AA207=1,$F207&amp;$AB207,$G207),IF(OR(CK$3=$D207,CK$3=$AC207,CK$3=$AE207),"",IF(CK$3=$AD207,$F207&amp;"R",CK206))))</f>
        <v>bP</v>
      </c>
      <c r="CL207" s="11" t="str">
        <f aca="false">IF($P207=0,CL206,IF(CL$3=$E207,IF($AA207=1,$F207&amp;$AB207,$G207),IF(OR(CL$3=$D207,CL$3=$AC207,CL$3=$AE207),"",IF(CL$3=$AD207,$F207&amp;"R",CL206))))</f>
        <v>bR</v>
      </c>
      <c r="CM207" s="11" t="str">
        <f aca="false">IF($P207=0,CM206,IF(CM$3=$E207,IF($AA207=1,$F207&amp;$AB207,$G207),IF(OR(CM$3=$D207,CM$3=$AC207,CM$3=$AE207),"",IF(CM$3=$AD207,$F207&amp;"R",CM206))))</f>
        <v>bN</v>
      </c>
      <c r="CN207" s="11" t="str">
        <f aca="false">IF($P207=0,CN206,IF(CN$3=$E207,IF($AA207=1,$F207&amp;$AB207,$G207),IF(OR(CN$3=$D207,CN$3=$AC207,CN$3=$AE207),"",IF(CN$3=$AD207,$F207&amp;"R",CN206))))</f>
        <v>bB</v>
      </c>
      <c r="CO207" s="11" t="str">
        <f aca="false">IF($P207=0,CO206,IF(CO$3=$E207,IF($AA207=1,$F207&amp;$AB207,$G207),IF(OR(CO$3=$D207,CO$3=$AC207,CO$3=$AE207),"",IF(CO$3=$AD207,$F207&amp;"R",CO206))))</f>
        <v>bQ</v>
      </c>
      <c r="CP207" s="11" t="str">
        <f aca="false">IF($P207=0,CP206,IF(CP$3=$E207,IF($AA207=1,$F207&amp;$AB207,$G207),IF(OR(CP$3=$D207,CP$3=$AC207,CP$3=$AE207),"",IF(CP$3=$AD207,$F207&amp;"R",CP206))))</f>
        <v>bK</v>
      </c>
      <c r="CQ207" s="11" t="str">
        <f aca="false">IF($P207=0,CQ206,IF(CQ$3=$E207,IF($AA207=1,$F207&amp;$AB207,$G207),IF(OR(CQ$3=$D207,CQ$3=$AC207,CQ$3=$AE207),"",IF(CQ$3=$AD207,$F207&amp;"R",CQ206))))</f>
        <v>bB</v>
      </c>
      <c r="CR207" s="11" t="str">
        <f aca="false">IF($P207=0,CR206,IF(CR$3=$E207,IF($AA207=1,$F207&amp;$AB207,$G207),IF(OR(CR$3=$D207,CR$3=$AC207,CR$3=$AE207),"",IF(CR$3=$AD207,$F207&amp;"R",CR206))))</f>
        <v>bN</v>
      </c>
      <c r="CS207" s="11" t="str">
        <f aca="false">IF($P207=0,CS206,IF(CS$3=$E207,IF($AA207=1,$F207&amp;$AB207,$G207),IF(OR(CS$3=$D207,CS$3=$AC207,CS$3=$AE207),"",IF(CS$3=$AD207,$F207&amp;"R",CS206))))</f>
        <v>bR</v>
      </c>
      <c r="CT207" s="11"/>
      <c r="CU207" s="11"/>
      <c r="CV207" s="11"/>
    </row>
    <row r="208" customFormat="false" ht="15" hidden="false" customHeight="false" outlineLevel="0" collapsed="false">
      <c r="A208" s="11" t="n">
        <v>203</v>
      </c>
      <c r="B208" s="11" t="str">
        <f aca="false">IF(Chess!$L$212="","",Chess!$L$212&amp;"")</f>
        <v/>
      </c>
      <c r="C208" s="11" t="str">
        <f aca="false">LOWER(SUBSTITUTE(SUBSTITUTE(SUBSTITUTE(SUBSTITUTE(TRIM($B208),"-",""),"=","")," ",""),"x",""))</f>
        <v/>
      </c>
      <c r="D208" s="11" t="n">
        <f aca="false">IF(LEN($C208)&lt;4,0,IFERROR(IF(AND(CODE(MID($C208,1,1))&gt;=97,CODE(MID($C208,1,1))&lt;=104,VALUE(MID($C208,2,1))&gt;=1,VALUE(MID($C208,2,1))&lt;=8),(VALUE(MID($C208,2,1))-1)*8+CODE(MID($C208,1,1))-96,0),0))</f>
        <v>0</v>
      </c>
      <c r="E208" s="11" t="n">
        <f aca="false">IF(LEN($C208)&lt;4,0,IFERROR(IF(AND(CODE(MID($C208,3,1))&gt;=97,CODE(MID($C208,3,1))&lt;=104,VALUE(MID($C208,4,1))&gt;=1,VALUE(MID($C208,4,1))&lt;=8),(VALUE(MID($C208,4,1))-1)*8+CODE(MID($C208,3,1))-96,0),0))</f>
        <v>0</v>
      </c>
      <c r="F208" s="11" t="str">
        <f aca="false">IF(MOD(SUM($P$5:$P207),2)=0,"w","b")</f>
        <v>w</v>
      </c>
      <c r="G208" s="11" t="str">
        <f aca="false">IF($D208=0,"",INDEX($AH207:$CS207,1,$D208)&amp;"")</f>
        <v/>
      </c>
      <c r="H208" s="11" t="str">
        <f aca="false">IF($E208=0,"",INDEX($AH207:$CS207,1,$E208)&amp;"")</f>
        <v/>
      </c>
      <c r="I208" s="11" t="n">
        <f aca="false">IF(OR($D208=0,$E208=0),0,MOD($E208-1,8)-MOD($D208-1,8))</f>
        <v>0</v>
      </c>
      <c r="J208" s="11" t="n">
        <f aca="false">IF(OR($D208=0,$E208=0),0,INT(($E208-1)/8)-INT(($D208-1)/8))</f>
        <v>0</v>
      </c>
      <c r="K208" s="11" t="str">
        <f aca="false">IF($G208="","",RIGHT($G208,1))</f>
        <v/>
      </c>
      <c r="L208" s="11" t="n">
        <f aca="false">IF(OR($D208=0,$E208=0),0,SUMPRODUCT(($AH$3:$CS$3&gt;MIN($D208,$E208))*($AH$3:$CS$3&lt;MAX($D208,$E208))*(MOD($AH$3:$CS$3-MIN($D208,$E208),MAX(1,ABS(SIGN($J208)*8+SIGN($I208))))=0)*($AH207:$CS207&lt;&gt;"")))</f>
        <v>0</v>
      </c>
      <c r="M208" s="11" t="n">
        <f aca="false">IF($K208&lt;&gt;"K",0,IFERROR(--AND($J208=0,ABS($I208)=2,$D208=IF($F208="w",5,61),IF($F208="w",$S207,$V207)=0,IF($I208=2,AND(IF($F208="w",$U207,$X207)=0,INDEX($AH207:$CS207,1,$D208+1)&amp;""="",INDEX($AH207:$CS207,1,$D208+2)&amp;""=""),AND(IF($F208="w",$T207,$W207)=0,INDEX($AH207:$CS207,1,$D208-1)&amp;""="",INDEX($AH207:$CS207,1,$D208-2)&amp;""="",INDEX($AH207:$CS207,1,$D208-3)&amp;""=""))),0))</f>
        <v>0</v>
      </c>
      <c r="N208" s="11" t="n">
        <f aca="false">IF($K208&lt;&gt;"P",0,IFERROR(--OR(AND($I208=0,$J208=IF($F208="w",1,-1),$H208=""),AND($I208=0,$J208=2*IF($F208="w",1,-1),$H208="",INT(($D208-1)/8)=IF($F208="w",1,6),INDEX($AH207:$CS207,1,MAX(1,MIN(64,$D208+8*IF($F208="w",1,-1))))&amp;""=""),AND(ABS($I208)=1,$J208=IF($F208="w",1,-1),$H208&lt;&gt;""),AND(ABS($I208)=1,$J208=IF($F208="w",1,-1),$H208="",$R207&gt;0,$E208=$R207)),0))</f>
        <v>0</v>
      </c>
      <c r="O208" s="11" t="n">
        <f aca="false">IF(OR($D208=0,$E208=0,$G208=""),0,IF($K208="N",--OR(AND(ABS($I208)=1,ABS($J208)=2),AND(ABS($I208)=2,ABS($J208)=1)),IF($K208="B",--AND(ABS($I208)=ABS($J208),$I208&lt;&gt;0,$L208=0),IF($K208="R",--AND(OR($I208=0,$J208=0),OR($I208&lt;&gt;0,$J208&lt;&gt;0),$L208=0),IF($K208="Q",--AND(OR(AND(ABS($I208)=ABS($J208),$I208&lt;&gt;0),AND(OR($I208=0,$J208=0),OR($I208&lt;&gt;0,$J208&lt;&gt;0))),$L208=0),IF($K208="K",--OR(MAX(ABS($I208),ABS($J208))=1,$M208=1),$N208))))))</f>
        <v>0</v>
      </c>
      <c r="P208" s="11" t="n">
        <f aca="false">IF($Q208="OK",1,0)</f>
        <v>0</v>
      </c>
      <c r="Q208" s="11" t="str">
        <f aca="false">IF($B208="","",IF(OR(COUNTIF($AH207:$CS207,"wK")=0,COUNTIF($AH207:$CS207,"bK")=0),"Game is over",IF(OR($D208=0,$E208=0),"Use the format e2e4",IF($G208="","No piece on that square",IF(LEFT($G208,1)&lt;&gt;$F208,"Not your piece ("&amp;IF($F208="w","White","Black")&amp;" to move)",IF($D208=$E208,"Piece must move",IF(AND($H208&lt;&gt;"",LEFT($H208,1)=$F208),"Cannot capture your own piece",IF($O208=0,"Illegal move for that piece (or path blocked)","OK"))))))))</f>
        <v/>
      </c>
      <c r="R208" s="11" t="n">
        <f aca="false">IF($P208=1,IF(AND($K208="P",ABS($J208)=2),($D208+$E208)/2,0),$R207)</f>
        <v>0</v>
      </c>
      <c r="S208" s="12" t="b">
        <f aca="false">--OR($S207=1,AND($P208=1,OR($D208=5,$E208=5)))</f>
        <v>0</v>
      </c>
      <c r="T208" s="12" t="b">
        <f aca="false">--OR($T207=1,AND($P208=1,OR($D208=1,$E208=1)))</f>
        <v>0</v>
      </c>
      <c r="U208" s="12" t="b">
        <f aca="false">--OR($U207=1,AND($P208=1,OR($D208=8,$E208=8)))</f>
        <v>0</v>
      </c>
      <c r="V208" s="12" t="b">
        <f aca="false">--OR($V207=1,AND($P208=1,OR($D208=61,$E208=61)))</f>
        <v>0</v>
      </c>
      <c r="W208" s="12" t="b">
        <f aca="false">--OR($W207=1,AND($P208=1,OR($D208=57,$E208=57)))</f>
        <v>0</v>
      </c>
      <c r="X208" s="12" t="b">
        <f aca="false">--OR($X207=1,AND($P208=1,OR($D208=64,$E208=64)))</f>
        <v>0</v>
      </c>
      <c r="Y208" s="12" t="b">
        <f aca="false">--AND($P208=1,$K208="K",ABS($I208)=2)</f>
        <v>0</v>
      </c>
      <c r="Z208" s="12" t="b">
        <f aca="false">--AND($P208=1,$K208="P",ABS($I208)=1,$H208="")</f>
        <v>0</v>
      </c>
      <c r="AA208" s="12" t="b">
        <f aca="false">--AND($P208=1,$K208="P",INT(($E208-1)/8)=IF($F208="w",7,0))</f>
        <v>0</v>
      </c>
      <c r="AB208" s="11" t="str">
        <f aca="false">IF(LEN($C208)&gt;=5,IF(ISNUMBER(FIND(MID($C208,5,1),"qrbn")),UPPER(MID($C208,5,1)),"Q"),"Q")</f>
        <v>Q</v>
      </c>
      <c r="AC208" s="11" t="n">
        <f aca="false">IF($Y208=1,IF($I208=2,$D208+3,$D208-4),0)</f>
        <v>0</v>
      </c>
      <c r="AD208" s="11" t="n">
        <f aca="false">IF($Y208=1,IF($I208=2,$D208+1,$D208-1),0)</f>
        <v>0</v>
      </c>
      <c r="AE208" s="11" t="n">
        <f aca="false">IF($Z208=1,$E208-8*IF($F208="w",1,-1),0)</f>
        <v>0</v>
      </c>
      <c r="AF208" s="11" t="str">
        <f aca="false">IF($B208="","",IF($P208=1,LOWER(INDEX($CV$2:$CV$13,MATCH($G208,$CU$2:$CU$13,0)))&amp;" "&amp;MID("abcdefgh",MOD($D208-1,8)+1,1)&amp;(INT(($D208-1)/8)+1)&amp;"→"&amp;MID("abcdefgh",MOD($E208-1,8)+1,1)&amp;(INT(($E208-1)/8)+1)&amp;IF(OR($H208&lt;&gt;"",$Z208=1)," ×","")&amp;IF($Y208=1," castles","")&amp;IF($Z208=1," e.p.","")&amp;IF($AA208=1," =" &amp;LOWER(INDEX($CV$2:$CV$13,MATCH($F208&amp;$AB208,$CU$2:$CU$13,0))),""),"X "&amp;$Q208))</f>
        <v/>
      </c>
      <c r="AG208" s="11"/>
      <c r="AH208" s="11" t="str">
        <f aca="false">IF($P208=0,AH207,IF(AH$3=$E208,IF($AA208=1,$F208&amp;$AB208,$G208),IF(OR(AH$3=$D208,AH$3=$AC208,AH$3=$AE208),"",IF(AH$3=$AD208,$F208&amp;"R",AH207))))</f>
        <v>wR</v>
      </c>
      <c r="AI208" s="11" t="str">
        <f aca="false">IF($P208=0,AI207,IF(AI$3=$E208,IF($AA208=1,$F208&amp;$AB208,$G208),IF(OR(AI$3=$D208,AI$3=$AC208,AI$3=$AE208),"",IF(AI$3=$AD208,$F208&amp;"R",AI207))))</f>
        <v>wN</v>
      </c>
      <c r="AJ208" s="11" t="str">
        <f aca="false">IF($P208=0,AJ207,IF(AJ$3=$E208,IF($AA208=1,$F208&amp;$AB208,$G208),IF(OR(AJ$3=$D208,AJ$3=$AC208,AJ$3=$AE208),"",IF(AJ$3=$AD208,$F208&amp;"R",AJ207))))</f>
        <v>wB</v>
      </c>
      <c r="AK208" s="11" t="str">
        <f aca="false">IF($P208=0,AK207,IF(AK$3=$E208,IF($AA208=1,$F208&amp;$AB208,$G208),IF(OR(AK$3=$D208,AK$3=$AC208,AK$3=$AE208),"",IF(AK$3=$AD208,$F208&amp;"R",AK207))))</f>
        <v>wQ</v>
      </c>
      <c r="AL208" s="11" t="str">
        <f aca="false">IF($P208=0,AL207,IF(AL$3=$E208,IF($AA208=1,$F208&amp;$AB208,$G208),IF(OR(AL$3=$D208,AL$3=$AC208,AL$3=$AE208),"",IF(AL$3=$AD208,$F208&amp;"R",AL207))))</f>
        <v>wK</v>
      </c>
      <c r="AM208" s="11" t="str">
        <f aca="false">IF($P208=0,AM207,IF(AM$3=$E208,IF($AA208=1,$F208&amp;$AB208,$G208),IF(OR(AM$3=$D208,AM$3=$AC208,AM$3=$AE208),"",IF(AM$3=$AD208,$F208&amp;"R",AM207))))</f>
        <v>wB</v>
      </c>
      <c r="AN208" s="11" t="str">
        <f aca="false">IF($P208=0,AN207,IF(AN$3=$E208,IF($AA208=1,$F208&amp;$AB208,$G208),IF(OR(AN$3=$D208,AN$3=$AC208,AN$3=$AE208),"",IF(AN$3=$AD208,$F208&amp;"R",AN207))))</f>
        <v>wN</v>
      </c>
      <c r="AO208" s="11" t="str">
        <f aca="false">IF($P208=0,AO207,IF(AO$3=$E208,IF($AA208=1,$F208&amp;$AB208,$G208),IF(OR(AO$3=$D208,AO$3=$AC208,AO$3=$AE208),"",IF(AO$3=$AD208,$F208&amp;"R",AO207))))</f>
        <v>wR</v>
      </c>
      <c r="AP208" s="11" t="str">
        <f aca="false">IF($P208=0,AP207,IF(AP$3=$E208,IF($AA208=1,$F208&amp;$AB208,$G208),IF(OR(AP$3=$D208,AP$3=$AC208,AP$3=$AE208),"",IF(AP$3=$AD208,$F208&amp;"R",AP207))))</f>
        <v>wP</v>
      </c>
      <c r="AQ208" s="11" t="str">
        <f aca="false">IF($P208=0,AQ207,IF(AQ$3=$E208,IF($AA208=1,$F208&amp;$AB208,$G208),IF(OR(AQ$3=$D208,AQ$3=$AC208,AQ$3=$AE208),"",IF(AQ$3=$AD208,$F208&amp;"R",AQ207))))</f>
        <v>wP</v>
      </c>
      <c r="AR208" s="11" t="str">
        <f aca="false">IF($P208=0,AR207,IF(AR$3=$E208,IF($AA208=1,$F208&amp;$AB208,$G208),IF(OR(AR$3=$D208,AR$3=$AC208,AR$3=$AE208),"",IF(AR$3=$AD208,$F208&amp;"R",AR207))))</f>
        <v>wP</v>
      </c>
      <c r="AS208" s="11" t="str">
        <f aca="false">IF($P208=0,AS207,IF(AS$3=$E208,IF($AA208=1,$F208&amp;$AB208,$G208),IF(OR(AS$3=$D208,AS$3=$AC208,AS$3=$AE208),"",IF(AS$3=$AD208,$F208&amp;"R",AS207))))</f>
        <v>wP</v>
      </c>
      <c r="AT208" s="11" t="str">
        <f aca="false">IF($P208=0,AT207,IF(AT$3=$E208,IF($AA208=1,$F208&amp;$AB208,$G208),IF(OR(AT$3=$D208,AT$3=$AC208,AT$3=$AE208),"",IF(AT$3=$AD208,$F208&amp;"R",AT207))))</f>
        <v>wP</v>
      </c>
      <c r="AU208" s="11" t="str">
        <f aca="false">IF($P208=0,AU207,IF(AU$3=$E208,IF($AA208=1,$F208&amp;$AB208,$G208),IF(OR(AU$3=$D208,AU$3=$AC208,AU$3=$AE208),"",IF(AU$3=$AD208,$F208&amp;"R",AU207))))</f>
        <v>wP</v>
      </c>
      <c r="AV208" s="11" t="str">
        <f aca="false">IF($P208=0,AV207,IF(AV$3=$E208,IF($AA208=1,$F208&amp;$AB208,$G208),IF(OR(AV$3=$D208,AV$3=$AC208,AV$3=$AE208),"",IF(AV$3=$AD208,$F208&amp;"R",AV207))))</f>
        <v>wP</v>
      </c>
      <c r="AW208" s="11" t="str">
        <f aca="false">IF($P208=0,AW207,IF(AW$3=$E208,IF($AA208=1,$F208&amp;$AB208,$G208),IF(OR(AW$3=$D208,AW$3=$AC208,AW$3=$AE208),"",IF(AW$3=$AD208,$F208&amp;"R",AW207))))</f>
        <v>wP</v>
      </c>
      <c r="AX208" s="11" t="str">
        <f aca="false">IF($P208=0,AX207,IF(AX$3=$E208,IF($AA208=1,$F208&amp;$AB208,$G208),IF(OR(AX$3=$D208,AX$3=$AC208,AX$3=$AE208),"",IF(AX$3=$AD208,$F208&amp;"R",AX207))))</f>
        <v/>
      </c>
      <c r="AY208" s="11" t="str">
        <f aca="false">IF($P208=0,AY207,IF(AY$3=$E208,IF($AA208=1,$F208&amp;$AB208,$G208),IF(OR(AY$3=$D208,AY$3=$AC208,AY$3=$AE208),"",IF(AY$3=$AD208,$F208&amp;"R",AY207))))</f>
        <v/>
      </c>
      <c r="AZ208" s="11" t="str">
        <f aca="false">IF($P208=0,AZ207,IF(AZ$3=$E208,IF($AA208=1,$F208&amp;$AB208,$G208),IF(OR(AZ$3=$D208,AZ$3=$AC208,AZ$3=$AE208),"",IF(AZ$3=$AD208,$F208&amp;"R",AZ207))))</f>
        <v/>
      </c>
      <c r="BA208" s="11" t="str">
        <f aca="false">IF($P208=0,BA207,IF(BA$3=$E208,IF($AA208=1,$F208&amp;$AB208,$G208),IF(OR(BA$3=$D208,BA$3=$AC208,BA$3=$AE208),"",IF(BA$3=$AD208,$F208&amp;"R",BA207))))</f>
        <v/>
      </c>
      <c r="BB208" s="11" t="str">
        <f aca="false">IF($P208=0,BB207,IF(BB$3=$E208,IF($AA208=1,$F208&amp;$AB208,$G208),IF(OR(BB$3=$D208,BB$3=$AC208,BB$3=$AE208),"",IF(BB$3=$AD208,$F208&amp;"R",BB207))))</f>
        <v/>
      </c>
      <c r="BC208" s="11" t="str">
        <f aca="false">IF($P208=0,BC207,IF(BC$3=$E208,IF($AA208=1,$F208&amp;$AB208,$G208),IF(OR(BC$3=$D208,BC$3=$AC208,BC$3=$AE208),"",IF(BC$3=$AD208,$F208&amp;"R",BC207))))</f>
        <v/>
      </c>
      <c r="BD208" s="11" t="str">
        <f aca="false">IF($P208=0,BD207,IF(BD$3=$E208,IF($AA208=1,$F208&amp;$AB208,$G208),IF(OR(BD$3=$D208,BD$3=$AC208,BD$3=$AE208),"",IF(BD$3=$AD208,$F208&amp;"R",BD207))))</f>
        <v/>
      </c>
      <c r="BE208" s="11" t="str">
        <f aca="false">IF($P208=0,BE207,IF(BE$3=$E208,IF($AA208=1,$F208&amp;$AB208,$G208),IF(OR(BE$3=$D208,BE$3=$AC208,BE$3=$AE208),"",IF(BE$3=$AD208,$F208&amp;"R",BE207))))</f>
        <v/>
      </c>
      <c r="BF208" s="11" t="str">
        <f aca="false">IF($P208=0,BF207,IF(BF$3=$E208,IF($AA208=1,$F208&amp;$AB208,$G208),IF(OR(BF$3=$D208,BF$3=$AC208,BF$3=$AE208),"",IF(BF$3=$AD208,$F208&amp;"R",BF207))))</f>
        <v/>
      </c>
      <c r="BG208" s="11" t="str">
        <f aca="false">IF($P208=0,BG207,IF(BG$3=$E208,IF($AA208=1,$F208&amp;$AB208,$G208),IF(OR(BG$3=$D208,BG$3=$AC208,BG$3=$AE208),"",IF(BG$3=$AD208,$F208&amp;"R",BG207))))</f>
        <v/>
      </c>
      <c r="BH208" s="11" t="str">
        <f aca="false">IF($P208=0,BH207,IF(BH$3=$E208,IF($AA208=1,$F208&amp;$AB208,$G208),IF(OR(BH$3=$D208,BH$3=$AC208,BH$3=$AE208),"",IF(BH$3=$AD208,$F208&amp;"R",BH207))))</f>
        <v/>
      </c>
      <c r="BI208" s="11" t="str">
        <f aca="false">IF($P208=0,BI207,IF(BI$3=$E208,IF($AA208=1,$F208&amp;$AB208,$G208),IF(OR(BI$3=$D208,BI$3=$AC208,BI$3=$AE208),"",IF(BI$3=$AD208,$F208&amp;"R",BI207))))</f>
        <v/>
      </c>
      <c r="BJ208" s="11" t="str">
        <f aca="false">IF($P208=0,BJ207,IF(BJ$3=$E208,IF($AA208=1,$F208&amp;$AB208,$G208),IF(OR(BJ$3=$D208,BJ$3=$AC208,BJ$3=$AE208),"",IF(BJ$3=$AD208,$F208&amp;"R",BJ207))))</f>
        <v/>
      </c>
      <c r="BK208" s="11" t="str">
        <f aca="false">IF($P208=0,BK207,IF(BK$3=$E208,IF($AA208=1,$F208&amp;$AB208,$G208),IF(OR(BK$3=$D208,BK$3=$AC208,BK$3=$AE208),"",IF(BK$3=$AD208,$F208&amp;"R",BK207))))</f>
        <v/>
      </c>
      <c r="BL208" s="11" t="str">
        <f aca="false">IF($P208=0,BL207,IF(BL$3=$E208,IF($AA208=1,$F208&amp;$AB208,$G208),IF(OR(BL$3=$D208,BL$3=$AC208,BL$3=$AE208),"",IF(BL$3=$AD208,$F208&amp;"R",BL207))))</f>
        <v/>
      </c>
      <c r="BM208" s="11" t="str">
        <f aca="false">IF($P208=0,BM207,IF(BM$3=$E208,IF($AA208=1,$F208&amp;$AB208,$G208),IF(OR(BM$3=$D208,BM$3=$AC208,BM$3=$AE208),"",IF(BM$3=$AD208,$F208&amp;"R",BM207))))</f>
        <v/>
      </c>
      <c r="BN208" s="11" t="str">
        <f aca="false">IF($P208=0,BN207,IF(BN$3=$E208,IF($AA208=1,$F208&amp;$AB208,$G208),IF(OR(BN$3=$D208,BN$3=$AC208,BN$3=$AE208),"",IF(BN$3=$AD208,$F208&amp;"R",BN207))))</f>
        <v/>
      </c>
      <c r="BO208" s="11" t="str">
        <f aca="false">IF($P208=0,BO207,IF(BO$3=$E208,IF($AA208=1,$F208&amp;$AB208,$G208),IF(OR(BO$3=$D208,BO$3=$AC208,BO$3=$AE208),"",IF(BO$3=$AD208,$F208&amp;"R",BO207))))</f>
        <v/>
      </c>
      <c r="BP208" s="11" t="str">
        <f aca="false">IF($P208=0,BP207,IF(BP$3=$E208,IF($AA208=1,$F208&amp;$AB208,$G208),IF(OR(BP$3=$D208,BP$3=$AC208,BP$3=$AE208),"",IF(BP$3=$AD208,$F208&amp;"R",BP207))))</f>
        <v/>
      </c>
      <c r="BQ208" s="11" t="str">
        <f aca="false">IF($P208=0,BQ207,IF(BQ$3=$E208,IF($AA208=1,$F208&amp;$AB208,$G208),IF(OR(BQ$3=$D208,BQ$3=$AC208,BQ$3=$AE208),"",IF(BQ$3=$AD208,$F208&amp;"R",BQ207))))</f>
        <v/>
      </c>
      <c r="BR208" s="11" t="str">
        <f aca="false">IF($P208=0,BR207,IF(BR$3=$E208,IF($AA208=1,$F208&amp;$AB208,$G208),IF(OR(BR$3=$D208,BR$3=$AC208,BR$3=$AE208),"",IF(BR$3=$AD208,$F208&amp;"R",BR207))))</f>
        <v/>
      </c>
      <c r="BS208" s="11" t="str">
        <f aca="false">IF($P208=0,BS207,IF(BS$3=$E208,IF($AA208=1,$F208&amp;$AB208,$G208),IF(OR(BS$3=$D208,BS$3=$AC208,BS$3=$AE208),"",IF(BS$3=$AD208,$F208&amp;"R",BS207))))</f>
        <v/>
      </c>
      <c r="BT208" s="11" t="str">
        <f aca="false">IF($P208=0,BT207,IF(BT$3=$E208,IF($AA208=1,$F208&amp;$AB208,$G208),IF(OR(BT$3=$D208,BT$3=$AC208,BT$3=$AE208),"",IF(BT$3=$AD208,$F208&amp;"R",BT207))))</f>
        <v/>
      </c>
      <c r="BU208" s="11" t="str">
        <f aca="false">IF($P208=0,BU207,IF(BU$3=$E208,IF($AA208=1,$F208&amp;$AB208,$G208),IF(OR(BU$3=$D208,BU$3=$AC208,BU$3=$AE208),"",IF(BU$3=$AD208,$F208&amp;"R",BU207))))</f>
        <v/>
      </c>
      <c r="BV208" s="11" t="str">
        <f aca="false">IF($P208=0,BV207,IF(BV$3=$E208,IF($AA208=1,$F208&amp;$AB208,$G208),IF(OR(BV$3=$D208,BV$3=$AC208,BV$3=$AE208),"",IF(BV$3=$AD208,$F208&amp;"R",BV207))))</f>
        <v/>
      </c>
      <c r="BW208" s="11" t="str">
        <f aca="false">IF($P208=0,BW207,IF(BW$3=$E208,IF($AA208=1,$F208&amp;$AB208,$G208),IF(OR(BW$3=$D208,BW$3=$AC208,BW$3=$AE208),"",IF(BW$3=$AD208,$F208&amp;"R",BW207))))</f>
        <v/>
      </c>
      <c r="BX208" s="11" t="str">
        <f aca="false">IF($P208=0,BX207,IF(BX$3=$E208,IF($AA208=1,$F208&amp;$AB208,$G208),IF(OR(BX$3=$D208,BX$3=$AC208,BX$3=$AE208),"",IF(BX$3=$AD208,$F208&amp;"R",BX207))))</f>
        <v/>
      </c>
      <c r="BY208" s="11" t="str">
        <f aca="false">IF($P208=0,BY207,IF(BY$3=$E208,IF($AA208=1,$F208&amp;$AB208,$G208),IF(OR(BY$3=$D208,BY$3=$AC208,BY$3=$AE208),"",IF(BY$3=$AD208,$F208&amp;"R",BY207))))</f>
        <v/>
      </c>
      <c r="BZ208" s="11" t="str">
        <f aca="false">IF($P208=0,BZ207,IF(BZ$3=$E208,IF($AA208=1,$F208&amp;$AB208,$G208),IF(OR(BZ$3=$D208,BZ$3=$AC208,BZ$3=$AE208),"",IF(BZ$3=$AD208,$F208&amp;"R",BZ207))))</f>
        <v/>
      </c>
      <c r="CA208" s="11" t="str">
        <f aca="false">IF($P208=0,CA207,IF(CA$3=$E208,IF($AA208=1,$F208&amp;$AB208,$G208),IF(OR(CA$3=$D208,CA$3=$AC208,CA$3=$AE208),"",IF(CA$3=$AD208,$F208&amp;"R",CA207))))</f>
        <v/>
      </c>
      <c r="CB208" s="11" t="str">
        <f aca="false">IF($P208=0,CB207,IF(CB$3=$E208,IF($AA208=1,$F208&amp;$AB208,$G208),IF(OR(CB$3=$D208,CB$3=$AC208,CB$3=$AE208),"",IF(CB$3=$AD208,$F208&amp;"R",CB207))))</f>
        <v/>
      </c>
      <c r="CC208" s="11" t="str">
        <f aca="false">IF($P208=0,CC207,IF(CC$3=$E208,IF($AA208=1,$F208&amp;$AB208,$G208),IF(OR(CC$3=$D208,CC$3=$AC208,CC$3=$AE208),"",IF(CC$3=$AD208,$F208&amp;"R",CC207))))</f>
        <v/>
      </c>
      <c r="CD208" s="11" t="str">
        <f aca="false">IF($P208=0,CD207,IF(CD$3=$E208,IF($AA208=1,$F208&amp;$AB208,$G208),IF(OR(CD$3=$D208,CD$3=$AC208,CD$3=$AE208),"",IF(CD$3=$AD208,$F208&amp;"R",CD207))))</f>
        <v>bP</v>
      </c>
      <c r="CE208" s="11" t="str">
        <f aca="false">IF($P208=0,CE207,IF(CE$3=$E208,IF($AA208=1,$F208&amp;$AB208,$G208),IF(OR(CE$3=$D208,CE$3=$AC208,CE$3=$AE208),"",IF(CE$3=$AD208,$F208&amp;"R",CE207))))</f>
        <v>bP</v>
      </c>
      <c r="CF208" s="11" t="str">
        <f aca="false">IF($P208=0,CF207,IF(CF$3=$E208,IF($AA208=1,$F208&amp;$AB208,$G208),IF(OR(CF$3=$D208,CF$3=$AC208,CF$3=$AE208),"",IF(CF$3=$AD208,$F208&amp;"R",CF207))))</f>
        <v>bP</v>
      </c>
      <c r="CG208" s="11" t="str">
        <f aca="false">IF($P208=0,CG207,IF(CG$3=$E208,IF($AA208=1,$F208&amp;$AB208,$G208),IF(OR(CG$3=$D208,CG$3=$AC208,CG$3=$AE208),"",IF(CG$3=$AD208,$F208&amp;"R",CG207))))</f>
        <v>bP</v>
      </c>
      <c r="CH208" s="11" t="str">
        <f aca="false">IF($P208=0,CH207,IF(CH$3=$E208,IF($AA208=1,$F208&amp;$AB208,$G208),IF(OR(CH$3=$D208,CH$3=$AC208,CH$3=$AE208),"",IF(CH$3=$AD208,$F208&amp;"R",CH207))))</f>
        <v>bP</v>
      </c>
      <c r="CI208" s="11" t="str">
        <f aca="false">IF($P208=0,CI207,IF(CI$3=$E208,IF($AA208=1,$F208&amp;$AB208,$G208),IF(OR(CI$3=$D208,CI$3=$AC208,CI$3=$AE208),"",IF(CI$3=$AD208,$F208&amp;"R",CI207))))</f>
        <v>bP</v>
      </c>
      <c r="CJ208" s="11" t="str">
        <f aca="false">IF($P208=0,CJ207,IF(CJ$3=$E208,IF($AA208=1,$F208&amp;$AB208,$G208),IF(OR(CJ$3=$D208,CJ$3=$AC208,CJ$3=$AE208),"",IF(CJ$3=$AD208,$F208&amp;"R",CJ207))))</f>
        <v>bP</v>
      </c>
      <c r="CK208" s="11" t="str">
        <f aca="false">IF($P208=0,CK207,IF(CK$3=$E208,IF($AA208=1,$F208&amp;$AB208,$G208),IF(OR(CK$3=$D208,CK$3=$AC208,CK$3=$AE208),"",IF(CK$3=$AD208,$F208&amp;"R",CK207))))</f>
        <v>bP</v>
      </c>
      <c r="CL208" s="11" t="str">
        <f aca="false">IF($P208=0,CL207,IF(CL$3=$E208,IF($AA208=1,$F208&amp;$AB208,$G208),IF(OR(CL$3=$D208,CL$3=$AC208,CL$3=$AE208),"",IF(CL$3=$AD208,$F208&amp;"R",CL207))))</f>
        <v>bR</v>
      </c>
      <c r="CM208" s="11" t="str">
        <f aca="false">IF($P208=0,CM207,IF(CM$3=$E208,IF($AA208=1,$F208&amp;$AB208,$G208),IF(OR(CM$3=$D208,CM$3=$AC208,CM$3=$AE208),"",IF(CM$3=$AD208,$F208&amp;"R",CM207))))</f>
        <v>bN</v>
      </c>
      <c r="CN208" s="11" t="str">
        <f aca="false">IF($P208=0,CN207,IF(CN$3=$E208,IF($AA208=1,$F208&amp;$AB208,$G208),IF(OR(CN$3=$D208,CN$3=$AC208,CN$3=$AE208),"",IF(CN$3=$AD208,$F208&amp;"R",CN207))))</f>
        <v>bB</v>
      </c>
      <c r="CO208" s="11" t="str">
        <f aca="false">IF($P208=0,CO207,IF(CO$3=$E208,IF($AA208=1,$F208&amp;$AB208,$G208),IF(OR(CO$3=$D208,CO$3=$AC208,CO$3=$AE208),"",IF(CO$3=$AD208,$F208&amp;"R",CO207))))</f>
        <v>bQ</v>
      </c>
      <c r="CP208" s="11" t="str">
        <f aca="false">IF($P208=0,CP207,IF(CP$3=$E208,IF($AA208=1,$F208&amp;$AB208,$G208),IF(OR(CP$3=$D208,CP$3=$AC208,CP$3=$AE208),"",IF(CP$3=$AD208,$F208&amp;"R",CP207))))</f>
        <v>bK</v>
      </c>
      <c r="CQ208" s="11" t="str">
        <f aca="false">IF($P208=0,CQ207,IF(CQ$3=$E208,IF($AA208=1,$F208&amp;$AB208,$G208),IF(OR(CQ$3=$D208,CQ$3=$AC208,CQ$3=$AE208),"",IF(CQ$3=$AD208,$F208&amp;"R",CQ207))))</f>
        <v>bB</v>
      </c>
      <c r="CR208" s="11" t="str">
        <f aca="false">IF($P208=0,CR207,IF(CR$3=$E208,IF($AA208=1,$F208&amp;$AB208,$G208),IF(OR(CR$3=$D208,CR$3=$AC208,CR$3=$AE208),"",IF(CR$3=$AD208,$F208&amp;"R",CR207))))</f>
        <v>bN</v>
      </c>
      <c r="CS208" s="11" t="str">
        <f aca="false">IF($P208=0,CS207,IF(CS$3=$E208,IF($AA208=1,$F208&amp;$AB208,$G208),IF(OR(CS$3=$D208,CS$3=$AC208,CS$3=$AE208),"",IF(CS$3=$AD208,$F208&amp;"R",CS207))))</f>
        <v>bR</v>
      </c>
      <c r="CT208" s="11"/>
      <c r="CU208" s="11"/>
      <c r="CV208" s="11"/>
    </row>
    <row r="209" customFormat="false" ht="15" hidden="false" customHeight="false" outlineLevel="0" collapsed="false">
      <c r="A209" s="11" t="n">
        <v>204</v>
      </c>
      <c r="B209" s="11" t="str">
        <f aca="false">IF(Chess!$L$213="","",Chess!$L$213&amp;"")</f>
        <v/>
      </c>
      <c r="C209" s="11" t="str">
        <f aca="false">LOWER(SUBSTITUTE(SUBSTITUTE(SUBSTITUTE(SUBSTITUTE(TRIM($B209),"-",""),"=","")," ",""),"x",""))</f>
        <v/>
      </c>
      <c r="D209" s="11" t="n">
        <f aca="false">IF(LEN($C209)&lt;4,0,IFERROR(IF(AND(CODE(MID($C209,1,1))&gt;=97,CODE(MID($C209,1,1))&lt;=104,VALUE(MID($C209,2,1))&gt;=1,VALUE(MID($C209,2,1))&lt;=8),(VALUE(MID($C209,2,1))-1)*8+CODE(MID($C209,1,1))-96,0),0))</f>
        <v>0</v>
      </c>
      <c r="E209" s="11" t="n">
        <f aca="false">IF(LEN($C209)&lt;4,0,IFERROR(IF(AND(CODE(MID($C209,3,1))&gt;=97,CODE(MID($C209,3,1))&lt;=104,VALUE(MID($C209,4,1))&gt;=1,VALUE(MID($C209,4,1))&lt;=8),(VALUE(MID($C209,4,1))-1)*8+CODE(MID($C209,3,1))-96,0),0))</f>
        <v>0</v>
      </c>
      <c r="F209" s="11" t="str">
        <f aca="false">IF(MOD(SUM($P$5:$P208),2)=0,"w","b")</f>
        <v>w</v>
      </c>
      <c r="G209" s="11" t="str">
        <f aca="false">IF($D209=0,"",INDEX($AH208:$CS208,1,$D209)&amp;"")</f>
        <v/>
      </c>
      <c r="H209" s="11" t="str">
        <f aca="false">IF($E209=0,"",INDEX($AH208:$CS208,1,$E209)&amp;"")</f>
        <v/>
      </c>
      <c r="I209" s="11" t="n">
        <f aca="false">IF(OR($D209=0,$E209=0),0,MOD($E209-1,8)-MOD($D209-1,8))</f>
        <v>0</v>
      </c>
      <c r="J209" s="11" t="n">
        <f aca="false">IF(OR($D209=0,$E209=0),0,INT(($E209-1)/8)-INT(($D209-1)/8))</f>
        <v>0</v>
      </c>
      <c r="K209" s="11" t="str">
        <f aca="false">IF($G209="","",RIGHT($G209,1))</f>
        <v/>
      </c>
      <c r="L209" s="11" t="n">
        <f aca="false">IF(OR($D209=0,$E209=0),0,SUMPRODUCT(($AH$3:$CS$3&gt;MIN($D209,$E209))*($AH$3:$CS$3&lt;MAX($D209,$E209))*(MOD($AH$3:$CS$3-MIN($D209,$E209),MAX(1,ABS(SIGN($J209)*8+SIGN($I209))))=0)*($AH208:$CS208&lt;&gt;"")))</f>
        <v>0</v>
      </c>
      <c r="M209" s="11" t="n">
        <f aca="false">IF($K209&lt;&gt;"K",0,IFERROR(--AND($J209=0,ABS($I209)=2,$D209=IF($F209="w",5,61),IF($F209="w",$S208,$V208)=0,IF($I209=2,AND(IF($F209="w",$U208,$X208)=0,INDEX($AH208:$CS208,1,$D209+1)&amp;""="",INDEX($AH208:$CS208,1,$D209+2)&amp;""=""),AND(IF($F209="w",$T208,$W208)=0,INDEX($AH208:$CS208,1,$D209-1)&amp;""="",INDEX($AH208:$CS208,1,$D209-2)&amp;""="",INDEX($AH208:$CS208,1,$D209-3)&amp;""=""))),0))</f>
        <v>0</v>
      </c>
      <c r="N209" s="11" t="n">
        <f aca="false">IF($K209&lt;&gt;"P",0,IFERROR(--OR(AND($I209=0,$J209=IF($F209="w",1,-1),$H209=""),AND($I209=0,$J209=2*IF($F209="w",1,-1),$H209="",INT(($D209-1)/8)=IF($F209="w",1,6),INDEX($AH208:$CS208,1,MAX(1,MIN(64,$D209+8*IF($F209="w",1,-1))))&amp;""=""),AND(ABS($I209)=1,$J209=IF($F209="w",1,-1),$H209&lt;&gt;""),AND(ABS($I209)=1,$J209=IF($F209="w",1,-1),$H209="",$R208&gt;0,$E209=$R208)),0))</f>
        <v>0</v>
      </c>
      <c r="O209" s="11" t="n">
        <f aca="false">IF(OR($D209=0,$E209=0,$G209=""),0,IF($K209="N",--OR(AND(ABS($I209)=1,ABS($J209)=2),AND(ABS($I209)=2,ABS($J209)=1)),IF($K209="B",--AND(ABS($I209)=ABS($J209),$I209&lt;&gt;0,$L209=0),IF($K209="R",--AND(OR($I209=0,$J209=0),OR($I209&lt;&gt;0,$J209&lt;&gt;0),$L209=0),IF($K209="Q",--AND(OR(AND(ABS($I209)=ABS($J209),$I209&lt;&gt;0),AND(OR($I209=0,$J209=0),OR($I209&lt;&gt;0,$J209&lt;&gt;0))),$L209=0),IF($K209="K",--OR(MAX(ABS($I209),ABS($J209))=1,$M209=1),$N209))))))</f>
        <v>0</v>
      </c>
      <c r="P209" s="11" t="n">
        <f aca="false">IF($Q209="OK",1,0)</f>
        <v>0</v>
      </c>
      <c r="Q209" s="11" t="str">
        <f aca="false">IF($B209="","",IF(OR(COUNTIF($AH208:$CS208,"wK")=0,COUNTIF($AH208:$CS208,"bK")=0),"Game is over",IF(OR($D209=0,$E209=0),"Use the format e2e4",IF($G209="","No piece on that square",IF(LEFT($G209,1)&lt;&gt;$F209,"Not your piece ("&amp;IF($F209="w","White","Black")&amp;" to move)",IF($D209=$E209,"Piece must move",IF(AND($H209&lt;&gt;"",LEFT($H209,1)=$F209),"Cannot capture your own piece",IF($O209=0,"Illegal move for that piece (or path blocked)","OK"))))))))</f>
        <v/>
      </c>
      <c r="R209" s="11" t="n">
        <f aca="false">IF($P209=1,IF(AND($K209="P",ABS($J209)=2),($D209+$E209)/2,0),$R208)</f>
        <v>0</v>
      </c>
      <c r="S209" s="12" t="b">
        <f aca="false">--OR($S208=1,AND($P209=1,OR($D209=5,$E209=5)))</f>
        <v>0</v>
      </c>
      <c r="T209" s="12" t="b">
        <f aca="false">--OR($T208=1,AND($P209=1,OR($D209=1,$E209=1)))</f>
        <v>0</v>
      </c>
      <c r="U209" s="12" t="b">
        <f aca="false">--OR($U208=1,AND($P209=1,OR($D209=8,$E209=8)))</f>
        <v>0</v>
      </c>
      <c r="V209" s="12" t="b">
        <f aca="false">--OR($V208=1,AND($P209=1,OR($D209=61,$E209=61)))</f>
        <v>0</v>
      </c>
      <c r="W209" s="12" t="b">
        <f aca="false">--OR($W208=1,AND($P209=1,OR($D209=57,$E209=57)))</f>
        <v>0</v>
      </c>
      <c r="X209" s="12" t="b">
        <f aca="false">--OR($X208=1,AND($P209=1,OR($D209=64,$E209=64)))</f>
        <v>0</v>
      </c>
      <c r="Y209" s="12" t="b">
        <f aca="false">--AND($P209=1,$K209="K",ABS($I209)=2)</f>
        <v>0</v>
      </c>
      <c r="Z209" s="12" t="b">
        <f aca="false">--AND($P209=1,$K209="P",ABS($I209)=1,$H209="")</f>
        <v>0</v>
      </c>
      <c r="AA209" s="12" t="b">
        <f aca="false">--AND($P209=1,$K209="P",INT(($E209-1)/8)=IF($F209="w",7,0))</f>
        <v>0</v>
      </c>
      <c r="AB209" s="11" t="str">
        <f aca="false">IF(LEN($C209)&gt;=5,IF(ISNUMBER(FIND(MID($C209,5,1),"qrbn")),UPPER(MID($C209,5,1)),"Q"),"Q")</f>
        <v>Q</v>
      </c>
      <c r="AC209" s="11" t="n">
        <f aca="false">IF($Y209=1,IF($I209=2,$D209+3,$D209-4),0)</f>
        <v>0</v>
      </c>
      <c r="AD209" s="11" t="n">
        <f aca="false">IF($Y209=1,IF($I209=2,$D209+1,$D209-1),0)</f>
        <v>0</v>
      </c>
      <c r="AE209" s="11" t="n">
        <f aca="false">IF($Z209=1,$E209-8*IF($F209="w",1,-1),0)</f>
        <v>0</v>
      </c>
      <c r="AF209" s="11" t="str">
        <f aca="false">IF($B209="","",IF($P209=1,LOWER(INDEX($CV$2:$CV$13,MATCH($G209,$CU$2:$CU$13,0)))&amp;" "&amp;MID("abcdefgh",MOD($D209-1,8)+1,1)&amp;(INT(($D209-1)/8)+1)&amp;"→"&amp;MID("abcdefgh",MOD($E209-1,8)+1,1)&amp;(INT(($E209-1)/8)+1)&amp;IF(OR($H209&lt;&gt;"",$Z209=1)," ×","")&amp;IF($Y209=1," castles","")&amp;IF($Z209=1," e.p.","")&amp;IF($AA209=1," =" &amp;LOWER(INDEX($CV$2:$CV$13,MATCH($F209&amp;$AB209,$CU$2:$CU$13,0))),""),"X "&amp;$Q209))</f>
        <v/>
      </c>
      <c r="AG209" s="11"/>
      <c r="AH209" s="11" t="str">
        <f aca="false">IF($P209=0,AH208,IF(AH$3=$E209,IF($AA209=1,$F209&amp;$AB209,$G209),IF(OR(AH$3=$D209,AH$3=$AC209,AH$3=$AE209),"",IF(AH$3=$AD209,$F209&amp;"R",AH208))))</f>
        <v>wR</v>
      </c>
      <c r="AI209" s="11" t="str">
        <f aca="false">IF($P209=0,AI208,IF(AI$3=$E209,IF($AA209=1,$F209&amp;$AB209,$G209),IF(OR(AI$3=$D209,AI$3=$AC209,AI$3=$AE209),"",IF(AI$3=$AD209,$F209&amp;"R",AI208))))</f>
        <v>wN</v>
      </c>
      <c r="AJ209" s="11" t="str">
        <f aca="false">IF($P209=0,AJ208,IF(AJ$3=$E209,IF($AA209=1,$F209&amp;$AB209,$G209),IF(OR(AJ$3=$D209,AJ$3=$AC209,AJ$3=$AE209),"",IF(AJ$3=$AD209,$F209&amp;"R",AJ208))))</f>
        <v>wB</v>
      </c>
      <c r="AK209" s="11" t="str">
        <f aca="false">IF($P209=0,AK208,IF(AK$3=$E209,IF($AA209=1,$F209&amp;$AB209,$G209),IF(OR(AK$3=$D209,AK$3=$AC209,AK$3=$AE209),"",IF(AK$3=$AD209,$F209&amp;"R",AK208))))</f>
        <v>wQ</v>
      </c>
      <c r="AL209" s="11" t="str">
        <f aca="false">IF($P209=0,AL208,IF(AL$3=$E209,IF($AA209=1,$F209&amp;$AB209,$G209),IF(OR(AL$3=$D209,AL$3=$AC209,AL$3=$AE209),"",IF(AL$3=$AD209,$F209&amp;"R",AL208))))</f>
        <v>wK</v>
      </c>
      <c r="AM209" s="11" t="str">
        <f aca="false">IF($P209=0,AM208,IF(AM$3=$E209,IF($AA209=1,$F209&amp;$AB209,$G209),IF(OR(AM$3=$D209,AM$3=$AC209,AM$3=$AE209),"",IF(AM$3=$AD209,$F209&amp;"R",AM208))))</f>
        <v>wB</v>
      </c>
      <c r="AN209" s="11" t="str">
        <f aca="false">IF($P209=0,AN208,IF(AN$3=$E209,IF($AA209=1,$F209&amp;$AB209,$G209),IF(OR(AN$3=$D209,AN$3=$AC209,AN$3=$AE209),"",IF(AN$3=$AD209,$F209&amp;"R",AN208))))</f>
        <v>wN</v>
      </c>
      <c r="AO209" s="11" t="str">
        <f aca="false">IF($P209=0,AO208,IF(AO$3=$E209,IF($AA209=1,$F209&amp;$AB209,$G209),IF(OR(AO$3=$D209,AO$3=$AC209,AO$3=$AE209),"",IF(AO$3=$AD209,$F209&amp;"R",AO208))))</f>
        <v>wR</v>
      </c>
      <c r="AP209" s="11" t="str">
        <f aca="false">IF($P209=0,AP208,IF(AP$3=$E209,IF($AA209=1,$F209&amp;$AB209,$G209),IF(OR(AP$3=$D209,AP$3=$AC209,AP$3=$AE209),"",IF(AP$3=$AD209,$F209&amp;"R",AP208))))</f>
        <v>wP</v>
      </c>
      <c r="AQ209" s="11" t="str">
        <f aca="false">IF($P209=0,AQ208,IF(AQ$3=$E209,IF($AA209=1,$F209&amp;$AB209,$G209),IF(OR(AQ$3=$D209,AQ$3=$AC209,AQ$3=$AE209),"",IF(AQ$3=$AD209,$F209&amp;"R",AQ208))))</f>
        <v>wP</v>
      </c>
      <c r="AR209" s="11" t="str">
        <f aca="false">IF($P209=0,AR208,IF(AR$3=$E209,IF($AA209=1,$F209&amp;$AB209,$G209),IF(OR(AR$3=$D209,AR$3=$AC209,AR$3=$AE209),"",IF(AR$3=$AD209,$F209&amp;"R",AR208))))</f>
        <v>wP</v>
      </c>
      <c r="AS209" s="11" t="str">
        <f aca="false">IF($P209=0,AS208,IF(AS$3=$E209,IF($AA209=1,$F209&amp;$AB209,$G209),IF(OR(AS$3=$D209,AS$3=$AC209,AS$3=$AE209),"",IF(AS$3=$AD209,$F209&amp;"R",AS208))))</f>
        <v>wP</v>
      </c>
      <c r="AT209" s="11" t="str">
        <f aca="false">IF($P209=0,AT208,IF(AT$3=$E209,IF($AA209=1,$F209&amp;$AB209,$G209),IF(OR(AT$3=$D209,AT$3=$AC209,AT$3=$AE209),"",IF(AT$3=$AD209,$F209&amp;"R",AT208))))</f>
        <v>wP</v>
      </c>
      <c r="AU209" s="11" t="str">
        <f aca="false">IF($P209=0,AU208,IF(AU$3=$E209,IF($AA209=1,$F209&amp;$AB209,$G209),IF(OR(AU$3=$D209,AU$3=$AC209,AU$3=$AE209),"",IF(AU$3=$AD209,$F209&amp;"R",AU208))))</f>
        <v>wP</v>
      </c>
      <c r="AV209" s="11" t="str">
        <f aca="false">IF($P209=0,AV208,IF(AV$3=$E209,IF($AA209=1,$F209&amp;$AB209,$G209),IF(OR(AV$3=$D209,AV$3=$AC209,AV$3=$AE209),"",IF(AV$3=$AD209,$F209&amp;"R",AV208))))</f>
        <v>wP</v>
      </c>
      <c r="AW209" s="11" t="str">
        <f aca="false">IF($P209=0,AW208,IF(AW$3=$E209,IF($AA209=1,$F209&amp;$AB209,$G209),IF(OR(AW$3=$D209,AW$3=$AC209,AW$3=$AE209),"",IF(AW$3=$AD209,$F209&amp;"R",AW208))))</f>
        <v>wP</v>
      </c>
      <c r="AX209" s="11" t="str">
        <f aca="false">IF($P209=0,AX208,IF(AX$3=$E209,IF($AA209=1,$F209&amp;$AB209,$G209),IF(OR(AX$3=$D209,AX$3=$AC209,AX$3=$AE209),"",IF(AX$3=$AD209,$F209&amp;"R",AX208))))</f>
        <v/>
      </c>
      <c r="AY209" s="11" t="str">
        <f aca="false">IF($P209=0,AY208,IF(AY$3=$E209,IF($AA209=1,$F209&amp;$AB209,$G209),IF(OR(AY$3=$D209,AY$3=$AC209,AY$3=$AE209),"",IF(AY$3=$AD209,$F209&amp;"R",AY208))))</f>
        <v/>
      </c>
      <c r="AZ209" s="11" t="str">
        <f aca="false">IF($P209=0,AZ208,IF(AZ$3=$E209,IF($AA209=1,$F209&amp;$AB209,$G209),IF(OR(AZ$3=$D209,AZ$3=$AC209,AZ$3=$AE209),"",IF(AZ$3=$AD209,$F209&amp;"R",AZ208))))</f>
        <v/>
      </c>
      <c r="BA209" s="11" t="str">
        <f aca="false">IF($P209=0,BA208,IF(BA$3=$E209,IF($AA209=1,$F209&amp;$AB209,$G209),IF(OR(BA$3=$D209,BA$3=$AC209,BA$3=$AE209),"",IF(BA$3=$AD209,$F209&amp;"R",BA208))))</f>
        <v/>
      </c>
      <c r="BB209" s="11" t="str">
        <f aca="false">IF($P209=0,BB208,IF(BB$3=$E209,IF($AA209=1,$F209&amp;$AB209,$G209),IF(OR(BB$3=$D209,BB$3=$AC209,BB$3=$AE209),"",IF(BB$3=$AD209,$F209&amp;"R",BB208))))</f>
        <v/>
      </c>
      <c r="BC209" s="11" t="str">
        <f aca="false">IF($P209=0,BC208,IF(BC$3=$E209,IF($AA209=1,$F209&amp;$AB209,$G209),IF(OR(BC$3=$D209,BC$3=$AC209,BC$3=$AE209),"",IF(BC$3=$AD209,$F209&amp;"R",BC208))))</f>
        <v/>
      </c>
      <c r="BD209" s="11" t="str">
        <f aca="false">IF($P209=0,BD208,IF(BD$3=$E209,IF($AA209=1,$F209&amp;$AB209,$G209),IF(OR(BD$3=$D209,BD$3=$AC209,BD$3=$AE209),"",IF(BD$3=$AD209,$F209&amp;"R",BD208))))</f>
        <v/>
      </c>
      <c r="BE209" s="11" t="str">
        <f aca="false">IF($P209=0,BE208,IF(BE$3=$E209,IF($AA209=1,$F209&amp;$AB209,$G209),IF(OR(BE$3=$D209,BE$3=$AC209,BE$3=$AE209),"",IF(BE$3=$AD209,$F209&amp;"R",BE208))))</f>
        <v/>
      </c>
      <c r="BF209" s="11" t="str">
        <f aca="false">IF($P209=0,BF208,IF(BF$3=$E209,IF($AA209=1,$F209&amp;$AB209,$G209),IF(OR(BF$3=$D209,BF$3=$AC209,BF$3=$AE209),"",IF(BF$3=$AD209,$F209&amp;"R",BF208))))</f>
        <v/>
      </c>
      <c r="BG209" s="11" t="str">
        <f aca="false">IF($P209=0,BG208,IF(BG$3=$E209,IF($AA209=1,$F209&amp;$AB209,$G209),IF(OR(BG$3=$D209,BG$3=$AC209,BG$3=$AE209),"",IF(BG$3=$AD209,$F209&amp;"R",BG208))))</f>
        <v/>
      </c>
      <c r="BH209" s="11" t="str">
        <f aca="false">IF($P209=0,BH208,IF(BH$3=$E209,IF($AA209=1,$F209&amp;$AB209,$G209),IF(OR(BH$3=$D209,BH$3=$AC209,BH$3=$AE209),"",IF(BH$3=$AD209,$F209&amp;"R",BH208))))</f>
        <v/>
      </c>
      <c r="BI209" s="11" t="str">
        <f aca="false">IF($P209=0,BI208,IF(BI$3=$E209,IF($AA209=1,$F209&amp;$AB209,$G209),IF(OR(BI$3=$D209,BI$3=$AC209,BI$3=$AE209),"",IF(BI$3=$AD209,$F209&amp;"R",BI208))))</f>
        <v/>
      </c>
      <c r="BJ209" s="11" t="str">
        <f aca="false">IF($P209=0,BJ208,IF(BJ$3=$E209,IF($AA209=1,$F209&amp;$AB209,$G209),IF(OR(BJ$3=$D209,BJ$3=$AC209,BJ$3=$AE209),"",IF(BJ$3=$AD209,$F209&amp;"R",BJ208))))</f>
        <v/>
      </c>
      <c r="BK209" s="11" t="str">
        <f aca="false">IF($P209=0,BK208,IF(BK$3=$E209,IF($AA209=1,$F209&amp;$AB209,$G209),IF(OR(BK$3=$D209,BK$3=$AC209,BK$3=$AE209),"",IF(BK$3=$AD209,$F209&amp;"R",BK208))))</f>
        <v/>
      </c>
      <c r="BL209" s="11" t="str">
        <f aca="false">IF($P209=0,BL208,IF(BL$3=$E209,IF($AA209=1,$F209&amp;$AB209,$G209),IF(OR(BL$3=$D209,BL$3=$AC209,BL$3=$AE209),"",IF(BL$3=$AD209,$F209&amp;"R",BL208))))</f>
        <v/>
      </c>
      <c r="BM209" s="11" t="str">
        <f aca="false">IF($P209=0,BM208,IF(BM$3=$E209,IF($AA209=1,$F209&amp;$AB209,$G209),IF(OR(BM$3=$D209,BM$3=$AC209,BM$3=$AE209),"",IF(BM$3=$AD209,$F209&amp;"R",BM208))))</f>
        <v/>
      </c>
      <c r="BN209" s="11" t="str">
        <f aca="false">IF($P209=0,BN208,IF(BN$3=$E209,IF($AA209=1,$F209&amp;$AB209,$G209),IF(OR(BN$3=$D209,BN$3=$AC209,BN$3=$AE209),"",IF(BN$3=$AD209,$F209&amp;"R",BN208))))</f>
        <v/>
      </c>
      <c r="BO209" s="11" t="str">
        <f aca="false">IF($P209=0,BO208,IF(BO$3=$E209,IF($AA209=1,$F209&amp;$AB209,$G209),IF(OR(BO$3=$D209,BO$3=$AC209,BO$3=$AE209),"",IF(BO$3=$AD209,$F209&amp;"R",BO208))))</f>
        <v/>
      </c>
      <c r="BP209" s="11" t="str">
        <f aca="false">IF($P209=0,BP208,IF(BP$3=$E209,IF($AA209=1,$F209&amp;$AB209,$G209),IF(OR(BP$3=$D209,BP$3=$AC209,BP$3=$AE209),"",IF(BP$3=$AD209,$F209&amp;"R",BP208))))</f>
        <v/>
      </c>
      <c r="BQ209" s="11" t="str">
        <f aca="false">IF($P209=0,BQ208,IF(BQ$3=$E209,IF($AA209=1,$F209&amp;$AB209,$G209),IF(OR(BQ$3=$D209,BQ$3=$AC209,BQ$3=$AE209),"",IF(BQ$3=$AD209,$F209&amp;"R",BQ208))))</f>
        <v/>
      </c>
      <c r="BR209" s="11" t="str">
        <f aca="false">IF($P209=0,BR208,IF(BR$3=$E209,IF($AA209=1,$F209&amp;$AB209,$G209),IF(OR(BR$3=$D209,BR$3=$AC209,BR$3=$AE209),"",IF(BR$3=$AD209,$F209&amp;"R",BR208))))</f>
        <v/>
      </c>
      <c r="BS209" s="11" t="str">
        <f aca="false">IF($P209=0,BS208,IF(BS$3=$E209,IF($AA209=1,$F209&amp;$AB209,$G209),IF(OR(BS$3=$D209,BS$3=$AC209,BS$3=$AE209),"",IF(BS$3=$AD209,$F209&amp;"R",BS208))))</f>
        <v/>
      </c>
      <c r="BT209" s="11" t="str">
        <f aca="false">IF($P209=0,BT208,IF(BT$3=$E209,IF($AA209=1,$F209&amp;$AB209,$G209),IF(OR(BT$3=$D209,BT$3=$AC209,BT$3=$AE209),"",IF(BT$3=$AD209,$F209&amp;"R",BT208))))</f>
        <v/>
      </c>
      <c r="BU209" s="11" t="str">
        <f aca="false">IF($P209=0,BU208,IF(BU$3=$E209,IF($AA209=1,$F209&amp;$AB209,$G209),IF(OR(BU$3=$D209,BU$3=$AC209,BU$3=$AE209),"",IF(BU$3=$AD209,$F209&amp;"R",BU208))))</f>
        <v/>
      </c>
      <c r="BV209" s="11" t="str">
        <f aca="false">IF($P209=0,BV208,IF(BV$3=$E209,IF($AA209=1,$F209&amp;$AB209,$G209),IF(OR(BV$3=$D209,BV$3=$AC209,BV$3=$AE209),"",IF(BV$3=$AD209,$F209&amp;"R",BV208))))</f>
        <v/>
      </c>
      <c r="BW209" s="11" t="str">
        <f aca="false">IF($P209=0,BW208,IF(BW$3=$E209,IF($AA209=1,$F209&amp;$AB209,$G209),IF(OR(BW$3=$D209,BW$3=$AC209,BW$3=$AE209),"",IF(BW$3=$AD209,$F209&amp;"R",BW208))))</f>
        <v/>
      </c>
      <c r="BX209" s="11" t="str">
        <f aca="false">IF($P209=0,BX208,IF(BX$3=$E209,IF($AA209=1,$F209&amp;$AB209,$G209),IF(OR(BX$3=$D209,BX$3=$AC209,BX$3=$AE209),"",IF(BX$3=$AD209,$F209&amp;"R",BX208))))</f>
        <v/>
      </c>
      <c r="BY209" s="11" t="str">
        <f aca="false">IF($P209=0,BY208,IF(BY$3=$E209,IF($AA209=1,$F209&amp;$AB209,$G209),IF(OR(BY$3=$D209,BY$3=$AC209,BY$3=$AE209),"",IF(BY$3=$AD209,$F209&amp;"R",BY208))))</f>
        <v/>
      </c>
      <c r="BZ209" s="11" t="str">
        <f aca="false">IF($P209=0,BZ208,IF(BZ$3=$E209,IF($AA209=1,$F209&amp;$AB209,$G209),IF(OR(BZ$3=$D209,BZ$3=$AC209,BZ$3=$AE209),"",IF(BZ$3=$AD209,$F209&amp;"R",BZ208))))</f>
        <v/>
      </c>
      <c r="CA209" s="11" t="str">
        <f aca="false">IF($P209=0,CA208,IF(CA$3=$E209,IF($AA209=1,$F209&amp;$AB209,$G209),IF(OR(CA$3=$D209,CA$3=$AC209,CA$3=$AE209),"",IF(CA$3=$AD209,$F209&amp;"R",CA208))))</f>
        <v/>
      </c>
      <c r="CB209" s="11" t="str">
        <f aca="false">IF($P209=0,CB208,IF(CB$3=$E209,IF($AA209=1,$F209&amp;$AB209,$G209),IF(OR(CB$3=$D209,CB$3=$AC209,CB$3=$AE209),"",IF(CB$3=$AD209,$F209&amp;"R",CB208))))</f>
        <v/>
      </c>
      <c r="CC209" s="11" t="str">
        <f aca="false">IF($P209=0,CC208,IF(CC$3=$E209,IF($AA209=1,$F209&amp;$AB209,$G209),IF(OR(CC$3=$D209,CC$3=$AC209,CC$3=$AE209),"",IF(CC$3=$AD209,$F209&amp;"R",CC208))))</f>
        <v/>
      </c>
      <c r="CD209" s="11" t="str">
        <f aca="false">IF($P209=0,CD208,IF(CD$3=$E209,IF($AA209=1,$F209&amp;$AB209,$G209),IF(OR(CD$3=$D209,CD$3=$AC209,CD$3=$AE209),"",IF(CD$3=$AD209,$F209&amp;"R",CD208))))</f>
        <v>bP</v>
      </c>
      <c r="CE209" s="11" t="str">
        <f aca="false">IF($P209=0,CE208,IF(CE$3=$E209,IF($AA209=1,$F209&amp;$AB209,$G209),IF(OR(CE$3=$D209,CE$3=$AC209,CE$3=$AE209),"",IF(CE$3=$AD209,$F209&amp;"R",CE208))))</f>
        <v>bP</v>
      </c>
      <c r="CF209" s="11" t="str">
        <f aca="false">IF($P209=0,CF208,IF(CF$3=$E209,IF($AA209=1,$F209&amp;$AB209,$G209),IF(OR(CF$3=$D209,CF$3=$AC209,CF$3=$AE209),"",IF(CF$3=$AD209,$F209&amp;"R",CF208))))</f>
        <v>bP</v>
      </c>
      <c r="CG209" s="11" t="str">
        <f aca="false">IF($P209=0,CG208,IF(CG$3=$E209,IF($AA209=1,$F209&amp;$AB209,$G209),IF(OR(CG$3=$D209,CG$3=$AC209,CG$3=$AE209),"",IF(CG$3=$AD209,$F209&amp;"R",CG208))))</f>
        <v>bP</v>
      </c>
      <c r="CH209" s="11" t="str">
        <f aca="false">IF($P209=0,CH208,IF(CH$3=$E209,IF($AA209=1,$F209&amp;$AB209,$G209),IF(OR(CH$3=$D209,CH$3=$AC209,CH$3=$AE209),"",IF(CH$3=$AD209,$F209&amp;"R",CH208))))</f>
        <v>bP</v>
      </c>
      <c r="CI209" s="11" t="str">
        <f aca="false">IF($P209=0,CI208,IF(CI$3=$E209,IF($AA209=1,$F209&amp;$AB209,$G209),IF(OR(CI$3=$D209,CI$3=$AC209,CI$3=$AE209),"",IF(CI$3=$AD209,$F209&amp;"R",CI208))))</f>
        <v>bP</v>
      </c>
      <c r="CJ209" s="11" t="str">
        <f aca="false">IF($P209=0,CJ208,IF(CJ$3=$E209,IF($AA209=1,$F209&amp;$AB209,$G209),IF(OR(CJ$3=$D209,CJ$3=$AC209,CJ$3=$AE209),"",IF(CJ$3=$AD209,$F209&amp;"R",CJ208))))</f>
        <v>bP</v>
      </c>
      <c r="CK209" s="11" t="str">
        <f aca="false">IF($P209=0,CK208,IF(CK$3=$E209,IF($AA209=1,$F209&amp;$AB209,$G209),IF(OR(CK$3=$D209,CK$3=$AC209,CK$3=$AE209),"",IF(CK$3=$AD209,$F209&amp;"R",CK208))))</f>
        <v>bP</v>
      </c>
      <c r="CL209" s="11" t="str">
        <f aca="false">IF($P209=0,CL208,IF(CL$3=$E209,IF($AA209=1,$F209&amp;$AB209,$G209),IF(OR(CL$3=$D209,CL$3=$AC209,CL$3=$AE209),"",IF(CL$3=$AD209,$F209&amp;"R",CL208))))</f>
        <v>bR</v>
      </c>
      <c r="CM209" s="11" t="str">
        <f aca="false">IF($P209=0,CM208,IF(CM$3=$E209,IF($AA209=1,$F209&amp;$AB209,$G209),IF(OR(CM$3=$D209,CM$3=$AC209,CM$3=$AE209),"",IF(CM$3=$AD209,$F209&amp;"R",CM208))))</f>
        <v>bN</v>
      </c>
      <c r="CN209" s="11" t="str">
        <f aca="false">IF($P209=0,CN208,IF(CN$3=$E209,IF($AA209=1,$F209&amp;$AB209,$G209),IF(OR(CN$3=$D209,CN$3=$AC209,CN$3=$AE209),"",IF(CN$3=$AD209,$F209&amp;"R",CN208))))</f>
        <v>bB</v>
      </c>
      <c r="CO209" s="11" t="str">
        <f aca="false">IF($P209=0,CO208,IF(CO$3=$E209,IF($AA209=1,$F209&amp;$AB209,$G209),IF(OR(CO$3=$D209,CO$3=$AC209,CO$3=$AE209),"",IF(CO$3=$AD209,$F209&amp;"R",CO208))))</f>
        <v>bQ</v>
      </c>
      <c r="CP209" s="11" t="str">
        <f aca="false">IF($P209=0,CP208,IF(CP$3=$E209,IF($AA209=1,$F209&amp;$AB209,$G209),IF(OR(CP$3=$D209,CP$3=$AC209,CP$3=$AE209),"",IF(CP$3=$AD209,$F209&amp;"R",CP208))))</f>
        <v>bK</v>
      </c>
      <c r="CQ209" s="11" t="str">
        <f aca="false">IF($P209=0,CQ208,IF(CQ$3=$E209,IF($AA209=1,$F209&amp;$AB209,$G209),IF(OR(CQ$3=$D209,CQ$3=$AC209,CQ$3=$AE209),"",IF(CQ$3=$AD209,$F209&amp;"R",CQ208))))</f>
        <v>bB</v>
      </c>
      <c r="CR209" s="11" t="str">
        <f aca="false">IF($P209=0,CR208,IF(CR$3=$E209,IF($AA209=1,$F209&amp;$AB209,$G209),IF(OR(CR$3=$D209,CR$3=$AC209,CR$3=$AE209),"",IF(CR$3=$AD209,$F209&amp;"R",CR208))))</f>
        <v>bN</v>
      </c>
      <c r="CS209" s="11" t="str">
        <f aca="false">IF($P209=0,CS208,IF(CS$3=$E209,IF($AA209=1,$F209&amp;$AB209,$G209),IF(OR(CS$3=$D209,CS$3=$AC209,CS$3=$AE209),"",IF(CS$3=$AD209,$F209&amp;"R",CS208))))</f>
        <v>bR</v>
      </c>
      <c r="CT209" s="11"/>
      <c r="CU209" s="11"/>
      <c r="CV209" s="11"/>
    </row>
    <row r="210" customFormat="false" ht="15" hidden="false" customHeight="false" outlineLevel="0" collapsed="false">
      <c r="A210" s="11" t="n">
        <v>205</v>
      </c>
      <c r="B210" s="11" t="str">
        <f aca="false">IF(Chess!$L$214="","",Chess!$L$214&amp;"")</f>
        <v/>
      </c>
      <c r="C210" s="11" t="str">
        <f aca="false">LOWER(SUBSTITUTE(SUBSTITUTE(SUBSTITUTE(SUBSTITUTE(TRIM($B210),"-",""),"=","")," ",""),"x",""))</f>
        <v/>
      </c>
      <c r="D210" s="11" t="n">
        <f aca="false">IF(LEN($C210)&lt;4,0,IFERROR(IF(AND(CODE(MID($C210,1,1))&gt;=97,CODE(MID($C210,1,1))&lt;=104,VALUE(MID($C210,2,1))&gt;=1,VALUE(MID($C210,2,1))&lt;=8),(VALUE(MID($C210,2,1))-1)*8+CODE(MID($C210,1,1))-96,0),0))</f>
        <v>0</v>
      </c>
      <c r="E210" s="11" t="n">
        <f aca="false">IF(LEN($C210)&lt;4,0,IFERROR(IF(AND(CODE(MID($C210,3,1))&gt;=97,CODE(MID($C210,3,1))&lt;=104,VALUE(MID($C210,4,1))&gt;=1,VALUE(MID($C210,4,1))&lt;=8),(VALUE(MID($C210,4,1))-1)*8+CODE(MID($C210,3,1))-96,0),0))</f>
        <v>0</v>
      </c>
      <c r="F210" s="11" t="str">
        <f aca="false">IF(MOD(SUM($P$5:$P209),2)=0,"w","b")</f>
        <v>w</v>
      </c>
      <c r="G210" s="11" t="str">
        <f aca="false">IF($D210=0,"",INDEX($AH209:$CS209,1,$D210)&amp;"")</f>
        <v/>
      </c>
      <c r="H210" s="11" t="str">
        <f aca="false">IF($E210=0,"",INDEX($AH209:$CS209,1,$E210)&amp;"")</f>
        <v/>
      </c>
      <c r="I210" s="11" t="n">
        <f aca="false">IF(OR($D210=0,$E210=0),0,MOD($E210-1,8)-MOD($D210-1,8))</f>
        <v>0</v>
      </c>
      <c r="J210" s="11" t="n">
        <f aca="false">IF(OR($D210=0,$E210=0),0,INT(($E210-1)/8)-INT(($D210-1)/8))</f>
        <v>0</v>
      </c>
      <c r="K210" s="11" t="str">
        <f aca="false">IF($G210="","",RIGHT($G210,1))</f>
        <v/>
      </c>
      <c r="L210" s="11" t="n">
        <f aca="false">IF(OR($D210=0,$E210=0),0,SUMPRODUCT(($AH$3:$CS$3&gt;MIN($D210,$E210))*($AH$3:$CS$3&lt;MAX($D210,$E210))*(MOD($AH$3:$CS$3-MIN($D210,$E210),MAX(1,ABS(SIGN($J210)*8+SIGN($I210))))=0)*($AH209:$CS209&lt;&gt;"")))</f>
        <v>0</v>
      </c>
      <c r="M210" s="11" t="n">
        <f aca="false">IF($K210&lt;&gt;"K",0,IFERROR(--AND($J210=0,ABS($I210)=2,$D210=IF($F210="w",5,61),IF($F210="w",$S209,$V209)=0,IF($I210=2,AND(IF($F210="w",$U209,$X209)=0,INDEX($AH209:$CS209,1,$D210+1)&amp;""="",INDEX($AH209:$CS209,1,$D210+2)&amp;""=""),AND(IF($F210="w",$T209,$W209)=0,INDEX($AH209:$CS209,1,$D210-1)&amp;""="",INDEX($AH209:$CS209,1,$D210-2)&amp;""="",INDEX($AH209:$CS209,1,$D210-3)&amp;""=""))),0))</f>
        <v>0</v>
      </c>
      <c r="N210" s="11" t="n">
        <f aca="false">IF($K210&lt;&gt;"P",0,IFERROR(--OR(AND($I210=0,$J210=IF($F210="w",1,-1),$H210=""),AND($I210=0,$J210=2*IF($F210="w",1,-1),$H210="",INT(($D210-1)/8)=IF($F210="w",1,6),INDEX($AH209:$CS209,1,MAX(1,MIN(64,$D210+8*IF($F210="w",1,-1))))&amp;""=""),AND(ABS($I210)=1,$J210=IF($F210="w",1,-1),$H210&lt;&gt;""),AND(ABS($I210)=1,$J210=IF($F210="w",1,-1),$H210="",$R209&gt;0,$E210=$R209)),0))</f>
        <v>0</v>
      </c>
      <c r="O210" s="11" t="n">
        <f aca="false">IF(OR($D210=0,$E210=0,$G210=""),0,IF($K210="N",--OR(AND(ABS($I210)=1,ABS($J210)=2),AND(ABS($I210)=2,ABS($J210)=1)),IF($K210="B",--AND(ABS($I210)=ABS($J210),$I210&lt;&gt;0,$L210=0),IF($K210="R",--AND(OR($I210=0,$J210=0),OR($I210&lt;&gt;0,$J210&lt;&gt;0),$L210=0),IF($K210="Q",--AND(OR(AND(ABS($I210)=ABS($J210),$I210&lt;&gt;0),AND(OR($I210=0,$J210=0),OR($I210&lt;&gt;0,$J210&lt;&gt;0))),$L210=0),IF($K210="K",--OR(MAX(ABS($I210),ABS($J210))=1,$M210=1),$N210))))))</f>
        <v>0</v>
      </c>
      <c r="P210" s="11" t="n">
        <f aca="false">IF($Q210="OK",1,0)</f>
        <v>0</v>
      </c>
      <c r="Q210" s="11" t="str">
        <f aca="false">IF($B210="","",IF(OR(COUNTIF($AH209:$CS209,"wK")=0,COUNTIF($AH209:$CS209,"bK")=0),"Game is over",IF(OR($D210=0,$E210=0),"Use the format e2e4",IF($G210="","No piece on that square",IF(LEFT($G210,1)&lt;&gt;$F210,"Not your piece ("&amp;IF($F210="w","White","Black")&amp;" to move)",IF($D210=$E210,"Piece must move",IF(AND($H210&lt;&gt;"",LEFT($H210,1)=$F210),"Cannot capture your own piece",IF($O210=0,"Illegal move for that piece (or path blocked)","OK"))))))))</f>
        <v/>
      </c>
      <c r="R210" s="11" t="n">
        <f aca="false">IF($P210=1,IF(AND($K210="P",ABS($J210)=2),($D210+$E210)/2,0),$R209)</f>
        <v>0</v>
      </c>
      <c r="S210" s="12" t="b">
        <f aca="false">--OR($S209=1,AND($P210=1,OR($D210=5,$E210=5)))</f>
        <v>0</v>
      </c>
      <c r="T210" s="12" t="b">
        <f aca="false">--OR($T209=1,AND($P210=1,OR($D210=1,$E210=1)))</f>
        <v>0</v>
      </c>
      <c r="U210" s="12" t="b">
        <f aca="false">--OR($U209=1,AND($P210=1,OR($D210=8,$E210=8)))</f>
        <v>0</v>
      </c>
      <c r="V210" s="12" t="b">
        <f aca="false">--OR($V209=1,AND($P210=1,OR($D210=61,$E210=61)))</f>
        <v>0</v>
      </c>
      <c r="W210" s="12" t="b">
        <f aca="false">--OR($W209=1,AND($P210=1,OR($D210=57,$E210=57)))</f>
        <v>0</v>
      </c>
      <c r="X210" s="12" t="b">
        <f aca="false">--OR($X209=1,AND($P210=1,OR($D210=64,$E210=64)))</f>
        <v>0</v>
      </c>
      <c r="Y210" s="12" t="b">
        <f aca="false">--AND($P210=1,$K210="K",ABS($I210)=2)</f>
        <v>0</v>
      </c>
      <c r="Z210" s="12" t="b">
        <f aca="false">--AND($P210=1,$K210="P",ABS($I210)=1,$H210="")</f>
        <v>0</v>
      </c>
      <c r="AA210" s="12" t="b">
        <f aca="false">--AND($P210=1,$K210="P",INT(($E210-1)/8)=IF($F210="w",7,0))</f>
        <v>0</v>
      </c>
      <c r="AB210" s="11" t="str">
        <f aca="false">IF(LEN($C210)&gt;=5,IF(ISNUMBER(FIND(MID($C210,5,1),"qrbn")),UPPER(MID($C210,5,1)),"Q"),"Q")</f>
        <v>Q</v>
      </c>
      <c r="AC210" s="11" t="n">
        <f aca="false">IF($Y210=1,IF($I210=2,$D210+3,$D210-4),0)</f>
        <v>0</v>
      </c>
      <c r="AD210" s="11" t="n">
        <f aca="false">IF($Y210=1,IF($I210=2,$D210+1,$D210-1),0)</f>
        <v>0</v>
      </c>
      <c r="AE210" s="11" t="n">
        <f aca="false">IF($Z210=1,$E210-8*IF($F210="w",1,-1),0)</f>
        <v>0</v>
      </c>
      <c r="AF210" s="11" t="str">
        <f aca="false">IF($B210="","",IF($P210=1,LOWER(INDEX($CV$2:$CV$13,MATCH($G210,$CU$2:$CU$13,0)))&amp;" "&amp;MID("abcdefgh",MOD($D210-1,8)+1,1)&amp;(INT(($D210-1)/8)+1)&amp;"→"&amp;MID("abcdefgh",MOD($E210-1,8)+1,1)&amp;(INT(($E210-1)/8)+1)&amp;IF(OR($H210&lt;&gt;"",$Z210=1)," ×","")&amp;IF($Y210=1," castles","")&amp;IF($Z210=1," e.p.","")&amp;IF($AA210=1," =" &amp;LOWER(INDEX($CV$2:$CV$13,MATCH($F210&amp;$AB210,$CU$2:$CU$13,0))),""),"X "&amp;$Q210))</f>
        <v/>
      </c>
      <c r="AG210" s="11"/>
      <c r="AH210" s="11" t="str">
        <f aca="false">IF($P210=0,AH209,IF(AH$3=$E210,IF($AA210=1,$F210&amp;$AB210,$G210),IF(OR(AH$3=$D210,AH$3=$AC210,AH$3=$AE210),"",IF(AH$3=$AD210,$F210&amp;"R",AH209))))</f>
        <v>wR</v>
      </c>
      <c r="AI210" s="11" t="str">
        <f aca="false">IF($P210=0,AI209,IF(AI$3=$E210,IF($AA210=1,$F210&amp;$AB210,$G210),IF(OR(AI$3=$D210,AI$3=$AC210,AI$3=$AE210),"",IF(AI$3=$AD210,$F210&amp;"R",AI209))))</f>
        <v>wN</v>
      </c>
      <c r="AJ210" s="11" t="str">
        <f aca="false">IF($P210=0,AJ209,IF(AJ$3=$E210,IF($AA210=1,$F210&amp;$AB210,$G210),IF(OR(AJ$3=$D210,AJ$3=$AC210,AJ$3=$AE210),"",IF(AJ$3=$AD210,$F210&amp;"R",AJ209))))</f>
        <v>wB</v>
      </c>
      <c r="AK210" s="11" t="str">
        <f aca="false">IF($P210=0,AK209,IF(AK$3=$E210,IF($AA210=1,$F210&amp;$AB210,$G210),IF(OR(AK$3=$D210,AK$3=$AC210,AK$3=$AE210),"",IF(AK$3=$AD210,$F210&amp;"R",AK209))))</f>
        <v>wQ</v>
      </c>
      <c r="AL210" s="11" t="str">
        <f aca="false">IF($P210=0,AL209,IF(AL$3=$E210,IF($AA210=1,$F210&amp;$AB210,$G210),IF(OR(AL$3=$D210,AL$3=$AC210,AL$3=$AE210),"",IF(AL$3=$AD210,$F210&amp;"R",AL209))))</f>
        <v>wK</v>
      </c>
      <c r="AM210" s="11" t="str">
        <f aca="false">IF($P210=0,AM209,IF(AM$3=$E210,IF($AA210=1,$F210&amp;$AB210,$G210),IF(OR(AM$3=$D210,AM$3=$AC210,AM$3=$AE210),"",IF(AM$3=$AD210,$F210&amp;"R",AM209))))</f>
        <v>wB</v>
      </c>
      <c r="AN210" s="11" t="str">
        <f aca="false">IF($P210=0,AN209,IF(AN$3=$E210,IF($AA210=1,$F210&amp;$AB210,$G210),IF(OR(AN$3=$D210,AN$3=$AC210,AN$3=$AE210),"",IF(AN$3=$AD210,$F210&amp;"R",AN209))))</f>
        <v>wN</v>
      </c>
      <c r="AO210" s="11" t="str">
        <f aca="false">IF($P210=0,AO209,IF(AO$3=$E210,IF($AA210=1,$F210&amp;$AB210,$G210),IF(OR(AO$3=$D210,AO$3=$AC210,AO$3=$AE210),"",IF(AO$3=$AD210,$F210&amp;"R",AO209))))</f>
        <v>wR</v>
      </c>
      <c r="AP210" s="11" t="str">
        <f aca="false">IF($P210=0,AP209,IF(AP$3=$E210,IF($AA210=1,$F210&amp;$AB210,$G210),IF(OR(AP$3=$D210,AP$3=$AC210,AP$3=$AE210),"",IF(AP$3=$AD210,$F210&amp;"R",AP209))))</f>
        <v>wP</v>
      </c>
      <c r="AQ210" s="11" t="str">
        <f aca="false">IF($P210=0,AQ209,IF(AQ$3=$E210,IF($AA210=1,$F210&amp;$AB210,$G210),IF(OR(AQ$3=$D210,AQ$3=$AC210,AQ$3=$AE210),"",IF(AQ$3=$AD210,$F210&amp;"R",AQ209))))</f>
        <v>wP</v>
      </c>
      <c r="AR210" s="11" t="str">
        <f aca="false">IF($P210=0,AR209,IF(AR$3=$E210,IF($AA210=1,$F210&amp;$AB210,$G210),IF(OR(AR$3=$D210,AR$3=$AC210,AR$3=$AE210),"",IF(AR$3=$AD210,$F210&amp;"R",AR209))))</f>
        <v>wP</v>
      </c>
      <c r="AS210" s="11" t="str">
        <f aca="false">IF($P210=0,AS209,IF(AS$3=$E210,IF($AA210=1,$F210&amp;$AB210,$G210),IF(OR(AS$3=$D210,AS$3=$AC210,AS$3=$AE210),"",IF(AS$3=$AD210,$F210&amp;"R",AS209))))</f>
        <v>wP</v>
      </c>
      <c r="AT210" s="11" t="str">
        <f aca="false">IF($P210=0,AT209,IF(AT$3=$E210,IF($AA210=1,$F210&amp;$AB210,$G210),IF(OR(AT$3=$D210,AT$3=$AC210,AT$3=$AE210),"",IF(AT$3=$AD210,$F210&amp;"R",AT209))))</f>
        <v>wP</v>
      </c>
      <c r="AU210" s="11" t="str">
        <f aca="false">IF($P210=0,AU209,IF(AU$3=$E210,IF($AA210=1,$F210&amp;$AB210,$G210),IF(OR(AU$3=$D210,AU$3=$AC210,AU$3=$AE210),"",IF(AU$3=$AD210,$F210&amp;"R",AU209))))</f>
        <v>wP</v>
      </c>
      <c r="AV210" s="11" t="str">
        <f aca="false">IF($P210=0,AV209,IF(AV$3=$E210,IF($AA210=1,$F210&amp;$AB210,$G210),IF(OR(AV$3=$D210,AV$3=$AC210,AV$3=$AE210),"",IF(AV$3=$AD210,$F210&amp;"R",AV209))))</f>
        <v>wP</v>
      </c>
      <c r="AW210" s="11" t="str">
        <f aca="false">IF($P210=0,AW209,IF(AW$3=$E210,IF($AA210=1,$F210&amp;$AB210,$G210),IF(OR(AW$3=$D210,AW$3=$AC210,AW$3=$AE210),"",IF(AW$3=$AD210,$F210&amp;"R",AW209))))</f>
        <v>wP</v>
      </c>
      <c r="AX210" s="11" t="str">
        <f aca="false">IF($P210=0,AX209,IF(AX$3=$E210,IF($AA210=1,$F210&amp;$AB210,$G210),IF(OR(AX$3=$D210,AX$3=$AC210,AX$3=$AE210),"",IF(AX$3=$AD210,$F210&amp;"R",AX209))))</f>
        <v/>
      </c>
      <c r="AY210" s="11" t="str">
        <f aca="false">IF($P210=0,AY209,IF(AY$3=$E210,IF($AA210=1,$F210&amp;$AB210,$G210),IF(OR(AY$3=$D210,AY$3=$AC210,AY$3=$AE210),"",IF(AY$3=$AD210,$F210&amp;"R",AY209))))</f>
        <v/>
      </c>
      <c r="AZ210" s="11" t="str">
        <f aca="false">IF($P210=0,AZ209,IF(AZ$3=$E210,IF($AA210=1,$F210&amp;$AB210,$G210),IF(OR(AZ$3=$D210,AZ$3=$AC210,AZ$3=$AE210),"",IF(AZ$3=$AD210,$F210&amp;"R",AZ209))))</f>
        <v/>
      </c>
      <c r="BA210" s="11" t="str">
        <f aca="false">IF($P210=0,BA209,IF(BA$3=$E210,IF($AA210=1,$F210&amp;$AB210,$G210),IF(OR(BA$3=$D210,BA$3=$AC210,BA$3=$AE210),"",IF(BA$3=$AD210,$F210&amp;"R",BA209))))</f>
        <v/>
      </c>
      <c r="BB210" s="11" t="str">
        <f aca="false">IF($P210=0,BB209,IF(BB$3=$E210,IF($AA210=1,$F210&amp;$AB210,$G210),IF(OR(BB$3=$D210,BB$3=$AC210,BB$3=$AE210),"",IF(BB$3=$AD210,$F210&amp;"R",BB209))))</f>
        <v/>
      </c>
      <c r="BC210" s="11" t="str">
        <f aca="false">IF($P210=0,BC209,IF(BC$3=$E210,IF($AA210=1,$F210&amp;$AB210,$G210),IF(OR(BC$3=$D210,BC$3=$AC210,BC$3=$AE210),"",IF(BC$3=$AD210,$F210&amp;"R",BC209))))</f>
        <v/>
      </c>
      <c r="BD210" s="11" t="str">
        <f aca="false">IF($P210=0,BD209,IF(BD$3=$E210,IF($AA210=1,$F210&amp;$AB210,$G210),IF(OR(BD$3=$D210,BD$3=$AC210,BD$3=$AE210),"",IF(BD$3=$AD210,$F210&amp;"R",BD209))))</f>
        <v/>
      </c>
      <c r="BE210" s="11" t="str">
        <f aca="false">IF($P210=0,BE209,IF(BE$3=$E210,IF($AA210=1,$F210&amp;$AB210,$G210),IF(OR(BE$3=$D210,BE$3=$AC210,BE$3=$AE210),"",IF(BE$3=$AD210,$F210&amp;"R",BE209))))</f>
        <v/>
      </c>
      <c r="BF210" s="11" t="str">
        <f aca="false">IF($P210=0,BF209,IF(BF$3=$E210,IF($AA210=1,$F210&amp;$AB210,$G210),IF(OR(BF$3=$D210,BF$3=$AC210,BF$3=$AE210),"",IF(BF$3=$AD210,$F210&amp;"R",BF209))))</f>
        <v/>
      </c>
      <c r="BG210" s="11" t="str">
        <f aca="false">IF($P210=0,BG209,IF(BG$3=$E210,IF($AA210=1,$F210&amp;$AB210,$G210),IF(OR(BG$3=$D210,BG$3=$AC210,BG$3=$AE210),"",IF(BG$3=$AD210,$F210&amp;"R",BG209))))</f>
        <v/>
      </c>
      <c r="BH210" s="11" t="str">
        <f aca="false">IF($P210=0,BH209,IF(BH$3=$E210,IF($AA210=1,$F210&amp;$AB210,$G210),IF(OR(BH$3=$D210,BH$3=$AC210,BH$3=$AE210),"",IF(BH$3=$AD210,$F210&amp;"R",BH209))))</f>
        <v/>
      </c>
      <c r="BI210" s="11" t="str">
        <f aca="false">IF($P210=0,BI209,IF(BI$3=$E210,IF($AA210=1,$F210&amp;$AB210,$G210),IF(OR(BI$3=$D210,BI$3=$AC210,BI$3=$AE210),"",IF(BI$3=$AD210,$F210&amp;"R",BI209))))</f>
        <v/>
      </c>
      <c r="BJ210" s="11" t="str">
        <f aca="false">IF($P210=0,BJ209,IF(BJ$3=$E210,IF($AA210=1,$F210&amp;$AB210,$G210),IF(OR(BJ$3=$D210,BJ$3=$AC210,BJ$3=$AE210),"",IF(BJ$3=$AD210,$F210&amp;"R",BJ209))))</f>
        <v/>
      </c>
      <c r="BK210" s="11" t="str">
        <f aca="false">IF($P210=0,BK209,IF(BK$3=$E210,IF($AA210=1,$F210&amp;$AB210,$G210),IF(OR(BK$3=$D210,BK$3=$AC210,BK$3=$AE210),"",IF(BK$3=$AD210,$F210&amp;"R",BK209))))</f>
        <v/>
      </c>
      <c r="BL210" s="11" t="str">
        <f aca="false">IF($P210=0,BL209,IF(BL$3=$E210,IF($AA210=1,$F210&amp;$AB210,$G210),IF(OR(BL$3=$D210,BL$3=$AC210,BL$3=$AE210),"",IF(BL$3=$AD210,$F210&amp;"R",BL209))))</f>
        <v/>
      </c>
      <c r="BM210" s="11" t="str">
        <f aca="false">IF($P210=0,BM209,IF(BM$3=$E210,IF($AA210=1,$F210&amp;$AB210,$G210),IF(OR(BM$3=$D210,BM$3=$AC210,BM$3=$AE210),"",IF(BM$3=$AD210,$F210&amp;"R",BM209))))</f>
        <v/>
      </c>
      <c r="BN210" s="11" t="str">
        <f aca="false">IF($P210=0,BN209,IF(BN$3=$E210,IF($AA210=1,$F210&amp;$AB210,$G210),IF(OR(BN$3=$D210,BN$3=$AC210,BN$3=$AE210),"",IF(BN$3=$AD210,$F210&amp;"R",BN209))))</f>
        <v/>
      </c>
      <c r="BO210" s="11" t="str">
        <f aca="false">IF($P210=0,BO209,IF(BO$3=$E210,IF($AA210=1,$F210&amp;$AB210,$G210),IF(OR(BO$3=$D210,BO$3=$AC210,BO$3=$AE210),"",IF(BO$3=$AD210,$F210&amp;"R",BO209))))</f>
        <v/>
      </c>
      <c r="BP210" s="11" t="str">
        <f aca="false">IF($P210=0,BP209,IF(BP$3=$E210,IF($AA210=1,$F210&amp;$AB210,$G210),IF(OR(BP$3=$D210,BP$3=$AC210,BP$3=$AE210),"",IF(BP$3=$AD210,$F210&amp;"R",BP209))))</f>
        <v/>
      </c>
      <c r="BQ210" s="11" t="str">
        <f aca="false">IF($P210=0,BQ209,IF(BQ$3=$E210,IF($AA210=1,$F210&amp;$AB210,$G210),IF(OR(BQ$3=$D210,BQ$3=$AC210,BQ$3=$AE210),"",IF(BQ$3=$AD210,$F210&amp;"R",BQ209))))</f>
        <v/>
      </c>
      <c r="BR210" s="11" t="str">
        <f aca="false">IF($P210=0,BR209,IF(BR$3=$E210,IF($AA210=1,$F210&amp;$AB210,$G210),IF(OR(BR$3=$D210,BR$3=$AC210,BR$3=$AE210),"",IF(BR$3=$AD210,$F210&amp;"R",BR209))))</f>
        <v/>
      </c>
      <c r="BS210" s="11" t="str">
        <f aca="false">IF($P210=0,BS209,IF(BS$3=$E210,IF($AA210=1,$F210&amp;$AB210,$G210),IF(OR(BS$3=$D210,BS$3=$AC210,BS$3=$AE210),"",IF(BS$3=$AD210,$F210&amp;"R",BS209))))</f>
        <v/>
      </c>
      <c r="BT210" s="11" t="str">
        <f aca="false">IF($P210=0,BT209,IF(BT$3=$E210,IF($AA210=1,$F210&amp;$AB210,$G210),IF(OR(BT$3=$D210,BT$3=$AC210,BT$3=$AE210),"",IF(BT$3=$AD210,$F210&amp;"R",BT209))))</f>
        <v/>
      </c>
      <c r="BU210" s="11" t="str">
        <f aca="false">IF($P210=0,BU209,IF(BU$3=$E210,IF($AA210=1,$F210&amp;$AB210,$G210),IF(OR(BU$3=$D210,BU$3=$AC210,BU$3=$AE210),"",IF(BU$3=$AD210,$F210&amp;"R",BU209))))</f>
        <v/>
      </c>
      <c r="BV210" s="11" t="str">
        <f aca="false">IF($P210=0,BV209,IF(BV$3=$E210,IF($AA210=1,$F210&amp;$AB210,$G210),IF(OR(BV$3=$D210,BV$3=$AC210,BV$3=$AE210),"",IF(BV$3=$AD210,$F210&amp;"R",BV209))))</f>
        <v/>
      </c>
      <c r="BW210" s="11" t="str">
        <f aca="false">IF($P210=0,BW209,IF(BW$3=$E210,IF($AA210=1,$F210&amp;$AB210,$G210),IF(OR(BW$3=$D210,BW$3=$AC210,BW$3=$AE210),"",IF(BW$3=$AD210,$F210&amp;"R",BW209))))</f>
        <v/>
      </c>
      <c r="BX210" s="11" t="str">
        <f aca="false">IF($P210=0,BX209,IF(BX$3=$E210,IF($AA210=1,$F210&amp;$AB210,$G210),IF(OR(BX$3=$D210,BX$3=$AC210,BX$3=$AE210),"",IF(BX$3=$AD210,$F210&amp;"R",BX209))))</f>
        <v/>
      </c>
      <c r="BY210" s="11" t="str">
        <f aca="false">IF($P210=0,BY209,IF(BY$3=$E210,IF($AA210=1,$F210&amp;$AB210,$G210),IF(OR(BY$3=$D210,BY$3=$AC210,BY$3=$AE210),"",IF(BY$3=$AD210,$F210&amp;"R",BY209))))</f>
        <v/>
      </c>
      <c r="BZ210" s="11" t="str">
        <f aca="false">IF($P210=0,BZ209,IF(BZ$3=$E210,IF($AA210=1,$F210&amp;$AB210,$G210),IF(OR(BZ$3=$D210,BZ$3=$AC210,BZ$3=$AE210),"",IF(BZ$3=$AD210,$F210&amp;"R",BZ209))))</f>
        <v/>
      </c>
      <c r="CA210" s="11" t="str">
        <f aca="false">IF($P210=0,CA209,IF(CA$3=$E210,IF($AA210=1,$F210&amp;$AB210,$G210),IF(OR(CA$3=$D210,CA$3=$AC210,CA$3=$AE210),"",IF(CA$3=$AD210,$F210&amp;"R",CA209))))</f>
        <v/>
      </c>
      <c r="CB210" s="11" t="str">
        <f aca="false">IF($P210=0,CB209,IF(CB$3=$E210,IF($AA210=1,$F210&amp;$AB210,$G210),IF(OR(CB$3=$D210,CB$3=$AC210,CB$3=$AE210),"",IF(CB$3=$AD210,$F210&amp;"R",CB209))))</f>
        <v/>
      </c>
      <c r="CC210" s="11" t="str">
        <f aca="false">IF($P210=0,CC209,IF(CC$3=$E210,IF($AA210=1,$F210&amp;$AB210,$G210),IF(OR(CC$3=$D210,CC$3=$AC210,CC$3=$AE210),"",IF(CC$3=$AD210,$F210&amp;"R",CC209))))</f>
        <v/>
      </c>
      <c r="CD210" s="11" t="str">
        <f aca="false">IF($P210=0,CD209,IF(CD$3=$E210,IF($AA210=1,$F210&amp;$AB210,$G210),IF(OR(CD$3=$D210,CD$3=$AC210,CD$3=$AE210),"",IF(CD$3=$AD210,$F210&amp;"R",CD209))))</f>
        <v>bP</v>
      </c>
      <c r="CE210" s="11" t="str">
        <f aca="false">IF($P210=0,CE209,IF(CE$3=$E210,IF($AA210=1,$F210&amp;$AB210,$G210),IF(OR(CE$3=$D210,CE$3=$AC210,CE$3=$AE210),"",IF(CE$3=$AD210,$F210&amp;"R",CE209))))</f>
        <v>bP</v>
      </c>
      <c r="CF210" s="11" t="str">
        <f aca="false">IF($P210=0,CF209,IF(CF$3=$E210,IF($AA210=1,$F210&amp;$AB210,$G210),IF(OR(CF$3=$D210,CF$3=$AC210,CF$3=$AE210),"",IF(CF$3=$AD210,$F210&amp;"R",CF209))))</f>
        <v>bP</v>
      </c>
      <c r="CG210" s="11" t="str">
        <f aca="false">IF($P210=0,CG209,IF(CG$3=$E210,IF($AA210=1,$F210&amp;$AB210,$G210),IF(OR(CG$3=$D210,CG$3=$AC210,CG$3=$AE210),"",IF(CG$3=$AD210,$F210&amp;"R",CG209))))</f>
        <v>bP</v>
      </c>
      <c r="CH210" s="11" t="str">
        <f aca="false">IF($P210=0,CH209,IF(CH$3=$E210,IF($AA210=1,$F210&amp;$AB210,$G210),IF(OR(CH$3=$D210,CH$3=$AC210,CH$3=$AE210),"",IF(CH$3=$AD210,$F210&amp;"R",CH209))))</f>
        <v>bP</v>
      </c>
      <c r="CI210" s="11" t="str">
        <f aca="false">IF($P210=0,CI209,IF(CI$3=$E210,IF($AA210=1,$F210&amp;$AB210,$G210),IF(OR(CI$3=$D210,CI$3=$AC210,CI$3=$AE210),"",IF(CI$3=$AD210,$F210&amp;"R",CI209))))</f>
        <v>bP</v>
      </c>
      <c r="CJ210" s="11" t="str">
        <f aca="false">IF($P210=0,CJ209,IF(CJ$3=$E210,IF($AA210=1,$F210&amp;$AB210,$G210),IF(OR(CJ$3=$D210,CJ$3=$AC210,CJ$3=$AE210),"",IF(CJ$3=$AD210,$F210&amp;"R",CJ209))))</f>
        <v>bP</v>
      </c>
      <c r="CK210" s="11" t="str">
        <f aca="false">IF($P210=0,CK209,IF(CK$3=$E210,IF($AA210=1,$F210&amp;$AB210,$G210),IF(OR(CK$3=$D210,CK$3=$AC210,CK$3=$AE210),"",IF(CK$3=$AD210,$F210&amp;"R",CK209))))</f>
        <v>bP</v>
      </c>
      <c r="CL210" s="11" t="str">
        <f aca="false">IF($P210=0,CL209,IF(CL$3=$E210,IF($AA210=1,$F210&amp;$AB210,$G210),IF(OR(CL$3=$D210,CL$3=$AC210,CL$3=$AE210),"",IF(CL$3=$AD210,$F210&amp;"R",CL209))))</f>
        <v>bR</v>
      </c>
      <c r="CM210" s="11" t="str">
        <f aca="false">IF($P210=0,CM209,IF(CM$3=$E210,IF($AA210=1,$F210&amp;$AB210,$G210),IF(OR(CM$3=$D210,CM$3=$AC210,CM$3=$AE210),"",IF(CM$3=$AD210,$F210&amp;"R",CM209))))</f>
        <v>bN</v>
      </c>
      <c r="CN210" s="11" t="str">
        <f aca="false">IF($P210=0,CN209,IF(CN$3=$E210,IF($AA210=1,$F210&amp;$AB210,$G210),IF(OR(CN$3=$D210,CN$3=$AC210,CN$3=$AE210),"",IF(CN$3=$AD210,$F210&amp;"R",CN209))))</f>
        <v>bB</v>
      </c>
      <c r="CO210" s="11" t="str">
        <f aca="false">IF($P210=0,CO209,IF(CO$3=$E210,IF($AA210=1,$F210&amp;$AB210,$G210),IF(OR(CO$3=$D210,CO$3=$AC210,CO$3=$AE210),"",IF(CO$3=$AD210,$F210&amp;"R",CO209))))</f>
        <v>bQ</v>
      </c>
      <c r="CP210" s="11" t="str">
        <f aca="false">IF($P210=0,CP209,IF(CP$3=$E210,IF($AA210=1,$F210&amp;$AB210,$G210),IF(OR(CP$3=$D210,CP$3=$AC210,CP$3=$AE210),"",IF(CP$3=$AD210,$F210&amp;"R",CP209))))</f>
        <v>bK</v>
      </c>
      <c r="CQ210" s="11" t="str">
        <f aca="false">IF($P210=0,CQ209,IF(CQ$3=$E210,IF($AA210=1,$F210&amp;$AB210,$G210),IF(OR(CQ$3=$D210,CQ$3=$AC210,CQ$3=$AE210),"",IF(CQ$3=$AD210,$F210&amp;"R",CQ209))))</f>
        <v>bB</v>
      </c>
      <c r="CR210" s="11" t="str">
        <f aca="false">IF($P210=0,CR209,IF(CR$3=$E210,IF($AA210=1,$F210&amp;$AB210,$G210),IF(OR(CR$3=$D210,CR$3=$AC210,CR$3=$AE210),"",IF(CR$3=$AD210,$F210&amp;"R",CR209))))</f>
        <v>bN</v>
      </c>
      <c r="CS210" s="11" t="str">
        <f aca="false">IF($P210=0,CS209,IF(CS$3=$E210,IF($AA210=1,$F210&amp;$AB210,$G210),IF(OR(CS$3=$D210,CS$3=$AC210,CS$3=$AE210),"",IF(CS$3=$AD210,$F210&amp;"R",CS209))))</f>
        <v>bR</v>
      </c>
      <c r="CT210" s="11"/>
      <c r="CU210" s="11"/>
      <c r="CV210" s="11"/>
    </row>
    <row r="211" customFormat="false" ht="15" hidden="false" customHeight="false" outlineLevel="0" collapsed="false">
      <c r="A211" s="11" t="n">
        <v>206</v>
      </c>
      <c r="B211" s="11" t="str">
        <f aca="false">IF(Chess!$L$215="","",Chess!$L$215&amp;"")</f>
        <v/>
      </c>
      <c r="C211" s="11" t="str">
        <f aca="false">LOWER(SUBSTITUTE(SUBSTITUTE(SUBSTITUTE(SUBSTITUTE(TRIM($B211),"-",""),"=","")," ",""),"x",""))</f>
        <v/>
      </c>
      <c r="D211" s="11" t="n">
        <f aca="false">IF(LEN($C211)&lt;4,0,IFERROR(IF(AND(CODE(MID($C211,1,1))&gt;=97,CODE(MID($C211,1,1))&lt;=104,VALUE(MID($C211,2,1))&gt;=1,VALUE(MID($C211,2,1))&lt;=8),(VALUE(MID($C211,2,1))-1)*8+CODE(MID($C211,1,1))-96,0),0))</f>
        <v>0</v>
      </c>
      <c r="E211" s="11" t="n">
        <f aca="false">IF(LEN($C211)&lt;4,0,IFERROR(IF(AND(CODE(MID($C211,3,1))&gt;=97,CODE(MID($C211,3,1))&lt;=104,VALUE(MID($C211,4,1))&gt;=1,VALUE(MID($C211,4,1))&lt;=8),(VALUE(MID($C211,4,1))-1)*8+CODE(MID($C211,3,1))-96,0),0))</f>
        <v>0</v>
      </c>
      <c r="F211" s="11" t="str">
        <f aca="false">IF(MOD(SUM($P$5:$P210),2)=0,"w","b")</f>
        <v>w</v>
      </c>
      <c r="G211" s="11" t="str">
        <f aca="false">IF($D211=0,"",INDEX($AH210:$CS210,1,$D211)&amp;"")</f>
        <v/>
      </c>
      <c r="H211" s="11" t="str">
        <f aca="false">IF($E211=0,"",INDEX($AH210:$CS210,1,$E211)&amp;"")</f>
        <v/>
      </c>
      <c r="I211" s="11" t="n">
        <f aca="false">IF(OR($D211=0,$E211=0),0,MOD($E211-1,8)-MOD($D211-1,8))</f>
        <v>0</v>
      </c>
      <c r="J211" s="11" t="n">
        <f aca="false">IF(OR($D211=0,$E211=0),0,INT(($E211-1)/8)-INT(($D211-1)/8))</f>
        <v>0</v>
      </c>
      <c r="K211" s="11" t="str">
        <f aca="false">IF($G211="","",RIGHT($G211,1))</f>
        <v/>
      </c>
      <c r="L211" s="11" t="n">
        <f aca="false">IF(OR($D211=0,$E211=0),0,SUMPRODUCT(($AH$3:$CS$3&gt;MIN($D211,$E211))*($AH$3:$CS$3&lt;MAX($D211,$E211))*(MOD($AH$3:$CS$3-MIN($D211,$E211),MAX(1,ABS(SIGN($J211)*8+SIGN($I211))))=0)*($AH210:$CS210&lt;&gt;"")))</f>
        <v>0</v>
      </c>
      <c r="M211" s="11" t="n">
        <f aca="false">IF($K211&lt;&gt;"K",0,IFERROR(--AND($J211=0,ABS($I211)=2,$D211=IF($F211="w",5,61),IF($F211="w",$S210,$V210)=0,IF($I211=2,AND(IF($F211="w",$U210,$X210)=0,INDEX($AH210:$CS210,1,$D211+1)&amp;""="",INDEX($AH210:$CS210,1,$D211+2)&amp;""=""),AND(IF($F211="w",$T210,$W210)=0,INDEX($AH210:$CS210,1,$D211-1)&amp;""="",INDEX($AH210:$CS210,1,$D211-2)&amp;""="",INDEX($AH210:$CS210,1,$D211-3)&amp;""=""))),0))</f>
        <v>0</v>
      </c>
      <c r="N211" s="11" t="n">
        <f aca="false">IF($K211&lt;&gt;"P",0,IFERROR(--OR(AND($I211=0,$J211=IF($F211="w",1,-1),$H211=""),AND($I211=0,$J211=2*IF($F211="w",1,-1),$H211="",INT(($D211-1)/8)=IF($F211="w",1,6),INDEX($AH210:$CS210,1,MAX(1,MIN(64,$D211+8*IF($F211="w",1,-1))))&amp;""=""),AND(ABS($I211)=1,$J211=IF($F211="w",1,-1),$H211&lt;&gt;""),AND(ABS($I211)=1,$J211=IF($F211="w",1,-1),$H211="",$R210&gt;0,$E211=$R210)),0))</f>
        <v>0</v>
      </c>
      <c r="O211" s="11" t="n">
        <f aca="false">IF(OR($D211=0,$E211=0,$G211=""),0,IF($K211="N",--OR(AND(ABS($I211)=1,ABS($J211)=2),AND(ABS($I211)=2,ABS($J211)=1)),IF($K211="B",--AND(ABS($I211)=ABS($J211),$I211&lt;&gt;0,$L211=0),IF($K211="R",--AND(OR($I211=0,$J211=0),OR($I211&lt;&gt;0,$J211&lt;&gt;0),$L211=0),IF($K211="Q",--AND(OR(AND(ABS($I211)=ABS($J211),$I211&lt;&gt;0),AND(OR($I211=0,$J211=0),OR($I211&lt;&gt;0,$J211&lt;&gt;0))),$L211=0),IF($K211="K",--OR(MAX(ABS($I211),ABS($J211))=1,$M211=1),$N211))))))</f>
        <v>0</v>
      </c>
      <c r="P211" s="11" t="n">
        <f aca="false">IF($Q211="OK",1,0)</f>
        <v>0</v>
      </c>
      <c r="Q211" s="11" t="str">
        <f aca="false">IF($B211="","",IF(OR(COUNTIF($AH210:$CS210,"wK")=0,COUNTIF($AH210:$CS210,"bK")=0),"Game is over",IF(OR($D211=0,$E211=0),"Use the format e2e4",IF($G211="","No piece on that square",IF(LEFT($G211,1)&lt;&gt;$F211,"Not your piece ("&amp;IF($F211="w","White","Black")&amp;" to move)",IF($D211=$E211,"Piece must move",IF(AND($H211&lt;&gt;"",LEFT($H211,1)=$F211),"Cannot capture your own piece",IF($O211=0,"Illegal move for that piece (or path blocked)","OK"))))))))</f>
        <v/>
      </c>
      <c r="R211" s="11" t="n">
        <f aca="false">IF($P211=1,IF(AND($K211="P",ABS($J211)=2),($D211+$E211)/2,0),$R210)</f>
        <v>0</v>
      </c>
      <c r="S211" s="12" t="b">
        <f aca="false">--OR($S210=1,AND($P211=1,OR($D211=5,$E211=5)))</f>
        <v>0</v>
      </c>
      <c r="T211" s="12" t="b">
        <f aca="false">--OR($T210=1,AND($P211=1,OR($D211=1,$E211=1)))</f>
        <v>0</v>
      </c>
      <c r="U211" s="12" t="b">
        <f aca="false">--OR($U210=1,AND($P211=1,OR($D211=8,$E211=8)))</f>
        <v>0</v>
      </c>
      <c r="V211" s="12" t="b">
        <f aca="false">--OR($V210=1,AND($P211=1,OR($D211=61,$E211=61)))</f>
        <v>0</v>
      </c>
      <c r="W211" s="12" t="b">
        <f aca="false">--OR($W210=1,AND($P211=1,OR($D211=57,$E211=57)))</f>
        <v>0</v>
      </c>
      <c r="X211" s="12" t="b">
        <f aca="false">--OR($X210=1,AND($P211=1,OR($D211=64,$E211=64)))</f>
        <v>0</v>
      </c>
      <c r="Y211" s="12" t="b">
        <f aca="false">--AND($P211=1,$K211="K",ABS($I211)=2)</f>
        <v>0</v>
      </c>
      <c r="Z211" s="12" t="b">
        <f aca="false">--AND($P211=1,$K211="P",ABS($I211)=1,$H211="")</f>
        <v>0</v>
      </c>
      <c r="AA211" s="12" t="b">
        <f aca="false">--AND($P211=1,$K211="P",INT(($E211-1)/8)=IF($F211="w",7,0))</f>
        <v>0</v>
      </c>
      <c r="AB211" s="11" t="str">
        <f aca="false">IF(LEN($C211)&gt;=5,IF(ISNUMBER(FIND(MID($C211,5,1),"qrbn")),UPPER(MID($C211,5,1)),"Q"),"Q")</f>
        <v>Q</v>
      </c>
      <c r="AC211" s="11" t="n">
        <f aca="false">IF($Y211=1,IF($I211=2,$D211+3,$D211-4),0)</f>
        <v>0</v>
      </c>
      <c r="AD211" s="11" t="n">
        <f aca="false">IF($Y211=1,IF($I211=2,$D211+1,$D211-1),0)</f>
        <v>0</v>
      </c>
      <c r="AE211" s="11" t="n">
        <f aca="false">IF($Z211=1,$E211-8*IF($F211="w",1,-1),0)</f>
        <v>0</v>
      </c>
      <c r="AF211" s="11" t="str">
        <f aca="false">IF($B211="","",IF($P211=1,LOWER(INDEX($CV$2:$CV$13,MATCH($G211,$CU$2:$CU$13,0)))&amp;" "&amp;MID("abcdefgh",MOD($D211-1,8)+1,1)&amp;(INT(($D211-1)/8)+1)&amp;"→"&amp;MID("abcdefgh",MOD($E211-1,8)+1,1)&amp;(INT(($E211-1)/8)+1)&amp;IF(OR($H211&lt;&gt;"",$Z211=1)," ×","")&amp;IF($Y211=1," castles","")&amp;IF($Z211=1," e.p.","")&amp;IF($AA211=1," =" &amp;LOWER(INDEX($CV$2:$CV$13,MATCH($F211&amp;$AB211,$CU$2:$CU$13,0))),""),"X "&amp;$Q211))</f>
        <v/>
      </c>
      <c r="AG211" s="11"/>
      <c r="AH211" s="11" t="str">
        <f aca="false">IF($P211=0,AH210,IF(AH$3=$E211,IF($AA211=1,$F211&amp;$AB211,$G211),IF(OR(AH$3=$D211,AH$3=$AC211,AH$3=$AE211),"",IF(AH$3=$AD211,$F211&amp;"R",AH210))))</f>
        <v>wR</v>
      </c>
      <c r="AI211" s="11" t="str">
        <f aca="false">IF($P211=0,AI210,IF(AI$3=$E211,IF($AA211=1,$F211&amp;$AB211,$G211),IF(OR(AI$3=$D211,AI$3=$AC211,AI$3=$AE211),"",IF(AI$3=$AD211,$F211&amp;"R",AI210))))</f>
        <v>wN</v>
      </c>
      <c r="AJ211" s="11" t="str">
        <f aca="false">IF($P211=0,AJ210,IF(AJ$3=$E211,IF($AA211=1,$F211&amp;$AB211,$G211),IF(OR(AJ$3=$D211,AJ$3=$AC211,AJ$3=$AE211),"",IF(AJ$3=$AD211,$F211&amp;"R",AJ210))))</f>
        <v>wB</v>
      </c>
      <c r="AK211" s="11" t="str">
        <f aca="false">IF($P211=0,AK210,IF(AK$3=$E211,IF($AA211=1,$F211&amp;$AB211,$G211),IF(OR(AK$3=$D211,AK$3=$AC211,AK$3=$AE211),"",IF(AK$3=$AD211,$F211&amp;"R",AK210))))</f>
        <v>wQ</v>
      </c>
      <c r="AL211" s="11" t="str">
        <f aca="false">IF($P211=0,AL210,IF(AL$3=$E211,IF($AA211=1,$F211&amp;$AB211,$G211),IF(OR(AL$3=$D211,AL$3=$AC211,AL$3=$AE211),"",IF(AL$3=$AD211,$F211&amp;"R",AL210))))</f>
        <v>wK</v>
      </c>
      <c r="AM211" s="11" t="str">
        <f aca="false">IF($P211=0,AM210,IF(AM$3=$E211,IF($AA211=1,$F211&amp;$AB211,$G211),IF(OR(AM$3=$D211,AM$3=$AC211,AM$3=$AE211),"",IF(AM$3=$AD211,$F211&amp;"R",AM210))))</f>
        <v>wB</v>
      </c>
      <c r="AN211" s="11" t="str">
        <f aca="false">IF($P211=0,AN210,IF(AN$3=$E211,IF($AA211=1,$F211&amp;$AB211,$G211),IF(OR(AN$3=$D211,AN$3=$AC211,AN$3=$AE211),"",IF(AN$3=$AD211,$F211&amp;"R",AN210))))</f>
        <v>wN</v>
      </c>
      <c r="AO211" s="11" t="str">
        <f aca="false">IF($P211=0,AO210,IF(AO$3=$E211,IF($AA211=1,$F211&amp;$AB211,$G211),IF(OR(AO$3=$D211,AO$3=$AC211,AO$3=$AE211),"",IF(AO$3=$AD211,$F211&amp;"R",AO210))))</f>
        <v>wR</v>
      </c>
      <c r="AP211" s="11" t="str">
        <f aca="false">IF($P211=0,AP210,IF(AP$3=$E211,IF($AA211=1,$F211&amp;$AB211,$G211),IF(OR(AP$3=$D211,AP$3=$AC211,AP$3=$AE211),"",IF(AP$3=$AD211,$F211&amp;"R",AP210))))</f>
        <v>wP</v>
      </c>
      <c r="AQ211" s="11" t="str">
        <f aca="false">IF($P211=0,AQ210,IF(AQ$3=$E211,IF($AA211=1,$F211&amp;$AB211,$G211),IF(OR(AQ$3=$D211,AQ$3=$AC211,AQ$3=$AE211),"",IF(AQ$3=$AD211,$F211&amp;"R",AQ210))))</f>
        <v>wP</v>
      </c>
      <c r="AR211" s="11" t="str">
        <f aca="false">IF($P211=0,AR210,IF(AR$3=$E211,IF($AA211=1,$F211&amp;$AB211,$G211),IF(OR(AR$3=$D211,AR$3=$AC211,AR$3=$AE211),"",IF(AR$3=$AD211,$F211&amp;"R",AR210))))</f>
        <v>wP</v>
      </c>
      <c r="AS211" s="11" t="str">
        <f aca="false">IF($P211=0,AS210,IF(AS$3=$E211,IF($AA211=1,$F211&amp;$AB211,$G211),IF(OR(AS$3=$D211,AS$3=$AC211,AS$3=$AE211),"",IF(AS$3=$AD211,$F211&amp;"R",AS210))))</f>
        <v>wP</v>
      </c>
      <c r="AT211" s="11" t="str">
        <f aca="false">IF($P211=0,AT210,IF(AT$3=$E211,IF($AA211=1,$F211&amp;$AB211,$G211),IF(OR(AT$3=$D211,AT$3=$AC211,AT$3=$AE211),"",IF(AT$3=$AD211,$F211&amp;"R",AT210))))</f>
        <v>wP</v>
      </c>
      <c r="AU211" s="11" t="str">
        <f aca="false">IF($P211=0,AU210,IF(AU$3=$E211,IF($AA211=1,$F211&amp;$AB211,$G211),IF(OR(AU$3=$D211,AU$3=$AC211,AU$3=$AE211),"",IF(AU$3=$AD211,$F211&amp;"R",AU210))))</f>
        <v>wP</v>
      </c>
      <c r="AV211" s="11" t="str">
        <f aca="false">IF($P211=0,AV210,IF(AV$3=$E211,IF($AA211=1,$F211&amp;$AB211,$G211),IF(OR(AV$3=$D211,AV$3=$AC211,AV$3=$AE211),"",IF(AV$3=$AD211,$F211&amp;"R",AV210))))</f>
        <v>wP</v>
      </c>
      <c r="AW211" s="11" t="str">
        <f aca="false">IF($P211=0,AW210,IF(AW$3=$E211,IF($AA211=1,$F211&amp;$AB211,$G211),IF(OR(AW$3=$D211,AW$3=$AC211,AW$3=$AE211),"",IF(AW$3=$AD211,$F211&amp;"R",AW210))))</f>
        <v>wP</v>
      </c>
      <c r="AX211" s="11" t="str">
        <f aca="false">IF($P211=0,AX210,IF(AX$3=$E211,IF($AA211=1,$F211&amp;$AB211,$G211),IF(OR(AX$3=$D211,AX$3=$AC211,AX$3=$AE211),"",IF(AX$3=$AD211,$F211&amp;"R",AX210))))</f>
        <v/>
      </c>
      <c r="AY211" s="11" t="str">
        <f aca="false">IF($P211=0,AY210,IF(AY$3=$E211,IF($AA211=1,$F211&amp;$AB211,$G211),IF(OR(AY$3=$D211,AY$3=$AC211,AY$3=$AE211),"",IF(AY$3=$AD211,$F211&amp;"R",AY210))))</f>
        <v/>
      </c>
      <c r="AZ211" s="11" t="str">
        <f aca="false">IF($P211=0,AZ210,IF(AZ$3=$E211,IF($AA211=1,$F211&amp;$AB211,$G211),IF(OR(AZ$3=$D211,AZ$3=$AC211,AZ$3=$AE211),"",IF(AZ$3=$AD211,$F211&amp;"R",AZ210))))</f>
        <v/>
      </c>
      <c r="BA211" s="11" t="str">
        <f aca="false">IF($P211=0,BA210,IF(BA$3=$E211,IF($AA211=1,$F211&amp;$AB211,$G211),IF(OR(BA$3=$D211,BA$3=$AC211,BA$3=$AE211),"",IF(BA$3=$AD211,$F211&amp;"R",BA210))))</f>
        <v/>
      </c>
      <c r="BB211" s="11" t="str">
        <f aca="false">IF($P211=0,BB210,IF(BB$3=$E211,IF($AA211=1,$F211&amp;$AB211,$G211),IF(OR(BB$3=$D211,BB$3=$AC211,BB$3=$AE211),"",IF(BB$3=$AD211,$F211&amp;"R",BB210))))</f>
        <v/>
      </c>
      <c r="BC211" s="11" t="str">
        <f aca="false">IF($P211=0,BC210,IF(BC$3=$E211,IF($AA211=1,$F211&amp;$AB211,$G211),IF(OR(BC$3=$D211,BC$3=$AC211,BC$3=$AE211),"",IF(BC$3=$AD211,$F211&amp;"R",BC210))))</f>
        <v/>
      </c>
      <c r="BD211" s="11" t="str">
        <f aca="false">IF($P211=0,BD210,IF(BD$3=$E211,IF($AA211=1,$F211&amp;$AB211,$G211),IF(OR(BD$3=$D211,BD$3=$AC211,BD$3=$AE211),"",IF(BD$3=$AD211,$F211&amp;"R",BD210))))</f>
        <v/>
      </c>
      <c r="BE211" s="11" t="str">
        <f aca="false">IF($P211=0,BE210,IF(BE$3=$E211,IF($AA211=1,$F211&amp;$AB211,$G211),IF(OR(BE$3=$D211,BE$3=$AC211,BE$3=$AE211),"",IF(BE$3=$AD211,$F211&amp;"R",BE210))))</f>
        <v/>
      </c>
      <c r="BF211" s="11" t="str">
        <f aca="false">IF($P211=0,BF210,IF(BF$3=$E211,IF($AA211=1,$F211&amp;$AB211,$G211),IF(OR(BF$3=$D211,BF$3=$AC211,BF$3=$AE211),"",IF(BF$3=$AD211,$F211&amp;"R",BF210))))</f>
        <v/>
      </c>
      <c r="BG211" s="11" t="str">
        <f aca="false">IF($P211=0,BG210,IF(BG$3=$E211,IF($AA211=1,$F211&amp;$AB211,$G211),IF(OR(BG$3=$D211,BG$3=$AC211,BG$3=$AE211),"",IF(BG$3=$AD211,$F211&amp;"R",BG210))))</f>
        <v/>
      </c>
      <c r="BH211" s="11" t="str">
        <f aca="false">IF($P211=0,BH210,IF(BH$3=$E211,IF($AA211=1,$F211&amp;$AB211,$G211),IF(OR(BH$3=$D211,BH$3=$AC211,BH$3=$AE211),"",IF(BH$3=$AD211,$F211&amp;"R",BH210))))</f>
        <v/>
      </c>
      <c r="BI211" s="11" t="str">
        <f aca="false">IF($P211=0,BI210,IF(BI$3=$E211,IF($AA211=1,$F211&amp;$AB211,$G211),IF(OR(BI$3=$D211,BI$3=$AC211,BI$3=$AE211),"",IF(BI$3=$AD211,$F211&amp;"R",BI210))))</f>
        <v/>
      </c>
      <c r="BJ211" s="11" t="str">
        <f aca="false">IF($P211=0,BJ210,IF(BJ$3=$E211,IF($AA211=1,$F211&amp;$AB211,$G211),IF(OR(BJ$3=$D211,BJ$3=$AC211,BJ$3=$AE211),"",IF(BJ$3=$AD211,$F211&amp;"R",BJ210))))</f>
        <v/>
      </c>
      <c r="BK211" s="11" t="str">
        <f aca="false">IF($P211=0,BK210,IF(BK$3=$E211,IF($AA211=1,$F211&amp;$AB211,$G211),IF(OR(BK$3=$D211,BK$3=$AC211,BK$3=$AE211),"",IF(BK$3=$AD211,$F211&amp;"R",BK210))))</f>
        <v/>
      </c>
      <c r="BL211" s="11" t="str">
        <f aca="false">IF($P211=0,BL210,IF(BL$3=$E211,IF($AA211=1,$F211&amp;$AB211,$G211),IF(OR(BL$3=$D211,BL$3=$AC211,BL$3=$AE211),"",IF(BL$3=$AD211,$F211&amp;"R",BL210))))</f>
        <v/>
      </c>
      <c r="BM211" s="11" t="str">
        <f aca="false">IF($P211=0,BM210,IF(BM$3=$E211,IF($AA211=1,$F211&amp;$AB211,$G211),IF(OR(BM$3=$D211,BM$3=$AC211,BM$3=$AE211),"",IF(BM$3=$AD211,$F211&amp;"R",BM210))))</f>
        <v/>
      </c>
      <c r="BN211" s="11" t="str">
        <f aca="false">IF($P211=0,BN210,IF(BN$3=$E211,IF($AA211=1,$F211&amp;$AB211,$G211),IF(OR(BN$3=$D211,BN$3=$AC211,BN$3=$AE211),"",IF(BN$3=$AD211,$F211&amp;"R",BN210))))</f>
        <v/>
      </c>
      <c r="BO211" s="11" t="str">
        <f aca="false">IF($P211=0,BO210,IF(BO$3=$E211,IF($AA211=1,$F211&amp;$AB211,$G211),IF(OR(BO$3=$D211,BO$3=$AC211,BO$3=$AE211),"",IF(BO$3=$AD211,$F211&amp;"R",BO210))))</f>
        <v/>
      </c>
      <c r="BP211" s="11" t="str">
        <f aca="false">IF($P211=0,BP210,IF(BP$3=$E211,IF($AA211=1,$F211&amp;$AB211,$G211),IF(OR(BP$3=$D211,BP$3=$AC211,BP$3=$AE211),"",IF(BP$3=$AD211,$F211&amp;"R",BP210))))</f>
        <v/>
      </c>
      <c r="BQ211" s="11" t="str">
        <f aca="false">IF($P211=0,BQ210,IF(BQ$3=$E211,IF($AA211=1,$F211&amp;$AB211,$G211),IF(OR(BQ$3=$D211,BQ$3=$AC211,BQ$3=$AE211),"",IF(BQ$3=$AD211,$F211&amp;"R",BQ210))))</f>
        <v/>
      </c>
      <c r="BR211" s="11" t="str">
        <f aca="false">IF($P211=0,BR210,IF(BR$3=$E211,IF($AA211=1,$F211&amp;$AB211,$G211),IF(OR(BR$3=$D211,BR$3=$AC211,BR$3=$AE211),"",IF(BR$3=$AD211,$F211&amp;"R",BR210))))</f>
        <v/>
      </c>
      <c r="BS211" s="11" t="str">
        <f aca="false">IF($P211=0,BS210,IF(BS$3=$E211,IF($AA211=1,$F211&amp;$AB211,$G211),IF(OR(BS$3=$D211,BS$3=$AC211,BS$3=$AE211),"",IF(BS$3=$AD211,$F211&amp;"R",BS210))))</f>
        <v/>
      </c>
      <c r="BT211" s="11" t="str">
        <f aca="false">IF($P211=0,BT210,IF(BT$3=$E211,IF($AA211=1,$F211&amp;$AB211,$G211),IF(OR(BT$3=$D211,BT$3=$AC211,BT$3=$AE211),"",IF(BT$3=$AD211,$F211&amp;"R",BT210))))</f>
        <v/>
      </c>
      <c r="BU211" s="11" t="str">
        <f aca="false">IF($P211=0,BU210,IF(BU$3=$E211,IF($AA211=1,$F211&amp;$AB211,$G211),IF(OR(BU$3=$D211,BU$3=$AC211,BU$3=$AE211),"",IF(BU$3=$AD211,$F211&amp;"R",BU210))))</f>
        <v/>
      </c>
      <c r="BV211" s="11" t="str">
        <f aca="false">IF($P211=0,BV210,IF(BV$3=$E211,IF($AA211=1,$F211&amp;$AB211,$G211),IF(OR(BV$3=$D211,BV$3=$AC211,BV$3=$AE211),"",IF(BV$3=$AD211,$F211&amp;"R",BV210))))</f>
        <v/>
      </c>
      <c r="BW211" s="11" t="str">
        <f aca="false">IF($P211=0,BW210,IF(BW$3=$E211,IF($AA211=1,$F211&amp;$AB211,$G211),IF(OR(BW$3=$D211,BW$3=$AC211,BW$3=$AE211),"",IF(BW$3=$AD211,$F211&amp;"R",BW210))))</f>
        <v/>
      </c>
      <c r="BX211" s="11" t="str">
        <f aca="false">IF($P211=0,BX210,IF(BX$3=$E211,IF($AA211=1,$F211&amp;$AB211,$G211),IF(OR(BX$3=$D211,BX$3=$AC211,BX$3=$AE211),"",IF(BX$3=$AD211,$F211&amp;"R",BX210))))</f>
        <v/>
      </c>
      <c r="BY211" s="11" t="str">
        <f aca="false">IF($P211=0,BY210,IF(BY$3=$E211,IF($AA211=1,$F211&amp;$AB211,$G211),IF(OR(BY$3=$D211,BY$3=$AC211,BY$3=$AE211),"",IF(BY$3=$AD211,$F211&amp;"R",BY210))))</f>
        <v/>
      </c>
      <c r="BZ211" s="11" t="str">
        <f aca="false">IF($P211=0,BZ210,IF(BZ$3=$E211,IF($AA211=1,$F211&amp;$AB211,$G211),IF(OR(BZ$3=$D211,BZ$3=$AC211,BZ$3=$AE211),"",IF(BZ$3=$AD211,$F211&amp;"R",BZ210))))</f>
        <v/>
      </c>
      <c r="CA211" s="11" t="str">
        <f aca="false">IF($P211=0,CA210,IF(CA$3=$E211,IF($AA211=1,$F211&amp;$AB211,$G211),IF(OR(CA$3=$D211,CA$3=$AC211,CA$3=$AE211),"",IF(CA$3=$AD211,$F211&amp;"R",CA210))))</f>
        <v/>
      </c>
      <c r="CB211" s="11" t="str">
        <f aca="false">IF($P211=0,CB210,IF(CB$3=$E211,IF($AA211=1,$F211&amp;$AB211,$G211),IF(OR(CB$3=$D211,CB$3=$AC211,CB$3=$AE211),"",IF(CB$3=$AD211,$F211&amp;"R",CB210))))</f>
        <v/>
      </c>
      <c r="CC211" s="11" t="str">
        <f aca="false">IF($P211=0,CC210,IF(CC$3=$E211,IF($AA211=1,$F211&amp;$AB211,$G211),IF(OR(CC$3=$D211,CC$3=$AC211,CC$3=$AE211),"",IF(CC$3=$AD211,$F211&amp;"R",CC210))))</f>
        <v/>
      </c>
      <c r="CD211" s="11" t="str">
        <f aca="false">IF($P211=0,CD210,IF(CD$3=$E211,IF($AA211=1,$F211&amp;$AB211,$G211),IF(OR(CD$3=$D211,CD$3=$AC211,CD$3=$AE211),"",IF(CD$3=$AD211,$F211&amp;"R",CD210))))</f>
        <v>bP</v>
      </c>
      <c r="CE211" s="11" t="str">
        <f aca="false">IF($P211=0,CE210,IF(CE$3=$E211,IF($AA211=1,$F211&amp;$AB211,$G211),IF(OR(CE$3=$D211,CE$3=$AC211,CE$3=$AE211),"",IF(CE$3=$AD211,$F211&amp;"R",CE210))))</f>
        <v>bP</v>
      </c>
      <c r="CF211" s="11" t="str">
        <f aca="false">IF($P211=0,CF210,IF(CF$3=$E211,IF($AA211=1,$F211&amp;$AB211,$G211),IF(OR(CF$3=$D211,CF$3=$AC211,CF$3=$AE211),"",IF(CF$3=$AD211,$F211&amp;"R",CF210))))</f>
        <v>bP</v>
      </c>
      <c r="CG211" s="11" t="str">
        <f aca="false">IF($P211=0,CG210,IF(CG$3=$E211,IF($AA211=1,$F211&amp;$AB211,$G211),IF(OR(CG$3=$D211,CG$3=$AC211,CG$3=$AE211),"",IF(CG$3=$AD211,$F211&amp;"R",CG210))))</f>
        <v>bP</v>
      </c>
      <c r="CH211" s="11" t="str">
        <f aca="false">IF($P211=0,CH210,IF(CH$3=$E211,IF($AA211=1,$F211&amp;$AB211,$G211),IF(OR(CH$3=$D211,CH$3=$AC211,CH$3=$AE211),"",IF(CH$3=$AD211,$F211&amp;"R",CH210))))</f>
        <v>bP</v>
      </c>
      <c r="CI211" s="11" t="str">
        <f aca="false">IF($P211=0,CI210,IF(CI$3=$E211,IF($AA211=1,$F211&amp;$AB211,$G211),IF(OR(CI$3=$D211,CI$3=$AC211,CI$3=$AE211),"",IF(CI$3=$AD211,$F211&amp;"R",CI210))))</f>
        <v>bP</v>
      </c>
      <c r="CJ211" s="11" t="str">
        <f aca="false">IF($P211=0,CJ210,IF(CJ$3=$E211,IF($AA211=1,$F211&amp;$AB211,$G211),IF(OR(CJ$3=$D211,CJ$3=$AC211,CJ$3=$AE211),"",IF(CJ$3=$AD211,$F211&amp;"R",CJ210))))</f>
        <v>bP</v>
      </c>
      <c r="CK211" s="11" t="str">
        <f aca="false">IF($P211=0,CK210,IF(CK$3=$E211,IF($AA211=1,$F211&amp;$AB211,$G211),IF(OR(CK$3=$D211,CK$3=$AC211,CK$3=$AE211),"",IF(CK$3=$AD211,$F211&amp;"R",CK210))))</f>
        <v>bP</v>
      </c>
      <c r="CL211" s="11" t="str">
        <f aca="false">IF($P211=0,CL210,IF(CL$3=$E211,IF($AA211=1,$F211&amp;$AB211,$G211),IF(OR(CL$3=$D211,CL$3=$AC211,CL$3=$AE211),"",IF(CL$3=$AD211,$F211&amp;"R",CL210))))</f>
        <v>bR</v>
      </c>
      <c r="CM211" s="11" t="str">
        <f aca="false">IF($P211=0,CM210,IF(CM$3=$E211,IF($AA211=1,$F211&amp;$AB211,$G211),IF(OR(CM$3=$D211,CM$3=$AC211,CM$3=$AE211),"",IF(CM$3=$AD211,$F211&amp;"R",CM210))))</f>
        <v>bN</v>
      </c>
      <c r="CN211" s="11" t="str">
        <f aca="false">IF($P211=0,CN210,IF(CN$3=$E211,IF($AA211=1,$F211&amp;$AB211,$G211),IF(OR(CN$3=$D211,CN$3=$AC211,CN$3=$AE211),"",IF(CN$3=$AD211,$F211&amp;"R",CN210))))</f>
        <v>bB</v>
      </c>
      <c r="CO211" s="11" t="str">
        <f aca="false">IF($P211=0,CO210,IF(CO$3=$E211,IF($AA211=1,$F211&amp;$AB211,$G211),IF(OR(CO$3=$D211,CO$3=$AC211,CO$3=$AE211),"",IF(CO$3=$AD211,$F211&amp;"R",CO210))))</f>
        <v>bQ</v>
      </c>
      <c r="CP211" s="11" t="str">
        <f aca="false">IF($P211=0,CP210,IF(CP$3=$E211,IF($AA211=1,$F211&amp;$AB211,$G211),IF(OR(CP$3=$D211,CP$3=$AC211,CP$3=$AE211),"",IF(CP$3=$AD211,$F211&amp;"R",CP210))))</f>
        <v>bK</v>
      </c>
      <c r="CQ211" s="11" t="str">
        <f aca="false">IF($P211=0,CQ210,IF(CQ$3=$E211,IF($AA211=1,$F211&amp;$AB211,$G211),IF(OR(CQ$3=$D211,CQ$3=$AC211,CQ$3=$AE211),"",IF(CQ$3=$AD211,$F211&amp;"R",CQ210))))</f>
        <v>bB</v>
      </c>
      <c r="CR211" s="11" t="str">
        <f aca="false">IF($P211=0,CR210,IF(CR$3=$E211,IF($AA211=1,$F211&amp;$AB211,$G211),IF(OR(CR$3=$D211,CR$3=$AC211,CR$3=$AE211),"",IF(CR$3=$AD211,$F211&amp;"R",CR210))))</f>
        <v>bN</v>
      </c>
      <c r="CS211" s="11" t="str">
        <f aca="false">IF($P211=0,CS210,IF(CS$3=$E211,IF($AA211=1,$F211&amp;$AB211,$G211),IF(OR(CS$3=$D211,CS$3=$AC211,CS$3=$AE211),"",IF(CS$3=$AD211,$F211&amp;"R",CS210))))</f>
        <v>bR</v>
      </c>
      <c r="CT211" s="11"/>
      <c r="CU211" s="11"/>
      <c r="CV211" s="11"/>
    </row>
    <row r="212" customFormat="false" ht="15" hidden="false" customHeight="false" outlineLevel="0" collapsed="false">
      <c r="A212" s="11" t="n">
        <v>207</v>
      </c>
      <c r="B212" s="11" t="str">
        <f aca="false">IF(Chess!$L$216="","",Chess!$L$216&amp;"")</f>
        <v/>
      </c>
      <c r="C212" s="11" t="str">
        <f aca="false">LOWER(SUBSTITUTE(SUBSTITUTE(SUBSTITUTE(SUBSTITUTE(TRIM($B212),"-",""),"=","")," ",""),"x",""))</f>
        <v/>
      </c>
      <c r="D212" s="11" t="n">
        <f aca="false">IF(LEN($C212)&lt;4,0,IFERROR(IF(AND(CODE(MID($C212,1,1))&gt;=97,CODE(MID($C212,1,1))&lt;=104,VALUE(MID($C212,2,1))&gt;=1,VALUE(MID($C212,2,1))&lt;=8),(VALUE(MID($C212,2,1))-1)*8+CODE(MID($C212,1,1))-96,0),0))</f>
        <v>0</v>
      </c>
      <c r="E212" s="11" t="n">
        <f aca="false">IF(LEN($C212)&lt;4,0,IFERROR(IF(AND(CODE(MID($C212,3,1))&gt;=97,CODE(MID($C212,3,1))&lt;=104,VALUE(MID($C212,4,1))&gt;=1,VALUE(MID($C212,4,1))&lt;=8),(VALUE(MID($C212,4,1))-1)*8+CODE(MID($C212,3,1))-96,0),0))</f>
        <v>0</v>
      </c>
      <c r="F212" s="11" t="str">
        <f aca="false">IF(MOD(SUM($P$5:$P211),2)=0,"w","b")</f>
        <v>w</v>
      </c>
      <c r="G212" s="11" t="str">
        <f aca="false">IF($D212=0,"",INDEX($AH211:$CS211,1,$D212)&amp;"")</f>
        <v/>
      </c>
      <c r="H212" s="11" t="str">
        <f aca="false">IF($E212=0,"",INDEX($AH211:$CS211,1,$E212)&amp;"")</f>
        <v/>
      </c>
      <c r="I212" s="11" t="n">
        <f aca="false">IF(OR($D212=0,$E212=0),0,MOD($E212-1,8)-MOD($D212-1,8))</f>
        <v>0</v>
      </c>
      <c r="J212" s="11" t="n">
        <f aca="false">IF(OR($D212=0,$E212=0),0,INT(($E212-1)/8)-INT(($D212-1)/8))</f>
        <v>0</v>
      </c>
      <c r="K212" s="11" t="str">
        <f aca="false">IF($G212="","",RIGHT($G212,1))</f>
        <v/>
      </c>
      <c r="L212" s="11" t="n">
        <f aca="false">IF(OR($D212=0,$E212=0),0,SUMPRODUCT(($AH$3:$CS$3&gt;MIN($D212,$E212))*($AH$3:$CS$3&lt;MAX($D212,$E212))*(MOD($AH$3:$CS$3-MIN($D212,$E212),MAX(1,ABS(SIGN($J212)*8+SIGN($I212))))=0)*($AH211:$CS211&lt;&gt;"")))</f>
        <v>0</v>
      </c>
      <c r="M212" s="11" t="n">
        <f aca="false">IF($K212&lt;&gt;"K",0,IFERROR(--AND($J212=0,ABS($I212)=2,$D212=IF($F212="w",5,61),IF($F212="w",$S211,$V211)=0,IF($I212=2,AND(IF($F212="w",$U211,$X211)=0,INDEX($AH211:$CS211,1,$D212+1)&amp;""="",INDEX($AH211:$CS211,1,$D212+2)&amp;""=""),AND(IF($F212="w",$T211,$W211)=0,INDEX($AH211:$CS211,1,$D212-1)&amp;""="",INDEX($AH211:$CS211,1,$D212-2)&amp;""="",INDEX($AH211:$CS211,1,$D212-3)&amp;""=""))),0))</f>
        <v>0</v>
      </c>
      <c r="N212" s="11" t="n">
        <f aca="false">IF($K212&lt;&gt;"P",0,IFERROR(--OR(AND($I212=0,$J212=IF($F212="w",1,-1),$H212=""),AND($I212=0,$J212=2*IF($F212="w",1,-1),$H212="",INT(($D212-1)/8)=IF($F212="w",1,6),INDEX($AH211:$CS211,1,MAX(1,MIN(64,$D212+8*IF($F212="w",1,-1))))&amp;""=""),AND(ABS($I212)=1,$J212=IF($F212="w",1,-1),$H212&lt;&gt;""),AND(ABS($I212)=1,$J212=IF($F212="w",1,-1),$H212="",$R211&gt;0,$E212=$R211)),0))</f>
        <v>0</v>
      </c>
      <c r="O212" s="11" t="n">
        <f aca="false">IF(OR($D212=0,$E212=0,$G212=""),0,IF($K212="N",--OR(AND(ABS($I212)=1,ABS($J212)=2),AND(ABS($I212)=2,ABS($J212)=1)),IF($K212="B",--AND(ABS($I212)=ABS($J212),$I212&lt;&gt;0,$L212=0),IF($K212="R",--AND(OR($I212=0,$J212=0),OR($I212&lt;&gt;0,$J212&lt;&gt;0),$L212=0),IF($K212="Q",--AND(OR(AND(ABS($I212)=ABS($J212),$I212&lt;&gt;0),AND(OR($I212=0,$J212=0),OR($I212&lt;&gt;0,$J212&lt;&gt;0))),$L212=0),IF($K212="K",--OR(MAX(ABS($I212),ABS($J212))=1,$M212=1),$N212))))))</f>
        <v>0</v>
      </c>
      <c r="P212" s="11" t="n">
        <f aca="false">IF($Q212="OK",1,0)</f>
        <v>0</v>
      </c>
      <c r="Q212" s="11" t="str">
        <f aca="false">IF($B212="","",IF(OR(COUNTIF($AH211:$CS211,"wK")=0,COUNTIF($AH211:$CS211,"bK")=0),"Game is over",IF(OR($D212=0,$E212=0),"Use the format e2e4",IF($G212="","No piece on that square",IF(LEFT($G212,1)&lt;&gt;$F212,"Not your piece ("&amp;IF($F212="w","White","Black")&amp;" to move)",IF($D212=$E212,"Piece must move",IF(AND($H212&lt;&gt;"",LEFT($H212,1)=$F212),"Cannot capture your own piece",IF($O212=0,"Illegal move for that piece (or path blocked)","OK"))))))))</f>
        <v/>
      </c>
      <c r="R212" s="11" t="n">
        <f aca="false">IF($P212=1,IF(AND($K212="P",ABS($J212)=2),($D212+$E212)/2,0),$R211)</f>
        <v>0</v>
      </c>
      <c r="S212" s="12" t="b">
        <f aca="false">--OR($S211=1,AND($P212=1,OR($D212=5,$E212=5)))</f>
        <v>0</v>
      </c>
      <c r="T212" s="12" t="b">
        <f aca="false">--OR($T211=1,AND($P212=1,OR($D212=1,$E212=1)))</f>
        <v>0</v>
      </c>
      <c r="U212" s="12" t="b">
        <f aca="false">--OR($U211=1,AND($P212=1,OR($D212=8,$E212=8)))</f>
        <v>0</v>
      </c>
      <c r="V212" s="12" t="b">
        <f aca="false">--OR($V211=1,AND($P212=1,OR($D212=61,$E212=61)))</f>
        <v>0</v>
      </c>
      <c r="W212" s="12" t="b">
        <f aca="false">--OR($W211=1,AND($P212=1,OR($D212=57,$E212=57)))</f>
        <v>0</v>
      </c>
      <c r="X212" s="12" t="b">
        <f aca="false">--OR($X211=1,AND($P212=1,OR($D212=64,$E212=64)))</f>
        <v>0</v>
      </c>
      <c r="Y212" s="12" t="b">
        <f aca="false">--AND($P212=1,$K212="K",ABS($I212)=2)</f>
        <v>0</v>
      </c>
      <c r="Z212" s="12" t="b">
        <f aca="false">--AND($P212=1,$K212="P",ABS($I212)=1,$H212="")</f>
        <v>0</v>
      </c>
      <c r="AA212" s="12" t="b">
        <f aca="false">--AND($P212=1,$K212="P",INT(($E212-1)/8)=IF($F212="w",7,0))</f>
        <v>0</v>
      </c>
      <c r="AB212" s="11" t="str">
        <f aca="false">IF(LEN($C212)&gt;=5,IF(ISNUMBER(FIND(MID($C212,5,1),"qrbn")),UPPER(MID($C212,5,1)),"Q"),"Q")</f>
        <v>Q</v>
      </c>
      <c r="AC212" s="11" t="n">
        <f aca="false">IF($Y212=1,IF($I212=2,$D212+3,$D212-4),0)</f>
        <v>0</v>
      </c>
      <c r="AD212" s="11" t="n">
        <f aca="false">IF($Y212=1,IF($I212=2,$D212+1,$D212-1),0)</f>
        <v>0</v>
      </c>
      <c r="AE212" s="11" t="n">
        <f aca="false">IF($Z212=1,$E212-8*IF($F212="w",1,-1),0)</f>
        <v>0</v>
      </c>
      <c r="AF212" s="11" t="str">
        <f aca="false">IF($B212="","",IF($P212=1,LOWER(INDEX($CV$2:$CV$13,MATCH($G212,$CU$2:$CU$13,0)))&amp;" "&amp;MID("abcdefgh",MOD($D212-1,8)+1,1)&amp;(INT(($D212-1)/8)+1)&amp;"→"&amp;MID("abcdefgh",MOD($E212-1,8)+1,1)&amp;(INT(($E212-1)/8)+1)&amp;IF(OR($H212&lt;&gt;"",$Z212=1)," ×","")&amp;IF($Y212=1," castles","")&amp;IF($Z212=1," e.p.","")&amp;IF($AA212=1," =" &amp;LOWER(INDEX($CV$2:$CV$13,MATCH($F212&amp;$AB212,$CU$2:$CU$13,0))),""),"X "&amp;$Q212))</f>
        <v/>
      </c>
      <c r="AG212" s="11"/>
      <c r="AH212" s="11" t="str">
        <f aca="false">IF($P212=0,AH211,IF(AH$3=$E212,IF($AA212=1,$F212&amp;$AB212,$G212),IF(OR(AH$3=$D212,AH$3=$AC212,AH$3=$AE212),"",IF(AH$3=$AD212,$F212&amp;"R",AH211))))</f>
        <v>wR</v>
      </c>
      <c r="AI212" s="11" t="str">
        <f aca="false">IF($P212=0,AI211,IF(AI$3=$E212,IF($AA212=1,$F212&amp;$AB212,$G212),IF(OR(AI$3=$D212,AI$3=$AC212,AI$3=$AE212),"",IF(AI$3=$AD212,$F212&amp;"R",AI211))))</f>
        <v>wN</v>
      </c>
      <c r="AJ212" s="11" t="str">
        <f aca="false">IF($P212=0,AJ211,IF(AJ$3=$E212,IF($AA212=1,$F212&amp;$AB212,$G212),IF(OR(AJ$3=$D212,AJ$3=$AC212,AJ$3=$AE212),"",IF(AJ$3=$AD212,$F212&amp;"R",AJ211))))</f>
        <v>wB</v>
      </c>
      <c r="AK212" s="11" t="str">
        <f aca="false">IF($P212=0,AK211,IF(AK$3=$E212,IF($AA212=1,$F212&amp;$AB212,$G212),IF(OR(AK$3=$D212,AK$3=$AC212,AK$3=$AE212),"",IF(AK$3=$AD212,$F212&amp;"R",AK211))))</f>
        <v>wQ</v>
      </c>
      <c r="AL212" s="11" t="str">
        <f aca="false">IF($P212=0,AL211,IF(AL$3=$E212,IF($AA212=1,$F212&amp;$AB212,$G212),IF(OR(AL$3=$D212,AL$3=$AC212,AL$3=$AE212),"",IF(AL$3=$AD212,$F212&amp;"R",AL211))))</f>
        <v>wK</v>
      </c>
      <c r="AM212" s="11" t="str">
        <f aca="false">IF($P212=0,AM211,IF(AM$3=$E212,IF($AA212=1,$F212&amp;$AB212,$G212),IF(OR(AM$3=$D212,AM$3=$AC212,AM$3=$AE212),"",IF(AM$3=$AD212,$F212&amp;"R",AM211))))</f>
        <v>wB</v>
      </c>
      <c r="AN212" s="11" t="str">
        <f aca="false">IF($P212=0,AN211,IF(AN$3=$E212,IF($AA212=1,$F212&amp;$AB212,$G212),IF(OR(AN$3=$D212,AN$3=$AC212,AN$3=$AE212),"",IF(AN$3=$AD212,$F212&amp;"R",AN211))))</f>
        <v>wN</v>
      </c>
      <c r="AO212" s="11" t="str">
        <f aca="false">IF($P212=0,AO211,IF(AO$3=$E212,IF($AA212=1,$F212&amp;$AB212,$G212),IF(OR(AO$3=$D212,AO$3=$AC212,AO$3=$AE212),"",IF(AO$3=$AD212,$F212&amp;"R",AO211))))</f>
        <v>wR</v>
      </c>
      <c r="AP212" s="11" t="str">
        <f aca="false">IF($P212=0,AP211,IF(AP$3=$E212,IF($AA212=1,$F212&amp;$AB212,$G212),IF(OR(AP$3=$D212,AP$3=$AC212,AP$3=$AE212),"",IF(AP$3=$AD212,$F212&amp;"R",AP211))))</f>
        <v>wP</v>
      </c>
      <c r="AQ212" s="11" t="str">
        <f aca="false">IF($P212=0,AQ211,IF(AQ$3=$E212,IF($AA212=1,$F212&amp;$AB212,$G212),IF(OR(AQ$3=$D212,AQ$3=$AC212,AQ$3=$AE212),"",IF(AQ$3=$AD212,$F212&amp;"R",AQ211))))</f>
        <v>wP</v>
      </c>
      <c r="AR212" s="11" t="str">
        <f aca="false">IF($P212=0,AR211,IF(AR$3=$E212,IF($AA212=1,$F212&amp;$AB212,$G212),IF(OR(AR$3=$D212,AR$3=$AC212,AR$3=$AE212),"",IF(AR$3=$AD212,$F212&amp;"R",AR211))))</f>
        <v>wP</v>
      </c>
      <c r="AS212" s="11" t="str">
        <f aca="false">IF($P212=0,AS211,IF(AS$3=$E212,IF($AA212=1,$F212&amp;$AB212,$G212),IF(OR(AS$3=$D212,AS$3=$AC212,AS$3=$AE212),"",IF(AS$3=$AD212,$F212&amp;"R",AS211))))</f>
        <v>wP</v>
      </c>
      <c r="AT212" s="11" t="str">
        <f aca="false">IF($P212=0,AT211,IF(AT$3=$E212,IF($AA212=1,$F212&amp;$AB212,$G212),IF(OR(AT$3=$D212,AT$3=$AC212,AT$3=$AE212),"",IF(AT$3=$AD212,$F212&amp;"R",AT211))))</f>
        <v>wP</v>
      </c>
      <c r="AU212" s="11" t="str">
        <f aca="false">IF($P212=0,AU211,IF(AU$3=$E212,IF($AA212=1,$F212&amp;$AB212,$G212),IF(OR(AU$3=$D212,AU$3=$AC212,AU$3=$AE212),"",IF(AU$3=$AD212,$F212&amp;"R",AU211))))</f>
        <v>wP</v>
      </c>
      <c r="AV212" s="11" t="str">
        <f aca="false">IF($P212=0,AV211,IF(AV$3=$E212,IF($AA212=1,$F212&amp;$AB212,$G212),IF(OR(AV$3=$D212,AV$3=$AC212,AV$3=$AE212),"",IF(AV$3=$AD212,$F212&amp;"R",AV211))))</f>
        <v>wP</v>
      </c>
      <c r="AW212" s="11" t="str">
        <f aca="false">IF($P212=0,AW211,IF(AW$3=$E212,IF($AA212=1,$F212&amp;$AB212,$G212),IF(OR(AW$3=$D212,AW$3=$AC212,AW$3=$AE212),"",IF(AW$3=$AD212,$F212&amp;"R",AW211))))</f>
        <v>wP</v>
      </c>
      <c r="AX212" s="11" t="str">
        <f aca="false">IF($P212=0,AX211,IF(AX$3=$E212,IF($AA212=1,$F212&amp;$AB212,$G212),IF(OR(AX$3=$D212,AX$3=$AC212,AX$3=$AE212),"",IF(AX$3=$AD212,$F212&amp;"R",AX211))))</f>
        <v/>
      </c>
      <c r="AY212" s="11" t="str">
        <f aca="false">IF($P212=0,AY211,IF(AY$3=$E212,IF($AA212=1,$F212&amp;$AB212,$G212),IF(OR(AY$3=$D212,AY$3=$AC212,AY$3=$AE212),"",IF(AY$3=$AD212,$F212&amp;"R",AY211))))</f>
        <v/>
      </c>
      <c r="AZ212" s="11" t="str">
        <f aca="false">IF($P212=0,AZ211,IF(AZ$3=$E212,IF($AA212=1,$F212&amp;$AB212,$G212),IF(OR(AZ$3=$D212,AZ$3=$AC212,AZ$3=$AE212),"",IF(AZ$3=$AD212,$F212&amp;"R",AZ211))))</f>
        <v/>
      </c>
      <c r="BA212" s="11" t="str">
        <f aca="false">IF($P212=0,BA211,IF(BA$3=$E212,IF($AA212=1,$F212&amp;$AB212,$G212),IF(OR(BA$3=$D212,BA$3=$AC212,BA$3=$AE212),"",IF(BA$3=$AD212,$F212&amp;"R",BA211))))</f>
        <v/>
      </c>
      <c r="BB212" s="11" t="str">
        <f aca="false">IF($P212=0,BB211,IF(BB$3=$E212,IF($AA212=1,$F212&amp;$AB212,$G212),IF(OR(BB$3=$D212,BB$3=$AC212,BB$3=$AE212),"",IF(BB$3=$AD212,$F212&amp;"R",BB211))))</f>
        <v/>
      </c>
      <c r="BC212" s="11" t="str">
        <f aca="false">IF($P212=0,BC211,IF(BC$3=$E212,IF($AA212=1,$F212&amp;$AB212,$G212),IF(OR(BC$3=$D212,BC$3=$AC212,BC$3=$AE212),"",IF(BC$3=$AD212,$F212&amp;"R",BC211))))</f>
        <v/>
      </c>
      <c r="BD212" s="11" t="str">
        <f aca="false">IF($P212=0,BD211,IF(BD$3=$E212,IF($AA212=1,$F212&amp;$AB212,$G212),IF(OR(BD$3=$D212,BD$3=$AC212,BD$3=$AE212),"",IF(BD$3=$AD212,$F212&amp;"R",BD211))))</f>
        <v/>
      </c>
      <c r="BE212" s="11" t="str">
        <f aca="false">IF($P212=0,BE211,IF(BE$3=$E212,IF($AA212=1,$F212&amp;$AB212,$G212),IF(OR(BE$3=$D212,BE$3=$AC212,BE$3=$AE212),"",IF(BE$3=$AD212,$F212&amp;"R",BE211))))</f>
        <v/>
      </c>
      <c r="BF212" s="11" t="str">
        <f aca="false">IF($P212=0,BF211,IF(BF$3=$E212,IF($AA212=1,$F212&amp;$AB212,$G212),IF(OR(BF$3=$D212,BF$3=$AC212,BF$3=$AE212),"",IF(BF$3=$AD212,$F212&amp;"R",BF211))))</f>
        <v/>
      </c>
      <c r="BG212" s="11" t="str">
        <f aca="false">IF($P212=0,BG211,IF(BG$3=$E212,IF($AA212=1,$F212&amp;$AB212,$G212),IF(OR(BG$3=$D212,BG$3=$AC212,BG$3=$AE212),"",IF(BG$3=$AD212,$F212&amp;"R",BG211))))</f>
        <v/>
      </c>
      <c r="BH212" s="11" t="str">
        <f aca="false">IF($P212=0,BH211,IF(BH$3=$E212,IF($AA212=1,$F212&amp;$AB212,$G212),IF(OR(BH$3=$D212,BH$3=$AC212,BH$3=$AE212),"",IF(BH$3=$AD212,$F212&amp;"R",BH211))))</f>
        <v/>
      </c>
      <c r="BI212" s="11" t="str">
        <f aca="false">IF($P212=0,BI211,IF(BI$3=$E212,IF($AA212=1,$F212&amp;$AB212,$G212),IF(OR(BI$3=$D212,BI$3=$AC212,BI$3=$AE212),"",IF(BI$3=$AD212,$F212&amp;"R",BI211))))</f>
        <v/>
      </c>
      <c r="BJ212" s="11" t="str">
        <f aca="false">IF($P212=0,BJ211,IF(BJ$3=$E212,IF($AA212=1,$F212&amp;$AB212,$G212),IF(OR(BJ$3=$D212,BJ$3=$AC212,BJ$3=$AE212),"",IF(BJ$3=$AD212,$F212&amp;"R",BJ211))))</f>
        <v/>
      </c>
      <c r="BK212" s="11" t="str">
        <f aca="false">IF($P212=0,BK211,IF(BK$3=$E212,IF($AA212=1,$F212&amp;$AB212,$G212),IF(OR(BK$3=$D212,BK$3=$AC212,BK$3=$AE212),"",IF(BK$3=$AD212,$F212&amp;"R",BK211))))</f>
        <v/>
      </c>
      <c r="BL212" s="11" t="str">
        <f aca="false">IF($P212=0,BL211,IF(BL$3=$E212,IF($AA212=1,$F212&amp;$AB212,$G212),IF(OR(BL$3=$D212,BL$3=$AC212,BL$3=$AE212),"",IF(BL$3=$AD212,$F212&amp;"R",BL211))))</f>
        <v/>
      </c>
      <c r="BM212" s="11" t="str">
        <f aca="false">IF($P212=0,BM211,IF(BM$3=$E212,IF($AA212=1,$F212&amp;$AB212,$G212),IF(OR(BM$3=$D212,BM$3=$AC212,BM$3=$AE212),"",IF(BM$3=$AD212,$F212&amp;"R",BM211))))</f>
        <v/>
      </c>
      <c r="BN212" s="11" t="str">
        <f aca="false">IF($P212=0,BN211,IF(BN$3=$E212,IF($AA212=1,$F212&amp;$AB212,$G212),IF(OR(BN$3=$D212,BN$3=$AC212,BN$3=$AE212),"",IF(BN$3=$AD212,$F212&amp;"R",BN211))))</f>
        <v/>
      </c>
      <c r="BO212" s="11" t="str">
        <f aca="false">IF($P212=0,BO211,IF(BO$3=$E212,IF($AA212=1,$F212&amp;$AB212,$G212),IF(OR(BO$3=$D212,BO$3=$AC212,BO$3=$AE212),"",IF(BO$3=$AD212,$F212&amp;"R",BO211))))</f>
        <v/>
      </c>
      <c r="BP212" s="11" t="str">
        <f aca="false">IF($P212=0,BP211,IF(BP$3=$E212,IF($AA212=1,$F212&amp;$AB212,$G212),IF(OR(BP$3=$D212,BP$3=$AC212,BP$3=$AE212),"",IF(BP$3=$AD212,$F212&amp;"R",BP211))))</f>
        <v/>
      </c>
      <c r="BQ212" s="11" t="str">
        <f aca="false">IF($P212=0,BQ211,IF(BQ$3=$E212,IF($AA212=1,$F212&amp;$AB212,$G212),IF(OR(BQ$3=$D212,BQ$3=$AC212,BQ$3=$AE212),"",IF(BQ$3=$AD212,$F212&amp;"R",BQ211))))</f>
        <v/>
      </c>
      <c r="BR212" s="11" t="str">
        <f aca="false">IF($P212=0,BR211,IF(BR$3=$E212,IF($AA212=1,$F212&amp;$AB212,$G212),IF(OR(BR$3=$D212,BR$3=$AC212,BR$3=$AE212),"",IF(BR$3=$AD212,$F212&amp;"R",BR211))))</f>
        <v/>
      </c>
      <c r="BS212" s="11" t="str">
        <f aca="false">IF($P212=0,BS211,IF(BS$3=$E212,IF($AA212=1,$F212&amp;$AB212,$G212),IF(OR(BS$3=$D212,BS$3=$AC212,BS$3=$AE212),"",IF(BS$3=$AD212,$F212&amp;"R",BS211))))</f>
        <v/>
      </c>
      <c r="BT212" s="11" t="str">
        <f aca="false">IF($P212=0,BT211,IF(BT$3=$E212,IF($AA212=1,$F212&amp;$AB212,$G212),IF(OR(BT$3=$D212,BT$3=$AC212,BT$3=$AE212),"",IF(BT$3=$AD212,$F212&amp;"R",BT211))))</f>
        <v/>
      </c>
      <c r="BU212" s="11" t="str">
        <f aca="false">IF($P212=0,BU211,IF(BU$3=$E212,IF($AA212=1,$F212&amp;$AB212,$G212),IF(OR(BU$3=$D212,BU$3=$AC212,BU$3=$AE212),"",IF(BU$3=$AD212,$F212&amp;"R",BU211))))</f>
        <v/>
      </c>
      <c r="BV212" s="11" t="str">
        <f aca="false">IF($P212=0,BV211,IF(BV$3=$E212,IF($AA212=1,$F212&amp;$AB212,$G212),IF(OR(BV$3=$D212,BV$3=$AC212,BV$3=$AE212),"",IF(BV$3=$AD212,$F212&amp;"R",BV211))))</f>
        <v/>
      </c>
      <c r="BW212" s="11" t="str">
        <f aca="false">IF($P212=0,BW211,IF(BW$3=$E212,IF($AA212=1,$F212&amp;$AB212,$G212),IF(OR(BW$3=$D212,BW$3=$AC212,BW$3=$AE212),"",IF(BW$3=$AD212,$F212&amp;"R",BW211))))</f>
        <v/>
      </c>
      <c r="BX212" s="11" t="str">
        <f aca="false">IF($P212=0,BX211,IF(BX$3=$E212,IF($AA212=1,$F212&amp;$AB212,$G212),IF(OR(BX$3=$D212,BX$3=$AC212,BX$3=$AE212),"",IF(BX$3=$AD212,$F212&amp;"R",BX211))))</f>
        <v/>
      </c>
      <c r="BY212" s="11" t="str">
        <f aca="false">IF($P212=0,BY211,IF(BY$3=$E212,IF($AA212=1,$F212&amp;$AB212,$G212),IF(OR(BY$3=$D212,BY$3=$AC212,BY$3=$AE212),"",IF(BY$3=$AD212,$F212&amp;"R",BY211))))</f>
        <v/>
      </c>
      <c r="BZ212" s="11" t="str">
        <f aca="false">IF($P212=0,BZ211,IF(BZ$3=$E212,IF($AA212=1,$F212&amp;$AB212,$G212),IF(OR(BZ$3=$D212,BZ$3=$AC212,BZ$3=$AE212),"",IF(BZ$3=$AD212,$F212&amp;"R",BZ211))))</f>
        <v/>
      </c>
      <c r="CA212" s="11" t="str">
        <f aca="false">IF($P212=0,CA211,IF(CA$3=$E212,IF($AA212=1,$F212&amp;$AB212,$G212),IF(OR(CA$3=$D212,CA$3=$AC212,CA$3=$AE212),"",IF(CA$3=$AD212,$F212&amp;"R",CA211))))</f>
        <v/>
      </c>
      <c r="CB212" s="11" t="str">
        <f aca="false">IF($P212=0,CB211,IF(CB$3=$E212,IF($AA212=1,$F212&amp;$AB212,$G212),IF(OR(CB$3=$D212,CB$3=$AC212,CB$3=$AE212),"",IF(CB$3=$AD212,$F212&amp;"R",CB211))))</f>
        <v/>
      </c>
      <c r="CC212" s="11" t="str">
        <f aca="false">IF($P212=0,CC211,IF(CC$3=$E212,IF($AA212=1,$F212&amp;$AB212,$G212),IF(OR(CC$3=$D212,CC$3=$AC212,CC$3=$AE212),"",IF(CC$3=$AD212,$F212&amp;"R",CC211))))</f>
        <v/>
      </c>
      <c r="CD212" s="11" t="str">
        <f aca="false">IF($P212=0,CD211,IF(CD$3=$E212,IF($AA212=1,$F212&amp;$AB212,$G212),IF(OR(CD$3=$D212,CD$3=$AC212,CD$3=$AE212),"",IF(CD$3=$AD212,$F212&amp;"R",CD211))))</f>
        <v>bP</v>
      </c>
      <c r="CE212" s="11" t="str">
        <f aca="false">IF($P212=0,CE211,IF(CE$3=$E212,IF($AA212=1,$F212&amp;$AB212,$G212),IF(OR(CE$3=$D212,CE$3=$AC212,CE$3=$AE212),"",IF(CE$3=$AD212,$F212&amp;"R",CE211))))</f>
        <v>bP</v>
      </c>
      <c r="CF212" s="11" t="str">
        <f aca="false">IF($P212=0,CF211,IF(CF$3=$E212,IF($AA212=1,$F212&amp;$AB212,$G212),IF(OR(CF$3=$D212,CF$3=$AC212,CF$3=$AE212),"",IF(CF$3=$AD212,$F212&amp;"R",CF211))))</f>
        <v>bP</v>
      </c>
      <c r="CG212" s="11" t="str">
        <f aca="false">IF($P212=0,CG211,IF(CG$3=$E212,IF($AA212=1,$F212&amp;$AB212,$G212),IF(OR(CG$3=$D212,CG$3=$AC212,CG$3=$AE212),"",IF(CG$3=$AD212,$F212&amp;"R",CG211))))</f>
        <v>bP</v>
      </c>
      <c r="CH212" s="11" t="str">
        <f aca="false">IF($P212=0,CH211,IF(CH$3=$E212,IF($AA212=1,$F212&amp;$AB212,$G212),IF(OR(CH$3=$D212,CH$3=$AC212,CH$3=$AE212),"",IF(CH$3=$AD212,$F212&amp;"R",CH211))))</f>
        <v>bP</v>
      </c>
      <c r="CI212" s="11" t="str">
        <f aca="false">IF($P212=0,CI211,IF(CI$3=$E212,IF($AA212=1,$F212&amp;$AB212,$G212),IF(OR(CI$3=$D212,CI$3=$AC212,CI$3=$AE212),"",IF(CI$3=$AD212,$F212&amp;"R",CI211))))</f>
        <v>bP</v>
      </c>
      <c r="CJ212" s="11" t="str">
        <f aca="false">IF($P212=0,CJ211,IF(CJ$3=$E212,IF($AA212=1,$F212&amp;$AB212,$G212),IF(OR(CJ$3=$D212,CJ$3=$AC212,CJ$3=$AE212),"",IF(CJ$3=$AD212,$F212&amp;"R",CJ211))))</f>
        <v>bP</v>
      </c>
      <c r="CK212" s="11" t="str">
        <f aca="false">IF($P212=0,CK211,IF(CK$3=$E212,IF($AA212=1,$F212&amp;$AB212,$G212),IF(OR(CK$3=$D212,CK$3=$AC212,CK$3=$AE212),"",IF(CK$3=$AD212,$F212&amp;"R",CK211))))</f>
        <v>bP</v>
      </c>
      <c r="CL212" s="11" t="str">
        <f aca="false">IF($P212=0,CL211,IF(CL$3=$E212,IF($AA212=1,$F212&amp;$AB212,$G212),IF(OR(CL$3=$D212,CL$3=$AC212,CL$3=$AE212),"",IF(CL$3=$AD212,$F212&amp;"R",CL211))))</f>
        <v>bR</v>
      </c>
      <c r="CM212" s="11" t="str">
        <f aca="false">IF($P212=0,CM211,IF(CM$3=$E212,IF($AA212=1,$F212&amp;$AB212,$G212),IF(OR(CM$3=$D212,CM$3=$AC212,CM$3=$AE212),"",IF(CM$3=$AD212,$F212&amp;"R",CM211))))</f>
        <v>bN</v>
      </c>
      <c r="CN212" s="11" t="str">
        <f aca="false">IF($P212=0,CN211,IF(CN$3=$E212,IF($AA212=1,$F212&amp;$AB212,$G212),IF(OR(CN$3=$D212,CN$3=$AC212,CN$3=$AE212),"",IF(CN$3=$AD212,$F212&amp;"R",CN211))))</f>
        <v>bB</v>
      </c>
      <c r="CO212" s="11" t="str">
        <f aca="false">IF($P212=0,CO211,IF(CO$3=$E212,IF($AA212=1,$F212&amp;$AB212,$G212),IF(OR(CO$3=$D212,CO$3=$AC212,CO$3=$AE212),"",IF(CO$3=$AD212,$F212&amp;"R",CO211))))</f>
        <v>bQ</v>
      </c>
      <c r="CP212" s="11" t="str">
        <f aca="false">IF($P212=0,CP211,IF(CP$3=$E212,IF($AA212=1,$F212&amp;$AB212,$G212),IF(OR(CP$3=$D212,CP$3=$AC212,CP$3=$AE212),"",IF(CP$3=$AD212,$F212&amp;"R",CP211))))</f>
        <v>bK</v>
      </c>
      <c r="CQ212" s="11" t="str">
        <f aca="false">IF($P212=0,CQ211,IF(CQ$3=$E212,IF($AA212=1,$F212&amp;$AB212,$G212),IF(OR(CQ$3=$D212,CQ$3=$AC212,CQ$3=$AE212),"",IF(CQ$3=$AD212,$F212&amp;"R",CQ211))))</f>
        <v>bB</v>
      </c>
      <c r="CR212" s="11" t="str">
        <f aca="false">IF($P212=0,CR211,IF(CR$3=$E212,IF($AA212=1,$F212&amp;$AB212,$G212),IF(OR(CR$3=$D212,CR$3=$AC212,CR$3=$AE212),"",IF(CR$3=$AD212,$F212&amp;"R",CR211))))</f>
        <v>bN</v>
      </c>
      <c r="CS212" s="11" t="str">
        <f aca="false">IF($P212=0,CS211,IF(CS$3=$E212,IF($AA212=1,$F212&amp;$AB212,$G212),IF(OR(CS$3=$D212,CS$3=$AC212,CS$3=$AE212),"",IF(CS$3=$AD212,$F212&amp;"R",CS211))))</f>
        <v>bR</v>
      </c>
      <c r="CT212" s="11"/>
      <c r="CU212" s="11"/>
      <c r="CV212" s="11"/>
    </row>
    <row r="213" customFormat="false" ht="15" hidden="false" customHeight="false" outlineLevel="0" collapsed="false">
      <c r="A213" s="11" t="n">
        <v>208</v>
      </c>
      <c r="B213" s="11" t="str">
        <f aca="false">IF(Chess!$L$217="","",Chess!$L$217&amp;"")</f>
        <v/>
      </c>
      <c r="C213" s="11" t="str">
        <f aca="false">LOWER(SUBSTITUTE(SUBSTITUTE(SUBSTITUTE(SUBSTITUTE(TRIM($B213),"-",""),"=","")," ",""),"x",""))</f>
        <v/>
      </c>
      <c r="D213" s="11" t="n">
        <f aca="false">IF(LEN($C213)&lt;4,0,IFERROR(IF(AND(CODE(MID($C213,1,1))&gt;=97,CODE(MID($C213,1,1))&lt;=104,VALUE(MID($C213,2,1))&gt;=1,VALUE(MID($C213,2,1))&lt;=8),(VALUE(MID($C213,2,1))-1)*8+CODE(MID($C213,1,1))-96,0),0))</f>
        <v>0</v>
      </c>
      <c r="E213" s="11" t="n">
        <f aca="false">IF(LEN($C213)&lt;4,0,IFERROR(IF(AND(CODE(MID($C213,3,1))&gt;=97,CODE(MID($C213,3,1))&lt;=104,VALUE(MID($C213,4,1))&gt;=1,VALUE(MID($C213,4,1))&lt;=8),(VALUE(MID($C213,4,1))-1)*8+CODE(MID($C213,3,1))-96,0),0))</f>
        <v>0</v>
      </c>
      <c r="F213" s="11" t="str">
        <f aca="false">IF(MOD(SUM($P$5:$P212),2)=0,"w","b")</f>
        <v>w</v>
      </c>
      <c r="G213" s="11" t="str">
        <f aca="false">IF($D213=0,"",INDEX($AH212:$CS212,1,$D213)&amp;"")</f>
        <v/>
      </c>
      <c r="H213" s="11" t="str">
        <f aca="false">IF($E213=0,"",INDEX($AH212:$CS212,1,$E213)&amp;"")</f>
        <v/>
      </c>
      <c r="I213" s="11" t="n">
        <f aca="false">IF(OR($D213=0,$E213=0),0,MOD($E213-1,8)-MOD($D213-1,8))</f>
        <v>0</v>
      </c>
      <c r="J213" s="11" t="n">
        <f aca="false">IF(OR($D213=0,$E213=0),0,INT(($E213-1)/8)-INT(($D213-1)/8))</f>
        <v>0</v>
      </c>
      <c r="K213" s="11" t="str">
        <f aca="false">IF($G213="","",RIGHT($G213,1))</f>
        <v/>
      </c>
      <c r="L213" s="11" t="n">
        <f aca="false">IF(OR($D213=0,$E213=0),0,SUMPRODUCT(($AH$3:$CS$3&gt;MIN($D213,$E213))*($AH$3:$CS$3&lt;MAX($D213,$E213))*(MOD($AH$3:$CS$3-MIN($D213,$E213),MAX(1,ABS(SIGN($J213)*8+SIGN($I213))))=0)*($AH212:$CS212&lt;&gt;"")))</f>
        <v>0</v>
      </c>
      <c r="M213" s="11" t="n">
        <f aca="false">IF($K213&lt;&gt;"K",0,IFERROR(--AND($J213=0,ABS($I213)=2,$D213=IF($F213="w",5,61),IF($F213="w",$S212,$V212)=0,IF($I213=2,AND(IF($F213="w",$U212,$X212)=0,INDEX($AH212:$CS212,1,$D213+1)&amp;""="",INDEX($AH212:$CS212,1,$D213+2)&amp;""=""),AND(IF($F213="w",$T212,$W212)=0,INDEX($AH212:$CS212,1,$D213-1)&amp;""="",INDEX($AH212:$CS212,1,$D213-2)&amp;""="",INDEX($AH212:$CS212,1,$D213-3)&amp;""=""))),0))</f>
        <v>0</v>
      </c>
      <c r="N213" s="11" t="n">
        <f aca="false">IF($K213&lt;&gt;"P",0,IFERROR(--OR(AND($I213=0,$J213=IF($F213="w",1,-1),$H213=""),AND($I213=0,$J213=2*IF($F213="w",1,-1),$H213="",INT(($D213-1)/8)=IF($F213="w",1,6),INDEX($AH212:$CS212,1,MAX(1,MIN(64,$D213+8*IF($F213="w",1,-1))))&amp;""=""),AND(ABS($I213)=1,$J213=IF($F213="w",1,-1),$H213&lt;&gt;""),AND(ABS($I213)=1,$J213=IF($F213="w",1,-1),$H213="",$R212&gt;0,$E213=$R212)),0))</f>
        <v>0</v>
      </c>
      <c r="O213" s="11" t="n">
        <f aca="false">IF(OR($D213=0,$E213=0,$G213=""),0,IF($K213="N",--OR(AND(ABS($I213)=1,ABS($J213)=2),AND(ABS($I213)=2,ABS($J213)=1)),IF($K213="B",--AND(ABS($I213)=ABS($J213),$I213&lt;&gt;0,$L213=0),IF($K213="R",--AND(OR($I213=0,$J213=0),OR($I213&lt;&gt;0,$J213&lt;&gt;0),$L213=0),IF($K213="Q",--AND(OR(AND(ABS($I213)=ABS($J213),$I213&lt;&gt;0),AND(OR($I213=0,$J213=0),OR($I213&lt;&gt;0,$J213&lt;&gt;0))),$L213=0),IF($K213="K",--OR(MAX(ABS($I213),ABS($J213))=1,$M213=1),$N213))))))</f>
        <v>0</v>
      </c>
      <c r="P213" s="11" t="n">
        <f aca="false">IF($Q213="OK",1,0)</f>
        <v>0</v>
      </c>
      <c r="Q213" s="11" t="str">
        <f aca="false">IF($B213="","",IF(OR(COUNTIF($AH212:$CS212,"wK")=0,COUNTIF($AH212:$CS212,"bK")=0),"Game is over",IF(OR($D213=0,$E213=0),"Use the format e2e4",IF($G213="","No piece on that square",IF(LEFT($G213,1)&lt;&gt;$F213,"Not your piece ("&amp;IF($F213="w","White","Black")&amp;" to move)",IF($D213=$E213,"Piece must move",IF(AND($H213&lt;&gt;"",LEFT($H213,1)=$F213),"Cannot capture your own piece",IF($O213=0,"Illegal move for that piece (or path blocked)","OK"))))))))</f>
        <v/>
      </c>
      <c r="R213" s="11" t="n">
        <f aca="false">IF($P213=1,IF(AND($K213="P",ABS($J213)=2),($D213+$E213)/2,0),$R212)</f>
        <v>0</v>
      </c>
      <c r="S213" s="12" t="b">
        <f aca="false">--OR($S212=1,AND($P213=1,OR($D213=5,$E213=5)))</f>
        <v>0</v>
      </c>
      <c r="T213" s="12" t="b">
        <f aca="false">--OR($T212=1,AND($P213=1,OR($D213=1,$E213=1)))</f>
        <v>0</v>
      </c>
      <c r="U213" s="12" t="b">
        <f aca="false">--OR($U212=1,AND($P213=1,OR($D213=8,$E213=8)))</f>
        <v>0</v>
      </c>
      <c r="V213" s="12" t="b">
        <f aca="false">--OR($V212=1,AND($P213=1,OR($D213=61,$E213=61)))</f>
        <v>0</v>
      </c>
      <c r="W213" s="12" t="b">
        <f aca="false">--OR($W212=1,AND($P213=1,OR($D213=57,$E213=57)))</f>
        <v>0</v>
      </c>
      <c r="X213" s="12" t="b">
        <f aca="false">--OR($X212=1,AND($P213=1,OR($D213=64,$E213=64)))</f>
        <v>0</v>
      </c>
      <c r="Y213" s="12" t="b">
        <f aca="false">--AND($P213=1,$K213="K",ABS($I213)=2)</f>
        <v>0</v>
      </c>
      <c r="Z213" s="12" t="b">
        <f aca="false">--AND($P213=1,$K213="P",ABS($I213)=1,$H213="")</f>
        <v>0</v>
      </c>
      <c r="AA213" s="12" t="b">
        <f aca="false">--AND($P213=1,$K213="P",INT(($E213-1)/8)=IF($F213="w",7,0))</f>
        <v>0</v>
      </c>
      <c r="AB213" s="11" t="str">
        <f aca="false">IF(LEN($C213)&gt;=5,IF(ISNUMBER(FIND(MID($C213,5,1),"qrbn")),UPPER(MID($C213,5,1)),"Q"),"Q")</f>
        <v>Q</v>
      </c>
      <c r="AC213" s="11" t="n">
        <f aca="false">IF($Y213=1,IF($I213=2,$D213+3,$D213-4),0)</f>
        <v>0</v>
      </c>
      <c r="AD213" s="11" t="n">
        <f aca="false">IF($Y213=1,IF($I213=2,$D213+1,$D213-1),0)</f>
        <v>0</v>
      </c>
      <c r="AE213" s="11" t="n">
        <f aca="false">IF($Z213=1,$E213-8*IF($F213="w",1,-1),0)</f>
        <v>0</v>
      </c>
      <c r="AF213" s="11" t="str">
        <f aca="false">IF($B213="","",IF($P213=1,LOWER(INDEX($CV$2:$CV$13,MATCH($G213,$CU$2:$CU$13,0)))&amp;" "&amp;MID("abcdefgh",MOD($D213-1,8)+1,1)&amp;(INT(($D213-1)/8)+1)&amp;"→"&amp;MID("abcdefgh",MOD($E213-1,8)+1,1)&amp;(INT(($E213-1)/8)+1)&amp;IF(OR($H213&lt;&gt;"",$Z213=1)," ×","")&amp;IF($Y213=1," castles","")&amp;IF($Z213=1," e.p.","")&amp;IF($AA213=1," =" &amp;LOWER(INDEX($CV$2:$CV$13,MATCH($F213&amp;$AB213,$CU$2:$CU$13,0))),""),"X "&amp;$Q213))</f>
        <v/>
      </c>
      <c r="AG213" s="11"/>
      <c r="AH213" s="11" t="str">
        <f aca="false">IF($P213=0,AH212,IF(AH$3=$E213,IF($AA213=1,$F213&amp;$AB213,$G213),IF(OR(AH$3=$D213,AH$3=$AC213,AH$3=$AE213),"",IF(AH$3=$AD213,$F213&amp;"R",AH212))))</f>
        <v>wR</v>
      </c>
      <c r="AI213" s="11" t="str">
        <f aca="false">IF($P213=0,AI212,IF(AI$3=$E213,IF($AA213=1,$F213&amp;$AB213,$G213),IF(OR(AI$3=$D213,AI$3=$AC213,AI$3=$AE213),"",IF(AI$3=$AD213,$F213&amp;"R",AI212))))</f>
        <v>wN</v>
      </c>
      <c r="AJ213" s="11" t="str">
        <f aca="false">IF($P213=0,AJ212,IF(AJ$3=$E213,IF($AA213=1,$F213&amp;$AB213,$G213),IF(OR(AJ$3=$D213,AJ$3=$AC213,AJ$3=$AE213),"",IF(AJ$3=$AD213,$F213&amp;"R",AJ212))))</f>
        <v>wB</v>
      </c>
      <c r="AK213" s="11" t="str">
        <f aca="false">IF($P213=0,AK212,IF(AK$3=$E213,IF($AA213=1,$F213&amp;$AB213,$G213),IF(OR(AK$3=$D213,AK$3=$AC213,AK$3=$AE213),"",IF(AK$3=$AD213,$F213&amp;"R",AK212))))</f>
        <v>wQ</v>
      </c>
      <c r="AL213" s="11" t="str">
        <f aca="false">IF($P213=0,AL212,IF(AL$3=$E213,IF($AA213=1,$F213&amp;$AB213,$G213),IF(OR(AL$3=$D213,AL$3=$AC213,AL$3=$AE213),"",IF(AL$3=$AD213,$F213&amp;"R",AL212))))</f>
        <v>wK</v>
      </c>
      <c r="AM213" s="11" t="str">
        <f aca="false">IF($P213=0,AM212,IF(AM$3=$E213,IF($AA213=1,$F213&amp;$AB213,$G213),IF(OR(AM$3=$D213,AM$3=$AC213,AM$3=$AE213),"",IF(AM$3=$AD213,$F213&amp;"R",AM212))))</f>
        <v>wB</v>
      </c>
      <c r="AN213" s="11" t="str">
        <f aca="false">IF($P213=0,AN212,IF(AN$3=$E213,IF($AA213=1,$F213&amp;$AB213,$G213),IF(OR(AN$3=$D213,AN$3=$AC213,AN$3=$AE213),"",IF(AN$3=$AD213,$F213&amp;"R",AN212))))</f>
        <v>wN</v>
      </c>
      <c r="AO213" s="11" t="str">
        <f aca="false">IF($P213=0,AO212,IF(AO$3=$E213,IF($AA213=1,$F213&amp;$AB213,$G213),IF(OR(AO$3=$D213,AO$3=$AC213,AO$3=$AE213),"",IF(AO$3=$AD213,$F213&amp;"R",AO212))))</f>
        <v>wR</v>
      </c>
      <c r="AP213" s="11" t="str">
        <f aca="false">IF($P213=0,AP212,IF(AP$3=$E213,IF($AA213=1,$F213&amp;$AB213,$G213),IF(OR(AP$3=$D213,AP$3=$AC213,AP$3=$AE213),"",IF(AP$3=$AD213,$F213&amp;"R",AP212))))</f>
        <v>wP</v>
      </c>
      <c r="AQ213" s="11" t="str">
        <f aca="false">IF($P213=0,AQ212,IF(AQ$3=$E213,IF($AA213=1,$F213&amp;$AB213,$G213),IF(OR(AQ$3=$D213,AQ$3=$AC213,AQ$3=$AE213),"",IF(AQ$3=$AD213,$F213&amp;"R",AQ212))))</f>
        <v>wP</v>
      </c>
      <c r="AR213" s="11" t="str">
        <f aca="false">IF($P213=0,AR212,IF(AR$3=$E213,IF($AA213=1,$F213&amp;$AB213,$G213),IF(OR(AR$3=$D213,AR$3=$AC213,AR$3=$AE213),"",IF(AR$3=$AD213,$F213&amp;"R",AR212))))</f>
        <v>wP</v>
      </c>
      <c r="AS213" s="11" t="str">
        <f aca="false">IF($P213=0,AS212,IF(AS$3=$E213,IF($AA213=1,$F213&amp;$AB213,$G213),IF(OR(AS$3=$D213,AS$3=$AC213,AS$3=$AE213),"",IF(AS$3=$AD213,$F213&amp;"R",AS212))))</f>
        <v>wP</v>
      </c>
      <c r="AT213" s="11" t="str">
        <f aca="false">IF($P213=0,AT212,IF(AT$3=$E213,IF($AA213=1,$F213&amp;$AB213,$G213),IF(OR(AT$3=$D213,AT$3=$AC213,AT$3=$AE213),"",IF(AT$3=$AD213,$F213&amp;"R",AT212))))</f>
        <v>wP</v>
      </c>
      <c r="AU213" s="11" t="str">
        <f aca="false">IF($P213=0,AU212,IF(AU$3=$E213,IF($AA213=1,$F213&amp;$AB213,$G213),IF(OR(AU$3=$D213,AU$3=$AC213,AU$3=$AE213),"",IF(AU$3=$AD213,$F213&amp;"R",AU212))))</f>
        <v>wP</v>
      </c>
      <c r="AV213" s="11" t="str">
        <f aca="false">IF($P213=0,AV212,IF(AV$3=$E213,IF($AA213=1,$F213&amp;$AB213,$G213),IF(OR(AV$3=$D213,AV$3=$AC213,AV$3=$AE213),"",IF(AV$3=$AD213,$F213&amp;"R",AV212))))</f>
        <v>wP</v>
      </c>
      <c r="AW213" s="11" t="str">
        <f aca="false">IF($P213=0,AW212,IF(AW$3=$E213,IF($AA213=1,$F213&amp;$AB213,$G213),IF(OR(AW$3=$D213,AW$3=$AC213,AW$3=$AE213),"",IF(AW$3=$AD213,$F213&amp;"R",AW212))))</f>
        <v>wP</v>
      </c>
      <c r="AX213" s="11" t="str">
        <f aca="false">IF($P213=0,AX212,IF(AX$3=$E213,IF($AA213=1,$F213&amp;$AB213,$G213),IF(OR(AX$3=$D213,AX$3=$AC213,AX$3=$AE213),"",IF(AX$3=$AD213,$F213&amp;"R",AX212))))</f>
        <v/>
      </c>
      <c r="AY213" s="11" t="str">
        <f aca="false">IF($P213=0,AY212,IF(AY$3=$E213,IF($AA213=1,$F213&amp;$AB213,$G213),IF(OR(AY$3=$D213,AY$3=$AC213,AY$3=$AE213),"",IF(AY$3=$AD213,$F213&amp;"R",AY212))))</f>
        <v/>
      </c>
      <c r="AZ213" s="11" t="str">
        <f aca="false">IF($P213=0,AZ212,IF(AZ$3=$E213,IF($AA213=1,$F213&amp;$AB213,$G213),IF(OR(AZ$3=$D213,AZ$3=$AC213,AZ$3=$AE213),"",IF(AZ$3=$AD213,$F213&amp;"R",AZ212))))</f>
        <v/>
      </c>
      <c r="BA213" s="11" t="str">
        <f aca="false">IF($P213=0,BA212,IF(BA$3=$E213,IF($AA213=1,$F213&amp;$AB213,$G213),IF(OR(BA$3=$D213,BA$3=$AC213,BA$3=$AE213),"",IF(BA$3=$AD213,$F213&amp;"R",BA212))))</f>
        <v/>
      </c>
      <c r="BB213" s="11" t="str">
        <f aca="false">IF($P213=0,BB212,IF(BB$3=$E213,IF($AA213=1,$F213&amp;$AB213,$G213),IF(OR(BB$3=$D213,BB$3=$AC213,BB$3=$AE213),"",IF(BB$3=$AD213,$F213&amp;"R",BB212))))</f>
        <v/>
      </c>
      <c r="BC213" s="11" t="str">
        <f aca="false">IF($P213=0,BC212,IF(BC$3=$E213,IF($AA213=1,$F213&amp;$AB213,$G213),IF(OR(BC$3=$D213,BC$3=$AC213,BC$3=$AE213),"",IF(BC$3=$AD213,$F213&amp;"R",BC212))))</f>
        <v/>
      </c>
      <c r="BD213" s="11" t="str">
        <f aca="false">IF($P213=0,BD212,IF(BD$3=$E213,IF($AA213=1,$F213&amp;$AB213,$G213),IF(OR(BD$3=$D213,BD$3=$AC213,BD$3=$AE213),"",IF(BD$3=$AD213,$F213&amp;"R",BD212))))</f>
        <v/>
      </c>
      <c r="BE213" s="11" t="str">
        <f aca="false">IF($P213=0,BE212,IF(BE$3=$E213,IF($AA213=1,$F213&amp;$AB213,$G213),IF(OR(BE$3=$D213,BE$3=$AC213,BE$3=$AE213),"",IF(BE$3=$AD213,$F213&amp;"R",BE212))))</f>
        <v/>
      </c>
      <c r="BF213" s="11" t="str">
        <f aca="false">IF($P213=0,BF212,IF(BF$3=$E213,IF($AA213=1,$F213&amp;$AB213,$G213),IF(OR(BF$3=$D213,BF$3=$AC213,BF$3=$AE213),"",IF(BF$3=$AD213,$F213&amp;"R",BF212))))</f>
        <v/>
      </c>
      <c r="BG213" s="11" t="str">
        <f aca="false">IF($P213=0,BG212,IF(BG$3=$E213,IF($AA213=1,$F213&amp;$AB213,$G213),IF(OR(BG$3=$D213,BG$3=$AC213,BG$3=$AE213),"",IF(BG$3=$AD213,$F213&amp;"R",BG212))))</f>
        <v/>
      </c>
      <c r="BH213" s="11" t="str">
        <f aca="false">IF($P213=0,BH212,IF(BH$3=$E213,IF($AA213=1,$F213&amp;$AB213,$G213),IF(OR(BH$3=$D213,BH$3=$AC213,BH$3=$AE213),"",IF(BH$3=$AD213,$F213&amp;"R",BH212))))</f>
        <v/>
      </c>
      <c r="BI213" s="11" t="str">
        <f aca="false">IF($P213=0,BI212,IF(BI$3=$E213,IF($AA213=1,$F213&amp;$AB213,$G213),IF(OR(BI$3=$D213,BI$3=$AC213,BI$3=$AE213),"",IF(BI$3=$AD213,$F213&amp;"R",BI212))))</f>
        <v/>
      </c>
      <c r="BJ213" s="11" t="str">
        <f aca="false">IF($P213=0,BJ212,IF(BJ$3=$E213,IF($AA213=1,$F213&amp;$AB213,$G213),IF(OR(BJ$3=$D213,BJ$3=$AC213,BJ$3=$AE213),"",IF(BJ$3=$AD213,$F213&amp;"R",BJ212))))</f>
        <v/>
      </c>
      <c r="BK213" s="11" t="str">
        <f aca="false">IF($P213=0,BK212,IF(BK$3=$E213,IF($AA213=1,$F213&amp;$AB213,$G213),IF(OR(BK$3=$D213,BK$3=$AC213,BK$3=$AE213),"",IF(BK$3=$AD213,$F213&amp;"R",BK212))))</f>
        <v/>
      </c>
      <c r="BL213" s="11" t="str">
        <f aca="false">IF($P213=0,BL212,IF(BL$3=$E213,IF($AA213=1,$F213&amp;$AB213,$G213),IF(OR(BL$3=$D213,BL$3=$AC213,BL$3=$AE213),"",IF(BL$3=$AD213,$F213&amp;"R",BL212))))</f>
        <v/>
      </c>
      <c r="BM213" s="11" t="str">
        <f aca="false">IF($P213=0,BM212,IF(BM$3=$E213,IF($AA213=1,$F213&amp;$AB213,$G213),IF(OR(BM$3=$D213,BM$3=$AC213,BM$3=$AE213),"",IF(BM$3=$AD213,$F213&amp;"R",BM212))))</f>
        <v/>
      </c>
      <c r="BN213" s="11" t="str">
        <f aca="false">IF($P213=0,BN212,IF(BN$3=$E213,IF($AA213=1,$F213&amp;$AB213,$G213),IF(OR(BN$3=$D213,BN$3=$AC213,BN$3=$AE213),"",IF(BN$3=$AD213,$F213&amp;"R",BN212))))</f>
        <v/>
      </c>
      <c r="BO213" s="11" t="str">
        <f aca="false">IF($P213=0,BO212,IF(BO$3=$E213,IF($AA213=1,$F213&amp;$AB213,$G213),IF(OR(BO$3=$D213,BO$3=$AC213,BO$3=$AE213),"",IF(BO$3=$AD213,$F213&amp;"R",BO212))))</f>
        <v/>
      </c>
      <c r="BP213" s="11" t="str">
        <f aca="false">IF($P213=0,BP212,IF(BP$3=$E213,IF($AA213=1,$F213&amp;$AB213,$G213),IF(OR(BP$3=$D213,BP$3=$AC213,BP$3=$AE213),"",IF(BP$3=$AD213,$F213&amp;"R",BP212))))</f>
        <v/>
      </c>
      <c r="BQ213" s="11" t="str">
        <f aca="false">IF($P213=0,BQ212,IF(BQ$3=$E213,IF($AA213=1,$F213&amp;$AB213,$G213),IF(OR(BQ$3=$D213,BQ$3=$AC213,BQ$3=$AE213),"",IF(BQ$3=$AD213,$F213&amp;"R",BQ212))))</f>
        <v/>
      </c>
      <c r="BR213" s="11" t="str">
        <f aca="false">IF($P213=0,BR212,IF(BR$3=$E213,IF($AA213=1,$F213&amp;$AB213,$G213),IF(OR(BR$3=$D213,BR$3=$AC213,BR$3=$AE213),"",IF(BR$3=$AD213,$F213&amp;"R",BR212))))</f>
        <v/>
      </c>
      <c r="BS213" s="11" t="str">
        <f aca="false">IF($P213=0,BS212,IF(BS$3=$E213,IF($AA213=1,$F213&amp;$AB213,$G213),IF(OR(BS$3=$D213,BS$3=$AC213,BS$3=$AE213),"",IF(BS$3=$AD213,$F213&amp;"R",BS212))))</f>
        <v/>
      </c>
      <c r="BT213" s="11" t="str">
        <f aca="false">IF($P213=0,BT212,IF(BT$3=$E213,IF($AA213=1,$F213&amp;$AB213,$G213),IF(OR(BT$3=$D213,BT$3=$AC213,BT$3=$AE213),"",IF(BT$3=$AD213,$F213&amp;"R",BT212))))</f>
        <v/>
      </c>
      <c r="BU213" s="11" t="str">
        <f aca="false">IF($P213=0,BU212,IF(BU$3=$E213,IF($AA213=1,$F213&amp;$AB213,$G213),IF(OR(BU$3=$D213,BU$3=$AC213,BU$3=$AE213),"",IF(BU$3=$AD213,$F213&amp;"R",BU212))))</f>
        <v/>
      </c>
      <c r="BV213" s="11" t="str">
        <f aca="false">IF($P213=0,BV212,IF(BV$3=$E213,IF($AA213=1,$F213&amp;$AB213,$G213),IF(OR(BV$3=$D213,BV$3=$AC213,BV$3=$AE213),"",IF(BV$3=$AD213,$F213&amp;"R",BV212))))</f>
        <v/>
      </c>
      <c r="BW213" s="11" t="str">
        <f aca="false">IF($P213=0,BW212,IF(BW$3=$E213,IF($AA213=1,$F213&amp;$AB213,$G213),IF(OR(BW$3=$D213,BW$3=$AC213,BW$3=$AE213),"",IF(BW$3=$AD213,$F213&amp;"R",BW212))))</f>
        <v/>
      </c>
      <c r="BX213" s="11" t="str">
        <f aca="false">IF($P213=0,BX212,IF(BX$3=$E213,IF($AA213=1,$F213&amp;$AB213,$G213),IF(OR(BX$3=$D213,BX$3=$AC213,BX$3=$AE213),"",IF(BX$3=$AD213,$F213&amp;"R",BX212))))</f>
        <v/>
      </c>
      <c r="BY213" s="11" t="str">
        <f aca="false">IF($P213=0,BY212,IF(BY$3=$E213,IF($AA213=1,$F213&amp;$AB213,$G213),IF(OR(BY$3=$D213,BY$3=$AC213,BY$3=$AE213),"",IF(BY$3=$AD213,$F213&amp;"R",BY212))))</f>
        <v/>
      </c>
      <c r="BZ213" s="11" t="str">
        <f aca="false">IF($P213=0,BZ212,IF(BZ$3=$E213,IF($AA213=1,$F213&amp;$AB213,$G213),IF(OR(BZ$3=$D213,BZ$3=$AC213,BZ$3=$AE213),"",IF(BZ$3=$AD213,$F213&amp;"R",BZ212))))</f>
        <v/>
      </c>
      <c r="CA213" s="11" t="str">
        <f aca="false">IF($P213=0,CA212,IF(CA$3=$E213,IF($AA213=1,$F213&amp;$AB213,$G213),IF(OR(CA$3=$D213,CA$3=$AC213,CA$3=$AE213),"",IF(CA$3=$AD213,$F213&amp;"R",CA212))))</f>
        <v/>
      </c>
      <c r="CB213" s="11" t="str">
        <f aca="false">IF($P213=0,CB212,IF(CB$3=$E213,IF($AA213=1,$F213&amp;$AB213,$G213),IF(OR(CB$3=$D213,CB$3=$AC213,CB$3=$AE213),"",IF(CB$3=$AD213,$F213&amp;"R",CB212))))</f>
        <v/>
      </c>
      <c r="CC213" s="11" t="str">
        <f aca="false">IF($P213=0,CC212,IF(CC$3=$E213,IF($AA213=1,$F213&amp;$AB213,$G213),IF(OR(CC$3=$D213,CC$3=$AC213,CC$3=$AE213),"",IF(CC$3=$AD213,$F213&amp;"R",CC212))))</f>
        <v/>
      </c>
      <c r="CD213" s="11" t="str">
        <f aca="false">IF($P213=0,CD212,IF(CD$3=$E213,IF($AA213=1,$F213&amp;$AB213,$G213),IF(OR(CD$3=$D213,CD$3=$AC213,CD$3=$AE213),"",IF(CD$3=$AD213,$F213&amp;"R",CD212))))</f>
        <v>bP</v>
      </c>
      <c r="CE213" s="11" t="str">
        <f aca="false">IF($P213=0,CE212,IF(CE$3=$E213,IF($AA213=1,$F213&amp;$AB213,$G213),IF(OR(CE$3=$D213,CE$3=$AC213,CE$3=$AE213),"",IF(CE$3=$AD213,$F213&amp;"R",CE212))))</f>
        <v>bP</v>
      </c>
      <c r="CF213" s="11" t="str">
        <f aca="false">IF($P213=0,CF212,IF(CF$3=$E213,IF($AA213=1,$F213&amp;$AB213,$G213),IF(OR(CF$3=$D213,CF$3=$AC213,CF$3=$AE213),"",IF(CF$3=$AD213,$F213&amp;"R",CF212))))</f>
        <v>bP</v>
      </c>
      <c r="CG213" s="11" t="str">
        <f aca="false">IF($P213=0,CG212,IF(CG$3=$E213,IF($AA213=1,$F213&amp;$AB213,$G213),IF(OR(CG$3=$D213,CG$3=$AC213,CG$3=$AE213),"",IF(CG$3=$AD213,$F213&amp;"R",CG212))))</f>
        <v>bP</v>
      </c>
      <c r="CH213" s="11" t="str">
        <f aca="false">IF($P213=0,CH212,IF(CH$3=$E213,IF($AA213=1,$F213&amp;$AB213,$G213),IF(OR(CH$3=$D213,CH$3=$AC213,CH$3=$AE213),"",IF(CH$3=$AD213,$F213&amp;"R",CH212))))</f>
        <v>bP</v>
      </c>
      <c r="CI213" s="11" t="str">
        <f aca="false">IF($P213=0,CI212,IF(CI$3=$E213,IF($AA213=1,$F213&amp;$AB213,$G213),IF(OR(CI$3=$D213,CI$3=$AC213,CI$3=$AE213),"",IF(CI$3=$AD213,$F213&amp;"R",CI212))))</f>
        <v>bP</v>
      </c>
      <c r="CJ213" s="11" t="str">
        <f aca="false">IF($P213=0,CJ212,IF(CJ$3=$E213,IF($AA213=1,$F213&amp;$AB213,$G213),IF(OR(CJ$3=$D213,CJ$3=$AC213,CJ$3=$AE213),"",IF(CJ$3=$AD213,$F213&amp;"R",CJ212))))</f>
        <v>bP</v>
      </c>
      <c r="CK213" s="11" t="str">
        <f aca="false">IF($P213=0,CK212,IF(CK$3=$E213,IF($AA213=1,$F213&amp;$AB213,$G213),IF(OR(CK$3=$D213,CK$3=$AC213,CK$3=$AE213),"",IF(CK$3=$AD213,$F213&amp;"R",CK212))))</f>
        <v>bP</v>
      </c>
      <c r="CL213" s="11" t="str">
        <f aca="false">IF($P213=0,CL212,IF(CL$3=$E213,IF($AA213=1,$F213&amp;$AB213,$G213),IF(OR(CL$3=$D213,CL$3=$AC213,CL$3=$AE213),"",IF(CL$3=$AD213,$F213&amp;"R",CL212))))</f>
        <v>bR</v>
      </c>
      <c r="CM213" s="11" t="str">
        <f aca="false">IF($P213=0,CM212,IF(CM$3=$E213,IF($AA213=1,$F213&amp;$AB213,$G213),IF(OR(CM$3=$D213,CM$3=$AC213,CM$3=$AE213),"",IF(CM$3=$AD213,$F213&amp;"R",CM212))))</f>
        <v>bN</v>
      </c>
      <c r="CN213" s="11" t="str">
        <f aca="false">IF($P213=0,CN212,IF(CN$3=$E213,IF($AA213=1,$F213&amp;$AB213,$G213),IF(OR(CN$3=$D213,CN$3=$AC213,CN$3=$AE213),"",IF(CN$3=$AD213,$F213&amp;"R",CN212))))</f>
        <v>bB</v>
      </c>
      <c r="CO213" s="11" t="str">
        <f aca="false">IF($P213=0,CO212,IF(CO$3=$E213,IF($AA213=1,$F213&amp;$AB213,$G213),IF(OR(CO$3=$D213,CO$3=$AC213,CO$3=$AE213),"",IF(CO$3=$AD213,$F213&amp;"R",CO212))))</f>
        <v>bQ</v>
      </c>
      <c r="CP213" s="11" t="str">
        <f aca="false">IF($P213=0,CP212,IF(CP$3=$E213,IF($AA213=1,$F213&amp;$AB213,$G213),IF(OR(CP$3=$D213,CP$3=$AC213,CP$3=$AE213),"",IF(CP$3=$AD213,$F213&amp;"R",CP212))))</f>
        <v>bK</v>
      </c>
      <c r="CQ213" s="11" t="str">
        <f aca="false">IF($P213=0,CQ212,IF(CQ$3=$E213,IF($AA213=1,$F213&amp;$AB213,$G213),IF(OR(CQ$3=$D213,CQ$3=$AC213,CQ$3=$AE213),"",IF(CQ$3=$AD213,$F213&amp;"R",CQ212))))</f>
        <v>bB</v>
      </c>
      <c r="CR213" s="11" t="str">
        <f aca="false">IF($P213=0,CR212,IF(CR$3=$E213,IF($AA213=1,$F213&amp;$AB213,$G213),IF(OR(CR$3=$D213,CR$3=$AC213,CR$3=$AE213),"",IF(CR$3=$AD213,$F213&amp;"R",CR212))))</f>
        <v>bN</v>
      </c>
      <c r="CS213" s="11" t="str">
        <f aca="false">IF($P213=0,CS212,IF(CS$3=$E213,IF($AA213=1,$F213&amp;$AB213,$G213),IF(OR(CS$3=$D213,CS$3=$AC213,CS$3=$AE213),"",IF(CS$3=$AD213,$F213&amp;"R",CS212))))</f>
        <v>bR</v>
      </c>
      <c r="CT213" s="11"/>
      <c r="CU213" s="11"/>
      <c r="CV213" s="11"/>
    </row>
    <row r="214" customFormat="false" ht="15" hidden="false" customHeight="false" outlineLevel="0" collapsed="false">
      <c r="A214" s="11" t="n">
        <v>209</v>
      </c>
      <c r="B214" s="11" t="str">
        <f aca="false">IF(Chess!$L$218="","",Chess!$L$218&amp;"")</f>
        <v/>
      </c>
      <c r="C214" s="11" t="str">
        <f aca="false">LOWER(SUBSTITUTE(SUBSTITUTE(SUBSTITUTE(SUBSTITUTE(TRIM($B214),"-",""),"=","")," ",""),"x",""))</f>
        <v/>
      </c>
      <c r="D214" s="11" t="n">
        <f aca="false">IF(LEN($C214)&lt;4,0,IFERROR(IF(AND(CODE(MID($C214,1,1))&gt;=97,CODE(MID($C214,1,1))&lt;=104,VALUE(MID($C214,2,1))&gt;=1,VALUE(MID($C214,2,1))&lt;=8),(VALUE(MID($C214,2,1))-1)*8+CODE(MID($C214,1,1))-96,0),0))</f>
        <v>0</v>
      </c>
      <c r="E214" s="11" t="n">
        <f aca="false">IF(LEN($C214)&lt;4,0,IFERROR(IF(AND(CODE(MID($C214,3,1))&gt;=97,CODE(MID($C214,3,1))&lt;=104,VALUE(MID($C214,4,1))&gt;=1,VALUE(MID($C214,4,1))&lt;=8),(VALUE(MID($C214,4,1))-1)*8+CODE(MID($C214,3,1))-96,0),0))</f>
        <v>0</v>
      </c>
      <c r="F214" s="11" t="str">
        <f aca="false">IF(MOD(SUM($P$5:$P213),2)=0,"w","b")</f>
        <v>w</v>
      </c>
      <c r="G214" s="11" t="str">
        <f aca="false">IF($D214=0,"",INDEX($AH213:$CS213,1,$D214)&amp;"")</f>
        <v/>
      </c>
      <c r="H214" s="11" t="str">
        <f aca="false">IF($E214=0,"",INDEX($AH213:$CS213,1,$E214)&amp;"")</f>
        <v/>
      </c>
      <c r="I214" s="11" t="n">
        <f aca="false">IF(OR($D214=0,$E214=0),0,MOD($E214-1,8)-MOD($D214-1,8))</f>
        <v>0</v>
      </c>
      <c r="J214" s="11" t="n">
        <f aca="false">IF(OR($D214=0,$E214=0),0,INT(($E214-1)/8)-INT(($D214-1)/8))</f>
        <v>0</v>
      </c>
      <c r="K214" s="11" t="str">
        <f aca="false">IF($G214="","",RIGHT($G214,1))</f>
        <v/>
      </c>
      <c r="L214" s="11" t="n">
        <f aca="false">IF(OR($D214=0,$E214=0),0,SUMPRODUCT(($AH$3:$CS$3&gt;MIN($D214,$E214))*($AH$3:$CS$3&lt;MAX($D214,$E214))*(MOD($AH$3:$CS$3-MIN($D214,$E214),MAX(1,ABS(SIGN($J214)*8+SIGN($I214))))=0)*($AH213:$CS213&lt;&gt;"")))</f>
        <v>0</v>
      </c>
      <c r="M214" s="11" t="n">
        <f aca="false">IF($K214&lt;&gt;"K",0,IFERROR(--AND($J214=0,ABS($I214)=2,$D214=IF($F214="w",5,61),IF($F214="w",$S213,$V213)=0,IF($I214=2,AND(IF($F214="w",$U213,$X213)=0,INDEX($AH213:$CS213,1,$D214+1)&amp;""="",INDEX($AH213:$CS213,1,$D214+2)&amp;""=""),AND(IF($F214="w",$T213,$W213)=0,INDEX($AH213:$CS213,1,$D214-1)&amp;""="",INDEX($AH213:$CS213,1,$D214-2)&amp;""="",INDEX($AH213:$CS213,1,$D214-3)&amp;""=""))),0))</f>
        <v>0</v>
      </c>
      <c r="N214" s="11" t="n">
        <f aca="false">IF($K214&lt;&gt;"P",0,IFERROR(--OR(AND($I214=0,$J214=IF($F214="w",1,-1),$H214=""),AND($I214=0,$J214=2*IF($F214="w",1,-1),$H214="",INT(($D214-1)/8)=IF($F214="w",1,6),INDEX($AH213:$CS213,1,MAX(1,MIN(64,$D214+8*IF($F214="w",1,-1))))&amp;""=""),AND(ABS($I214)=1,$J214=IF($F214="w",1,-1),$H214&lt;&gt;""),AND(ABS($I214)=1,$J214=IF($F214="w",1,-1),$H214="",$R213&gt;0,$E214=$R213)),0))</f>
        <v>0</v>
      </c>
      <c r="O214" s="11" t="n">
        <f aca="false">IF(OR($D214=0,$E214=0,$G214=""),0,IF($K214="N",--OR(AND(ABS($I214)=1,ABS($J214)=2),AND(ABS($I214)=2,ABS($J214)=1)),IF($K214="B",--AND(ABS($I214)=ABS($J214),$I214&lt;&gt;0,$L214=0),IF($K214="R",--AND(OR($I214=0,$J214=0),OR($I214&lt;&gt;0,$J214&lt;&gt;0),$L214=0),IF($K214="Q",--AND(OR(AND(ABS($I214)=ABS($J214),$I214&lt;&gt;0),AND(OR($I214=0,$J214=0),OR($I214&lt;&gt;0,$J214&lt;&gt;0))),$L214=0),IF($K214="K",--OR(MAX(ABS($I214),ABS($J214))=1,$M214=1),$N214))))))</f>
        <v>0</v>
      </c>
      <c r="P214" s="11" t="n">
        <f aca="false">IF($Q214="OK",1,0)</f>
        <v>0</v>
      </c>
      <c r="Q214" s="11" t="str">
        <f aca="false">IF($B214="","",IF(OR(COUNTIF($AH213:$CS213,"wK")=0,COUNTIF($AH213:$CS213,"bK")=0),"Game is over",IF(OR($D214=0,$E214=0),"Use the format e2e4",IF($G214="","No piece on that square",IF(LEFT($G214,1)&lt;&gt;$F214,"Not your piece ("&amp;IF($F214="w","White","Black")&amp;" to move)",IF($D214=$E214,"Piece must move",IF(AND($H214&lt;&gt;"",LEFT($H214,1)=$F214),"Cannot capture your own piece",IF($O214=0,"Illegal move for that piece (or path blocked)","OK"))))))))</f>
        <v/>
      </c>
      <c r="R214" s="11" t="n">
        <f aca="false">IF($P214=1,IF(AND($K214="P",ABS($J214)=2),($D214+$E214)/2,0),$R213)</f>
        <v>0</v>
      </c>
      <c r="S214" s="12" t="b">
        <f aca="false">--OR($S213=1,AND($P214=1,OR($D214=5,$E214=5)))</f>
        <v>0</v>
      </c>
      <c r="T214" s="12" t="b">
        <f aca="false">--OR($T213=1,AND($P214=1,OR($D214=1,$E214=1)))</f>
        <v>0</v>
      </c>
      <c r="U214" s="12" t="b">
        <f aca="false">--OR($U213=1,AND($P214=1,OR($D214=8,$E214=8)))</f>
        <v>0</v>
      </c>
      <c r="V214" s="12" t="b">
        <f aca="false">--OR($V213=1,AND($P214=1,OR($D214=61,$E214=61)))</f>
        <v>0</v>
      </c>
      <c r="W214" s="12" t="b">
        <f aca="false">--OR($W213=1,AND($P214=1,OR($D214=57,$E214=57)))</f>
        <v>0</v>
      </c>
      <c r="X214" s="12" t="b">
        <f aca="false">--OR($X213=1,AND($P214=1,OR($D214=64,$E214=64)))</f>
        <v>0</v>
      </c>
      <c r="Y214" s="12" t="b">
        <f aca="false">--AND($P214=1,$K214="K",ABS($I214)=2)</f>
        <v>0</v>
      </c>
      <c r="Z214" s="12" t="b">
        <f aca="false">--AND($P214=1,$K214="P",ABS($I214)=1,$H214="")</f>
        <v>0</v>
      </c>
      <c r="AA214" s="12" t="b">
        <f aca="false">--AND($P214=1,$K214="P",INT(($E214-1)/8)=IF($F214="w",7,0))</f>
        <v>0</v>
      </c>
      <c r="AB214" s="11" t="str">
        <f aca="false">IF(LEN($C214)&gt;=5,IF(ISNUMBER(FIND(MID($C214,5,1),"qrbn")),UPPER(MID($C214,5,1)),"Q"),"Q")</f>
        <v>Q</v>
      </c>
      <c r="AC214" s="11" t="n">
        <f aca="false">IF($Y214=1,IF($I214=2,$D214+3,$D214-4),0)</f>
        <v>0</v>
      </c>
      <c r="AD214" s="11" t="n">
        <f aca="false">IF($Y214=1,IF($I214=2,$D214+1,$D214-1),0)</f>
        <v>0</v>
      </c>
      <c r="AE214" s="11" t="n">
        <f aca="false">IF($Z214=1,$E214-8*IF($F214="w",1,-1),0)</f>
        <v>0</v>
      </c>
      <c r="AF214" s="11" t="str">
        <f aca="false">IF($B214="","",IF($P214=1,LOWER(INDEX($CV$2:$CV$13,MATCH($G214,$CU$2:$CU$13,0)))&amp;" "&amp;MID("abcdefgh",MOD($D214-1,8)+1,1)&amp;(INT(($D214-1)/8)+1)&amp;"→"&amp;MID("abcdefgh",MOD($E214-1,8)+1,1)&amp;(INT(($E214-1)/8)+1)&amp;IF(OR($H214&lt;&gt;"",$Z214=1)," ×","")&amp;IF($Y214=1," castles","")&amp;IF($Z214=1," e.p.","")&amp;IF($AA214=1," =" &amp;LOWER(INDEX($CV$2:$CV$13,MATCH($F214&amp;$AB214,$CU$2:$CU$13,0))),""),"X "&amp;$Q214))</f>
        <v/>
      </c>
      <c r="AG214" s="11"/>
      <c r="AH214" s="11" t="str">
        <f aca="false">IF($P214=0,AH213,IF(AH$3=$E214,IF($AA214=1,$F214&amp;$AB214,$G214),IF(OR(AH$3=$D214,AH$3=$AC214,AH$3=$AE214),"",IF(AH$3=$AD214,$F214&amp;"R",AH213))))</f>
        <v>wR</v>
      </c>
      <c r="AI214" s="11" t="str">
        <f aca="false">IF($P214=0,AI213,IF(AI$3=$E214,IF($AA214=1,$F214&amp;$AB214,$G214),IF(OR(AI$3=$D214,AI$3=$AC214,AI$3=$AE214),"",IF(AI$3=$AD214,$F214&amp;"R",AI213))))</f>
        <v>wN</v>
      </c>
      <c r="AJ214" s="11" t="str">
        <f aca="false">IF($P214=0,AJ213,IF(AJ$3=$E214,IF($AA214=1,$F214&amp;$AB214,$G214),IF(OR(AJ$3=$D214,AJ$3=$AC214,AJ$3=$AE214),"",IF(AJ$3=$AD214,$F214&amp;"R",AJ213))))</f>
        <v>wB</v>
      </c>
      <c r="AK214" s="11" t="str">
        <f aca="false">IF($P214=0,AK213,IF(AK$3=$E214,IF($AA214=1,$F214&amp;$AB214,$G214),IF(OR(AK$3=$D214,AK$3=$AC214,AK$3=$AE214),"",IF(AK$3=$AD214,$F214&amp;"R",AK213))))</f>
        <v>wQ</v>
      </c>
      <c r="AL214" s="11" t="str">
        <f aca="false">IF($P214=0,AL213,IF(AL$3=$E214,IF($AA214=1,$F214&amp;$AB214,$G214),IF(OR(AL$3=$D214,AL$3=$AC214,AL$3=$AE214),"",IF(AL$3=$AD214,$F214&amp;"R",AL213))))</f>
        <v>wK</v>
      </c>
      <c r="AM214" s="11" t="str">
        <f aca="false">IF($P214=0,AM213,IF(AM$3=$E214,IF($AA214=1,$F214&amp;$AB214,$G214),IF(OR(AM$3=$D214,AM$3=$AC214,AM$3=$AE214),"",IF(AM$3=$AD214,$F214&amp;"R",AM213))))</f>
        <v>wB</v>
      </c>
      <c r="AN214" s="11" t="str">
        <f aca="false">IF($P214=0,AN213,IF(AN$3=$E214,IF($AA214=1,$F214&amp;$AB214,$G214),IF(OR(AN$3=$D214,AN$3=$AC214,AN$3=$AE214),"",IF(AN$3=$AD214,$F214&amp;"R",AN213))))</f>
        <v>wN</v>
      </c>
      <c r="AO214" s="11" t="str">
        <f aca="false">IF($P214=0,AO213,IF(AO$3=$E214,IF($AA214=1,$F214&amp;$AB214,$G214),IF(OR(AO$3=$D214,AO$3=$AC214,AO$3=$AE214),"",IF(AO$3=$AD214,$F214&amp;"R",AO213))))</f>
        <v>wR</v>
      </c>
      <c r="AP214" s="11" t="str">
        <f aca="false">IF($P214=0,AP213,IF(AP$3=$E214,IF($AA214=1,$F214&amp;$AB214,$G214),IF(OR(AP$3=$D214,AP$3=$AC214,AP$3=$AE214),"",IF(AP$3=$AD214,$F214&amp;"R",AP213))))</f>
        <v>wP</v>
      </c>
      <c r="AQ214" s="11" t="str">
        <f aca="false">IF($P214=0,AQ213,IF(AQ$3=$E214,IF($AA214=1,$F214&amp;$AB214,$G214),IF(OR(AQ$3=$D214,AQ$3=$AC214,AQ$3=$AE214),"",IF(AQ$3=$AD214,$F214&amp;"R",AQ213))))</f>
        <v>wP</v>
      </c>
      <c r="AR214" s="11" t="str">
        <f aca="false">IF($P214=0,AR213,IF(AR$3=$E214,IF($AA214=1,$F214&amp;$AB214,$G214),IF(OR(AR$3=$D214,AR$3=$AC214,AR$3=$AE214),"",IF(AR$3=$AD214,$F214&amp;"R",AR213))))</f>
        <v>wP</v>
      </c>
      <c r="AS214" s="11" t="str">
        <f aca="false">IF($P214=0,AS213,IF(AS$3=$E214,IF($AA214=1,$F214&amp;$AB214,$G214),IF(OR(AS$3=$D214,AS$3=$AC214,AS$3=$AE214),"",IF(AS$3=$AD214,$F214&amp;"R",AS213))))</f>
        <v>wP</v>
      </c>
      <c r="AT214" s="11" t="str">
        <f aca="false">IF($P214=0,AT213,IF(AT$3=$E214,IF($AA214=1,$F214&amp;$AB214,$G214),IF(OR(AT$3=$D214,AT$3=$AC214,AT$3=$AE214),"",IF(AT$3=$AD214,$F214&amp;"R",AT213))))</f>
        <v>wP</v>
      </c>
      <c r="AU214" s="11" t="str">
        <f aca="false">IF($P214=0,AU213,IF(AU$3=$E214,IF($AA214=1,$F214&amp;$AB214,$G214),IF(OR(AU$3=$D214,AU$3=$AC214,AU$3=$AE214),"",IF(AU$3=$AD214,$F214&amp;"R",AU213))))</f>
        <v>wP</v>
      </c>
      <c r="AV214" s="11" t="str">
        <f aca="false">IF($P214=0,AV213,IF(AV$3=$E214,IF($AA214=1,$F214&amp;$AB214,$G214),IF(OR(AV$3=$D214,AV$3=$AC214,AV$3=$AE214),"",IF(AV$3=$AD214,$F214&amp;"R",AV213))))</f>
        <v>wP</v>
      </c>
      <c r="AW214" s="11" t="str">
        <f aca="false">IF($P214=0,AW213,IF(AW$3=$E214,IF($AA214=1,$F214&amp;$AB214,$G214),IF(OR(AW$3=$D214,AW$3=$AC214,AW$3=$AE214),"",IF(AW$3=$AD214,$F214&amp;"R",AW213))))</f>
        <v>wP</v>
      </c>
      <c r="AX214" s="11" t="str">
        <f aca="false">IF($P214=0,AX213,IF(AX$3=$E214,IF($AA214=1,$F214&amp;$AB214,$G214),IF(OR(AX$3=$D214,AX$3=$AC214,AX$3=$AE214),"",IF(AX$3=$AD214,$F214&amp;"R",AX213))))</f>
        <v/>
      </c>
      <c r="AY214" s="11" t="str">
        <f aca="false">IF($P214=0,AY213,IF(AY$3=$E214,IF($AA214=1,$F214&amp;$AB214,$G214),IF(OR(AY$3=$D214,AY$3=$AC214,AY$3=$AE214),"",IF(AY$3=$AD214,$F214&amp;"R",AY213))))</f>
        <v/>
      </c>
      <c r="AZ214" s="11" t="str">
        <f aca="false">IF($P214=0,AZ213,IF(AZ$3=$E214,IF($AA214=1,$F214&amp;$AB214,$G214),IF(OR(AZ$3=$D214,AZ$3=$AC214,AZ$3=$AE214),"",IF(AZ$3=$AD214,$F214&amp;"R",AZ213))))</f>
        <v/>
      </c>
      <c r="BA214" s="11" t="str">
        <f aca="false">IF($P214=0,BA213,IF(BA$3=$E214,IF($AA214=1,$F214&amp;$AB214,$G214),IF(OR(BA$3=$D214,BA$3=$AC214,BA$3=$AE214),"",IF(BA$3=$AD214,$F214&amp;"R",BA213))))</f>
        <v/>
      </c>
      <c r="BB214" s="11" t="str">
        <f aca="false">IF($P214=0,BB213,IF(BB$3=$E214,IF($AA214=1,$F214&amp;$AB214,$G214),IF(OR(BB$3=$D214,BB$3=$AC214,BB$3=$AE214),"",IF(BB$3=$AD214,$F214&amp;"R",BB213))))</f>
        <v/>
      </c>
      <c r="BC214" s="11" t="str">
        <f aca="false">IF($P214=0,BC213,IF(BC$3=$E214,IF($AA214=1,$F214&amp;$AB214,$G214),IF(OR(BC$3=$D214,BC$3=$AC214,BC$3=$AE214),"",IF(BC$3=$AD214,$F214&amp;"R",BC213))))</f>
        <v/>
      </c>
      <c r="BD214" s="11" t="str">
        <f aca="false">IF($P214=0,BD213,IF(BD$3=$E214,IF($AA214=1,$F214&amp;$AB214,$G214),IF(OR(BD$3=$D214,BD$3=$AC214,BD$3=$AE214),"",IF(BD$3=$AD214,$F214&amp;"R",BD213))))</f>
        <v/>
      </c>
      <c r="BE214" s="11" t="str">
        <f aca="false">IF($P214=0,BE213,IF(BE$3=$E214,IF($AA214=1,$F214&amp;$AB214,$G214),IF(OR(BE$3=$D214,BE$3=$AC214,BE$3=$AE214),"",IF(BE$3=$AD214,$F214&amp;"R",BE213))))</f>
        <v/>
      </c>
      <c r="BF214" s="11" t="str">
        <f aca="false">IF($P214=0,BF213,IF(BF$3=$E214,IF($AA214=1,$F214&amp;$AB214,$G214),IF(OR(BF$3=$D214,BF$3=$AC214,BF$3=$AE214),"",IF(BF$3=$AD214,$F214&amp;"R",BF213))))</f>
        <v/>
      </c>
      <c r="BG214" s="11" t="str">
        <f aca="false">IF($P214=0,BG213,IF(BG$3=$E214,IF($AA214=1,$F214&amp;$AB214,$G214),IF(OR(BG$3=$D214,BG$3=$AC214,BG$3=$AE214),"",IF(BG$3=$AD214,$F214&amp;"R",BG213))))</f>
        <v/>
      </c>
      <c r="BH214" s="11" t="str">
        <f aca="false">IF($P214=0,BH213,IF(BH$3=$E214,IF($AA214=1,$F214&amp;$AB214,$G214),IF(OR(BH$3=$D214,BH$3=$AC214,BH$3=$AE214),"",IF(BH$3=$AD214,$F214&amp;"R",BH213))))</f>
        <v/>
      </c>
      <c r="BI214" s="11" t="str">
        <f aca="false">IF($P214=0,BI213,IF(BI$3=$E214,IF($AA214=1,$F214&amp;$AB214,$G214),IF(OR(BI$3=$D214,BI$3=$AC214,BI$3=$AE214),"",IF(BI$3=$AD214,$F214&amp;"R",BI213))))</f>
        <v/>
      </c>
      <c r="BJ214" s="11" t="str">
        <f aca="false">IF($P214=0,BJ213,IF(BJ$3=$E214,IF($AA214=1,$F214&amp;$AB214,$G214),IF(OR(BJ$3=$D214,BJ$3=$AC214,BJ$3=$AE214),"",IF(BJ$3=$AD214,$F214&amp;"R",BJ213))))</f>
        <v/>
      </c>
      <c r="BK214" s="11" t="str">
        <f aca="false">IF($P214=0,BK213,IF(BK$3=$E214,IF($AA214=1,$F214&amp;$AB214,$G214),IF(OR(BK$3=$D214,BK$3=$AC214,BK$3=$AE214),"",IF(BK$3=$AD214,$F214&amp;"R",BK213))))</f>
        <v/>
      </c>
      <c r="BL214" s="11" t="str">
        <f aca="false">IF($P214=0,BL213,IF(BL$3=$E214,IF($AA214=1,$F214&amp;$AB214,$G214),IF(OR(BL$3=$D214,BL$3=$AC214,BL$3=$AE214),"",IF(BL$3=$AD214,$F214&amp;"R",BL213))))</f>
        <v/>
      </c>
      <c r="BM214" s="11" t="str">
        <f aca="false">IF($P214=0,BM213,IF(BM$3=$E214,IF($AA214=1,$F214&amp;$AB214,$G214),IF(OR(BM$3=$D214,BM$3=$AC214,BM$3=$AE214),"",IF(BM$3=$AD214,$F214&amp;"R",BM213))))</f>
        <v/>
      </c>
      <c r="BN214" s="11" t="str">
        <f aca="false">IF($P214=0,BN213,IF(BN$3=$E214,IF($AA214=1,$F214&amp;$AB214,$G214),IF(OR(BN$3=$D214,BN$3=$AC214,BN$3=$AE214),"",IF(BN$3=$AD214,$F214&amp;"R",BN213))))</f>
        <v/>
      </c>
      <c r="BO214" s="11" t="str">
        <f aca="false">IF($P214=0,BO213,IF(BO$3=$E214,IF($AA214=1,$F214&amp;$AB214,$G214),IF(OR(BO$3=$D214,BO$3=$AC214,BO$3=$AE214),"",IF(BO$3=$AD214,$F214&amp;"R",BO213))))</f>
        <v/>
      </c>
      <c r="BP214" s="11" t="str">
        <f aca="false">IF($P214=0,BP213,IF(BP$3=$E214,IF($AA214=1,$F214&amp;$AB214,$G214),IF(OR(BP$3=$D214,BP$3=$AC214,BP$3=$AE214),"",IF(BP$3=$AD214,$F214&amp;"R",BP213))))</f>
        <v/>
      </c>
      <c r="BQ214" s="11" t="str">
        <f aca="false">IF($P214=0,BQ213,IF(BQ$3=$E214,IF($AA214=1,$F214&amp;$AB214,$G214),IF(OR(BQ$3=$D214,BQ$3=$AC214,BQ$3=$AE214),"",IF(BQ$3=$AD214,$F214&amp;"R",BQ213))))</f>
        <v/>
      </c>
      <c r="BR214" s="11" t="str">
        <f aca="false">IF($P214=0,BR213,IF(BR$3=$E214,IF($AA214=1,$F214&amp;$AB214,$G214),IF(OR(BR$3=$D214,BR$3=$AC214,BR$3=$AE214),"",IF(BR$3=$AD214,$F214&amp;"R",BR213))))</f>
        <v/>
      </c>
      <c r="BS214" s="11" t="str">
        <f aca="false">IF($P214=0,BS213,IF(BS$3=$E214,IF($AA214=1,$F214&amp;$AB214,$G214),IF(OR(BS$3=$D214,BS$3=$AC214,BS$3=$AE214),"",IF(BS$3=$AD214,$F214&amp;"R",BS213))))</f>
        <v/>
      </c>
      <c r="BT214" s="11" t="str">
        <f aca="false">IF($P214=0,BT213,IF(BT$3=$E214,IF($AA214=1,$F214&amp;$AB214,$G214),IF(OR(BT$3=$D214,BT$3=$AC214,BT$3=$AE214),"",IF(BT$3=$AD214,$F214&amp;"R",BT213))))</f>
        <v/>
      </c>
      <c r="BU214" s="11" t="str">
        <f aca="false">IF($P214=0,BU213,IF(BU$3=$E214,IF($AA214=1,$F214&amp;$AB214,$G214),IF(OR(BU$3=$D214,BU$3=$AC214,BU$3=$AE214),"",IF(BU$3=$AD214,$F214&amp;"R",BU213))))</f>
        <v/>
      </c>
      <c r="BV214" s="11" t="str">
        <f aca="false">IF($P214=0,BV213,IF(BV$3=$E214,IF($AA214=1,$F214&amp;$AB214,$G214),IF(OR(BV$3=$D214,BV$3=$AC214,BV$3=$AE214),"",IF(BV$3=$AD214,$F214&amp;"R",BV213))))</f>
        <v/>
      </c>
      <c r="BW214" s="11" t="str">
        <f aca="false">IF($P214=0,BW213,IF(BW$3=$E214,IF($AA214=1,$F214&amp;$AB214,$G214),IF(OR(BW$3=$D214,BW$3=$AC214,BW$3=$AE214),"",IF(BW$3=$AD214,$F214&amp;"R",BW213))))</f>
        <v/>
      </c>
      <c r="BX214" s="11" t="str">
        <f aca="false">IF($P214=0,BX213,IF(BX$3=$E214,IF($AA214=1,$F214&amp;$AB214,$G214),IF(OR(BX$3=$D214,BX$3=$AC214,BX$3=$AE214),"",IF(BX$3=$AD214,$F214&amp;"R",BX213))))</f>
        <v/>
      </c>
      <c r="BY214" s="11" t="str">
        <f aca="false">IF($P214=0,BY213,IF(BY$3=$E214,IF($AA214=1,$F214&amp;$AB214,$G214),IF(OR(BY$3=$D214,BY$3=$AC214,BY$3=$AE214),"",IF(BY$3=$AD214,$F214&amp;"R",BY213))))</f>
        <v/>
      </c>
      <c r="BZ214" s="11" t="str">
        <f aca="false">IF($P214=0,BZ213,IF(BZ$3=$E214,IF($AA214=1,$F214&amp;$AB214,$G214),IF(OR(BZ$3=$D214,BZ$3=$AC214,BZ$3=$AE214),"",IF(BZ$3=$AD214,$F214&amp;"R",BZ213))))</f>
        <v/>
      </c>
      <c r="CA214" s="11" t="str">
        <f aca="false">IF($P214=0,CA213,IF(CA$3=$E214,IF($AA214=1,$F214&amp;$AB214,$G214),IF(OR(CA$3=$D214,CA$3=$AC214,CA$3=$AE214),"",IF(CA$3=$AD214,$F214&amp;"R",CA213))))</f>
        <v/>
      </c>
      <c r="CB214" s="11" t="str">
        <f aca="false">IF($P214=0,CB213,IF(CB$3=$E214,IF($AA214=1,$F214&amp;$AB214,$G214),IF(OR(CB$3=$D214,CB$3=$AC214,CB$3=$AE214),"",IF(CB$3=$AD214,$F214&amp;"R",CB213))))</f>
        <v/>
      </c>
      <c r="CC214" s="11" t="str">
        <f aca="false">IF($P214=0,CC213,IF(CC$3=$E214,IF($AA214=1,$F214&amp;$AB214,$G214),IF(OR(CC$3=$D214,CC$3=$AC214,CC$3=$AE214),"",IF(CC$3=$AD214,$F214&amp;"R",CC213))))</f>
        <v/>
      </c>
      <c r="CD214" s="11" t="str">
        <f aca="false">IF($P214=0,CD213,IF(CD$3=$E214,IF($AA214=1,$F214&amp;$AB214,$G214),IF(OR(CD$3=$D214,CD$3=$AC214,CD$3=$AE214),"",IF(CD$3=$AD214,$F214&amp;"R",CD213))))</f>
        <v>bP</v>
      </c>
      <c r="CE214" s="11" t="str">
        <f aca="false">IF($P214=0,CE213,IF(CE$3=$E214,IF($AA214=1,$F214&amp;$AB214,$G214),IF(OR(CE$3=$D214,CE$3=$AC214,CE$3=$AE214),"",IF(CE$3=$AD214,$F214&amp;"R",CE213))))</f>
        <v>bP</v>
      </c>
      <c r="CF214" s="11" t="str">
        <f aca="false">IF($P214=0,CF213,IF(CF$3=$E214,IF($AA214=1,$F214&amp;$AB214,$G214),IF(OR(CF$3=$D214,CF$3=$AC214,CF$3=$AE214),"",IF(CF$3=$AD214,$F214&amp;"R",CF213))))</f>
        <v>bP</v>
      </c>
      <c r="CG214" s="11" t="str">
        <f aca="false">IF($P214=0,CG213,IF(CG$3=$E214,IF($AA214=1,$F214&amp;$AB214,$G214),IF(OR(CG$3=$D214,CG$3=$AC214,CG$3=$AE214),"",IF(CG$3=$AD214,$F214&amp;"R",CG213))))</f>
        <v>bP</v>
      </c>
      <c r="CH214" s="11" t="str">
        <f aca="false">IF($P214=0,CH213,IF(CH$3=$E214,IF($AA214=1,$F214&amp;$AB214,$G214),IF(OR(CH$3=$D214,CH$3=$AC214,CH$3=$AE214),"",IF(CH$3=$AD214,$F214&amp;"R",CH213))))</f>
        <v>bP</v>
      </c>
      <c r="CI214" s="11" t="str">
        <f aca="false">IF($P214=0,CI213,IF(CI$3=$E214,IF($AA214=1,$F214&amp;$AB214,$G214),IF(OR(CI$3=$D214,CI$3=$AC214,CI$3=$AE214),"",IF(CI$3=$AD214,$F214&amp;"R",CI213))))</f>
        <v>bP</v>
      </c>
      <c r="CJ214" s="11" t="str">
        <f aca="false">IF($P214=0,CJ213,IF(CJ$3=$E214,IF($AA214=1,$F214&amp;$AB214,$G214),IF(OR(CJ$3=$D214,CJ$3=$AC214,CJ$3=$AE214),"",IF(CJ$3=$AD214,$F214&amp;"R",CJ213))))</f>
        <v>bP</v>
      </c>
      <c r="CK214" s="11" t="str">
        <f aca="false">IF($P214=0,CK213,IF(CK$3=$E214,IF($AA214=1,$F214&amp;$AB214,$G214),IF(OR(CK$3=$D214,CK$3=$AC214,CK$3=$AE214),"",IF(CK$3=$AD214,$F214&amp;"R",CK213))))</f>
        <v>bP</v>
      </c>
      <c r="CL214" s="11" t="str">
        <f aca="false">IF($P214=0,CL213,IF(CL$3=$E214,IF($AA214=1,$F214&amp;$AB214,$G214),IF(OR(CL$3=$D214,CL$3=$AC214,CL$3=$AE214),"",IF(CL$3=$AD214,$F214&amp;"R",CL213))))</f>
        <v>bR</v>
      </c>
      <c r="CM214" s="11" t="str">
        <f aca="false">IF($P214=0,CM213,IF(CM$3=$E214,IF($AA214=1,$F214&amp;$AB214,$G214),IF(OR(CM$3=$D214,CM$3=$AC214,CM$3=$AE214),"",IF(CM$3=$AD214,$F214&amp;"R",CM213))))</f>
        <v>bN</v>
      </c>
      <c r="CN214" s="11" t="str">
        <f aca="false">IF($P214=0,CN213,IF(CN$3=$E214,IF($AA214=1,$F214&amp;$AB214,$G214),IF(OR(CN$3=$D214,CN$3=$AC214,CN$3=$AE214),"",IF(CN$3=$AD214,$F214&amp;"R",CN213))))</f>
        <v>bB</v>
      </c>
      <c r="CO214" s="11" t="str">
        <f aca="false">IF($P214=0,CO213,IF(CO$3=$E214,IF($AA214=1,$F214&amp;$AB214,$G214),IF(OR(CO$3=$D214,CO$3=$AC214,CO$3=$AE214),"",IF(CO$3=$AD214,$F214&amp;"R",CO213))))</f>
        <v>bQ</v>
      </c>
      <c r="CP214" s="11" t="str">
        <f aca="false">IF($P214=0,CP213,IF(CP$3=$E214,IF($AA214=1,$F214&amp;$AB214,$G214),IF(OR(CP$3=$D214,CP$3=$AC214,CP$3=$AE214),"",IF(CP$3=$AD214,$F214&amp;"R",CP213))))</f>
        <v>bK</v>
      </c>
      <c r="CQ214" s="11" t="str">
        <f aca="false">IF($P214=0,CQ213,IF(CQ$3=$E214,IF($AA214=1,$F214&amp;$AB214,$G214),IF(OR(CQ$3=$D214,CQ$3=$AC214,CQ$3=$AE214),"",IF(CQ$3=$AD214,$F214&amp;"R",CQ213))))</f>
        <v>bB</v>
      </c>
      <c r="CR214" s="11" t="str">
        <f aca="false">IF($P214=0,CR213,IF(CR$3=$E214,IF($AA214=1,$F214&amp;$AB214,$G214),IF(OR(CR$3=$D214,CR$3=$AC214,CR$3=$AE214),"",IF(CR$3=$AD214,$F214&amp;"R",CR213))))</f>
        <v>bN</v>
      </c>
      <c r="CS214" s="11" t="str">
        <f aca="false">IF($P214=0,CS213,IF(CS$3=$E214,IF($AA214=1,$F214&amp;$AB214,$G214),IF(OR(CS$3=$D214,CS$3=$AC214,CS$3=$AE214),"",IF(CS$3=$AD214,$F214&amp;"R",CS213))))</f>
        <v>bR</v>
      </c>
      <c r="CT214" s="11"/>
      <c r="CU214" s="11"/>
      <c r="CV214" s="11"/>
    </row>
    <row r="215" customFormat="false" ht="15" hidden="false" customHeight="false" outlineLevel="0" collapsed="false">
      <c r="A215" s="11" t="n">
        <v>210</v>
      </c>
      <c r="B215" s="11" t="str">
        <f aca="false">IF(Chess!$L$219="","",Chess!$L$219&amp;"")</f>
        <v/>
      </c>
      <c r="C215" s="11" t="str">
        <f aca="false">LOWER(SUBSTITUTE(SUBSTITUTE(SUBSTITUTE(SUBSTITUTE(TRIM($B215),"-",""),"=","")," ",""),"x",""))</f>
        <v/>
      </c>
      <c r="D215" s="11" t="n">
        <f aca="false">IF(LEN($C215)&lt;4,0,IFERROR(IF(AND(CODE(MID($C215,1,1))&gt;=97,CODE(MID($C215,1,1))&lt;=104,VALUE(MID($C215,2,1))&gt;=1,VALUE(MID($C215,2,1))&lt;=8),(VALUE(MID($C215,2,1))-1)*8+CODE(MID($C215,1,1))-96,0),0))</f>
        <v>0</v>
      </c>
      <c r="E215" s="11" t="n">
        <f aca="false">IF(LEN($C215)&lt;4,0,IFERROR(IF(AND(CODE(MID($C215,3,1))&gt;=97,CODE(MID($C215,3,1))&lt;=104,VALUE(MID($C215,4,1))&gt;=1,VALUE(MID($C215,4,1))&lt;=8),(VALUE(MID($C215,4,1))-1)*8+CODE(MID($C215,3,1))-96,0),0))</f>
        <v>0</v>
      </c>
      <c r="F215" s="11" t="str">
        <f aca="false">IF(MOD(SUM($P$5:$P214),2)=0,"w","b")</f>
        <v>w</v>
      </c>
      <c r="G215" s="11" t="str">
        <f aca="false">IF($D215=0,"",INDEX($AH214:$CS214,1,$D215)&amp;"")</f>
        <v/>
      </c>
      <c r="H215" s="11" t="str">
        <f aca="false">IF($E215=0,"",INDEX($AH214:$CS214,1,$E215)&amp;"")</f>
        <v/>
      </c>
      <c r="I215" s="11" t="n">
        <f aca="false">IF(OR($D215=0,$E215=0),0,MOD($E215-1,8)-MOD($D215-1,8))</f>
        <v>0</v>
      </c>
      <c r="J215" s="11" t="n">
        <f aca="false">IF(OR($D215=0,$E215=0),0,INT(($E215-1)/8)-INT(($D215-1)/8))</f>
        <v>0</v>
      </c>
      <c r="K215" s="11" t="str">
        <f aca="false">IF($G215="","",RIGHT($G215,1))</f>
        <v/>
      </c>
      <c r="L215" s="11" t="n">
        <f aca="false">IF(OR($D215=0,$E215=0),0,SUMPRODUCT(($AH$3:$CS$3&gt;MIN($D215,$E215))*($AH$3:$CS$3&lt;MAX($D215,$E215))*(MOD($AH$3:$CS$3-MIN($D215,$E215),MAX(1,ABS(SIGN($J215)*8+SIGN($I215))))=0)*($AH214:$CS214&lt;&gt;"")))</f>
        <v>0</v>
      </c>
      <c r="M215" s="11" t="n">
        <f aca="false">IF($K215&lt;&gt;"K",0,IFERROR(--AND($J215=0,ABS($I215)=2,$D215=IF($F215="w",5,61),IF($F215="w",$S214,$V214)=0,IF($I215=2,AND(IF($F215="w",$U214,$X214)=0,INDEX($AH214:$CS214,1,$D215+1)&amp;""="",INDEX($AH214:$CS214,1,$D215+2)&amp;""=""),AND(IF($F215="w",$T214,$W214)=0,INDEX($AH214:$CS214,1,$D215-1)&amp;""="",INDEX($AH214:$CS214,1,$D215-2)&amp;""="",INDEX($AH214:$CS214,1,$D215-3)&amp;""=""))),0))</f>
        <v>0</v>
      </c>
      <c r="N215" s="11" t="n">
        <f aca="false">IF($K215&lt;&gt;"P",0,IFERROR(--OR(AND($I215=0,$J215=IF($F215="w",1,-1),$H215=""),AND($I215=0,$J215=2*IF($F215="w",1,-1),$H215="",INT(($D215-1)/8)=IF($F215="w",1,6),INDEX($AH214:$CS214,1,MAX(1,MIN(64,$D215+8*IF($F215="w",1,-1))))&amp;""=""),AND(ABS($I215)=1,$J215=IF($F215="w",1,-1),$H215&lt;&gt;""),AND(ABS($I215)=1,$J215=IF($F215="w",1,-1),$H215="",$R214&gt;0,$E215=$R214)),0))</f>
        <v>0</v>
      </c>
      <c r="O215" s="11" t="n">
        <f aca="false">IF(OR($D215=0,$E215=0,$G215=""),0,IF($K215="N",--OR(AND(ABS($I215)=1,ABS($J215)=2),AND(ABS($I215)=2,ABS($J215)=1)),IF($K215="B",--AND(ABS($I215)=ABS($J215),$I215&lt;&gt;0,$L215=0),IF($K215="R",--AND(OR($I215=0,$J215=0),OR($I215&lt;&gt;0,$J215&lt;&gt;0),$L215=0),IF($K215="Q",--AND(OR(AND(ABS($I215)=ABS($J215),$I215&lt;&gt;0),AND(OR($I215=0,$J215=0),OR($I215&lt;&gt;0,$J215&lt;&gt;0))),$L215=0),IF($K215="K",--OR(MAX(ABS($I215),ABS($J215))=1,$M215=1),$N215))))))</f>
        <v>0</v>
      </c>
      <c r="P215" s="11" t="n">
        <f aca="false">IF($Q215="OK",1,0)</f>
        <v>0</v>
      </c>
      <c r="Q215" s="11" t="str">
        <f aca="false">IF($B215="","",IF(OR(COUNTIF($AH214:$CS214,"wK")=0,COUNTIF($AH214:$CS214,"bK")=0),"Game is over",IF(OR($D215=0,$E215=0),"Use the format e2e4",IF($G215="","No piece on that square",IF(LEFT($G215,1)&lt;&gt;$F215,"Not your piece ("&amp;IF($F215="w","White","Black")&amp;" to move)",IF($D215=$E215,"Piece must move",IF(AND($H215&lt;&gt;"",LEFT($H215,1)=$F215),"Cannot capture your own piece",IF($O215=0,"Illegal move for that piece (or path blocked)","OK"))))))))</f>
        <v/>
      </c>
      <c r="R215" s="11" t="n">
        <f aca="false">IF($P215=1,IF(AND($K215="P",ABS($J215)=2),($D215+$E215)/2,0),$R214)</f>
        <v>0</v>
      </c>
      <c r="S215" s="12" t="b">
        <f aca="false">--OR($S214=1,AND($P215=1,OR($D215=5,$E215=5)))</f>
        <v>0</v>
      </c>
      <c r="T215" s="12" t="b">
        <f aca="false">--OR($T214=1,AND($P215=1,OR($D215=1,$E215=1)))</f>
        <v>0</v>
      </c>
      <c r="U215" s="12" t="b">
        <f aca="false">--OR($U214=1,AND($P215=1,OR($D215=8,$E215=8)))</f>
        <v>0</v>
      </c>
      <c r="V215" s="12" t="b">
        <f aca="false">--OR($V214=1,AND($P215=1,OR($D215=61,$E215=61)))</f>
        <v>0</v>
      </c>
      <c r="W215" s="12" t="b">
        <f aca="false">--OR($W214=1,AND($P215=1,OR($D215=57,$E215=57)))</f>
        <v>0</v>
      </c>
      <c r="X215" s="12" t="b">
        <f aca="false">--OR($X214=1,AND($P215=1,OR($D215=64,$E215=64)))</f>
        <v>0</v>
      </c>
      <c r="Y215" s="12" t="b">
        <f aca="false">--AND($P215=1,$K215="K",ABS($I215)=2)</f>
        <v>0</v>
      </c>
      <c r="Z215" s="12" t="b">
        <f aca="false">--AND($P215=1,$K215="P",ABS($I215)=1,$H215="")</f>
        <v>0</v>
      </c>
      <c r="AA215" s="12" t="b">
        <f aca="false">--AND($P215=1,$K215="P",INT(($E215-1)/8)=IF($F215="w",7,0))</f>
        <v>0</v>
      </c>
      <c r="AB215" s="11" t="str">
        <f aca="false">IF(LEN($C215)&gt;=5,IF(ISNUMBER(FIND(MID($C215,5,1),"qrbn")),UPPER(MID($C215,5,1)),"Q"),"Q")</f>
        <v>Q</v>
      </c>
      <c r="AC215" s="11" t="n">
        <f aca="false">IF($Y215=1,IF($I215=2,$D215+3,$D215-4),0)</f>
        <v>0</v>
      </c>
      <c r="AD215" s="11" t="n">
        <f aca="false">IF($Y215=1,IF($I215=2,$D215+1,$D215-1),0)</f>
        <v>0</v>
      </c>
      <c r="AE215" s="11" t="n">
        <f aca="false">IF($Z215=1,$E215-8*IF($F215="w",1,-1),0)</f>
        <v>0</v>
      </c>
      <c r="AF215" s="11" t="str">
        <f aca="false">IF($B215="","",IF($P215=1,LOWER(INDEX($CV$2:$CV$13,MATCH($G215,$CU$2:$CU$13,0)))&amp;" "&amp;MID("abcdefgh",MOD($D215-1,8)+1,1)&amp;(INT(($D215-1)/8)+1)&amp;"→"&amp;MID("abcdefgh",MOD($E215-1,8)+1,1)&amp;(INT(($E215-1)/8)+1)&amp;IF(OR($H215&lt;&gt;"",$Z215=1)," ×","")&amp;IF($Y215=1," castles","")&amp;IF($Z215=1," e.p.","")&amp;IF($AA215=1," =" &amp;LOWER(INDEX($CV$2:$CV$13,MATCH($F215&amp;$AB215,$CU$2:$CU$13,0))),""),"X "&amp;$Q215))</f>
        <v/>
      </c>
      <c r="AG215" s="11"/>
      <c r="AH215" s="11" t="str">
        <f aca="false">IF($P215=0,AH214,IF(AH$3=$E215,IF($AA215=1,$F215&amp;$AB215,$G215),IF(OR(AH$3=$D215,AH$3=$AC215,AH$3=$AE215),"",IF(AH$3=$AD215,$F215&amp;"R",AH214))))</f>
        <v>wR</v>
      </c>
      <c r="AI215" s="11" t="str">
        <f aca="false">IF($P215=0,AI214,IF(AI$3=$E215,IF($AA215=1,$F215&amp;$AB215,$G215),IF(OR(AI$3=$D215,AI$3=$AC215,AI$3=$AE215),"",IF(AI$3=$AD215,$F215&amp;"R",AI214))))</f>
        <v>wN</v>
      </c>
      <c r="AJ215" s="11" t="str">
        <f aca="false">IF($P215=0,AJ214,IF(AJ$3=$E215,IF($AA215=1,$F215&amp;$AB215,$G215),IF(OR(AJ$3=$D215,AJ$3=$AC215,AJ$3=$AE215),"",IF(AJ$3=$AD215,$F215&amp;"R",AJ214))))</f>
        <v>wB</v>
      </c>
      <c r="AK215" s="11" t="str">
        <f aca="false">IF($P215=0,AK214,IF(AK$3=$E215,IF($AA215=1,$F215&amp;$AB215,$G215),IF(OR(AK$3=$D215,AK$3=$AC215,AK$3=$AE215),"",IF(AK$3=$AD215,$F215&amp;"R",AK214))))</f>
        <v>wQ</v>
      </c>
      <c r="AL215" s="11" t="str">
        <f aca="false">IF($P215=0,AL214,IF(AL$3=$E215,IF($AA215=1,$F215&amp;$AB215,$G215),IF(OR(AL$3=$D215,AL$3=$AC215,AL$3=$AE215),"",IF(AL$3=$AD215,$F215&amp;"R",AL214))))</f>
        <v>wK</v>
      </c>
      <c r="AM215" s="11" t="str">
        <f aca="false">IF($P215=0,AM214,IF(AM$3=$E215,IF($AA215=1,$F215&amp;$AB215,$G215),IF(OR(AM$3=$D215,AM$3=$AC215,AM$3=$AE215),"",IF(AM$3=$AD215,$F215&amp;"R",AM214))))</f>
        <v>wB</v>
      </c>
      <c r="AN215" s="11" t="str">
        <f aca="false">IF($P215=0,AN214,IF(AN$3=$E215,IF($AA215=1,$F215&amp;$AB215,$G215),IF(OR(AN$3=$D215,AN$3=$AC215,AN$3=$AE215),"",IF(AN$3=$AD215,$F215&amp;"R",AN214))))</f>
        <v>wN</v>
      </c>
      <c r="AO215" s="11" t="str">
        <f aca="false">IF($P215=0,AO214,IF(AO$3=$E215,IF($AA215=1,$F215&amp;$AB215,$G215),IF(OR(AO$3=$D215,AO$3=$AC215,AO$3=$AE215),"",IF(AO$3=$AD215,$F215&amp;"R",AO214))))</f>
        <v>wR</v>
      </c>
      <c r="AP215" s="11" t="str">
        <f aca="false">IF($P215=0,AP214,IF(AP$3=$E215,IF($AA215=1,$F215&amp;$AB215,$G215),IF(OR(AP$3=$D215,AP$3=$AC215,AP$3=$AE215),"",IF(AP$3=$AD215,$F215&amp;"R",AP214))))</f>
        <v>wP</v>
      </c>
      <c r="AQ215" s="11" t="str">
        <f aca="false">IF($P215=0,AQ214,IF(AQ$3=$E215,IF($AA215=1,$F215&amp;$AB215,$G215),IF(OR(AQ$3=$D215,AQ$3=$AC215,AQ$3=$AE215),"",IF(AQ$3=$AD215,$F215&amp;"R",AQ214))))</f>
        <v>wP</v>
      </c>
      <c r="AR215" s="11" t="str">
        <f aca="false">IF($P215=0,AR214,IF(AR$3=$E215,IF($AA215=1,$F215&amp;$AB215,$G215),IF(OR(AR$3=$D215,AR$3=$AC215,AR$3=$AE215),"",IF(AR$3=$AD215,$F215&amp;"R",AR214))))</f>
        <v>wP</v>
      </c>
      <c r="AS215" s="11" t="str">
        <f aca="false">IF($P215=0,AS214,IF(AS$3=$E215,IF($AA215=1,$F215&amp;$AB215,$G215),IF(OR(AS$3=$D215,AS$3=$AC215,AS$3=$AE215),"",IF(AS$3=$AD215,$F215&amp;"R",AS214))))</f>
        <v>wP</v>
      </c>
      <c r="AT215" s="11" t="str">
        <f aca="false">IF($P215=0,AT214,IF(AT$3=$E215,IF($AA215=1,$F215&amp;$AB215,$G215),IF(OR(AT$3=$D215,AT$3=$AC215,AT$3=$AE215),"",IF(AT$3=$AD215,$F215&amp;"R",AT214))))</f>
        <v>wP</v>
      </c>
      <c r="AU215" s="11" t="str">
        <f aca="false">IF($P215=0,AU214,IF(AU$3=$E215,IF($AA215=1,$F215&amp;$AB215,$G215),IF(OR(AU$3=$D215,AU$3=$AC215,AU$3=$AE215),"",IF(AU$3=$AD215,$F215&amp;"R",AU214))))</f>
        <v>wP</v>
      </c>
      <c r="AV215" s="11" t="str">
        <f aca="false">IF($P215=0,AV214,IF(AV$3=$E215,IF($AA215=1,$F215&amp;$AB215,$G215),IF(OR(AV$3=$D215,AV$3=$AC215,AV$3=$AE215),"",IF(AV$3=$AD215,$F215&amp;"R",AV214))))</f>
        <v>wP</v>
      </c>
      <c r="AW215" s="11" t="str">
        <f aca="false">IF($P215=0,AW214,IF(AW$3=$E215,IF($AA215=1,$F215&amp;$AB215,$G215),IF(OR(AW$3=$D215,AW$3=$AC215,AW$3=$AE215),"",IF(AW$3=$AD215,$F215&amp;"R",AW214))))</f>
        <v>wP</v>
      </c>
      <c r="AX215" s="11" t="str">
        <f aca="false">IF($P215=0,AX214,IF(AX$3=$E215,IF($AA215=1,$F215&amp;$AB215,$G215),IF(OR(AX$3=$D215,AX$3=$AC215,AX$3=$AE215),"",IF(AX$3=$AD215,$F215&amp;"R",AX214))))</f>
        <v/>
      </c>
      <c r="AY215" s="11" t="str">
        <f aca="false">IF($P215=0,AY214,IF(AY$3=$E215,IF($AA215=1,$F215&amp;$AB215,$G215),IF(OR(AY$3=$D215,AY$3=$AC215,AY$3=$AE215),"",IF(AY$3=$AD215,$F215&amp;"R",AY214))))</f>
        <v/>
      </c>
      <c r="AZ215" s="11" t="str">
        <f aca="false">IF($P215=0,AZ214,IF(AZ$3=$E215,IF($AA215=1,$F215&amp;$AB215,$G215),IF(OR(AZ$3=$D215,AZ$3=$AC215,AZ$3=$AE215),"",IF(AZ$3=$AD215,$F215&amp;"R",AZ214))))</f>
        <v/>
      </c>
      <c r="BA215" s="11" t="str">
        <f aca="false">IF($P215=0,BA214,IF(BA$3=$E215,IF($AA215=1,$F215&amp;$AB215,$G215),IF(OR(BA$3=$D215,BA$3=$AC215,BA$3=$AE215),"",IF(BA$3=$AD215,$F215&amp;"R",BA214))))</f>
        <v/>
      </c>
      <c r="BB215" s="11" t="str">
        <f aca="false">IF($P215=0,BB214,IF(BB$3=$E215,IF($AA215=1,$F215&amp;$AB215,$G215),IF(OR(BB$3=$D215,BB$3=$AC215,BB$3=$AE215),"",IF(BB$3=$AD215,$F215&amp;"R",BB214))))</f>
        <v/>
      </c>
      <c r="BC215" s="11" t="str">
        <f aca="false">IF($P215=0,BC214,IF(BC$3=$E215,IF($AA215=1,$F215&amp;$AB215,$G215),IF(OR(BC$3=$D215,BC$3=$AC215,BC$3=$AE215),"",IF(BC$3=$AD215,$F215&amp;"R",BC214))))</f>
        <v/>
      </c>
      <c r="BD215" s="11" t="str">
        <f aca="false">IF($P215=0,BD214,IF(BD$3=$E215,IF($AA215=1,$F215&amp;$AB215,$G215),IF(OR(BD$3=$D215,BD$3=$AC215,BD$3=$AE215),"",IF(BD$3=$AD215,$F215&amp;"R",BD214))))</f>
        <v/>
      </c>
      <c r="BE215" s="11" t="str">
        <f aca="false">IF($P215=0,BE214,IF(BE$3=$E215,IF($AA215=1,$F215&amp;$AB215,$G215),IF(OR(BE$3=$D215,BE$3=$AC215,BE$3=$AE215),"",IF(BE$3=$AD215,$F215&amp;"R",BE214))))</f>
        <v/>
      </c>
      <c r="BF215" s="11" t="str">
        <f aca="false">IF($P215=0,BF214,IF(BF$3=$E215,IF($AA215=1,$F215&amp;$AB215,$G215),IF(OR(BF$3=$D215,BF$3=$AC215,BF$3=$AE215),"",IF(BF$3=$AD215,$F215&amp;"R",BF214))))</f>
        <v/>
      </c>
      <c r="BG215" s="11" t="str">
        <f aca="false">IF($P215=0,BG214,IF(BG$3=$E215,IF($AA215=1,$F215&amp;$AB215,$G215),IF(OR(BG$3=$D215,BG$3=$AC215,BG$3=$AE215),"",IF(BG$3=$AD215,$F215&amp;"R",BG214))))</f>
        <v/>
      </c>
      <c r="BH215" s="11" t="str">
        <f aca="false">IF($P215=0,BH214,IF(BH$3=$E215,IF($AA215=1,$F215&amp;$AB215,$G215),IF(OR(BH$3=$D215,BH$3=$AC215,BH$3=$AE215),"",IF(BH$3=$AD215,$F215&amp;"R",BH214))))</f>
        <v/>
      </c>
      <c r="BI215" s="11" t="str">
        <f aca="false">IF($P215=0,BI214,IF(BI$3=$E215,IF($AA215=1,$F215&amp;$AB215,$G215),IF(OR(BI$3=$D215,BI$3=$AC215,BI$3=$AE215),"",IF(BI$3=$AD215,$F215&amp;"R",BI214))))</f>
        <v/>
      </c>
      <c r="BJ215" s="11" t="str">
        <f aca="false">IF($P215=0,BJ214,IF(BJ$3=$E215,IF($AA215=1,$F215&amp;$AB215,$G215),IF(OR(BJ$3=$D215,BJ$3=$AC215,BJ$3=$AE215),"",IF(BJ$3=$AD215,$F215&amp;"R",BJ214))))</f>
        <v/>
      </c>
      <c r="BK215" s="11" t="str">
        <f aca="false">IF($P215=0,BK214,IF(BK$3=$E215,IF($AA215=1,$F215&amp;$AB215,$G215),IF(OR(BK$3=$D215,BK$3=$AC215,BK$3=$AE215),"",IF(BK$3=$AD215,$F215&amp;"R",BK214))))</f>
        <v/>
      </c>
      <c r="BL215" s="11" t="str">
        <f aca="false">IF($P215=0,BL214,IF(BL$3=$E215,IF($AA215=1,$F215&amp;$AB215,$G215),IF(OR(BL$3=$D215,BL$3=$AC215,BL$3=$AE215),"",IF(BL$3=$AD215,$F215&amp;"R",BL214))))</f>
        <v/>
      </c>
      <c r="BM215" s="11" t="str">
        <f aca="false">IF($P215=0,BM214,IF(BM$3=$E215,IF($AA215=1,$F215&amp;$AB215,$G215),IF(OR(BM$3=$D215,BM$3=$AC215,BM$3=$AE215),"",IF(BM$3=$AD215,$F215&amp;"R",BM214))))</f>
        <v/>
      </c>
      <c r="BN215" s="11" t="str">
        <f aca="false">IF($P215=0,BN214,IF(BN$3=$E215,IF($AA215=1,$F215&amp;$AB215,$G215),IF(OR(BN$3=$D215,BN$3=$AC215,BN$3=$AE215),"",IF(BN$3=$AD215,$F215&amp;"R",BN214))))</f>
        <v/>
      </c>
      <c r="BO215" s="11" t="str">
        <f aca="false">IF($P215=0,BO214,IF(BO$3=$E215,IF($AA215=1,$F215&amp;$AB215,$G215),IF(OR(BO$3=$D215,BO$3=$AC215,BO$3=$AE215),"",IF(BO$3=$AD215,$F215&amp;"R",BO214))))</f>
        <v/>
      </c>
      <c r="BP215" s="11" t="str">
        <f aca="false">IF($P215=0,BP214,IF(BP$3=$E215,IF($AA215=1,$F215&amp;$AB215,$G215),IF(OR(BP$3=$D215,BP$3=$AC215,BP$3=$AE215),"",IF(BP$3=$AD215,$F215&amp;"R",BP214))))</f>
        <v/>
      </c>
      <c r="BQ215" s="11" t="str">
        <f aca="false">IF($P215=0,BQ214,IF(BQ$3=$E215,IF($AA215=1,$F215&amp;$AB215,$G215),IF(OR(BQ$3=$D215,BQ$3=$AC215,BQ$3=$AE215),"",IF(BQ$3=$AD215,$F215&amp;"R",BQ214))))</f>
        <v/>
      </c>
      <c r="BR215" s="11" t="str">
        <f aca="false">IF($P215=0,BR214,IF(BR$3=$E215,IF($AA215=1,$F215&amp;$AB215,$G215),IF(OR(BR$3=$D215,BR$3=$AC215,BR$3=$AE215),"",IF(BR$3=$AD215,$F215&amp;"R",BR214))))</f>
        <v/>
      </c>
      <c r="BS215" s="11" t="str">
        <f aca="false">IF($P215=0,BS214,IF(BS$3=$E215,IF($AA215=1,$F215&amp;$AB215,$G215),IF(OR(BS$3=$D215,BS$3=$AC215,BS$3=$AE215),"",IF(BS$3=$AD215,$F215&amp;"R",BS214))))</f>
        <v/>
      </c>
      <c r="BT215" s="11" t="str">
        <f aca="false">IF($P215=0,BT214,IF(BT$3=$E215,IF($AA215=1,$F215&amp;$AB215,$G215),IF(OR(BT$3=$D215,BT$3=$AC215,BT$3=$AE215),"",IF(BT$3=$AD215,$F215&amp;"R",BT214))))</f>
        <v/>
      </c>
      <c r="BU215" s="11" t="str">
        <f aca="false">IF($P215=0,BU214,IF(BU$3=$E215,IF($AA215=1,$F215&amp;$AB215,$G215),IF(OR(BU$3=$D215,BU$3=$AC215,BU$3=$AE215),"",IF(BU$3=$AD215,$F215&amp;"R",BU214))))</f>
        <v/>
      </c>
      <c r="BV215" s="11" t="str">
        <f aca="false">IF($P215=0,BV214,IF(BV$3=$E215,IF($AA215=1,$F215&amp;$AB215,$G215),IF(OR(BV$3=$D215,BV$3=$AC215,BV$3=$AE215),"",IF(BV$3=$AD215,$F215&amp;"R",BV214))))</f>
        <v/>
      </c>
      <c r="BW215" s="11" t="str">
        <f aca="false">IF($P215=0,BW214,IF(BW$3=$E215,IF($AA215=1,$F215&amp;$AB215,$G215),IF(OR(BW$3=$D215,BW$3=$AC215,BW$3=$AE215),"",IF(BW$3=$AD215,$F215&amp;"R",BW214))))</f>
        <v/>
      </c>
      <c r="BX215" s="11" t="str">
        <f aca="false">IF($P215=0,BX214,IF(BX$3=$E215,IF($AA215=1,$F215&amp;$AB215,$G215),IF(OR(BX$3=$D215,BX$3=$AC215,BX$3=$AE215),"",IF(BX$3=$AD215,$F215&amp;"R",BX214))))</f>
        <v/>
      </c>
      <c r="BY215" s="11" t="str">
        <f aca="false">IF($P215=0,BY214,IF(BY$3=$E215,IF($AA215=1,$F215&amp;$AB215,$G215),IF(OR(BY$3=$D215,BY$3=$AC215,BY$3=$AE215),"",IF(BY$3=$AD215,$F215&amp;"R",BY214))))</f>
        <v/>
      </c>
      <c r="BZ215" s="11" t="str">
        <f aca="false">IF($P215=0,BZ214,IF(BZ$3=$E215,IF($AA215=1,$F215&amp;$AB215,$G215),IF(OR(BZ$3=$D215,BZ$3=$AC215,BZ$3=$AE215),"",IF(BZ$3=$AD215,$F215&amp;"R",BZ214))))</f>
        <v/>
      </c>
      <c r="CA215" s="11" t="str">
        <f aca="false">IF($P215=0,CA214,IF(CA$3=$E215,IF($AA215=1,$F215&amp;$AB215,$G215),IF(OR(CA$3=$D215,CA$3=$AC215,CA$3=$AE215),"",IF(CA$3=$AD215,$F215&amp;"R",CA214))))</f>
        <v/>
      </c>
      <c r="CB215" s="11" t="str">
        <f aca="false">IF($P215=0,CB214,IF(CB$3=$E215,IF($AA215=1,$F215&amp;$AB215,$G215),IF(OR(CB$3=$D215,CB$3=$AC215,CB$3=$AE215),"",IF(CB$3=$AD215,$F215&amp;"R",CB214))))</f>
        <v/>
      </c>
      <c r="CC215" s="11" t="str">
        <f aca="false">IF($P215=0,CC214,IF(CC$3=$E215,IF($AA215=1,$F215&amp;$AB215,$G215),IF(OR(CC$3=$D215,CC$3=$AC215,CC$3=$AE215),"",IF(CC$3=$AD215,$F215&amp;"R",CC214))))</f>
        <v/>
      </c>
      <c r="CD215" s="11" t="str">
        <f aca="false">IF($P215=0,CD214,IF(CD$3=$E215,IF($AA215=1,$F215&amp;$AB215,$G215),IF(OR(CD$3=$D215,CD$3=$AC215,CD$3=$AE215),"",IF(CD$3=$AD215,$F215&amp;"R",CD214))))</f>
        <v>bP</v>
      </c>
      <c r="CE215" s="11" t="str">
        <f aca="false">IF($P215=0,CE214,IF(CE$3=$E215,IF($AA215=1,$F215&amp;$AB215,$G215),IF(OR(CE$3=$D215,CE$3=$AC215,CE$3=$AE215),"",IF(CE$3=$AD215,$F215&amp;"R",CE214))))</f>
        <v>bP</v>
      </c>
      <c r="CF215" s="11" t="str">
        <f aca="false">IF($P215=0,CF214,IF(CF$3=$E215,IF($AA215=1,$F215&amp;$AB215,$G215),IF(OR(CF$3=$D215,CF$3=$AC215,CF$3=$AE215),"",IF(CF$3=$AD215,$F215&amp;"R",CF214))))</f>
        <v>bP</v>
      </c>
      <c r="CG215" s="11" t="str">
        <f aca="false">IF($P215=0,CG214,IF(CG$3=$E215,IF($AA215=1,$F215&amp;$AB215,$G215),IF(OR(CG$3=$D215,CG$3=$AC215,CG$3=$AE215),"",IF(CG$3=$AD215,$F215&amp;"R",CG214))))</f>
        <v>bP</v>
      </c>
      <c r="CH215" s="11" t="str">
        <f aca="false">IF($P215=0,CH214,IF(CH$3=$E215,IF($AA215=1,$F215&amp;$AB215,$G215),IF(OR(CH$3=$D215,CH$3=$AC215,CH$3=$AE215),"",IF(CH$3=$AD215,$F215&amp;"R",CH214))))</f>
        <v>bP</v>
      </c>
      <c r="CI215" s="11" t="str">
        <f aca="false">IF($P215=0,CI214,IF(CI$3=$E215,IF($AA215=1,$F215&amp;$AB215,$G215),IF(OR(CI$3=$D215,CI$3=$AC215,CI$3=$AE215),"",IF(CI$3=$AD215,$F215&amp;"R",CI214))))</f>
        <v>bP</v>
      </c>
      <c r="CJ215" s="11" t="str">
        <f aca="false">IF($P215=0,CJ214,IF(CJ$3=$E215,IF($AA215=1,$F215&amp;$AB215,$G215),IF(OR(CJ$3=$D215,CJ$3=$AC215,CJ$3=$AE215),"",IF(CJ$3=$AD215,$F215&amp;"R",CJ214))))</f>
        <v>bP</v>
      </c>
      <c r="CK215" s="11" t="str">
        <f aca="false">IF($P215=0,CK214,IF(CK$3=$E215,IF($AA215=1,$F215&amp;$AB215,$G215),IF(OR(CK$3=$D215,CK$3=$AC215,CK$3=$AE215),"",IF(CK$3=$AD215,$F215&amp;"R",CK214))))</f>
        <v>bP</v>
      </c>
      <c r="CL215" s="11" t="str">
        <f aca="false">IF($P215=0,CL214,IF(CL$3=$E215,IF($AA215=1,$F215&amp;$AB215,$G215),IF(OR(CL$3=$D215,CL$3=$AC215,CL$3=$AE215),"",IF(CL$3=$AD215,$F215&amp;"R",CL214))))</f>
        <v>bR</v>
      </c>
      <c r="CM215" s="11" t="str">
        <f aca="false">IF($P215=0,CM214,IF(CM$3=$E215,IF($AA215=1,$F215&amp;$AB215,$G215),IF(OR(CM$3=$D215,CM$3=$AC215,CM$3=$AE215),"",IF(CM$3=$AD215,$F215&amp;"R",CM214))))</f>
        <v>bN</v>
      </c>
      <c r="CN215" s="11" t="str">
        <f aca="false">IF($P215=0,CN214,IF(CN$3=$E215,IF($AA215=1,$F215&amp;$AB215,$G215),IF(OR(CN$3=$D215,CN$3=$AC215,CN$3=$AE215),"",IF(CN$3=$AD215,$F215&amp;"R",CN214))))</f>
        <v>bB</v>
      </c>
      <c r="CO215" s="11" t="str">
        <f aca="false">IF($P215=0,CO214,IF(CO$3=$E215,IF($AA215=1,$F215&amp;$AB215,$G215),IF(OR(CO$3=$D215,CO$3=$AC215,CO$3=$AE215),"",IF(CO$3=$AD215,$F215&amp;"R",CO214))))</f>
        <v>bQ</v>
      </c>
      <c r="CP215" s="11" t="str">
        <f aca="false">IF($P215=0,CP214,IF(CP$3=$E215,IF($AA215=1,$F215&amp;$AB215,$G215),IF(OR(CP$3=$D215,CP$3=$AC215,CP$3=$AE215),"",IF(CP$3=$AD215,$F215&amp;"R",CP214))))</f>
        <v>bK</v>
      </c>
      <c r="CQ215" s="11" t="str">
        <f aca="false">IF($P215=0,CQ214,IF(CQ$3=$E215,IF($AA215=1,$F215&amp;$AB215,$G215),IF(OR(CQ$3=$D215,CQ$3=$AC215,CQ$3=$AE215),"",IF(CQ$3=$AD215,$F215&amp;"R",CQ214))))</f>
        <v>bB</v>
      </c>
      <c r="CR215" s="11" t="str">
        <f aca="false">IF($P215=0,CR214,IF(CR$3=$E215,IF($AA215=1,$F215&amp;$AB215,$G215),IF(OR(CR$3=$D215,CR$3=$AC215,CR$3=$AE215),"",IF(CR$3=$AD215,$F215&amp;"R",CR214))))</f>
        <v>bN</v>
      </c>
      <c r="CS215" s="11" t="str">
        <f aca="false">IF($P215=0,CS214,IF(CS$3=$E215,IF($AA215=1,$F215&amp;$AB215,$G215),IF(OR(CS$3=$D215,CS$3=$AC215,CS$3=$AE215),"",IF(CS$3=$AD215,$F215&amp;"R",CS214))))</f>
        <v>bR</v>
      </c>
      <c r="CT215" s="11"/>
      <c r="CU215" s="11"/>
      <c r="CV215" s="11"/>
    </row>
    <row r="216" customFormat="false" ht="15" hidden="false" customHeight="false" outlineLevel="0" collapsed="false">
      <c r="A216" s="11" t="n">
        <v>211</v>
      </c>
      <c r="B216" s="11" t="str">
        <f aca="false">IF(Chess!$L$220="","",Chess!$L$220&amp;"")</f>
        <v/>
      </c>
      <c r="C216" s="11" t="str">
        <f aca="false">LOWER(SUBSTITUTE(SUBSTITUTE(SUBSTITUTE(SUBSTITUTE(TRIM($B216),"-",""),"=","")," ",""),"x",""))</f>
        <v/>
      </c>
      <c r="D216" s="11" t="n">
        <f aca="false">IF(LEN($C216)&lt;4,0,IFERROR(IF(AND(CODE(MID($C216,1,1))&gt;=97,CODE(MID($C216,1,1))&lt;=104,VALUE(MID($C216,2,1))&gt;=1,VALUE(MID($C216,2,1))&lt;=8),(VALUE(MID($C216,2,1))-1)*8+CODE(MID($C216,1,1))-96,0),0))</f>
        <v>0</v>
      </c>
      <c r="E216" s="11" t="n">
        <f aca="false">IF(LEN($C216)&lt;4,0,IFERROR(IF(AND(CODE(MID($C216,3,1))&gt;=97,CODE(MID($C216,3,1))&lt;=104,VALUE(MID($C216,4,1))&gt;=1,VALUE(MID($C216,4,1))&lt;=8),(VALUE(MID($C216,4,1))-1)*8+CODE(MID($C216,3,1))-96,0),0))</f>
        <v>0</v>
      </c>
      <c r="F216" s="11" t="str">
        <f aca="false">IF(MOD(SUM($P$5:$P215),2)=0,"w","b")</f>
        <v>w</v>
      </c>
      <c r="G216" s="11" t="str">
        <f aca="false">IF($D216=0,"",INDEX($AH215:$CS215,1,$D216)&amp;"")</f>
        <v/>
      </c>
      <c r="H216" s="11" t="str">
        <f aca="false">IF($E216=0,"",INDEX($AH215:$CS215,1,$E216)&amp;"")</f>
        <v/>
      </c>
      <c r="I216" s="11" t="n">
        <f aca="false">IF(OR($D216=0,$E216=0),0,MOD($E216-1,8)-MOD($D216-1,8))</f>
        <v>0</v>
      </c>
      <c r="J216" s="11" t="n">
        <f aca="false">IF(OR($D216=0,$E216=0),0,INT(($E216-1)/8)-INT(($D216-1)/8))</f>
        <v>0</v>
      </c>
      <c r="K216" s="11" t="str">
        <f aca="false">IF($G216="","",RIGHT($G216,1))</f>
        <v/>
      </c>
      <c r="L216" s="11" t="n">
        <f aca="false">IF(OR($D216=0,$E216=0),0,SUMPRODUCT(($AH$3:$CS$3&gt;MIN($D216,$E216))*($AH$3:$CS$3&lt;MAX($D216,$E216))*(MOD($AH$3:$CS$3-MIN($D216,$E216),MAX(1,ABS(SIGN($J216)*8+SIGN($I216))))=0)*($AH215:$CS215&lt;&gt;"")))</f>
        <v>0</v>
      </c>
      <c r="M216" s="11" t="n">
        <f aca="false">IF($K216&lt;&gt;"K",0,IFERROR(--AND($J216=0,ABS($I216)=2,$D216=IF($F216="w",5,61),IF($F216="w",$S215,$V215)=0,IF($I216=2,AND(IF($F216="w",$U215,$X215)=0,INDEX($AH215:$CS215,1,$D216+1)&amp;""="",INDEX($AH215:$CS215,1,$D216+2)&amp;""=""),AND(IF($F216="w",$T215,$W215)=0,INDEX($AH215:$CS215,1,$D216-1)&amp;""="",INDEX($AH215:$CS215,1,$D216-2)&amp;""="",INDEX($AH215:$CS215,1,$D216-3)&amp;""=""))),0))</f>
        <v>0</v>
      </c>
      <c r="N216" s="11" t="n">
        <f aca="false">IF($K216&lt;&gt;"P",0,IFERROR(--OR(AND($I216=0,$J216=IF($F216="w",1,-1),$H216=""),AND($I216=0,$J216=2*IF($F216="w",1,-1),$H216="",INT(($D216-1)/8)=IF($F216="w",1,6),INDEX($AH215:$CS215,1,MAX(1,MIN(64,$D216+8*IF($F216="w",1,-1))))&amp;""=""),AND(ABS($I216)=1,$J216=IF($F216="w",1,-1),$H216&lt;&gt;""),AND(ABS($I216)=1,$J216=IF($F216="w",1,-1),$H216="",$R215&gt;0,$E216=$R215)),0))</f>
        <v>0</v>
      </c>
      <c r="O216" s="11" t="n">
        <f aca="false">IF(OR($D216=0,$E216=0,$G216=""),0,IF($K216="N",--OR(AND(ABS($I216)=1,ABS($J216)=2),AND(ABS($I216)=2,ABS($J216)=1)),IF($K216="B",--AND(ABS($I216)=ABS($J216),$I216&lt;&gt;0,$L216=0),IF($K216="R",--AND(OR($I216=0,$J216=0),OR($I216&lt;&gt;0,$J216&lt;&gt;0),$L216=0),IF($K216="Q",--AND(OR(AND(ABS($I216)=ABS($J216),$I216&lt;&gt;0),AND(OR($I216=0,$J216=0),OR($I216&lt;&gt;0,$J216&lt;&gt;0))),$L216=0),IF($K216="K",--OR(MAX(ABS($I216),ABS($J216))=1,$M216=1),$N216))))))</f>
        <v>0</v>
      </c>
      <c r="P216" s="11" t="n">
        <f aca="false">IF($Q216="OK",1,0)</f>
        <v>0</v>
      </c>
      <c r="Q216" s="11" t="str">
        <f aca="false">IF($B216="","",IF(OR(COUNTIF($AH215:$CS215,"wK")=0,COUNTIF($AH215:$CS215,"bK")=0),"Game is over",IF(OR($D216=0,$E216=0),"Use the format e2e4",IF($G216="","No piece on that square",IF(LEFT($G216,1)&lt;&gt;$F216,"Not your piece ("&amp;IF($F216="w","White","Black")&amp;" to move)",IF($D216=$E216,"Piece must move",IF(AND($H216&lt;&gt;"",LEFT($H216,1)=$F216),"Cannot capture your own piece",IF($O216=0,"Illegal move for that piece (or path blocked)","OK"))))))))</f>
        <v/>
      </c>
      <c r="R216" s="11" t="n">
        <f aca="false">IF($P216=1,IF(AND($K216="P",ABS($J216)=2),($D216+$E216)/2,0),$R215)</f>
        <v>0</v>
      </c>
      <c r="S216" s="12" t="b">
        <f aca="false">--OR($S215=1,AND($P216=1,OR($D216=5,$E216=5)))</f>
        <v>0</v>
      </c>
      <c r="T216" s="12" t="b">
        <f aca="false">--OR($T215=1,AND($P216=1,OR($D216=1,$E216=1)))</f>
        <v>0</v>
      </c>
      <c r="U216" s="12" t="b">
        <f aca="false">--OR($U215=1,AND($P216=1,OR($D216=8,$E216=8)))</f>
        <v>0</v>
      </c>
      <c r="V216" s="12" t="b">
        <f aca="false">--OR($V215=1,AND($P216=1,OR($D216=61,$E216=61)))</f>
        <v>0</v>
      </c>
      <c r="W216" s="12" t="b">
        <f aca="false">--OR($W215=1,AND($P216=1,OR($D216=57,$E216=57)))</f>
        <v>0</v>
      </c>
      <c r="X216" s="12" t="b">
        <f aca="false">--OR($X215=1,AND($P216=1,OR($D216=64,$E216=64)))</f>
        <v>0</v>
      </c>
      <c r="Y216" s="12" t="b">
        <f aca="false">--AND($P216=1,$K216="K",ABS($I216)=2)</f>
        <v>0</v>
      </c>
      <c r="Z216" s="12" t="b">
        <f aca="false">--AND($P216=1,$K216="P",ABS($I216)=1,$H216="")</f>
        <v>0</v>
      </c>
      <c r="AA216" s="12" t="b">
        <f aca="false">--AND($P216=1,$K216="P",INT(($E216-1)/8)=IF($F216="w",7,0))</f>
        <v>0</v>
      </c>
      <c r="AB216" s="11" t="str">
        <f aca="false">IF(LEN($C216)&gt;=5,IF(ISNUMBER(FIND(MID($C216,5,1),"qrbn")),UPPER(MID($C216,5,1)),"Q"),"Q")</f>
        <v>Q</v>
      </c>
      <c r="AC216" s="11" t="n">
        <f aca="false">IF($Y216=1,IF($I216=2,$D216+3,$D216-4),0)</f>
        <v>0</v>
      </c>
      <c r="AD216" s="11" t="n">
        <f aca="false">IF($Y216=1,IF($I216=2,$D216+1,$D216-1),0)</f>
        <v>0</v>
      </c>
      <c r="AE216" s="11" t="n">
        <f aca="false">IF($Z216=1,$E216-8*IF($F216="w",1,-1),0)</f>
        <v>0</v>
      </c>
      <c r="AF216" s="11" t="str">
        <f aca="false">IF($B216="","",IF($P216=1,LOWER(INDEX($CV$2:$CV$13,MATCH($G216,$CU$2:$CU$13,0)))&amp;" "&amp;MID("abcdefgh",MOD($D216-1,8)+1,1)&amp;(INT(($D216-1)/8)+1)&amp;"→"&amp;MID("abcdefgh",MOD($E216-1,8)+1,1)&amp;(INT(($E216-1)/8)+1)&amp;IF(OR($H216&lt;&gt;"",$Z216=1)," ×","")&amp;IF($Y216=1," castles","")&amp;IF($Z216=1," e.p.","")&amp;IF($AA216=1," =" &amp;LOWER(INDEX($CV$2:$CV$13,MATCH($F216&amp;$AB216,$CU$2:$CU$13,0))),""),"X "&amp;$Q216))</f>
        <v/>
      </c>
      <c r="AG216" s="11"/>
      <c r="AH216" s="11" t="str">
        <f aca="false">IF($P216=0,AH215,IF(AH$3=$E216,IF($AA216=1,$F216&amp;$AB216,$G216),IF(OR(AH$3=$D216,AH$3=$AC216,AH$3=$AE216),"",IF(AH$3=$AD216,$F216&amp;"R",AH215))))</f>
        <v>wR</v>
      </c>
      <c r="AI216" s="11" t="str">
        <f aca="false">IF($P216=0,AI215,IF(AI$3=$E216,IF($AA216=1,$F216&amp;$AB216,$G216),IF(OR(AI$3=$D216,AI$3=$AC216,AI$3=$AE216),"",IF(AI$3=$AD216,$F216&amp;"R",AI215))))</f>
        <v>wN</v>
      </c>
      <c r="AJ216" s="11" t="str">
        <f aca="false">IF($P216=0,AJ215,IF(AJ$3=$E216,IF($AA216=1,$F216&amp;$AB216,$G216),IF(OR(AJ$3=$D216,AJ$3=$AC216,AJ$3=$AE216),"",IF(AJ$3=$AD216,$F216&amp;"R",AJ215))))</f>
        <v>wB</v>
      </c>
      <c r="AK216" s="11" t="str">
        <f aca="false">IF($P216=0,AK215,IF(AK$3=$E216,IF($AA216=1,$F216&amp;$AB216,$G216),IF(OR(AK$3=$D216,AK$3=$AC216,AK$3=$AE216),"",IF(AK$3=$AD216,$F216&amp;"R",AK215))))</f>
        <v>wQ</v>
      </c>
      <c r="AL216" s="11" t="str">
        <f aca="false">IF($P216=0,AL215,IF(AL$3=$E216,IF($AA216=1,$F216&amp;$AB216,$G216),IF(OR(AL$3=$D216,AL$3=$AC216,AL$3=$AE216),"",IF(AL$3=$AD216,$F216&amp;"R",AL215))))</f>
        <v>wK</v>
      </c>
      <c r="AM216" s="11" t="str">
        <f aca="false">IF($P216=0,AM215,IF(AM$3=$E216,IF($AA216=1,$F216&amp;$AB216,$G216),IF(OR(AM$3=$D216,AM$3=$AC216,AM$3=$AE216),"",IF(AM$3=$AD216,$F216&amp;"R",AM215))))</f>
        <v>wB</v>
      </c>
      <c r="AN216" s="11" t="str">
        <f aca="false">IF($P216=0,AN215,IF(AN$3=$E216,IF($AA216=1,$F216&amp;$AB216,$G216),IF(OR(AN$3=$D216,AN$3=$AC216,AN$3=$AE216),"",IF(AN$3=$AD216,$F216&amp;"R",AN215))))</f>
        <v>wN</v>
      </c>
      <c r="AO216" s="11" t="str">
        <f aca="false">IF($P216=0,AO215,IF(AO$3=$E216,IF($AA216=1,$F216&amp;$AB216,$G216),IF(OR(AO$3=$D216,AO$3=$AC216,AO$3=$AE216),"",IF(AO$3=$AD216,$F216&amp;"R",AO215))))</f>
        <v>wR</v>
      </c>
      <c r="AP216" s="11" t="str">
        <f aca="false">IF($P216=0,AP215,IF(AP$3=$E216,IF($AA216=1,$F216&amp;$AB216,$G216),IF(OR(AP$3=$D216,AP$3=$AC216,AP$3=$AE216),"",IF(AP$3=$AD216,$F216&amp;"R",AP215))))</f>
        <v>wP</v>
      </c>
      <c r="AQ216" s="11" t="str">
        <f aca="false">IF($P216=0,AQ215,IF(AQ$3=$E216,IF($AA216=1,$F216&amp;$AB216,$G216),IF(OR(AQ$3=$D216,AQ$3=$AC216,AQ$3=$AE216),"",IF(AQ$3=$AD216,$F216&amp;"R",AQ215))))</f>
        <v>wP</v>
      </c>
      <c r="AR216" s="11" t="str">
        <f aca="false">IF($P216=0,AR215,IF(AR$3=$E216,IF($AA216=1,$F216&amp;$AB216,$G216),IF(OR(AR$3=$D216,AR$3=$AC216,AR$3=$AE216),"",IF(AR$3=$AD216,$F216&amp;"R",AR215))))</f>
        <v>wP</v>
      </c>
      <c r="AS216" s="11" t="str">
        <f aca="false">IF($P216=0,AS215,IF(AS$3=$E216,IF($AA216=1,$F216&amp;$AB216,$G216),IF(OR(AS$3=$D216,AS$3=$AC216,AS$3=$AE216),"",IF(AS$3=$AD216,$F216&amp;"R",AS215))))</f>
        <v>wP</v>
      </c>
      <c r="AT216" s="11" t="str">
        <f aca="false">IF($P216=0,AT215,IF(AT$3=$E216,IF($AA216=1,$F216&amp;$AB216,$G216),IF(OR(AT$3=$D216,AT$3=$AC216,AT$3=$AE216),"",IF(AT$3=$AD216,$F216&amp;"R",AT215))))</f>
        <v>wP</v>
      </c>
      <c r="AU216" s="11" t="str">
        <f aca="false">IF($P216=0,AU215,IF(AU$3=$E216,IF($AA216=1,$F216&amp;$AB216,$G216),IF(OR(AU$3=$D216,AU$3=$AC216,AU$3=$AE216),"",IF(AU$3=$AD216,$F216&amp;"R",AU215))))</f>
        <v>wP</v>
      </c>
      <c r="AV216" s="11" t="str">
        <f aca="false">IF($P216=0,AV215,IF(AV$3=$E216,IF($AA216=1,$F216&amp;$AB216,$G216),IF(OR(AV$3=$D216,AV$3=$AC216,AV$3=$AE216),"",IF(AV$3=$AD216,$F216&amp;"R",AV215))))</f>
        <v>wP</v>
      </c>
      <c r="AW216" s="11" t="str">
        <f aca="false">IF($P216=0,AW215,IF(AW$3=$E216,IF($AA216=1,$F216&amp;$AB216,$G216),IF(OR(AW$3=$D216,AW$3=$AC216,AW$3=$AE216),"",IF(AW$3=$AD216,$F216&amp;"R",AW215))))</f>
        <v>wP</v>
      </c>
      <c r="AX216" s="11" t="str">
        <f aca="false">IF($P216=0,AX215,IF(AX$3=$E216,IF($AA216=1,$F216&amp;$AB216,$G216),IF(OR(AX$3=$D216,AX$3=$AC216,AX$3=$AE216),"",IF(AX$3=$AD216,$F216&amp;"R",AX215))))</f>
        <v/>
      </c>
      <c r="AY216" s="11" t="str">
        <f aca="false">IF($P216=0,AY215,IF(AY$3=$E216,IF($AA216=1,$F216&amp;$AB216,$G216),IF(OR(AY$3=$D216,AY$3=$AC216,AY$3=$AE216),"",IF(AY$3=$AD216,$F216&amp;"R",AY215))))</f>
        <v/>
      </c>
      <c r="AZ216" s="11" t="str">
        <f aca="false">IF($P216=0,AZ215,IF(AZ$3=$E216,IF($AA216=1,$F216&amp;$AB216,$G216),IF(OR(AZ$3=$D216,AZ$3=$AC216,AZ$3=$AE216),"",IF(AZ$3=$AD216,$F216&amp;"R",AZ215))))</f>
        <v/>
      </c>
      <c r="BA216" s="11" t="str">
        <f aca="false">IF($P216=0,BA215,IF(BA$3=$E216,IF($AA216=1,$F216&amp;$AB216,$G216),IF(OR(BA$3=$D216,BA$3=$AC216,BA$3=$AE216),"",IF(BA$3=$AD216,$F216&amp;"R",BA215))))</f>
        <v/>
      </c>
      <c r="BB216" s="11" t="str">
        <f aca="false">IF($P216=0,BB215,IF(BB$3=$E216,IF($AA216=1,$F216&amp;$AB216,$G216),IF(OR(BB$3=$D216,BB$3=$AC216,BB$3=$AE216),"",IF(BB$3=$AD216,$F216&amp;"R",BB215))))</f>
        <v/>
      </c>
      <c r="BC216" s="11" t="str">
        <f aca="false">IF($P216=0,BC215,IF(BC$3=$E216,IF($AA216=1,$F216&amp;$AB216,$G216),IF(OR(BC$3=$D216,BC$3=$AC216,BC$3=$AE216),"",IF(BC$3=$AD216,$F216&amp;"R",BC215))))</f>
        <v/>
      </c>
      <c r="BD216" s="11" t="str">
        <f aca="false">IF($P216=0,BD215,IF(BD$3=$E216,IF($AA216=1,$F216&amp;$AB216,$G216),IF(OR(BD$3=$D216,BD$3=$AC216,BD$3=$AE216),"",IF(BD$3=$AD216,$F216&amp;"R",BD215))))</f>
        <v/>
      </c>
      <c r="BE216" s="11" t="str">
        <f aca="false">IF($P216=0,BE215,IF(BE$3=$E216,IF($AA216=1,$F216&amp;$AB216,$G216),IF(OR(BE$3=$D216,BE$3=$AC216,BE$3=$AE216),"",IF(BE$3=$AD216,$F216&amp;"R",BE215))))</f>
        <v/>
      </c>
      <c r="BF216" s="11" t="str">
        <f aca="false">IF($P216=0,BF215,IF(BF$3=$E216,IF($AA216=1,$F216&amp;$AB216,$G216),IF(OR(BF$3=$D216,BF$3=$AC216,BF$3=$AE216),"",IF(BF$3=$AD216,$F216&amp;"R",BF215))))</f>
        <v/>
      </c>
      <c r="BG216" s="11" t="str">
        <f aca="false">IF($P216=0,BG215,IF(BG$3=$E216,IF($AA216=1,$F216&amp;$AB216,$G216),IF(OR(BG$3=$D216,BG$3=$AC216,BG$3=$AE216),"",IF(BG$3=$AD216,$F216&amp;"R",BG215))))</f>
        <v/>
      </c>
      <c r="BH216" s="11" t="str">
        <f aca="false">IF($P216=0,BH215,IF(BH$3=$E216,IF($AA216=1,$F216&amp;$AB216,$G216),IF(OR(BH$3=$D216,BH$3=$AC216,BH$3=$AE216),"",IF(BH$3=$AD216,$F216&amp;"R",BH215))))</f>
        <v/>
      </c>
      <c r="BI216" s="11" t="str">
        <f aca="false">IF($P216=0,BI215,IF(BI$3=$E216,IF($AA216=1,$F216&amp;$AB216,$G216),IF(OR(BI$3=$D216,BI$3=$AC216,BI$3=$AE216),"",IF(BI$3=$AD216,$F216&amp;"R",BI215))))</f>
        <v/>
      </c>
      <c r="BJ216" s="11" t="str">
        <f aca="false">IF($P216=0,BJ215,IF(BJ$3=$E216,IF($AA216=1,$F216&amp;$AB216,$G216),IF(OR(BJ$3=$D216,BJ$3=$AC216,BJ$3=$AE216),"",IF(BJ$3=$AD216,$F216&amp;"R",BJ215))))</f>
        <v/>
      </c>
      <c r="BK216" s="11" t="str">
        <f aca="false">IF($P216=0,BK215,IF(BK$3=$E216,IF($AA216=1,$F216&amp;$AB216,$G216),IF(OR(BK$3=$D216,BK$3=$AC216,BK$3=$AE216),"",IF(BK$3=$AD216,$F216&amp;"R",BK215))))</f>
        <v/>
      </c>
      <c r="BL216" s="11" t="str">
        <f aca="false">IF($P216=0,BL215,IF(BL$3=$E216,IF($AA216=1,$F216&amp;$AB216,$G216),IF(OR(BL$3=$D216,BL$3=$AC216,BL$3=$AE216),"",IF(BL$3=$AD216,$F216&amp;"R",BL215))))</f>
        <v/>
      </c>
      <c r="BM216" s="11" t="str">
        <f aca="false">IF($P216=0,BM215,IF(BM$3=$E216,IF($AA216=1,$F216&amp;$AB216,$G216),IF(OR(BM$3=$D216,BM$3=$AC216,BM$3=$AE216),"",IF(BM$3=$AD216,$F216&amp;"R",BM215))))</f>
        <v/>
      </c>
      <c r="BN216" s="11" t="str">
        <f aca="false">IF($P216=0,BN215,IF(BN$3=$E216,IF($AA216=1,$F216&amp;$AB216,$G216),IF(OR(BN$3=$D216,BN$3=$AC216,BN$3=$AE216),"",IF(BN$3=$AD216,$F216&amp;"R",BN215))))</f>
        <v/>
      </c>
      <c r="BO216" s="11" t="str">
        <f aca="false">IF($P216=0,BO215,IF(BO$3=$E216,IF($AA216=1,$F216&amp;$AB216,$G216),IF(OR(BO$3=$D216,BO$3=$AC216,BO$3=$AE216),"",IF(BO$3=$AD216,$F216&amp;"R",BO215))))</f>
        <v/>
      </c>
      <c r="BP216" s="11" t="str">
        <f aca="false">IF($P216=0,BP215,IF(BP$3=$E216,IF($AA216=1,$F216&amp;$AB216,$G216),IF(OR(BP$3=$D216,BP$3=$AC216,BP$3=$AE216),"",IF(BP$3=$AD216,$F216&amp;"R",BP215))))</f>
        <v/>
      </c>
      <c r="BQ216" s="11" t="str">
        <f aca="false">IF($P216=0,BQ215,IF(BQ$3=$E216,IF($AA216=1,$F216&amp;$AB216,$G216),IF(OR(BQ$3=$D216,BQ$3=$AC216,BQ$3=$AE216),"",IF(BQ$3=$AD216,$F216&amp;"R",BQ215))))</f>
        <v/>
      </c>
      <c r="BR216" s="11" t="str">
        <f aca="false">IF($P216=0,BR215,IF(BR$3=$E216,IF($AA216=1,$F216&amp;$AB216,$G216),IF(OR(BR$3=$D216,BR$3=$AC216,BR$3=$AE216),"",IF(BR$3=$AD216,$F216&amp;"R",BR215))))</f>
        <v/>
      </c>
      <c r="BS216" s="11" t="str">
        <f aca="false">IF($P216=0,BS215,IF(BS$3=$E216,IF($AA216=1,$F216&amp;$AB216,$G216),IF(OR(BS$3=$D216,BS$3=$AC216,BS$3=$AE216),"",IF(BS$3=$AD216,$F216&amp;"R",BS215))))</f>
        <v/>
      </c>
      <c r="BT216" s="11" t="str">
        <f aca="false">IF($P216=0,BT215,IF(BT$3=$E216,IF($AA216=1,$F216&amp;$AB216,$G216),IF(OR(BT$3=$D216,BT$3=$AC216,BT$3=$AE216),"",IF(BT$3=$AD216,$F216&amp;"R",BT215))))</f>
        <v/>
      </c>
      <c r="BU216" s="11" t="str">
        <f aca="false">IF($P216=0,BU215,IF(BU$3=$E216,IF($AA216=1,$F216&amp;$AB216,$G216),IF(OR(BU$3=$D216,BU$3=$AC216,BU$3=$AE216),"",IF(BU$3=$AD216,$F216&amp;"R",BU215))))</f>
        <v/>
      </c>
      <c r="BV216" s="11" t="str">
        <f aca="false">IF($P216=0,BV215,IF(BV$3=$E216,IF($AA216=1,$F216&amp;$AB216,$G216),IF(OR(BV$3=$D216,BV$3=$AC216,BV$3=$AE216),"",IF(BV$3=$AD216,$F216&amp;"R",BV215))))</f>
        <v/>
      </c>
      <c r="BW216" s="11" t="str">
        <f aca="false">IF($P216=0,BW215,IF(BW$3=$E216,IF($AA216=1,$F216&amp;$AB216,$G216),IF(OR(BW$3=$D216,BW$3=$AC216,BW$3=$AE216),"",IF(BW$3=$AD216,$F216&amp;"R",BW215))))</f>
        <v/>
      </c>
      <c r="BX216" s="11" t="str">
        <f aca="false">IF($P216=0,BX215,IF(BX$3=$E216,IF($AA216=1,$F216&amp;$AB216,$G216),IF(OR(BX$3=$D216,BX$3=$AC216,BX$3=$AE216),"",IF(BX$3=$AD216,$F216&amp;"R",BX215))))</f>
        <v/>
      </c>
      <c r="BY216" s="11" t="str">
        <f aca="false">IF($P216=0,BY215,IF(BY$3=$E216,IF($AA216=1,$F216&amp;$AB216,$G216),IF(OR(BY$3=$D216,BY$3=$AC216,BY$3=$AE216),"",IF(BY$3=$AD216,$F216&amp;"R",BY215))))</f>
        <v/>
      </c>
      <c r="BZ216" s="11" t="str">
        <f aca="false">IF($P216=0,BZ215,IF(BZ$3=$E216,IF($AA216=1,$F216&amp;$AB216,$G216),IF(OR(BZ$3=$D216,BZ$3=$AC216,BZ$3=$AE216),"",IF(BZ$3=$AD216,$F216&amp;"R",BZ215))))</f>
        <v/>
      </c>
      <c r="CA216" s="11" t="str">
        <f aca="false">IF($P216=0,CA215,IF(CA$3=$E216,IF($AA216=1,$F216&amp;$AB216,$G216),IF(OR(CA$3=$D216,CA$3=$AC216,CA$3=$AE216),"",IF(CA$3=$AD216,$F216&amp;"R",CA215))))</f>
        <v/>
      </c>
      <c r="CB216" s="11" t="str">
        <f aca="false">IF($P216=0,CB215,IF(CB$3=$E216,IF($AA216=1,$F216&amp;$AB216,$G216),IF(OR(CB$3=$D216,CB$3=$AC216,CB$3=$AE216),"",IF(CB$3=$AD216,$F216&amp;"R",CB215))))</f>
        <v/>
      </c>
      <c r="CC216" s="11" t="str">
        <f aca="false">IF($P216=0,CC215,IF(CC$3=$E216,IF($AA216=1,$F216&amp;$AB216,$G216),IF(OR(CC$3=$D216,CC$3=$AC216,CC$3=$AE216),"",IF(CC$3=$AD216,$F216&amp;"R",CC215))))</f>
        <v/>
      </c>
      <c r="CD216" s="11" t="str">
        <f aca="false">IF($P216=0,CD215,IF(CD$3=$E216,IF($AA216=1,$F216&amp;$AB216,$G216),IF(OR(CD$3=$D216,CD$3=$AC216,CD$3=$AE216),"",IF(CD$3=$AD216,$F216&amp;"R",CD215))))</f>
        <v>bP</v>
      </c>
      <c r="CE216" s="11" t="str">
        <f aca="false">IF($P216=0,CE215,IF(CE$3=$E216,IF($AA216=1,$F216&amp;$AB216,$G216),IF(OR(CE$3=$D216,CE$3=$AC216,CE$3=$AE216),"",IF(CE$3=$AD216,$F216&amp;"R",CE215))))</f>
        <v>bP</v>
      </c>
      <c r="CF216" s="11" t="str">
        <f aca="false">IF($P216=0,CF215,IF(CF$3=$E216,IF($AA216=1,$F216&amp;$AB216,$G216),IF(OR(CF$3=$D216,CF$3=$AC216,CF$3=$AE216),"",IF(CF$3=$AD216,$F216&amp;"R",CF215))))</f>
        <v>bP</v>
      </c>
      <c r="CG216" s="11" t="str">
        <f aca="false">IF($P216=0,CG215,IF(CG$3=$E216,IF($AA216=1,$F216&amp;$AB216,$G216),IF(OR(CG$3=$D216,CG$3=$AC216,CG$3=$AE216),"",IF(CG$3=$AD216,$F216&amp;"R",CG215))))</f>
        <v>bP</v>
      </c>
      <c r="CH216" s="11" t="str">
        <f aca="false">IF($P216=0,CH215,IF(CH$3=$E216,IF($AA216=1,$F216&amp;$AB216,$G216),IF(OR(CH$3=$D216,CH$3=$AC216,CH$3=$AE216),"",IF(CH$3=$AD216,$F216&amp;"R",CH215))))</f>
        <v>bP</v>
      </c>
      <c r="CI216" s="11" t="str">
        <f aca="false">IF($P216=0,CI215,IF(CI$3=$E216,IF($AA216=1,$F216&amp;$AB216,$G216),IF(OR(CI$3=$D216,CI$3=$AC216,CI$3=$AE216),"",IF(CI$3=$AD216,$F216&amp;"R",CI215))))</f>
        <v>bP</v>
      </c>
      <c r="CJ216" s="11" t="str">
        <f aca="false">IF($P216=0,CJ215,IF(CJ$3=$E216,IF($AA216=1,$F216&amp;$AB216,$G216),IF(OR(CJ$3=$D216,CJ$3=$AC216,CJ$3=$AE216),"",IF(CJ$3=$AD216,$F216&amp;"R",CJ215))))</f>
        <v>bP</v>
      </c>
      <c r="CK216" s="11" t="str">
        <f aca="false">IF($P216=0,CK215,IF(CK$3=$E216,IF($AA216=1,$F216&amp;$AB216,$G216),IF(OR(CK$3=$D216,CK$3=$AC216,CK$3=$AE216),"",IF(CK$3=$AD216,$F216&amp;"R",CK215))))</f>
        <v>bP</v>
      </c>
      <c r="CL216" s="11" t="str">
        <f aca="false">IF($P216=0,CL215,IF(CL$3=$E216,IF($AA216=1,$F216&amp;$AB216,$G216),IF(OR(CL$3=$D216,CL$3=$AC216,CL$3=$AE216),"",IF(CL$3=$AD216,$F216&amp;"R",CL215))))</f>
        <v>bR</v>
      </c>
      <c r="CM216" s="11" t="str">
        <f aca="false">IF($P216=0,CM215,IF(CM$3=$E216,IF($AA216=1,$F216&amp;$AB216,$G216),IF(OR(CM$3=$D216,CM$3=$AC216,CM$3=$AE216),"",IF(CM$3=$AD216,$F216&amp;"R",CM215))))</f>
        <v>bN</v>
      </c>
      <c r="CN216" s="11" t="str">
        <f aca="false">IF($P216=0,CN215,IF(CN$3=$E216,IF($AA216=1,$F216&amp;$AB216,$G216),IF(OR(CN$3=$D216,CN$3=$AC216,CN$3=$AE216),"",IF(CN$3=$AD216,$F216&amp;"R",CN215))))</f>
        <v>bB</v>
      </c>
      <c r="CO216" s="11" t="str">
        <f aca="false">IF($P216=0,CO215,IF(CO$3=$E216,IF($AA216=1,$F216&amp;$AB216,$G216),IF(OR(CO$3=$D216,CO$3=$AC216,CO$3=$AE216),"",IF(CO$3=$AD216,$F216&amp;"R",CO215))))</f>
        <v>bQ</v>
      </c>
      <c r="CP216" s="11" t="str">
        <f aca="false">IF($P216=0,CP215,IF(CP$3=$E216,IF($AA216=1,$F216&amp;$AB216,$G216),IF(OR(CP$3=$D216,CP$3=$AC216,CP$3=$AE216),"",IF(CP$3=$AD216,$F216&amp;"R",CP215))))</f>
        <v>bK</v>
      </c>
      <c r="CQ216" s="11" t="str">
        <f aca="false">IF($P216=0,CQ215,IF(CQ$3=$E216,IF($AA216=1,$F216&amp;$AB216,$G216),IF(OR(CQ$3=$D216,CQ$3=$AC216,CQ$3=$AE216),"",IF(CQ$3=$AD216,$F216&amp;"R",CQ215))))</f>
        <v>bB</v>
      </c>
      <c r="CR216" s="11" t="str">
        <f aca="false">IF($P216=0,CR215,IF(CR$3=$E216,IF($AA216=1,$F216&amp;$AB216,$G216),IF(OR(CR$3=$D216,CR$3=$AC216,CR$3=$AE216),"",IF(CR$3=$AD216,$F216&amp;"R",CR215))))</f>
        <v>bN</v>
      </c>
      <c r="CS216" s="11" t="str">
        <f aca="false">IF($P216=0,CS215,IF(CS$3=$E216,IF($AA216=1,$F216&amp;$AB216,$G216),IF(OR(CS$3=$D216,CS$3=$AC216,CS$3=$AE216),"",IF(CS$3=$AD216,$F216&amp;"R",CS215))))</f>
        <v>bR</v>
      </c>
      <c r="CT216" s="11"/>
      <c r="CU216" s="11"/>
      <c r="CV216" s="11"/>
    </row>
    <row r="217" customFormat="false" ht="15" hidden="false" customHeight="false" outlineLevel="0" collapsed="false">
      <c r="A217" s="11" t="n">
        <v>212</v>
      </c>
      <c r="B217" s="11" t="str">
        <f aca="false">IF(Chess!$L$221="","",Chess!$L$221&amp;"")</f>
        <v/>
      </c>
      <c r="C217" s="11" t="str">
        <f aca="false">LOWER(SUBSTITUTE(SUBSTITUTE(SUBSTITUTE(SUBSTITUTE(TRIM($B217),"-",""),"=","")," ",""),"x",""))</f>
        <v/>
      </c>
      <c r="D217" s="11" t="n">
        <f aca="false">IF(LEN($C217)&lt;4,0,IFERROR(IF(AND(CODE(MID($C217,1,1))&gt;=97,CODE(MID($C217,1,1))&lt;=104,VALUE(MID($C217,2,1))&gt;=1,VALUE(MID($C217,2,1))&lt;=8),(VALUE(MID($C217,2,1))-1)*8+CODE(MID($C217,1,1))-96,0),0))</f>
        <v>0</v>
      </c>
      <c r="E217" s="11" t="n">
        <f aca="false">IF(LEN($C217)&lt;4,0,IFERROR(IF(AND(CODE(MID($C217,3,1))&gt;=97,CODE(MID($C217,3,1))&lt;=104,VALUE(MID($C217,4,1))&gt;=1,VALUE(MID($C217,4,1))&lt;=8),(VALUE(MID($C217,4,1))-1)*8+CODE(MID($C217,3,1))-96,0),0))</f>
        <v>0</v>
      </c>
      <c r="F217" s="11" t="str">
        <f aca="false">IF(MOD(SUM($P$5:$P216),2)=0,"w","b")</f>
        <v>w</v>
      </c>
      <c r="G217" s="11" t="str">
        <f aca="false">IF($D217=0,"",INDEX($AH216:$CS216,1,$D217)&amp;"")</f>
        <v/>
      </c>
      <c r="H217" s="11" t="str">
        <f aca="false">IF($E217=0,"",INDEX($AH216:$CS216,1,$E217)&amp;"")</f>
        <v/>
      </c>
      <c r="I217" s="11" t="n">
        <f aca="false">IF(OR($D217=0,$E217=0),0,MOD($E217-1,8)-MOD($D217-1,8))</f>
        <v>0</v>
      </c>
      <c r="J217" s="11" t="n">
        <f aca="false">IF(OR($D217=0,$E217=0),0,INT(($E217-1)/8)-INT(($D217-1)/8))</f>
        <v>0</v>
      </c>
      <c r="K217" s="11" t="str">
        <f aca="false">IF($G217="","",RIGHT($G217,1))</f>
        <v/>
      </c>
      <c r="L217" s="11" t="n">
        <f aca="false">IF(OR($D217=0,$E217=0),0,SUMPRODUCT(($AH$3:$CS$3&gt;MIN($D217,$E217))*($AH$3:$CS$3&lt;MAX($D217,$E217))*(MOD($AH$3:$CS$3-MIN($D217,$E217),MAX(1,ABS(SIGN($J217)*8+SIGN($I217))))=0)*($AH216:$CS216&lt;&gt;"")))</f>
        <v>0</v>
      </c>
      <c r="M217" s="11" t="n">
        <f aca="false">IF($K217&lt;&gt;"K",0,IFERROR(--AND($J217=0,ABS($I217)=2,$D217=IF($F217="w",5,61),IF($F217="w",$S216,$V216)=0,IF($I217=2,AND(IF($F217="w",$U216,$X216)=0,INDEX($AH216:$CS216,1,$D217+1)&amp;""="",INDEX($AH216:$CS216,1,$D217+2)&amp;""=""),AND(IF($F217="w",$T216,$W216)=0,INDEX($AH216:$CS216,1,$D217-1)&amp;""="",INDEX($AH216:$CS216,1,$D217-2)&amp;""="",INDEX($AH216:$CS216,1,$D217-3)&amp;""=""))),0))</f>
        <v>0</v>
      </c>
      <c r="N217" s="11" t="n">
        <f aca="false">IF($K217&lt;&gt;"P",0,IFERROR(--OR(AND($I217=0,$J217=IF($F217="w",1,-1),$H217=""),AND($I217=0,$J217=2*IF($F217="w",1,-1),$H217="",INT(($D217-1)/8)=IF($F217="w",1,6),INDEX($AH216:$CS216,1,MAX(1,MIN(64,$D217+8*IF($F217="w",1,-1))))&amp;""=""),AND(ABS($I217)=1,$J217=IF($F217="w",1,-1),$H217&lt;&gt;""),AND(ABS($I217)=1,$J217=IF($F217="w",1,-1),$H217="",$R216&gt;0,$E217=$R216)),0))</f>
        <v>0</v>
      </c>
      <c r="O217" s="11" t="n">
        <f aca="false">IF(OR($D217=0,$E217=0,$G217=""),0,IF($K217="N",--OR(AND(ABS($I217)=1,ABS($J217)=2),AND(ABS($I217)=2,ABS($J217)=1)),IF($K217="B",--AND(ABS($I217)=ABS($J217),$I217&lt;&gt;0,$L217=0),IF($K217="R",--AND(OR($I217=0,$J217=0),OR($I217&lt;&gt;0,$J217&lt;&gt;0),$L217=0),IF($K217="Q",--AND(OR(AND(ABS($I217)=ABS($J217),$I217&lt;&gt;0),AND(OR($I217=0,$J217=0),OR($I217&lt;&gt;0,$J217&lt;&gt;0))),$L217=0),IF($K217="K",--OR(MAX(ABS($I217),ABS($J217))=1,$M217=1),$N217))))))</f>
        <v>0</v>
      </c>
      <c r="P217" s="11" t="n">
        <f aca="false">IF($Q217="OK",1,0)</f>
        <v>0</v>
      </c>
      <c r="Q217" s="11" t="str">
        <f aca="false">IF($B217="","",IF(OR(COUNTIF($AH216:$CS216,"wK")=0,COUNTIF($AH216:$CS216,"bK")=0),"Game is over",IF(OR($D217=0,$E217=0),"Use the format e2e4",IF($G217="","No piece on that square",IF(LEFT($G217,1)&lt;&gt;$F217,"Not your piece ("&amp;IF($F217="w","White","Black")&amp;" to move)",IF($D217=$E217,"Piece must move",IF(AND($H217&lt;&gt;"",LEFT($H217,1)=$F217),"Cannot capture your own piece",IF($O217=0,"Illegal move for that piece (or path blocked)","OK"))))))))</f>
        <v/>
      </c>
      <c r="R217" s="11" t="n">
        <f aca="false">IF($P217=1,IF(AND($K217="P",ABS($J217)=2),($D217+$E217)/2,0),$R216)</f>
        <v>0</v>
      </c>
      <c r="S217" s="12" t="b">
        <f aca="false">--OR($S216=1,AND($P217=1,OR($D217=5,$E217=5)))</f>
        <v>0</v>
      </c>
      <c r="T217" s="12" t="b">
        <f aca="false">--OR($T216=1,AND($P217=1,OR($D217=1,$E217=1)))</f>
        <v>0</v>
      </c>
      <c r="U217" s="12" t="b">
        <f aca="false">--OR($U216=1,AND($P217=1,OR($D217=8,$E217=8)))</f>
        <v>0</v>
      </c>
      <c r="V217" s="12" t="b">
        <f aca="false">--OR($V216=1,AND($P217=1,OR($D217=61,$E217=61)))</f>
        <v>0</v>
      </c>
      <c r="W217" s="12" t="b">
        <f aca="false">--OR($W216=1,AND($P217=1,OR($D217=57,$E217=57)))</f>
        <v>0</v>
      </c>
      <c r="X217" s="12" t="b">
        <f aca="false">--OR($X216=1,AND($P217=1,OR($D217=64,$E217=64)))</f>
        <v>0</v>
      </c>
      <c r="Y217" s="12" t="b">
        <f aca="false">--AND($P217=1,$K217="K",ABS($I217)=2)</f>
        <v>0</v>
      </c>
      <c r="Z217" s="12" t="b">
        <f aca="false">--AND($P217=1,$K217="P",ABS($I217)=1,$H217="")</f>
        <v>0</v>
      </c>
      <c r="AA217" s="12" t="b">
        <f aca="false">--AND($P217=1,$K217="P",INT(($E217-1)/8)=IF($F217="w",7,0))</f>
        <v>0</v>
      </c>
      <c r="AB217" s="11" t="str">
        <f aca="false">IF(LEN($C217)&gt;=5,IF(ISNUMBER(FIND(MID($C217,5,1),"qrbn")),UPPER(MID($C217,5,1)),"Q"),"Q")</f>
        <v>Q</v>
      </c>
      <c r="AC217" s="11" t="n">
        <f aca="false">IF($Y217=1,IF($I217=2,$D217+3,$D217-4),0)</f>
        <v>0</v>
      </c>
      <c r="AD217" s="11" t="n">
        <f aca="false">IF($Y217=1,IF($I217=2,$D217+1,$D217-1),0)</f>
        <v>0</v>
      </c>
      <c r="AE217" s="11" t="n">
        <f aca="false">IF($Z217=1,$E217-8*IF($F217="w",1,-1),0)</f>
        <v>0</v>
      </c>
      <c r="AF217" s="11" t="str">
        <f aca="false">IF($B217="","",IF($P217=1,LOWER(INDEX($CV$2:$CV$13,MATCH($G217,$CU$2:$CU$13,0)))&amp;" "&amp;MID("abcdefgh",MOD($D217-1,8)+1,1)&amp;(INT(($D217-1)/8)+1)&amp;"→"&amp;MID("abcdefgh",MOD($E217-1,8)+1,1)&amp;(INT(($E217-1)/8)+1)&amp;IF(OR($H217&lt;&gt;"",$Z217=1)," ×","")&amp;IF($Y217=1," castles","")&amp;IF($Z217=1," e.p.","")&amp;IF($AA217=1," =" &amp;LOWER(INDEX($CV$2:$CV$13,MATCH($F217&amp;$AB217,$CU$2:$CU$13,0))),""),"X "&amp;$Q217))</f>
        <v/>
      </c>
      <c r="AG217" s="11"/>
      <c r="AH217" s="11" t="str">
        <f aca="false">IF($P217=0,AH216,IF(AH$3=$E217,IF($AA217=1,$F217&amp;$AB217,$G217),IF(OR(AH$3=$D217,AH$3=$AC217,AH$3=$AE217),"",IF(AH$3=$AD217,$F217&amp;"R",AH216))))</f>
        <v>wR</v>
      </c>
      <c r="AI217" s="11" t="str">
        <f aca="false">IF($P217=0,AI216,IF(AI$3=$E217,IF($AA217=1,$F217&amp;$AB217,$G217),IF(OR(AI$3=$D217,AI$3=$AC217,AI$3=$AE217),"",IF(AI$3=$AD217,$F217&amp;"R",AI216))))</f>
        <v>wN</v>
      </c>
      <c r="AJ217" s="11" t="str">
        <f aca="false">IF($P217=0,AJ216,IF(AJ$3=$E217,IF($AA217=1,$F217&amp;$AB217,$G217),IF(OR(AJ$3=$D217,AJ$3=$AC217,AJ$3=$AE217),"",IF(AJ$3=$AD217,$F217&amp;"R",AJ216))))</f>
        <v>wB</v>
      </c>
      <c r="AK217" s="11" t="str">
        <f aca="false">IF($P217=0,AK216,IF(AK$3=$E217,IF($AA217=1,$F217&amp;$AB217,$G217),IF(OR(AK$3=$D217,AK$3=$AC217,AK$3=$AE217),"",IF(AK$3=$AD217,$F217&amp;"R",AK216))))</f>
        <v>wQ</v>
      </c>
      <c r="AL217" s="11" t="str">
        <f aca="false">IF($P217=0,AL216,IF(AL$3=$E217,IF($AA217=1,$F217&amp;$AB217,$G217),IF(OR(AL$3=$D217,AL$3=$AC217,AL$3=$AE217),"",IF(AL$3=$AD217,$F217&amp;"R",AL216))))</f>
        <v>wK</v>
      </c>
      <c r="AM217" s="11" t="str">
        <f aca="false">IF($P217=0,AM216,IF(AM$3=$E217,IF($AA217=1,$F217&amp;$AB217,$G217),IF(OR(AM$3=$D217,AM$3=$AC217,AM$3=$AE217),"",IF(AM$3=$AD217,$F217&amp;"R",AM216))))</f>
        <v>wB</v>
      </c>
      <c r="AN217" s="11" t="str">
        <f aca="false">IF($P217=0,AN216,IF(AN$3=$E217,IF($AA217=1,$F217&amp;$AB217,$G217),IF(OR(AN$3=$D217,AN$3=$AC217,AN$3=$AE217),"",IF(AN$3=$AD217,$F217&amp;"R",AN216))))</f>
        <v>wN</v>
      </c>
      <c r="AO217" s="11" t="str">
        <f aca="false">IF($P217=0,AO216,IF(AO$3=$E217,IF($AA217=1,$F217&amp;$AB217,$G217),IF(OR(AO$3=$D217,AO$3=$AC217,AO$3=$AE217),"",IF(AO$3=$AD217,$F217&amp;"R",AO216))))</f>
        <v>wR</v>
      </c>
      <c r="AP217" s="11" t="str">
        <f aca="false">IF($P217=0,AP216,IF(AP$3=$E217,IF($AA217=1,$F217&amp;$AB217,$G217),IF(OR(AP$3=$D217,AP$3=$AC217,AP$3=$AE217),"",IF(AP$3=$AD217,$F217&amp;"R",AP216))))</f>
        <v>wP</v>
      </c>
      <c r="AQ217" s="11" t="str">
        <f aca="false">IF($P217=0,AQ216,IF(AQ$3=$E217,IF($AA217=1,$F217&amp;$AB217,$G217),IF(OR(AQ$3=$D217,AQ$3=$AC217,AQ$3=$AE217),"",IF(AQ$3=$AD217,$F217&amp;"R",AQ216))))</f>
        <v>wP</v>
      </c>
      <c r="AR217" s="11" t="str">
        <f aca="false">IF($P217=0,AR216,IF(AR$3=$E217,IF($AA217=1,$F217&amp;$AB217,$G217),IF(OR(AR$3=$D217,AR$3=$AC217,AR$3=$AE217),"",IF(AR$3=$AD217,$F217&amp;"R",AR216))))</f>
        <v>wP</v>
      </c>
      <c r="AS217" s="11" t="str">
        <f aca="false">IF($P217=0,AS216,IF(AS$3=$E217,IF($AA217=1,$F217&amp;$AB217,$G217),IF(OR(AS$3=$D217,AS$3=$AC217,AS$3=$AE217),"",IF(AS$3=$AD217,$F217&amp;"R",AS216))))</f>
        <v>wP</v>
      </c>
      <c r="AT217" s="11" t="str">
        <f aca="false">IF($P217=0,AT216,IF(AT$3=$E217,IF($AA217=1,$F217&amp;$AB217,$G217),IF(OR(AT$3=$D217,AT$3=$AC217,AT$3=$AE217),"",IF(AT$3=$AD217,$F217&amp;"R",AT216))))</f>
        <v>wP</v>
      </c>
      <c r="AU217" s="11" t="str">
        <f aca="false">IF($P217=0,AU216,IF(AU$3=$E217,IF($AA217=1,$F217&amp;$AB217,$G217),IF(OR(AU$3=$D217,AU$3=$AC217,AU$3=$AE217),"",IF(AU$3=$AD217,$F217&amp;"R",AU216))))</f>
        <v>wP</v>
      </c>
      <c r="AV217" s="11" t="str">
        <f aca="false">IF($P217=0,AV216,IF(AV$3=$E217,IF($AA217=1,$F217&amp;$AB217,$G217),IF(OR(AV$3=$D217,AV$3=$AC217,AV$3=$AE217),"",IF(AV$3=$AD217,$F217&amp;"R",AV216))))</f>
        <v>wP</v>
      </c>
      <c r="AW217" s="11" t="str">
        <f aca="false">IF($P217=0,AW216,IF(AW$3=$E217,IF($AA217=1,$F217&amp;$AB217,$G217),IF(OR(AW$3=$D217,AW$3=$AC217,AW$3=$AE217),"",IF(AW$3=$AD217,$F217&amp;"R",AW216))))</f>
        <v>wP</v>
      </c>
      <c r="AX217" s="11" t="str">
        <f aca="false">IF($P217=0,AX216,IF(AX$3=$E217,IF($AA217=1,$F217&amp;$AB217,$G217),IF(OR(AX$3=$D217,AX$3=$AC217,AX$3=$AE217),"",IF(AX$3=$AD217,$F217&amp;"R",AX216))))</f>
        <v/>
      </c>
      <c r="AY217" s="11" t="str">
        <f aca="false">IF($P217=0,AY216,IF(AY$3=$E217,IF($AA217=1,$F217&amp;$AB217,$G217),IF(OR(AY$3=$D217,AY$3=$AC217,AY$3=$AE217),"",IF(AY$3=$AD217,$F217&amp;"R",AY216))))</f>
        <v/>
      </c>
      <c r="AZ217" s="11" t="str">
        <f aca="false">IF($P217=0,AZ216,IF(AZ$3=$E217,IF($AA217=1,$F217&amp;$AB217,$G217),IF(OR(AZ$3=$D217,AZ$3=$AC217,AZ$3=$AE217),"",IF(AZ$3=$AD217,$F217&amp;"R",AZ216))))</f>
        <v/>
      </c>
      <c r="BA217" s="11" t="str">
        <f aca="false">IF($P217=0,BA216,IF(BA$3=$E217,IF($AA217=1,$F217&amp;$AB217,$G217),IF(OR(BA$3=$D217,BA$3=$AC217,BA$3=$AE217),"",IF(BA$3=$AD217,$F217&amp;"R",BA216))))</f>
        <v/>
      </c>
      <c r="BB217" s="11" t="str">
        <f aca="false">IF($P217=0,BB216,IF(BB$3=$E217,IF($AA217=1,$F217&amp;$AB217,$G217),IF(OR(BB$3=$D217,BB$3=$AC217,BB$3=$AE217),"",IF(BB$3=$AD217,$F217&amp;"R",BB216))))</f>
        <v/>
      </c>
      <c r="BC217" s="11" t="str">
        <f aca="false">IF($P217=0,BC216,IF(BC$3=$E217,IF($AA217=1,$F217&amp;$AB217,$G217),IF(OR(BC$3=$D217,BC$3=$AC217,BC$3=$AE217),"",IF(BC$3=$AD217,$F217&amp;"R",BC216))))</f>
        <v/>
      </c>
      <c r="BD217" s="11" t="str">
        <f aca="false">IF($P217=0,BD216,IF(BD$3=$E217,IF($AA217=1,$F217&amp;$AB217,$G217),IF(OR(BD$3=$D217,BD$3=$AC217,BD$3=$AE217),"",IF(BD$3=$AD217,$F217&amp;"R",BD216))))</f>
        <v/>
      </c>
      <c r="BE217" s="11" t="str">
        <f aca="false">IF($P217=0,BE216,IF(BE$3=$E217,IF($AA217=1,$F217&amp;$AB217,$G217),IF(OR(BE$3=$D217,BE$3=$AC217,BE$3=$AE217),"",IF(BE$3=$AD217,$F217&amp;"R",BE216))))</f>
        <v/>
      </c>
      <c r="BF217" s="11" t="str">
        <f aca="false">IF($P217=0,BF216,IF(BF$3=$E217,IF($AA217=1,$F217&amp;$AB217,$G217),IF(OR(BF$3=$D217,BF$3=$AC217,BF$3=$AE217),"",IF(BF$3=$AD217,$F217&amp;"R",BF216))))</f>
        <v/>
      </c>
      <c r="BG217" s="11" t="str">
        <f aca="false">IF($P217=0,BG216,IF(BG$3=$E217,IF($AA217=1,$F217&amp;$AB217,$G217),IF(OR(BG$3=$D217,BG$3=$AC217,BG$3=$AE217),"",IF(BG$3=$AD217,$F217&amp;"R",BG216))))</f>
        <v/>
      </c>
      <c r="BH217" s="11" t="str">
        <f aca="false">IF($P217=0,BH216,IF(BH$3=$E217,IF($AA217=1,$F217&amp;$AB217,$G217),IF(OR(BH$3=$D217,BH$3=$AC217,BH$3=$AE217),"",IF(BH$3=$AD217,$F217&amp;"R",BH216))))</f>
        <v/>
      </c>
      <c r="BI217" s="11" t="str">
        <f aca="false">IF($P217=0,BI216,IF(BI$3=$E217,IF($AA217=1,$F217&amp;$AB217,$G217),IF(OR(BI$3=$D217,BI$3=$AC217,BI$3=$AE217),"",IF(BI$3=$AD217,$F217&amp;"R",BI216))))</f>
        <v/>
      </c>
      <c r="BJ217" s="11" t="str">
        <f aca="false">IF($P217=0,BJ216,IF(BJ$3=$E217,IF($AA217=1,$F217&amp;$AB217,$G217),IF(OR(BJ$3=$D217,BJ$3=$AC217,BJ$3=$AE217),"",IF(BJ$3=$AD217,$F217&amp;"R",BJ216))))</f>
        <v/>
      </c>
      <c r="BK217" s="11" t="str">
        <f aca="false">IF($P217=0,BK216,IF(BK$3=$E217,IF($AA217=1,$F217&amp;$AB217,$G217),IF(OR(BK$3=$D217,BK$3=$AC217,BK$3=$AE217),"",IF(BK$3=$AD217,$F217&amp;"R",BK216))))</f>
        <v/>
      </c>
      <c r="BL217" s="11" t="str">
        <f aca="false">IF($P217=0,BL216,IF(BL$3=$E217,IF($AA217=1,$F217&amp;$AB217,$G217),IF(OR(BL$3=$D217,BL$3=$AC217,BL$3=$AE217),"",IF(BL$3=$AD217,$F217&amp;"R",BL216))))</f>
        <v/>
      </c>
      <c r="BM217" s="11" t="str">
        <f aca="false">IF($P217=0,BM216,IF(BM$3=$E217,IF($AA217=1,$F217&amp;$AB217,$G217),IF(OR(BM$3=$D217,BM$3=$AC217,BM$3=$AE217),"",IF(BM$3=$AD217,$F217&amp;"R",BM216))))</f>
        <v/>
      </c>
      <c r="BN217" s="11" t="str">
        <f aca="false">IF($P217=0,BN216,IF(BN$3=$E217,IF($AA217=1,$F217&amp;$AB217,$G217),IF(OR(BN$3=$D217,BN$3=$AC217,BN$3=$AE217),"",IF(BN$3=$AD217,$F217&amp;"R",BN216))))</f>
        <v/>
      </c>
      <c r="BO217" s="11" t="str">
        <f aca="false">IF($P217=0,BO216,IF(BO$3=$E217,IF($AA217=1,$F217&amp;$AB217,$G217),IF(OR(BO$3=$D217,BO$3=$AC217,BO$3=$AE217),"",IF(BO$3=$AD217,$F217&amp;"R",BO216))))</f>
        <v/>
      </c>
      <c r="BP217" s="11" t="str">
        <f aca="false">IF($P217=0,BP216,IF(BP$3=$E217,IF($AA217=1,$F217&amp;$AB217,$G217),IF(OR(BP$3=$D217,BP$3=$AC217,BP$3=$AE217),"",IF(BP$3=$AD217,$F217&amp;"R",BP216))))</f>
        <v/>
      </c>
      <c r="BQ217" s="11" t="str">
        <f aca="false">IF($P217=0,BQ216,IF(BQ$3=$E217,IF($AA217=1,$F217&amp;$AB217,$G217),IF(OR(BQ$3=$D217,BQ$3=$AC217,BQ$3=$AE217),"",IF(BQ$3=$AD217,$F217&amp;"R",BQ216))))</f>
        <v/>
      </c>
      <c r="BR217" s="11" t="str">
        <f aca="false">IF($P217=0,BR216,IF(BR$3=$E217,IF($AA217=1,$F217&amp;$AB217,$G217),IF(OR(BR$3=$D217,BR$3=$AC217,BR$3=$AE217),"",IF(BR$3=$AD217,$F217&amp;"R",BR216))))</f>
        <v/>
      </c>
      <c r="BS217" s="11" t="str">
        <f aca="false">IF($P217=0,BS216,IF(BS$3=$E217,IF($AA217=1,$F217&amp;$AB217,$G217),IF(OR(BS$3=$D217,BS$3=$AC217,BS$3=$AE217),"",IF(BS$3=$AD217,$F217&amp;"R",BS216))))</f>
        <v/>
      </c>
      <c r="BT217" s="11" t="str">
        <f aca="false">IF($P217=0,BT216,IF(BT$3=$E217,IF($AA217=1,$F217&amp;$AB217,$G217),IF(OR(BT$3=$D217,BT$3=$AC217,BT$3=$AE217),"",IF(BT$3=$AD217,$F217&amp;"R",BT216))))</f>
        <v/>
      </c>
      <c r="BU217" s="11" t="str">
        <f aca="false">IF($P217=0,BU216,IF(BU$3=$E217,IF($AA217=1,$F217&amp;$AB217,$G217),IF(OR(BU$3=$D217,BU$3=$AC217,BU$3=$AE217),"",IF(BU$3=$AD217,$F217&amp;"R",BU216))))</f>
        <v/>
      </c>
      <c r="BV217" s="11" t="str">
        <f aca="false">IF($P217=0,BV216,IF(BV$3=$E217,IF($AA217=1,$F217&amp;$AB217,$G217),IF(OR(BV$3=$D217,BV$3=$AC217,BV$3=$AE217),"",IF(BV$3=$AD217,$F217&amp;"R",BV216))))</f>
        <v/>
      </c>
      <c r="BW217" s="11" t="str">
        <f aca="false">IF($P217=0,BW216,IF(BW$3=$E217,IF($AA217=1,$F217&amp;$AB217,$G217),IF(OR(BW$3=$D217,BW$3=$AC217,BW$3=$AE217),"",IF(BW$3=$AD217,$F217&amp;"R",BW216))))</f>
        <v/>
      </c>
      <c r="BX217" s="11" t="str">
        <f aca="false">IF($P217=0,BX216,IF(BX$3=$E217,IF($AA217=1,$F217&amp;$AB217,$G217),IF(OR(BX$3=$D217,BX$3=$AC217,BX$3=$AE217),"",IF(BX$3=$AD217,$F217&amp;"R",BX216))))</f>
        <v/>
      </c>
      <c r="BY217" s="11" t="str">
        <f aca="false">IF($P217=0,BY216,IF(BY$3=$E217,IF($AA217=1,$F217&amp;$AB217,$G217),IF(OR(BY$3=$D217,BY$3=$AC217,BY$3=$AE217),"",IF(BY$3=$AD217,$F217&amp;"R",BY216))))</f>
        <v/>
      </c>
      <c r="BZ217" s="11" t="str">
        <f aca="false">IF($P217=0,BZ216,IF(BZ$3=$E217,IF($AA217=1,$F217&amp;$AB217,$G217),IF(OR(BZ$3=$D217,BZ$3=$AC217,BZ$3=$AE217),"",IF(BZ$3=$AD217,$F217&amp;"R",BZ216))))</f>
        <v/>
      </c>
      <c r="CA217" s="11" t="str">
        <f aca="false">IF($P217=0,CA216,IF(CA$3=$E217,IF($AA217=1,$F217&amp;$AB217,$G217),IF(OR(CA$3=$D217,CA$3=$AC217,CA$3=$AE217),"",IF(CA$3=$AD217,$F217&amp;"R",CA216))))</f>
        <v/>
      </c>
      <c r="CB217" s="11" t="str">
        <f aca="false">IF($P217=0,CB216,IF(CB$3=$E217,IF($AA217=1,$F217&amp;$AB217,$G217),IF(OR(CB$3=$D217,CB$3=$AC217,CB$3=$AE217),"",IF(CB$3=$AD217,$F217&amp;"R",CB216))))</f>
        <v/>
      </c>
      <c r="CC217" s="11" t="str">
        <f aca="false">IF($P217=0,CC216,IF(CC$3=$E217,IF($AA217=1,$F217&amp;$AB217,$G217),IF(OR(CC$3=$D217,CC$3=$AC217,CC$3=$AE217),"",IF(CC$3=$AD217,$F217&amp;"R",CC216))))</f>
        <v/>
      </c>
      <c r="CD217" s="11" t="str">
        <f aca="false">IF($P217=0,CD216,IF(CD$3=$E217,IF($AA217=1,$F217&amp;$AB217,$G217),IF(OR(CD$3=$D217,CD$3=$AC217,CD$3=$AE217),"",IF(CD$3=$AD217,$F217&amp;"R",CD216))))</f>
        <v>bP</v>
      </c>
      <c r="CE217" s="11" t="str">
        <f aca="false">IF($P217=0,CE216,IF(CE$3=$E217,IF($AA217=1,$F217&amp;$AB217,$G217),IF(OR(CE$3=$D217,CE$3=$AC217,CE$3=$AE217),"",IF(CE$3=$AD217,$F217&amp;"R",CE216))))</f>
        <v>bP</v>
      </c>
      <c r="CF217" s="11" t="str">
        <f aca="false">IF($P217=0,CF216,IF(CF$3=$E217,IF($AA217=1,$F217&amp;$AB217,$G217),IF(OR(CF$3=$D217,CF$3=$AC217,CF$3=$AE217),"",IF(CF$3=$AD217,$F217&amp;"R",CF216))))</f>
        <v>bP</v>
      </c>
      <c r="CG217" s="11" t="str">
        <f aca="false">IF($P217=0,CG216,IF(CG$3=$E217,IF($AA217=1,$F217&amp;$AB217,$G217),IF(OR(CG$3=$D217,CG$3=$AC217,CG$3=$AE217),"",IF(CG$3=$AD217,$F217&amp;"R",CG216))))</f>
        <v>bP</v>
      </c>
      <c r="CH217" s="11" t="str">
        <f aca="false">IF($P217=0,CH216,IF(CH$3=$E217,IF($AA217=1,$F217&amp;$AB217,$G217),IF(OR(CH$3=$D217,CH$3=$AC217,CH$3=$AE217),"",IF(CH$3=$AD217,$F217&amp;"R",CH216))))</f>
        <v>bP</v>
      </c>
      <c r="CI217" s="11" t="str">
        <f aca="false">IF($P217=0,CI216,IF(CI$3=$E217,IF($AA217=1,$F217&amp;$AB217,$G217),IF(OR(CI$3=$D217,CI$3=$AC217,CI$3=$AE217),"",IF(CI$3=$AD217,$F217&amp;"R",CI216))))</f>
        <v>bP</v>
      </c>
      <c r="CJ217" s="11" t="str">
        <f aca="false">IF($P217=0,CJ216,IF(CJ$3=$E217,IF($AA217=1,$F217&amp;$AB217,$G217),IF(OR(CJ$3=$D217,CJ$3=$AC217,CJ$3=$AE217),"",IF(CJ$3=$AD217,$F217&amp;"R",CJ216))))</f>
        <v>bP</v>
      </c>
      <c r="CK217" s="11" t="str">
        <f aca="false">IF($P217=0,CK216,IF(CK$3=$E217,IF($AA217=1,$F217&amp;$AB217,$G217),IF(OR(CK$3=$D217,CK$3=$AC217,CK$3=$AE217),"",IF(CK$3=$AD217,$F217&amp;"R",CK216))))</f>
        <v>bP</v>
      </c>
      <c r="CL217" s="11" t="str">
        <f aca="false">IF($P217=0,CL216,IF(CL$3=$E217,IF($AA217=1,$F217&amp;$AB217,$G217),IF(OR(CL$3=$D217,CL$3=$AC217,CL$3=$AE217),"",IF(CL$3=$AD217,$F217&amp;"R",CL216))))</f>
        <v>bR</v>
      </c>
      <c r="CM217" s="11" t="str">
        <f aca="false">IF($P217=0,CM216,IF(CM$3=$E217,IF($AA217=1,$F217&amp;$AB217,$G217),IF(OR(CM$3=$D217,CM$3=$AC217,CM$3=$AE217),"",IF(CM$3=$AD217,$F217&amp;"R",CM216))))</f>
        <v>bN</v>
      </c>
      <c r="CN217" s="11" t="str">
        <f aca="false">IF($P217=0,CN216,IF(CN$3=$E217,IF($AA217=1,$F217&amp;$AB217,$G217),IF(OR(CN$3=$D217,CN$3=$AC217,CN$3=$AE217),"",IF(CN$3=$AD217,$F217&amp;"R",CN216))))</f>
        <v>bB</v>
      </c>
      <c r="CO217" s="11" t="str">
        <f aca="false">IF($P217=0,CO216,IF(CO$3=$E217,IF($AA217=1,$F217&amp;$AB217,$G217),IF(OR(CO$3=$D217,CO$3=$AC217,CO$3=$AE217),"",IF(CO$3=$AD217,$F217&amp;"R",CO216))))</f>
        <v>bQ</v>
      </c>
      <c r="CP217" s="11" t="str">
        <f aca="false">IF($P217=0,CP216,IF(CP$3=$E217,IF($AA217=1,$F217&amp;$AB217,$G217),IF(OR(CP$3=$D217,CP$3=$AC217,CP$3=$AE217),"",IF(CP$3=$AD217,$F217&amp;"R",CP216))))</f>
        <v>bK</v>
      </c>
      <c r="CQ217" s="11" t="str">
        <f aca="false">IF($P217=0,CQ216,IF(CQ$3=$E217,IF($AA217=1,$F217&amp;$AB217,$G217),IF(OR(CQ$3=$D217,CQ$3=$AC217,CQ$3=$AE217),"",IF(CQ$3=$AD217,$F217&amp;"R",CQ216))))</f>
        <v>bB</v>
      </c>
      <c r="CR217" s="11" t="str">
        <f aca="false">IF($P217=0,CR216,IF(CR$3=$E217,IF($AA217=1,$F217&amp;$AB217,$G217),IF(OR(CR$3=$D217,CR$3=$AC217,CR$3=$AE217),"",IF(CR$3=$AD217,$F217&amp;"R",CR216))))</f>
        <v>bN</v>
      </c>
      <c r="CS217" s="11" t="str">
        <f aca="false">IF($P217=0,CS216,IF(CS$3=$E217,IF($AA217=1,$F217&amp;$AB217,$G217),IF(OR(CS$3=$D217,CS$3=$AC217,CS$3=$AE217),"",IF(CS$3=$AD217,$F217&amp;"R",CS216))))</f>
        <v>bR</v>
      </c>
      <c r="CT217" s="11"/>
      <c r="CU217" s="11"/>
      <c r="CV217" s="11"/>
    </row>
    <row r="218" customFormat="false" ht="15" hidden="false" customHeight="false" outlineLevel="0" collapsed="false">
      <c r="A218" s="11" t="n">
        <v>213</v>
      </c>
      <c r="B218" s="11" t="str">
        <f aca="false">IF(Chess!$L$222="","",Chess!$L$222&amp;"")</f>
        <v/>
      </c>
      <c r="C218" s="11" t="str">
        <f aca="false">LOWER(SUBSTITUTE(SUBSTITUTE(SUBSTITUTE(SUBSTITUTE(TRIM($B218),"-",""),"=","")," ",""),"x",""))</f>
        <v/>
      </c>
      <c r="D218" s="11" t="n">
        <f aca="false">IF(LEN($C218)&lt;4,0,IFERROR(IF(AND(CODE(MID($C218,1,1))&gt;=97,CODE(MID($C218,1,1))&lt;=104,VALUE(MID($C218,2,1))&gt;=1,VALUE(MID($C218,2,1))&lt;=8),(VALUE(MID($C218,2,1))-1)*8+CODE(MID($C218,1,1))-96,0),0))</f>
        <v>0</v>
      </c>
      <c r="E218" s="11" t="n">
        <f aca="false">IF(LEN($C218)&lt;4,0,IFERROR(IF(AND(CODE(MID($C218,3,1))&gt;=97,CODE(MID($C218,3,1))&lt;=104,VALUE(MID($C218,4,1))&gt;=1,VALUE(MID($C218,4,1))&lt;=8),(VALUE(MID($C218,4,1))-1)*8+CODE(MID($C218,3,1))-96,0),0))</f>
        <v>0</v>
      </c>
      <c r="F218" s="11" t="str">
        <f aca="false">IF(MOD(SUM($P$5:$P217),2)=0,"w","b")</f>
        <v>w</v>
      </c>
      <c r="G218" s="11" t="str">
        <f aca="false">IF($D218=0,"",INDEX($AH217:$CS217,1,$D218)&amp;"")</f>
        <v/>
      </c>
      <c r="H218" s="11" t="str">
        <f aca="false">IF($E218=0,"",INDEX($AH217:$CS217,1,$E218)&amp;"")</f>
        <v/>
      </c>
      <c r="I218" s="11" t="n">
        <f aca="false">IF(OR($D218=0,$E218=0),0,MOD($E218-1,8)-MOD($D218-1,8))</f>
        <v>0</v>
      </c>
      <c r="J218" s="11" t="n">
        <f aca="false">IF(OR($D218=0,$E218=0),0,INT(($E218-1)/8)-INT(($D218-1)/8))</f>
        <v>0</v>
      </c>
      <c r="K218" s="11" t="str">
        <f aca="false">IF($G218="","",RIGHT($G218,1))</f>
        <v/>
      </c>
      <c r="L218" s="11" t="n">
        <f aca="false">IF(OR($D218=0,$E218=0),0,SUMPRODUCT(($AH$3:$CS$3&gt;MIN($D218,$E218))*($AH$3:$CS$3&lt;MAX($D218,$E218))*(MOD($AH$3:$CS$3-MIN($D218,$E218),MAX(1,ABS(SIGN($J218)*8+SIGN($I218))))=0)*($AH217:$CS217&lt;&gt;"")))</f>
        <v>0</v>
      </c>
      <c r="M218" s="11" t="n">
        <f aca="false">IF($K218&lt;&gt;"K",0,IFERROR(--AND($J218=0,ABS($I218)=2,$D218=IF($F218="w",5,61),IF($F218="w",$S217,$V217)=0,IF($I218=2,AND(IF($F218="w",$U217,$X217)=0,INDEX($AH217:$CS217,1,$D218+1)&amp;""="",INDEX($AH217:$CS217,1,$D218+2)&amp;""=""),AND(IF($F218="w",$T217,$W217)=0,INDEX($AH217:$CS217,1,$D218-1)&amp;""="",INDEX($AH217:$CS217,1,$D218-2)&amp;""="",INDEX($AH217:$CS217,1,$D218-3)&amp;""=""))),0))</f>
        <v>0</v>
      </c>
      <c r="N218" s="11" t="n">
        <f aca="false">IF($K218&lt;&gt;"P",0,IFERROR(--OR(AND($I218=0,$J218=IF($F218="w",1,-1),$H218=""),AND($I218=0,$J218=2*IF($F218="w",1,-1),$H218="",INT(($D218-1)/8)=IF($F218="w",1,6),INDEX($AH217:$CS217,1,MAX(1,MIN(64,$D218+8*IF($F218="w",1,-1))))&amp;""=""),AND(ABS($I218)=1,$J218=IF($F218="w",1,-1),$H218&lt;&gt;""),AND(ABS($I218)=1,$J218=IF($F218="w",1,-1),$H218="",$R217&gt;0,$E218=$R217)),0))</f>
        <v>0</v>
      </c>
      <c r="O218" s="11" t="n">
        <f aca="false">IF(OR($D218=0,$E218=0,$G218=""),0,IF($K218="N",--OR(AND(ABS($I218)=1,ABS($J218)=2),AND(ABS($I218)=2,ABS($J218)=1)),IF($K218="B",--AND(ABS($I218)=ABS($J218),$I218&lt;&gt;0,$L218=0),IF($K218="R",--AND(OR($I218=0,$J218=0),OR($I218&lt;&gt;0,$J218&lt;&gt;0),$L218=0),IF($K218="Q",--AND(OR(AND(ABS($I218)=ABS($J218),$I218&lt;&gt;0),AND(OR($I218=0,$J218=0),OR($I218&lt;&gt;0,$J218&lt;&gt;0))),$L218=0),IF($K218="K",--OR(MAX(ABS($I218),ABS($J218))=1,$M218=1),$N218))))))</f>
        <v>0</v>
      </c>
      <c r="P218" s="11" t="n">
        <f aca="false">IF($Q218="OK",1,0)</f>
        <v>0</v>
      </c>
      <c r="Q218" s="11" t="str">
        <f aca="false">IF($B218="","",IF(OR(COUNTIF($AH217:$CS217,"wK")=0,COUNTIF($AH217:$CS217,"bK")=0),"Game is over",IF(OR($D218=0,$E218=0),"Use the format e2e4",IF($G218="","No piece on that square",IF(LEFT($G218,1)&lt;&gt;$F218,"Not your piece ("&amp;IF($F218="w","White","Black")&amp;" to move)",IF($D218=$E218,"Piece must move",IF(AND($H218&lt;&gt;"",LEFT($H218,1)=$F218),"Cannot capture your own piece",IF($O218=0,"Illegal move for that piece (or path blocked)","OK"))))))))</f>
        <v/>
      </c>
      <c r="R218" s="11" t="n">
        <f aca="false">IF($P218=1,IF(AND($K218="P",ABS($J218)=2),($D218+$E218)/2,0),$R217)</f>
        <v>0</v>
      </c>
      <c r="S218" s="12" t="b">
        <f aca="false">--OR($S217=1,AND($P218=1,OR($D218=5,$E218=5)))</f>
        <v>0</v>
      </c>
      <c r="T218" s="12" t="b">
        <f aca="false">--OR($T217=1,AND($P218=1,OR($D218=1,$E218=1)))</f>
        <v>0</v>
      </c>
      <c r="U218" s="12" t="b">
        <f aca="false">--OR($U217=1,AND($P218=1,OR($D218=8,$E218=8)))</f>
        <v>0</v>
      </c>
      <c r="V218" s="12" t="b">
        <f aca="false">--OR($V217=1,AND($P218=1,OR($D218=61,$E218=61)))</f>
        <v>0</v>
      </c>
      <c r="W218" s="12" t="b">
        <f aca="false">--OR($W217=1,AND($P218=1,OR($D218=57,$E218=57)))</f>
        <v>0</v>
      </c>
      <c r="X218" s="12" t="b">
        <f aca="false">--OR($X217=1,AND($P218=1,OR($D218=64,$E218=64)))</f>
        <v>0</v>
      </c>
      <c r="Y218" s="12" t="b">
        <f aca="false">--AND($P218=1,$K218="K",ABS($I218)=2)</f>
        <v>0</v>
      </c>
      <c r="Z218" s="12" t="b">
        <f aca="false">--AND($P218=1,$K218="P",ABS($I218)=1,$H218="")</f>
        <v>0</v>
      </c>
      <c r="AA218" s="12" t="b">
        <f aca="false">--AND($P218=1,$K218="P",INT(($E218-1)/8)=IF($F218="w",7,0))</f>
        <v>0</v>
      </c>
      <c r="AB218" s="11" t="str">
        <f aca="false">IF(LEN($C218)&gt;=5,IF(ISNUMBER(FIND(MID($C218,5,1),"qrbn")),UPPER(MID($C218,5,1)),"Q"),"Q")</f>
        <v>Q</v>
      </c>
      <c r="AC218" s="11" t="n">
        <f aca="false">IF($Y218=1,IF($I218=2,$D218+3,$D218-4),0)</f>
        <v>0</v>
      </c>
      <c r="AD218" s="11" t="n">
        <f aca="false">IF($Y218=1,IF($I218=2,$D218+1,$D218-1),0)</f>
        <v>0</v>
      </c>
      <c r="AE218" s="11" t="n">
        <f aca="false">IF($Z218=1,$E218-8*IF($F218="w",1,-1),0)</f>
        <v>0</v>
      </c>
      <c r="AF218" s="11" t="str">
        <f aca="false">IF($B218="","",IF($P218=1,LOWER(INDEX($CV$2:$CV$13,MATCH($G218,$CU$2:$CU$13,0)))&amp;" "&amp;MID("abcdefgh",MOD($D218-1,8)+1,1)&amp;(INT(($D218-1)/8)+1)&amp;"→"&amp;MID("abcdefgh",MOD($E218-1,8)+1,1)&amp;(INT(($E218-1)/8)+1)&amp;IF(OR($H218&lt;&gt;"",$Z218=1)," ×","")&amp;IF($Y218=1," castles","")&amp;IF($Z218=1," e.p.","")&amp;IF($AA218=1," =" &amp;LOWER(INDEX($CV$2:$CV$13,MATCH($F218&amp;$AB218,$CU$2:$CU$13,0))),""),"X "&amp;$Q218))</f>
        <v/>
      </c>
      <c r="AG218" s="11"/>
      <c r="AH218" s="11" t="str">
        <f aca="false">IF($P218=0,AH217,IF(AH$3=$E218,IF($AA218=1,$F218&amp;$AB218,$G218),IF(OR(AH$3=$D218,AH$3=$AC218,AH$3=$AE218),"",IF(AH$3=$AD218,$F218&amp;"R",AH217))))</f>
        <v>wR</v>
      </c>
      <c r="AI218" s="11" t="str">
        <f aca="false">IF($P218=0,AI217,IF(AI$3=$E218,IF($AA218=1,$F218&amp;$AB218,$G218),IF(OR(AI$3=$D218,AI$3=$AC218,AI$3=$AE218),"",IF(AI$3=$AD218,$F218&amp;"R",AI217))))</f>
        <v>wN</v>
      </c>
      <c r="AJ218" s="11" t="str">
        <f aca="false">IF($P218=0,AJ217,IF(AJ$3=$E218,IF($AA218=1,$F218&amp;$AB218,$G218),IF(OR(AJ$3=$D218,AJ$3=$AC218,AJ$3=$AE218),"",IF(AJ$3=$AD218,$F218&amp;"R",AJ217))))</f>
        <v>wB</v>
      </c>
      <c r="AK218" s="11" t="str">
        <f aca="false">IF($P218=0,AK217,IF(AK$3=$E218,IF($AA218=1,$F218&amp;$AB218,$G218),IF(OR(AK$3=$D218,AK$3=$AC218,AK$3=$AE218),"",IF(AK$3=$AD218,$F218&amp;"R",AK217))))</f>
        <v>wQ</v>
      </c>
      <c r="AL218" s="11" t="str">
        <f aca="false">IF($P218=0,AL217,IF(AL$3=$E218,IF($AA218=1,$F218&amp;$AB218,$G218),IF(OR(AL$3=$D218,AL$3=$AC218,AL$3=$AE218),"",IF(AL$3=$AD218,$F218&amp;"R",AL217))))</f>
        <v>wK</v>
      </c>
      <c r="AM218" s="11" t="str">
        <f aca="false">IF($P218=0,AM217,IF(AM$3=$E218,IF($AA218=1,$F218&amp;$AB218,$G218),IF(OR(AM$3=$D218,AM$3=$AC218,AM$3=$AE218),"",IF(AM$3=$AD218,$F218&amp;"R",AM217))))</f>
        <v>wB</v>
      </c>
      <c r="AN218" s="11" t="str">
        <f aca="false">IF($P218=0,AN217,IF(AN$3=$E218,IF($AA218=1,$F218&amp;$AB218,$G218),IF(OR(AN$3=$D218,AN$3=$AC218,AN$3=$AE218),"",IF(AN$3=$AD218,$F218&amp;"R",AN217))))</f>
        <v>wN</v>
      </c>
      <c r="AO218" s="11" t="str">
        <f aca="false">IF($P218=0,AO217,IF(AO$3=$E218,IF($AA218=1,$F218&amp;$AB218,$G218),IF(OR(AO$3=$D218,AO$3=$AC218,AO$3=$AE218),"",IF(AO$3=$AD218,$F218&amp;"R",AO217))))</f>
        <v>wR</v>
      </c>
      <c r="AP218" s="11" t="str">
        <f aca="false">IF($P218=0,AP217,IF(AP$3=$E218,IF($AA218=1,$F218&amp;$AB218,$G218),IF(OR(AP$3=$D218,AP$3=$AC218,AP$3=$AE218),"",IF(AP$3=$AD218,$F218&amp;"R",AP217))))</f>
        <v>wP</v>
      </c>
      <c r="AQ218" s="11" t="str">
        <f aca="false">IF($P218=0,AQ217,IF(AQ$3=$E218,IF($AA218=1,$F218&amp;$AB218,$G218),IF(OR(AQ$3=$D218,AQ$3=$AC218,AQ$3=$AE218),"",IF(AQ$3=$AD218,$F218&amp;"R",AQ217))))</f>
        <v>wP</v>
      </c>
      <c r="AR218" s="11" t="str">
        <f aca="false">IF($P218=0,AR217,IF(AR$3=$E218,IF($AA218=1,$F218&amp;$AB218,$G218),IF(OR(AR$3=$D218,AR$3=$AC218,AR$3=$AE218),"",IF(AR$3=$AD218,$F218&amp;"R",AR217))))</f>
        <v>wP</v>
      </c>
      <c r="AS218" s="11" t="str">
        <f aca="false">IF($P218=0,AS217,IF(AS$3=$E218,IF($AA218=1,$F218&amp;$AB218,$G218),IF(OR(AS$3=$D218,AS$3=$AC218,AS$3=$AE218),"",IF(AS$3=$AD218,$F218&amp;"R",AS217))))</f>
        <v>wP</v>
      </c>
      <c r="AT218" s="11" t="str">
        <f aca="false">IF($P218=0,AT217,IF(AT$3=$E218,IF($AA218=1,$F218&amp;$AB218,$G218),IF(OR(AT$3=$D218,AT$3=$AC218,AT$3=$AE218),"",IF(AT$3=$AD218,$F218&amp;"R",AT217))))</f>
        <v>wP</v>
      </c>
      <c r="AU218" s="11" t="str">
        <f aca="false">IF($P218=0,AU217,IF(AU$3=$E218,IF($AA218=1,$F218&amp;$AB218,$G218),IF(OR(AU$3=$D218,AU$3=$AC218,AU$3=$AE218),"",IF(AU$3=$AD218,$F218&amp;"R",AU217))))</f>
        <v>wP</v>
      </c>
      <c r="AV218" s="11" t="str">
        <f aca="false">IF($P218=0,AV217,IF(AV$3=$E218,IF($AA218=1,$F218&amp;$AB218,$G218),IF(OR(AV$3=$D218,AV$3=$AC218,AV$3=$AE218),"",IF(AV$3=$AD218,$F218&amp;"R",AV217))))</f>
        <v>wP</v>
      </c>
      <c r="AW218" s="11" t="str">
        <f aca="false">IF($P218=0,AW217,IF(AW$3=$E218,IF($AA218=1,$F218&amp;$AB218,$G218),IF(OR(AW$3=$D218,AW$3=$AC218,AW$3=$AE218),"",IF(AW$3=$AD218,$F218&amp;"R",AW217))))</f>
        <v>wP</v>
      </c>
      <c r="AX218" s="11" t="str">
        <f aca="false">IF($P218=0,AX217,IF(AX$3=$E218,IF($AA218=1,$F218&amp;$AB218,$G218),IF(OR(AX$3=$D218,AX$3=$AC218,AX$3=$AE218),"",IF(AX$3=$AD218,$F218&amp;"R",AX217))))</f>
        <v/>
      </c>
      <c r="AY218" s="11" t="str">
        <f aca="false">IF($P218=0,AY217,IF(AY$3=$E218,IF($AA218=1,$F218&amp;$AB218,$G218),IF(OR(AY$3=$D218,AY$3=$AC218,AY$3=$AE218),"",IF(AY$3=$AD218,$F218&amp;"R",AY217))))</f>
        <v/>
      </c>
      <c r="AZ218" s="11" t="str">
        <f aca="false">IF($P218=0,AZ217,IF(AZ$3=$E218,IF($AA218=1,$F218&amp;$AB218,$G218),IF(OR(AZ$3=$D218,AZ$3=$AC218,AZ$3=$AE218),"",IF(AZ$3=$AD218,$F218&amp;"R",AZ217))))</f>
        <v/>
      </c>
      <c r="BA218" s="11" t="str">
        <f aca="false">IF($P218=0,BA217,IF(BA$3=$E218,IF($AA218=1,$F218&amp;$AB218,$G218),IF(OR(BA$3=$D218,BA$3=$AC218,BA$3=$AE218),"",IF(BA$3=$AD218,$F218&amp;"R",BA217))))</f>
        <v/>
      </c>
      <c r="BB218" s="11" t="str">
        <f aca="false">IF($P218=0,BB217,IF(BB$3=$E218,IF($AA218=1,$F218&amp;$AB218,$G218),IF(OR(BB$3=$D218,BB$3=$AC218,BB$3=$AE218),"",IF(BB$3=$AD218,$F218&amp;"R",BB217))))</f>
        <v/>
      </c>
      <c r="BC218" s="11" t="str">
        <f aca="false">IF($P218=0,BC217,IF(BC$3=$E218,IF($AA218=1,$F218&amp;$AB218,$G218),IF(OR(BC$3=$D218,BC$3=$AC218,BC$3=$AE218),"",IF(BC$3=$AD218,$F218&amp;"R",BC217))))</f>
        <v/>
      </c>
      <c r="BD218" s="11" t="str">
        <f aca="false">IF($P218=0,BD217,IF(BD$3=$E218,IF($AA218=1,$F218&amp;$AB218,$G218),IF(OR(BD$3=$D218,BD$3=$AC218,BD$3=$AE218),"",IF(BD$3=$AD218,$F218&amp;"R",BD217))))</f>
        <v/>
      </c>
      <c r="BE218" s="11" t="str">
        <f aca="false">IF($P218=0,BE217,IF(BE$3=$E218,IF($AA218=1,$F218&amp;$AB218,$G218),IF(OR(BE$3=$D218,BE$3=$AC218,BE$3=$AE218),"",IF(BE$3=$AD218,$F218&amp;"R",BE217))))</f>
        <v/>
      </c>
      <c r="BF218" s="11" t="str">
        <f aca="false">IF($P218=0,BF217,IF(BF$3=$E218,IF($AA218=1,$F218&amp;$AB218,$G218),IF(OR(BF$3=$D218,BF$3=$AC218,BF$3=$AE218),"",IF(BF$3=$AD218,$F218&amp;"R",BF217))))</f>
        <v/>
      </c>
      <c r="BG218" s="11" t="str">
        <f aca="false">IF($P218=0,BG217,IF(BG$3=$E218,IF($AA218=1,$F218&amp;$AB218,$G218),IF(OR(BG$3=$D218,BG$3=$AC218,BG$3=$AE218),"",IF(BG$3=$AD218,$F218&amp;"R",BG217))))</f>
        <v/>
      </c>
      <c r="BH218" s="11" t="str">
        <f aca="false">IF($P218=0,BH217,IF(BH$3=$E218,IF($AA218=1,$F218&amp;$AB218,$G218),IF(OR(BH$3=$D218,BH$3=$AC218,BH$3=$AE218),"",IF(BH$3=$AD218,$F218&amp;"R",BH217))))</f>
        <v/>
      </c>
      <c r="BI218" s="11" t="str">
        <f aca="false">IF($P218=0,BI217,IF(BI$3=$E218,IF($AA218=1,$F218&amp;$AB218,$G218),IF(OR(BI$3=$D218,BI$3=$AC218,BI$3=$AE218),"",IF(BI$3=$AD218,$F218&amp;"R",BI217))))</f>
        <v/>
      </c>
      <c r="BJ218" s="11" t="str">
        <f aca="false">IF($P218=0,BJ217,IF(BJ$3=$E218,IF($AA218=1,$F218&amp;$AB218,$G218),IF(OR(BJ$3=$D218,BJ$3=$AC218,BJ$3=$AE218),"",IF(BJ$3=$AD218,$F218&amp;"R",BJ217))))</f>
        <v/>
      </c>
      <c r="BK218" s="11" t="str">
        <f aca="false">IF($P218=0,BK217,IF(BK$3=$E218,IF($AA218=1,$F218&amp;$AB218,$G218),IF(OR(BK$3=$D218,BK$3=$AC218,BK$3=$AE218),"",IF(BK$3=$AD218,$F218&amp;"R",BK217))))</f>
        <v/>
      </c>
      <c r="BL218" s="11" t="str">
        <f aca="false">IF($P218=0,BL217,IF(BL$3=$E218,IF($AA218=1,$F218&amp;$AB218,$G218),IF(OR(BL$3=$D218,BL$3=$AC218,BL$3=$AE218),"",IF(BL$3=$AD218,$F218&amp;"R",BL217))))</f>
        <v/>
      </c>
      <c r="BM218" s="11" t="str">
        <f aca="false">IF($P218=0,BM217,IF(BM$3=$E218,IF($AA218=1,$F218&amp;$AB218,$G218),IF(OR(BM$3=$D218,BM$3=$AC218,BM$3=$AE218),"",IF(BM$3=$AD218,$F218&amp;"R",BM217))))</f>
        <v/>
      </c>
      <c r="BN218" s="11" t="str">
        <f aca="false">IF($P218=0,BN217,IF(BN$3=$E218,IF($AA218=1,$F218&amp;$AB218,$G218),IF(OR(BN$3=$D218,BN$3=$AC218,BN$3=$AE218),"",IF(BN$3=$AD218,$F218&amp;"R",BN217))))</f>
        <v/>
      </c>
      <c r="BO218" s="11" t="str">
        <f aca="false">IF($P218=0,BO217,IF(BO$3=$E218,IF($AA218=1,$F218&amp;$AB218,$G218),IF(OR(BO$3=$D218,BO$3=$AC218,BO$3=$AE218),"",IF(BO$3=$AD218,$F218&amp;"R",BO217))))</f>
        <v/>
      </c>
      <c r="BP218" s="11" t="str">
        <f aca="false">IF($P218=0,BP217,IF(BP$3=$E218,IF($AA218=1,$F218&amp;$AB218,$G218),IF(OR(BP$3=$D218,BP$3=$AC218,BP$3=$AE218),"",IF(BP$3=$AD218,$F218&amp;"R",BP217))))</f>
        <v/>
      </c>
      <c r="BQ218" s="11" t="str">
        <f aca="false">IF($P218=0,BQ217,IF(BQ$3=$E218,IF($AA218=1,$F218&amp;$AB218,$G218),IF(OR(BQ$3=$D218,BQ$3=$AC218,BQ$3=$AE218),"",IF(BQ$3=$AD218,$F218&amp;"R",BQ217))))</f>
        <v/>
      </c>
      <c r="BR218" s="11" t="str">
        <f aca="false">IF($P218=0,BR217,IF(BR$3=$E218,IF($AA218=1,$F218&amp;$AB218,$G218),IF(OR(BR$3=$D218,BR$3=$AC218,BR$3=$AE218),"",IF(BR$3=$AD218,$F218&amp;"R",BR217))))</f>
        <v/>
      </c>
      <c r="BS218" s="11" t="str">
        <f aca="false">IF($P218=0,BS217,IF(BS$3=$E218,IF($AA218=1,$F218&amp;$AB218,$G218),IF(OR(BS$3=$D218,BS$3=$AC218,BS$3=$AE218),"",IF(BS$3=$AD218,$F218&amp;"R",BS217))))</f>
        <v/>
      </c>
      <c r="BT218" s="11" t="str">
        <f aca="false">IF($P218=0,BT217,IF(BT$3=$E218,IF($AA218=1,$F218&amp;$AB218,$G218),IF(OR(BT$3=$D218,BT$3=$AC218,BT$3=$AE218),"",IF(BT$3=$AD218,$F218&amp;"R",BT217))))</f>
        <v/>
      </c>
      <c r="BU218" s="11" t="str">
        <f aca="false">IF($P218=0,BU217,IF(BU$3=$E218,IF($AA218=1,$F218&amp;$AB218,$G218),IF(OR(BU$3=$D218,BU$3=$AC218,BU$3=$AE218),"",IF(BU$3=$AD218,$F218&amp;"R",BU217))))</f>
        <v/>
      </c>
      <c r="BV218" s="11" t="str">
        <f aca="false">IF($P218=0,BV217,IF(BV$3=$E218,IF($AA218=1,$F218&amp;$AB218,$G218),IF(OR(BV$3=$D218,BV$3=$AC218,BV$3=$AE218),"",IF(BV$3=$AD218,$F218&amp;"R",BV217))))</f>
        <v/>
      </c>
      <c r="BW218" s="11" t="str">
        <f aca="false">IF($P218=0,BW217,IF(BW$3=$E218,IF($AA218=1,$F218&amp;$AB218,$G218),IF(OR(BW$3=$D218,BW$3=$AC218,BW$3=$AE218),"",IF(BW$3=$AD218,$F218&amp;"R",BW217))))</f>
        <v/>
      </c>
      <c r="BX218" s="11" t="str">
        <f aca="false">IF($P218=0,BX217,IF(BX$3=$E218,IF($AA218=1,$F218&amp;$AB218,$G218),IF(OR(BX$3=$D218,BX$3=$AC218,BX$3=$AE218),"",IF(BX$3=$AD218,$F218&amp;"R",BX217))))</f>
        <v/>
      </c>
      <c r="BY218" s="11" t="str">
        <f aca="false">IF($P218=0,BY217,IF(BY$3=$E218,IF($AA218=1,$F218&amp;$AB218,$G218),IF(OR(BY$3=$D218,BY$3=$AC218,BY$3=$AE218),"",IF(BY$3=$AD218,$F218&amp;"R",BY217))))</f>
        <v/>
      </c>
      <c r="BZ218" s="11" t="str">
        <f aca="false">IF($P218=0,BZ217,IF(BZ$3=$E218,IF($AA218=1,$F218&amp;$AB218,$G218),IF(OR(BZ$3=$D218,BZ$3=$AC218,BZ$3=$AE218),"",IF(BZ$3=$AD218,$F218&amp;"R",BZ217))))</f>
        <v/>
      </c>
      <c r="CA218" s="11" t="str">
        <f aca="false">IF($P218=0,CA217,IF(CA$3=$E218,IF($AA218=1,$F218&amp;$AB218,$G218),IF(OR(CA$3=$D218,CA$3=$AC218,CA$3=$AE218),"",IF(CA$3=$AD218,$F218&amp;"R",CA217))))</f>
        <v/>
      </c>
      <c r="CB218" s="11" t="str">
        <f aca="false">IF($P218=0,CB217,IF(CB$3=$E218,IF($AA218=1,$F218&amp;$AB218,$G218),IF(OR(CB$3=$D218,CB$3=$AC218,CB$3=$AE218),"",IF(CB$3=$AD218,$F218&amp;"R",CB217))))</f>
        <v/>
      </c>
      <c r="CC218" s="11" t="str">
        <f aca="false">IF($P218=0,CC217,IF(CC$3=$E218,IF($AA218=1,$F218&amp;$AB218,$G218),IF(OR(CC$3=$D218,CC$3=$AC218,CC$3=$AE218),"",IF(CC$3=$AD218,$F218&amp;"R",CC217))))</f>
        <v/>
      </c>
      <c r="CD218" s="11" t="str">
        <f aca="false">IF($P218=0,CD217,IF(CD$3=$E218,IF($AA218=1,$F218&amp;$AB218,$G218),IF(OR(CD$3=$D218,CD$3=$AC218,CD$3=$AE218),"",IF(CD$3=$AD218,$F218&amp;"R",CD217))))</f>
        <v>bP</v>
      </c>
      <c r="CE218" s="11" t="str">
        <f aca="false">IF($P218=0,CE217,IF(CE$3=$E218,IF($AA218=1,$F218&amp;$AB218,$G218),IF(OR(CE$3=$D218,CE$3=$AC218,CE$3=$AE218),"",IF(CE$3=$AD218,$F218&amp;"R",CE217))))</f>
        <v>bP</v>
      </c>
      <c r="CF218" s="11" t="str">
        <f aca="false">IF($P218=0,CF217,IF(CF$3=$E218,IF($AA218=1,$F218&amp;$AB218,$G218),IF(OR(CF$3=$D218,CF$3=$AC218,CF$3=$AE218),"",IF(CF$3=$AD218,$F218&amp;"R",CF217))))</f>
        <v>bP</v>
      </c>
      <c r="CG218" s="11" t="str">
        <f aca="false">IF($P218=0,CG217,IF(CG$3=$E218,IF($AA218=1,$F218&amp;$AB218,$G218),IF(OR(CG$3=$D218,CG$3=$AC218,CG$3=$AE218),"",IF(CG$3=$AD218,$F218&amp;"R",CG217))))</f>
        <v>bP</v>
      </c>
      <c r="CH218" s="11" t="str">
        <f aca="false">IF($P218=0,CH217,IF(CH$3=$E218,IF($AA218=1,$F218&amp;$AB218,$G218),IF(OR(CH$3=$D218,CH$3=$AC218,CH$3=$AE218),"",IF(CH$3=$AD218,$F218&amp;"R",CH217))))</f>
        <v>bP</v>
      </c>
      <c r="CI218" s="11" t="str">
        <f aca="false">IF($P218=0,CI217,IF(CI$3=$E218,IF($AA218=1,$F218&amp;$AB218,$G218),IF(OR(CI$3=$D218,CI$3=$AC218,CI$3=$AE218),"",IF(CI$3=$AD218,$F218&amp;"R",CI217))))</f>
        <v>bP</v>
      </c>
      <c r="CJ218" s="11" t="str">
        <f aca="false">IF($P218=0,CJ217,IF(CJ$3=$E218,IF($AA218=1,$F218&amp;$AB218,$G218),IF(OR(CJ$3=$D218,CJ$3=$AC218,CJ$3=$AE218),"",IF(CJ$3=$AD218,$F218&amp;"R",CJ217))))</f>
        <v>bP</v>
      </c>
      <c r="CK218" s="11" t="str">
        <f aca="false">IF($P218=0,CK217,IF(CK$3=$E218,IF($AA218=1,$F218&amp;$AB218,$G218),IF(OR(CK$3=$D218,CK$3=$AC218,CK$3=$AE218),"",IF(CK$3=$AD218,$F218&amp;"R",CK217))))</f>
        <v>bP</v>
      </c>
      <c r="CL218" s="11" t="str">
        <f aca="false">IF($P218=0,CL217,IF(CL$3=$E218,IF($AA218=1,$F218&amp;$AB218,$G218),IF(OR(CL$3=$D218,CL$3=$AC218,CL$3=$AE218),"",IF(CL$3=$AD218,$F218&amp;"R",CL217))))</f>
        <v>bR</v>
      </c>
      <c r="CM218" s="11" t="str">
        <f aca="false">IF($P218=0,CM217,IF(CM$3=$E218,IF($AA218=1,$F218&amp;$AB218,$G218),IF(OR(CM$3=$D218,CM$3=$AC218,CM$3=$AE218),"",IF(CM$3=$AD218,$F218&amp;"R",CM217))))</f>
        <v>bN</v>
      </c>
      <c r="CN218" s="11" t="str">
        <f aca="false">IF($P218=0,CN217,IF(CN$3=$E218,IF($AA218=1,$F218&amp;$AB218,$G218),IF(OR(CN$3=$D218,CN$3=$AC218,CN$3=$AE218),"",IF(CN$3=$AD218,$F218&amp;"R",CN217))))</f>
        <v>bB</v>
      </c>
      <c r="CO218" s="11" t="str">
        <f aca="false">IF($P218=0,CO217,IF(CO$3=$E218,IF($AA218=1,$F218&amp;$AB218,$G218),IF(OR(CO$3=$D218,CO$3=$AC218,CO$3=$AE218),"",IF(CO$3=$AD218,$F218&amp;"R",CO217))))</f>
        <v>bQ</v>
      </c>
      <c r="CP218" s="11" t="str">
        <f aca="false">IF($P218=0,CP217,IF(CP$3=$E218,IF($AA218=1,$F218&amp;$AB218,$G218),IF(OR(CP$3=$D218,CP$3=$AC218,CP$3=$AE218),"",IF(CP$3=$AD218,$F218&amp;"R",CP217))))</f>
        <v>bK</v>
      </c>
      <c r="CQ218" s="11" t="str">
        <f aca="false">IF($P218=0,CQ217,IF(CQ$3=$E218,IF($AA218=1,$F218&amp;$AB218,$G218),IF(OR(CQ$3=$D218,CQ$3=$AC218,CQ$3=$AE218),"",IF(CQ$3=$AD218,$F218&amp;"R",CQ217))))</f>
        <v>bB</v>
      </c>
      <c r="CR218" s="11" t="str">
        <f aca="false">IF($P218=0,CR217,IF(CR$3=$E218,IF($AA218=1,$F218&amp;$AB218,$G218),IF(OR(CR$3=$D218,CR$3=$AC218,CR$3=$AE218),"",IF(CR$3=$AD218,$F218&amp;"R",CR217))))</f>
        <v>bN</v>
      </c>
      <c r="CS218" s="11" t="str">
        <f aca="false">IF($P218=0,CS217,IF(CS$3=$E218,IF($AA218=1,$F218&amp;$AB218,$G218),IF(OR(CS$3=$D218,CS$3=$AC218,CS$3=$AE218),"",IF(CS$3=$AD218,$F218&amp;"R",CS217))))</f>
        <v>bR</v>
      </c>
      <c r="CT218" s="11"/>
      <c r="CU218" s="11"/>
      <c r="CV218" s="11"/>
    </row>
    <row r="219" customFormat="false" ht="15" hidden="false" customHeight="false" outlineLevel="0" collapsed="false">
      <c r="A219" s="11" t="n">
        <v>214</v>
      </c>
      <c r="B219" s="11" t="str">
        <f aca="false">IF(Chess!$L$223="","",Chess!$L$223&amp;"")</f>
        <v/>
      </c>
      <c r="C219" s="11" t="str">
        <f aca="false">LOWER(SUBSTITUTE(SUBSTITUTE(SUBSTITUTE(SUBSTITUTE(TRIM($B219),"-",""),"=","")," ",""),"x",""))</f>
        <v/>
      </c>
      <c r="D219" s="11" t="n">
        <f aca="false">IF(LEN($C219)&lt;4,0,IFERROR(IF(AND(CODE(MID($C219,1,1))&gt;=97,CODE(MID($C219,1,1))&lt;=104,VALUE(MID($C219,2,1))&gt;=1,VALUE(MID($C219,2,1))&lt;=8),(VALUE(MID($C219,2,1))-1)*8+CODE(MID($C219,1,1))-96,0),0))</f>
        <v>0</v>
      </c>
      <c r="E219" s="11" t="n">
        <f aca="false">IF(LEN($C219)&lt;4,0,IFERROR(IF(AND(CODE(MID($C219,3,1))&gt;=97,CODE(MID($C219,3,1))&lt;=104,VALUE(MID($C219,4,1))&gt;=1,VALUE(MID($C219,4,1))&lt;=8),(VALUE(MID($C219,4,1))-1)*8+CODE(MID($C219,3,1))-96,0),0))</f>
        <v>0</v>
      </c>
      <c r="F219" s="11" t="str">
        <f aca="false">IF(MOD(SUM($P$5:$P218),2)=0,"w","b")</f>
        <v>w</v>
      </c>
      <c r="G219" s="11" t="str">
        <f aca="false">IF($D219=0,"",INDEX($AH218:$CS218,1,$D219)&amp;"")</f>
        <v/>
      </c>
      <c r="H219" s="11" t="str">
        <f aca="false">IF($E219=0,"",INDEX($AH218:$CS218,1,$E219)&amp;"")</f>
        <v/>
      </c>
      <c r="I219" s="11" t="n">
        <f aca="false">IF(OR($D219=0,$E219=0),0,MOD($E219-1,8)-MOD($D219-1,8))</f>
        <v>0</v>
      </c>
      <c r="J219" s="11" t="n">
        <f aca="false">IF(OR($D219=0,$E219=0),0,INT(($E219-1)/8)-INT(($D219-1)/8))</f>
        <v>0</v>
      </c>
      <c r="K219" s="11" t="str">
        <f aca="false">IF($G219="","",RIGHT($G219,1))</f>
        <v/>
      </c>
      <c r="L219" s="11" t="n">
        <f aca="false">IF(OR($D219=0,$E219=0),0,SUMPRODUCT(($AH$3:$CS$3&gt;MIN($D219,$E219))*($AH$3:$CS$3&lt;MAX($D219,$E219))*(MOD($AH$3:$CS$3-MIN($D219,$E219),MAX(1,ABS(SIGN($J219)*8+SIGN($I219))))=0)*($AH218:$CS218&lt;&gt;"")))</f>
        <v>0</v>
      </c>
      <c r="M219" s="11" t="n">
        <f aca="false">IF($K219&lt;&gt;"K",0,IFERROR(--AND($J219=0,ABS($I219)=2,$D219=IF($F219="w",5,61),IF($F219="w",$S218,$V218)=0,IF($I219=2,AND(IF($F219="w",$U218,$X218)=0,INDEX($AH218:$CS218,1,$D219+1)&amp;""="",INDEX($AH218:$CS218,1,$D219+2)&amp;""=""),AND(IF($F219="w",$T218,$W218)=0,INDEX($AH218:$CS218,1,$D219-1)&amp;""="",INDEX($AH218:$CS218,1,$D219-2)&amp;""="",INDEX($AH218:$CS218,1,$D219-3)&amp;""=""))),0))</f>
        <v>0</v>
      </c>
      <c r="N219" s="11" t="n">
        <f aca="false">IF($K219&lt;&gt;"P",0,IFERROR(--OR(AND($I219=0,$J219=IF($F219="w",1,-1),$H219=""),AND($I219=0,$J219=2*IF($F219="w",1,-1),$H219="",INT(($D219-1)/8)=IF($F219="w",1,6),INDEX($AH218:$CS218,1,MAX(1,MIN(64,$D219+8*IF($F219="w",1,-1))))&amp;""=""),AND(ABS($I219)=1,$J219=IF($F219="w",1,-1),$H219&lt;&gt;""),AND(ABS($I219)=1,$J219=IF($F219="w",1,-1),$H219="",$R218&gt;0,$E219=$R218)),0))</f>
        <v>0</v>
      </c>
      <c r="O219" s="11" t="n">
        <f aca="false">IF(OR($D219=0,$E219=0,$G219=""),0,IF($K219="N",--OR(AND(ABS($I219)=1,ABS($J219)=2),AND(ABS($I219)=2,ABS($J219)=1)),IF($K219="B",--AND(ABS($I219)=ABS($J219),$I219&lt;&gt;0,$L219=0),IF($K219="R",--AND(OR($I219=0,$J219=0),OR($I219&lt;&gt;0,$J219&lt;&gt;0),$L219=0),IF($K219="Q",--AND(OR(AND(ABS($I219)=ABS($J219),$I219&lt;&gt;0),AND(OR($I219=0,$J219=0),OR($I219&lt;&gt;0,$J219&lt;&gt;0))),$L219=0),IF($K219="K",--OR(MAX(ABS($I219),ABS($J219))=1,$M219=1),$N219))))))</f>
        <v>0</v>
      </c>
      <c r="P219" s="11" t="n">
        <f aca="false">IF($Q219="OK",1,0)</f>
        <v>0</v>
      </c>
      <c r="Q219" s="11" t="str">
        <f aca="false">IF($B219="","",IF(OR(COUNTIF($AH218:$CS218,"wK")=0,COUNTIF($AH218:$CS218,"bK")=0),"Game is over",IF(OR($D219=0,$E219=0),"Use the format e2e4",IF($G219="","No piece on that square",IF(LEFT($G219,1)&lt;&gt;$F219,"Not your piece ("&amp;IF($F219="w","White","Black")&amp;" to move)",IF($D219=$E219,"Piece must move",IF(AND($H219&lt;&gt;"",LEFT($H219,1)=$F219),"Cannot capture your own piece",IF($O219=0,"Illegal move for that piece (or path blocked)","OK"))))))))</f>
        <v/>
      </c>
      <c r="R219" s="11" t="n">
        <f aca="false">IF($P219=1,IF(AND($K219="P",ABS($J219)=2),($D219+$E219)/2,0),$R218)</f>
        <v>0</v>
      </c>
      <c r="S219" s="12" t="b">
        <f aca="false">--OR($S218=1,AND($P219=1,OR($D219=5,$E219=5)))</f>
        <v>0</v>
      </c>
      <c r="T219" s="12" t="b">
        <f aca="false">--OR($T218=1,AND($P219=1,OR($D219=1,$E219=1)))</f>
        <v>0</v>
      </c>
      <c r="U219" s="12" t="b">
        <f aca="false">--OR($U218=1,AND($P219=1,OR($D219=8,$E219=8)))</f>
        <v>0</v>
      </c>
      <c r="V219" s="12" t="b">
        <f aca="false">--OR($V218=1,AND($P219=1,OR($D219=61,$E219=61)))</f>
        <v>0</v>
      </c>
      <c r="W219" s="12" t="b">
        <f aca="false">--OR($W218=1,AND($P219=1,OR($D219=57,$E219=57)))</f>
        <v>0</v>
      </c>
      <c r="X219" s="12" t="b">
        <f aca="false">--OR($X218=1,AND($P219=1,OR($D219=64,$E219=64)))</f>
        <v>0</v>
      </c>
      <c r="Y219" s="12" t="b">
        <f aca="false">--AND($P219=1,$K219="K",ABS($I219)=2)</f>
        <v>0</v>
      </c>
      <c r="Z219" s="12" t="b">
        <f aca="false">--AND($P219=1,$K219="P",ABS($I219)=1,$H219="")</f>
        <v>0</v>
      </c>
      <c r="AA219" s="12" t="b">
        <f aca="false">--AND($P219=1,$K219="P",INT(($E219-1)/8)=IF($F219="w",7,0))</f>
        <v>0</v>
      </c>
      <c r="AB219" s="11" t="str">
        <f aca="false">IF(LEN($C219)&gt;=5,IF(ISNUMBER(FIND(MID($C219,5,1),"qrbn")),UPPER(MID($C219,5,1)),"Q"),"Q")</f>
        <v>Q</v>
      </c>
      <c r="AC219" s="11" t="n">
        <f aca="false">IF($Y219=1,IF($I219=2,$D219+3,$D219-4),0)</f>
        <v>0</v>
      </c>
      <c r="AD219" s="11" t="n">
        <f aca="false">IF($Y219=1,IF($I219=2,$D219+1,$D219-1),0)</f>
        <v>0</v>
      </c>
      <c r="AE219" s="11" t="n">
        <f aca="false">IF($Z219=1,$E219-8*IF($F219="w",1,-1),0)</f>
        <v>0</v>
      </c>
      <c r="AF219" s="11" t="str">
        <f aca="false">IF($B219="","",IF($P219=1,LOWER(INDEX($CV$2:$CV$13,MATCH($G219,$CU$2:$CU$13,0)))&amp;" "&amp;MID("abcdefgh",MOD($D219-1,8)+1,1)&amp;(INT(($D219-1)/8)+1)&amp;"→"&amp;MID("abcdefgh",MOD($E219-1,8)+1,1)&amp;(INT(($E219-1)/8)+1)&amp;IF(OR($H219&lt;&gt;"",$Z219=1)," ×","")&amp;IF($Y219=1," castles","")&amp;IF($Z219=1," e.p.","")&amp;IF($AA219=1," =" &amp;LOWER(INDEX($CV$2:$CV$13,MATCH($F219&amp;$AB219,$CU$2:$CU$13,0))),""),"X "&amp;$Q219))</f>
        <v/>
      </c>
      <c r="AG219" s="11"/>
      <c r="AH219" s="11" t="str">
        <f aca="false">IF($P219=0,AH218,IF(AH$3=$E219,IF($AA219=1,$F219&amp;$AB219,$G219),IF(OR(AH$3=$D219,AH$3=$AC219,AH$3=$AE219),"",IF(AH$3=$AD219,$F219&amp;"R",AH218))))</f>
        <v>wR</v>
      </c>
      <c r="AI219" s="11" t="str">
        <f aca="false">IF($P219=0,AI218,IF(AI$3=$E219,IF($AA219=1,$F219&amp;$AB219,$G219),IF(OR(AI$3=$D219,AI$3=$AC219,AI$3=$AE219),"",IF(AI$3=$AD219,$F219&amp;"R",AI218))))</f>
        <v>wN</v>
      </c>
      <c r="AJ219" s="11" t="str">
        <f aca="false">IF($P219=0,AJ218,IF(AJ$3=$E219,IF($AA219=1,$F219&amp;$AB219,$G219),IF(OR(AJ$3=$D219,AJ$3=$AC219,AJ$3=$AE219),"",IF(AJ$3=$AD219,$F219&amp;"R",AJ218))))</f>
        <v>wB</v>
      </c>
      <c r="AK219" s="11" t="str">
        <f aca="false">IF($P219=0,AK218,IF(AK$3=$E219,IF($AA219=1,$F219&amp;$AB219,$G219),IF(OR(AK$3=$D219,AK$3=$AC219,AK$3=$AE219),"",IF(AK$3=$AD219,$F219&amp;"R",AK218))))</f>
        <v>wQ</v>
      </c>
      <c r="AL219" s="11" t="str">
        <f aca="false">IF($P219=0,AL218,IF(AL$3=$E219,IF($AA219=1,$F219&amp;$AB219,$G219),IF(OR(AL$3=$D219,AL$3=$AC219,AL$3=$AE219),"",IF(AL$3=$AD219,$F219&amp;"R",AL218))))</f>
        <v>wK</v>
      </c>
      <c r="AM219" s="11" t="str">
        <f aca="false">IF($P219=0,AM218,IF(AM$3=$E219,IF($AA219=1,$F219&amp;$AB219,$G219),IF(OR(AM$3=$D219,AM$3=$AC219,AM$3=$AE219),"",IF(AM$3=$AD219,$F219&amp;"R",AM218))))</f>
        <v>wB</v>
      </c>
      <c r="AN219" s="11" t="str">
        <f aca="false">IF($P219=0,AN218,IF(AN$3=$E219,IF($AA219=1,$F219&amp;$AB219,$G219),IF(OR(AN$3=$D219,AN$3=$AC219,AN$3=$AE219),"",IF(AN$3=$AD219,$F219&amp;"R",AN218))))</f>
        <v>wN</v>
      </c>
      <c r="AO219" s="11" t="str">
        <f aca="false">IF($P219=0,AO218,IF(AO$3=$E219,IF($AA219=1,$F219&amp;$AB219,$G219),IF(OR(AO$3=$D219,AO$3=$AC219,AO$3=$AE219),"",IF(AO$3=$AD219,$F219&amp;"R",AO218))))</f>
        <v>wR</v>
      </c>
      <c r="AP219" s="11" t="str">
        <f aca="false">IF($P219=0,AP218,IF(AP$3=$E219,IF($AA219=1,$F219&amp;$AB219,$G219),IF(OR(AP$3=$D219,AP$3=$AC219,AP$3=$AE219),"",IF(AP$3=$AD219,$F219&amp;"R",AP218))))</f>
        <v>wP</v>
      </c>
      <c r="AQ219" s="11" t="str">
        <f aca="false">IF($P219=0,AQ218,IF(AQ$3=$E219,IF($AA219=1,$F219&amp;$AB219,$G219),IF(OR(AQ$3=$D219,AQ$3=$AC219,AQ$3=$AE219),"",IF(AQ$3=$AD219,$F219&amp;"R",AQ218))))</f>
        <v>wP</v>
      </c>
      <c r="AR219" s="11" t="str">
        <f aca="false">IF($P219=0,AR218,IF(AR$3=$E219,IF($AA219=1,$F219&amp;$AB219,$G219),IF(OR(AR$3=$D219,AR$3=$AC219,AR$3=$AE219),"",IF(AR$3=$AD219,$F219&amp;"R",AR218))))</f>
        <v>wP</v>
      </c>
      <c r="AS219" s="11" t="str">
        <f aca="false">IF($P219=0,AS218,IF(AS$3=$E219,IF($AA219=1,$F219&amp;$AB219,$G219),IF(OR(AS$3=$D219,AS$3=$AC219,AS$3=$AE219),"",IF(AS$3=$AD219,$F219&amp;"R",AS218))))</f>
        <v>wP</v>
      </c>
      <c r="AT219" s="11" t="str">
        <f aca="false">IF($P219=0,AT218,IF(AT$3=$E219,IF($AA219=1,$F219&amp;$AB219,$G219),IF(OR(AT$3=$D219,AT$3=$AC219,AT$3=$AE219),"",IF(AT$3=$AD219,$F219&amp;"R",AT218))))</f>
        <v>wP</v>
      </c>
      <c r="AU219" s="11" t="str">
        <f aca="false">IF($P219=0,AU218,IF(AU$3=$E219,IF($AA219=1,$F219&amp;$AB219,$G219),IF(OR(AU$3=$D219,AU$3=$AC219,AU$3=$AE219),"",IF(AU$3=$AD219,$F219&amp;"R",AU218))))</f>
        <v>wP</v>
      </c>
      <c r="AV219" s="11" t="str">
        <f aca="false">IF($P219=0,AV218,IF(AV$3=$E219,IF($AA219=1,$F219&amp;$AB219,$G219),IF(OR(AV$3=$D219,AV$3=$AC219,AV$3=$AE219),"",IF(AV$3=$AD219,$F219&amp;"R",AV218))))</f>
        <v>wP</v>
      </c>
      <c r="AW219" s="11" t="str">
        <f aca="false">IF($P219=0,AW218,IF(AW$3=$E219,IF($AA219=1,$F219&amp;$AB219,$G219),IF(OR(AW$3=$D219,AW$3=$AC219,AW$3=$AE219),"",IF(AW$3=$AD219,$F219&amp;"R",AW218))))</f>
        <v>wP</v>
      </c>
      <c r="AX219" s="11" t="str">
        <f aca="false">IF($P219=0,AX218,IF(AX$3=$E219,IF($AA219=1,$F219&amp;$AB219,$G219),IF(OR(AX$3=$D219,AX$3=$AC219,AX$3=$AE219),"",IF(AX$3=$AD219,$F219&amp;"R",AX218))))</f>
        <v/>
      </c>
      <c r="AY219" s="11" t="str">
        <f aca="false">IF($P219=0,AY218,IF(AY$3=$E219,IF($AA219=1,$F219&amp;$AB219,$G219),IF(OR(AY$3=$D219,AY$3=$AC219,AY$3=$AE219),"",IF(AY$3=$AD219,$F219&amp;"R",AY218))))</f>
        <v/>
      </c>
      <c r="AZ219" s="11" t="str">
        <f aca="false">IF($P219=0,AZ218,IF(AZ$3=$E219,IF($AA219=1,$F219&amp;$AB219,$G219),IF(OR(AZ$3=$D219,AZ$3=$AC219,AZ$3=$AE219),"",IF(AZ$3=$AD219,$F219&amp;"R",AZ218))))</f>
        <v/>
      </c>
      <c r="BA219" s="11" t="str">
        <f aca="false">IF($P219=0,BA218,IF(BA$3=$E219,IF($AA219=1,$F219&amp;$AB219,$G219),IF(OR(BA$3=$D219,BA$3=$AC219,BA$3=$AE219),"",IF(BA$3=$AD219,$F219&amp;"R",BA218))))</f>
        <v/>
      </c>
      <c r="BB219" s="11" t="str">
        <f aca="false">IF($P219=0,BB218,IF(BB$3=$E219,IF($AA219=1,$F219&amp;$AB219,$G219),IF(OR(BB$3=$D219,BB$3=$AC219,BB$3=$AE219),"",IF(BB$3=$AD219,$F219&amp;"R",BB218))))</f>
        <v/>
      </c>
      <c r="BC219" s="11" t="str">
        <f aca="false">IF($P219=0,BC218,IF(BC$3=$E219,IF($AA219=1,$F219&amp;$AB219,$G219),IF(OR(BC$3=$D219,BC$3=$AC219,BC$3=$AE219),"",IF(BC$3=$AD219,$F219&amp;"R",BC218))))</f>
        <v/>
      </c>
      <c r="BD219" s="11" t="str">
        <f aca="false">IF($P219=0,BD218,IF(BD$3=$E219,IF($AA219=1,$F219&amp;$AB219,$G219),IF(OR(BD$3=$D219,BD$3=$AC219,BD$3=$AE219),"",IF(BD$3=$AD219,$F219&amp;"R",BD218))))</f>
        <v/>
      </c>
      <c r="BE219" s="11" t="str">
        <f aca="false">IF($P219=0,BE218,IF(BE$3=$E219,IF($AA219=1,$F219&amp;$AB219,$G219),IF(OR(BE$3=$D219,BE$3=$AC219,BE$3=$AE219),"",IF(BE$3=$AD219,$F219&amp;"R",BE218))))</f>
        <v/>
      </c>
      <c r="BF219" s="11" t="str">
        <f aca="false">IF($P219=0,BF218,IF(BF$3=$E219,IF($AA219=1,$F219&amp;$AB219,$G219),IF(OR(BF$3=$D219,BF$3=$AC219,BF$3=$AE219),"",IF(BF$3=$AD219,$F219&amp;"R",BF218))))</f>
        <v/>
      </c>
      <c r="BG219" s="11" t="str">
        <f aca="false">IF($P219=0,BG218,IF(BG$3=$E219,IF($AA219=1,$F219&amp;$AB219,$G219),IF(OR(BG$3=$D219,BG$3=$AC219,BG$3=$AE219),"",IF(BG$3=$AD219,$F219&amp;"R",BG218))))</f>
        <v/>
      </c>
      <c r="BH219" s="11" t="str">
        <f aca="false">IF($P219=0,BH218,IF(BH$3=$E219,IF($AA219=1,$F219&amp;$AB219,$G219),IF(OR(BH$3=$D219,BH$3=$AC219,BH$3=$AE219),"",IF(BH$3=$AD219,$F219&amp;"R",BH218))))</f>
        <v/>
      </c>
      <c r="BI219" s="11" t="str">
        <f aca="false">IF($P219=0,BI218,IF(BI$3=$E219,IF($AA219=1,$F219&amp;$AB219,$G219),IF(OR(BI$3=$D219,BI$3=$AC219,BI$3=$AE219),"",IF(BI$3=$AD219,$F219&amp;"R",BI218))))</f>
        <v/>
      </c>
      <c r="BJ219" s="11" t="str">
        <f aca="false">IF($P219=0,BJ218,IF(BJ$3=$E219,IF($AA219=1,$F219&amp;$AB219,$G219),IF(OR(BJ$3=$D219,BJ$3=$AC219,BJ$3=$AE219),"",IF(BJ$3=$AD219,$F219&amp;"R",BJ218))))</f>
        <v/>
      </c>
      <c r="BK219" s="11" t="str">
        <f aca="false">IF($P219=0,BK218,IF(BK$3=$E219,IF($AA219=1,$F219&amp;$AB219,$G219),IF(OR(BK$3=$D219,BK$3=$AC219,BK$3=$AE219),"",IF(BK$3=$AD219,$F219&amp;"R",BK218))))</f>
        <v/>
      </c>
      <c r="BL219" s="11" t="str">
        <f aca="false">IF($P219=0,BL218,IF(BL$3=$E219,IF($AA219=1,$F219&amp;$AB219,$G219),IF(OR(BL$3=$D219,BL$3=$AC219,BL$3=$AE219),"",IF(BL$3=$AD219,$F219&amp;"R",BL218))))</f>
        <v/>
      </c>
      <c r="BM219" s="11" t="str">
        <f aca="false">IF($P219=0,BM218,IF(BM$3=$E219,IF($AA219=1,$F219&amp;$AB219,$G219),IF(OR(BM$3=$D219,BM$3=$AC219,BM$3=$AE219),"",IF(BM$3=$AD219,$F219&amp;"R",BM218))))</f>
        <v/>
      </c>
      <c r="BN219" s="11" t="str">
        <f aca="false">IF($P219=0,BN218,IF(BN$3=$E219,IF($AA219=1,$F219&amp;$AB219,$G219),IF(OR(BN$3=$D219,BN$3=$AC219,BN$3=$AE219),"",IF(BN$3=$AD219,$F219&amp;"R",BN218))))</f>
        <v/>
      </c>
      <c r="BO219" s="11" t="str">
        <f aca="false">IF($P219=0,BO218,IF(BO$3=$E219,IF($AA219=1,$F219&amp;$AB219,$G219),IF(OR(BO$3=$D219,BO$3=$AC219,BO$3=$AE219),"",IF(BO$3=$AD219,$F219&amp;"R",BO218))))</f>
        <v/>
      </c>
      <c r="BP219" s="11" t="str">
        <f aca="false">IF($P219=0,BP218,IF(BP$3=$E219,IF($AA219=1,$F219&amp;$AB219,$G219),IF(OR(BP$3=$D219,BP$3=$AC219,BP$3=$AE219),"",IF(BP$3=$AD219,$F219&amp;"R",BP218))))</f>
        <v/>
      </c>
      <c r="BQ219" s="11" t="str">
        <f aca="false">IF($P219=0,BQ218,IF(BQ$3=$E219,IF($AA219=1,$F219&amp;$AB219,$G219),IF(OR(BQ$3=$D219,BQ$3=$AC219,BQ$3=$AE219),"",IF(BQ$3=$AD219,$F219&amp;"R",BQ218))))</f>
        <v/>
      </c>
      <c r="BR219" s="11" t="str">
        <f aca="false">IF($P219=0,BR218,IF(BR$3=$E219,IF($AA219=1,$F219&amp;$AB219,$G219),IF(OR(BR$3=$D219,BR$3=$AC219,BR$3=$AE219),"",IF(BR$3=$AD219,$F219&amp;"R",BR218))))</f>
        <v/>
      </c>
      <c r="BS219" s="11" t="str">
        <f aca="false">IF($P219=0,BS218,IF(BS$3=$E219,IF($AA219=1,$F219&amp;$AB219,$G219),IF(OR(BS$3=$D219,BS$3=$AC219,BS$3=$AE219),"",IF(BS$3=$AD219,$F219&amp;"R",BS218))))</f>
        <v/>
      </c>
      <c r="BT219" s="11" t="str">
        <f aca="false">IF($P219=0,BT218,IF(BT$3=$E219,IF($AA219=1,$F219&amp;$AB219,$G219),IF(OR(BT$3=$D219,BT$3=$AC219,BT$3=$AE219),"",IF(BT$3=$AD219,$F219&amp;"R",BT218))))</f>
        <v/>
      </c>
      <c r="BU219" s="11" t="str">
        <f aca="false">IF($P219=0,BU218,IF(BU$3=$E219,IF($AA219=1,$F219&amp;$AB219,$G219),IF(OR(BU$3=$D219,BU$3=$AC219,BU$3=$AE219),"",IF(BU$3=$AD219,$F219&amp;"R",BU218))))</f>
        <v/>
      </c>
      <c r="BV219" s="11" t="str">
        <f aca="false">IF($P219=0,BV218,IF(BV$3=$E219,IF($AA219=1,$F219&amp;$AB219,$G219),IF(OR(BV$3=$D219,BV$3=$AC219,BV$3=$AE219),"",IF(BV$3=$AD219,$F219&amp;"R",BV218))))</f>
        <v/>
      </c>
      <c r="BW219" s="11" t="str">
        <f aca="false">IF($P219=0,BW218,IF(BW$3=$E219,IF($AA219=1,$F219&amp;$AB219,$G219),IF(OR(BW$3=$D219,BW$3=$AC219,BW$3=$AE219),"",IF(BW$3=$AD219,$F219&amp;"R",BW218))))</f>
        <v/>
      </c>
      <c r="BX219" s="11" t="str">
        <f aca="false">IF($P219=0,BX218,IF(BX$3=$E219,IF($AA219=1,$F219&amp;$AB219,$G219),IF(OR(BX$3=$D219,BX$3=$AC219,BX$3=$AE219),"",IF(BX$3=$AD219,$F219&amp;"R",BX218))))</f>
        <v/>
      </c>
      <c r="BY219" s="11" t="str">
        <f aca="false">IF($P219=0,BY218,IF(BY$3=$E219,IF($AA219=1,$F219&amp;$AB219,$G219),IF(OR(BY$3=$D219,BY$3=$AC219,BY$3=$AE219),"",IF(BY$3=$AD219,$F219&amp;"R",BY218))))</f>
        <v/>
      </c>
      <c r="BZ219" s="11" t="str">
        <f aca="false">IF($P219=0,BZ218,IF(BZ$3=$E219,IF($AA219=1,$F219&amp;$AB219,$G219),IF(OR(BZ$3=$D219,BZ$3=$AC219,BZ$3=$AE219),"",IF(BZ$3=$AD219,$F219&amp;"R",BZ218))))</f>
        <v/>
      </c>
      <c r="CA219" s="11" t="str">
        <f aca="false">IF($P219=0,CA218,IF(CA$3=$E219,IF($AA219=1,$F219&amp;$AB219,$G219),IF(OR(CA$3=$D219,CA$3=$AC219,CA$3=$AE219),"",IF(CA$3=$AD219,$F219&amp;"R",CA218))))</f>
        <v/>
      </c>
      <c r="CB219" s="11" t="str">
        <f aca="false">IF($P219=0,CB218,IF(CB$3=$E219,IF($AA219=1,$F219&amp;$AB219,$G219),IF(OR(CB$3=$D219,CB$3=$AC219,CB$3=$AE219),"",IF(CB$3=$AD219,$F219&amp;"R",CB218))))</f>
        <v/>
      </c>
      <c r="CC219" s="11" t="str">
        <f aca="false">IF($P219=0,CC218,IF(CC$3=$E219,IF($AA219=1,$F219&amp;$AB219,$G219),IF(OR(CC$3=$D219,CC$3=$AC219,CC$3=$AE219),"",IF(CC$3=$AD219,$F219&amp;"R",CC218))))</f>
        <v/>
      </c>
      <c r="CD219" s="11" t="str">
        <f aca="false">IF($P219=0,CD218,IF(CD$3=$E219,IF($AA219=1,$F219&amp;$AB219,$G219),IF(OR(CD$3=$D219,CD$3=$AC219,CD$3=$AE219),"",IF(CD$3=$AD219,$F219&amp;"R",CD218))))</f>
        <v>bP</v>
      </c>
      <c r="CE219" s="11" t="str">
        <f aca="false">IF($P219=0,CE218,IF(CE$3=$E219,IF($AA219=1,$F219&amp;$AB219,$G219),IF(OR(CE$3=$D219,CE$3=$AC219,CE$3=$AE219),"",IF(CE$3=$AD219,$F219&amp;"R",CE218))))</f>
        <v>bP</v>
      </c>
      <c r="CF219" s="11" t="str">
        <f aca="false">IF($P219=0,CF218,IF(CF$3=$E219,IF($AA219=1,$F219&amp;$AB219,$G219),IF(OR(CF$3=$D219,CF$3=$AC219,CF$3=$AE219),"",IF(CF$3=$AD219,$F219&amp;"R",CF218))))</f>
        <v>bP</v>
      </c>
      <c r="CG219" s="11" t="str">
        <f aca="false">IF($P219=0,CG218,IF(CG$3=$E219,IF($AA219=1,$F219&amp;$AB219,$G219),IF(OR(CG$3=$D219,CG$3=$AC219,CG$3=$AE219),"",IF(CG$3=$AD219,$F219&amp;"R",CG218))))</f>
        <v>bP</v>
      </c>
      <c r="CH219" s="11" t="str">
        <f aca="false">IF($P219=0,CH218,IF(CH$3=$E219,IF($AA219=1,$F219&amp;$AB219,$G219),IF(OR(CH$3=$D219,CH$3=$AC219,CH$3=$AE219),"",IF(CH$3=$AD219,$F219&amp;"R",CH218))))</f>
        <v>bP</v>
      </c>
      <c r="CI219" s="11" t="str">
        <f aca="false">IF($P219=0,CI218,IF(CI$3=$E219,IF($AA219=1,$F219&amp;$AB219,$G219),IF(OR(CI$3=$D219,CI$3=$AC219,CI$3=$AE219),"",IF(CI$3=$AD219,$F219&amp;"R",CI218))))</f>
        <v>bP</v>
      </c>
      <c r="CJ219" s="11" t="str">
        <f aca="false">IF($P219=0,CJ218,IF(CJ$3=$E219,IF($AA219=1,$F219&amp;$AB219,$G219),IF(OR(CJ$3=$D219,CJ$3=$AC219,CJ$3=$AE219),"",IF(CJ$3=$AD219,$F219&amp;"R",CJ218))))</f>
        <v>bP</v>
      </c>
      <c r="CK219" s="11" t="str">
        <f aca="false">IF($P219=0,CK218,IF(CK$3=$E219,IF($AA219=1,$F219&amp;$AB219,$G219),IF(OR(CK$3=$D219,CK$3=$AC219,CK$3=$AE219),"",IF(CK$3=$AD219,$F219&amp;"R",CK218))))</f>
        <v>bP</v>
      </c>
      <c r="CL219" s="11" t="str">
        <f aca="false">IF($P219=0,CL218,IF(CL$3=$E219,IF($AA219=1,$F219&amp;$AB219,$G219),IF(OR(CL$3=$D219,CL$3=$AC219,CL$3=$AE219),"",IF(CL$3=$AD219,$F219&amp;"R",CL218))))</f>
        <v>bR</v>
      </c>
      <c r="CM219" s="11" t="str">
        <f aca="false">IF($P219=0,CM218,IF(CM$3=$E219,IF($AA219=1,$F219&amp;$AB219,$G219),IF(OR(CM$3=$D219,CM$3=$AC219,CM$3=$AE219),"",IF(CM$3=$AD219,$F219&amp;"R",CM218))))</f>
        <v>bN</v>
      </c>
      <c r="CN219" s="11" t="str">
        <f aca="false">IF($P219=0,CN218,IF(CN$3=$E219,IF($AA219=1,$F219&amp;$AB219,$G219),IF(OR(CN$3=$D219,CN$3=$AC219,CN$3=$AE219),"",IF(CN$3=$AD219,$F219&amp;"R",CN218))))</f>
        <v>bB</v>
      </c>
      <c r="CO219" s="11" t="str">
        <f aca="false">IF($P219=0,CO218,IF(CO$3=$E219,IF($AA219=1,$F219&amp;$AB219,$G219),IF(OR(CO$3=$D219,CO$3=$AC219,CO$3=$AE219),"",IF(CO$3=$AD219,$F219&amp;"R",CO218))))</f>
        <v>bQ</v>
      </c>
      <c r="CP219" s="11" t="str">
        <f aca="false">IF($P219=0,CP218,IF(CP$3=$E219,IF($AA219=1,$F219&amp;$AB219,$G219),IF(OR(CP$3=$D219,CP$3=$AC219,CP$3=$AE219),"",IF(CP$3=$AD219,$F219&amp;"R",CP218))))</f>
        <v>bK</v>
      </c>
      <c r="CQ219" s="11" t="str">
        <f aca="false">IF($P219=0,CQ218,IF(CQ$3=$E219,IF($AA219=1,$F219&amp;$AB219,$G219),IF(OR(CQ$3=$D219,CQ$3=$AC219,CQ$3=$AE219),"",IF(CQ$3=$AD219,$F219&amp;"R",CQ218))))</f>
        <v>bB</v>
      </c>
      <c r="CR219" s="11" t="str">
        <f aca="false">IF($P219=0,CR218,IF(CR$3=$E219,IF($AA219=1,$F219&amp;$AB219,$G219),IF(OR(CR$3=$D219,CR$3=$AC219,CR$3=$AE219),"",IF(CR$3=$AD219,$F219&amp;"R",CR218))))</f>
        <v>bN</v>
      </c>
      <c r="CS219" s="11" t="str">
        <f aca="false">IF($P219=0,CS218,IF(CS$3=$E219,IF($AA219=1,$F219&amp;$AB219,$G219),IF(OR(CS$3=$D219,CS$3=$AC219,CS$3=$AE219),"",IF(CS$3=$AD219,$F219&amp;"R",CS218))))</f>
        <v>bR</v>
      </c>
      <c r="CT219" s="11"/>
      <c r="CU219" s="11"/>
      <c r="CV219" s="11"/>
    </row>
    <row r="220" customFormat="false" ht="15" hidden="false" customHeight="false" outlineLevel="0" collapsed="false">
      <c r="A220" s="11" t="n">
        <v>215</v>
      </c>
      <c r="B220" s="11" t="str">
        <f aca="false">IF(Chess!$L$224="","",Chess!$L$224&amp;"")</f>
        <v/>
      </c>
      <c r="C220" s="11" t="str">
        <f aca="false">LOWER(SUBSTITUTE(SUBSTITUTE(SUBSTITUTE(SUBSTITUTE(TRIM($B220),"-",""),"=","")," ",""),"x",""))</f>
        <v/>
      </c>
      <c r="D220" s="11" t="n">
        <f aca="false">IF(LEN($C220)&lt;4,0,IFERROR(IF(AND(CODE(MID($C220,1,1))&gt;=97,CODE(MID($C220,1,1))&lt;=104,VALUE(MID($C220,2,1))&gt;=1,VALUE(MID($C220,2,1))&lt;=8),(VALUE(MID($C220,2,1))-1)*8+CODE(MID($C220,1,1))-96,0),0))</f>
        <v>0</v>
      </c>
      <c r="E220" s="11" t="n">
        <f aca="false">IF(LEN($C220)&lt;4,0,IFERROR(IF(AND(CODE(MID($C220,3,1))&gt;=97,CODE(MID($C220,3,1))&lt;=104,VALUE(MID($C220,4,1))&gt;=1,VALUE(MID($C220,4,1))&lt;=8),(VALUE(MID($C220,4,1))-1)*8+CODE(MID($C220,3,1))-96,0),0))</f>
        <v>0</v>
      </c>
      <c r="F220" s="11" t="str">
        <f aca="false">IF(MOD(SUM($P$5:$P219),2)=0,"w","b")</f>
        <v>w</v>
      </c>
      <c r="G220" s="11" t="str">
        <f aca="false">IF($D220=0,"",INDEX($AH219:$CS219,1,$D220)&amp;"")</f>
        <v/>
      </c>
      <c r="H220" s="11" t="str">
        <f aca="false">IF($E220=0,"",INDEX($AH219:$CS219,1,$E220)&amp;"")</f>
        <v/>
      </c>
      <c r="I220" s="11" t="n">
        <f aca="false">IF(OR($D220=0,$E220=0),0,MOD($E220-1,8)-MOD($D220-1,8))</f>
        <v>0</v>
      </c>
      <c r="J220" s="11" t="n">
        <f aca="false">IF(OR($D220=0,$E220=0),0,INT(($E220-1)/8)-INT(($D220-1)/8))</f>
        <v>0</v>
      </c>
      <c r="K220" s="11" t="str">
        <f aca="false">IF($G220="","",RIGHT($G220,1))</f>
        <v/>
      </c>
      <c r="L220" s="11" t="n">
        <f aca="false">IF(OR($D220=0,$E220=0),0,SUMPRODUCT(($AH$3:$CS$3&gt;MIN($D220,$E220))*($AH$3:$CS$3&lt;MAX($D220,$E220))*(MOD($AH$3:$CS$3-MIN($D220,$E220),MAX(1,ABS(SIGN($J220)*8+SIGN($I220))))=0)*($AH219:$CS219&lt;&gt;"")))</f>
        <v>0</v>
      </c>
      <c r="M220" s="11" t="n">
        <f aca="false">IF($K220&lt;&gt;"K",0,IFERROR(--AND($J220=0,ABS($I220)=2,$D220=IF($F220="w",5,61),IF($F220="w",$S219,$V219)=0,IF($I220=2,AND(IF($F220="w",$U219,$X219)=0,INDEX($AH219:$CS219,1,$D220+1)&amp;""="",INDEX($AH219:$CS219,1,$D220+2)&amp;""=""),AND(IF($F220="w",$T219,$W219)=0,INDEX($AH219:$CS219,1,$D220-1)&amp;""="",INDEX($AH219:$CS219,1,$D220-2)&amp;""="",INDEX($AH219:$CS219,1,$D220-3)&amp;""=""))),0))</f>
        <v>0</v>
      </c>
      <c r="N220" s="11" t="n">
        <f aca="false">IF($K220&lt;&gt;"P",0,IFERROR(--OR(AND($I220=0,$J220=IF($F220="w",1,-1),$H220=""),AND($I220=0,$J220=2*IF($F220="w",1,-1),$H220="",INT(($D220-1)/8)=IF($F220="w",1,6),INDEX($AH219:$CS219,1,MAX(1,MIN(64,$D220+8*IF($F220="w",1,-1))))&amp;""=""),AND(ABS($I220)=1,$J220=IF($F220="w",1,-1),$H220&lt;&gt;""),AND(ABS($I220)=1,$J220=IF($F220="w",1,-1),$H220="",$R219&gt;0,$E220=$R219)),0))</f>
        <v>0</v>
      </c>
      <c r="O220" s="11" t="n">
        <f aca="false">IF(OR($D220=0,$E220=0,$G220=""),0,IF($K220="N",--OR(AND(ABS($I220)=1,ABS($J220)=2),AND(ABS($I220)=2,ABS($J220)=1)),IF($K220="B",--AND(ABS($I220)=ABS($J220),$I220&lt;&gt;0,$L220=0),IF($K220="R",--AND(OR($I220=0,$J220=0),OR($I220&lt;&gt;0,$J220&lt;&gt;0),$L220=0),IF($K220="Q",--AND(OR(AND(ABS($I220)=ABS($J220),$I220&lt;&gt;0),AND(OR($I220=0,$J220=0),OR($I220&lt;&gt;0,$J220&lt;&gt;0))),$L220=0),IF($K220="K",--OR(MAX(ABS($I220),ABS($J220))=1,$M220=1),$N220))))))</f>
        <v>0</v>
      </c>
      <c r="P220" s="11" t="n">
        <f aca="false">IF($Q220="OK",1,0)</f>
        <v>0</v>
      </c>
      <c r="Q220" s="11" t="str">
        <f aca="false">IF($B220="","",IF(OR(COUNTIF($AH219:$CS219,"wK")=0,COUNTIF($AH219:$CS219,"bK")=0),"Game is over",IF(OR($D220=0,$E220=0),"Use the format e2e4",IF($G220="","No piece on that square",IF(LEFT($G220,1)&lt;&gt;$F220,"Not your piece ("&amp;IF($F220="w","White","Black")&amp;" to move)",IF($D220=$E220,"Piece must move",IF(AND($H220&lt;&gt;"",LEFT($H220,1)=$F220),"Cannot capture your own piece",IF($O220=0,"Illegal move for that piece (or path blocked)","OK"))))))))</f>
        <v/>
      </c>
      <c r="R220" s="11" t="n">
        <f aca="false">IF($P220=1,IF(AND($K220="P",ABS($J220)=2),($D220+$E220)/2,0),$R219)</f>
        <v>0</v>
      </c>
      <c r="S220" s="12" t="b">
        <f aca="false">--OR($S219=1,AND($P220=1,OR($D220=5,$E220=5)))</f>
        <v>0</v>
      </c>
      <c r="T220" s="12" t="b">
        <f aca="false">--OR($T219=1,AND($P220=1,OR($D220=1,$E220=1)))</f>
        <v>0</v>
      </c>
      <c r="U220" s="12" t="b">
        <f aca="false">--OR($U219=1,AND($P220=1,OR($D220=8,$E220=8)))</f>
        <v>0</v>
      </c>
      <c r="V220" s="12" t="b">
        <f aca="false">--OR($V219=1,AND($P220=1,OR($D220=61,$E220=61)))</f>
        <v>0</v>
      </c>
      <c r="W220" s="12" t="b">
        <f aca="false">--OR($W219=1,AND($P220=1,OR($D220=57,$E220=57)))</f>
        <v>0</v>
      </c>
      <c r="X220" s="12" t="b">
        <f aca="false">--OR($X219=1,AND($P220=1,OR($D220=64,$E220=64)))</f>
        <v>0</v>
      </c>
      <c r="Y220" s="12" t="b">
        <f aca="false">--AND($P220=1,$K220="K",ABS($I220)=2)</f>
        <v>0</v>
      </c>
      <c r="Z220" s="12" t="b">
        <f aca="false">--AND($P220=1,$K220="P",ABS($I220)=1,$H220="")</f>
        <v>0</v>
      </c>
      <c r="AA220" s="12" t="b">
        <f aca="false">--AND($P220=1,$K220="P",INT(($E220-1)/8)=IF($F220="w",7,0))</f>
        <v>0</v>
      </c>
      <c r="AB220" s="11" t="str">
        <f aca="false">IF(LEN($C220)&gt;=5,IF(ISNUMBER(FIND(MID($C220,5,1),"qrbn")),UPPER(MID($C220,5,1)),"Q"),"Q")</f>
        <v>Q</v>
      </c>
      <c r="AC220" s="11" t="n">
        <f aca="false">IF($Y220=1,IF($I220=2,$D220+3,$D220-4),0)</f>
        <v>0</v>
      </c>
      <c r="AD220" s="11" t="n">
        <f aca="false">IF($Y220=1,IF($I220=2,$D220+1,$D220-1),0)</f>
        <v>0</v>
      </c>
      <c r="AE220" s="11" t="n">
        <f aca="false">IF($Z220=1,$E220-8*IF($F220="w",1,-1),0)</f>
        <v>0</v>
      </c>
      <c r="AF220" s="11" t="str">
        <f aca="false">IF($B220="","",IF($P220=1,LOWER(INDEX($CV$2:$CV$13,MATCH($G220,$CU$2:$CU$13,0)))&amp;" "&amp;MID("abcdefgh",MOD($D220-1,8)+1,1)&amp;(INT(($D220-1)/8)+1)&amp;"→"&amp;MID("abcdefgh",MOD($E220-1,8)+1,1)&amp;(INT(($E220-1)/8)+1)&amp;IF(OR($H220&lt;&gt;"",$Z220=1)," ×","")&amp;IF($Y220=1," castles","")&amp;IF($Z220=1," e.p.","")&amp;IF($AA220=1," =" &amp;LOWER(INDEX($CV$2:$CV$13,MATCH($F220&amp;$AB220,$CU$2:$CU$13,0))),""),"X "&amp;$Q220))</f>
        <v/>
      </c>
      <c r="AG220" s="11"/>
      <c r="AH220" s="11" t="str">
        <f aca="false">IF($P220=0,AH219,IF(AH$3=$E220,IF($AA220=1,$F220&amp;$AB220,$G220),IF(OR(AH$3=$D220,AH$3=$AC220,AH$3=$AE220),"",IF(AH$3=$AD220,$F220&amp;"R",AH219))))</f>
        <v>wR</v>
      </c>
      <c r="AI220" s="11" t="str">
        <f aca="false">IF($P220=0,AI219,IF(AI$3=$E220,IF($AA220=1,$F220&amp;$AB220,$G220),IF(OR(AI$3=$D220,AI$3=$AC220,AI$3=$AE220),"",IF(AI$3=$AD220,$F220&amp;"R",AI219))))</f>
        <v>wN</v>
      </c>
      <c r="AJ220" s="11" t="str">
        <f aca="false">IF($P220=0,AJ219,IF(AJ$3=$E220,IF($AA220=1,$F220&amp;$AB220,$G220),IF(OR(AJ$3=$D220,AJ$3=$AC220,AJ$3=$AE220),"",IF(AJ$3=$AD220,$F220&amp;"R",AJ219))))</f>
        <v>wB</v>
      </c>
      <c r="AK220" s="11" t="str">
        <f aca="false">IF($P220=0,AK219,IF(AK$3=$E220,IF($AA220=1,$F220&amp;$AB220,$G220),IF(OR(AK$3=$D220,AK$3=$AC220,AK$3=$AE220),"",IF(AK$3=$AD220,$F220&amp;"R",AK219))))</f>
        <v>wQ</v>
      </c>
      <c r="AL220" s="11" t="str">
        <f aca="false">IF($P220=0,AL219,IF(AL$3=$E220,IF($AA220=1,$F220&amp;$AB220,$G220),IF(OR(AL$3=$D220,AL$3=$AC220,AL$3=$AE220),"",IF(AL$3=$AD220,$F220&amp;"R",AL219))))</f>
        <v>wK</v>
      </c>
      <c r="AM220" s="11" t="str">
        <f aca="false">IF($P220=0,AM219,IF(AM$3=$E220,IF($AA220=1,$F220&amp;$AB220,$G220),IF(OR(AM$3=$D220,AM$3=$AC220,AM$3=$AE220),"",IF(AM$3=$AD220,$F220&amp;"R",AM219))))</f>
        <v>wB</v>
      </c>
      <c r="AN220" s="11" t="str">
        <f aca="false">IF($P220=0,AN219,IF(AN$3=$E220,IF($AA220=1,$F220&amp;$AB220,$G220),IF(OR(AN$3=$D220,AN$3=$AC220,AN$3=$AE220),"",IF(AN$3=$AD220,$F220&amp;"R",AN219))))</f>
        <v>wN</v>
      </c>
      <c r="AO220" s="11" t="str">
        <f aca="false">IF($P220=0,AO219,IF(AO$3=$E220,IF($AA220=1,$F220&amp;$AB220,$G220),IF(OR(AO$3=$D220,AO$3=$AC220,AO$3=$AE220),"",IF(AO$3=$AD220,$F220&amp;"R",AO219))))</f>
        <v>wR</v>
      </c>
      <c r="AP220" s="11" t="str">
        <f aca="false">IF($P220=0,AP219,IF(AP$3=$E220,IF($AA220=1,$F220&amp;$AB220,$G220),IF(OR(AP$3=$D220,AP$3=$AC220,AP$3=$AE220),"",IF(AP$3=$AD220,$F220&amp;"R",AP219))))</f>
        <v>wP</v>
      </c>
      <c r="AQ220" s="11" t="str">
        <f aca="false">IF($P220=0,AQ219,IF(AQ$3=$E220,IF($AA220=1,$F220&amp;$AB220,$G220),IF(OR(AQ$3=$D220,AQ$3=$AC220,AQ$3=$AE220),"",IF(AQ$3=$AD220,$F220&amp;"R",AQ219))))</f>
        <v>wP</v>
      </c>
      <c r="AR220" s="11" t="str">
        <f aca="false">IF($P220=0,AR219,IF(AR$3=$E220,IF($AA220=1,$F220&amp;$AB220,$G220),IF(OR(AR$3=$D220,AR$3=$AC220,AR$3=$AE220),"",IF(AR$3=$AD220,$F220&amp;"R",AR219))))</f>
        <v>wP</v>
      </c>
      <c r="AS220" s="11" t="str">
        <f aca="false">IF($P220=0,AS219,IF(AS$3=$E220,IF($AA220=1,$F220&amp;$AB220,$G220),IF(OR(AS$3=$D220,AS$3=$AC220,AS$3=$AE220),"",IF(AS$3=$AD220,$F220&amp;"R",AS219))))</f>
        <v>wP</v>
      </c>
      <c r="AT220" s="11" t="str">
        <f aca="false">IF($P220=0,AT219,IF(AT$3=$E220,IF($AA220=1,$F220&amp;$AB220,$G220),IF(OR(AT$3=$D220,AT$3=$AC220,AT$3=$AE220),"",IF(AT$3=$AD220,$F220&amp;"R",AT219))))</f>
        <v>wP</v>
      </c>
      <c r="AU220" s="11" t="str">
        <f aca="false">IF($P220=0,AU219,IF(AU$3=$E220,IF($AA220=1,$F220&amp;$AB220,$G220),IF(OR(AU$3=$D220,AU$3=$AC220,AU$3=$AE220),"",IF(AU$3=$AD220,$F220&amp;"R",AU219))))</f>
        <v>wP</v>
      </c>
      <c r="AV220" s="11" t="str">
        <f aca="false">IF($P220=0,AV219,IF(AV$3=$E220,IF($AA220=1,$F220&amp;$AB220,$G220),IF(OR(AV$3=$D220,AV$3=$AC220,AV$3=$AE220),"",IF(AV$3=$AD220,$F220&amp;"R",AV219))))</f>
        <v>wP</v>
      </c>
      <c r="AW220" s="11" t="str">
        <f aca="false">IF($P220=0,AW219,IF(AW$3=$E220,IF($AA220=1,$F220&amp;$AB220,$G220),IF(OR(AW$3=$D220,AW$3=$AC220,AW$3=$AE220),"",IF(AW$3=$AD220,$F220&amp;"R",AW219))))</f>
        <v>wP</v>
      </c>
      <c r="AX220" s="11" t="str">
        <f aca="false">IF($P220=0,AX219,IF(AX$3=$E220,IF($AA220=1,$F220&amp;$AB220,$G220),IF(OR(AX$3=$D220,AX$3=$AC220,AX$3=$AE220),"",IF(AX$3=$AD220,$F220&amp;"R",AX219))))</f>
        <v/>
      </c>
      <c r="AY220" s="11" t="str">
        <f aca="false">IF($P220=0,AY219,IF(AY$3=$E220,IF($AA220=1,$F220&amp;$AB220,$G220),IF(OR(AY$3=$D220,AY$3=$AC220,AY$3=$AE220),"",IF(AY$3=$AD220,$F220&amp;"R",AY219))))</f>
        <v/>
      </c>
      <c r="AZ220" s="11" t="str">
        <f aca="false">IF($P220=0,AZ219,IF(AZ$3=$E220,IF($AA220=1,$F220&amp;$AB220,$G220),IF(OR(AZ$3=$D220,AZ$3=$AC220,AZ$3=$AE220),"",IF(AZ$3=$AD220,$F220&amp;"R",AZ219))))</f>
        <v/>
      </c>
      <c r="BA220" s="11" t="str">
        <f aca="false">IF($P220=0,BA219,IF(BA$3=$E220,IF($AA220=1,$F220&amp;$AB220,$G220),IF(OR(BA$3=$D220,BA$3=$AC220,BA$3=$AE220),"",IF(BA$3=$AD220,$F220&amp;"R",BA219))))</f>
        <v/>
      </c>
      <c r="BB220" s="11" t="str">
        <f aca="false">IF($P220=0,BB219,IF(BB$3=$E220,IF($AA220=1,$F220&amp;$AB220,$G220),IF(OR(BB$3=$D220,BB$3=$AC220,BB$3=$AE220),"",IF(BB$3=$AD220,$F220&amp;"R",BB219))))</f>
        <v/>
      </c>
      <c r="BC220" s="11" t="str">
        <f aca="false">IF($P220=0,BC219,IF(BC$3=$E220,IF($AA220=1,$F220&amp;$AB220,$G220),IF(OR(BC$3=$D220,BC$3=$AC220,BC$3=$AE220),"",IF(BC$3=$AD220,$F220&amp;"R",BC219))))</f>
        <v/>
      </c>
      <c r="BD220" s="11" t="str">
        <f aca="false">IF($P220=0,BD219,IF(BD$3=$E220,IF($AA220=1,$F220&amp;$AB220,$G220),IF(OR(BD$3=$D220,BD$3=$AC220,BD$3=$AE220),"",IF(BD$3=$AD220,$F220&amp;"R",BD219))))</f>
        <v/>
      </c>
      <c r="BE220" s="11" t="str">
        <f aca="false">IF($P220=0,BE219,IF(BE$3=$E220,IF($AA220=1,$F220&amp;$AB220,$G220),IF(OR(BE$3=$D220,BE$3=$AC220,BE$3=$AE220),"",IF(BE$3=$AD220,$F220&amp;"R",BE219))))</f>
        <v/>
      </c>
      <c r="BF220" s="11" t="str">
        <f aca="false">IF($P220=0,BF219,IF(BF$3=$E220,IF($AA220=1,$F220&amp;$AB220,$G220),IF(OR(BF$3=$D220,BF$3=$AC220,BF$3=$AE220),"",IF(BF$3=$AD220,$F220&amp;"R",BF219))))</f>
        <v/>
      </c>
      <c r="BG220" s="11" t="str">
        <f aca="false">IF($P220=0,BG219,IF(BG$3=$E220,IF($AA220=1,$F220&amp;$AB220,$G220),IF(OR(BG$3=$D220,BG$3=$AC220,BG$3=$AE220),"",IF(BG$3=$AD220,$F220&amp;"R",BG219))))</f>
        <v/>
      </c>
      <c r="BH220" s="11" t="str">
        <f aca="false">IF($P220=0,BH219,IF(BH$3=$E220,IF($AA220=1,$F220&amp;$AB220,$G220),IF(OR(BH$3=$D220,BH$3=$AC220,BH$3=$AE220),"",IF(BH$3=$AD220,$F220&amp;"R",BH219))))</f>
        <v/>
      </c>
      <c r="BI220" s="11" t="str">
        <f aca="false">IF($P220=0,BI219,IF(BI$3=$E220,IF($AA220=1,$F220&amp;$AB220,$G220),IF(OR(BI$3=$D220,BI$3=$AC220,BI$3=$AE220),"",IF(BI$3=$AD220,$F220&amp;"R",BI219))))</f>
        <v/>
      </c>
      <c r="BJ220" s="11" t="str">
        <f aca="false">IF($P220=0,BJ219,IF(BJ$3=$E220,IF($AA220=1,$F220&amp;$AB220,$G220),IF(OR(BJ$3=$D220,BJ$3=$AC220,BJ$3=$AE220),"",IF(BJ$3=$AD220,$F220&amp;"R",BJ219))))</f>
        <v/>
      </c>
      <c r="BK220" s="11" t="str">
        <f aca="false">IF($P220=0,BK219,IF(BK$3=$E220,IF($AA220=1,$F220&amp;$AB220,$G220),IF(OR(BK$3=$D220,BK$3=$AC220,BK$3=$AE220),"",IF(BK$3=$AD220,$F220&amp;"R",BK219))))</f>
        <v/>
      </c>
      <c r="BL220" s="11" t="str">
        <f aca="false">IF($P220=0,BL219,IF(BL$3=$E220,IF($AA220=1,$F220&amp;$AB220,$G220),IF(OR(BL$3=$D220,BL$3=$AC220,BL$3=$AE220),"",IF(BL$3=$AD220,$F220&amp;"R",BL219))))</f>
        <v/>
      </c>
      <c r="BM220" s="11" t="str">
        <f aca="false">IF($P220=0,BM219,IF(BM$3=$E220,IF($AA220=1,$F220&amp;$AB220,$G220),IF(OR(BM$3=$D220,BM$3=$AC220,BM$3=$AE220),"",IF(BM$3=$AD220,$F220&amp;"R",BM219))))</f>
        <v/>
      </c>
      <c r="BN220" s="11" t="str">
        <f aca="false">IF($P220=0,BN219,IF(BN$3=$E220,IF($AA220=1,$F220&amp;$AB220,$G220),IF(OR(BN$3=$D220,BN$3=$AC220,BN$3=$AE220),"",IF(BN$3=$AD220,$F220&amp;"R",BN219))))</f>
        <v/>
      </c>
      <c r="BO220" s="11" t="str">
        <f aca="false">IF($P220=0,BO219,IF(BO$3=$E220,IF($AA220=1,$F220&amp;$AB220,$G220),IF(OR(BO$3=$D220,BO$3=$AC220,BO$3=$AE220),"",IF(BO$3=$AD220,$F220&amp;"R",BO219))))</f>
        <v/>
      </c>
      <c r="BP220" s="11" t="str">
        <f aca="false">IF($P220=0,BP219,IF(BP$3=$E220,IF($AA220=1,$F220&amp;$AB220,$G220),IF(OR(BP$3=$D220,BP$3=$AC220,BP$3=$AE220),"",IF(BP$3=$AD220,$F220&amp;"R",BP219))))</f>
        <v/>
      </c>
      <c r="BQ220" s="11" t="str">
        <f aca="false">IF($P220=0,BQ219,IF(BQ$3=$E220,IF($AA220=1,$F220&amp;$AB220,$G220),IF(OR(BQ$3=$D220,BQ$3=$AC220,BQ$3=$AE220),"",IF(BQ$3=$AD220,$F220&amp;"R",BQ219))))</f>
        <v/>
      </c>
      <c r="BR220" s="11" t="str">
        <f aca="false">IF($P220=0,BR219,IF(BR$3=$E220,IF($AA220=1,$F220&amp;$AB220,$G220),IF(OR(BR$3=$D220,BR$3=$AC220,BR$3=$AE220),"",IF(BR$3=$AD220,$F220&amp;"R",BR219))))</f>
        <v/>
      </c>
      <c r="BS220" s="11" t="str">
        <f aca="false">IF($P220=0,BS219,IF(BS$3=$E220,IF($AA220=1,$F220&amp;$AB220,$G220),IF(OR(BS$3=$D220,BS$3=$AC220,BS$3=$AE220),"",IF(BS$3=$AD220,$F220&amp;"R",BS219))))</f>
        <v/>
      </c>
      <c r="BT220" s="11" t="str">
        <f aca="false">IF($P220=0,BT219,IF(BT$3=$E220,IF($AA220=1,$F220&amp;$AB220,$G220),IF(OR(BT$3=$D220,BT$3=$AC220,BT$3=$AE220),"",IF(BT$3=$AD220,$F220&amp;"R",BT219))))</f>
        <v/>
      </c>
      <c r="BU220" s="11" t="str">
        <f aca="false">IF($P220=0,BU219,IF(BU$3=$E220,IF($AA220=1,$F220&amp;$AB220,$G220),IF(OR(BU$3=$D220,BU$3=$AC220,BU$3=$AE220),"",IF(BU$3=$AD220,$F220&amp;"R",BU219))))</f>
        <v/>
      </c>
      <c r="BV220" s="11" t="str">
        <f aca="false">IF($P220=0,BV219,IF(BV$3=$E220,IF($AA220=1,$F220&amp;$AB220,$G220),IF(OR(BV$3=$D220,BV$3=$AC220,BV$3=$AE220),"",IF(BV$3=$AD220,$F220&amp;"R",BV219))))</f>
        <v/>
      </c>
      <c r="BW220" s="11" t="str">
        <f aca="false">IF($P220=0,BW219,IF(BW$3=$E220,IF($AA220=1,$F220&amp;$AB220,$G220),IF(OR(BW$3=$D220,BW$3=$AC220,BW$3=$AE220),"",IF(BW$3=$AD220,$F220&amp;"R",BW219))))</f>
        <v/>
      </c>
      <c r="BX220" s="11" t="str">
        <f aca="false">IF($P220=0,BX219,IF(BX$3=$E220,IF($AA220=1,$F220&amp;$AB220,$G220),IF(OR(BX$3=$D220,BX$3=$AC220,BX$3=$AE220),"",IF(BX$3=$AD220,$F220&amp;"R",BX219))))</f>
        <v/>
      </c>
      <c r="BY220" s="11" t="str">
        <f aca="false">IF($P220=0,BY219,IF(BY$3=$E220,IF($AA220=1,$F220&amp;$AB220,$G220),IF(OR(BY$3=$D220,BY$3=$AC220,BY$3=$AE220),"",IF(BY$3=$AD220,$F220&amp;"R",BY219))))</f>
        <v/>
      </c>
      <c r="BZ220" s="11" t="str">
        <f aca="false">IF($P220=0,BZ219,IF(BZ$3=$E220,IF($AA220=1,$F220&amp;$AB220,$G220),IF(OR(BZ$3=$D220,BZ$3=$AC220,BZ$3=$AE220),"",IF(BZ$3=$AD220,$F220&amp;"R",BZ219))))</f>
        <v/>
      </c>
      <c r="CA220" s="11" t="str">
        <f aca="false">IF($P220=0,CA219,IF(CA$3=$E220,IF($AA220=1,$F220&amp;$AB220,$G220),IF(OR(CA$3=$D220,CA$3=$AC220,CA$3=$AE220),"",IF(CA$3=$AD220,$F220&amp;"R",CA219))))</f>
        <v/>
      </c>
      <c r="CB220" s="11" t="str">
        <f aca="false">IF($P220=0,CB219,IF(CB$3=$E220,IF($AA220=1,$F220&amp;$AB220,$G220),IF(OR(CB$3=$D220,CB$3=$AC220,CB$3=$AE220),"",IF(CB$3=$AD220,$F220&amp;"R",CB219))))</f>
        <v/>
      </c>
      <c r="CC220" s="11" t="str">
        <f aca="false">IF($P220=0,CC219,IF(CC$3=$E220,IF($AA220=1,$F220&amp;$AB220,$G220),IF(OR(CC$3=$D220,CC$3=$AC220,CC$3=$AE220),"",IF(CC$3=$AD220,$F220&amp;"R",CC219))))</f>
        <v/>
      </c>
      <c r="CD220" s="11" t="str">
        <f aca="false">IF($P220=0,CD219,IF(CD$3=$E220,IF($AA220=1,$F220&amp;$AB220,$G220),IF(OR(CD$3=$D220,CD$3=$AC220,CD$3=$AE220),"",IF(CD$3=$AD220,$F220&amp;"R",CD219))))</f>
        <v>bP</v>
      </c>
      <c r="CE220" s="11" t="str">
        <f aca="false">IF($P220=0,CE219,IF(CE$3=$E220,IF($AA220=1,$F220&amp;$AB220,$G220),IF(OR(CE$3=$D220,CE$3=$AC220,CE$3=$AE220),"",IF(CE$3=$AD220,$F220&amp;"R",CE219))))</f>
        <v>bP</v>
      </c>
      <c r="CF220" s="11" t="str">
        <f aca="false">IF($P220=0,CF219,IF(CF$3=$E220,IF($AA220=1,$F220&amp;$AB220,$G220),IF(OR(CF$3=$D220,CF$3=$AC220,CF$3=$AE220),"",IF(CF$3=$AD220,$F220&amp;"R",CF219))))</f>
        <v>bP</v>
      </c>
      <c r="CG220" s="11" t="str">
        <f aca="false">IF($P220=0,CG219,IF(CG$3=$E220,IF($AA220=1,$F220&amp;$AB220,$G220),IF(OR(CG$3=$D220,CG$3=$AC220,CG$3=$AE220),"",IF(CG$3=$AD220,$F220&amp;"R",CG219))))</f>
        <v>bP</v>
      </c>
      <c r="CH220" s="11" t="str">
        <f aca="false">IF($P220=0,CH219,IF(CH$3=$E220,IF($AA220=1,$F220&amp;$AB220,$G220),IF(OR(CH$3=$D220,CH$3=$AC220,CH$3=$AE220),"",IF(CH$3=$AD220,$F220&amp;"R",CH219))))</f>
        <v>bP</v>
      </c>
      <c r="CI220" s="11" t="str">
        <f aca="false">IF($P220=0,CI219,IF(CI$3=$E220,IF($AA220=1,$F220&amp;$AB220,$G220),IF(OR(CI$3=$D220,CI$3=$AC220,CI$3=$AE220),"",IF(CI$3=$AD220,$F220&amp;"R",CI219))))</f>
        <v>bP</v>
      </c>
      <c r="CJ220" s="11" t="str">
        <f aca="false">IF($P220=0,CJ219,IF(CJ$3=$E220,IF($AA220=1,$F220&amp;$AB220,$G220),IF(OR(CJ$3=$D220,CJ$3=$AC220,CJ$3=$AE220),"",IF(CJ$3=$AD220,$F220&amp;"R",CJ219))))</f>
        <v>bP</v>
      </c>
      <c r="CK220" s="11" t="str">
        <f aca="false">IF($P220=0,CK219,IF(CK$3=$E220,IF($AA220=1,$F220&amp;$AB220,$G220),IF(OR(CK$3=$D220,CK$3=$AC220,CK$3=$AE220),"",IF(CK$3=$AD220,$F220&amp;"R",CK219))))</f>
        <v>bP</v>
      </c>
      <c r="CL220" s="11" t="str">
        <f aca="false">IF($P220=0,CL219,IF(CL$3=$E220,IF($AA220=1,$F220&amp;$AB220,$G220),IF(OR(CL$3=$D220,CL$3=$AC220,CL$3=$AE220),"",IF(CL$3=$AD220,$F220&amp;"R",CL219))))</f>
        <v>bR</v>
      </c>
      <c r="CM220" s="11" t="str">
        <f aca="false">IF($P220=0,CM219,IF(CM$3=$E220,IF($AA220=1,$F220&amp;$AB220,$G220),IF(OR(CM$3=$D220,CM$3=$AC220,CM$3=$AE220),"",IF(CM$3=$AD220,$F220&amp;"R",CM219))))</f>
        <v>bN</v>
      </c>
      <c r="CN220" s="11" t="str">
        <f aca="false">IF($P220=0,CN219,IF(CN$3=$E220,IF($AA220=1,$F220&amp;$AB220,$G220),IF(OR(CN$3=$D220,CN$3=$AC220,CN$3=$AE220),"",IF(CN$3=$AD220,$F220&amp;"R",CN219))))</f>
        <v>bB</v>
      </c>
      <c r="CO220" s="11" t="str">
        <f aca="false">IF($P220=0,CO219,IF(CO$3=$E220,IF($AA220=1,$F220&amp;$AB220,$G220),IF(OR(CO$3=$D220,CO$3=$AC220,CO$3=$AE220),"",IF(CO$3=$AD220,$F220&amp;"R",CO219))))</f>
        <v>bQ</v>
      </c>
      <c r="CP220" s="11" t="str">
        <f aca="false">IF($P220=0,CP219,IF(CP$3=$E220,IF($AA220=1,$F220&amp;$AB220,$G220),IF(OR(CP$3=$D220,CP$3=$AC220,CP$3=$AE220),"",IF(CP$3=$AD220,$F220&amp;"R",CP219))))</f>
        <v>bK</v>
      </c>
      <c r="CQ220" s="11" t="str">
        <f aca="false">IF($P220=0,CQ219,IF(CQ$3=$E220,IF($AA220=1,$F220&amp;$AB220,$G220),IF(OR(CQ$3=$D220,CQ$3=$AC220,CQ$3=$AE220),"",IF(CQ$3=$AD220,$F220&amp;"R",CQ219))))</f>
        <v>bB</v>
      </c>
      <c r="CR220" s="11" t="str">
        <f aca="false">IF($P220=0,CR219,IF(CR$3=$E220,IF($AA220=1,$F220&amp;$AB220,$G220),IF(OR(CR$3=$D220,CR$3=$AC220,CR$3=$AE220),"",IF(CR$3=$AD220,$F220&amp;"R",CR219))))</f>
        <v>bN</v>
      </c>
      <c r="CS220" s="11" t="str">
        <f aca="false">IF($P220=0,CS219,IF(CS$3=$E220,IF($AA220=1,$F220&amp;$AB220,$G220),IF(OR(CS$3=$D220,CS$3=$AC220,CS$3=$AE220),"",IF(CS$3=$AD220,$F220&amp;"R",CS219))))</f>
        <v>bR</v>
      </c>
      <c r="CT220" s="11"/>
      <c r="CU220" s="11"/>
      <c r="CV220" s="11"/>
    </row>
    <row r="221" customFormat="false" ht="15" hidden="false" customHeight="false" outlineLevel="0" collapsed="false">
      <c r="A221" s="11" t="n">
        <v>216</v>
      </c>
      <c r="B221" s="11" t="str">
        <f aca="false">IF(Chess!$L$225="","",Chess!$L$225&amp;"")</f>
        <v/>
      </c>
      <c r="C221" s="11" t="str">
        <f aca="false">LOWER(SUBSTITUTE(SUBSTITUTE(SUBSTITUTE(SUBSTITUTE(TRIM($B221),"-",""),"=","")," ",""),"x",""))</f>
        <v/>
      </c>
      <c r="D221" s="11" t="n">
        <f aca="false">IF(LEN($C221)&lt;4,0,IFERROR(IF(AND(CODE(MID($C221,1,1))&gt;=97,CODE(MID($C221,1,1))&lt;=104,VALUE(MID($C221,2,1))&gt;=1,VALUE(MID($C221,2,1))&lt;=8),(VALUE(MID($C221,2,1))-1)*8+CODE(MID($C221,1,1))-96,0),0))</f>
        <v>0</v>
      </c>
      <c r="E221" s="11" t="n">
        <f aca="false">IF(LEN($C221)&lt;4,0,IFERROR(IF(AND(CODE(MID($C221,3,1))&gt;=97,CODE(MID($C221,3,1))&lt;=104,VALUE(MID($C221,4,1))&gt;=1,VALUE(MID($C221,4,1))&lt;=8),(VALUE(MID($C221,4,1))-1)*8+CODE(MID($C221,3,1))-96,0),0))</f>
        <v>0</v>
      </c>
      <c r="F221" s="11" t="str">
        <f aca="false">IF(MOD(SUM($P$5:$P220),2)=0,"w","b")</f>
        <v>w</v>
      </c>
      <c r="G221" s="11" t="str">
        <f aca="false">IF($D221=0,"",INDEX($AH220:$CS220,1,$D221)&amp;"")</f>
        <v/>
      </c>
      <c r="H221" s="11" t="str">
        <f aca="false">IF($E221=0,"",INDEX($AH220:$CS220,1,$E221)&amp;"")</f>
        <v/>
      </c>
      <c r="I221" s="11" t="n">
        <f aca="false">IF(OR($D221=0,$E221=0),0,MOD($E221-1,8)-MOD($D221-1,8))</f>
        <v>0</v>
      </c>
      <c r="J221" s="11" t="n">
        <f aca="false">IF(OR($D221=0,$E221=0),0,INT(($E221-1)/8)-INT(($D221-1)/8))</f>
        <v>0</v>
      </c>
      <c r="K221" s="11" t="str">
        <f aca="false">IF($G221="","",RIGHT($G221,1))</f>
        <v/>
      </c>
      <c r="L221" s="11" t="n">
        <f aca="false">IF(OR($D221=0,$E221=0),0,SUMPRODUCT(($AH$3:$CS$3&gt;MIN($D221,$E221))*($AH$3:$CS$3&lt;MAX($D221,$E221))*(MOD($AH$3:$CS$3-MIN($D221,$E221),MAX(1,ABS(SIGN($J221)*8+SIGN($I221))))=0)*($AH220:$CS220&lt;&gt;"")))</f>
        <v>0</v>
      </c>
      <c r="M221" s="11" t="n">
        <f aca="false">IF($K221&lt;&gt;"K",0,IFERROR(--AND($J221=0,ABS($I221)=2,$D221=IF($F221="w",5,61),IF($F221="w",$S220,$V220)=0,IF($I221=2,AND(IF($F221="w",$U220,$X220)=0,INDEX($AH220:$CS220,1,$D221+1)&amp;""="",INDEX($AH220:$CS220,1,$D221+2)&amp;""=""),AND(IF($F221="w",$T220,$W220)=0,INDEX($AH220:$CS220,1,$D221-1)&amp;""="",INDEX($AH220:$CS220,1,$D221-2)&amp;""="",INDEX($AH220:$CS220,1,$D221-3)&amp;""=""))),0))</f>
        <v>0</v>
      </c>
      <c r="N221" s="11" t="n">
        <f aca="false">IF($K221&lt;&gt;"P",0,IFERROR(--OR(AND($I221=0,$J221=IF($F221="w",1,-1),$H221=""),AND($I221=0,$J221=2*IF($F221="w",1,-1),$H221="",INT(($D221-1)/8)=IF($F221="w",1,6),INDEX($AH220:$CS220,1,MAX(1,MIN(64,$D221+8*IF($F221="w",1,-1))))&amp;""=""),AND(ABS($I221)=1,$J221=IF($F221="w",1,-1),$H221&lt;&gt;""),AND(ABS($I221)=1,$J221=IF($F221="w",1,-1),$H221="",$R220&gt;0,$E221=$R220)),0))</f>
        <v>0</v>
      </c>
      <c r="O221" s="11" t="n">
        <f aca="false">IF(OR($D221=0,$E221=0,$G221=""),0,IF($K221="N",--OR(AND(ABS($I221)=1,ABS($J221)=2),AND(ABS($I221)=2,ABS($J221)=1)),IF($K221="B",--AND(ABS($I221)=ABS($J221),$I221&lt;&gt;0,$L221=0),IF($K221="R",--AND(OR($I221=0,$J221=0),OR($I221&lt;&gt;0,$J221&lt;&gt;0),$L221=0),IF($K221="Q",--AND(OR(AND(ABS($I221)=ABS($J221),$I221&lt;&gt;0),AND(OR($I221=0,$J221=0),OR($I221&lt;&gt;0,$J221&lt;&gt;0))),$L221=0),IF($K221="K",--OR(MAX(ABS($I221),ABS($J221))=1,$M221=1),$N221))))))</f>
        <v>0</v>
      </c>
      <c r="P221" s="11" t="n">
        <f aca="false">IF($Q221="OK",1,0)</f>
        <v>0</v>
      </c>
      <c r="Q221" s="11" t="str">
        <f aca="false">IF($B221="","",IF(OR(COUNTIF($AH220:$CS220,"wK")=0,COUNTIF($AH220:$CS220,"bK")=0),"Game is over",IF(OR($D221=0,$E221=0),"Use the format e2e4",IF($G221="","No piece on that square",IF(LEFT($G221,1)&lt;&gt;$F221,"Not your piece ("&amp;IF($F221="w","White","Black")&amp;" to move)",IF($D221=$E221,"Piece must move",IF(AND($H221&lt;&gt;"",LEFT($H221,1)=$F221),"Cannot capture your own piece",IF($O221=0,"Illegal move for that piece (or path blocked)","OK"))))))))</f>
        <v/>
      </c>
      <c r="R221" s="11" t="n">
        <f aca="false">IF($P221=1,IF(AND($K221="P",ABS($J221)=2),($D221+$E221)/2,0),$R220)</f>
        <v>0</v>
      </c>
      <c r="S221" s="12" t="b">
        <f aca="false">--OR($S220=1,AND($P221=1,OR($D221=5,$E221=5)))</f>
        <v>0</v>
      </c>
      <c r="T221" s="12" t="b">
        <f aca="false">--OR($T220=1,AND($P221=1,OR($D221=1,$E221=1)))</f>
        <v>0</v>
      </c>
      <c r="U221" s="12" t="b">
        <f aca="false">--OR($U220=1,AND($P221=1,OR($D221=8,$E221=8)))</f>
        <v>0</v>
      </c>
      <c r="V221" s="12" t="b">
        <f aca="false">--OR($V220=1,AND($P221=1,OR($D221=61,$E221=61)))</f>
        <v>0</v>
      </c>
      <c r="W221" s="12" t="b">
        <f aca="false">--OR($W220=1,AND($P221=1,OR($D221=57,$E221=57)))</f>
        <v>0</v>
      </c>
      <c r="X221" s="12" t="b">
        <f aca="false">--OR($X220=1,AND($P221=1,OR($D221=64,$E221=64)))</f>
        <v>0</v>
      </c>
      <c r="Y221" s="12" t="b">
        <f aca="false">--AND($P221=1,$K221="K",ABS($I221)=2)</f>
        <v>0</v>
      </c>
      <c r="Z221" s="12" t="b">
        <f aca="false">--AND($P221=1,$K221="P",ABS($I221)=1,$H221="")</f>
        <v>0</v>
      </c>
      <c r="AA221" s="12" t="b">
        <f aca="false">--AND($P221=1,$K221="P",INT(($E221-1)/8)=IF($F221="w",7,0))</f>
        <v>0</v>
      </c>
      <c r="AB221" s="11" t="str">
        <f aca="false">IF(LEN($C221)&gt;=5,IF(ISNUMBER(FIND(MID($C221,5,1),"qrbn")),UPPER(MID($C221,5,1)),"Q"),"Q")</f>
        <v>Q</v>
      </c>
      <c r="AC221" s="11" t="n">
        <f aca="false">IF($Y221=1,IF($I221=2,$D221+3,$D221-4),0)</f>
        <v>0</v>
      </c>
      <c r="AD221" s="11" t="n">
        <f aca="false">IF($Y221=1,IF($I221=2,$D221+1,$D221-1),0)</f>
        <v>0</v>
      </c>
      <c r="AE221" s="11" t="n">
        <f aca="false">IF($Z221=1,$E221-8*IF($F221="w",1,-1),0)</f>
        <v>0</v>
      </c>
      <c r="AF221" s="11" t="str">
        <f aca="false">IF($B221="","",IF($P221=1,LOWER(INDEX($CV$2:$CV$13,MATCH($G221,$CU$2:$CU$13,0)))&amp;" "&amp;MID("abcdefgh",MOD($D221-1,8)+1,1)&amp;(INT(($D221-1)/8)+1)&amp;"→"&amp;MID("abcdefgh",MOD($E221-1,8)+1,1)&amp;(INT(($E221-1)/8)+1)&amp;IF(OR($H221&lt;&gt;"",$Z221=1)," ×","")&amp;IF($Y221=1," castles","")&amp;IF($Z221=1," e.p.","")&amp;IF($AA221=1," =" &amp;LOWER(INDEX($CV$2:$CV$13,MATCH($F221&amp;$AB221,$CU$2:$CU$13,0))),""),"X "&amp;$Q221))</f>
        <v/>
      </c>
      <c r="AG221" s="11"/>
      <c r="AH221" s="11" t="str">
        <f aca="false">IF($P221=0,AH220,IF(AH$3=$E221,IF($AA221=1,$F221&amp;$AB221,$G221),IF(OR(AH$3=$D221,AH$3=$AC221,AH$3=$AE221),"",IF(AH$3=$AD221,$F221&amp;"R",AH220))))</f>
        <v>wR</v>
      </c>
      <c r="AI221" s="11" t="str">
        <f aca="false">IF($P221=0,AI220,IF(AI$3=$E221,IF($AA221=1,$F221&amp;$AB221,$G221),IF(OR(AI$3=$D221,AI$3=$AC221,AI$3=$AE221),"",IF(AI$3=$AD221,$F221&amp;"R",AI220))))</f>
        <v>wN</v>
      </c>
      <c r="AJ221" s="11" t="str">
        <f aca="false">IF($P221=0,AJ220,IF(AJ$3=$E221,IF($AA221=1,$F221&amp;$AB221,$G221),IF(OR(AJ$3=$D221,AJ$3=$AC221,AJ$3=$AE221),"",IF(AJ$3=$AD221,$F221&amp;"R",AJ220))))</f>
        <v>wB</v>
      </c>
      <c r="AK221" s="11" t="str">
        <f aca="false">IF($P221=0,AK220,IF(AK$3=$E221,IF($AA221=1,$F221&amp;$AB221,$G221),IF(OR(AK$3=$D221,AK$3=$AC221,AK$3=$AE221),"",IF(AK$3=$AD221,$F221&amp;"R",AK220))))</f>
        <v>wQ</v>
      </c>
      <c r="AL221" s="11" t="str">
        <f aca="false">IF($P221=0,AL220,IF(AL$3=$E221,IF($AA221=1,$F221&amp;$AB221,$G221),IF(OR(AL$3=$D221,AL$3=$AC221,AL$3=$AE221),"",IF(AL$3=$AD221,$F221&amp;"R",AL220))))</f>
        <v>wK</v>
      </c>
      <c r="AM221" s="11" t="str">
        <f aca="false">IF($P221=0,AM220,IF(AM$3=$E221,IF($AA221=1,$F221&amp;$AB221,$G221),IF(OR(AM$3=$D221,AM$3=$AC221,AM$3=$AE221),"",IF(AM$3=$AD221,$F221&amp;"R",AM220))))</f>
        <v>wB</v>
      </c>
      <c r="AN221" s="11" t="str">
        <f aca="false">IF($P221=0,AN220,IF(AN$3=$E221,IF($AA221=1,$F221&amp;$AB221,$G221),IF(OR(AN$3=$D221,AN$3=$AC221,AN$3=$AE221),"",IF(AN$3=$AD221,$F221&amp;"R",AN220))))</f>
        <v>wN</v>
      </c>
      <c r="AO221" s="11" t="str">
        <f aca="false">IF($P221=0,AO220,IF(AO$3=$E221,IF($AA221=1,$F221&amp;$AB221,$G221),IF(OR(AO$3=$D221,AO$3=$AC221,AO$3=$AE221),"",IF(AO$3=$AD221,$F221&amp;"R",AO220))))</f>
        <v>wR</v>
      </c>
      <c r="AP221" s="11" t="str">
        <f aca="false">IF($P221=0,AP220,IF(AP$3=$E221,IF($AA221=1,$F221&amp;$AB221,$G221),IF(OR(AP$3=$D221,AP$3=$AC221,AP$3=$AE221),"",IF(AP$3=$AD221,$F221&amp;"R",AP220))))</f>
        <v>wP</v>
      </c>
      <c r="AQ221" s="11" t="str">
        <f aca="false">IF($P221=0,AQ220,IF(AQ$3=$E221,IF($AA221=1,$F221&amp;$AB221,$G221),IF(OR(AQ$3=$D221,AQ$3=$AC221,AQ$3=$AE221),"",IF(AQ$3=$AD221,$F221&amp;"R",AQ220))))</f>
        <v>wP</v>
      </c>
      <c r="AR221" s="11" t="str">
        <f aca="false">IF($P221=0,AR220,IF(AR$3=$E221,IF($AA221=1,$F221&amp;$AB221,$G221),IF(OR(AR$3=$D221,AR$3=$AC221,AR$3=$AE221),"",IF(AR$3=$AD221,$F221&amp;"R",AR220))))</f>
        <v>wP</v>
      </c>
      <c r="AS221" s="11" t="str">
        <f aca="false">IF($P221=0,AS220,IF(AS$3=$E221,IF($AA221=1,$F221&amp;$AB221,$G221),IF(OR(AS$3=$D221,AS$3=$AC221,AS$3=$AE221),"",IF(AS$3=$AD221,$F221&amp;"R",AS220))))</f>
        <v>wP</v>
      </c>
      <c r="AT221" s="11" t="str">
        <f aca="false">IF($P221=0,AT220,IF(AT$3=$E221,IF($AA221=1,$F221&amp;$AB221,$G221),IF(OR(AT$3=$D221,AT$3=$AC221,AT$3=$AE221),"",IF(AT$3=$AD221,$F221&amp;"R",AT220))))</f>
        <v>wP</v>
      </c>
      <c r="AU221" s="11" t="str">
        <f aca="false">IF($P221=0,AU220,IF(AU$3=$E221,IF($AA221=1,$F221&amp;$AB221,$G221),IF(OR(AU$3=$D221,AU$3=$AC221,AU$3=$AE221),"",IF(AU$3=$AD221,$F221&amp;"R",AU220))))</f>
        <v>wP</v>
      </c>
      <c r="AV221" s="11" t="str">
        <f aca="false">IF($P221=0,AV220,IF(AV$3=$E221,IF($AA221=1,$F221&amp;$AB221,$G221),IF(OR(AV$3=$D221,AV$3=$AC221,AV$3=$AE221),"",IF(AV$3=$AD221,$F221&amp;"R",AV220))))</f>
        <v>wP</v>
      </c>
      <c r="AW221" s="11" t="str">
        <f aca="false">IF($P221=0,AW220,IF(AW$3=$E221,IF($AA221=1,$F221&amp;$AB221,$G221),IF(OR(AW$3=$D221,AW$3=$AC221,AW$3=$AE221),"",IF(AW$3=$AD221,$F221&amp;"R",AW220))))</f>
        <v>wP</v>
      </c>
      <c r="AX221" s="11" t="str">
        <f aca="false">IF($P221=0,AX220,IF(AX$3=$E221,IF($AA221=1,$F221&amp;$AB221,$G221),IF(OR(AX$3=$D221,AX$3=$AC221,AX$3=$AE221),"",IF(AX$3=$AD221,$F221&amp;"R",AX220))))</f>
        <v/>
      </c>
      <c r="AY221" s="11" t="str">
        <f aca="false">IF($P221=0,AY220,IF(AY$3=$E221,IF($AA221=1,$F221&amp;$AB221,$G221),IF(OR(AY$3=$D221,AY$3=$AC221,AY$3=$AE221),"",IF(AY$3=$AD221,$F221&amp;"R",AY220))))</f>
        <v/>
      </c>
      <c r="AZ221" s="11" t="str">
        <f aca="false">IF($P221=0,AZ220,IF(AZ$3=$E221,IF($AA221=1,$F221&amp;$AB221,$G221),IF(OR(AZ$3=$D221,AZ$3=$AC221,AZ$3=$AE221),"",IF(AZ$3=$AD221,$F221&amp;"R",AZ220))))</f>
        <v/>
      </c>
      <c r="BA221" s="11" t="str">
        <f aca="false">IF($P221=0,BA220,IF(BA$3=$E221,IF($AA221=1,$F221&amp;$AB221,$G221),IF(OR(BA$3=$D221,BA$3=$AC221,BA$3=$AE221),"",IF(BA$3=$AD221,$F221&amp;"R",BA220))))</f>
        <v/>
      </c>
      <c r="BB221" s="11" t="str">
        <f aca="false">IF($P221=0,BB220,IF(BB$3=$E221,IF($AA221=1,$F221&amp;$AB221,$G221),IF(OR(BB$3=$D221,BB$3=$AC221,BB$3=$AE221),"",IF(BB$3=$AD221,$F221&amp;"R",BB220))))</f>
        <v/>
      </c>
      <c r="BC221" s="11" t="str">
        <f aca="false">IF($P221=0,BC220,IF(BC$3=$E221,IF($AA221=1,$F221&amp;$AB221,$G221),IF(OR(BC$3=$D221,BC$3=$AC221,BC$3=$AE221),"",IF(BC$3=$AD221,$F221&amp;"R",BC220))))</f>
        <v/>
      </c>
      <c r="BD221" s="11" t="str">
        <f aca="false">IF($P221=0,BD220,IF(BD$3=$E221,IF($AA221=1,$F221&amp;$AB221,$G221),IF(OR(BD$3=$D221,BD$3=$AC221,BD$3=$AE221),"",IF(BD$3=$AD221,$F221&amp;"R",BD220))))</f>
        <v/>
      </c>
      <c r="BE221" s="11" t="str">
        <f aca="false">IF($P221=0,BE220,IF(BE$3=$E221,IF($AA221=1,$F221&amp;$AB221,$G221),IF(OR(BE$3=$D221,BE$3=$AC221,BE$3=$AE221),"",IF(BE$3=$AD221,$F221&amp;"R",BE220))))</f>
        <v/>
      </c>
      <c r="BF221" s="11" t="str">
        <f aca="false">IF($P221=0,BF220,IF(BF$3=$E221,IF($AA221=1,$F221&amp;$AB221,$G221),IF(OR(BF$3=$D221,BF$3=$AC221,BF$3=$AE221),"",IF(BF$3=$AD221,$F221&amp;"R",BF220))))</f>
        <v/>
      </c>
      <c r="BG221" s="11" t="str">
        <f aca="false">IF($P221=0,BG220,IF(BG$3=$E221,IF($AA221=1,$F221&amp;$AB221,$G221),IF(OR(BG$3=$D221,BG$3=$AC221,BG$3=$AE221),"",IF(BG$3=$AD221,$F221&amp;"R",BG220))))</f>
        <v/>
      </c>
      <c r="BH221" s="11" t="str">
        <f aca="false">IF($P221=0,BH220,IF(BH$3=$E221,IF($AA221=1,$F221&amp;$AB221,$G221),IF(OR(BH$3=$D221,BH$3=$AC221,BH$3=$AE221),"",IF(BH$3=$AD221,$F221&amp;"R",BH220))))</f>
        <v/>
      </c>
      <c r="BI221" s="11" t="str">
        <f aca="false">IF($P221=0,BI220,IF(BI$3=$E221,IF($AA221=1,$F221&amp;$AB221,$G221),IF(OR(BI$3=$D221,BI$3=$AC221,BI$3=$AE221),"",IF(BI$3=$AD221,$F221&amp;"R",BI220))))</f>
        <v/>
      </c>
      <c r="BJ221" s="11" t="str">
        <f aca="false">IF($P221=0,BJ220,IF(BJ$3=$E221,IF($AA221=1,$F221&amp;$AB221,$G221),IF(OR(BJ$3=$D221,BJ$3=$AC221,BJ$3=$AE221),"",IF(BJ$3=$AD221,$F221&amp;"R",BJ220))))</f>
        <v/>
      </c>
      <c r="BK221" s="11" t="str">
        <f aca="false">IF($P221=0,BK220,IF(BK$3=$E221,IF($AA221=1,$F221&amp;$AB221,$G221),IF(OR(BK$3=$D221,BK$3=$AC221,BK$3=$AE221),"",IF(BK$3=$AD221,$F221&amp;"R",BK220))))</f>
        <v/>
      </c>
      <c r="BL221" s="11" t="str">
        <f aca="false">IF($P221=0,BL220,IF(BL$3=$E221,IF($AA221=1,$F221&amp;$AB221,$G221),IF(OR(BL$3=$D221,BL$3=$AC221,BL$3=$AE221),"",IF(BL$3=$AD221,$F221&amp;"R",BL220))))</f>
        <v/>
      </c>
      <c r="BM221" s="11" t="str">
        <f aca="false">IF($P221=0,BM220,IF(BM$3=$E221,IF($AA221=1,$F221&amp;$AB221,$G221),IF(OR(BM$3=$D221,BM$3=$AC221,BM$3=$AE221),"",IF(BM$3=$AD221,$F221&amp;"R",BM220))))</f>
        <v/>
      </c>
      <c r="BN221" s="11" t="str">
        <f aca="false">IF($P221=0,BN220,IF(BN$3=$E221,IF($AA221=1,$F221&amp;$AB221,$G221),IF(OR(BN$3=$D221,BN$3=$AC221,BN$3=$AE221),"",IF(BN$3=$AD221,$F221&amp;"R",BN220))))</f>
        <v/>
      </c>
      <c r="BO221" s="11" t="str">
        <f aca="false">IF($P221=0,BO220,IF(BO$3=$E221,IF($AA221=1,$F221&amp;$AB221,$G221),IF(OR(BO$3=$D221,BO$3=$AC221,BO$3=$AE221),"",IF(BO$3=$AD221,$F221&amp;"R",BO220))))</f>
        <v/>
      </c>
      <c r="BP221" s="11" t="str">
        <f aca="false">IF($P221=0,BP220,IF(BP$3=$E221,IF($AA221=1,$F221&amp;$AB221,$G221),IF(OR(BP$3=$D221,BP$3=$AC221,BP$3=$AE221),"",IF(BP$3=$AD221,$F221&amp;"R",BP220))))</f>
        <v/>
      </c>
      <c r="BQ221" s="11" t="str">
        <f aca="false">IF($P221=0,BQ220,IF(BQ$3=$E221,IF($AA221=1,$F221&amp;$AB221,$G221),IF(OR(BQ$3=$D221,BQ$3=$AC221,BQ$3=$AE221),"",IF(BQ$3=$AD221,$F221&amp;"R",BQ220))))</f>
        <v/>
      </c>
      <c r="BR221" s="11" t="str">
        <f aca="false">IF($P221=0,BR220,IF(BR$3=$E221,IF($AA221=1,$F221&amp;$AB221,$G221),IF(OR(BR$3=$D221,BR$3=$AC221,BR$3=$AE221),"",IF(BR$3=$AD221,$F221&amp;"R",BR220))))</f>
        <v/>
      </c>
      <c r="BS221" s="11" t="str">
        <f aca="false">IF($P221=0,BS220,IF(BS$3=$E221,IF($AA221=1,$F221&amp;$AB221,$G221),IF(OR(BS$3=$D221,BS$3=$AC221,BS$3=$AE221),"",IF(BS$3=$AD221,$F221&amp;"R",BS220))))</f>
        <v/>
      </c>
      <c r="BT221" s="11" t="str">
        <f aca="false">IF($P221=0,BT220,IF(BT$3=$E221,IF($AA221=1,$F221&amp;$AB221,$G221),IF(OR(BT$3=$D221,BT$3=$AC221,BT$3=$AE221),"",IF(BT$3=$AD221,$F221&amp;"R",BT220))))</f>
        <v/>
      </c>
      <c r="BU221" s="11" t="str">
        <f aca="false">IF($P221=0,BU220,IF(BU$3=$E221,IF($AA221=1,$F221&amp;$AB221,$G221),IF(OR(BU$3=$D221,BU$3=$AC221,BU$3=$AE221),"",IF(BU$3=$AD221,$F221&amp;"R",BU220))))</f>
        <v/>
      </c>
      <c r="BV221" s="11" t="str">
        <f aca="false">IF($P221=0,BV220,IF(BV$3=$E221,IF($AA221=1,$F221&amp;$AB221,$G221),IF(OR(BV$3=$D221,BV$3=$AC221,BV$3=$AE221),"",IF(BV$3=$AD221,$F221&amp;"R",BV220))))</f>
        <v/>
      </c>
      <c r="BW221" s="11" t="str">
        <f aca="false">IF($P221=0,BW220,IF(BW$3=$E221,IF($AA221=1,$F221&amp;$AB221,$G221),IF(OR(BW$3=$D221,BW$3=$AC221,BW$3=$AE221),"",IF(BW$3=$AD221,$F221&amp;"R",BW220))))</f>
        <v/>
      </c>
      <c r="BX221" s="11" t="str">
        <f aca="false">IF($P221=0,BX220,IF(BX$3=$E221,IF($AA221=1,$F221&amp;$AB221,$G221),IF(OR(BX$3=$D221,BX$3=$AC221,BX$3=$AE221),"",IF(BX$3=$AD221,$F221&amp;"R",BX220))))</f>
        <v/>
      </c>
      <c r="BY221" s="11" t="str">
        <f aca="false">IF($P221=0,BY220,IF(BY$3=$E221,IF($AA221=1,$F221&amp;$AB221,$G221),IF(OR(BY$3=$D221,BY$3=$AC221,BY$3=$AE221),"",IF(BY$3=$AD221,$F221&amp;"R",BY220))))</f>
        <v/>
      </c>
      <c r="BZ221" s="11" t="str">
        <f aca="false">IF($P221=0,BZ220,IF(BZ$3=$E221,IF($AA221=1,$F221&amp;$AB221,$G221),IF(OR(BZ$3=$D221,BZ$3=$AC221,BZ$3=$AE221),"",IF(BZ$3=$AD221,$F221&amp;"R",BZ220))))</f>
        <v/>
      </c>
      <c r="CA221" s="11" t="str">
        <f aca="false">IF($P221=0,CA220,IF(CA$3=$E221,IF($AA221=1,$F221&amp;$AB221,$G221),IF(OR(CA$3=$D221,CA$3=$AC221,CA$3=$AE221),"",IF(CA$3=$AD221,$F221&amp;"R",CA220))))</f>
        <v/>
      </c>
      <c r="CB221" s="11" t="str">
        <f aca="false">IF($P221=0,CB220,IF(CB$3=$E221,IF($AA221=1,$F221&amp;$AB221,$G221),IF(OR(CB$3=$D221,CB$3=$AC221,CB$3=$AE221),"",IF(CB$3=$AD221,$F221&amp;"R",CB220))))</f>
        <v/>
      </c>
      <c r="CC221" s="11" t="str">
        <f aca="false">IF($P221=0,CC220,IF(CC$3=$E221,IF($AA221=1,$F221&amp;$AB221,$G221),IF(OR(CC$3=$D221,CC$3=$AC221,CC$3=$AE221),"",IF(CC$3=$AD221,$F221&amp;"R",CC220))))</f>
        <v/>
      </c>
      <c r="CD221" s="11" t="str">
        <f aca="false">IF($P221=0,CD220,IF(CD$3=$E221,IF($AA221=1,$F221&amp;$AB221,$G221),IF(OR(CD$3=$D221,CD$3=$AC221,CD$3=$AE221),"",IF(CD$3=$AD221,$F221&amp;"R",CD220))))</f>
        <v>bP</v>
      </c>
      <c r="CE221" s="11" t="str">
        <f aca="false">IF($P221=0,CE220,IF(CE$3=$E221,IF($AA221=1,$F221&amp;$AB221,$G221),IF(OR(CE$3=$D221,CE$3=$AC221,CE$3=$AE221),"",IF(CE$3=$AD221,$F221&amp;"R",CE220))))</f>
        <v>bP</v>
      </c>
      <c r="CF221" s="11" t="str">
        <f aca="false">IF($P221=0,CF220,IF(CF$3=$E221,IF($AA221=1,$F221&amp;$AB221,$G221),IF(OR(CF$3=$D221,CF$3=$AC221,CF$3=$AE221),"",IF(CF$3=$AD221,$F221&amp;"R",CF220))))</f>
        <v>bP</v>
      </c>
      <c r="CG221" s="11" t="str">
        <f aca="false">IF($P221=0,CG220,IF(CG$3=$E221,IF($AA221=1,$F221&amp;$AB221,$G221),IF(OR(CG$3=$D221,CG$3=$AC221,CG$3=$AE221),"",IF(CG$3=$AD221,$F221&amp;"R",CG220))))</f>
        <v>bP</v>
      </c>
      <c r="CH221" s="11" t="str">
        <f aca="false">IF($P221=0,CH220,IF(CH$3=$E221,IF($AA221=1,$F221&amp;$AB221,$G221),IF(OR(CH$3=$D221,CH$3=$AC221,CH$3=$AE221),"",IF(CH$3=$AD221,$F221&amp;"R",CH220))))</f>
        <v>bP</v>
      </c>
      <c r="CI221" s="11" t="str">
        <f aca="false">IF($P221=0,CI220,IF(CI$3=$E221,IF($AA221=1,$F221&amp;$AB221,$G221),IF(OR(CI$3=$D221,CI$3=$AC221,CI$3=$AE221),"",IF(CI$3=$AD221,$F221&amp;"R",CI220))))</f>
        <v>bP</v>
      </c>
      <c r="CJ221" s="11" t="str">
        <f aca="false">IF($P221=0,CJ220,IF(CJ$3=$E221,IF($AA221=1,$F221&amp;$AB221,$G221),IF(OR(CJ$3=$D221,CJ$3=$AC221,CJ$3=$AE221),"",IF(CJ$3=$AD221,$F221&amp;"R",CJ220))))</f>
        <v>bP</v>
      </c>
      <c r="CK221" s="11" t="str">
        <f aca="false">IF($P221=0,CK220,IF(CK$3=$E221,IF($AA221=1,$F221&amp;$AB221,$G221),IF(OR(CK$3=$D221,CK$3=$AC221,CK$3=$AE221),"",IF(CK$3=$AD221,$F221&amp;"R",CK220))))</f>
        <v>bP</v>
      </c>
      <c r="CL221" s="11" t="str">
        <f aca="false">IF($P221=0,CL220,IF(CL$3=$E221,IF($AA221=1,$F221&amp;$AB221,$G221),IF(OR(CL$3=$D221,CL$3=$AC221,CL$3=$AE221),"",IF(CL$3=$AD221,$F221&amp;"R",CL220))))</f>
        <v>bR</v>
      </c>
      <c r="CM221" s="11" t="str">
        <f aca="false">IF($P221=0,CM220,IF(CM$3=$E221,IF($AA221=1,$F221&amp;$AB221,$G221),IF(OR(CM$3=$D221,CM$3=$AC221,CM$3=$AE221),"",IF(CM$3=$AD221,$F221&amp;"R",CM220))))</f>
        <v>bN</v>
      </c>
      <c r="CN221" s="11" t="str">
        <f aca="false">IF($P221=0,CN220,IF(CN$3=$E221,IF($AA221=1,$F221&amp;$AB221,$G221),IF(OR(CN$3=$D221,CN$3=$AC221,CN$3=$AE221),"",IF(CN$3=$AD221,$F221&amp;"R",CN220))))</f>
        <v>bB</v>
      </c>
      <c r="CO221" s="11" t="str">
        <f aca="false">IF($P221=0,CO220,IF(CO$3=$E221,IF($AA221=1,$F221&amp;$AB221,$G221),IF(OR(CO$3=$D221,CO$3=$AC221,CO$3=$AE221),"",IF(CO$3=$AD221,$F221&amp;"R",CO220))))</f>
        <v>bQ</v>
      </c>
      <c r="CP221" s="11" t="str">
        <f aca="false">IF($P221=0,CP220,IF(CP$3=$E221,IF($AA221=1,$F221&amp;$AB221,$G221),IF(OR(CP$3=$D221,CP$3=$AC221,CP$3=$AE221),"",IF(CP$3=$AD221,$F221&amp;"R",CP220))))</f>
        <v>bK</v>
      </c>
      <c r="CQ221" s="11" t="str">
        <f aca="false">IF($P221=0,CQ220,IF(CQ$3=$E221,IF($AA221=1,$F221&amp;$AB221,$G221),IF(OR(CQ$3=$D221,CQ$3=$AC221,CQ$3=$AE221),"",IF(CQ$3=$AD221,$F221&amp;"R",CQ220))))</f>
        <v>bB</v>
      </c>
      <c r="CR221" s="11" t="str">
        <f aca="false">IF($P221=0,CR220,IF(CR$3=$E221,IF($AA221=1,$F221&amp;$AB221,$G221),IF(OR(CR$3=$D221,CR$3=$AC221,CR$3=$AE221),"",IF(CR$3=$AD221,$F221&amp;"R",CR220))))</f>
        <v>bN</v>
      </c>
      <c r="CS221" s="11" t="str">
        <f aca="false">IF($P221=0,CS220,IF(CS$3=$E221,IF($AA221=1,$F221&amp;$AB221,$G221),IF(OR(CS$3=$D221,CS$3=$AC221,CS$3=$AE221),"",IF(CS$3=$AD221,$F221&amp;"R",CS220))))</f>
        <v>bR</v>
      </c>
      <c r="CT221" s="11"/>
      <c r="CU221" s="11"/>
      <c r="CV221" s="11"/>
    </row>
    <row r="222" customFormat="false" ht="15" hidden="false" customHeight="false" outlineLevel="0" collapsed="false">
      <c r="A222" s="11" t="n">
        <v>217</v>
      </c>
      <c r="B222" s="11" t="str">
        <f aca="false">IF(Chess!$L$226="","",Chess!$L$226&amp;"")</f>
        <v/>
      </c>
      <c r="C222" s="11" t="str">
        <f aca="false">LOWER(SUBSTITUTE(SUBSTITUTE(SUBSTITUTE(SUBSTITUTE(TRIM($B222),"-",""),"=","")," ",""),"x",""))</f>
        <v/>
      </c>
      <c r="D222" s="11" t="n">
        <f aca="false">IF(LEN($C222)&lt;4,0,IFERROR(IF(AND(CODE(MID($C222,1,1))&gt;=97,CODE(MID($C222,1,1))&lt;=104,VALUE(MID($C222,2,1))&gt;=1,VALUE(MID($C222,2,1))&lt;=8),(VALUE(MID($C222,2,1))-1)*8+CODE(MID($C222,1,1))-96,0),0))</f>
        <v>0</v>
      </c>
      <c r="E222" s="11" t="n">
        <f aca="false">IF(LEN($C222)&lt;4,0,IFERROR(IF(AND(CODE(MID($C222,3,1))&gt;=97,CODE(MID($C222,3,1))&lt;=104,VALUE(MID($C222,4,1))&gt;=1,VALUE(MID($C222,4,1))&lt;=8),(VALUE(MID($C222,4,1))-1)*8+CODE(MID($C222,3,1))-96,0),0))</f>
        <v>0</v>
      </c>
      <c r="F222" s="11" t="str">
        <f aca="false">IF(MOD(SUM($P$5:$P221),2)=0,"w","b")</f>
        <v>w</v>
      </c>
      <c r="G222" s="11" t="str">
        <f aca="false">IF($D222=0,"",INDEX($AH221:$CS221,1,$D222)&amp;"")</f>
        <v/>
      </c>
      <c r="H222" s="11" t="str">
        <f aca="false">IF($E222=0,"",INDEX($AH221:$CS221,1,$E222)&amp;"")</f>
        <v/>
      </c>
      <c r="I222" s="11" t="n">
        <f aca="false">IF(OR($D222=0,$E222=0),0,MOD($E222-1,8)-MOD($D222-1,8))</f>
        <v>0</v>
      </c>
      <c r="J222" s="11" t="n">
        <f aca="false">IF(OR($D222=0,$E222=0),0,INT(($E222-1)/8)-INT(($D222-1)/8))</f>
        <v>0</v>
      </c>
      <c r="K222" s="11" t="str">
        <f aca="false">IF($G222="","",RIGHT($G222,1))</f>
        <v/>
      </c>
      <c r="L222" s="11" t="n">
        <f aca="false">IF(OR($D222=0,$E222=0),0,SUMPRODUCT(($AH$3:$CS$3&gt;MIN($D222,$E222))*($AH$3:$CS$3&lt;MAX($D222,$E222))*(MOD($AH$3:$CS$3-MIN($D222,$E222),MAX(1,ABS(SIGN($J222)*8+SIGN($I222))))=0)*($AH221:$CS221&lt;&gt;"")))</f>
        <v>0</v>
      </c>
      <c r="M222" s="11" t="n">
        <f aca="false">IF($K222&lt;&gt;"K",0,IFERROR(--AND($J222=0,ABS($I222)=2,$D222=IF($F222="w",5,61),IF($F222="w",$S221,$V221)=0,IF($I222=2,AND(IF($F222="w",$U221,$X221)=0,INDEX($AH221:$CS221,1,$D222+1)&amp;""="",INDEX($AH221:$CS221,1,$D222+2)&amp;""=""),AND(IF($F222="w",$T221,$W221)=0,INDEX($AH221:$CS221,1,$D222-1)&amp;""="",INDEX($AH221:$CS221,1,$D222-2)&amp;""="",INDEX($AH221:$CS221,1,$D222-3)&amp;""=""))),0))</f>
        <v>0</v>
      </c>
      <c r="N222" s="11" t="n">
        <f aca="false">IF($K222&lt;&gt;"P",0,IFERROR(--OR(AND($I222=0,$J222=IF($F222="w",1,-1),$H222=""),AND($I222=0,$J222=2*IF($F222="w",1,-1),$H222="",INT(($D222-1)/8)=IF($F222="w",1,6),INDEX($AH221:$CS221,1,MAX(1,MIN(64,$D222+8*IF($F222="w",1,-1))))&amp;""=""),AND(ABS($I222)=1,$J222=IF($F222="w",1,-1),$H222&lt;&gt;""),AND(ABS($I222)=1,$J222=IF($F222="w",1,-1),$H222="",$R221&gt;0,$E222=$R221)),0))</f>
        <v>0</v>
      </c>
      <c r="O222" s="11" t="n">
        <f aca="false">IF(OR($D222=0,$E222=0,$G222=""),0,IF($K222="N",--OR(AND(ABS($I222)=1,ABS($J222)=2),AND(ABS($I222)=2,ABS($J222)=1)),IF($K222="B",--AND(ABS($I222)=ABS($J222),$I222&lt;&gt;0,$L222=0),IF($K222="R",--AND(OR($I222=0,$J222=0),OR($I222&lt;&gt;0,$J222&lt;&gt;0),$L222=0),IF($K222="Q",--AND(OR(AND(ABS($I222)=ABS($J222),$I222&lt;&gt;0),AND(OR($I222=0,$J222=0),OR($I222&lt;&gt;0,$J222&lt;&gt;0))),$L222=0),IF($K222="K",--OR(MAX(ABS($I222),ABS($J222))=1,$M222=1),$N222))))))</f>
        <v>0</v>
      </c>
      <c r="P222" s="11" t="n">
        <f aca="false">IF($Q222="OK",1,0)</f>
        <v>0</v>
      </c>
      <c r="Q222" s="11" t="str">
        <f aca="false">IF($B222="","",IF(OR(COUNTIF($AH221:$CS221,"wK")=0,COUNTIF($AH221:$CS221,"bK")=0),"Game is over",IF(OR($D222=0,$E222=0),"Use the format e2e4",IF($G222="","No piece on that square",IF(LEFT($G222,1)&lt;&gt;$F222,"Not your piece ("&amp;IF($F222="w","White","Black")&amp;" to move)",IF($D222=$E222,"Piece must move",IF(AND($H222&lt;&gt;"",LEFT($H222,1)=$F222),"Cannot capture your own piece",IF($O222=0,"Illegal move for that piece (or path blocked)","OK"))))))))</f>
        <v/>
      </c>
      <c r="R222" s="11" t="n">
        <f aca="false">IF($P222=1,IF(AND($K222="P",ABS($J222)=2),($D222+$E222)/2,0),$R221)</f>
        <v>0</v>
      </c>
      <c r="S222" s="12" t="b">
        <f aca="false">--OR($S221=1,AND($P222=1,OR($D222=5,$E222=5)))</f>
        <v>0</v>
      </c>
      <c r="T222" s="12" t="b">
        <f aca="false">--OR($T221=1,AND($P222=1,OR($D222=1,$E222=1)))</f>
        <v>0</v>
      </c>
      <c r="U222" s="12" t="b">
        <f aca="false">--OR($U221=1,AND($P222=1,OR($D222=8,$E222=8)))</f>
        <v>0</v>
      </c>
      <c r="V222" s="12" t="b">
        <f aca="false">--OR($V221=1,AND($P222=1,OR($D222=61,$E222=61)))</f>
        <v>0</v>
      </c>
      <c r="W222" s="12" t="b">
        <f aca="false">--OR($W221=1,AND($P222=1,OR($D222=57,$E222=57)))</f>
        <v>0</v>
      </c>
      <c r="X222" s="12" t="b">
        <f aca="false">--OR($X221=1,AND($P222=1,OR($D222=64,$E222=64)))</f>
        <v>0</v>
      </c>
      <c r="Y222" s="12" t="b">
        <f aca="false">--AND($P222=1,$K222="K",ABS($I222)=2)</f>
        <v>0</v>
      </c>
      <c r="Z222" s="12" t="b">
        <f aca="false">--AND($P222=1,$K222="P",ABS($I222)=1,$H222="")</f>
        <v>0</v>
      </c>
      <c r="AA222" s="12" t="b">
        <f aca="false">--AND($P222=1,$K222="P",INT(($E222-1)/8)=IF($F222="w",7,0))</f>
        <v>0</v>
      </c>
      <c r="AB222" s="11" t="str">
        <f aca="false">IF(LEN($C222)&gt;=5,IF(ISNUMBER(FIND(MID($C222,5,1),"qrbn")),UPPER(MID($C222,5,1)),"Q"),"Q")</f>
        <v>Q</v>
      </c>
      <c r="AC222" s="11" t="n">
        <f aca="false">IF($Y222=1,IF($I222=2,$D222+3,$D222-4),0)</f>
        <v>0</v>
      </c>
      <c r="AD222" s="11" t="n">
        <f aca="false">IF($Y222=1,IF($I222=2,$D222+1,$D222-1),0)</f>
        <v>0</v>
      </c>
      <c r="AE222" s="11" t="n">
        <f aca="false">IF($Z222=1,$E222-8*IF($F222="w",1,-1),0)</f>
        <v>0</v>
      </c>
      <c r="AF222" s="11" t="str">
        <f aca="false">IF($B222="","",IF($P222=1,LOWER(INDEX($CV$2:$CV$13,MATCH($G222,$CU$2:$CU$13,0)))&amp;" "&amp;MID("abcdefgh",MOD($D222-1,8)+1,1)&amp;(INT(($D222-1)/8)+1)&amp;"→"&amp;MID("abcdefgh",MOD($E222-1,8)+1,1)&amp;(INT(($E222-1)/8)+1)&amp;IF(OR($H222&lt;&gt;"",$Z222=1)," ×","")&amp;IF($Y222=1," castles","")&amp;IF($Z222=1," e.p.","")&amp;IF($AA222=1," =" &amp;LOWER(INDEX($CV$2:$CV$13,MATCH($F222&amp;$AB222,$CU$2:$CU$13,0))),""),"X "&amp;$Q222))</f>
        <v/>
      </c>
      <c r="AG222" s="11"/>
      <c r="AH222" s="11" t="str">
        <f aca="false">IF($P222=0,AH221,IF(AH$3=$E222,IF($AA222=1,$F222&amp;$AB222,$G222),IF(OR(AH$3=$D222,AH$3=$AC222,AH$3=$AE222),"",IF(AH$3=$AD222,$F222&amp;"R",AH221))))</f>
        <v>wR</v>
      </c>
      <c r="AI222" s="11" t="str">
        <f aca="false">IF($P222=0,AI221,IF(AI$3=$E222,IF($AA222=1,$F222&amp;$AB222,$G222),IF(OR(AI$3=$D222,AI$3=$AC222,AI$3=$AE222),"",IF(AI$3=$AD222,$F222&amp;"R",AI221))))</f>
        <v>wN</v>
      </c>
      <c r="AJ222" s="11" t="str">
        <f aca="false">IF($P222=0,AJ221,IF(AJ$3=$E222,IF($AA222=1,$F222&amp;$AB222,$G222),IF(OR(AJ$3=$D222,AJ$3=$AC222,AJ$3=$AE222),"",IF(AJ$3=$AD222,$F222&amp;"R",AJ221))))</f>
        <v>wB</v>
      </c>
      <c r="AK222" s="11" t="str">
        <f aca="false">IF($P222=0,AK221,IF(AK$3=$E222,IF($AA222=1,$F222&amp;$AB222,$G222),IF(OR(AK$3=$D222,AK$3=$AC222,AK$3=$AE222),"",IF(AK$3=$AD222,$F222&amp;"R",AK221))))</f>
        <v>wQ</v>
      </c>
      <c r="AL222" s="11" t="str">
        <f aca="false">IF($P222=0,AL221,IF(AL$3=$E222,IF($AA222=1,$F222&amp;$AB222,$G222),IF(OR(AL$3=$D222,AL$3=$AC222,AL$3=$AE222),"",IF(AL$3=$AD222,$F222&amp;"R",AL221))))</f>
        <v>wK</v>
      </c>
      <c r="AM222" s="11" t="str">
        <f aca="false">IF($P222=0,AM221,IF(AM$3=$E222,IF($AA222=1,$F222&amp;$AB222,$G222),IF(OR(AM$3=$D222,AM$3=$AC222,AM$3=$AE222),"",IF(AM$3=$AD222,$F222&amp;"R",AM221))))</f>
        <v>wB</v>
      </c>
      <c r="AN222" s="11" t="str">
        <f aca="false">IF($P222=0,AN221,IF(AN$3=$E222,IF($AA222=1,$F222&amp;$AB222,$G222),IF(OR(AN$3=$D222,AN$3=$AC222,AN$3=$AE222),"",IF(AN$3=$AD222,$F222&amp;"R",AN221))))</f>
        <v>wN</v>
      </c>
      <c r="AO222" s="11" t="str">
        <f aca="false">IF($P222=0,AO221,IF(AO$3=$E222,IF($AA222=1,$F222&amp;$AB222,$G222),IF(OR(AO$3=$D222,AO$3=$AC222,AO$3=$AE222),"",IF(AO$3=$AD222,$F222&amp;"R",AO221))))</f>
        <v>wR</v>
      </c>
      <c r="AP222" s="11" t="str">
        <f aca="false">IF($P222=0,AP221,IF(AP$3=$E222,IF($AA222=1,$F222&amp;$AB222,$G222),IF(OR(AP$3=$D222,AP$3=$AC222,AP$3=$AE222),"",IF(AP$3=$AD222,$F222&amp;"R",AP221))))</f>
        <v>wP</v>
      </c>
      <c r="AQ222" s="11" t="str">
        <f aca="false">IF($P222=0,AQ221,IF(AQ$3=$E222,IF($AA222=1,$F222&amp;$AB222,$G222),IF(OR(AQ$3=$D222,AQ$3=$AC222,AQ$3=$AE222),"",IF(AQ$3=$AD222,$F222&amp;"R",AQ221))))</f>
        <v>wP</v>
      </c>
      <c r="AR222" s="11" t="str">
        <f aca="false">IF($P222=0,AR221,IF(AR$3=$E222,IF($AA222=1,$F222&amp;$AB222,$G222),IF(OR(AR$3=$D222,AR$3=$AC222,AR$3=$AE222),"",IF(AR$3=$AD222,$F222&amp;"R",AR221))))</f>
        <v>wP</v>
      </c>
      <c r="AS222" s="11" t="str">
        <f aca="false">IF($P222=0,AS221,IF(AS$3=$E222,IF($AA222=1,$F222&amp;$AB222,$G222),IF(OR(AS$3=$D222,AS$3=$AC222,AS$3=$AE222),"",IF(AS$3=$AD222,$F222&amp;"R",AS221))))</f>
        <v>wP</v>
      </c>
      <c r="AT222" s="11" t="str">
        <f aca="false">IF($P222=0,AT221,IF(AT$3=$E222,IF($AA222=1,$F222&amp;$AB222,$G222),IF(OR(AT$3=$D222,AT$3=$AC222,AT$3=$AE222),"",IF(AT$3=$AD222,$F222&amp;"R",AT221))))</f>
        <v>wP</v>
      </c>
      <c r="AU222" s="11" t="str">
        <f aca="false">IF($P222=0,AU221,IF(AU$3=$E222,IF($AA222=1,$F222&amp;$AB222,$G222),IF(OR(AU$3=$D222,AU$3=$AC222,AU$3=$AE222),"",IF(AU$3=$AD222,$F222&amp;"R",AU221))))</f>
        <v>wP</v>
      </c>
      <c r="AV222" s="11" t="str">
        <f aca="false">IF($P222=0,AV221,IF(AV$3=$E222,IF($AA222=1,$F222&amp;$AB222,$G222),IF(OR(AV$3=$D222,AV$3=$AC222,AV$3=$AE222),"",IF(AV$3=$AD222,$F222&amp;"R",AV221))))</f>
        <v>wP</v>
      </c>
      <c r="AW222" s="11" t="str">
        <f aca="false">IF($P222=0,AW221,IF(AW$3=$E222,IF($AA222=1,$F222&amp;$AB222,$G222),IF(OR(AW$3=$D222,AW$3=$AC222,AW$3=$AE222),"",IF(AW$3=$AD222,$F222&amp;"R",AW221))))</f>
        <v>wP</v>
      </c>
      <c r="AX222" s="11" t="str">
        <f aca="false">IF($P222=0,AX221,IF(AX$3=$E222,IF($AA222=1,$F222&amp;$AB222,$G222),IF(OR(AX$3=$D222,AX$3=$AC222,AX$3=$AE222),"",IF(AX$3=$AD222,$F222&amp;"R",AX221))))</f>
        <v/>
      </c>
      <c r="AY222" s="11" t="str">
        <f aca="false">IF($P222=0,AY221,IF(AY$3=$E222,IF($AA222=1,$F222&amp;$AB222,$G222),IF(OR(AY$3=$D222,AY$3=$AC222,AY$3=$AE222),"",IF(AY$3=$AD222,$F222&amp;"R",AY221))))</f>
        <v/>
      </c>
      <c r="AZ222" s="11" t="str">
        <f aca="false">IF($P222=0,AZ221,IF(AZ$3=$E222,IF($AA222=1,$F222&amp;$AB222,$G222),IF(OR(AZ$3=$D222,AZ$3=$AC222,AZ$3=$AE222),"",IF(AZ$3=$AD222,$F222&amp;"R",AZ221))))</f>
        <v/>
      </c>
      <c r="BA222" s="11" t="str">
        <f aca="false">IF($P222=0,BA221,IF(BA$3=$E222,IF($AA222=1,$F222&amp;$AB222,$G222),IF(OR(BA$3=$D222,BA$3=$AC222,BA$3=$AE222),"",IF(BA$3=$AD222,$F222&amp;"R",BA221))))</f>
        <v/>
      </c>
      <c r="BB222" s="11" t="str">
        <f aca="false">IF($P222=0,BB221,IF(BB$3=$E222,IF($AA222=1,$F222&amp;$AB222,$G222),IF(OR(BB$3=$D222,BB$3=$AC222,BB$3=$AE222),"",IF(BB$3=$AD222,$F222&amp;"R",BB221))))</f>
        <v/>
      </c>
      <c r="BC222" s="11" t="str">
        <f aca="false">IF($P222=0,BC221,IF(BC$3=$E222,IF($AA222=1,$F222&amp;$AB222,$G222),IF(OR(BC$3=$D222,BC$3=$AC222,BC$3=$AE222),"",IF(BC$3=$AD222,$F222&amp;"R",BC221))))</f>
        <v/>
      </c>
      <c r="BD222" s="11" t="str">
        <f aca="false">IF($P222=0,BD221,IF(BD$3=$E222,IF($AA222=1,$F222&amp;$AB222,$G222),IF(OR(BD$3=$D222,BD$3=$AC222,BD$3=$AE222),"",IF(BD$3=$AD222,$F222&amp;"R",BD221))))</f>
        <v/>
      </c>
      <c r="BE222" s="11" t="str">
        <f aca="false">IF($P222=0,BE221,IF(BE$3=$E222,IF($AA222=1,$F222&amp;$AB222,$G222),IF(OR(BE$3=$D222,BE$3=$AC222,BE$3=$AE222),"",IF(BE$3=$AD222,$F222&amp;"R",BE221))))</f>
        <v/>
      </c>
      <c r="BF222" s="11" t="str">
        <f aca="false">IF($P222=0,BF221,IF(BF$3=$E222,IF($AA222=1,$F222&amp;$AB222,$G222),IF(OR(BF$3=$D222,BF$3=$AC222,BF$3=$AE222),"",IF(BF$3=$AD222,$F222&amp;"R",BF221))))</f>
        <v/>
      </c>
      <c r="BG222" s="11" t="str">
        <f aca="false">IF($P222=0,BG221,IF(BG$3=$E222,IF($AA222=1,$F222&amp;$AB222,$G222),IF(OR(BG$3=$D222,BG$3=$AC222,BG$3=$AE222),"",IF(BG$3=$AD222,$F222&amp;"R",BG221))))</f>
        <v/>
      </c>
      <c r="BH222" s="11" t="str">
        <f aca="false">IF($P222=0,BH221,IF(BH$3=$E222,IF($AA222=1,$F222&amp;$AB222,$G222),IF(OR(BH$3=$D222,BH$3=$AC222,BH$3=$AE222),"",IF(BH$3=$AD222,$F222&amp;"R",BH221))))</f>
        <v/>
      </c>
      <c r="BI222" s="11" t="str">
        <f aca="false">IF($P222=0,BI221,IF(BI$3=$E222,IF($AA222=1,$F222&amp;$AB222,$G222),IF(OR(BI$3=$D222,BI$3=$AC222,BI$3=$AE222),"",IF(BI$3=$AD222,$F222&amp;"R",BI221))))</f>
        <v/>
      </c>
      <c r="BJ222" s="11" t="str">
        <f aca="false">IF($P222=0,BJ221,IF(BJ$3=$E222,IF($AA222=1,$F222&amp;$AB222,$G222),IF(OR(BJ$3=$D222,BJ$3=$AC222,BJ$3=$AE222),"",IF(BJ$3=$AD222,$F222&amp;"R",BJ221))))</f>
        <v/>
      </c>
      <c r="BK222" s="11" t="str">
        <f aca="false">IF($P222=0,BK221,IF(BK$3=$E222,IF($AA222=1,$F222&amp;$AB222,$G222),IF(OR(BK$3=$D222,BK$3=$AC222,BK$3=$AE222),"",IF(BK$3=$AD222,$F222&amp;"R",BK221))))</f>
        <v/>
      </c>
      <c r="BL222" s="11" t="str">
        <f aca="false">IF($P222=0,BL221,IF(BL$3=$E222,IF($AA222=1,$F222&amp;$AB222,$G222),IF(OR(BL$3=$D222,BL$3=$AC222,BL$3=$AE222),"",IF(BL$3=$AD222,$F222&amp;"R",BL221))))</f>
        <v/>
      </c>
      <c r="BM222" s="11" t="str">
        <f aca="false">IF($P222=0,BM221,IF(BM$3=$E222,IF($AA222=1,$F222&amp;$AB222,$G222),IF(OR(BM$3=$D222,BM$3=$AC222,BM$3=$AE222),"",IF(BM$3=$AD222,$F222&amp;"R",BM221))))</f>
        <v/>
      </c>
      <c r="BN222" s="11" t="str">
        <f aca="false">IF($P222=0,BN221,IF(BN$3=$E222,IF($AA222=1,$F222&amp;$AB222,$G222),IF(OR(BN$3=$D222,BN$3=$AC222,BN$3=$AE222),"",IF(BN$3=$AD222,$F222&amp;"R",BN221))))</f>
        <v/>
      </c>
      <c r="BO222" s="11" t="str">
        <f aca="false">IF($P222=0,BO221,IF(BO$3=$E222,IF($AA222=1,$F222&amp;$AB222,$G222),IF(OR(BO$3=$D222,BO$3=$AC222,BO$3=$AE222),"",IF(BO$3=$AD222,$F222&amp;"R",BO221))))</f>
        <v/>
      </c>
      <c r="BP222" s="11" t="str">
        <f aca="false">IF($P222=0,BP221,IF(BP$3=$E222,IF($AA222=1,$F222&amp;$AB222,$G222),IF(OR(BP$3=$D222,BP$3=$AC222,BP$3=$AE222),"",IF(BP$3=$AD222,$F222&amp;"R",BP221))))</f>
        <v/>
      </c>
      <c r="BQ222" s="11" t="str">
        <f aca="false">IF($P222=0,BQ221,IF(BQ$3=$E222,IF($AA222=1,$F222&amp;$AB222,$G222),IF(OR(BQ$3=$D222,BQ$3=$AC222,BQ$3=$AE222),"",IF(BQ$3=$AD222,$F222&amp;"R",BQ221))))</f>
        <v/>
      </c>
      <c r="BR222" s="11" t="str">
        <f aca="false">IF($P222=0,BR221,IF(BR$3=$E222,IF($AA222=1,$F222&amp;$AB222,$G222),IF(OR(BR$3=$D222,BR$3=$AC222,BR$3=$AE222),"",IF(BR$3=$AD222,$F222&amp;"R",BR221))))</f>
        <v/>
      </c>
      <c r="BS222" s="11" t="str">
        <f aca="false">IF($P222=0,BS221,IF(BS$3=$E222,IF($AA222=1,$F222&amp;$AB222,$G222),IF(OR(BS$3=$D222,BS$3=$AC222,BS$3=$AE222),"",IF(BS$3=$AD222,$F222&amp;"R",BS221))))</f>
        <v/>
      </c>
      <c r="BT222" s="11" t="str">
        <f aca="false">IF($P222=0,BT221,IF(BT$3=$E222,IF($AA222=1,$F222&amp;$AB222,$G222),IF(OR(BT$3=$D222,BT$3=$AC222,BT$3=$AE222),"",IF(BT$3=$AD222,$F222&amp;"R",BT221))))</f>
        <v/>
      </c>
      <c r="BU222" s="11" t="str">
        <f aca="false">IF($P222=0,BU221,IF(BU$3=$E222,IF($AA222=1,$F222&amp;$AB222,$G222),IF(OR(BU$3=$D222,BU$3=$AC222,BU$3=$AE222),"",IF(BU$3=$AD222,$F222&amp;"R",BU221))))</f>
        <v/>
      </c>
      <c r="BV222" s="11" t="str">
        <f aca="false">IF($P222=0,BV221,IF(BV$3=$E222,IF($AA222=1,$F222&amp;$AB222,$G222),IF(OR(BV$3=$D222,BV$3=$AC222,BV$3=$AE222),"",IF(BV$3=$AD222,$F222&amp;"R",BV221))))</f>
        <v/>
      </c>
      <c r="BW222" s="11" t="str">
        <f aca="false">IF($P222=0,BW221,IF(BW$3=$E222,IF($AA222=1,$F222&amp;$AB222,$G222),IF(OR(BW$3=$D222,BW$3=$AC222,BW$3=$AE222),"",IF(BW$3=$AD222,$F222&amp;"R",BW221))))</f>
        <v/>
      </c>
      <c r="BX222" s="11" t="str">
        <f aca="false">IF($P222=0,BX221,IF(BX$3=$E222,IF($AA222=1,$F222&amp;$AB222,$G222),IF(OR(BX$3=$D222,BX$3=$AC222,BX$3=$AE222),"",IF(BX$3=$AD222,$F222&amp;"R",BX221))))</f>
        <v/>
      </c>
      <c r="BY222" s="11" t="str">
        <f aca="false">IF($P222=0,BY221,IF(BY$3=$E222,IF($AA222=1,$F222&amp;$AB222,$G222),IF(OR(BY$3=$D222,BY$3=$AC222,BY$3=$AE222),"",IF(BY$3=$AD222,$F222&amp;"R",BY221))))</f>
        <v/>
      </c>
      <c r="BZ222" s="11" t="str">
        <f aca="false">IF($P222=0,BZ221,IF(BZ$3=$E222,IF($AA222=1,$F222&amp;$AB222,$G222),IF(OR(BZ$3=$D222,BZ$3=$AC222,BZ$3=$AE222),"",IF(BZ$3=$AD222,$F222&amp;"R",BZ221))))</f>
        <v/>
      </c>
      <c r="CA222" s="11" t="str">
        <f aca="false">IF($P222=0,CA221,IF(CA$3=$E222,IF($AA222=1,$F222&amp;$AB222,$G222),IF(OR(CA$3=$D222,CA$3=$AC222,CA$3=$AE222),"",IF(CA$3=$AD222,$F222&amp;"R",CA221))))</f>
        <v/>
      </c>
      <c r="CB222" s="11" t="str">
        <f aca="false">IF($P222=0,CB221,IF(CB$3=$E222,IF($AA222=1,$F222&amp;$AB222,$G222),IF(OR(CB$3=$D222,CB$3=$AC222,CB$3=$AE222),"",IF(CB$3=$AD222,$F222&amp;"R",CB221))))</f>
        <v/>
      </c>
      <c r="CC222" s="11" t="str">
        <f aca="false">IF($P222=0,CC221,IF(CC$3=$E222,IF($AA222=1,$F222&amp;$AB222,$G222),IF(OR(CC$3=$D222,CC$3=$AC222,CC$3=$AE222),"",IF(CC$3=$AD222,$F222&amp;"R",CC221))))</f>
        <v/>
      </c>
      <c r="CD222" s="11" t="str">
        <f aca="false">IF($P222=0,CD221,IF(CD$3=$E222,IF($AA222=1,$F222&amp;$AB222,$G222),IF(OR(CD$3=$D222,CD$3=$AC222,CD$3=$AE222),"",IF(CD$3=$AD222,$F222&amp;"R",CD221))))</f>
        <v>bP</v>
      </c>
      <c r="CE222" s="11" t="str">
        <f aca="false">IF($P222=0,CE221,IF(CE$3=$E222,IF($AA222=1,$F222&amp;$AB222,$G222),IF(OR(CE$3=$D222,CE$3=$AC222,CE$3=$AE222),"",IF(CE$3=$AD222,$F222&amp;"R",CE221))))</f>
        <v>bP</v>
      </c>
      <c r="CF222" s="11" t="str">
        <f aca="false">IF($P222=0,CF221,IF(CF$3=$E222,IF($AA222=1,$F222&amp;$AB222,$G222),IF(OR(CF$3=$D222,CF$3=$AC222,CF$3=$AE222),"",IF(CF$3=$AD222,$F222&amp;"R",CF221))))</f>
        <v>bP</v>
      </c>
      <c r="CG222" s="11" t="str">
        <f aca="false">IF($P222=0,CG221,IF(CG$3=$E222,IF($AA222=1,$F222&amp;$AB222,$G222),IF(OR(CG$3=$D222,CG$3=$AC222,CG$3=$AE222),"",IF(CG$3=$AD222,$F222&amp;"R",CG221))))</f>
        <v>bP</v>
      </c>
      <c r="CH222" s="11" t="str">
        <f aca="false">IF($P222=0,CH221,IF(CH$3=$E222,IF($AA222=1,$F222&amp;$AB222,$G222),IF(OR(CH$3=$D222,CH$3=$AC222,CH$3=$AE222),"",IF(CH$3=$AD222,$F222&amp;"R",CH221))))</f>
        <v>bP</v>
      </c>
      <c r="CI222" s="11" t="str">
        <f aca="false">IF($P222=0,CI221,IF(CI$3=$E222,IF($AA222=1,$F222&amp;$AB222,$G222),IF(OR(CI$3=$D222,CI$3=$AC222,CI$3=$AE222),"",IF(CI$3=$AD222,$F222&amp;"R",CI221))))</f>
        <v>bP</v>
      </c>
      <c r="CJ222" s="11" t="str">
        <f aca="false">IF($P222=0,CJ221,IF(CJ$3=$E222,IF($AA222=1,$F222&amp;$AB222,$G222),IF(OR(CJ$3=$D222,CJ$3=$AC222,CJ$3=$AE222),"",IF(CJ$3=$AD222,$F222&amp;"R",CJ221))))</f>
        <v>bP</v>
      </c>
      <c r="CK222" s="11" t="str">
        <f aca="false">IF($P222=0,CK221,IF(CK$3=$E222,IF($AA222=1,$F222&amp;$AB222,$G222),IF(OR(CK$3=$D222,CK$3=$AC222,CK$3=$AE222),"",IF(CK$3=$AD222,$F222&amp;"R",CK221))))</f>
        <v>bP</v>
      </c>
      <c r="CL222" s="11" t="str">
        <f aca="false">IF($P222=0,CL221,IF(CL$3=$E222,IF($AA222=1,$F222&amp;$AB222,$G222),IF(OR(CL$3=$D222,CL$3=$AC222,CL$3=$AE222),"",IF(CL$3=$AD222,$F222&amp;"R",CL221))))</f>
        <v>bR</v>
      </c>
      <c r="CM222" s="11" t="str">
        <f aca="false">IF($P222=0,CM221,IF(CM$3=$E222,IF($AA222=1,$F222&amp;$AB222,$G222),IF(OR(CM$3=$D222,CM$3=$AC222,CM$3=$AE222),"",IF(CM$3=$AD222,$F222&amp;"R",CM221))))</f>
        <v>bN</v>
      </c>
      <c r="CN222" s="11" t="str">
        <f aca="false">IF($P222=0,CN221,IF(CN$3=$E222,IF($AA222=1,$F222&amp;$AB222,$G222),IF(OR(CN$3=$D222,CN$3=$AC222,CN$3=$AE222),"",IF(CN$3=$AD222,$F222&amp;"R",CN221))))</f>
        <v>bB</v>
      </c>
      <c r="CO222" s="11" t="str">
        <f aca="false">IF($P222=0,CO221,IF(CO$3=$E222,IF($AA222=1,$F222&amp;$AB222,$G222),IF(OR(CO$3=$D222,CO$3=$AC222,CO$3=$AE222),"",IF(CO$3=$AD222,$F222&amp;"R",CO221))))</f>
        <v>bQ</v>
      </c>
      <c r="CP222" s="11" t="str">
        <f aca="false">IF($P222=0,CP221,IF(CP$3=$E222,IF($AA222=1,$F222&amp;$AB222,$G222),IF(OR(CP$3=$D222,CP$3=$AC222,CP$3=$AE222),"",IF(CP$3=$AD222,$F222&amp;"R",CP221))))</f>
        <v>bK</v>
      </c>
      <c r="CQ222" s="11" t="str">
        <f aca="false">IF($P222=0,CQ221,IF(CQ$3=$E222,IF($AA222=1,$F222&amp;$AB222,$G222),IF(OR(CQ$3=$D222,CQ$3=$AC222,CQ$3=$AE222),"",IF(CQ$3=$AD222,$F222&amp;"R",CQ221))))</f>
        <v>bB</v>
      </c>
      <c r="CR222" s="11" t="str">
        <f aca="false">IF($P222=0,CR221,IF(CR$3=$E222,IF($AA222=1,$F222&amp;$AB222,$G222),IF(OR(CR$3=$D222,CR$3=$AC222,CR$3=$AE222),"",IF(CR$3=$AD222,$F222&amp;"R",CR221))))</f>
        <v>bN</v>
      </c>
      <c r="CS222" s="11" t="str">
        <f aca="false">IF($P222=0,CS221,IF(CS$3=$E222,IF($AA222=1,$F222&amp;$AB222,$G222),IF(OR(CS$3=$D222,CS$3=$AC222,CS$3=$AE222),"",IF(CS$3=$AD222,$F222&amp;"R",CS221))))</f>
        <v>bR</v>
      </c>
      <c r="CT222" s="11"/>
      <c r="CU222" s="11"/>
      <c r="CV222" s="11"/>
    </row>
    <row r="223" customFormat="false" ht="15" hidden="false" customHeight="false" outlineLevel="0" collapsed="false">
      <c r="A223" s="11" t="n">
        <v>218</v>
      </c>
      <c r="B223" s="11" t="str">
        <f aca="false">IF(Chess!$L$227="","",Chess!$L$227&amp;"")</f>
        <v/>
      </c>
      <c r="C223" s="11" t="str">
        <f aca="false">LOWER(SUBSTITUTE(SUBSTITUTE(SUBSTITUTE(SUBSTITUTE(TRIM($B223),"-",""),"=","")," ",""),"x",""))</f>
        <v/>
      </c>
      <c r="D223" s="11" t="n">
        <f aca="false">IF(LEN($C223)&lt;4,0,IFERROR(IF(AND(CODE(MID($C223,1,1))&gt;=97,CODE(MID($C223,1,1))&lt;=104,VALUE(MID($C223,2,1))&gt;=1,VALUE(MID($C223,2,1))&lt;=8),(VALUE(MID($C223,2,1))-1)*8+CODE(MID($C223,1,1))-96,0),0))</f>
        <v>0</v>
      </c>
      <c r="E223" s="11" t="n">
        <f aca="false">IF(LEN($C223)&lt;4,0,IFERROR(IF(AND(CODE(MID($C223,3,1))&gt;=97,CODE(MID($C223,3,1))&lt;=104,VALUE(MID($C223,4,1))&gt;=1,VALUE(MID($C223,4,1))&lt;=8),(VALUE(MID($C223,4,1))-1)*8+CODE(MID($C223,3,1))-96,0),0))</f>
        <v>0</v>
      </c>
      <c r="F223" s="11" t="str">
        <f aca="false">IF(MOD(SUM($P$5:$P222),2)=0,"w","b")</f>
        <v>w</v>
      </c>
      <c r="G223" s="11" t="str">
        <f aca="false">IF($D223=0,"",INDEX($AH222:$CS222,1,$D223)&amp;"")</f>
        <v/>
      </c>
      <c r="H223" s="11" t="str">
        <f aca="false">IF($E223=0,"",INDEX($AH222:$CS222,1,$E223)&amp;"")</f>
        <v/>
      </c>
      <c r="I223" s="11" t="n">
        <f aca="false">IF(OR($D223=0,$E223=0),0,MOD($E223-1,8)-MOD($D223-1,8))</f>
        <v>0</v>
      </c>
      <c r="J223" s="11" t="n">
        <f aca="false">IF(OR($D223=0,$E223=0),0,INT(($E223-1)/8)-INT(($D223-1)/8))</f>
        <v>0</v>
      </c>
      <c r="K223" s="11" t="str">
        <f aca="false">IF($G223="","",RIGHT($G223,1))</f>
        <v/>
      </c>
      <c r="L223" s="11" t="n">
        <f aca="false">IF(OR($D223=0,$E223=0),0,SUMPRODUCT(($AH$3:$CS$3&gt;MIN($D223,$E223))*($AH$3:$CS$3&lt;MAX($D223,$E223))*(MOD($AH$3:$CS$3-MIN($D223,$E223),MAX(1,ABS(SIGN($J223)*8+SIGN($I223))))=0)*($AH222:$CS222&lt;&gt;"")))</f>
        <v>0</v>
      </c>
      <c r="M223" s="11" t="n">
        <f aca="false">IF($K223&lt;&gt;"K",0,IFERROR(--AND($J223=0,ABS($I223)=2,$D223=IF($F223="w",5,61),IF($F223="w",$S222,$V222)=0,IF($I223=2,AND(IF($F223="w",$U222,$X222)=0,INDEX($AH222:$CS222,1,$D223+1)&amp;""="",INDEX($AH222:$CS222,1,$D223+2)&amp;""=""),AND(IF($F223="w",$T222,$W222)=0,INDEX($AH222:$CS222,1,$D223-1)&amp;""="",INDEX($AH222:$CS222,1,$D223-2)&amp;""="",INDEX($AH222:$CS222,1,$D223-3)&amp;""=""))),0))</f>
        <v>0</v>
      </c>
      <c r="N223" s="11" t="n">
        <f aca="false">IF($K223&lt;&gt;"P",0,IFERROR(--OR(AND($I223=0,$J223=IF($F223="w",1,-1),$H223=""),AND($I223=0,$J223=2*IF($F223="w",1,-1),$H223="",INT(($D223-1)/8)=IF($F223="w",1,6),INDEX($AH222:$CS222,1,MAX(1,MIN(64,$D223+8*IF($F223="w",1,-1))))&amp;""=""),AND(ABS($I223)=1,$J223=IF($F223="w",1,-1),$H223&lt;&gt;""),AND(ABS($I223)=1,$J223=IF($F223="w",1,-1),$H223="",$R222&gt;0,$E223=$R222)),0))</f>
        <v>0</v>
      </c>
      <c r="O223" s="11" t="n">
        <f aca="false">IF(OR($D223=0,$E223=0,$G223=""),0,IF($K223="N",--OR(AND(ABS($I223)=1,ABS($J223)=2),AND(ABS($I223)=2,ABS($J223)=1)),IF($K223="B",--AND(ABS($I223)=ABS($J223),$I223&lt;&gt;0,$L223=0),IF($K223="R",--AND(OR($I223=0,$J223=0),OR($I223&lt;&gt;0,$J223&lt;&gt;0),$L223=0),IF($K223="Q",--AND(OR(AND(ABS($I223)=ABS($J223),$I223&lt;&gt;0),AND(OR($I223=0,$J223=0),OR($I223&lt;&gt;0,$J223&lt;&gt;0))),$L223=0),IF($K223="K",--OR(MAX(ABS($I223),ABS($J223))=1,$M223=1),$N223))))))</f>
        <v>0</v>
      </c>
      <c r="P223" s="11" t="n">
        <f aca="false">IF($Q223="OK",1,0)</f>
        <v>0</v>
      </c>
      <c r="Q223" s="11" t="str">
        <f aca="false">IF($B223="","",IF(OR(COUNTIF($AH222:$CS222,"wK")=0,COUNTIF($AH222:$CS222,"bK")=0),"Game is over",IF(OR($D223=0,$E223=0),"Use the format e2e4",IF($G223="","No piece on that square",IF(LEFT($G223,1)&lt;&gt;$F223,"Not your piece ("&amp;IF($F223="w","White","Black")&amp;" to move)",IF($D223=$E223,"Piece must move",IF(AND($H223&lt;&gt;"",LEFT($H223,1)=$F223),"Cannot capture your own piece",IF($O223=0,"Illegal move for that piece (or path blocked)","OK"))))))))</f>
        <v/>
      </c>
      <c r="R223" s="11" t="n">
        <f aca="false">IF($P223=1,IF(AND($K223="P",ABS($J223)=2),($D223+$E223)/2,0),$R222)</f>
        <v>0</v>
      </c>
      <c r="S223" s="12" t="b">
        <f aca="false">--OR($S222=1,AND($P223=1,OR($D223=5,$E223=5)))</f>
        <v>0</v>
      </c>
      <c r="T223" s="12" t="b">
        <f aca="false">--OR($T222=1,AND($P223=1,OR($D223=1,$E223=1)))</f>
        <v>0</v>
      </c>
      <c r="U223" s="12" t="b">
        <f aca="false">--OR($U222=1,AND($P223=1,OR($D223=8,$E223=8)))</f>
        <v>0</v>
      </c>
      <c r="V223" s="12" t="b">
        <f aca="false">--OR($V222=1,AND($P223=1,OR($D223=61,$E223=61)))</f>
        <v>0</v>
      </c>
      <c r="W223" s="12" t="b">
        <f aca="false">--OR($W222=1,AND($P223=1,OR($D223=57,$E223=57)))</f>
        <v>0</v>
      </c>
      <c r="X223" s="12" t="b">
        <f aca="false">--OR($X222=1,AND($P223=1,OR($D223=64,$E223=64)))</f>
        <v>0</v>
      </c>
      <c r="Y223" s="12" t="b">
        <f aca="false">--AND($P223=1,$K223="K",ABS($I223)=2)</f>
        <v>0</v>
      </c>
      <c r="Z223" s="12" t="b">
        <f aca="false">--AND($P223=1,$K223="P",ABS($I223)=1,$H223="")</f>
        <v>0</v>
      </c>
      <c r="AA223" s="12" t="b">
        <f aca="false">--AND($P223=1,$K223="P",INT(($E223-1)/8)=IF($F223="w",7,0))</f>
        <v>0</v>
      </c>
      <c r="AB223" s="11" t="str">
        <f aca="false">IF(LEN($C223)&gt;=5,IF(ISNUMBER(FIND(MID($C223,5,1),"qrbn")),UPPER(MID($C223,5,1)),"Q"),"Q")</f>
        <v>Q</v>
      </c>
      <c r="AC223" s="11" t="n">
        <f aca="false">IF($Y223=1,IF($I223=2,$D223+3,$D223-4),0)</f>
        <v>0</v>
      </c>
      <c r="AD223" s="11" t="n">
        <f aca="false">IF($Y223=1,IF($I223=2,$D223+1,$D223-1),0)</f>
        <v>0</v>
      </c>
      <c r="AE223" s="11" t="n">
        <f aca="false">IF($Z223=1,$E223-8*IF($F223="w",1,-1),0)</f>
        <v>0</v>
      </c>
      <c r="AF223" s="11" t="str">
        <f aca="false">IF($B223="","",IF($P223=1,LOWER(INDEX($CV$2:$CV$13,MATCH($G223,$CU$2:$CU$13,0)))&amp;" "&amp;MID("abcdefgh",MOD($D223-1,8)+1,1)&amp;(INT(($D223-1)/8)+1)&amp;"→"&amp;MID("abcdefgh",MOD($E223-1,8)+1,1)&amp;(INT(($E223-1)/8)+1)&amp;IF(OR($H223&lt;&gt;"",$Z223=1)," ×","")&amp;IF($Y223=1," castles","")&amp;IF($Z223=1," e.p.","")&amp;IF($AA223=1," =" &amp;LOWER(INDEX($CV$2:$CV$13,MATCH($F223&amp;$AB223,$CU$2:$CU$13,0))),""),"X "&amp;$Q223))</f>
        <v/>
      </c>
      <c r="AG223" s="11"/>
      <c r="AH223" s="11" t="str">
        <f aca="false">IF($P223=0,AH222,IF(AH$3=$E223,IF($AA223=1,$F223&amp;$AB223,$G223),IF(OR(AH$3=$D223,AH$3=$AC223,AH$3=$AE223),"",IF(AH$3=$AD223,$F223&amp;"R",AH222))))</f>
        <v>wR</v>
      </c>
      <c r="AI223" s="11" t="str">
        <f aca="false">IF($P223=0,AI222,IF(AI$3=$E223,IF($AA223=1,$F223&amp;$AB223,$G223),IF(OR(AI$3=$D223,AI$3=$AC223,AI$3=$AE223),"",IF(AI$3=$AD223,$F223&amp;"R",AI222))))</f>
        <v>wN</v>
      </c>
      <c r="AJ223" s="11" t="str">
        <f aca="false">IF($P223=0,AJ222,IF(AJ$3=$E223,IF($AA223=1,$F223&amp;$AB223,$G223),IF(OR(AJ$3=$D223,AJ$3=$AC223,AJ$3=$AE223),"",IF(AJ$3=$AD223,$F223&amp;"R",AJ222))))</f>
        <v>wB</v>
      </c>
      <c r="AK223" s="11" t="str">
        <f aca="false">IF($P223=0,AK222,IF(AK$3=$E223,IF($AA223=1,$F223&amp;$AB223,$G223),IF(OR(AK$3=$D223,AK$3=$AC223,AK$3=$AE223),"",IF(AK$3=$AD223,$F223&amp;"R",AK222))))</f>
        <v>wQ</v>
      </c>
      <c r="AL223" s="11" t="str">
        <f aca="false">IF($P223=0,AL222,IF(AL$3=$E223,IF($AA223=1,$F223&amp;$AB223,$G223),IF(OR(AL$3=$D223,AL$3=$AC223,AL$3=$AE223),"",IF(AL$3=$AD223,$F223&amp;"R",AL222))))</f>
        <v>wK</v>
      </c>
      <c r="AM223" s="11" t="str">
        <f aca="false">IF($P223=0,AM222,IF(AM$3=$E223,IF($AA223=1,$F223&amp;$AB223,$G223),IF(OR(AM$3=$D223,AM$3=$AC223,AM$3=$AE223),"",IF(AM$3=$AD223,$F223&amp;"R",AM222))))</f>
        <v>wB</v>
      </c>
      <c r="AN223" s="11" t="str">
        <f aca="false">IF($P223=0,AN222,IF(AN$3=$E223,IF($AA223=1,$F223&amp;$AB223,$G223),IF(OR(AN$3=$D223,AN$3=$AC223,AN$3=$AE223),"",IF(AN$3=$AD223,$F223&amp;"R",AN222))))</f>
        <v>wN</v>
      </c>
      <c r="AO223" s="11" t="str">
        <f aca="false">IF($P223=0,AO222,IF(AO$3=$E223,IF($AA223=1,$F223&amp;$AB223,$G223),IF(OR(AO$3=$D223,AO$3=$AC223,AO$3=$AE223),"",IF(AO$3=$AD223,$F223&amp;"R",AO222))))</f>
        <v>wR</v>
      </c>
      <c r="AP223" s="11" t="str">
        <f aca="false">IF($P223=0,AP222,IF(AP$3=$E223,IF($AA223=1,$F223&amp;$AB223,$G223),IF(OR(AP$3=$D223,AP$3=$AC223,AP$3=$AE223),"",IF(AP$3=$AD223,$F223&amp;"R",AP222))))</f>
        <v>wP</v>
      </c>
      <c r="AQ223" s="11" t="str">
        <f aca="false">IF($P223=0,AQ222,IF(AQ$3=$E223,IF($AA223=1,$F223&amp;$AB223,$G223),IF(OR(AQ$3=$D223,AQ$3=$AC223,AQ$3=$AE223),"",IF(AQ$3=$AD223,$F223&amp;"R",AQ222))))</f>
        <v>wP</v>
      </c>
      <c r="AR223" s="11" t="str">
        <f aca="false">IF($P223=0,AR222,IF(AR$3=$E223,IF($AA223=1,$F223&amp;$AB223,$G223),IF(OR(AR$3=$D223,AR$3=$AC223,AR$3=$AE223),"",IF(AR$3=$AD223,$F223&amp;"R",AR222))))</f>
        <v>wP</v>
      </c>
      <c r="AS223" s="11" t="str">
        <f aca="false">IF($P223=0,AS222,IF(AS$3=$E223,IF($AA223=1,$F223&amp;$AB223,$G223),IF(OR(AS$3=$D223,AS$3=$AC223,AS$3=$AE223),"",IF(AS$3=$AD223,$F223&amp;"R",AS222))))</f>
        <v>wP</v>
      </c>
      <c r="AT223" s="11" t="str">
        <f aca="false">IF($P223=0,AT222,IF(AT$3=$E223,IF($AA223=1,$F223&amp;$AB223,$G223),IF(OR(AT$3=$D223,AT$3=$AC223,AT$3=$AE223),"",IF(AT$3=$AD223,$F223&amp;"R",AT222))))</f>
        <v>wP</v>
      </c>
      <c r="AU223" s="11" t="str">
        <f aca="false">IF($P223=0,AU222,IF(AU$3=$E223,IF($AA223=1,$F223&amp;$AB223,$G223),IF(OR(AU$3=$D223,AU$3=$AC223,AU$3=$AE223),"",IF(AU$3=$AD223,$F223&amp;"R",AU222))))</f>
        <v>wP</v>
      </c>
      <c r="AV223" s="11" t="str">
        <f aca="false">IF($P223=0,AV222,IF(AV$3=$E223,IF($AA223=1,$F223&amp;$AB223,$G223),IF(OR(AV$3=$D223,AV$3=$AC223,AV$3=$AE223),"",IF(AV$3=$AD223,$F223&amp;"R",AV222))))</f>
        <v>wP</v>
      </c>
      <c r="AW223" s="11" t="str">
        <f aca="false">IF($P223=0,AW222,IF(AW$3=$E223,IF($AA223=1,$F223&amp;$AB223,$G223),IF(OR(AW$3=$D223,AW$3=$AC223,AW$3=$AE223),"",IF(AW$3=$AD223,$F223&amp;"R",AW222))))</f>
        <v>wP</v>
      </c>
      <c r="AX223" s="11" t="str">
        <f aca="false">IF($P223=0,AX222,IF(AX$3=$E223,IF($AA223=1,$F223&amp;$AB223,$G223),IF(OR(AX$3=$D223,AX$3=$AC223,AX$3=$AE223),"",IF(AX$3=$AD223,$F223&amp;"R",AX222))))</f>
        <v/>
      </c>
      <c r="AY223" s="11" t="str">
        <f aca="false">IF($P223=0,AY222,IF(AY$3=$E223,IF($AA223=1,$F223&amp;$AB223,$G223),IF(OR(AY$3=$D223,AY$3=$AC223,AY$3=$AE223),"",IF(AY$3=$AD223,$F223&amp;"R",AY222))))</f>
        <v/>
      </c>
      <c r="AZ223" s="11" t="str">
        <f aca="false">IF($P223=0,AZ222,IF(AZ$3=$E223,IF($AA223=1,$F223&amp;$AB223,$G223),IF(OR(AZ$3=$D223,AZ$3=$AC223,AZ$3=$AE223),"",IF(AZ$3=$AD223,$F223&amp;"R",AZ222))))</f>
        <v/>
      </c>
      <c r="BA223" s="11" t="str">
        <f aca="false">IF($P223=0,BA222,IF(BA$3=$E223,IF($AA223=1,$F223&amp;$AB223,$G223),IF(OR(BA$3=$D223,BA$3=$AC223,BA$3=$AE223),"",IF(BA$3=$AD223,$F223&amp;"R",BA222))))</f>
        <v/>
      </c>
      <c r="BB223" s="11" t="str">
        <f aca="false">IF($P223=0,BB222,IF(BB$3=$E223,IF($AA223=1,$F223&amp;$AB223,$G223),IF(OR(BB$3=$D223,BB$3=$AC223,BB$3=$AE223),"",IF(BB$3=$AD223,$F223&amp;"R",BB222))))</f>
        <v/>
      </c>
      <c r="BC223" s="11" t="str">
        <f aca="false">IF($P223=0,BC222,IF(BC$3=$E223,IF($AA223=1,$F223&amp;$AB223,$G223),IF(OR(BC$3=$D223,BC$3=$AC223,BC$3=$AE223),"",IF(BC$3=$AD223,$F223&amp;"R",BC222))))</f>
        <v/>
      </c>
      <c r="BD223" s="11" t="str">
        <f aca="false">IF($P223=0,BD222,IF(BD$3=$E223,IF($AA223=1,$F223&amp;$AB223,$G223),IF(OR(BD$3=$D223,BD$3=$AC223,BD$3=$AE223),"",IF(BD$3=$AD223,$F223&amp;"R",BD222))))</f>
        <v/>
      </c>
      <c r="BE223" s="11" t="str">
        <f aca="false">IF($P223=0,BE222,IF(BE$3=$E223,IF($AA223=1,$F223&amp;$AB223,$G223),IF(OR(BE$3=$D223,BE$3=$AC223,BE$3=$AE223),"",IF(BE$3=$AD223,$F223&amp;"R",BE222))))</f>
        <v/>
      </c>
      <c r="BF223" s="11" t="str">
        <f aca="false">IF($P223=0,BF222,IF(BF$3=$E223,IF($AA223=1,$F223&amp;$AB223,$G223),IF(OR(BF$3=$D223,BF$3=$AC223,BF$3=$AE223),"",IF(BF$3=$AD223,$F223&amp;"R",BF222))))</f>
        <v/>
      </c>
      <c r="BG223" s="11" t="str">
        <f aca="false">IF($P223=0,BG222,IF(BG$3=$E223,IF($AA223=1,$F223&amp;$AB223,$G223),IF(OR(BG$3=$D223,BG$3=$AC223,BG$3=$AE223),"",IF(BG$3=$AD223,$F223&amp;"R",BG222))))</f>
        <v/>
      </c>
      <c r="BH223" s="11" t="str">
        <f aca="false">IF($P223=0,BH222,IF(BH$3=$E223,IF($AA223=1,$F223&amp;$AB223,$G223),IF(OR(BH$3=$D223,BH$3=$AC223,BH$3=$AE223),"",IF(BH$3=$AD223,$F223&amp;"R",BH222))))</f>
        <v/>
      </c>
      <c r="BI223" s="11" t="str">
        <f aca="false">IF($P223=0,BI222,IF(BI$3=$E223,IF($AA223=1,$F223&amp;$AB223,$G223),IF(OR(BI$3=$D223,BI$3=$AC223,BI$3=$AE223),"",IF(BI$3=$AD223,$F223&amp;"R",BI222))))</f>
        <v/>
      </c>
      <c r="BJ223" s="11" t="str">
        <f aca="false">IF($P223=0,BJ222,IF(BJ$3=$E223,IF($AA223=1,$F223&amp;$AB223,$G223),IF(OR(BJ$3=$D223,BJ$3=$AC223,BJ$3=$AE223),"",IF(BJ$3=$AD223,$F223&amp;"R",BJ222))))</f>
        <v/>
      </c>
      <c r="BK223" s="11" t="str">
        <f aca="false">IF($P223=0,BK222,IF(BK$3=$E223,IF($AA223=1,$F223&amp;$AB223,$G223),IF(OR(BK$3=$D223,BK$3=$AC223,BK$3=$AE223),"",IF(BK$3=$AD223,$F223&amp;"R",BK222))))</f>
        <v/>
      </c>
      <c r="BL223" s="11" t="str">
        <f aca="false">IF($P223=0,BL222,IF(BL$3=$E223,IF($AA223=1,$F223&amp;$AB223,$G223),IF(OR(BL$3=$D223,BL$3=$AC223,BL$3=$AE223),"",IF(BL$3=$AD223,$F223&amp;"R",BL222))))</f>
        <v/>
      </c>
      <c r="BM223" s="11" t="str">
        <f aca="false">IF($P223=0,BM222,IF(BM$3=$E223,IF($AA223=1,$F223&amp;$AB223,$G223),IF(OR(BM$3=$D223,BM$3=$AC223,BM$3=$AE223),"",IF(BM$3=$AD223,$F223&amp;"R",BM222))))</f>
        <v/>
      </c>
      <c r="BN223" s="11" t="str">
        <f aca="false">IF($P223=0,BN222,IF(BN$3=$E223,IF($AA223=1,$F223&amp;$AB223,$G223),IF(OR(BN$3=$D223,BN$3=$AC223,BN$3=$AE223),"",IF(BN$3=$AD223,$F223&amp;"R",BN222))))</f>
        <v/>
      </c>
      <c r="BO223" s="11" t="str">
        <f aca="false">IF($P223=0,BO222,IF(BO$3=$E223,IF($AA223=1,$F223&amp;$AB223,$G223),IF(OR(BO$3=$D223,BO$3=$AC223,BO$3=$AE223),"",IF(BO$3=$AD223,$F223&amp;"R",BO222))))</f>
        <v/>
      </c>
      <c r="BP223" s="11" t="str">
        <f aca="false">IF($P223=0,BP222,IF(BP$3=$E223,IF($AA223=1,$F223&amp;$AB223,$G223),IF(OR(BP$3=$D223,BP$3=$AC223,BP$3=$AE223),"",IF(BP$3=$AD223,$F223&amp;"R",BP222))))</f>
        <v/>
      </c>
      <c r="BQ223" s="11" t="str">
        <f aca="false">IF($P223=0,BQ222,IF(BQ$3=$E223,IF($AA223=1,$F223&amp;$AB223,$G223),IF(OR(BQ$3=$D223,BQ$3=$AC223,BQ$3=$AE223),"",IF(BQ$3=$AD223,$F223&amp;"R",BQ222))))</f>
        <v/>
      </c>
      <c r="BR223" s="11" t="str">
        <f aca="false">IF($P223=0,BR222,IF(BR$3=$E223,IF($AA223=1,$F223&amp;$AB223,$G223),IF(OR(BR$3=$D223,BR$3=$AC223,BR$3=$AE223),"",IF(BR$3=$AD223,$F223&amp;"R",BR222))))</f>
        <v/>
      </c>
      <c r="BS223" s="11" t="str">
        <f aca="false">IF($P223=0,BS222,IF(BS$3=$E223,IF($AA223=1,$F223&amp;$AB223,$G223),IF(OR(BS$3=$D223,BS$3=$AC223,BS$3=$AE223),"",IF(BS$3=$AD223,$F223&amp;"R",BS222))))</f>
        <v/>
      </c>
      <c r="BT223" s="11" t="str">
        <f aca="false">IF($P223=0,BT222,IF(BT$3=$E223,IF($AA223=1,$F223&amp;$AB223,$G223),IF(OR(BT$3=$D223,BT$3=$AC223,BT$3=$AE223),"",IF(BT$3=$AD223,$F223&amp;"R",BT222))))</f>
        <v/>
      </c>
      <c r="BU223" s="11" t="str">
        <f aca="false">IF($P223=0,BU222,IF(BU$3=$E223,IF($AA223=1,$F223&amp;$AB223,$G223),IF(OR(BU$3=$D223,BU$3=$AC223,BU$3=$AE223),"",IF(BU$3=$AD223,$F223&amp;"R",BU222))))</f>
        <v/>
      </c>
      <c r="BV223" s="11" t="str">
        <f aca="false">IF($P223=0,BV222,IF(BV$3=$E223,IF($AA223=1,$F223&amp;$AB223,$G223),IF(OR(BV$3=$D223,BV$3=$AC223,BV$3=$AE223),"",IF(BV$3=$AD223,$F223&amp;"R",BV222))))</f>
        <v/>
      </c>
      <c r="BW223" s="11" t="str">
        <f aca="false">IF($P223=0,BW222,IF(BW$3=$E223,IF($AA223=1,$F223&amp;$AB223,$G223),IF(OR(BW$3=$D223,BW$3=$AC223,BW$3=$AE223),"",IF(BW$3=$AD223,$F223&amp;"R",BW222))))</f>
        <v/>
      </c>
      <c r="BX223" s="11" t="str">
        <f aca="false">IF($P223=0,BX222,IF(BX$3=$E223,IF($AA223=1,$F223&amp;$AB223,$G223),IF(OR(BX$3=$D223,BX$3=$AC223,BX$3=$AE223),"",IF(BX$3=$AD223,$F223&amp;"R",BX222))))</f>
        <v/>
      </c>
      <c r="BY223" s="11" t="str">
        <f aca="false">IF($P223=0,BY222,IF(BY$3=$E223,IF($AA223=1,$F223&amp;$AB223,$G223),IF(OR(BY$3=$D223,BY$3=$AC223,BY$3=$AE223),"",IF(BY$3=$AD223,$F223&amp;"R",BY222))))</f>
        <v/>
      </c>
      <c r="BZ223" s="11" t="str">
        <f aca="false">IF($P223=0,BZ222,IF(BZ$3=$E223,IF($AA223=1,$F223&amp;$AB223,$G223),IF(OR(BZ$3=$D223,BZ$3=$AC223,BZ$3=$AE223),"",IF(BZ$3=$AD223,$F223&amp;"R",BZ222))))</f>
        <v/>
      </c>
      <c r="CA223" s="11" t="str">
        <f aca="false">IF($P223=0,CA222,IF(CA$3=$E223,IF($AA223=1,$F223&amp;$AB223,$G223),IF(OR(CA$3=$D223,CA$3=$AC223,CA$3=$AE223),"",IF(CA$3=$AD223,$F223&amp;"R",CA222))))</f>
        <v/>
      </c>
      <c r="CB223" s="11" t="str">
        <f aca="false">IF($P223=0,CB222,IF(CB$3=$E223,IF($AA223=1,$F223&amp;$AB223,$G223),IF(OR(CB$3=$D223,CB$3=$AC223,CB$3=$AE223),"",IF(CB$3=$AD223,$F223&amp;"R",CB222))))</f>
        <v/>
      </c>
      <c r="CC223" s="11" t="str">
        <f aca="false">IF($P223=0,CC222,IF(CC$3=$E223,IF($AA223=1,$F223&amp;$AB223,$G223),IF(OR(CC$3=$D223,CC$3=$AC223,CC$3=$AE223),"",IF(CC$3=$AD223,$F223&amp;"R",CC222))))</f>
        <v/>
      </c>
      <c r="CD223" s="11" t="str">
        <f aca="false">IF($P223=0,CD222,IF(CD$3=$E223,IF($AA223=1,$F223&amp;$AB223,$G223),IF(OR(CD$3=$D223,CD$3=$AC223,CD$3=$AE223),"",IF(CD$3=$AD223,$F223&amp;"R",CD222))))</f>
        <v>bP</v>
      </c>
      <c r="CE223" s="11" t="str">
        <f aca="false">IF($P223=0,CE222,IF(CE$3=$E223,IF($AA223=1,$F223&amp;$AB223,$G223),IF(OR(CE$3=$D223,CE$3=$AC223,CE$3=$AE223),"",IF(CE$3=$AD223,$F223&amp;"R",CE222))))</f>
        <v>bP</v>
      </c>
      <c r="CF223" s="11" t="str">
        <f aca="false">IF($P223=0,CF222,IF(CF$3=$E223,IF($AA223=1,$F223&amp;$AB223,$G223),IF(OR(CF$3=$D223,CF$3=$AC223,CF$3=$AE223),"",IF(CF$3=$AD223,$F223&amp;"R",CF222))))</f>
        <v>bP</v>
      </c>
      <c r="CG223" s="11" t="str">
        <f aca="false">IF($P223=0,CG222,IF(CG$3=$E223,IF($AA223=1,$F223&amp;$AB223,$G223),IF(OR(CG$3=$D223,CG$3=$AC223,CG$3=$AE223),"",IF(CG$3=$AD223,$F223&amp;"R",CG222))))</f>
        <v>bP</v>
      </c>
      <c r="CH223" s="11" t="str">
        <f aca="false">IF($P223=0,CH222,IF(CH$3=$E223,IF($AA223=1,$F223&amp;$AB223,$G223),IF(OR(CH$3=$D223,CH$3=$AC223,CH$3=$AE223),"",IF(CH$3=$AD223,$F223&amp;"R",CH222))))</f>
        <v>bP</v>
      </c>
      <c r="CI223" s="11" t="str">
        <f aca="false">IF($P223=0,CI222,IF(CI$3=$E223,IF($AA223=1,$F223&amp;$AB223,$G223),IF(OR(CI$3=$D223,CI$3=$AC223,CI$3=$AE223),"",IF(CI$3=$AD223,$F223&amp;"R",CI222))))</f>
        <v>bP</v>
      </c>
      <c r="CJ223" s="11" t="str">
        <f aca="false">IF($P223=0,CJ222,IF(CJ$3=$E223,IF($AA223=1,$F223&amp;$AB223,$G223),IF(OR(CJ$3=$D223,CJ$3=$AC223,CJ$3=$AE223),"",IF(CJ$3=$AD223,$F223&amp;"R",CJ222))))</f>
        <v>bP</v>
      </c>
      <c r="CK223" s="11" t="str">
        <f aca="false">IF($P223=0,CK222,IF(CK$3=$E223,IF($AA223=1,$F223&amp;$AB223,$G223),IF(OR(CK$3=$D223,CK$3=$AC223,CK$3=$AE223),"",IF(CK$3=$AD223,$F223&amp;"R",CK222))))</f>
        <v>bP</v>
      </c>
      <c r="CL223" s="11" t="str">
        <f aca="false">IF($P223=0,CL222,IF(CL$3=$E223,IF($AA223=1,$F223&amp;$AB223,$G223),IF(OR(CL$3=$D223,CL$3=$AC223,CL$3=$AE223),"",IF(CL$3=$AD223,$F223&amp;"R",CL222))))</f>
        <v>bR</v>
      </c>
      <c r="CM223" s="11" t="str">
        <f aca="false">IF($P223=0,CM222,IF(CM$3=$E223,IF($AA223=1,$F223&amp;$AB223,$G223),IF(OR(CM$3=$D223,CM$3=$AC223,CM$3=$AE223),"",IF(CM$3=$AD223,$F223&amp;"R",CM222))))</f>
        <v>bN</v>
      </c>
      <c r="CN223" s="11" t="str">
        <f aca="false">IF($P223=0,CN222,IF(CN$3=$E223,IF($AA223=1,$F223&amp;$AB223,$G223),IF(OR(CN$3=$D223,CN$3=$AC223,CN$3=$AE223),"",IF(CN$3=$AD223,$F223&amp;"R",CN222))))</f>
        <v>bB</v>
      </c>
      <c r="CO223" s="11" t="str">
        <f aca="false">IF($P223=0,CO222,IF(CO$3=$E223,IF($AA223=1,$F223&amp;$AB223,$G223),IF(OR(CO$3=$D223,CO$3=$AC223,CO$3=$AE223),"",IF(CO$3=$AD223,$F223&amp;"R",CO222))))</f>
        <v>bQ</v>
      </c>
      <c r="CP223" s="11" t="str">
        <f aca="false">IF($P223=0,CP222,IF(CP$3=$E223,IF($AA223=1,$F223&amp;$AB223,$G223),IF(OR(CP$3=$D223,CP$3=$AC223,CP$3=$AE223),"",IF(CP$3=$AD223,$F223&amp;"R",CP222))))</f>
        <v>bK</v>
      </c>
      <c r="CQ223" s="11" t="str">
        <f aca="false">IF($P223=0,CQ222,IF(CQ$3=$E223,IF($AA223=1,$F223&amp;$AB223,$G223),IF(OR(CQ$3=$D223,CQ$3=$AC223,CQ$3=$AE223),"",IF(CQ$3=$AD223,$F223&amp;"R",CQ222))))</f>
        <v>bB</v>
      </c>
      <c r="CR223" s="11" t="str">
        <f aca="false">IF($P223=0,CR222,IF(CR$3=$E223,IF($AA223=1,$F223&amp;$AB223,$G223),IF(OR(CR$3=$D223,CR$3=$AC223,CR$3=$AE223),"",IF(CR$3=$AD223,$F223&amp;"R",CR222))))</f>
        <v>bN</v>
      </c>
      <c r="CS223" s="11" t="str">
        <f aca="false">IF($P223=0,CS222,IF(CS$3=$E223,IF($AA223=1,$F223&amp;$AB223,$G223),IF(OR(CS$3=$D223,CS$3=$AC223,CS$3=$AE223),"",IF(CS$3=$AD223,$F223&amp;"R",CS222))))</f>
        <v>bR</v>
      </c>
      <c r="CT223" s="11"/>
      <c r="CU223" s="11"/>
      <c r="CV223" s="11"/>
    </row>
    <row r="224" customFormat="false" ht="15" hidden="false" customHeight="false" outlineLevel="0" collapsed="false">
      <c r="A224" s="11" t="n">
        <v>219</v>
      </c>
      <c r="B224" s="11" t="str">
        <f aca="false">IF(Chess!$L$228="","",Chess!$L$228&amp;"")</f>
        <v/>
      </c>
      <c r="C224" s="11" t="str">
        <f aca="false">LOWER(SUBSTITUTE(SUBSTITUTE(SUBSTITUTE(SUBSTITUTE(TRIM($B224),"-",""),"=","")," ",""),"x",""))</f>
        <v/>
      </c>
      <c r="D224" s="11" t="n">
        <f aca="false">IF(LEN($C224)&lt;4,0,IFERROR(IF(AND(CODE(MID($C224,1,1))&gt;=97,CODE(MID($C224,1,1))&lt;=104,VALUE(MID($C224,2,1))&gt;=1,VALUE(MID($C224,2,1))&lt;=8),(VALUE(MID($C224,2,1))-1)*8+CODE(MID($C224,1,1))-96,0),0))</f>
        <v>0</v>
      </c>
      <c r="E224" s="11" t="n">
        <f aca="false">IF(LEN($C224)&lt;4,0,IFERROR(IF(AND(CODE(MID($C224,3,1))&gt;=97,CODE(MID($C224,3,1))&lt;=104,VALUE(MID($C224,4,1))&gt;=1,VALUE(MID($C224,4,1))&lt;=8),(VALUE(MID($C224,4,1))-1)*8+CODE(MID($C224,3,1))-96,0),0))</f>
        <v>0</v>
      </c>
      <c r="F224" s="11" t="str">
        <f aca="false">IF(MOD(SUM($P$5:$P223),2)=0,"w","b")</f>
        <v>w</v>
      </c>
      <c r="G224" s="11" t="str">
        <f aca="false">IF($D224=0,"",INDEX($AH223:$CS223,1,$D224)&amp;"")</f>
        <v/>
      </c>
      <c r="H224" s="11" t="str">
        <f aca="false">IF($E224=0,"",INDEX($AH223:$CS223,1,$E224)&amp;"")</f>
        <v/>
      </c>
      <c r="I224" s="11" t="n">
        <f aca="false">IF(OR($D224=0,$E224=0),0,MOD($E224-1,8)-MOD($D224-1,8))</f>
        <v>0</v>
      </c>
      <c r="J224" s="11" t="n">
        <f aca="false">IF(OR($D224=0,$E224=0),0,INT(($E224-1)/8)-INT(($D224-1)/8))</f>
        <v>0</v>
      </c>
      <c r="K224" s="11" t="str">
        <f aca="false">IF($G224="","",RIGHT($G224,1))</f>
        <v/>
      </c>
      <c r="L224" s="11" t="n">
        <f aca="false">IF(OR($D224=0,$E224=0),0,SUMPRODUCT(($AH$3:$CS$3&gt;MIN($D224,$E224))*($AH$3:$CS$3&lt;MAX($D224,$E224))*(MOD($AH$3:$CS$3-MIN($D224,$E224),MAX(1,ABS(SIGN($J224)*8+SIGN($I224))))=0)*($AH223:$CS223&lt;&gt;"")))</f>
        <v>0</v>
      </c>
      <c r="M224" s="11" t="n">
        <f aca="false">IF($K224&lt;&gt;"K",0,IFERROR(--AND($J224=0,ABS($I224)=2,$D224=IF($F224="w",5,61),IF($F224="w",$S223,$V223)=0,IF($I224=2,AND(IF($F224="w",$U223,$X223)=0,INDEX($AH223:$CS223,1,$D224+1)&amp;""="",INDEX($AH223:$CS223,1,$D224+2)&amp;""=""),AND(IF($F224="w",$T223,$W223)=0,INDEX($AH223:$CS223,1,$D224-1)&amp;""="",INDEX($AH223:$CS223,1,$D224-2)&amp;""="",INDEX($AH223:$CS223,1,$D224-3)&amp;""=""))),0))</f>
        <v>0</v>
      </c>
      <c r="N224" s="11" t="n">
        <f aca="false">IF($K224&lt;&gt;"P",0,IFERROR(--OR(AND($I224=0,$J224=IF($F224="w",1,-1),$H224=""),AND($I224=0,$J224=2*IF($F224="w",1,-1),$H224="",INT(($D224-1)/8)=IF($F224="w",1,6),INDEX($AH223:$CS223,1,MAX(1,MIN(64,$D224+8*IF($F224="w",1,-1))))&amp;""=""),AND(ABS($I224)=1,$J224=IF($F224="w",1,-1),$H224&lt;&gt;""),AND(ABS($I224)=1,$J224=IF($F224="w",1,-1),$H224="",$R223&gt;0,$E224=$R223)),0))</f>
        <v>0</v>
      </c>
      <c r="O224" s="11" t="n">
        <f aca="false">IF(OR($D224=0,$E224=0,$G224=""),0,IF($K224="N",--OR(AND(ABS($I224)=1,ABS($J224)=2),AND(ABS($I224)=2,ABS($J224)=1)),IF($K224="B",--AND(ABS($I224)=ABS($J224),$I224&lt;&gt;0,$L224=0),IF($K224="R",--AND(OR($I224=0,$J224=0),OR($I224&lt;&gt;0,$J224&lt;&gt;0),$L224=0),IF($K224="Q",--AND(OR(AND(ABS($I224)=ABS($J224),$I224&lt;&gt;0),AND(OR($I224=0,$J224=0),OR($I224&lt;&gt;0,$J224&lt;&gt;0))),$L224=0),IF($K224="K",--OR(MAX(ABS($I224),ABS($J224))=1,$M224=1),$N224))))))</f>
        <v>0</v>
      </c>
      <c r="P224" s="11" t="n">
        <f aca="false">IF($Q224="OK",1,0)</f>
        <v>0</v>
      </c>
      <c r="Q224" s="11" t="str">
        <f aca="false">IF($B224="","",IF(OR(COUNTIF($AH223:$CS223,"wK")=0,COUNTIF($AH223:$CS223,"bK")=0),"Game is over",IF(OR($D224=0,$E224=0),"Use the format e2e4",IF($G224="","No piece on that square",IF(LEFT($G224,1)&lt;&gt;$F224,"Not your piece ("&amp;IF($F224="w","White","Black")&amp;" to move)",IF($D224=$E224,"Piece must move",IF(AND($H224&lt;&gt;"",LEFT($H224,1)=$F224),"Cannot capture your own piece",IF($O224=0,"Illegal move for that piece (or path blocked)","OK"))))))))</f>
        <v/>
      </c>
      <c r="R224" s="11" t="n">
        <f aca="false">IF($P224=1,IF(AND($K224="P",ABS($J224)=2),($D224+$E224)/2,0),$R223)</f>
        <v>0</v>
      </c>
      <c r="S224" s="12" t="b">
        <f aca="false">--OR($S223=1,AND($P224=1,OR($D224=5,$E224=5)))</f>
        <v>0</v>
      </c>
      <c r="T224" s="12" t="b">
        <f aca="false">--OR($T223=1,AND($P224=1,OR($D224=1,$E224=1)))</f>
        <v>0</v>
      </c>
      <c r="U224" s="12" t="b">
        <f aca="false">--OR($U223=1,AND($P224=1,OR($D224=8,$E224=8)))</f>
        <v>0</v>
      </c>
      <c r="V224" s="12" t="b">
        <f aca="false">--OR($V223=1,AND($P224=1,OR($D224=61,$E224=61)))</f>
        <v>0</v>
      </c>
      <c r="W224" s="12" t="b">
        <f aca="false">--OR($W223=1,AND($P224=1,OR($D224=57,$E224=57)))</f>
        <v>0</v>
      </c>
      <c r="X224" s="12" t="b">
        <f aca="false">--OR($X223=1,AND($P224=1,OR($D224=64,$E224=64)))</f>
        <v>0</v>
      </c>
      <c r="Y224" s="12" t="b">
        <f aca="false">--AND($P224=1,$K224="K",ABS($I224)=2)</f>
        <v>0</v>
      </c>
      <c r="Z224" s="12" t="b">
        <f aca="false">--AND($P224=1,$K224="P",ABS($I224)=1,$H224="")</f>
        <v>0</v>
      </c>
      <c r="AA224" s="12" t="b">
        <f aca="false">--AND($P224=1,$K224="P",INT(($E224-1)/8)=IF($F224="w",7,0))</f>
        <v>0</v>
      </c>
      <c r="AB224" s="11" t="str">
        <f aca="false">IF(LEN($C224)&gt;=5,IF(ISNUMBER(FIND(MID($C224,5,1),"qrbn")),UPPER(MID($C224,5,1)),"Q"),"Q")</f>
        <v>Q</v>
      </c>
      <c r="AC224" s="11" t="n">
        <f aca="false">IF($Y224=1,IF($I224=2,$D224+3,$D224-4),0)</f>
        <v>0</v>
      </c>
      <c r="AD224" s="11" t="n">
        <f aca="false">IF($Y224=1,IF($I224=2,$D224+1,$D224-1),0)</f>
        <v>0</v>
      </c>
      <c r="AE224" s="11" t="n">
        <f aca="false">IF($Z224=1,$E224-8*IF($F224="w",1,-1),0)</f>
        <v>0</v>
      </c>
      <c r="AF224" s="11" t="str">
        <f aca="false">IF($B224="","",IF($P224=1,LOWER(INDEX($CV$2:$CV$13,MATCH($G224,$CU$2:$CU$13,0)))&amp;" "&amp;MID("abcdefgh",MOD($D224-1,8)+1,1)&amp;(INT(($D224-1)/8)+1)&amp;"→"&amp;MID("abcdefgh",MOD($E224-1,8)+1,1)&amp;(INT(($E224-1)/8)+1)&amp;IF(OR($H224&lt;&gt;"",$Z224=1)," ×","")&amp;IF($Y224=1," castles","")&amp;IF($Z224=1," e.p.","")&amp;IF($AA224=1," =" &amp;LOWER(INDEX($CV$2:$CV$13,MATCH($F224&amp;$AB224,$CU$2:$CU$13,0))),""),"X "&amp;$Q224))</f>
        <v/>
      </c>
      <c r="AG224" s="11"/>
      <c r="AH224" s="11" t="str">
        <f aca="false">IF($P224=0,AH223,IF(AH$3=$E224,IF($AA224=1,$F224&amp;$AB224,$G224),IF(OR(AH$3=$D224,AH$3=$AC224,AH$3=$AE224),"",IF(AH$3=$AD224,$F224&amp;"R",AH223))))</f>
        <v>wR</v>
      </c>
      <c r="AI224" s="11" t="str">
        <f aca="false">IF($P224=0,AI223,IF(AI$3=$E224,IF($AA224=1,$F224&amp;$AB224,$G224),IF(OR(AI$3=$D224,AI$3=$AC224,AI$3=$AE224),"",IF(AI$3=$AD224,$F224&amp;"R",AI223))))</f>
        <v>wN</v>
      </c>
      <c r="AJ224" s="11" t="str">
        <f aca="false">IF($P224=0,AJ223,IF(AJ$3=$E224,IF($AA224=1,$F224&amp;$AB224,$G224),IF(OR(AJ$3=$D224,AJ$3=$AC224,AJ$3=$AE224),"",IF(AJ$3=$AD224,$F224&amp;"R",AJ223))))</f>
        <v>wB</v>
      </c>
      <c r="AK224" s="11" t="str">
        <f aca="false">IF($P224=0,AK223,IF(AK$3=$E224,IF($AA224=1,$F224&amp;$AB224,$G224),IF(OR(AK$3=$D224,AK$3=$AC224,AK$3=$AE224),"",IF(AK$3=$AD224,$F224&amp;"R",AK223))))</f>
        <v>wQ</v>
      </c>
      <c r="AL224" s="11" t="str">
        <f aca="false">IF($P224=0,AL223,IF(AL$3=$E224,IF($AA224=1,$F224&amp;$AB224,$G224),IF(OR(AL$3=$D224,AL$3=$AC224,AL$3=$AE224),"",IF(AL$3=$AD224,$F224&amp;"R",AL223))))</f>
        <v>wK</v>
      </c>
      <c r="AM224" s="11" t="str">
        <f aca="false">IF($P224=0,AM223,IF(AM$3=$E224,IF($AA224=1,$F224&amp;$AB224,$G224),IF(OR(AM$3=$D224,AM$3=$AC224,AM$3=$AE224),"",IF(AM$3=$AD224,$F224&amp;"R",AM223))))</f>
        <v>wB</v>
      </c>
      <c r="AN224" s="11" t="str">
        <f aca="false">IF($P224=0,AN223,IF(AN$3=$E224,IF($AA224=1,$F224&amp;$AB224,$G224),IF(OR(AN$3=$D224,AN$3=$AC224,AN$3=$AE224),"",IF(AN$3=$AD224,$F224&amp;"R",AN223))))</f>
        <v>wN</v>
      </c>
      <c r="AO224" s="11" t="str">
        <f aca="false">IF($P224=0,AO223,IF(AO$3=$E224,IF($AA224=1,$F224&amp;$AB224,$G224),IF(OR(AO$3=$D224,AO$3=$AC224,AO$3=$AE224),"",IF(AO$3=$AD224,$F224&amp;"R",AO223))))</f>
        <v>wR</v>
      </c>
      <c r="AP224" s="11" t="str">
        <f aca="false">IF($P224=0,AP223,IF(AP$3=$E224,IF($AA224=1,$F224&amp;$AB224,$G224),IF(OR(AP$3=$D224,AP$3=$AC224,AP$3=$AE224),"",IF(AP$3=$AD224,$F224&amp;"R",AP223))))</f>
        <v>wP</v>
      </c>
      <c r="AQ224" s="11" t="str">
        <f aca="false">IF($P224=0,AQ223,IF(AQ$3=$E224,IF($AA224=1,$F224&amp;$AB224,$G224),IF(OR(AQ$3=$D224,AQ$3=$AC224,AQ$3=$AE224),"",IF(AQ$3=$AD224,$F224&amp;"R",AQ223))))</f>
        <v>wP</v>
      </c>
      <c r="AR224" s="11" t="str">
        <f aca="false">IF($P224=0,AR223,IF(AR$3=$E224,IF($AA224=1,$F224&amp;$AB224,$G224),IF(OR(AR$3=$D224,AR$3=$AC224,AR$3=$AE224),"",IF(AR$3=$AD224,$F224&amp;"R",AR223))))</f>
        <v>wP</v>
      </c>
      <c r="AS224" s="11" t="str">
        <f aca="false">IF($P224=0,AS223,IF(AS$3=$E224,IF($AA224=1,$F224&amp;$AB224,$G224),IF(OR(AS$3=$D224,AS$3=$AC224,AS$3=$AE224),"",IF(AS$3=$AD224,$F224&amp;"R",AS223))))</f>
        <v>wP</v>
      </c>
      <c r="AT224" s="11" t="str">
        <f aca="false">IF($P224=0,AT223,IF(AT$3=$E224,IF($AA224=1,$F224&amp;$AB224,$G224),IF(OR(AT$3=$D224,AT$3=$AC224,AT$3=$AE224),"",IF(AT$3=$AD224,$F224&amp;"R",AT223))))</f>
        <v>wP</v>
      </c>
      <c r="AU224" s="11" t="str">
        <f aca="false">IF($P224=0,AU223,IF(AU$3=$E224,IF($AA224=1,$F224&amp;$AB224,$G224),IF(OR(AU$3=$D224,AU$3=$AC224,AU$3=$AE224),"",IF(AU$3=$AD224,$F224&amp;"R",AU223))))</f>
        <v>wP</v>
      </c>
      <c r="AV224" s="11" t="str">
        <f aca="false">IF($P224=0,AV223,IF(AV$3=$E224,IF($AA224=1,$F224&amp;$AB224,$G224),IF(OR(AV$3=$D224,AV$3=$AC224,AV$3=$AE224),"",IF(AV$3=$AD224,$F224&amp;"R",AV223))))</f>
        <v>wP</v>
      </c>
      <c r="AW224" s="11" t="str">
        <f aca="false">IF($P224=0,AW223,IF(AW$3=$E224,IF($AA224=1,$F224&amp;$AB224,$G224),IF(OR(AW$3=$D224,AW$3=$AC224,AW$3=$AE224),"",IF(AW$3=$AD224,$F224&amp;"R",AW223))))</f>
        <v>wP</v>
      </c>
      <c r="AX224" s="11" t="str">
        <f aca="false">IF($P224=0,AX223,IF(AX$3=$E224,IF($AA224=1,$F224&amp;$AB224,$G224),IF(OR(AX$3=$D224,AX$3=$AC224,AX$3=$AE224),"",IF(AX$3=$AD224,$F224&amp;"R",AX223))))</f>
        <v/>
      </c>
      <c r="AY224" s="11" t="str">
        <f aca="false">IF($P224=0,AY223,IF(AY$3=$E224,IF($AA224=1,$F224&amp;$AB224,$G224),IF(OR(AY$3=$D224,AY$3=$AC224,AY$3=$AE224),"",IF(AY$3=$AD224,$F224&amp;"R",AY223))))</f>
        <v/>
      </c>
      <c r="AZ224" s="11" t="str">
        <f aca="false">IF($P224=0,AZ223,IF(AZ$3=$E224,IF($AA224=1,$F224&amp;$AB224,$G224),IF(OR(AZ$3=$D224,AZ$3=$AC224,AZ$3=$AE224),"",IF(AZ$3=$AD224,$F224&amp;"R",AZ223))))</f>
        <v/>
      </c>
      <c r="BA224" s="11" t="str">
        <f aca="false">IF($P224=0,BA223,IF(BA$3=$E224,IF($AA224=1,$F224&amp;$AB224,$G224),IF(OR(BA$3=$D224,BA$3=$AC224,BA$3=$AE224),"",IF(BA$3=$AD224,$F224&amp;"R",BA223))))</f>
        <v/>
      </c>
      <c r="BB224" s="11" t="str">
        <f aca="false">IF($P224=0,BB223,IF(BB$3=$E224,IF($AA224=1,$F224&amp;$AB224,$G224),IF(OR(BB$3=$D224,BB$3=$AC224,BB$3=$AE224),"",IF(BB$3=$AD224,$F224&amp;"R",BB223))))</f>
        <v/>
      </c>
      <c r="BC224" s="11" t="str">
        <f aca="false">IF($P224=0,BC223,IF(BC$3=$E224,IF($AA224=1,$F224&amp;$AB224,$G224),IF(OR(BC$3=$D224,BC$3=$AC224,BC$3=$AE224),"",IF(BC$3=$AD224,$F224&amp;"R",BC223))))</f>
        <v/>
      </c>
      <c r="BD224" s="11" t="str">
        <f aca="false">IF($P224=0,BD223,IF(BD$3=$E224,IF($AA224=1,$F224&amp;$AB224,$G224),IF(OR(BD$3=$D224,BD$3=$AC224,BD$3=$AE224),"",IF(BD$3=$AD224,$F224&amp;"R",BD223))))</f>
        <v/>
      </c>
      <c r="BE224" s="11" t="str">
        <f aca="false">IF($P224=0,BE223,IF(BE$3=$E224,IF($AA224=1,$F224&amp;$AB224,$G224),IF(OR(BE$3=$D224,BE$3=$AC224,BE$3=$AE224),"",IF(BE$3=$AD224,$F224&amp;"R",BE223))))</f>
        <v/>
      </c>
      <c r="BF224" s="11" t="str">
        <f aca="false">IF($P224=0,BF223,IF(BF$3=$E224,IF($AA224=1,$F224&amp;$AB224,$G224),IF(OR(BF$3=$D224,BF$3=$AC224,BF$3=$AE224),"",IF(BF$3=$AD224,$F224&amp;"R",BF223))))</f>
        <v/>
      </c>
      <c r="BG224" s="11" t="str">
        <f aca="false">IF($P224=0,BG223,IF(BG$3=$E224,IF($AA224=1,$F224&amp;$AB224,$G224),IF(OR(BG$3=$D224,BG$3=$AC224,BG$3=$AE224),"",IF(BG$3=$AD224,$F224&amp;"R",BG223))))</f>
        <v/>
      </c>
      <c r="BH224" s="11" t="str">
        <f aca="false">IF($P224=0,BH223,IF(BH$3=$E224,IF($AA224=1,$F224&amp;$AB224,$G224),IF(OR(BH$3=$D224,BH$3=$AC224,BH$3=$AE224),"",IF(BH$3=$AD224,$F224&amp;"R",BH223))))</f>
        <v/>
      </c>
      <c r="BI224" s="11" t="str">
        <f aca="false">IF($P224=0,BI223,IF(BI$3=$E224,IF($AA224=1,$F224&amp;$AB224,$G224),IF(OR(BI$3=$D224,BI$3=$AC224,BI$3=$AE224),"",IF(BI$3=$AD224,$F224&amp;"R",BI223))))</f>
        <v/>
      </c>
      <c r="BJ224" s="11" t="str">
        <f aca="false">IF($P224=0,BJ223,IF(BJ$3=$E224,IF($AA224=1,$F224&amp;$AB224,$G224),IF(OR(BJ$3=$D224,BJ$3=$AC224,BJ$3=$AE224),"",IF(BJ$3=$AD224,$F224&amp;"R",BJ223))))</f>
        <v/>
      </c>
      <c r="BK224" s="11" t="str">
        <f aca="false">IF($P224=0,BK223,IF(BK$3=$E224,IF($AA224=1,$F224&amp;$AB224,$G224),IF(OR(BK$3=$D224,BK$3=$AC224,BK$3=$AE224),"",IF(BK$3=$AD224,$F224&amp;"R",BK223))))</f>
        <v/>
      </c>
      <c r="BL224" s="11" t="str">
        <f aca="false">IF($P224=0,BL223,IF(BL$3=$E224,IF($AA224=1,$F224&amp;$AB224,$G224),IF(OR(BL$3=$D224,BL$3=$AC224,BL$3=$AE224),"",IF(BL$3=$AD224,$F224&amp;"R",BL223))))</f>
        <v/>
      </c>
      <c r="BM224" s="11" t="str">
        <f aca="false">IF($P224=0,BM223,IF(BM$3=$E224,IF($AA224=1,$F224&amp;$AB224,$G224),IF(OR(BM$3=$D224,BM$3=$AC224,BM$3=$AE224),"",IF(BM$3=$AD224,$F224&amp;"R",BM223))))</f>
        <v/>
      </c>
      <c r="BN224" s="11" t="str">
        <f aca="false">IF($P224=0,BN223,IF(BN$3=$E224,IF($AA224=1,$F224&amp;$AB224,$G224),IF(OR(BN$3=$D224,BN$3=$AC224,BN$3=$AE224),"",IF(BN$3=$AD224,$F224&amp;"R",BN223))))</f>
        <v/>
      </c>
      <c r="BO224" s="11" t="str">
        <f aca="false">IF($P224=0,BO223,IF(BO$3=$E224,IF($AA224=1,$F224&amp;$AB224,$G224),IF(OR(BO$3=$D224,BO$3=$AC224,BO$3=$AE224),"",IF(BO$3=$AD224,$F224&amp;"R",BO223))))</f>
        <v/>
      </c>
      <c r="BP224" s="11" t="str">
        <f aca="false">IF($P224=0,BP223,IF(BP$3=$E224,IF($AA224=1,$F224&amp;$AB224,$G224),IF(OR(BP$3=$D224,BP$3=$AC224,BP$3=$AE224),"",IF(BP$3=$AD224,$F224&amp;"R",BP223))))</f>
        <v/>
      </c>
      <c r="BQ224" s="11" t="str">
        <f aca="false">IF($P224=0,BQ223,IF(BQ$3=$E224,IF($AA224=1,$F224&amp;$AB224,$G224),IF(OR(BQ$3=$D224,BQ$3=$AC224,BQ$3=$AE224),"",IF(BQ$3=$AD224,$F224&amp;"R",BQ223))))</f>
        <v/>
      </c>
      <c r="BR224" s="11" t="str">
        <f aca="false">IF($P224=0,BR223,IF(BR$3=$E224,IF($AA224=1,$F224&amp;$AB224,$G224),IF(OR(BR$3=$D224,BR$3=$AC224,BR$3=$AE224),"",IF(BR$3=$AD224,$F224&amp;"R",BR223))))</f>
        <v/>
      </c>
      <c r="BS224" s="11" t="str">
        <f aca="false">IF($P224=0,BS223,IF(BS$3=$E224,IF($AA224=1,$F224&amp;$AB224,$G224),IF(OR(BS$3=$D224,BS$3=$AC224,BS$3=$AE224),"",IF(BS$3=$AD224,$F224&amp;"R",BS223))))</f>
        <v/>
      </c>
      <c r="BT224" s="11" t="str">
        <f aca="false">IF($P224=0,BT223,IF(BT$3=$E224,IF($AA224=1,$F224&amp;$AB224,$G224),IF(OR(BT$3=$D224,BT$3=$AC224,BT$3=$AE224),"",IF(BT$3=$AD224,$F224&amp;"R",BT223))))</f>
        <v/>
      </c>
      <c r="BU224" s="11" t="str">
        <f aca="false">IF($P224=0,BU223,IF(BU$3=$E224,IF($AA224=1,$F224&amp;$AB224,$G224),IF(OR(BU$3=$D224,BU$3=$AC224,BU$3=$AE224),"",IF(BU$3=$AD224,$F224&amp;"R",BU223))))</f>
        <v/>
      </c>
      <c r="BV224" s="11" t="str">
        <f aca="false">IF($P224=0,BV223,IF(BV$3=$E224,IF($AA224=1,$F224&amp;$AB224,$G224),IF(OR(BV$3=$D224,BV$3=$AC224,BV$3=$AE224),"",IF(BV$3=$AD224,$F224&amp;"R",BV223))))</f>
        <v/>
      </c>
      <c r="BW224" s="11" t="str">
        <f aca="false">IF($P224=0,BW223,IF(BW$3=$E224,IF($AA224=1,$F224&amp;$AB224,$G224),IF(OR(BW$3=$D224,BW$3=$AC224,BW$3=$AE224),"",IF(BW$3=$AD224,$F224&amp;"R",BW223))))</f>
        <v/>
      </c>
      <c r="BX224" s="11" t="str">
        <f aca="false">IF($P224=0,BX223,IF(BX$3=$E224,IF($AA224=1,$F224&amp;$AB224,$G224),IF(OR(BX$3=$D224,BX$3=$AC224,BX$3=$AE224),"",IF(BX$3=$AD224,$F224&amp;"R",BX223))))</f>
        <v/>
      </c>
      <c r="BY224" s="11" t="str">
        <f aca="false">IF($P224=0,BY223,IF(BY$3=$E224,IF($AA224=1,$F224&amp;$AB224,$G224),IF(OR(BY$3=$D224,BY$3=$AC224,BY$3=$AE224),"",IF(BY$3=$AD224,$F224&amp;"R",BY223))))</f>
        <v/>
      </c>
      <c r="BZ224" s="11" t="str">
        <f aca="false">IF($P224=0,BZ223,IF(BZ$3=$E224,IF($AA224=1,$F224&amp;$AB224,$G224),IF(OR(BZ$3=$D224,BZ$3=$AC224,BZ$3=$AE224),"",IF(BZ$3=$AD224,$F224&amp;"R",BZ223))))</f>
        <v/>
      </c>
      <c r="CA224" s="11" t="str">
        <f aca="false">IF($P224=0,CA223,IF(CA$3=$E224,IF($AA224=1,$F224&amp;$AB224,$G224),IF(OR(CA$3=$D224,CA$3=$AC224,CA$3=$AE224),"",IF(CA$3=$AD224,$F224&amp;"R",CA223))))</f>
        <v/>
      </c>
      <c r="CB224" s="11" t="str">
        <f aca="false">IF($P224=0,CB223,IF(CB$3=$E224,IF($AA224=1,$F224&amp;$AB224,$G224),IF(OR(CB$3=$D224,CB$3=$AC224,CB$3=$AE224),"",IF(CB$3=$AD224,$F224&amp;"R",CB223))))</f>
        <v/>
      </c>
      <c r="CC224" s="11" t="str">
        <f aca="false">IF($P224=0,CC223,IF(CC$3=$E224,IF($AA224=1,$F224&amp;$AB224,$G224),IF(OR(CC$3=$D224,CC$3=$AC224,CC$3=$AE224),"",IF(CC$3=$AD224,$F224&amp;"R",CC223))))</f>
        <v/>
      </c>
      <c r="CD224" s="11" t="str">
        <f aca="false">IF($P224=0,CD223,IF(CD$3=$E224,IF($AA224=1,$F224&amp;$AB224,$G224),IF(OR(CD$3=$D224,CD$3=$AC224,CD$3=$AE224),"",IF(CD$3=$AD224,$F224&amp;"R",CD223))))</f>
        <v>bP</v>
      </c>
      <c r="CE224" s="11" t="str">
        <f aca="false">IF($P224=0,CE223,IF(CE$3=$E224,IF($AA224=1,$F224&amp;$AB224,$G224),IF(OR(CE$3=$D224,CE$3=$AC224,CE$3=$AE224),"",IF(CE$3=$AD224,$F224&amp;"R",CE223))))</f>
        <v>bP</v>
      </c>
      <c r="CF224" s="11" t="str">
        <f aca="false">IF($P224=0,CF223,IF(CF$3=$E224,IF($AA224=1,$F224&amp;$AB224,$G224),IF(OR(CF$3=$D224,CF$3=$AC224,CF$3=$AE224),"",IF(CF$3=$AD224,$F224&amp;"R",CF223))))</f>
        <v>bP</v>
      </c>
      <c r="CG224" s="11" t="str">
        <f aca="false">IF($P224=0,CG223,IF(CG$3=$E224,IF($AA224=1,$F224&amp;$AB224,$G224),IF(OR(CG$3=$D224,CG$3=$AC224,CG$3=$AE224),"",IF(CG$3=$AD224,$F224&amp;"R",CG223))))</f>
        <v>bP</v>
      </c>
      <c r="CH224" s="11" t="str">
        <f aca="false">IF($P224=0,CH223,IF(CH$3=$E224,IF($AA224=1,$F224&amp;$AB224,$G224),IF(OR(CH$3=$D224,CH$3=$AC224,CH$3=$AE224),"",IF(CH$3=$AD224,$F224&amp;"R",CH223))))</f>
        <v>bP</v>
      </c>
      <c r="CI224" s="11" t="str">
        <f aca="false">IF($P224=0,CI223,IF(CI$3=$E224,IF($AA224=1,$F224&amp;$AB224,$G224),IF(OR(CI$3=$D224,CI$3=$AC224,CI$3=$AE224),"",IF(CI$3=$AD224,$F224&amp;"R",CI223))))</f>
        <v>bP</v>
      </c>
      <c r="CJ224" s="11" t="str">
        <f aca="false">IF($P224=0,CJ223,IF(CJ$3=$E224,IF($AA224=1,$F224&amp;$AB224,$G224),IF(OR(CJ$3=$D224,CJ$3=$AC224,CJ$3=$AE224),"",IF(CJ$3=$AD224,$F224&amp;"R",CJ223))))</f>
        <v>bP</v>
      </c>
      <c r="CK224" s="11" t="str">
        <f aca="false">IF($P224=0,CK223,IF(CK$3=$E224,IF($AA224=1,$F224&amp;$AB224,$G224),IF(OR(CK$3=$D224,CK$3=$AC224,CK$3=$AE224),"",IF(CK$3=$AD224,$F224&amp;"R",CK223))))</f>
        <v>bP</v>
      </c>
      <c r="CL224" s="11" t="str">
        <f aca="false">IF($P224=0,CL223,IF(CL$3=$E224,IF($AA224=1,$F224&amp;$AB224,$G224),IF(OR(CL$3=$D224,CL$3=$AC224,CL$3=$AE224),"",IF(CL$3=$AD224,$F224&amp;"R",CL223))))</f>
        <v>bR</v>
      </c>
      <c r="CM224" s="11" t="str">
        <f aca="false">IF($P224=0,CM223,IF(CM$3=$E224,IF($AA224=1,$F224&amp;$AB224,$G224),IF(OR(CM$3=$D224,CM$3=$AC224,CM$3=$AE224),"",IF(CM$3=$AD224,$F224&amp;"R",CM223))))</f>
        <v>bN</v>
      </c>
      <c r="CN224" s="11" t="str">
        <f aca="false">IF($P224=0,CN223,IF(CN$3=$E224,IF($AA224=1,$F224&amp;$AB224,$G224),IF(OR(CN$3=$D224,CN$3=$AC224,CN$3=$AE224),"",IF(CN$3=$AD224,$F224&amp;"R",CN223))))</f>
        <v>bB</v>
      </c>
      <c r="CO224" s="11" t="str">
        <f aca="false">IF($P224=0,CO223,IF(CO$3=$E224,IF($AA224=1,$F224&amp;$AB224,$G224),IF(OR(CO$3=$D224,CO$3=$AC224,CO$3=$AE224),"",IF(CO$3=$AD224,$F224&amp;"R",CO223))))</f>
        <v>bQ</v>
      </c>
      <c r="CP224" s="11" t="str">
        <f aca="false">IF($P224=0,CP223,IF(CP$3=$E224,IF($AA224=1,$F224&amp;$AB224,$G224),IF(OR(CP$3=$D224,CP$3=$AC224,CP$3=$AE224),"",IF(CP$3=$AD224,$F224&amp;"R",CP223))))</f>
        <v>bK</v>
      </c>
      <c r="CQ224" s="11" t="str">
        <f aca="false">IF($P224=0,CQ223,IF(CQ$3=$E224,IF($AA224=1,$F224&amp;$AB224,$G224),IF(OR(CQ$3=$D224,CQ$3=$AC224,CQ$3=$AE224),"",IF(CQ$3=$AD224,$F224&amp;"R",CQ223))))</f>
        <v>bB</v>
      </c>
      <c r="CR224" s="11" t="str">
        <f aca="false">IF($P224=0,CR223,IF(CR$3=$E224,IF($AA224=1,$F224&amp;$AB224,$G224),IF(OR(CR$3=$D224,CR$3=$AC224,CR$3=$AE224),"",IF(CR$3=$AD224,$F224&amp;"R",CR223))))</f>
        <v>bN</v>
      </c>
      <c r="CS224" s="11" t="str">
        <f aca="false">IF($P224=0,CS223,IF(CS$3=$E224,IF($AA224=1,$F224&amp;$AB224,$G224),IF(OR(CS$3=$D224,CS$3=$AC224,CS$3=$AE224),"",IF(CS$3=$AD224,$F224&amp;"R",CS223))))</f>
        <v>bR</v>
      </c>
      <c r="CT224" s="11"/>
      <c r="CU224" s="11"/>
      <c r="CV224" s="11"/>
    </row>
    <row r="225" customFormat="false" ht="15" hidden="false" customHeight="false" outlineLevel="0" collapsed="false">
      <c r="A225" s="11" t="n">
        <v>220</v>
      </c>
      <c r="B225" s="11" t="str">
        <f aca="false">IF(Chess!$L$229="","",Chess!$L$229&amp;"")</f>
        <v/>
      </c>
      <c r="C225" s="11" t="str">
        <f aca="false">LOWER(SUBSTITUTE(SUBSTITUTE(SUBSTITUTE(SUBSTITUTE(TRIM($B225),"-",""),"=","")," ",""),"x",""))</f>
        <v/>
      </c>
      <c r="D225" s="11" t="n">
        <f aca="false">IF(LEN($C225)&lt;4,0,IFERROR(IF(AND(CODE(MID($C225,1,1))&gt;=97,CODE(MID($C225,1,1))&lt;=104,VALUE(MID($C225,2,1))&gt;=1,VALUE(MID($C225,2,1))&lt;=8),(VALUE(MID($C225,2,1))-1)*8+CODE(MID($C225,1,1))-96,0),0))</f>
        <v>0</v>
      </c>
      <c r="E225" s="11" t="n">
        <f aca="false">IF(LEN($C225)&lt;4,0,IFERROR(IF(AND(CODE(MID($C225,3,1))&gt;=97,CODE(MID($C225,3,1))&lt;=104,VALUE(MID($C225,4,1))&gt;=1,VALUE(MID($C225,4,1))&lt;=8),(VALUE(MID($C225,4,1))-1)*8+CODE(MID($C225,3,1))-96,0),0))</f>
        <v>0</v>
      </c>
      <c r="F225" s="11" t="str">
        <f aca="false">IF(MOD(SUM($P$5:$P224),2)=0,"w","b")</f>
        <v>w</v>
      </c>
      <c r="G225" s="11" t="str">
        <f aca="false">IF($D225=0,"",INDEX($AH224:$CS224,1,$D225)&amp;"")</f>
        <v/>
      </c>
      <c r="H225" s="11" t="str">
        <f aca="false">IF($E225=0,"",INDEX($AH224:$CS224,1,$E225)&amp;"")</f>
        <v/>
      </c>
      <c r="I225" s="11" t="n">
        <f aca="false">IF(OR($D225=0,$E225=0),0,MOD($E225-1,8)-MOD($D225-1,8))</f>
        <v>0</v>
      </c>
      <c r="J225" s="11" t="n">
        <f aca="false">IF(OR($D225=0,$E225=0),0,INT(($E225-1)/8)-INT(($D225-1)/8))</f>
        <v>0</v>
      </c>
      <c r="K225" s="11" t="str">
        <f aca="false">IF($G225="","",RIGHT($G225,1))</f>
        <v/>
      </c>
      <c r="L225" s="11" t="n">
        <f aca="false">IF(OR($D225=0,$E225=0),0,SUMPRODUCT(($AH$3:$CS$3&gt;MIN($D225,$E225))*($AH$3:$CS$3&lt;MAX($D225,$E225))*(MOD($AH$3:$CS$3-MIN($D225,$E225),MAX(1,ABS(SIGN($J225)*8+SIGN($I225))))=0)*($AH224:$CS224&lt;&gt;"")))</f>
        <v>0</v>
      </c>
      <c r="M225" s="11" t="n">
        <f aca="false">IF($K225&lt;&gt;"K",0,IFERROR(--AND($J225=0,ABS($I225)=2,$D225=IF($F225="w",5,61),IF($F225="w",$S224,$V224)=0,IF($I225=2,AND(IF($F225="w",$U224,$X224)=0,INDEX($AH224:$CS224,1,$D225+1)&amp;""="",INDEX($AH224:$CS224,1,$D225+2)&amp;""=""),AND(IF($F225="w",$T224,$W224)=0,INDEX($AH224:$CS224,1,$D225-1)&amp;""="",INDEX($AH224:$CS224,1,$D225-2)&amp;""="",INDEX($AH224:$CS224,1,$D225-3)&amp;""=""))),0))</f>
        <v>0</v>
      </c>
      <c r="N225" s="11" t="n">
        <f aca="false">IF($K225&lt;&gt;"P",0,IFERROR(--OR(AND($I225=0,$J225=IF($F225="w",1,-1),$H225=""),AND($I225=0,$J225=2*IF($F225="w",1,-1),$H225="",INT(($D225-1)/8)=IF($F225="w",1,6),INDEX($AH224:$CS224,1,MAX(1,MIN(64,$D225+8*IF($F225="w",1,-1))))&amp;""=""),AND(ABS($I225)=1,$J225=IF($F225="w",1,-1),$H225&lt;&gt;""),AND(ABS($I225)=1,$J225=IF($F225="w",1,-1),$H225="",$R224&gt;0,$E225=$R224)),0))</f>
        <v>0</v>
      </c>
      <c r="O225" s="11" t="n">
        <f aca="false">IF(OR($D225=0,$E225=0,$G225=""),0,IF($K225="N",--OR(AND(ABS($I225)=1,ABS($J225)=2),AND(ABS($I225)=2,ABS($J225)=1)),IF($K225="B",--AND(ABS($I225)=ABS($J225),$I225&lt;&gt;0,$L225=0),IF($K225="R",--AND(OR($I225=0,$J225=0),OR($I225&lt;&gt;0,$J225&lt;&gt;0),$L225=0),IF($K225="Q",--AND(OR(AND(ABS($I225)=ABS($J225),$I225&lt;&gt;0),AND(OR($I225=0,$J225=0),OR($I225&lt;&gt;0,$J225&lt;&gt;0))),$L225=0),IF($K225="K",--OR(MAX(ABS($I225),ABS($J225))=1,$M225=1),$N225))))))</f>
        <v>0</v>
      </c>
      <c r="P225" s="11" t="n">
        <f aca="false">IF($Q225="OK",1,0)</f>
        <v>0</v>
      </c>
      <c r="Q225" s="11" t="str">
        <f aca="false">IF($B225="","",IF(OR(COUNTIF($AH224:$CS224,"wK")=0,COUNTIF($AH224:$CS224,"bK")=0),"Game is over",IF(OR($D225=0,$E225=0),"Use the format e2e4",IF($G225="","No piece on that square",IF(LEFT($G225,1)&lt;&gt;$F225,"Not your piece ("&amp;IF($F225="w","White","Black")&amp;" to move)",IF($D225=$E225,"Piece must move",IF(AND($H225&lt;&gt;"",LEFT($H225,1)=$F225),"Cannot capture your own piece",IF($O225=0,"Illegal move for that piece (or path blocked)","OK"))))))))</f>
        <v/>
      </c>
      <c r="R225" s="11" t="n">
        <f aca="false">IF($P225=1,IF(AND($K225="P",ABS($J225)=2),($D225+$E225)/2,0),$R224)</f>
        <v>0</v>
      </c>
      <c r="S225" s="12" t="b">
        <f aca="false">--OR($S224=1,AND($P225=1,OR($D225=5,$E225=5)))</f>
        <v>0</v>
      </c>
      <c r="T225" s="12" t="b">
        <f aca="false">--OR($T224=1,AND($P225=1,OR($D225=1,$E225=1)))</f>
        <v>0</v>
      </c>
      <c r="U225" s="12" t="b">
        <f aca="false">--OR($U224=1,AND($P225=1,OR($D225=8,$E225=8)))</f>
        <v>0</v>
      </c>
      <c r="V225" s="12" t="b">
        <f aca="false">--OR($V224=1,AND($P225=1,OR($D225=61,$E225=61)))</f>
        <v>0</v>
      </c>
      <c r="W225" s="12" t="b">
        <f aca="false">--OR($W224=1,AND($P225=1,OR($D225=57,$E225=57)))</f>
        <v>0</v>
      </c>
      <c r="X225" s="12" t="b">
        <f aca="false">--OR($X224=1,AND($P225=1,OR($D225=64,$E225=64)))</f>
        <v>0</v>
      </c>
      <c r="Y225" s="12" t="b">
        <f aca="false">--AND($P225=1,$K225="K",ABS($I225)=2)</f>
        <v>0</v>
      </c>
      <c r="Z225" s="12" t="b">
        <f aca="false">--AND($P225=1,$K225="P",ABS($I225)=1,$H225="")</f>
        <v>0</v>
      </c>
      <c r="AA225" s="12" t="b">
        <f aca="false">--AND($P225=1,$K225="P",INT(($E225-1)/8)=IF($F225="w",7,0))</f>
        <v>0</v>
      </c>
      <c r="AB225" s="11" t="str">
        <f aca="false">IF(LEN($C225)&gt;=5,IF(ISNUMBER(FIND(MID($C225,5,1),"qrbn")),UPPER(MID($C225,5,1)),"Q"),"Q")</f>
        <v>Q</v>
      </c>
      <c r="AC225" s="11" t="n">
        <f aca="false">IF($Y225=1,IF($I225=2,$D225+3,$D225-4),0)</f>
        <v>0</v>
      </c>
      <c r="AD225" s="11" t="n">
        <f aca="false">IF($Y225=1,IF($I225=2,$D225+1,$D225-1),0)</f>
        <v>0</v>
      </c>
      <c r="AE225" s="11" t="n">
        <f aca="false">IF($Z225=1,$E225-8*IF($F225="w",1,-1),0)</f>
        <v>0</v>
      </c>
      <c r="AF225" s="11" t="str">
        <f aca="false">IF($B225="","",IF($P225=1,LOWER(INDEX($CV$2:$CV$13,MATCH($G225,$CU$2:$CU$13,0)))&amp;" "&amp;MID("abcdefgh",MOD($D225-1,8)+1,1)&amp;(INT(($D225-1)/8)+1)&amp;"→"&amp;MID("abcdefgh",MOD($E225-1,8)+1,1)&amp;(INT(($E225-1)/8)+1)&amp;IF(OR($H225&lt;&gt;"",$Z225=1)," ×","")&amp;IF($Y225=1," castles","")&amp;IF($Z225=1," e.p.","")&amp;IF($AA225=1," =" &amp;LOWER(INDEX($CV$2:$CV$13,MATCH($F225&amp;$AB225,$CU$2:$CU$13,0))),""),"X "&amp;$Q225))</f>
        <v/>
      </c>
      <c r="AG225" s="11"/>
      <c r="AH225" s="11" t="str">
        <f aca="false">IF($P225=0,AH224,IF(AH$3=$E225,IF($AA225=1,$F225&amp;$AB225,$G225),IF(OR(AH$3=$D225,AH$3=$AC225,AH$3=$AE225),"",IF(AH$3=$AD225,$F225&amp;"R",AH224))))</f>
        <v>wR</v>
      </c>
      <c r="AI225" s="11" t="str">
        <f aca="false">IF($P225=0,AI224,IF(AI$3=$E225,IF($AA225=1,$F225&amp;$AB225,$G225),IF(OR(AI$3=$D225,AI$3=$AC225,AI$3=$AE225),"",IF(AI$3=$AD225,$F225&amp;"R",AI224))))</f>
        <v>wN</v>
      </c>
      <c r="AJ225" s="11" t="str">
        <f aca="false">IF($P225=0,AJ224,IF(AJ$3=$E225,IF($AA225=1,$F225&amp;$AB225,$G225),IF(OR(AJ$3=$D225,AJ$3=$AC225,AJ$3=$AE225),"",IF(AJ$3=$AD225,$F225&amp;"R",AJ224))))</f>
        <v>wB</v>
      </c>
      <c r="AK225" s="11" t="str">
        <f aca="false">IF($P225=0,AK224,IF(AK$3=$E225,IF($AA225=1,$F225&amp;$AB225,$G225),IF(OR(AK$3=$D225,AK$3=$AC225,AK$3=$AE225),"",IF(AK$3=$AD225,$F225&amp;"R",AK224))))</f>
        <v>wQ</v>
      </c>
      <c r="AL225" s="11" t="str">
        <f aca="false">IF($P225=0,AL224,IF(AL$3=$E225,IF($AA225=1,$F225&amp;$AB225,$G225),IF(OR(AL$3=$D225,AL$3=$AC225,AL$3=$AE225),"",IF(AL$3=$AD225,$F225&amp;"R",AL224))))</f>
        <v>wK</v>
      </c>
      <c r="AM225" s="11" t="str">
        <f aca="false">IF($P225=0,AM224,IF(AM$3=$E225,IF($AA225=1,$F225&amp;$AB225,$G225),IF(OR(AM$3=$D225,AM$3=$AC225,AM$3=$AE225),"",IF(AM$3=$AD225,$F225&amp;"R",AM224))))</f>
        <v>wB</v>
      </c>
      <c r="AN225" s="11" t="str">
        <f aca="false">IF($P225=0,AN224,IF(AN$3=$E225,IF($AA225=1,$F225&amp;$AB225,$G225),IF(OR(AN$3=$D225,AN$3=$AC225,AN$3=$AE225),"",IF(AN$3=$AD225,$F225&amp;"R",AN224))))</f>
        <v>wN</v>
      </c>
      <c r="AO225" s="11" t="str">
        <f aca="false">IF($P225=0,AO224,IF(AO$3=$E225,IF($AA225=1,$F225&amp;$AB225,$G225),IF(OR(AO$3=$D225,AO$3=$AC225,AO$3=$AE225),"",IF(AO$3=$AD225,$F225&amp;"R",AO224))))</f>
        <v>wR</v>
      </c>
      <c r="AP225" s="11" t="str">
        <f aca="false">IF($P225=0,AP224,IF(AP$3=$E225,IF($AA225=1,$F225&amp;$AB225,$G225),IF(OR(AP$3=$D225,AP$3=$AC225,AP$3=$AE225),"",IF(AP$3=$AD225,$F225&amp;"R",AP224))))</f>
        <v>wP</v>
      </c>
      <c r="AQ225" s="11" t="str">
        <f aca="false">IF($P225=0,AQ224,IF(AQ$3=$E225,IF($AA225=1,$F225&amp;$AB225,$G225),IF(OR(AQ$3=$D225,AQ$3=$AC225,AQ$3=$AE225),"",IF(AQ$3=$AD225,$F225&amp;"R",AQ224))))</f>
        <v>wP</v>
      </c>
      <c r="AR225" s="11" t="str">
        <f aca="false">IF($P225=0,AR224,IF(AR$3=$E225,IF($AA225=1,$F225&amp;$AB225,$G225),IF(OR(AR$3=$D225,AR$3=$AC225,AR$3=$AE225),"",IF(AR$3=$AD225,$F225&amp;"R",AR224))))</f>
        <v>wP</v>
      </c>
      <c r="AS225" s="11" t="str">
        <f aca="false">IF($P225=0,AS224,IF(AS$3=$E225,IF($AA225=1,$F225&amp;$AB225,$G225),IF(OR(AS$3=$D225,AS$3=$AC225,AS$3=$AE225),"",IF(AS$3=$AD225,$F225&amp;"R",AS224))))</f>
        <v>wP</v>
      </c>
      <c r="AT225" s="11" t="str">
        <f aca="false">IF($P225=0,AT224,IF(AT$3=$E225,IF($AA225=1,$F225&amp;$AB225,$G225),IF(OR(AT$3=$D225,AT$3=$AC225,AT$3=$AE225),"",IF(AT$3=$AD225,$F225&amp;"R",AT224))))</f>
        <v>wP</v>
      </c>
      <c r="AU225" s="11" t="str">
        <f aca="false">IF($P225=0,AU224,IF(AU$3=$E225,IF($AA225=1,$F225&amp;$AB225,$G225),IF(OR(AU$3=$D225,AU$3=$AC225,AU$3=$AE225),"",IF(AU$3=$AD225,$F225&amp;"R",AU224))))</f>
        <v>wP</v>
      </c>
      <c r="AV225" s="11" t="str">
        <f aca="false">IF($P225=0,AV224,IF(AV$3=$E225,IF($AA225=1,$F225&amp;$AB225,$G225),IF(OR(AV$3=$D225,AV$3=$AC225,AV$3=$AE225),"",IF(AV$3=$AD225,$F225&amp;"R",AV224))))</f>
        <v>wP</v>
      </c>
      <c r="AW225" s="11" t="str">
        <f aca="false">IF($P225=0,AW224,IF(AW$3=$E225,IF($AA225=1,$F225&amp;$AB225,$G225),IF(OR(AW$3=$D225,AW$3=$AC225,AW$3=$AE225),"",IF(AW$3=$AD225,$F225&amp;"R",AW224))))</f>
        <v>wP</v>
      </c>
      <c r="AX225" s="11" t="str">
        <f aca="false">IF($P225=0,AX224,IF(AX$3=$E225,IF($AA225=1,$F225&amp;$AB225,$G225),IF(OR(AX$3=$D225,AX$3=$AC225,AX$3=$AE225),"",IF(AX$3=$AD225,$F225&amp;"R",AX224))))</f>
        <v/>
      </c>
      <c r="AY225" s="11" t="str">
        <f aca="false">IF($P225=0,AY224,IF(AY$3=$E225,IF($AA225=1,$F225&amp;$AB225,$G225),IF(OR(AY$3=$D225,AY$3=$AC225,AY$3=$AE225),"",IF(AY$3=$AD225,$F225&amp;"R",AY224))))</f>
        <v/>
      </c>
      <c r="AZ225" s="11" t="str">
        <f aca="false">IF($P225=0,AZ224,IF(AZ$3=$E225,IF($AA225=1,$F225&amp;$AB225,$G225),IF(OR(AZ$3=$D225,AZ$3=$AC225,AZ$3=$AE225),"",IF(AZ$3=$AD225,$F225&amp;"R",AZ224))))</f>
        <v/>
      </c>
      <c r="BA225" s="11" t="str">
        <f aca="false">IF($P225=0,BA224,IF(BA$3=$E225,IF($AA225=1,$F225&amp;$AB225,$G225),IF(OR(BA$3=$D225,BA$3=$AC225,BA$3=$AE225),"",IF(BA$3=$AD225,$F225&amp;"R",BA224))))</f>
        <v/>
      </c>
      <c r="BB225" s="11" t="str">
        <f aca="false">IF($P225=0,BB224,IF(BB$3=$E225,IF($AA225=1,$F225&amp;$AB225,$G225),IF(OR(BB$3=$D225,BB$3=$AC225,BB$3=$AE225),"",IF(BB$3=$AD225,$F225&amp;"R",BB224))))</f>
        <v/>
      </c>
      <c r="BC225" s="11" t="str">
        <f aca="false">IF($P225=0,BC224,IF(BC$3=$E225,IF($AA225=1,$F225&amp;$AB225,$G225),IF(OR(BC$3=$D225,BC$3=$AC225,BC$3=$AE225),"",IF(BC$3=$AD225,$F225&amp;"R",BC224))))</f>
        <v/>
      </c>
      <c r="BD225" s="11" t="str">
        <f aca="false">IF($P225=0,BD224,IF(BD$3=$E225,IF($AA225=1,$F225&amp;$AB225,$G225),IF(OR(BD$3=$D225,BD$3=$AC225,BD$3=$AE225),"",IF(BD$3=$AD225,$F225&amp;"R",BD224))))</f>
        <v/>
      </c>
      <c r="BE225" s="11" t="str">
        <f aca="false">IF($P225=0,BE224,IF(BE$3=$E225,IF($AA225=1,$F225&amp;$AB225,$G225),IF(OR(BE$3=$D225,BE$3=$AC225,BE$3=$AE225),"",IF(BE$3=$AD225,$F225&amp;"R",BE224))))</f>
        <v/>
      </c>
      <c r="BF225" s="11" t="str">
        <f aca="false">IF($P225=0,BF224,IF(BF$3=$E225,IF($AA225=1,$F225&amp;$AB225,$G225),IF(OR(BF$3=$D225,BF$3=$AC225,BF$3=$AE225),"",IF(BF$3=$AD225,$F225&amp;"R",BF224))))</f>
        <v/>
      </c>
      <c r="BG225" s="11" t="str">
        <f aca="false">IF($P225=0,BG224,IF(BG$3=$E225,IF($AA225=1,$F225&amp;$AB225,$G225),IF(OR(BG$3=$D225,BG$3=$AC225,BG$3=$AE225),"",IF(BG$3=$AD225,$F225&amp;"R",BG224))))</f>
        <v/>
      </c>
      <c r="BH225" s="11" t="str">
        <f aca="false">IF($P225=0,BH224,IF(BH$3=$E225,IF($AA225=1,$F225&amp;$AB225,$G225),IF(OR(BH$3=$D225,BH$3=$AC225,BH$3=$AE225),"",IF(BH$3=$AD225,$F225&amp;"R",BH224))))</f>
        <v/>
      </c>
      <c r="BI225" s="11" t="str">
        <f aca="false">IF($P225=0,BI224,IF(BI$3=$E225,IF($AA225=1,$F225&amp;$AB225,$G225),IF(OR(BI$3=$D225,BI$3=$AC225,BI$3=$AE225),"",IF(BI$3=$AD225,$F225&amp;"R",BI224))))</f>
        <v/>
      </c>
      <c r="BJ225" s="11" t="str">
        <f aca="false">IF($P225=0,BJ224,IF(BJ$3=$E225,IF($AA225=1,$F225&amp;$AB225,$G225),IF(OR(BJ$3=$D225,BJ$3=$AC225,BJ$3=$AE225),"",IF(BJ$3=$AD225,$F225&amp;"R",BJ224))))</f>
        <v/>
      </c>
      <c r="BK225" s="11" t="str">
        <f aca="false">IF($P225=0,BK224,IF(BK$3=$E225,IF($AA225=1,$F225&amp;$AB225,$G225),IF(OR(BK$3=$D225,BK$3=$AC225,BK$3=$AE225),"",IF(BK$3=$AD225,$F225&amp;"R",BK224))))</f>
        <v/>
      </c>
      <c r="BL225" s="11" t="str">
        <f aca="false">IF($P225=0,BL224,IF(BL$3=$E225,IF($AA225=1,$F225&amp;$AB225,$G225),IF(OR(BL$3=$D225,BL$3=$AC225,BL$3=$AE225),"",IF(BL$3=$AD225,$F225&amp;"R",BL224))))</f>
        <v/>
      </c>
      <c r="BM225" s="11" t="str">
        <f aca="false">IF($P225=0,BM224,IF(BM$3=$E225,IF($AA225=1,$F225&amp;$AB225,$G225),IF(OR(BM$3=$D225,BM$3=$AC225,BM$3=$AE225),"",IF(BM$3=$AD225,$F225&amp;"R",BM224))))</f>
        <v/>
      </c>
      <c r="BN225" s="11" t="str">
        <f aca="false">IF($P225=0,BN224,IF(BN$3=$E225,IF($AA225=1,$F225&amp;$AB225,$G225),IF(OR(BN$3=$D225,BN$3=$AC225,BN$3=$AE225),"",IF(BN$3=$AD225,$F225&amp;"R",BN224))))</f>
        <v/>
      </c>
      <c r="BO225" s="11" t="str">
        <f aca="false">IF($P225=0,BO224,IF(BO$3=$E225,IF($AA225=1,$F225&amp;$AB225,$G225),IF(OR(BO$3=$D225,BO$3=$AC225,BO$3=$AE225),"",IF(BO$3=$AD225,$F225&amp;"R",BO224))))</f>
        <v/>
      </c>
      <c r="BP225" s="11" t="str">
        <f aca="false">IF($P225=0,BP224,IF(BP$3=$E225,IF($AA225=1,$F225&amp;$AB225,$G225),IF(OR(BP$3=$D225,BP$3=$AC225,BP$3=$AE225),"",IF(BP$3=$AD225,$F225&amp;"R",BP224))))</f>
        <v/>
      </c>
      <c r="BQ225" s="11" t="str">
        <f aca="false">IF($P225=0,BQ224,IF(BQ$3=$E225,IF($AA225=1,$F225&amp;$AB225,$G225),IF(OR(BQ$3=$D225,BQ$3=$AC225,BQ$3=$AE225),"",IF(BQ$3=$AD225,$F225&amp;"R",BQ224))))</f>
        <v/>
      </c>
      <c r="BR225" s="11" t="str">
        <f aca="false">IF($P225=0,BR224,IF(BR$3=$E225,IF($AA225=1,$F225&amp;$AB225,$G225),IF(OR(BR$3=$D225,BR$3=$AC225,BR$3=$AE225),"",IF(BR$3=$AD225,$F225&amp;"R",BR224))))</f>
        <v/>
      </c>
      <c r="BS225" s="11" t="str">
        <f aca="false">IF($P225=0,BS224,IF(BS$3=$E225,IF($AA225=1,$F225&amp;$AB225,$G225),IF(OR(BS$3=$D225,BS$3=$AC225,BS$3=$AE225),"",IF(BS$3=$AD225,$F225&amp;"R",BS224))))</f>
        <v/>
      </c>
      <c r="BT225" s="11" t="str">
        <f aca="false">IF($P225=0,BT224,IF(BT$3=$E225,IF($AA225=1,$F225&amp;$AB225,$G225),IF(OR(BT$3=$D225,BT$3=$AC225,BT$3=$AE225),"",IF(BT$3=$AD225,$F225&amp;"R",BT224))))</f>
        <v/>
      </c>
      <c r="BU225" s="11" t="str">
        <f aca="false">IF($P225=0,BU224,IF(BU$3=$E225,IF($AA225=1,$F225&amp;$AB225,$G225),IF(OR(BU$3=$D225,BU$3=$AC225,BU$3=$AE225),"",IF(BU$3=$AD225,$F225&amp;"R",BU224))))</f>
        <v/>
      </c>
      <c r="BV225" s="11" t="str">
        <f aca="false">IF($P225=0,BV224,IF(BV$3=$E225,IF($AA225=1,$F225&amp;$AB225,$G225),IF(OR(BV$3=$D225,BV$3=$AC225,BV$3=$AE225),"",IF(BV$3=$AD225,$F225&amp;"R",BV224))))</f>
        <v/>
      </c>
      <c r="BW225" s="11" t="str">
        <f aca="false">IF($P225=0,BW224,IF(BW$3=$E225,IF($AA225=1,$F225&amp;$AB225,$G225),IF(OR(BW$3=$D225,BW$3=$AC225,BW$3=$AE225),"",IF(BW$3=$AD225,$F225&amp;"R",BW224))))</f>
        <v/>
      </c>
      <c r="BX225" s="11" t="str">
        <f aca="false">IF($P225=0,BX224,IF(BX$3=$E225,IF($AA225=1,$F225&amp;$AB225,$G225),IF(OR(BX$3=$D225,BX$3=$AC225,BX$3=$AE225),"",IF(BX$3=$AD225,$F225&amp;"R",BX224))))</f>
        <v/>
      </c>
      <c r="BY225" s="11" t="str">
        <f aca="false">IF($P225=0,BY224,IF(BY$3=$E225,IF($AA225=1,$F225&amp;$AB225,$G225),IF(OR(BY$3=$D225,BY$3=$AC225,BY$3=$AE225),"",IF(BY$3=$AD225,$F225&amp;"R",BY224))))</f>
        <v/>
      </c>
      <c r="BZ225" s="11" t="str">
        <f aca="false">IF($P225=0,BZ224,IF(BZ$3=$E225,IF($AA225=1,$F225&amp;$AB225,$G225),IF(OR(BZ$3=$D225,BZ$3=$AC225,BZ$3=$AE225),"",IF(BZ$3=$AD225,$F225&amp;"R",BZ224))))</f>
        <v/>
      </c>
      <c r="CA225" s="11" t="str">
        <f aca="false">IF($P225=0,CA224,IF(CA$3=$E225,IF($AA225=1,$F225&amp;$AB225,$G225),IF(OR(CA$3=$D225,CA$3=$AC225,CA$3=$AE225),"",IF(CA$3=$AD225,$F225&amp;"R",CA224))))</f>
        <v/>
      </c>
      <c r="CB225" s="11" t="str">
        <f aca="false">IF($P225=0,CB224,IF(CB$3=$E225,IF($AA225=1,$F225&amp;$AB225,$G225),IF(OR(CB$3=$D225,CB$3=$AC225,CB$3=$AE225),"",IF(CB$3=$AD225,$F225&amp;"R",CB224))))</f>
        <v/>
      </c>
      <c r="CC225" s="11" t="str">
        <f aca="false">IF($P225=0,CC224,IF(CC$3=$E225,IF($AA225=1,$F225&amp;$AB225,$G225),IF(OR(CC$3=$D225,CC$3=$AC225,CC$3=$AE225),"",IF(CC$3=$AD225,$F225&amp;"R",CC224))))</f>
        <v/>
      </c>
      <c r="CD225" s="11" t="str">
        <f aca="false">IF($P225=0,CD224,IF(CD$3=$E225,IF($AA225=1,$F225&amp;$AB225,$G225),IF(OR(CD$3=$D225,CD$3=$AC225,CD$3=$AE225),"",IF(CD$3=$AD225,$F225&amp;"R",CD224))))</f>
        <v>bP</v>
      </c>
      <c r="CE225" s="11" t="str">
        <f aca="false">IF($P225=0,CE224,IF(CE$3=$E225,IF($AA225=1,$F225&amp;$AB225,$G225),IF(OR(CE$3=$D225,CE$3=$AC225,CE$3=$AE225),"",IF(CE$3=$AD225,$F225&amp;"R",CE224))))</f>
        <v>bP</v>
      </c>
      <c r="CF225" s="11" t="str">
        <f aca="false">IF($P225=0,CF224,IF(CF$3=$E225,IF($AA225=1,$F225&amp;$AB225,$G225),IF(OR(CF$3=$D225,CF$3=$AC225,CF$3=$AE225),"",IF(CF$3=$AD225,$F225&amp;"R",CF224))))</f>
        <v>bP</v>
      </c>
      <c r="CG225" s="11" t="str">
        <f aca="false">IF($P225=0,CG224,IF(CG$3=$E225,IF($AA225=1,$F225&amp;$AB225,$G225),IF(OR(CG$3=$D225,CG$3=$AC225,CG$3=$AE225),"",IF(CG$3=$AD225,$F225&amp;"R",CG224))))</f>
        <v>bP</v>
      </c>
      <c r="CH225" s="11" t="str">
        <f aca="false">IF($P225=0,CH224,IF(CH$3=$E225,IF($AA225=1,$F225&amp;$AB225,$G225),IF(OR(CH$3=$D225,CH$3=$AC225,CH$3=$AE225),"",IF(CH$3=$AD225,$F225&amp;"R",CH224))))</f>
        <v>bP</v>
      </c>
      <c r="CI225" s="11" t="str">
        <f aca="false">IF($P225=0,CI224,IF(CI$3=$E225,IF($AA225=1,$F225&amp;$AB225,$G225),IF(OR(CI$3=$D225,CI$3=$AC225,CI$3=$AE225),"",IF(CI$3=$AD225,$F225&amp;"R",CI224))))</f>
        <v>bP</v>
      </c>
      <c r="CJ225" s="11" t="str">
        <f aca="false">IF($P225=0,CJ224,IF(CJ$3=$E225,IF($AA225=1,$F225&amp;$AB225,$G225),IF(OR(CJ$3=$D225,CJ$3=$AC225,CJ$3=$AE225),"",IF(CJ$3=$AD225,$F225&amp;"R",CJ224))))</f>
        <v>bP</v>
      </c>
      <c r="CK225" s="11" t="str">
        <f aca="false">IF($P225=0,CK224,IF(CK$3=$E225,IF($AA225=1,$F225&amp;$AB225,$G225),IF(OR(CK$3=$D225,CK$3=$AC225,CK$3=$AE225),"",IF(CK$3=$AD225,$F225&amp;"R",CK224))))</f>
        <v>bP</v>
      </c>
      <c r="CL225" s="11" t="str">
        <f aca="false">IF($P225=0,CL224,IF(CL$3=$E225,IF($AA225=1,$F225&amp;$AB225,$G225),IF(OR(CL$3=$D225,CL$3=$AC225,CL$3=$AE225),"",IF(CL$3=$AD225,$F225&amp;"R",CL224))))</f>
        <v>bR</v>
      </c>
      <c r="CM225" s="11" t="str">
        <f aca="false">IF($P225=0,CM224,IF(CM$3=$E225,IF($AA225=1,$F225&amp;$AB225,$G225),IF(OR(CM$3=$D225,CM$3=$AC225,CM$3=$AE225),"",IF(CM$3=$AD225,$F225&amp;"R",CM224))))</f>
        <v>bN</v>
      </c>
      <c r="CN225" s="11" t="str">
        <f aca="false">IF($P225=0,CN224,IF(CN$3=$E225,IF($AA225=1,$F225&amp;$AB225,$G225),IF(OR(CN$3=$D225,CN$3=$AC225,CN$3=$AE225),"",IF(CN$3=$AD225,$F225&amp;"R",CN224))))</f>
        <v>bB</v>
      </c>
      <c r="CO225" s="11" t="str">
        <f aca="false">IF($P225=0,CO224,IF(CO$3=$E225,IF($AA225=1,$F225&amp;$AB225,$G225),IF(OR(CO$3=$D225,CO$3=$AC225,CO$3=$AE225),"",IF(CO$3=$AD225,$F225&amp;"R",CO224))))</f>
        <v>bQ</v>
      </c>
      <c r="CP225" s="11" t="str">
        <f aca="false">IF($P225=0,CP224,IF(CP$3=$E225,IF($AA225=1,$F225&amp;$AB225,$G225),IF(OR(CP$3=$D225,CP$3=$AC225,CP$3=$AE225),"",IF(CP$3=$AD225,$F225&amp;"R",CP224))))</f>
        <v>bK</v>
      </c>
      <c r="CQ225" s="11" t="str">
        <f aca="false">IF($P225=0,CQ224,IF(CQ$3=$E225,IF($AA225=1,$F225&amp;$AB225,$G225),IF(OR(CQ$3=$D225,CQ$3=$AC225,CQ$3=$AE225),"",IF(CQ$3=$AD225,$F225&amp;"R",CQ224))))</f>
        <v>bB</v>
      </c>
      <c r="CR225" s="11" t="str">
        <f aca="false">IF($P225=0,CR224,IF(CR$3=$E225,IF($AA225=1,$F225&amp;$AB225,$G225),IF(OR(CR$3=$D225,CR$3=$AC225,CR$3=$AE225),"",IF(CR$3=$AD225,$F225&amp;"R",CR224))))</f>
        <v>bN</v>
      </c>
      <c r="CS225" s="11" t="str">
        <f aca="false">IF($P225=0,CS224,IF(CS$3=$E225,IF($AA225=1,$F225&amp;$AB225,$G225),IF(OR(CS$3=$D225,CS$3=$AC225,CS$3=$AE225),"",IF(CS$3=$AD225,$F225&amp;"R",CS224))))</f>
        <v>bR</v>
      </c>
      <c r="CT225" s="11"/>
      <c r="CU225" s="11"/>
      <c r="CV225" s="11"/>
    </row>
    <row r="226" customFormat="false" ht="15" hidden="false" customHeight="false" outlineLevel="0" collapsed="false">
      <c r="A226" s="11" t="n">
        <v>221</v>
      </c>
      <c r="B226" s="11" t="str">
        <f aca="false">IF(Chess!$L$230="","",Chess!$L$230&amp;"")</f>
        <v/>
      </c>
      <c r="C226" s="11" t="str">
        <f aca="false">LOWER(SUBSTITUTE(SUBSTITUTE(SUBSTITUTE(SUBSTITUTE(TRIM($B226),"-",""),"=","")," ",""),"x",""))</f>
        <v/>
      </c>
      <c r="D226" s="11" t="n">
        <f aca="false">IF(LEN($C226)&lt;4,0,IFERROR(IF(AND(CODE(MID($C226,1,1))&gt;=97,CODE(MID($C226,1,1))&lt;=104,VALUE(MID($C226,2,1))&gt;=1,VALUE(MID($C226,2,1))&lt;=8),(VALUE(MID($C226,2,1))-1)*8+CODE(MID($C226,1,1))-96,0),0))</f>
        <v>0</v>
      </c>
      <c r="E226" s="11" t="n">
        <f aca="false">IF(LEN($C226)&lt;4,0,IFERROR(IF(AND(CODE(MID($C226,3,1))&gt;=97,CODE(MID($C226,3,1))&lt;=104,VALUE(MID($C226,4,1))&gt;=1,VALUE(MID($C226,4,1))&lt;=8),(VALUE(MID($C226,4,1))-1)*8+CODE(MID($C226,3,1))-96,0),0))</f>
        <v>0</v>
      </c>
      <c r="F226" s="11" t="str">
        <f aca="false">IF(MOD(SUM($P$5:$P225),2)=0,"w","b")</f>
        <v>w</v>
      </c>
      <c r="G226" s="11" t="str">
        <f aca="false">IF($D226=0,"",INDEX($AH225:$CS225,1,$D226)&amp;"")</f>
        <v/>
      </c>
      <c r="H226" s="11" t="str">
        <f aca="false">IF($E226=0,"",INDEX($AH225:$CS225,1,$E226)&amp;"")</f>
        <v/>
      </c>
      <c r="I226" s="11" t="n">
        <f aca="false">IF(OR($D226=0,$E226=0),0,MOD($E226-1,8)-MOD($D226-1,8))</f>
        <v>0</v>
      </c>
      <c r="J226" s="11" t="n">
        <f aca="false">IF(OR($D226=0,$E226=0),0,INT(($E226-1)/8)-INT(($D226-1)/8))</f>
        <v>0</v>
      </c>
      <c r="K226" s="11" t="str">
        <f aca="false">IF($G226="","",RIGHT($G226,1))</f>
        <v/>
      </c>
      <c r="L226" s="11" t="n">
        <f aca="false">IF(OR($D226=0,$E226=0),0,SUMPRODUCT(($AH$3:$CS$3&gt;MIN($D226,$E226))*($AH$3:$CS$3&lt;MAX($D226,$E226))*(MOD($AH$3:$CS$3-MIN($D226,$E226),MAX(1,ABS(SIGN($J226)*8+SIGN($I226))))=0)*($AH225:$CS225&lt;&gt;"")))</f>
        <v>0</v>
      </c>
      <c r="M226" s="11" t="n">
        <f aca="false">IF($K226&lt;&gt;"K",0,IFERROR(--AND($J226=0,ABS($I226)=2,$D226=IF($F226="w",5,61),IF($F226="w",$S225,$V225)=0,IF($I226=2,AND(IF($F226="w",$U225,$X225)=0,INDEX($AH225:$CS225,1,$D226+1)&amp;""="",INDEX($AH225:$CS225,1,$D226+2)&amp;""=""),AND(IF($F226="w",$T225,$W225)=0,INDEX($AH225:$CS225,1,$D226-1)&amp;""="",INDEX($AH225:$CS225,1,$D226-2)&amp;""="",INDEX($AH225:$CS225,1,$D226-3)&amp;""=""))),0))</f>
        <v>0</v>
      </c>
      <c r="N226" s="11" t="n">
        <f aca="false">IF($K226&lt;&gt;"P",0,IFERROR(--OR(AND($I226=0,$J226=IF($F226="w",1,-1),$H226=""),AND($I226=0,$J226=2*IF($F226="w",1,-1),$H226="",INT(($D226-1)/8)=IF($F226="w",1,6),INDEX($AH225:$CS225,1,MAX(1,MIN(64,$D226+8*IF($F226="w",1,-1))))&amp;""=""),AND(ABS($I226)=1,$J226=IF($F226="w",1,-1),$H226&lt;&gt;""),AND(ABS($I226)=1,$J226=IF($F226="w",1,-1),$H226="",$R225&gt;0,$E226=$R225)),0))</f>
        <v>0</v>
      </c>
      <c r="O226" s="11" t="n">
        <f aca="false">IF(OR($D226=0,$E226=0,$G226=""),0,IF($K226="N",--OR(AND(ABS($I226)=1,ABS($J226)=2),AND(ABS($I226)=2,ABS($J226)=1)),IF($K226="B",--AND(ABS($I226)=ABS($J226),$I226&lt;&gt;0,$L226=0),IF($K226="R",--AND(OR($I226=0,$J226=0),OR($I226&lt;&gt;0,$J226&lt;&gt;0),$L226=0),IF($K226="Q",--AND(OR(AND(ABS($I226)=ABS($J226),$I226&lt;&gt;0),AND(OR($I226=0,$J226=0),OR($I226&lt;&gt;0,$J226&lt;&gt;0))),$L226=0),IF($K226="K",--OR(MAX(ABS($I226),ABS($J226))=1,$M226=1),$N226))))))</f>
        <v>0</v>
      </c>
      <c r="P226" s="11" t="n">
        <f aca="false">IF($Q226="OK",1,0)</f>
        <v>0</v>
      </c>
      <c r="Q226" s="11" t="str">
        <f aca="false">IF($B226="","",IF(OR(COUNTIF($AH225:$CS225,"wK")=0,COUNTIF($AH225:$CS225,"bK")=0),"Game is over",IF(OR($D226=0,$E226=0),"Use the format e2e4",IF($G226="","No piece on that square",IF(LEFT($G226,1)&lt;&gt;$F226,"Not your piece ("&amp;IF($F226="w","White","Black")&amp;" to move)",IF($D226=$E226,"Piece must move",IF(AND($H226&lt;&gt;"",LEFT($H226,1)=$F226),"Cannot capture your own piece",IF($O226=0,"Illegal move for that piece (or path blocked)","OK"))))))))</f>
        <v/>
      </c>
      <c r="R226" s="11" t="n">
        <f aca="false">IF($P226=1,IF(AND($K226="P",ABS($J226)=2),($D226+$E226)/2,0),$R225)</f>
        <v>0</v>
      </c>
      <c r="S226" s="12" t="b">
        <f aca="false">--OR($S225=1,AND($P226=1,OR($D226=5,$E226=5)))</f>
        <v>0</v>
      </c>
      <c r="T226" s="12" t="b">
        <f aca="false">--OR($T225=1,AND($P226=1,OR($D226=1,$E226=1)))</f>
        <v>0</v>
      </c>
      <c r="U226" s="12" t="b">
        <f aca="false">--OR($U225=1,AND($P226=1,OR($D226=8,$E226=8)))</f>
        <v>0</v>
      </c>
      <c r="V226" s="12" t="b">
        <f aca="false">--OR($V225=1,AND($P226=1,OR($D226=61,$E226=61)))</f>
        <v>0</v>
      </c>
      <c r="W226" s="12" t="b">
        <f aca="false">--OR($W225=1,AND($P226=1,OR($D226=57,$E226=57)))</f>
        <v>0</v>
      </c>
      <c r="X226" s="12" t="b">
        <f aca="false">--OR($X225=1,AND($P226=1,OR($D226=64,$E226=64)))</f>
        <v>0</v>
      </c>
      <c r="Y226" s="12" t="b">
        <f aca="false">--AND($P226=1,$K226="K",ABS($I226)=2)</f>
        <v>0</v>
      </c>
      <c r="Z226" s="12" t="b">
        <f aca="false">--AND($P226=1,$K226="P",ABS($I226)=1,$H226="")</f>
        <v>0</v>
      </c>
      <c r="AA226" s="12" t="b">
        <f aca="false">--AND($P226=1,$K226="P",INT(($E226-1)/8)=IF($F226="w",7,0))</f>
        <v>0</v>
      </c>
      <c r="AB226" s="11" t="str">
        <f aca="false">IF(LEN($C226)&gt;=5,IF(ISNUMBER(FIND(MID($C226,5,1),"qrbn")),UPPER(MID($C226,5,1)),"Q"),"Q")</f>
        <v>Q</v>
      </c>
      <c r="AC226" s="11" t="n">
        <f aca="false">IF($Y226=1,IF($I226=2,$D226+3,$D226-4),0)</f>
        <v>0</v>
      </c>
      <c r="AD226" s="11" t="n">
        <f aca="false">IF($Y226=1,IF($I226=2,$D226+1,$D226-1),0)</f>
        <v>0</v>
      </c>
      <c r="AE226" s="11" t="n">
        <f aca="false">IF($Z226=1,$E226-8*IF($F226="w",1,-1),0)</f>
        <v>0</v>
      </c>
      <c r="AF226" s="11" t="str">
        <f aca="false">IF($B226="","",IF($P226=1,LOWER(INDEX($CV$2:$CV$13,MATCH($G226,$CU$2:$CU$13,0)))&amp;" "&amp;MID("abcdefgh",MOD($D226-1,8)+1,1)&amp;(INT(($D226-1)/8)+1)&amp;"→"&amp;MID("abcdefgh",MOD($E226-1,8)+1,1)&amp;(INT(($E226-1)/8)+1)&amp;IF(OR($H226&lt;&gt;"",$Z226=1)," ×","")&amp;IF($Y226=1," castles","")&amp;IF($Z226=1," e.p.","")&amp;IF($AA226=1," =" &amp;LOWER(INDEX($CV$2:$CV$13,MATCH($F226&amp;$AB226,$CU$2:$CU$13,0))),""),"X "&amp;$Q226))</f>
        <v/>
      </c>
      <c r="AG226" s="11"/>
      <c r="AH226" s="11" t="str">
        <f aca="false">IF($P226=0,AH225,IF(AH$3=$E226,IF($AA226=1,$F226&amp;$AB226,$G226),IF(OR(AH$3=$D226,AH$3=$AC226,AH$3=$AE226),"",IF(AH$3=$AD226,$F226&amp;"R",AH225))))</f>
        <v>wR</v>
      </c>
      <c r="AI226" s="11" t="str">
        <f aca="false">IF($P226=0,AI225,IF(AI$3=$E226,IF($AA226=1,$F226&amp;$AB226,$G226),IF(OR(AI$3=$D226,AI$3=$AC226,AI$3=$AE226),"",IF(AI$3=$AD226,$F226&amp;"R",AI225))))</f>
        <v>wN</v>
      </c>
      <c r="AJ226" s="11" t="str">
        <f aca="false">IF($P226=0,AJ225,IF(AJ$3=$E226,IF($AA226=1,$F226&amp;$AB226,$G226),IF(OR(AJ$3=$D226,AJ$3=$AC226,AJ$3=$AE226),"",IF(AJ$3=$AD226,$F226&amp;"R",AJ225))))</f>
        <v>wB</v>
      </c>
      <c r="AK226" s="11" t="str">
        <f aca="false">IF($P226=0,AK225,IF(AK$3=$E226,IF($AA226=1,$F226&amp;$AB226,$G226),IF(OR(AK$3=$D226,AK$3=$AC226,AK$3=$AE226),"",IF(AK$3=$AD226,$F226&amp;"R",AK225))))</f>
        <v>wQ</v>
      </c>
      <c r="AL226" s="11" t="str">
        <f aca="false">IF($P226=0,AL225,IF(AL$3=$E226,IF($AA226=1,$F226&amp;$AB226,$G226),IF(OR(AL$3=$D226,AL$3=$AC226,AL$3=$AE226),"",IF(AL$3=$AD226,$F226&amp;"R",AL225))))</f>
        <v>wK</v>
      </c>
      <c r="AM226" s="11" t="str">
        <f aca="false">IF($P226=0,AM225,IF(AM$3=$E226,IF($AA226=1,$F226&amp;$AB226,$G226),IF(OR(AM$3=$D226,AM$3=$AC226,AM$3=$AE226),"",IF(AM$3=$AD226,$F226&amp;"R",AM225))))</f>
        <v>wB</v>
      </c>
      <c r="AN226" s="11" t="str">
        <f aca="false">IF($P226=0,AN225,IF(AN$3=$E226,IF($AA226=1,$F226&amp;$AB226,$G226),IF(OR(AN$3=$D226,AN$3=$AC226,AN$3=$AE226),"",IF(AN$3=$AD226,$F226&amp;"R",AN225))))</f>
        <v>wN</v>
      </c>
      <c r="AO226" s="11" t="str">
        <f aca="false">IF($P226=0,AO225,IF(AO$3=$E226,IF($AA226=1,$F226&amp;$AB226,$G226),IF(OR(AO$3=$D226,AO$3=$AC226,AO$3=$AE226),"",IF(AO$3=$AD226,$F226&amp;"R",AO225))))</f>
        <v>wR</v>
      </c>
      <c r="AP226" s="11" t="str">
        <f aca="false">IF($P226=0,AP225,IF(AP$3=$E226,IF($AA226=1,$F226&amp;$AB226,$G226),IF(OR(AP$3=$D226,AP$3=$AC226,AP$3=$AE226),"",IF(AP$3=$AD226,$F226&amp;"R",AP225))))</f>
        <v>wP</v>
      </c>
      <c r="AQ226" s="11" t="str">
        <f aca="false">IF($P226=0,AQ225,IF(AQ$3=$E226,IF($AA226=1,$F226&amp;$AB226,$G226),IF(OR(AQ$3=$D226,AQ$3=$AC226,AQ$3=$AE226),"",IF(AQ$3=$AD226,$F226&amp;"R",AQ225))))</f>
        <v>wP</v>
      </c>
      <c r="AR226" s="11" t="str">
        <f aca="false">IF($P226=0,AR225,IF(AR$3=$E226,IF($AA226=1,$F226&amp;$AB226,$G226),IF(OR(AR$3=$D226,AR$3=$AC226,AR$3=$AE226),"",IF(AR$3=$AD226,$F226&amp;"R",AR225))))</f>
        <v>wP</v>
      </c>
      <c r="AS226" s="11" t="str">
        <f aca="false">IF($P226=0,AS225,IF(AS$3=$E226,IF($AA226=1,$F226&amp;$AB226,$G226),IF(OR(AS$3=$D226,AS$3=$AC226,AS$3=$AE226),"",IF(AS$3=$AD226,$F226&amp;"R",AS225))))</f>
        <v>wP</v>
      </c>
      <c r="AT226" s="11" t="str">
        <f aca="false">IF($P226=0,AT225,IF(AT$3=$E226,IF($AA226=1,$F226&amp;$AB226,$G226),IF(OR(AT$3=$D226,AT$3=$AC226,AT$3=$AE226),"",IF(AT$3=$AD226,$F226&amp;"R",AT225))))</f>
        <v>wP</v>
      </c>
      <c r="AU226" s="11" t="str">
        <f aca="false">IF($P226=0,AU225,IF(AU$3=$E226,IF($AA226=1,$F226&amp;$AB226,$G226),IF(OR(AU$3=$D226,AU$3=$AC226,AU$3=$AE226),"",IF(AU$3=$AD226,$F226&amp;"R",AU225))))</f>
        <v>wP</v>
      </c>
      <c r="AV226" s="11" t="str">
        <f aca="false">IF($P226=0,AV225,IF(AV$3=$E226,IF($AA226=1,$F226&amp;$AB226,$G226),IF(OR(AV$3=$D226,AV$3=$AC226,AV$3=$AE226),"",IF(AV$3=$AD226,$F226&amp;"R",AV225))))</f>
        <v>wP</v>
      </c>
      <c r="AW226" s="11" t="str">
        <f aca="false">IF($P226=0,AW225,IF(AW$3=$E226,IF($AA226=1,$F226&amp;$AB226,$G226),IF(OR(AW$3=$D226,AW$3=$AC226,AW$3=$AE226),"",IF(AW$3=$AD226,$F226&amp;"R",AW225))))</f>
        <v>wP</v>
      </c>
      <c r="AX226" s="11" t="str">
        <f aca="false">IF($P226=0,AX225,IF(AX$3=$E226,IF($AA226=1,$F226&amp;$AB226,$G226),IF(OR(AX$3=$D226,AX$3=$AC226,AX$3=$AE226),"",IF(AX$3=$AD226,$F226&amp;"R",AX225))))</f>
        <v/>
      </c>
      <c r="AY226" s="11" t="str">
        <f aca="false">IF($P226=0,AY225,IF(AY$3=$E226,IF($AA226=1,$F226&amp;$AB226,$G226),IF(OR(AY$3=$D226,AY$3=$AC226,AY$3=$AE226),"",IF(AY$3=$AD226,$F226&amp;"R",AY225))))</f>
        <v/>
      </c>
      <c r="AZ226" s="11" t="str">
        <f aca="false">IF($P226=0,AZ225,IF(AZ$3=$E226,IF($AA226=1,$F226&amp;$AB226,$G226),IF(OR(AZ$3=$D226,AZ$3=$AC226,AZ$3=$AE226),"",IF(AZ$3=$AD226,$F226&amp;"R",AZ225))))</f>
        <v/>
      </c>
      <c r="BA226" s="11" t="str">
        <f aca="false">IF($P226=0,BA225,IF(BA$3=$E226,IF($AA226=1,$F226&amp;$AB226,$G226),IF(OR(BA$3=$D226,BA$3=$AC226,BA$3=$AE226),"",IF(BA$3=$AD226,$F226&amp;"R",BA225))))</f>
        <v/>
      </c>
      <c r="BB226" s="11" t="str">
        <f aca="false">IF($P226=0,BB225,IF(BB$3=$E226,IF($AA226=1,$F226&amp;$AB226,$G226),IF(OR(BB$3=$D226,BB$3=$AC226,BB$3=$AE226),"",IF(BB$3=$AD226,$F226&amp;"R",BB225))))</f>
        <v/>
      </c>
      <c r="BC226" s="11" t="str">
        <f aca="false">IF($P226=0,BC225,IF(BC$3=$E226,IF($AA226=1,$F226&amp;$AB226,$G226),IF(OR(BC$3=$D226,BC$3=$AC226,BC$3=$AE226),"",IF(BC$3=$AD226,$F226&amp;"R",BC225))))</f>
        <v/>
      </c>
      <c r="BD226" s="11" t="str">
        <f aca="false">IF($P226=0,BD225,IF(BD$3=$E226,IF($AA226=1,$F226&amp;$AB226,$G226),IF(OR(BD$3=$D226,BD$3=$AC226,BD$3=$AE226),"",IF(BD$3=$AD226,$F226&amp;"R",BD225))))</f>
        <v/>
      </c>
      <c r="BE226" s="11" t="str">
        <f aca="false">IF($P226=0,BE225,IF(BE$3=$E226,IF($AA226=1,$F226&amp;$AB226,$G226),IF(OR(BE$3=$D226,BE$3=$AC226,BE$3=$AE226),"",IF(BE$3=$AD226,$F226&amp;"R",BE225))))</f>
        <v/>
      </c>
      <c r="BF226" s="11" t="str">
        <f aca="false">IF($P226=0,BF225,IF(BF$3=$E226,IF($AA226=1,$F226&amp;$AB226,$G226),IF(OR(BF$3=$D226,BF$3=$AC226,BF$3=$AE226),"",IF(BF$3=$AD226,$F226&amp;"R",BF225))))</f>
        <v/>
      </c>
      <c r="BG226" s="11" t="str">
        <f aca="false">IF($P226=0,BG225,IF(BG$3=$E226,IF($AA226=1,$F226&amp;$AB226,$G226),IF(OR(BG$3=$D226,BG$3=$AC226,BG$3=$AE226),"",IF(BG$3=$AD226,$F226&amp;"R",BG225))))</f>
        <v/>
      </c>
      <c r="BH226" s="11" t="str">
        <f aca="false">IF($P226=0,BH225,IF(BH$3=$E226,IF($AA226=1,$F226&amp;$AB226,$G226),IF(OR(BH$3=$D226,BH$3=$AC226,BH$3=$AE226),"",IF(BH$3=$AD226,$F226&amp;"R",BH225))))</f>
        <v/>
      </c>
      <c r="BI226" s="11" t="str">
        <f aca="false">IF($P226=0,BI225,IF(BI$3=$E226,IF($AA226=1,$F226&amp;$AB226,$G226),IF(OR(BI$3=$D226,BI$3=$AC226,BI$3=$AE226),"",IF(BI$3=$AD226,$F226&amp;"R",BI225))))</f>
        <v/>
      </c>
      <c r="BJ226" s="11" t="str">
        <f aca="false">IF($P226=0,BJ225,IF(BJ$3=$E226,IF($AA226=1,$F226&amp;$AB226,$G226),IF(OR(BJ$3=$D226,BJ$3=$AC226,BJ$3=$AE226),"",IF(BJ$3=$AD226,$F226&amp;"R",BJ225))))</f>
        <v/>
      </c>
      <c r="BK226" s="11" t="str">
        <f aca="false">IF($P226=0,BK225,IF(BK$3=$E226,IF($AA226=1,$F226&amp;$AB226,$G226),IF(OR(BK$3=$D226,BK$3=$AC226,BK$3=$AE226),"",IF(BK$3=$AD226,$F226&amp;"R",BK225))))</f>
        <v/>
      </c>
      <c r="BL226" s="11" t="str">
        <f aca="false">IF($P226=0,BL225,IF(BL$3=$E226,IF($AA226=1,$F226&amp;$AB226,$G226),IF(OR(BL$3=$D226,BL$3=$AC226,BL$3=$AE226),"",IF(BL$3=$AD226,$F226&amp;"R",BL225))))</f>
        <v/>
      </c>
      <c r="BM226" s="11" t="str">
        <f aca="false">IF($P226=0,BM225,IF(BM$3=$E226,IF($AA226=1,$F226&amp;$AB226,$G226),IF(OR(BM$3=$D226,BM$3=$AC226,BM$3=$AE226),"",IF(BM$3=$AD226,$F226&amp;"R",BM225))))</f>
        <v/>
      </c>
      <c r="BN226" s="11" t="str">
        <f aca="false">IF($P226=0,BN225,IF(BN$3=$E226,IF($AA226=1,$F226&amp;$AB226,$G226),IF(OR(BN$3=$D226,BN$3=$AC226,BN$3=$AE226),"",IF(BN$3=$AD226,$F226&amp;"R",BN225))))</f>
        <v/>
      </c>
      <c r="BO226" s="11" t="str">
        <f aca="false">IF($P226=0,BO225,IF(BO$3=$E226,IF($AA226=1,$F226&amp;$AB226,$G226),IF(OR(BO$3=$D226,BO$3=$AC226,BO$3=$AE226),"",IF(BO$3=$AD226,$F226&amp;"R",BO225))))</f>
        <v/>
      </c>
      <c r="BP226" s="11" t="str">
        <f aca="false">IF($P226=0,BP225,IF(BP$3=$E226,IF($AA226=1,$F226&amp;$AB226,$G226),IF(OR(BP$3=$D226,BP$3=$AC226,BP$3=$AE226),"",IF(BP$3=$AD226,$F226&amp;"R",BP225))))</f>
        <v/>
      </c>
      <c r="BQ226" s="11" t="str">
        <f aca="false">IF($P226=0,BQ225,IF(BQ$3=$E226,IF($AA226=1,$F226&amp;$AB226,$G226),IF(OR(BQ$3=$D226,BQ$3=$AC226,BQ$3=$AE226),"",IF(BQ$3=$AD226,$F226&amp;"R",BQ225))))</f>
        <v/>
      </c>
      <c r="BR226" s="11" t="str">
        <f aca="false">IF($P226=0,BR225,IF(BR$3=$E226,IF($AA226=1,$F226&amp;$AB226,$G226),IF(OR(BR$3=$D226,BR$3=$AC226,BR$3=$AE226),"",IF(BR$3=$AD226,$F226&amp;"R",BR225))))</f>
        <v/>
      </c>
      <c r="BS226" s="11" t="str">
        <f aca="false">IF($P226=0,BS225,IF(BS$3=$E226,IF($AA226=1,$F226&amp;$AB226,$G226),IF(OR(BS$3=$D226,BS$3=$AC226,BS$3=$AE226),"",IF(BS$3=$AD226,$F226&amp;"R",BS225))))</f>
        <v/>
      </c>
      <c r="BT226" s="11" t="str">
        <f aca="false">IF($P226=0,BT225,IF(BT$3=$E226,IF($AA226=1,$F226&amp;$AB226,$G226),IF(OR(BT$3=$D226,BT$3=$AC226,BT$3=$AE226),"",IF(BT$3=$AD226,$F226&amp;"R",BT225))))</f>
        <v/>
      </c>
      <c r="BU226" s="11" t="str">
        <f aca="false">IF($P226=0,BU225,IF(BU$3=$E226,IF($AA226=1,$F226&amp;$AB226,$G226),IF(OR(BU$3=$D226,BU$3=$AC226,BU$3=$AE226),"",IF(BU$3=$AD226,$F226&amp;"R",BU225))))</f>
        <v/>
      </c>
      <c r="BV226" s="11" t="str">
        <f aca="false">IF($P226=0,BV225,IF(BV$3=$E226,IF($AA226=1,$F226&amp;$AB226,$G226),IF(OR(BV$3=$D226,BV$3=$AC226,BV$3=$AE226),"",IF(BV$3=$AD226,$F226&amp;"R",BV225))))</f>
        <v/>
      </c>
      <c r="BW226" s="11" t="str">
        <f aca="false">IF($P226=0,BW225,IF(BW$3=$E226,IF($AA226=1,$F226&amp;$AB226,$G226),IF(OR(BW$3=$D226,BW$3=$AC226,BW$3=$AE226),"",IF(BW$3=$AD226,$F226&amp;"R",BW225))))</f>
        <v/>
      </c>
      <c r="BX226" s="11" t="str">
        <f aca="false">IF($P226=0,BX225,IF(BX$3=$E226,IF($AA226=1,$F226&amp;$AB226,$G226),IF(OR(BX$3=$D226,BX$3=$AC226,BX$3=$AE226),"",IF(BX$3=$AD226,$F226&amp;"R",BX225))))</f>
        <v/>
      </c>
      <c r="BY226" s="11" t="str">
        <f aca="false">IF($P226=0,BY225,IF(BY$3=$E226,IF($AA226=1,$F226&amp;$AB226,$G226),IF(OR(BY$3=$D226,BY$3=$AC226,BY$3=$AE226),"",IF(BY$3=$AD226,$F226&amp;"R",BY225))))</f>
        <v/>
      </c>
      <c r="BZ226" s="11" t="str">
        <f aca="false">IF($P226=0,BZ225,IF(BZ$3=$E226,IF($AA226=1,$F226&amp;$AB226,$G226),IF(OR(BZ$3=$D226,BZ$3=$AC226,BZ$3=$AE226),"",IF(BZ$3=$AD226,$F226&amp;"R",BZ225))))</f>
        <v/>
      </c>
      <c r="CA226" s="11" t="str">
        <f aca="false">IF($P226=0,CA225,IF(CA$3=$E226,IF($AA226=1,$F226&amp;$AB226,$G226),IF(OR(CA$3=$D226,CA$3=$AC226,CA$3=$AE226),"",IF(CA$3=$AD226,$F226&amp;"R",CA225))))</f>
        <v/>
      </c>
      <c r="CB226" s="11" t="str">
        <f aca="false">IF($P226=0,CB225,IF(CB$3=$E226,IF($AA226=1,$F226&amp;$AB226,$G226),IF(OR(CB$3=$D226,CB$3=$AC226,CB$3=$AE226),"",IF(CB$3=$AD226,$F226&amp;"R",CB225))))</f>
        <v/>
      </c>
      <c r="CC226" s="11" t="str">
        <f aca="false">IF($P226=0,CC225,IF(CC$3=$E226,IF($AA226=1,$F226&amp;$AB226,$G226),IF(OR(CC$3=$D226,CC$3=$AC226,CC$3=$AE226),"",IF(CC$3=$AD226,$F226&amp;"R",CC225))))</f>
        <v/>
      </c>
      <c r="CD226" s="11" t="str">
        <f aca="false">IF($P226=0,CD225,IF(CD$3=$E226,IF($AA226=1,$F226&amp;$AB226,$G226),IF(OR(CD$3=$D226,CD$3=$AC226,CD$3=$AE226),"",IF(CD$3=$AD226,$F226&amp;"R",CD225))))</f>
        <v>bP</v>
      </c>
      <c r="CE226" s="11" t="str">
        <f aca="false">IF($P226=0,CE225,IF(CE$3=$E226,IF($AA226=1,$F226&amp;$AB226,$G226),IF(OR(CE$3=$D226,CE$3=$AC226,CE$3=$AE226),"",IF(CE$3=$AD226,$F226&amp;"R",CE225))))</f>
        <v>bP</v>
      </c>
      <c r="CF226" s="11" t="str">
        <f aca="false">IF($P226=0,CF225,IF(CF$3=$E226,IF($AA226=1,$F226&amp;$AB226,$G226),IF(OR(CF$3=$D226,CF$3=$AC226,CF$3=$AE226),"",IF(CF$3=$AD226,$F226&amp;"R",CF225))))</f>
        <v>bP</v>
      </c>
      <c r="CG226" s="11" t="str">
        <f aca="false">IF($P226=0,CG225,IF(CG$3=$E226,IF($AA226=1,$F226&amp;$AB226,$G226),IF(OR(CG$3=$D226,CG$3=$AC226,CG$3=$AE226),"",IF(CG$3=$AD226,$F226&amp;"R",CG225))))</f>
        <v>bP</v>
      </c>
      <c r="CH226" s="11" t="str">
        <f aca="false">IF($P226=0,CH225,IF(CH$3=$E226,IF($AA226=1,$F226&amp;$AB226,$G226),IF(OR(CH$3=$D226,CH$3=$AC226,CH$3=$AE226),"",IF(CH$3=$AD226,$F226&amp;"R",CH225))))</f>
        <v>bP</v>
      </c>
      <c r="CI226" s="11" t="str">
        <f aca="false">IF($P226=0,CI225,IF(CI$3=$E226,IF($AA226=1,$F226&amp;$AB226,$G226),IF(OR(CI$3=$D226,CI$3=$AC226,CI$3=$AE226),"",IF(CI$3=$AD226,$F226&amp;"R",CI225))))</f>
        <v>bP</v>
      </c>
      <c r="CJ226" s="11" t="str">
        <f aca="false">IF($P226=0,CJ225,IF(CJ$3=$E226,IF($AA226=1,$F226&amp;$AB226,$G226),IF(OR(CJ$3=$D226,CJ$3=$AC226,CJ$3=$AE226),"",IF(CJ$3=$AD226,$F226&amp;"R",CJ225))))</f>
        <v>bP</v>
      </c>
      <c r="CK226" s="11" t="str">
        <f aca="false">IF($P226=0,CK225,IF(CK$3=$E226,IF($AA226=1,$F226&amp;$AB226,$G226),IF(OR(CK$3=$D226,CK$3=$AC226,CK$3=$AE226),"",IF(CK$3=$AD226,$F226&amp;"R",CK225))))</f>
        <v>bP</v>
      </c>
      <c r="CL226" s="11" t="str">
        <f aca="false">IF($P226=0,CL225,IF(CL$3=$E226,IF($AA226=1,$F226&amp;$AB226,$G226),IF(OR(CL$3=$D226,CL$3=$AC226,CL$3=$AE226),"",IF(CL$3=$AD226,$F226&amp;"R",CL225))))</f>
        <v>bR</v>
      </c>
      <c r="CM226" s="11" t="str">
        <f aca="false">IF($P226=0,CM225,IF(CM$3=$E226,IF($AA226=1,$F226&amp;$AB226,$G226),IF(OR(CM$3=$D226,CM$3=$AC226,CM$3=$AE226),"",IF(CM$3=$AD226,$F226&amp;"R",CM225))))</f>
        <v>bN</v>
      </c>
      <c r="CN226" s="11" t="str">
        <f aca="false">IF($P226=0,CN225,IF(CN$3=$E226,IF($AA226=1,$F226&amp;$AB226,$G226),IF(OR(CN$3=$D226,CN$3=$AC226,CN$3=$AE226),"",IF(CN$3=$AD226,$F226&amp;"R",CN225))))</f>
        <v>bB</v>
      </c>
      <c r="CO226" s="11" t="str">
        <f aca="false">IF($P226=0,CO225,IF(CO$3=$E226,IF($AA226=1,$F226&amp;$AB226,$G226),IF(OR(CO$3=$D226,CO$3=$AC226,CO$3=$AE226),"",IF(CO$3=$AD226,$F226&amp;"R",CO225))))</f>
        <v>bQ</v>
      </c>
      <c r="CP226" s="11" t="str">
        <f aca="false">IF($P226=0,CP225,IF(CP$3=$E226,IF($AA226=1,$F226&amp;$AB226,$G226),IF(OR(CP$3=$D226,CP$3=$AC226,CP$3=$AE226),"",IF(CP$3=$AD226,$F226&amp;"R",CP225))))</f>
        <v>bK</v>
      </c>
      <c r="CQ226" s="11" t="str">
        <f aca="false">IF($P226=0,CQ225,IF(CQ$3=$E226,IF($AA226=1,$F226&amp;$AB226,$G226),IF(OR(CQ$3=$D226,CQ$3=$AC226,CQ$3=$AE226),"",IF(CQ$3=$AD226,$F226&amp;"R",CQ225))))</f>
        <v>bB</v>
      </c>
      <c r="CR226" s="11" t="str">
        <f aca="false">IF($P226=0,CR225,IF(CR$3=$E226,IF($AA226=1,$F226&amp;$AB226,$G226),IF(OR(CR$3=$D226,CR$3=$AC226,CR$3=$AE226),"",IF(CR$3=$AD226,$F226&amp;"R",CR225))))</f>
        <v>bN</v>
      </c>
      <c r="CS226" s="11" t="str">
        <f aca="false">IF($P226=0,CS225,IF(CS$3=$E226,IF($AA226=1,$F226&amp;$AB226,$G226),IF(OR(CS$3=$D226,CS$3=$AC226,CS$3=$AE226),"",IF(CS$3=$AD226,$F226&amp;"R",CS225))))</f>
        <v>bR</v>
      </c>
      <c r="CT226" s="11"/>
      <c r="CU226" s="11"/>
      <c r="CV226" s="11"/>
    </row>
    <row r="227" customFormat="false" ht="15" hidden="false" customHeight="false" outlineLevel="0" collapsed="false">
      <c r="A227" s="11" t="n">
        <v>222</v>
      </c>
      <c r="B227" s="11" t="str">
        <f aca="false">IF(Chess!$L$231="","",Chess!$L$231&amp;"")</f>
        <v/>
      </c>
      <c r="C227" s="11" t="str">
        <f aca="false">LOWER(SUBSTITUTE(SUBSTITUTE(SUBSTITUTE(SUBSTITUTE(TRIM($B227),"-",""),"=","")," ",""),"x",""))</f>
        <v/>
      </c>
      <c r="D227" s="11" t="n">
        <f aca="false">IF(LEN($C227)&lt;4,0,IFERROR(IF(AND(CODE(MID($C227,1,1))&gt;=97,CODE(MID($C227,1,1))&lt;=104,VALUE(MID($C227,2,1))&gt;=1,VALUE(MID($C227,2,1))&lt;=8),(VALUE(MID($C227,2,1))-1)*8+CODE(MID($C227,1,1))-96,0),0))</f>
        <v>0</v>
      </c>
      <c r="E227" s="11" t="n">
        <f aca="false">IF(LEN($C227)&lt;4,0,IFERROR(IF(AND(CODE(MID($C227,3,1))&gt;=97,CODE(MID($C227,3,1))&lt;=104,VALUE(MID($C227,4,1))&gt;=1,VALUE(MID($C227,4,1))&lt;=8),(VALUE(MID($C227,4,1))-1)*8+CODE(MID($C227,3,1))-96,0),0))</f>
        <v>0</v>
      </c>
      <c r="F227" s="11" t="str">
        <f aca="false">IF(MOD(SUM($P$5:$P226),2)=0,"w","b")</f>
        <v>w</v>
      </c>
      <c r="G227" s="11" t="str">
        <f aca="false">IF($D227=0,"",INDEX($AH226:$CS226,1,$D227)&amp;"")</f>
        <v/>
      </c>
      <c r="H227" s="11" t="str">
        <f aca="false">IF($E227=0,"",INDEX($AH226:$CS226,1,$E227)&amp;"")</f>
        <v/>
      </c>
      <c r="I227" s="11" t="n">
        <f aca="false">IF(OR($D227=0,$E227=0),0,MOD($E227-1,8)-MOD($D227-1,8))</f>
        <v>0</v>
      </c>
      <c r="J227" s="11" t="n">
        <f aca="false">IF(OR($D227=0,$E227=0),0,INT(($E227-1)/8)-INT(($D227-1)/8))</f>
        <v>0</v>
      </c>
      <c r="K227" s="11" t="str">
        <f aca="false">IF($G227="","",RIGHT($G227,1))</f>
        <v/>
      </c>
      <c r="L227" s="11" t="n">
        <f aca="false">IF(OR($D227=0,$E227=0),0,SUMPRODUCT(($AH$3:$CS$3&gt;MIN($D227,$E227))*($AH$3:$CS$3&lt;MAX($D227,$E227))*(MOD($AH$3:$CS$3-MIN($D227,$E227),MAX(1,ABS(SIGN($J227)*8+SIGN($I227))))=0)*($AH226:$CS226&lt;&gt;"")))</f>
        <v>0</v>
      </c>
      <c r="M227" s="11" t="n">
        <f aca="false">IF($K227&lt;&gt;"K",0,IFERROR(--AND($J227=0,ABS($I227)=2,$D227=IF($F227="w",5,61),IF($F227="w",$S226,$V226)=0,IF($I227=2,AND(IF($F227="w",$U226,$X226)=0,INDEX($AH226:$CS226,1,$D227+1)&amp;""="",INDEX($AH226:$CS226,1,$D227+2)&amp;""=""),AND(IF($F227="w",$T226,$W226)=0,INDEX($AH226:$CS226,1,$D227-1)&amp;""="",INDEX($AH226:$CS226,1,$D227-2)&amp;""="",INDEX($AH226:$CS226,1,$D227-3)&amp;""=""))),0))</f>
        <v>0</v>
      </c>
      <c r="N227" s="11" t="n">
        <f aca="false">IF($K227&lt;&gt;"P",0,IFERROR(--OR(AND($I227=0,$J227=IF($F227="w",1,-1),$H227=""),AND($I227=0,$J227=2*IF($F227="w",1,-1),$H227="",INT(($D227-1)/8)=IF($F227="w",1,6),INDEX($AH226:$CS226,1,MAX(1,MIN(64,$D227+8*IF($F227="w",1,-1))))&amp;""=""),AND(ABS($I227)=1,$J227=IF($F227="w",1,-1),$H227&lt;&gt;""),AND(ABS($I227)=1,$J227=IF($F227="w",1,-1),$H227="",$R226&gt;0,$E227=$R226)),0))</f>
        <v>0</v>
      </c>
      <c r="O227" s="11" t="n">
        <f aca="false">IF(OR($D227=0,$E227=0,$G227=""),0,IF($K227="N",--OR(AND(ABS($I227)=1,ABS($J227)=2),AND(ABS($I227)=2,ABS($J227)=1)),IF($K227="B",--AND(ABS($I227)=ABS($J227),$I227&lt;&gt;0,$L227=0),IF($K227="R",--AND(OR($I227=0,$J227=0),OR($I227&lt;&gt;0,$J227&lt;&gt;0),$L227=0),IF($K227="Q",--AND(OR(AND(ABS($I227)=ABS($J227),$I227&lt;&gt;0),AND(OR($I227=0,$J227=0),OR($I227&lt;&gt;0,$J227&lt;&gt;0))),$L227=0),IF($K227="K",--OR(MAX(ABS($I227),ABS($J227))=1,$M227=1),$N227))))))</f>
        <v>0</v>
      </c>
      <c r="P227" s="11" t="n">
        <f aca="false">IF($Q227="OK",1,0)</f>
        <v>0</v>
      </c>
      <c r="Q227" s="11" t="str">
        <f aca="false">IF($B227="","",IF(OR(COUNTIF($AH226:$CS226,"wK")=0,COUNTIF($AH226:$CS226,"bK")=0),"Game is over",IF(OR($D227=0,$E227=0),"Use the format e2e4",IF($G227="","No piece on that square",IF(LEFT($G227,1)&lt;&gt;$F227,"Not your piece ("&amp;IF($F227="w","White","Black")&amp;" to move)",IF($D227=$E227,"Piece must move",IF(AND($H227&lt;&gt;"",LEFT($H227,1)=$F227),"Cannot capture your own piece",IF($O227=0,"Illegal move for that piece (or path blocked)","OK"))))))))</f>
        <v/>
      </c>
      <c r="R227" s="11" t="n">
        <f aca="false">IF($P227=1,IF(AND($K227="P",ABS($J227)=2),($D227+$E227)/2,0),$R226)</f>
        <v>0</v>
      </c>
      <c r="S227" s="12" t="b">
        <f aca="false">--OR($S226=1,AND($P227=1,OR($D227=5,$E227=5)))</f>
        <v>0</v>
      </c>
      <c r="T227" s="12" t="b">
        <f aca="false">--OR($T226=1,AND($P227=1,OR($D227=1,$E227=1)))</f>
        <v>0</v>
      </c>
      <c r="U227" s="12" t="b">
        <f aca="false">--OR($U226=1,AND($P227=1,OR($D227=8,$E227=8)))</f>
        <v>0</v>
      </c>
      <c r="V227" s="12" t="b">
        <f aca="false">--OR($V226=1,AND($P227=1,OR($D227=61,$E227=61)))</f>
        <v>0</v>
      </c>
      <c r="W227" s="12" t="b">
        <f aca="false">--OR($W226=1,AND($P227=1,OR($D227=57,$E227=57)))</f>
        <v>0</v>
      </c>
      <c r="X227" s="12" t="b">
        <f aca="false">--OR($X226=1,AND($P227=1,OR($D227=64,$E227=64)))</f>
        <v>0</v>
      </c>
      <c r="Y227" s="12" t="b">
        <f aca="false">--AND($P227=1,$K227="K",ABS($I227)=2)</f>
        <v>0</v>
      </c>
      <c r="Z227" s="12" t="b">
        <f aca="false">--AND($P227=1,$K227="P",ABS($I227)=1,$H227="")</f>
        <v>0</v>
      </c>
      <c r="AA227" s="12" t="b">
        <f aca="false">--AND($P227=1,$K227="P",INT(($E227-1)/8)=IF($F227="w",7,0))</f>
        <v>0</v>
      </c>
      <c r="AB227" s="11" t="str">
        <f aca="false">IF(LEN($C227)&gt;=5,IF(ISNUMBER(FIND(MID($C227,5,1),"qrbn")),UPPER(MID($C227,5,1)),"Q"),"Q")</f>
        <v>Q</v>
      </c>
      <c r="AC227" s="11" t="n">
        <f aca="false">IF($Y227=1,IF($I227=2,$D227+3,$D227-4),0)</f>
        <v>0</v>
      </c>
      <c r="AD227" s="11" t="n">
        <f aca="false">IF($Y227=1,IF($I227=2,$D227+1,$D227-1),0)</f>
        <v>0</v>
      </c>
      <c r="AE227" s="11" t="n">
        <f aca="false">IF($Z227=1,$E227-8*IF($F227="w",1,-1),0)</f>
        <v>0</v>
      </c>
      <c r="AF227" s="11" t="str">
        <f aca="false">IF($B227="","",IF($P227=1,LOWER(INDEX($CV$2:$CV$13,MATCH($G227,$CU$2:$CU$13,0)))&amp;" "&amp;MID("abcdefgh",MOD($D227-1,8)+1,1)&amp;(INT(($D227-1)/8)+1)&amp;"→"&amp;MID("abcdefgh",MOD($E227-1,8)+1,1)&amp;(INT(($E227-1)/8)+1)&amp;IF(OR($H227&lt;&gt;"",$Z227=1)," ×","")&amp;IF($Y227=1," castles","")&amp;IF($Z227=1," e.p.","")&amp;IF($AA227=1," =" &amp;LOWER(INDEX($CV$2:$CV$13,MATCH($F227&amp;$AB227,$CU$2:$CU$13,0))),""),"X "&amp;$Q227))</f>
        <v/>
      </c>
      <c r="AG227" s="11"/>
      <c r="AH227" s="11" t="str">
        <f aca="false">IF($P227=0,AH226,IF(AH$3=$E227,IF($AA227=1,$F227&amp;$AB227,$G227),IF(OR(AH$3=$D227,AH$3=$AC227,AH$3=$AE227),"",IF(AH$3=$AD227,$F227&amp;"R",AH226))))</f>
        <v>wR</v>
      </c>
      <c r="AI227" s="11" t="str">
        <f aca="false">IF($P227=0,AI226,IF(AI$3=$E227,IF($AA227=1,$F227&amp;$AB227,$G227),IF(OR(AI$3=$D227,AI$3=$AC227,AI$3=$AE227),"",IF(AI$3=$AD227,$F227&amp;"R",AI226))))</f>
        <v>wN</v>
      </c>
      <c r="AJ227" s="11" t="str">
        <f aca="false">IF($P227=0,AJ226,IF(AJ$3=$E227,IF($AA227=1,$F227&amp;$AB227,$G227),IF(OR(AJ$3=$D227,AJ$3=$AC227,AJ$3=$AE227),"",IF(AJ$3=$AD227,$F227&amp;"R",AJ226))))</f>
        <v>wB</v>
      </c>
      <c r="AK227" s="11" t="str">
        <f aca="false">IF($P227=0,AK226,IF(AK$3=$E227,IF($AA227=1,$F227&amp;$AB227,$G227),IF(OR(AK$3=$D227,AK$3=$AC227,AK$3=$AE227),"",IF(AK$3=$AD227,$F227&amp;"R",AK226))))</f>
        <v>wQ</v>
      </c>
      <c r="AL227" s="11" t="str">
        <f aca="false">IF($P227=0,AL226,IF(AL$3=$E227,IF($AA227=1,$F227&amp;$AB227,$G227),IF(OR(AL$3=$D227,AL$3=$AC227,AL$3=$AE227),"",IF(AL$3=$AD227,$F227&amp;"R",AL226))))</f>
        <v>wK</v>
      </c>
      <c r="AM227" s="11" t="str">
        <f aca="false">IF($P227=0,AM226,IF(AM$3=$E227,IF($AA227=1,$F227&amp;$AB227,$G227),IF(OR(AM$3=$D227,AM$3=$AC227,AM$3=$AE227),"",IF(AM$3=$AD227,$F227&amp;"R",AM226))))</f>
        <v>wB</v>
      </c>
      <c r="AN227" s="11" t="str">
        <f aca="false">IF($P227=0,AN226,IF(AN$3=$E227,IF($AA227=1,$F227&amp;$AB227,$G227),IF(OR(AN$3=$D227,AN$3=$AC227,AN$3=$AE227),"",IF(AN$3=$AD227,$F227&amp;"R",AN226))))</f>
        <v>wN</v>
      </c>
      <c r="AO227" s="11" t="str">
        <f aca="false">IF($P227=0,AO226,IF(AO$3=$E227,IF($AA227=1,$F227&amp;$AB227,$G227),IF(OR(AO$3=$D227,AO$3=$AC227,AO$3=$AE227),"",IF(AO$3=$AD227,$F227&amp;"R",AO226))))</f>
        <v>wR</v>
      </c>
      <c r="AP227" s="11" t="str">
        <f aca="false">IF($P227=0,AP226,IF(AP$3=$E227,IF($AA227=1,$F227&amp;$AB227,$G227),IF(OR(AP$3=$D227,AP$3=$AC227,AP$3=$AE227),"",IF(AP$3=$AD227,$F227&amp;"R",AP226))))</f>
        <v>wP</v>
      </c>
      <c r="AQ227" s="11" t="str">
        <f aca="false">IF($P227=0,AQ226,IF(AQ$3=$E227,IF($AA227=1,$F227&amp;$AB227,$G227),IF(OR(AQ$3=$D227,AQ$3=$AC227,AQ$3=$AE227),"",IF(AQ$3=$AD227,$F227&amp;"R",AQ226))))</f>
        <v>wP</v>
      </c>
      <c r="AR227" s="11" t="str">
        <f aca="false">IF($P227=0,AR226,IF(AR$3=$E227,IF($AA227=1,$F227&amp;$AB227,$G227),IF(OR(AR$3=$D227,AR$3=$AC227,AR$3=$AE227),"",IF(AR$3=$AD227,$F227&amp;"R",AR226))))</f>
        <v>wP</v>
      </c>
      <c r="AS227" s="11" t="str">
        <f aca="false">IF($P227=0,AS226,IF(AS$3=$E227,IF($AA227=1,$F227&amp;$AB227,$G227),IF(OR(AS$3=$D227,AS$3=$AC227,AS$3=$AE227),"",IF(AS$3=$AD227,$F227&amp;"R",AS226))))</f>
        <v>wP</v>
      </c>
      <c r="AT227" s="11" t="str">
        <f aca="false">IF($P227=0,AT226,IF(AT$3=$E227,IF($AA227=1,$F227&amp;$AB227,$G227),IF(OR(AT$3=$D227,AT$3=$AC227,AT$3=$AE227),"",IF(AT$3=$AD227,$F227&amp;"R",AT226))))</f>
        <v>wP</v>
      </c>
      <c r="AU227" s="11" t="str">
        <f aca="false">IF($P227=0,AU226,IF(AU$3=$E227,IF($AA227=1,$F227&amp;$AB227,$G227),IF(OR(AU$3=$D227,AU$3=$AC227,AU$3=$AE227),"",IF(AU$3=$AD227,$F227&amp;"R",AU226))))</f>
        <v>wP</v>
      </c>
      <c r="AV227" s="11" t="str">
        <f aca="false">IF($P227=0,AV226,IF(AV$3=$E227,IF($AA227=1,$F227&amp;$AB227,$G227),IF(OR(AV$3=$D227,AV$3=$AC227,AV$3=$AE227),"",IF(AV$3=$AD227,$F227&amp;"R",AV226))))</f>
        <v>wP</v>
      </c>
      <c r="AW227" s="11" t="str">
        <f aca="false">IF($P227=0,AW226,IF(AW$3=$E227,IF($AA227=1,$F227&amp;$AB227,$G227),IF(OR(AW$3=$D227,AW$3=$AC227,AW$3=$AE227),"",IF(AW$3=$AD227,$F227&amp;"R",AW226))))</f>
        <v>wP</v>
      </c>
      <c r="AX227" s="11" t="str">
        <f aca="false">IF($P227=0,AX226,IF(AX$3=$E227,IF($AA227=1,$F227&amp;$AB227,$G227),IF(OR(AX$3=$D227,AX$3=$AC227,AX$3=$AE227),"",IF(AX$3=$AD227,$F227&amp;"R",AX226))))</f>
        <v/>
      </c>
      <c r="AY227" s="11" t="str">
        <f aca="false">IF($P227=0,AY226,IF(AY$3=$E227,IF($AA227=1,$F227&amp;$AB227,$G227),IF(OR(AY$3=$D227,AY$3=$AC227,AY$3=$AE227),"",IF(AY$3=$AD227,$F227&amp;"R",AY226))))</f>
        <v/>
      </c>
      <c r="AZ227" s="11" t="str">
        <f aca="false">IF($P227=0,AZ226,IF(AZ$3=$E227,IF($AA227=1,$F227&amp;$AB227,$G227),IF(OR(AZ$3=$D227,AZ$3=$AC227,AZ$3=$AE227),"",IF(AZ$3=$AD227,$F227&amp;"R",AZ226))))</f>
        <v/>
      </c>
      <c r="BA227" s="11" t="str">
        <f aca="false">IF($P227=0,BA226,IF(BA$3=$E227,IF($AA227=1,$F227&amp;$AB227,$G227),IF(OR(BA$3=$D227,BA$3=$AC227,BA$3=$AE227),"",IF(BA$3=$AD227,$F227&amp;"R",BA226))))</f>
        <v/>
      </c>
      <c r="BB227" s="11" t="str">
        <f aca="false">IF($P227=0,BB226,IF(BB$3=$E227,IF($AA227=1,$F227&amp;$AB227,$G227),IF(OR(BB$3=$D227,BB$3=$AC227,BB$3=$AE227),"",IF(BB$3=$AD227,$F227&amp;"R",BB226))))</f>
        <v/>
      </c>
      <c r="BC227" s="11" t="str">
        <f aca="false">IF($P227=0,BC226,IF(BC$3=$E227,IF($AA227=1,$F227&amp;$AB227,$G227),IF(OR(BC$3=$D227,BC$3=$AC227,BC$3=$AE227),"",IF(BC$3=$AD227,$F227&amp;"R",BC226))))</f>
        <v/>
      </c>
      <c r="BD227" s="11" t="str">
        <f aca="false">IF($P227=0,BD226,IF(BD$3=$E227,IF($AA227=1,$F227&amp;$AB227,$G227),IF(OR(BD$3=$D227,BD$3=$AC227,BD$3=$AE227),"",IF(BD$3=$AD227,$F227&amp;"R",BD226))))</f>
        <v/>
      </c>
      <c r="BE227" s="11" t="str">
        <f aca="false">IF($P227=0,BE226,IF(BE$3=$E227,IF($AA227=1,$F227&amp;$AB227,$G227),IF(OR(BE$3=$D227,BE$3=$AC227,BE$3=$AE227),"",IF(BE$3=$AD227,$F227&amp;"R",BE226))))</f>
        <v/>
      </c>
      <c r="BF227" s="11" t="str">
        <f aca="false">IF($P227=0,BF226,IF(BF$3=$E227,IF($AA227=1,$F227&amp;$AB227,$G227),IF(OR(BF$3=$D227,BF$3=$AC227,BF$3=$AE227),"",IF(BF$3=$AD227,$F227&amp;"R",BF226))))</f>
        <v/>
      </c>
      <c r="BG227" s="11" t="str">
        <f aca="false">IF($P227=0,BG226,IF(BG$3=$E227,IF($AA227=1,$F227&amp;$AB227,$G227),IF(OR(BG$3=$D227,BG$3=$AC227,BG$3=$AE227),"",IF(BG$3=$AD227,$F227&amp;"R",BG226))))</f>
        <v/>
      </c>
      <c r="BH227" s="11" t="str">
        <f aca="false">IF($P227=0,BH226,IF(BH$3=$E227,IF($AA227=1,$F227&amp;$AB227,$G227),IF(OR(BH$3=$D227,BH$3=$AC227,BH$3=$AE227),"",IF(BH$3=$AD227,$F227&amp;"R",BH226))))</f>
        <v/>
      </c>
      <c r="BI227" s="11" t="str">
        <f aca="false">IF($P227=0,BI226,IF(BI$3=$E227,IF($AA227=1,$F227&amp;$AB227,$G227),IF(OR(BI$3=$D227,BI$3=$AC227,BI$3=$AE227),"",IF(BI$3=$AD227,$F227&amp;"R",BI226))))</f>
        <v/>
      </c>
      <c r="BJ227" s="11" t="str">
        <f aca="false">IF($P227=0,BJ226,IF(BJ$3=$E227,IF($AA227=1,$F227&amp;$AB227,$G227),IF(OR(BJ$3=$D227,BJ$3=$AC227,BJ$3=$AE227),"",IF(BJ$3=$AD227,$F227&amp;"R",BJ226))))</f>
        <v/>
      </c>
      <c r="BK227" s="11" t="str">
        <f aca="false">IF($P227=0,BK226,IF(BK$3=$E227,IF($AA227=1,$F227&amp;$AB227,$G227),IF(OR(BK$3=$D227,BK$3=$AC227,BK$3=$AE227),"",IF(BK$3=$AD227,$F227&amp;"R",BK226))))</f>
        <v/>
      </c>
      <c r="BL227" s="11" t="str">
        <f aca="false">IF($P227=0,BL226,IF(BL$3=$E227,IF($AA227=1,$F227&amp;$AB227,$G227),IF(OR(BL$3=$D227,BL$3=$AC227,BL$3=$AE227),"",IF(BL$3=$AD227,$F227&amp;"R",BL226))))</f>
        <v/>
      </c>
      <c r="BM227" s="11" t="str">
        <f aca="false">IF($P227=0,BM226,IF(BM$3=$E227,IF($AA227=1,$F227&amp;$AB227,$G227),IF(OR(BM$3=$D227,BM$3=$AC227,BM$3=$AE227),"",IF(BM$3=$AD227,$F227&amp;"R",BM226))))</f>
        <v/>
      </c>
      <c r="BN227" s="11" t="str">
        <f aca="false">IF($P227=0,BN226,IF(BN$3=$E227,IF($AA227=1,$F227&amp;$AB227,$G227),IF(OR(BN$3=$D227,BN$3=$AC227,BN$3=$AE227),"",IF(BN$3=$AD227,$F227&amp;"R",BN226))))</f>
        <v/>
      </c>
      <c r="BO227" s="11" t="str">
        <f aca="false">IF($P227=0,BO226,IF(BO$3=$E227,IF($AA227=1,$F227&amp;$AB227,$G227),IF(OR(BO$3=$D227,BO$3=$AC227,BO$3=$AE227),"",IF(BO$3=$AD227,$F227&amp;"R",BO226))))</f>
        <v/>
      </c>
      <c r="BP227" s="11" t="str">
        <f aca="false">IF($P227=0,BP226,IF(BP$3=$E227,IF($AA227=1,$F227&amp;$AB227,$G227),IF(OR(BP$3=$D227,BP$3=$AC227,BP$3=$AE227),"",IF(BP$3=$AD227,$F227&amp;"R",BP226))))</f>
        <v/>
      </c>
      <c r="BQ227" s="11" t="str">
        <f aca="false">IF($P227=0,BQ226,IF(BQ$3=$E227,IF($AA227=1,$F227&amp;$AB227,$G227),IF(OR(BQ$3=$D227,BQ$3=$AC227,BQ$3=$AE227),"",IF(BQ$3=$AD227,$F227&amp;"R",BQ226))))</f>
        <v/>
      </c>
      <c r="BR227" s="11" t="str">
        <f aca="false">IF($P227=0,BR226,IF(BR$3=$E227,IF($AA227=1,$F227&amp;$AB227,$G227),IF(OR(BR$3=$D227,BR$3=$AC227,BR$3=$AE227),"",IF(BR$3=$AD227,$F227&amp;"R",BR226))))</f>
        <v/>
      </c>
      <c r="BS227" s="11" t="str">
        <f aca="false">IF($P227=0,BS226,IF(BS$3=$E227,IF($AA227=1,$F227&amp;$AB227,$G227),IF(OR(BS$3=$D227,BS$3=$AC227,BS$3=$AE227),"",IF(BS$3=$AD227,$F227&amp;"R",BS226))))</f>
        <v/>
      </c>
      <c r="BT227" s="11" t="str">
        <f aca="false">IF($P227=0,BT226,IF(BT$3=$E227,IF($AA227=1,$F227&amp;$AB227,$G227),IF(OR(BT$3=$D227,BT$3=$AC227,BT$3=$AE227),"",IF(BT$3=$AD227,$F227&amp;"R",BT226))))</f>
        <v/>
      </c>
      <c r="BU227" s="11" t="str">
        <f aca="false">IF($P227=0,BU226,IF(BU$3=$E227,IF($AA227=1,$F227&amp;$AB227,$G227),IF(OR(BU$3=$D227,BU$3=$AC227,BU$3=$AE227),"",IF(BU$3=$AD227,$F227&amp;"R",BU226))))</f>
        <v/>
      </c>
      <c r="BV227" s="11" t="str">
        <f aca="false">IF($P227=0,BV226,IF(BV$3=$E227,IF($AA227=1,$F227&amp;$AB227,$G227),IF(OR(BV$3=$D227,BV$3=$AC227,BV$3=$AE227),"",IF(BV$3=$AD227,$F227&amp;"R",BV226))))</f>
        <v/>
      </c>
      <c r="BW227" s="11" t="str">
        <f aca="false">IF($P227=0,BW226,IF(BW$3=$E227,IF($AA227=1,$F227&amp;$AB227,$G227),IF(OR(BW$3=$D227,BW$3=$AC227,BW$3=$AE227),"",IF(BW$3=$AD227,$F227&amp;"R",BW226))))</f>
        <v/>
      </c>
      <c r="BX227" s="11" t="str">
        <f aca="false">IF($P227=0,BX226,IF(BX$3=$E227,IF($AA227=1,$F227&amp;$AB227,$G227),IF(OR(BX$3=$D227,BX$3=$AC227,BX$3=$AE227),"",IF(BX$3=$AD227,$F227&amp;"R",BX226))))</f>
        <v/>
      </c>
      <c r="BY227" s="11" t="str">
        <f aca="false">IF($P227=0,BY226,IF(BY$3=$E227,IF($AA227=1,$F227&amp;$AB227,$G227),IF(OR(BY$3=$D227,BY$3=$AC227,BY$3=$AE227),"",IF(BY$3=$AD227,$F227&amp;"R",BY226))))</f>
        <v/>
      </c>
      <c r="BZ227" s="11" t="str">
        <f aca="false">IF($P227=0,BZ226,IF(BZ$3=$E227,IF($AA227=1,$F227&amp;$AB227,$G227),IF(OR(BZ$3=$D227,BZ$3=$AC227,BZ$3=$AE227),"",IF(BZ$3=$AD227,$F227&amp;"R",BZ226))))</f>
        <v/>
      </c>
      <c r="CA227" s="11" t="str">
        <f aca="false">IF($P227=0,CA226,IF(CA$3=$E227,IF($AA227=1,$F227&amp;$AB227,$G227),IF(OR(CA$3=$D227,CA$3=$AC227,CA$3=$AE227),"",IF(CA$3=$AD227,$F227&amp;"R",CA226))))</f>
        <v/>
      </c>
      <c r="CB227" s="11" t="str">
        <f aca="false">IF($P227=0,CB226,IF(CB$3=$E227,IF($AA227=1,$F227&amp;$AB227,$G227),IF(OR(CB$3=$D227,CB$3=$AC227,CB$3=$AE227),"",IF(CB$3=$AD227,$F227&amp;"R",CB226))))</f>
        <v/>
      </c>
      <c r="CC227" s="11" t="str">
        <f aca="false">IF($P227=0,CC226,IF(CC$3=$E227,IF($AA227=1,$F227&amp;$AB227,$G227),IF(OR(CC$3=$D227,CC$3=$AC227,CC$3=$AE227),"",IF(CC$3=$AD227,$F227&amp;"R",CC226))))</f>
        <v/>
      </c>
      <c r="CD227" s="11" t="str">
        <f aca="false">IF($P227=0,CD226,IF(CD$3=$E227,IF($AA227=1,$F227&amp;$AB227,$G227),IF(OR(CD$3=$D227,CD$3=$AC227,CD$3=$AE227),"",IF(CD$3=$AD227,$F227&amp;"R",CD226))))</f>
        <v>bP</v>
      </c>
      <c r="CE227" s="11" t="str">
        <f aca="false">IF($P227=0,CE226,IF(CE$3=$E227,IF($AA227=1,$F227&amp;$AB227,$G227),IF(OR(CE$3=$D227,CE$3=$AC227,CE$3=$AE227),"",IF(CE$3=$AD227,$F227&amp;"R",CE226))))</f>
        <v>bP</v>
      </c>
      <c r="CF227" s="11" t="str">
        <f aca="false">IF($P227=0,CF226,IF(CF$3=$E227,IF($AA227=1,$F227&amp;$AB227,$G227),IF(OR(CF$3=$D227,CF$3=$AC227,CF$3=$AE227),"",IF(CF$3=$AD227,$F227&amp;"R",CF226))))</f>
        <v>bP</v>
      </c>
      <c r="CG227" s="11" t="str">
        <f aca="false">IF($P227=0,CG226,IF(CG$3=$E227,IF($AA227=1,$F227&amp;$AB227,$G227),IF(OR(CG$3=$D227,CG$3=$AC227,CG$3=$AE227),"",IF(CG$3=$AD227,$F227&amp;"R",CG226))))</f>
        <v>bP</v>
      </c>
      <c r="CH227" s="11" t="str">
        <f aca="false">IF($P227=0,CH226,IF(CH$3=$E227,IF($AA227=1,$F227&amp;$AB227,$G227),IF(OR(CH$3=$D227,CH$3=$AC227,CH$3=$AE227),"",IF(CH$3=$AD227,$F227&amp;"R",CH226))))</f>
        <v>bP</v>
      </c>
      <c r="CI227" s="11" t="str">
        <f aca="false">IF($P227=0,CI226,IF(CI$3=$E227,IF($AA227=1,$F227&amp;$AB227,$G227),IF(OR(CI$3=$D227,CI$3=$AC227,CI$3=$AE227),"",IF(CI$3=$AD227,$F227&amp;"R",CI226))))</f>
        <v>bP</v>
      </c>
      <c r="CJ227" s="11" t="str">
        <f aca="false">IF($P227=0,CJ226,IF(CJ$3=$E227,IF($AA227=1,$F227&amp;$AB227,$G227),IF(OR(CJ$3=$D227,CJ$3=$AC227,CJ$3=$AE227),"",IF(CJ$3=$AD227,$F227&amp;"R",CJ226))))</f>
        <v>bP</v>
      </c>
      <c r="CK227" s="11" t="str">
        <f aca="false">IF($P227=0,CK226,IF(CK$3=$E227,IF($AA227=1,$F227&amp;$AB227,$G227),IF(OR(CK$3=$D227,CK$3=$AC227,CK$3=$AE227),"",IF(CK$3=$AD227,$F227&amp;"R",CK226))))</f>
        <v>bP</v>
      </c>
      <c r="CL227" s="11" t="str">
        <f aca="false">IF($P227=0,CL226,IF(CL$3=$E227,IF($AA227=1,$F227&amp;$AB227,$G227),IF(OR(CL$3=$D227,CL$3=$AC227,CL$3=$AE227),"",IF(CL$3=$AD227,$F227&amp;"R",CL226))))</f>
        <v>bR</v>
      </c>
      <c r="CM227" s="11" t="str">
        <f aca="false">IF($P227=0,CM226,IF(CM$3=$E227,IF($AA227=1,$F227&amp;$AB227,$G227),IF(OR(CM$3=$D227,CM$3=$AC227,CM$3=$AE227),"",IF(CM$3=$AD227,$F227&amp;"R",CM226))))</f>
        <v>bN</v>
      </c>
      <c r="CN227" s="11" t="str">
        <f aca="false">IF($P227=0,CN226,IF(CN$3=$E227,IF($AA227=1,$F227&amp;$AB227,$G227),IF(OR(CN$3=$D227,CN$3=$AC227,CN$3=$AE227),"",IF(CN$3=$AD227,$F227&amp;"R",CN226))))</f>
        <v>bB</v>
      </c>
      <c r="CO227" s="11" t="str">
        <f aca="false">IF($P227=0,CO226,IF(CO$3=$E227,IF($AA227=1,$F227&amp;$AB227,$G227),IF(OR(CO$3=$D227,CO$3=$AC227,CO$3=$AE227),"",IF(CO$3=$AD227,$F227&amp;"R",CO226))))</f>
        <v>bQ</v>
      </c>
      <c r="CP227" s="11" t="str">
        <f aca="false">IF($P227=0,CP226,IF(CP$3=$E227,IF($AA227=1,$F227&amp;$AB227,$G227),IF(OR(CP$3=$D227,CP$3=$AC227,CP$3=$AE227),"",IF(CP$3=$AD227,$F227&amp;"R",CP226))))</f>
        <v>bK</v>
      </c>
      <c r="CQ227" s="11" t="str">
        <f aca="false">IF($P227=0,CQ226,IF(CQ$3=$E227,IF($AA227=1,$F227&amp;$AB227,$G227),IF(OR(CQ$3=$D227,CQ$3=$AC227,CQ$3=$AE227),"",IF(CQ$3=$AD227,$F227&amp;"R",CQ226))))</f>
        <v>bB</v>
      </c>
      <c r="CR227" s="11" t="str">
        <f aca="false">IF($P227=0,CR226,IF(CR$3=$E227,IF($AA227=1,$F227&amp;$AB227,$G227),IF(OR(CR$3=$D227,CR$3=$AC227,CR$3=$AE227),"",IF(CR$3=$AD227,$F227&amp;"R",CR226))))</f>
        <v>bN</v>
      </c>
      <c r="CS227" s="11" t="str">
        <f aca="false">IF($P227=0,CS226,IF(CS$3=$E227,IF($AA227=1,$F227&amp;$AB227,$G227),IF(OR(CS$3=$D227,CS$3=$AC227,CS$3=$AE227),"",IF(CS$3=$AD227,$F227&amp;"R",CS226))))</f>
        <v>bR</v>
      </c>
      <c r="CT227" s="11"/>
      <c r="CU227" s="11"/>
      <c r="CV227" s="11"/>
    </row>
    <row r="228" customFormat="false" ht="15" hidden="false" customHeight="false" outlineLevel="0" collapsed="false">
      <c r="A228" s="11" t="n">
        <v>223</v>
      </c>
      <c r="B228" s="11" t="str">
        <f aca="false">IF(Chess!$L$232="","",Chess!$L$232&amp;"")</f>
        <v/>
      </c>
      <c r="C228" s="11" t="str">
        <f aca="false">LOWER(SUBSTITUTE(SUBSTITUTE(SUBSTITUTE(SUBSTITUTE(TRIM($B228),"-",""),"=","")," ",""),"x",""))</f>
        <v/>
      </c>
      <c r="D228" s="11" t="n">
        <f aca="false">IF(LEN($C228)&lt;4,0,IFERROR(IF(AND(CODE(MID($C228,1,1))&gt;=97,CODE(MID($C228,1,1))&lt;=104,VALUE(MID($C228,2,1))&gt;=1,VALUE(MID($C228,2,1))&lt;=8),(VALUE(MID($C228,2,1))-1)*8+CODE(MID($C228,1,1))-96,0),0))</f>
        <v>0</v>
      </c>
      <c r="E228" s="11" t="n">
        <f aca="false">IF(LEN($C228)&lt;4,0,IFERROR(IF(AND(CODE(MID($C228,3,1))&gt;=97,CODE(MID($C228,3,1))&lt;=104,VALUE(MID($C228,4,1))&gt;=1,VALUE(MID($C228,4,1))&lt;=8),(VALUE(MID($C228,4,1))-1)*8+CODE(MID($C228,3,1))-96,0),0))</f>
        <v>0</v>
      </c>
      <c r="F228" s="11" t="str">
        <f aca="false">IF(MOD(SUM($P$5:$P227),2)=0,"w","b")</f>
        <v>w</v>
      </c>
      <c r="G228" s="11" t="str">
        <f aca="false">IF($D228=0,"",INDEX($AH227:$CS227,1,$D228)&amp;"")</f>
        <v/>
      </c>
      <c r="H228" s="11" t="str">
        <f aca="false">IF($E228=0,"",INDEX($AH227:$CS227,1,$E228)&amp;"")</f>
        <v/>
      </c>
      <c r="I228" s="11" t="n">
        <f aca="false">IF(OR($D228=0,$E228=0),0,MOD($E228-1,8)-MOD($D228-1,8))</f>
        <v>0</v>
      </c>
      <c r="J228" s="11" t="n">
        <f aca="false">IF(OR($D228=0,$E228=0),0,INT(($E228-1)/8)-INT(($D228-1)/8))</f>
        <v>0</v>
      </c>
      <c r="K228" s="11" t="str">
        <f aca="false">IF($G228="","",RIGHT($G228,1))</f>
        <v/>
      </c>
      <c r="L228" s="11" t="n">
        <f aca="false">IF(OR($D228=0,$E228=0),0,SUMPRODUCT(($AH$3:$CS$3&gt;MIN($D228,$E228))*($AH$3:$CS$3&lt;MAX($D228,$E228))*(MOD($AH$3:$CS$3-MIN($D228,$E228),MAX(1,ABS(SIGN($J228)*8+SIGN($I228))))=0)*($AH227:$CS227&lt;&gt;"")))</f>
        <v>0</v>
      </c>
      <c r="M228" s="11" t="n">
        <f aca="false">IF($K228&lt;&gt;"K",0,IFERROR(--AND($J228=0,ABS($I228)=2,$D228=IF($F228="w",5,61),IF($F228="w",$S227,$V227)=0,IF($I228=2,AND(IF($F228="w",$U227,$X227)=0,INDEX($AH227:$CS227,1,$D228+1)&amp;""="",INDEX($AH227:$CS227,1,$D228+2)&amp;""=""),AND(IF($F228="w",$T227,$W227)=0,INDEX($AH227:$CS227,1,$D228-1)&amp;""="",INDEX($AH227:$CS227,1,$D228-2)&amp;""="",INDEX($AH227:$CS227,1,$D228-3)&amp;""=""))),0))</f>
        <v>0</v>
      </c>
      <c r="N228" s="11" t="n">
        <f aca="false">IF($K228&lt;&gt;"P",0,IFERROR(--OR(AND($I228=0,$J228=IF($F228="w",1,-1),$H228=""),AND($I228=0,$J228=2*IF($F228="w",1,-1),$H228="",INT(($D228-1)/8)=IF($F228="w",1,6),INDEX($AH227:$CS227,1,MAX(1,MIN(64,$D228+8*IF($F228="w",1,-1))))&amp;""=""),AND(ABS($I228)=1,$J228=IF($F228="w",1,-1),$H228&lt;&gt;""),AND(ABS($I228)=1,$J228=IF($F228="w",1,-1),$H228="",$R227&gt;0,$E228=$R227)),0))</f>
        <v>0</v>
      </c>
      <c r="O228" s="11" t="n">
        <f aca="false">IF(OR($D228=0,$E228=0,$G228=""),0,IF($K228="N",--OR(AND(ABS($I228)=1,ABS($J228)=2),AND(ABS($I228)=2,ABS($J228)=1)),IF($K228="B",--AND(ABS($I228)=ABS($J228),$I228&lt;&gt;0,$L228=0),IF($K228="R",--AND(OR($I228=0,$J228=0),OR($I228&lt;&gt;0,$J228&lt;&gt;0),$L228=0),IF($K228="Q",--AND(OR(AND(ABS($I228)=ABS($J228),$I228&lt;&gt;0),AND(OR($I228=0,$J228=0),OR($I228&lt;&gt;0,$J228&lt;&gt;0))),$L228=0),IF($K228="K",--OR(MAX(ABS($I228),ABS($J228))=1,$M228=1),$N228))))))</f>
        <v>0</v>
      </c>
      <c r="P228" s="11" t="n">
        <f aca="false">IF($Q228="OK",1,0)</f>
        <v>0</v>
      </c>
      <c r="Q228" s="11" t="str">
        <f aca="false">IF($B228="","",IF(OR(COUNTIF($AH227:$CS227,"wK")=0,COUNTIF($AH227:$CS227,"bK")=0),"Game is over",IF(OR($D228=0,$E228=0),"Use the format e2e4",IF($G228="","No piece on that square",IF(LEFT($G228,1)&lt;&gt;$F228,"Not your piece ("&amp;IF($F228="w","White","Black")&amp;" to move)",IF($D228=$E228,"Piece must move",IF(AND($H228&lt;&gt;"",LEFT($H228,1)=$F228),"Cannot capture your own piece",IF($O228=0,"Illegal move for that piece (or path blocked)","OK"))))))))</f>
        <v/>
      </c>
      <c r="R228" s="11" t="n">
        <f aca="false">IF($P228=1,IF(AND($K228="P",ABS($J228)=2),($D228+$E228)/2,0),$R227)</f>
        <v>0</v>
      </c>
      <c r="S228" s="12" t="b">
        <f aca="false">--OR($S227=1,AND($P228=1,OR($D228=5,$E228=5)))</f>
        <v>0</v>
      </c>
      <c r="T228" s="12" t="b">
        <f aca="false">--OR($T227=1,AND($P228=1,OR($D228=1,$E228=1)))</f>
        <v>0</v>
      </c>
      <c r="U228" s="12" t="b">
        <f aca="false">--OR($U227=1,AND($P228=1,OR($D228=8,$E228=8)))</f>
        <v>0</v>
      </c>
      <c r="V228" s="12" t="b">
        <f aca="false">--OR($V227=1,AND($P228=1,OR($D228=61,$E228=61)))</f>
        <v>0</v>
      </c>
      <c r="W228" s="12" t="b">
        <f aca="false">--OR($W227=1,AND($P228=1,OR($D228=57,$E228=57)))</f>
        <v>0</v>
      </c>
      <c r="X228" s="12" t="b">
        <f aca="false">--OR($X227=1,AND($P228=1,OR($D228=64,$E228=64)))</f>
        <v>0</v>
      </c>
      <c r="Y228" s="12" t="b">
        <f aca="false">--AND($P228=1,$K228="K",ABS($I228)=2)</f>
        <v>0</v>
      </c>
      <c r="Z228" s="12" t="b">
        <f aca="false">--AND($P228=1,$K228="P",ABS($I228)=1,$H228="")</f>
        <v>0</v>
      </c>
      <c r="AA228" s="12" t="b">
        <f aca="false">--AND($P228=1,$K228="P",INT(($E228-1)/8)=IF($F228="w",7,0))</f>
        <v>0</v>
      </c>
      <c r="AB228" s="11" t="str">
        <f aca="false">IF(LEN($C228)&gt;=5,IF(ISNUMBER(FIND(MID($C228,5,1),"qrbn")),UPPER(MID($C228,5,1)),"Q"),"Q")</f>
        <v>Q</v>
      </c>
      <c r="AC228" s="11" t="n">
        <f aca="false">IF($Y228=1,IF($I228=2,$D228+3,$D228-4),0)</f>
        <v>0</v>
      </c>
      <c r="AD228" s="11" t="n">
        <f aca="false">IF($Y228=1,IF($I228=2,$D228+1,$D228-1),0)</f>
        <v>0</v>
      </c>
      <c r="AE228" s="11" t="n">
        <f aca="false">IF($Z228=1,$E228-8*IF($F228="w",1,-1),0)</f>
        <v>0</v>
      </c>
      <c r="AF228" s="11" t="str">
        <f aca="false">IF($B228="","",IF($P228=1,LOWER(INDEX($CV$2:$CV$13,MATCH($G228,$CU$2:$CU$13,0)))&amp;" "&amp;MID("abcdefgh",MOD($D228-1,8)+1,1)&amp;(INT(($D228-1)/8)+1)&amp;"→"&amp;MID("abcdefgh",MOD($E228-1,8)+1,1)&amp;(INT(($E228-1)/8)+1)&amp;IF(OR($H228&lt;&gt;"",$Z228=1)," ×","")&amp;IF($Y228=1," castles","")&amp;IF($Z228=1," e.p.","")&amp;IF($AA228=1," =" &amp;LOWER(INDEX($CV$2:$CV$13,MATCH($F228&amp;$AB228,$CU$2:$CU$13,0))),""),"X "&amp;$Q228))</f>
        <v/>
      </c>
      <c r="AG228" s="11"/>
      <c r="AH228" s="11" t="str">
        <f aca="false">IF($P228=0,AH227,IF(AH$3=$E228,IF($AA228=1,$F228&amp;$AB228,$G228),IF(OR(AH$3=$D228,AH$3=$AC228,AH$3=$AE228),"",IF(AH$3=$AD228,$F228&amp;"R",AH227))))</f>
        <v>wR</v>
      </c>
      <c r="AI228" s="11" t="str">
        <f aca="false">IF($P228=0,AI227,IF(AI$3=$E228,IF($AA228=1,$F228&amp;$AB228,$G228),IF(OR(AI$3=$D228,AI$3=$AC228,AI$3=$AE228),"",IF(AI$3=$AD228,$F228&amp;"R",AI227))))</f>
        <v>wN</v>
      </c>
      <c r="AJ228" s="11" t="str">
        <f aca="false">IF($P228=0,AJ227,IF(AJ$3=$E228,IF($AA228=1,$F228&amp;$AB228,$G228),IF(OR(AJ$3=$D228,AJ$3=$AC228,AJ$3=$AE228),"",IF(AJ$3=$AD228,$F228&amp;"R",AJ227))))</f>
        <v>wB</v>
      </c>
      <c r="AK228" s="11" t="str">
        <f aca="false">IF($P228=0,AK227,IF(AK$3=$E228,IF($AA228=1,$F228&amp;$AB228,$G228),IF(OR(AK$3=$D228,AK$3=$AC228,AK$3=$AE228),"",IF(AK$3=$AD228,$F228&amp;"R",AK227))))</f>
        <v>wQ</v>
      </c>
      <c r="AL228" s="11" t="str">
        <f aca="false">IF($P228=0,AL227,IF(AL$3=$E228,IF($AA228=1,$F228&amp;$AB228,$G228),IF(OR(AL$3=$D228,AL$3=$AC228,AL$3=$AE228),"",IF(AL$3=$AD228,$F228&amp;"R",AL227))))</f>
        <v>wK</v>
      </c>
      <c r="AM228" s="11" t="str">
        <f aca="false">IF($P228=0,AM227,IF(AM$3=$E228,IF($AA228=1,$F228&amp;$AB228,$G228),IF(OR(AM$3=$D228,AM$3=$AC228,AM$3=$AE228),"",IF(AM$3=$AD228,$F228&amp;"R",AM227))))</f>
        <v>wB</v>
      </c>
      <c r="AN228" s="11" t="str">
        <f aca="false">IF($P228=0,AN227,IF(AN$3=$E228,IF($AA228=1,$F228&amp;$AB228,$G228),IF(OR(AN$3=$D228,AN$3=$AC228,AN$3=$AE228),"",IF(AN$3=$AD228,$F228&amp;"R",AN227))))</f>
        <v>wN</v>
      </c>
      <c r="AO228" s="11" t="str">
        <f aca="false">IF($P228=0,AO227,IF(AO$3=$E228,IF($AA228=1,$F228&amp;$AB228,$G228),IF(OR(AO$3=$D228,AO$3=$AC228,AO$3=$AE228),"",IF(AO$3=$AD228,$F228&amp;"R",AO227))))</f>
        <v>wR</v>
      </c>
      <c r="AP228" s="11" t="str">
        <f aca="false">IF($P228=0,AP227,IF(AP$3=$E228,IF($AA228=1,$F228&amp;$AB228,$G228),IF(OR(AP$3=$D228,AP$3=$AC228,AP$3=$AE228),"",IF(AP$3=$AD228,$F228&amp;"R",AP227))))</f>
        <v>wP</v>
      </c>
      <c r="AQ228" s="11" t="str">
        <f aca="false">IF($P228=0,AQ227,IF(AQ$3=$E228,IF($AA228=1,$F228&amp;$AB228,$G228),IF(OR(AQ$3=$D228,AQ$3=$AC228,AQ$3=$AE228),"",IF(AQ$3=$AD228,$F228&amp;"R",AQ227))))</f>
        <v>wP</v>
      </c>
      <c r="AR228" s="11" t="str">
        <f aca="false">IF($P228=0,AR227,IF(AR$3=$E228,IF($AA228=1,$F228&amp;$AB228,$G228),IF(OR(AR$3=$D228,AR$3=$AC228,AR$3=$AE228),"",IF(AR$3=$AD228,$F228&amp;"R",AR227))))</f>
        <v>wP</v>
      </c>
      <c r="AS228" s="11" t="str">
        <f aca="false">IF($P228=0,AS227,IF(AS$3=$E228,IF($AA228=1,$F228&amp;$AB228,$G228),IF(OR(AS$3=$D228,AS$3=$AC228,AS$3=$AE228),"",IF(AS$3=$AD228,$F228&amp;"R",AS227))))</f>
        <v>wP</v>
      </c>
      <c r="AT228" s="11" t="str">
        <f aca="false">IF($P228=0,AT227,IF(AT$3=$E228,IF($AA228=1,$F228&amp;$AB228,$G228),IF(OR(AT$3=$D228,AT$3=$AC228,AT$3=$AE228),"",IF(AT$3=$AD228,$F228&amp;"R",AT227))))</f>
        <v>wP</v>
      </c>
      <c r="AU228" s="11" t="str">
        <f aca="false">IF($P228=0,AU227,IF(AU$3=$E228,IF($AA228=1,$F228&amp;$AB228,$G228),IF(OR(AU$3=$D228,AU$3=$AC228,AU$3=$AE228),"",IF(AU$3=$AD228,$F228&amp;"R",AU227))))</f>
        <v>wP</v>
      </c>
      <c r="AV228" s="11" t="str">
        <f aca="false">IF($P228=0,AV227,IF(AV$3=$E228,IF($AA228=1,$F228&amp;$AB228,$G228),IF(OR(AV$3=$D228,AV$3=$AC228,AV$3=$AE228),"",IF(AV$3=$AD228,$F228&amp;"R",AV227))))</f>
        <v>wP</v>
      </c>
      <c r="AW228" s="11" t="str">
        <f aca="false">IF($P228=0,AW227,IF(AW$3=$E228,IF($AA228=1,$F228&amp;$AB228,$G228),IF(OR(AW$3=$D228,AW$3=$AC228,AW$3=$AE228),"",IF(AW$3=$AD228,$F228&amp;"R",AW227))))</f>
        <v>wP</v>
      </c>
      <c r="AX228" s="11" t="str">
        <f aca="false">IF($P228=0,AX227,IF(AX$3=$E228,IF($AA228=1,$F228&amp;$AB228,$G228),IF(OR(AX$3=$D228,AX$3=$AC228,AX$3=$AE228),"",IF(AX$3=$AD228,$F228&amp;"R",AX227))))</f>
        <v/>
      </c>
      <c r="AY228" s="11" t="str">
        <f aca="false">IF($P228=0,AY227,IF(AY$3=$E228,IF($AA228=1,$F228&amp;$AB228,$G228),IF(OR(AY$3=$D228,AY$3=$AC228,AY$3=$AE228),"",IF(AY$3=$AD228,$F228&amp;"R",AY227))))</f>
        <v/>
      </c>
      <c r="AZ228" s="11" t="str">
        <f aca="false">IF($P228=0,AZ227,IF(AZ$3=$E228,IF($AA228=1,$F228&amp;$AB228,$G228),IF(OR(AZ$3=$D228,AZ$3=$AC228,AZ$3=$AE228),"",IF(AZ$3=$AD228,$F228&amp;"R",AZ227))))</f>
        <v/>
      </c>
      <c r="BA228" s="11" t="str">
        <f aca="false">IF($P228=0,BA227,IF(BA$3=$E228,IF($AA228=1,$F228&amp;$AB228,$G228),IF(OR(BA$3=$D228,BA$3=$AC228,BA$3=$AE228),"",IF(BA$3=$AD228,$F228&amp;"R",BA227))))</f>
        <v/>
      </c>
      <c r="BB228" s="11" t="str">
        <f aca="false">IF($P228=0,BB227,IF(BB$3=$E228,IF($AA228=1,$F228&amp;$AB228,$G228),IF(OR(BB$3=$D228,BB$3=$AC228,BB$3=$AE228),"",IF(BB$3=$AD228,$F228&amp;"R",BB227))))</f>
        <v/>
      </c>
      <c r="BC228" s="11" t="str">
        <f aca="false">IF($P228=0,BC227,IF(BC$3=$E228,IF($AA228=1,$F228&amp;$AB228,$G228),IF(OR(BC$3=$D228,BC$3=$AC228,BC$3=$AE228),"",IF(BC$3=$AD228,$F228&amp;"R",BC227))))</f>
        <v/>
      </c>
      <c r="BD228" s="11" t="str">
        <f aca="false">IF($P228=0,BD227,IF(BD$3=$E228,IF($AA228=1,$F228&amp;$AB228,$G228),IF(OR(BD$3=$D228,BD$3=$AC228,BD$3=$AE228),"",IF(BD$3=$AD228,$F228&amp;"R",BD227))))</f>
        <v/>
      </c>
      <c r="BE228" s="11" t="str">
        <f aca="false">IF($P228=0,BE227,IF(BE$3=$E228,IF($AA228=1,$F228&amp;$AB228,$G228),IF(OR(BE$3=$D228,BE$3=$AC228,BE$3=$AE228),"",IF(BE$3=$AD228,$F228&amp;"R",BE227))))</f>
        <v/>
      </c>
      <c r="BF228" s="11" t="str">
        <f aca="false">IF($P228=0,BF227,IF(BF$3=$E228,IF($AA228=1,$F228&amp;$AB228,$G228),IF(OR(BF$3=$D228,BF$3=$AC228,BF$3=$AE228),"",IF(BF$3=$AD228,$F228&amp;"R",BF227))))</f>
        <v/>
      </c>
      <c r="BG228" s="11" t="str">
        <f aca="false">IF($P228=0,BG227,IF(BG$3=$E228,IF($AA228=1,$F228&amp;$AB228,$G228),IF(OR(BG$3=$D228,BG$3=$AC228,BG$3=$AE228),"",IF(BG$3=$AD228,$F228&amp;"R",BG227))))</f>
        <v/>
      </c>
      <c r="BH228" s="11" t="str">
        <f aca="false">IF($P228=0,BH227,IF(BH$3=$E228,IF($AA228=1,$F228&amp;$AB228,$G228),IF(OR(BH$3=$D228,BH$3=$AC228,BH$3=$AE228),"",IF(BH$3=$AD228,$F228&amp;"R",BH227))))</f>
        <v/>
      </c>
      <c r="BI228" s="11" t="str">
        <f aca="false">IF($P228=0,BI227,IF(BI$3=$E228,IF($AA228=1,$F228&amp;$AB228,$G228),IF(OR(BI$3=$D228,BI$3=$AC228,BI$3=$AE228),"",IF(BI$3=$AD228,$F228&amp;"R",BI227))))</f>
        <v/>
      </c>
      <c r="BJ228" s="11" t="str">
        <f aca="false">IF($P228=0,BJ227,IF(BJ$3=$E228,IF($AA228=1,$F228&amp;$AB228,$G228),IF(OR(BJ$3=$D228,BJ$3=$AC228,BJ$3=$AE228),"",IF(BJ$3=$AD228,$F228&amp;"R",BJ227))))</f>
        <v/>
      </c>
      <c r="BK228" s="11" t="str">
        <f aca="false">IF($P228=0,BK227,IF(BK$3=$E228,IF($AA228=1,$F228&amp;$AB228,$G228),IF(OR(BK$3=$D228,BK$3=$AC228,BK$3=$AE228),"",IF(BK$3=$AD228,$F228&amp;"R",BK227))))</f>
        <v/>
      </c>
      <c r="BL228" s="11" t="str">
        <f aca="false">IF($P228=0,BL227,IF(BL$3=$E228,IF($AA228=1,$F228&amp;$AB228,$G228),IF(OR(BL$3=$D228,BL$3=$AC228,BL$3=$AE228),"",IF(BL$3=$AD228,$F228&amp;"R",BL227))))</f>
        <v/>
      </c>
      <c r="BM228" s="11" t="str">
        <f aca="false">IF($P228=0,BM227,IF(BM$3=$E228,IF($AA228=1,$F228&amp;$AB228,$G228),IF(OR(BM$3=$D228,BM$3=$AC228,BM$3=$AE228),"",IF(BM$3=$AD228,$F228&amp;"R",BM227))))</f>
        <v/>
      </c>
      <c r="BN228" s="11" t="str">
        <f aca="false">IF($P228=0,BN227,IF(BN$3=$E228,IF($AA228=1,$F228&amp;$AB228,$G228),IF(OR(BN$3=$D228,BN$3=$AC228,BN$3=$AE228),"",IF(BN$3=$AD228,$F228&amp;"R",BN227))))</f>
        <v/>
      </c>
      <c r="BO228" s="11" t="str">
        <f aca="false">IF($P228=0,BO227,IF(BO$3=$E228,IF($AA228=1,$F228&amp;$AB228,$G228),IF(OR(BO$3=$D228,BO$3=$AC228,BO$3=$AE228),"",IF(BO$3=$AD228,$F228&amp;"R",BO227))))</f>
        <v/>
      </c>
      <c r="BP228" s="11" t="str">
        <f aca="false">IF($P228=0,BP227,IF(BP$3=$E228,IF($AA228=1,$F228&amp;$AB228,$G228),IF(OR(BP$3=$D228,BP$3=$AC228,BP$3=$AE228),"",IF(BP$3=$AD228,$F228&amp;"R",BP227))))</f>
        <v/>
      </c>
      <c r="BQ228" s="11" t="str">
        <f aca="false">IF($P228=0,BQ227,IF(BQ$3=$E228,IF($AA228=1,$F228&amp;$AB228,$G228),IF(OR(BQ$3=$D228,BQ$3=$AC228,BQ$3=$AE228),"",IF(BQ$3=$AD228,$F228&amp;"R",BQ227))))</f>
        <v/>
      </c>
      <c r="BR228" s="11" t="str">
        <f aca="false">IF($P228=0,BR227,IF(BR$3=$E228,IF($AA228=1,$F228&amp;$AB228,$G228),IF(OR(BR$3=$D228,BR$3=$AC228,BR$3=$AE228),"",IF(BR$3=$AD228,$F228&amp;"R",BR227))))</f>
        <v/>
      </c>
      <c r="BS228" s="11" t="str">
        <f aca="false">IF($P228=0,BS227,IF(BS$3=$E228,IF($AA228=1,$F228&amp;$AB228,$G228),IF(OR(BS$3=$D228,BS$3=$AC228,BS$3=$AE228),"",IF(BS$3=$AD228,$F228&amp;"R",BS227))))</f>
        <v/>
      </c>
      <c r="BT228" s="11" t="str">
        <f aca="false">IF($P228=0,BT227,IF(BT$3=$E228,IF($AA228=1,$F228&amp;$AB228,$G228),IF(OR(BT$3=$D228,BT$3=$AC228,BT$3=$AE228),"",IF(BT$3=$AD228,$F228&amp;"R",BT227))))</f>
        <v/>
      </c>
      <c r="BU228" s="11" t="str">
        <f aca="false">IF($P228=0,BU227,IF(BU$3=$E228,IF($AA228=1,$F228&amp;$AB228,$G228),IF(OR(BU$3=$D228,BU$3=$AC228,BU$3=$AE228),"",IF(BU$3=$AD228,$F228&amp;"R",BU227))))</f>
        <v/>
      </c>
      <c r="BV228" s="11" t="str">
        <f aca="false">IF($P228=0,BV227,IF(BV$3=$E228,IF($AA228=1,$F228&amp;$AB228,$G228),IF(OR(BV$3=$D228,BV$3=$AC228,BV$3=$AE228),"",IF(BV$3=$AD228,$F228&amp;"R",BV227))))</f>
        <v/>
      </c>
      <c r="BW228" s="11" t="str">
        <f aca="false">IF($P228=0,BW227,IF(BW$3=$E228,IF($AA228=1,$F228&amp;$AB228,$G228),IF(OR(BW$3=$D228,BW$3=$AC228,BW$3=$AE228),"",IF(BW$3=$AD228,$F228&amp;"R",BW227))))</f>
        <v/>
      </c>
      <c r="BX228" s="11" t="str">
        <f aca="false">IF($P228=0,BX227,IF(BX$3=$E228,IF($AA228=1,$F228&amp;$AB228,$G228),IF(OR(BX$3=$D228,BX$3=$AC228,BX$3=$AE228),"",IF(BX$3=$AD228,$F228&amp;"R",BX227))))</f>
        <v/>
      </c>
      <c r="BY228" s="11" t="str">
        <f aca="false">IF($P228=0,BY227,IF(BY$3=$E228,IF($AA228=1,$F228&amp;$AB228,$G228),IF(OR(BY$3=$D228,BY$3=$AC228,BY$3=$AE228),"",IF(BY$3=$AD228,$F228&amp;"R",BY227))))</f>
        <v/>
      </c>
      <c r="BZ228" s="11" t="str">
        <f aca="false">IF($P228=0,BZ227,IF(BZ$3=$E228,IF($AA228=1,$F228&amp;$AB228,$G228),IF(OR(BZ$3=$D228,BZ$3=$AC228,BZ$3=$AE228),"",IF(BZ$3=$AD228,$F228&amp;"R",BZ227))))</f>
        <v/>
      </c>
      <c r="CA228" s="11" t="str">
        <f aca="false">IF($P228=0,CA227,IF(CA$3=$E228,IF($AA228=1,$F228&amp;$AB228,$G228),IF(OR(CA$3=$D228,CA$3=$AC228,CA$3=$AE228),"",IF(CA$3=$AD228,$F228&amp;"R",CA227))))</f>
        <v/>
      </c>
      <c r="CB228" s="11" t="str">
        <f aca="false">IF($P228=0,CB227,IF(CB$3=$E228,IF($AA228=1,$F228&amp;$AB228,$G228),IF(OR(CB$3=$D228,CB$3=$AC228,CB$3=$AE228),"",IF(CB$3=$AD228,$F228&amp;"R",CB227))))</f>
        <v/>
      </c>
      <c r="CC228" s="11" t="str">
        <f aca="false">IF($P228=0,CC227,IF(CC$3=$E228,IF($AA228=1,$F228&amp;$AB228,$G228),IF(OR(CC$3=$D228,CC$3=$AC228,CC$3=$AE228),"",IF(CC$3=$AD228,$F228&amp;"R",CC227))))</f>
        <v/>
      </c>
      <c r="CD228" s="11" t="str">
        <f aca="false">IF($P228=0,CD227,IF(CD$3=$E228,IF($AA228=1,$F228&amp;$AB228,$G228),IF(OR(CD$3=$D228,CD$3=$AC228,CD$3=$AE228),"",IF(CD$3=$AD228,$F228&amp;"R",CD227))))</f>
        <v>bP</v>
      </c>
      <c r="CE228" s="11" t="str">
        <f aca="false">IF($P228=0,CE227,IF(CE$3=$E228,IF($AA228=1,$F228&amp;$AB228,$G228),IF(OR(CE$3=$D228,CE$3=$AC228,CE$3=$AE228),"",IF(CE$3=$AD228,$F228&amp;"R",CE227))))</f>
        <v>bP</v>
      </c>
      <c r="CF228" s="11" t="str">
        <f aca="false">IF($P228=0,CF227,IF(CF$3=$E228,IF($AA228=1,$F228&amp;$AB228,$G228),IF(OR(CF$3=$D228,CF$3=$AC228,CF$3=$AE228),"",IF(CF$3=$AD228,$F228&amp;"R",CF227))))</f>
        <v>bP</v>
      </c>
      <c r="CG228" s="11" t="str">
        <f aca="false">IF($P228=0,CG227,IF(CG$3=$E228,IF($AA228=1,$F228&amp;$AB228,$G228),IF(OR(CG$3=$D228,CG$3=$AC228,CG$3=$AE228),"",IF(CG$3=$AD228,$F228&amp;"R",CG227))))</f>
        <v>bP</v>
      </c>
      <c r="CH228" s="11" t="str">
        <f aca="false">IF($P228=0,CH227,IF(CH$3=$E228,IF($AA228=1,$F228&amp;$AB228,$G228),IF(OR(CH$3=$D228,CH$3=$AC228,CH$3=$AE228),"",IF(CH$3=$AD228,$F228&amp;"R",CH227))))</f>
        <v>bP</v>
      </c>
      <c r="CI228" s="11" t="str">
        <f aca="false">IF($P228=0,CI227,IF(CI$3=$E228,IF($AA228=1,$F228&amp;$AB228,$G228),IF(OR(CI$3=$D228,CI$3=$AC228,CI$3=$AE228),"",IF(CI$3=$AD228,$F228&amp;"R",CI227))))</f>
        <v>bP</v>
      </c>
      <c r="CJ228" s="11" t="str">
        <f aca="false">IF($P228=0,CJ227,IF(CJ$3=$E228,IF($AA228=1,$F228&amp;$AB228,$G228),IF(OR(CJ$3=$D228,CJ$3=$AC228,CJ$3=$AE228),"",IF(CJ$3=$AD228,$F228&amp;"R",CJ227))))</f>
        <v>bP</v>
      </c>
      <c r="CK228" s="11" t="str">
        <f aca="false">IF($P228=0,CK227,IF(CK$3=$E228,IF($AA228=1,$F228&amp;$AB228,$G228),IF(OR(CK$3=$D228,CK$3=$AC228,CK$3=$AE228),"",IF(CK$3=$AD228,$F228&amp;"R",CK227))))</f>
        <v>bP</v>
      </c>
      <c r="CL228" s="11" t="str">
        <f aca="false">IF($P228=0,CL227,IF(CL$3=$E228,IF($AA228=1,$F228&amp;$AB228,$G228),IF(OR(CL$3=$D228,CL$3=$AC228,CL$3=$AE228),"",IF(CL$3=$AD228,$F228&amp;"R",CL227))))</f>
        <v>bR</v>
      </c>
      <c r="CM228" s="11" t="str">
        <f aca="false">IF($P228=0,CM227,IF(CM$3=$E228,IF($AA228=1,$F228&amp;$AB228,$G228),IF(OR(CM$3=$D228,CM$3=$AC228,CM$3=$AE228),"",IF(CM$3=$AD228,$F228&amp;"R",CM227))))</f>
        <v>bN</v>
      </c>
      <c r="CN228" s="11" t="str">
        <f aca="false">IF($P228=0,CN227,IF(CN$3=$E228,IF($AA228=1,$F228&amp;$AB228,$G228),IF(OR(CN$3=$D228,CN$3=$AC228,CN$3=$AE228),"",IF(CN$3=$AD228,$F228&amp;"R",CN227))))</f>
        <v>bB</v>
      </c>
      <c r="CO228" s="11" t="str">
        <f aca="false">IF($P228=0,CO227,IF(CO$3=$E228,IF($AA228=1,$F228&amp;$AB228,$G228),IF(OR(CO$3=$D228,CO$3=$AC228,CO$3=$AE228),"",IF(CO$3=$AD228,$F228&amp;"R",CO227))))</f>
        <v>bQ</v>
      </c>
      <c r="CP228" s="11" t="str">
        <f aca="false">IF($P228=0,CP227,IF(CP$3=$E228,IF($AA228=1,$F228&amp;$AB228,$G228),IF(OR(CP$3=$D228,CP$3=$AC228,CP$3=$AE228),"",IF(CP$3=$AD228,$F228&amp;"R",CP227))))</f>
        <v>bK</v>
      </c>
      <c r="CQ228" s="11" t="str">
        <f aca="false">IF($P228=0,CQ227,IF(CQ$3=$E228,IF($AA228=1,$F228&amp;$AB228,$G228),IF(OR(CQ$3=$D228,CQ$3=$AC228,CQ$3=$AE228),"",IF(CQ$3=$AD228,$F228&amp;"R",CQ227))))</f>
        <v>bB</v>
      </c>
      <c r="CR228" s="11" t="str">
        <f aca="false">IF($P228=0,CR227,IF(CR$3=$E228,IF($AA228=1,$F228&amp;$AB228,$G228),IF(OR(CR$3=$D228,CR$3=$AC228,CR$3=$AE228),"",IF(CR$3=$AD228,$F228&amp;"R",CR227))))</f>
        <v>bN</v>
      </c>
      <c r="CS228" s="11" t="str">
        <f aca="false">IF($P228=0,CS227,IF(CS$3=$E228,IF($AA228=1,$F228&amp;$AB228,$G228),IF(OR(CS$3=$D228,CS$3=$AC228,CS$3=$AE228),"",IF(CS$3=$AD228,$F228&amp;"R",CS227))))</f>
        <v>bR</v>
      </c>
      <c r="CT228" s="11"/>
      <c r="CU228" s="11"/>
      <c r="CV228" s="11"/>
    </row>
    <row r="229" customFormat="false" ht="15" hidden="false" customHeight="false" outlineLevel="0" collapsed="false">
      <c r="A229" s="11" t="n">
        <v>224</v>
      </c>
      <c r="B229" s="11" t="str">
        <f aca="false">IF(Chess!$L$233="","",Chess!$L$233&amp;"")</f>
        <v/>
      </c>
      <c r="C229" s="11" t="str">
        <f aca="false">LOWER(SUBSTITUTE(SUBSTITUTE(SUBSTITUTE(SUBSTITUTE(TRIM($B229),"-",""),"=","")," ",""),"x",""))</f>
        <v/>
      </c>
      <c r="D229" s="11" t="n">
        <f aca="false">IF(LEN($C229)&lt;4,0,IFERROR(IF(AND(CODE(MID($C229,1,1))&gt;=97,CODE(MID($C229,1,1))&lt;=104,VALUE(MID($C229,2,1))&gt;=1,VALUE(MID($C229,2,1))&lt;=8),(VALUE(MID($C229,2,1))-1)*8+CODE(MID($C229,1,1))-96,0),0))</f>
        <v>0</v>
      </c>
      <c r="E229" s="11" t="n">
        <f aca="false">IF(LEN($C229)&lt;4,0,IFERROR(IF(AND(CODE(MID($C229,3,1))&gt;=97,CODE(MID($C229,3,1))&lt;=104,VALUE(MID($C229,4,1))&gt;=1,VALUE(MID($C229,4,1))&lt;=8),(VALUE(MID($C229,4,1))-1)*8+CODE(MID($C229,3,1))-96,0),0))</f>
        <v>0</v>
      </c>
      <c r="F229" s="11" t="str">
        <f aca="false">IF(MOD(SUM($P$5:$P228),2)=0,"w","b")</f>
        <v>w</v>
      </c>
      <c r="G229" s="11" t="str">
        <f aca="false">IF($D229=0,"",INDEX($AH228:$CS228,1,$D229)&amp;"")</f>
        <v/>
      </c>
      <c r="H229" s="11" t="str">
        <f aca="false">IF($E229=0,"",INDEX($AH228:$CS228,1,$E229)&amp;"")</f>
        <v/>
      </c>
      <c r="I229" s="11" t="n">
        <f aca="false">IF(OR($D229=0,$E229=0),0,MOD($E229-1,8)-MOD($D229-1,8))</f>
        <v>0</v>
      </c>
      <c r="J229" s="11" t="n">
        <f aca="false">IF(OR($D229=0,$E229=0),0,INT(($E229-1)/8)-INT(($D229-1)/8))</f>
        <v>0</v>
      </c>
      <c r="K229" s="11" t="str">
        <f aca="false">IF($G229="","",RIGHT($G229,1))</f>
        <v/>
      </c>
      <c r="L229" s="11" t="n">
        <f aca="false">IF(OR($D229=0,$E229=0),0,SUMPRODUCT(($AH$3:$CS$3&gt;MIN($D229,$E229))*($AH$3:$CS$3&lt;MAX($D229,$E229))*(MOD($AH$3:$CS$3-MIN($D229,$E229),MAX(1,ABS(SIGN($J229)*8+SIGN($I229))))=0)*($AH228:$CS228&lt;&gt;"")))</f>
        <v>0</v>
      </c>
      <c r="M229" s="11" t="n">
        <f aca="false">IF($K229&lt;&gt;"K",0,IFERROR(--AND($J229=0,ABS($I229)=2,$D229=IF($F229="w",5,61),IF($F229="w",$S228,$V228)=0,IF($I229=2,AND(IF($F229="w",$U228,$X228)=0,INDEX($AH228:$CS228,1,$D229+1)&amp;""="",INDEX($AH228:$CS228,1,$D229+2)&amp;""=""),AND(IF($F229="w",$T228,$W228)=0,INDEX($AH228:$CS228,1,$D229-1)&amp;""="",INDEX($AH228:$CS228,1,$D229-2)&amp;""="",INDEX($AH228:$CS228,1,$D229-3)&amp;""=""))),0))</f>
        <v>0</v>
      </c>
      <c r="N229" s="11" t="n">
        <f aca="false">IF($K229&lt;&gt;"P",0,IFERROR(--OR(AND($I229=0,$J229=IF($F229="w",1,-1),$H229=""),AND($I229=0,$J229=2*IF($F229="w",1,-1),$H229="",INT(($D229-1)/8)=IF($F229="w",1,6),INDEX($AH228:$CS228,1,MAX(1,MIN(64,$D229+8*IF($F229="w",1,-1))))&amp;""=""),AND(ABS($I229)=1,$J229=IF($F229="w",1,-1),$H229&lt;&gt;""),AND(ABS($I229)=1,$J229=IF($F229="w",1,-1),$H229="",$R228&gt;0,$E229=$R228)),0))</f>
        <v>0</v>
      </c>
      <c r="O229" s="11" t="n">
        <f aca="false">IF(OR($D229=0,$E229=0,$G229=""),0,IF($K229="N",--OR(AND(ABS($I229)=1,ABS($J229)=2),AND(ABS($I229)=2,ABS($J229)=1)),IF($K229="B",--AND(ABS($I229)=ABS($J229),$I229&lt;&gt;0,$L229=0),IF($K229="R",--AND(OR($I229=0,$J229=0),OR($I229&lt;&gt;0,$J229&lt;&gt;0),$L229=0),IF($K229="Q",--AND(OR(AND(ABS($I229)=ABS($J229),$I229&lt;&gt;0),AND(OR($I229=0,$J229=0),OR($I229&lt;&gt;0,$J229&lt;&gt;0))),$L229=0),IF($K229="K",--OR(MAX(ABS($I229),ABS($J229))=1,$M229=1),$N229))))))</f>
        <v>0</v>
      </c>
      <c r="P229" s="11" t="n">
        <f aca="false">IF($Q229="OK",1,0)</f>
        <v>0</v>
      </c>
      <c r="Q229" s="11" t="str">
        <f aca="false">IF($B229="","",IF(OR(COUNTIF($AH228:$CS228,"wK")=0,COUNTIF($AH228:$CS228,"bK")=0),"Game is over",IF(OR($D229=0,$E229=0),"Use the format e2e4",IF($G229="","No piece on that square",IF(LEFT($G229,1)&lt;&gt;$F229,"Not your piece ("&amp;IF($F229="w","White","Black")&amp;" to move)",IF($D229=$E229,"Piece must move",IF(AND($H229&lt;&gt;"",LEFT($H229,1)=$F229),"Cannot capture your own piece",IF($O229=0,"Illegal move for that piece (or path blocked)","OK"))))))))</f>
        <v/>
      </c>
      <c r="R229" s="11" t="n">
        <f aca="false">IF($P229=1,IF(AND($K229="P",ABS($J229)=2),($D229+$E229)/2,0),$R228)</f>
        <v>0</v>
      </c>
      <c r="S229" s="12" t="b">
        <f aca="false">--OR($S228=1,AND($P229=1,OR($D229=5,$E229=5)))</f>
        <v>0</v>
      </c>
      <c r="T229" s="12" t="b">
        <f aca="false">--OR($T228=1,AND($P229=1,OR($D229=1,$E229=1)))</f>
        <v>0</v>
      </c>
      <c r="U229" s="12" t="b">
        <f aca="false">--OR($U228=1,AND($P229=1,OR($D229=8,$E229=8)))</f>
        <v>0</v>
      </c>
      <c r="V229" s="12" t="b">
        <f aca="false">--OR($V228=1,AND($P229=1,OR($D229=61,$E229=61)))</f>
        <v>0</v>
      </c>
      <c r="W229" s="12" t="b">
        <f aca="false">--OR($W228=1,AND($P229=1,OR($D229=57,$E229=57)))</f>
        <v>0</v>
      </c>
      <c r="X229" s="12" t="b">
        <f aca="false">--OR($X228=1,AND($P229=1,OR($D229=64,$E229=64)))</f>
        <v>0</v>
      </c>
      <c r="Y229" s="12" t="b">
        <f aca="false">--AND($P229=1,$K229="K",ABS($I229)=2)</f>
        <v>0</v>
      </c>
      <c r="Z229" s="12" t="b">
        <f aca="false">--AND($P229=1,$K229="P",ABS($I229)=1,$H229="")</f>
        <v>0</v>
      </c>
      <c r="AA229" s="12" t="b">
        <f aca="false">--AND($P229=1,$K229="P",INT(($E229-1)/8)=IF($F229="w",7,0))</f>
        <v>0</v>
      </c>
      <c r="AB229" s="11" t="str">
        <f aca="false">IF(LEN($C229)&gt;=5,IF(ISNUMBER(FIND(MID($C229,5,1),"qrbn")),UPPER(MID($C229,5,1)),"Q"),"Q")</f>
        <v>Q</v>
      </c>
      <c r="AC229" s="11" t="n">
        <f aca="false">IF($Y229=1,IF($I229=2,$D229+3,$D229-4),0)</f>
        <v>0</v>
      </c>
      <c r="AD229" s="11" t="n">
        <f aca="false">IF($Y229=1,IF($I229=2,$D229+1,$D229-1),0)</f>
        <v>0</v>
      </c>
      <c r="AE229" s="11" t="n">
        <f aca="false">IF($Z229=1,$E229-8*IF($F229="w",1,-1),0)</f>
        <v>0</v>
      </c>
      <c r="AF229" s="11" t="str">
        <f aca="false">IF($B229="","",IF($P229=1,LOWER(INDEX($CV$2:$CV$13,MATCH($G229,$CU$2:$CU$13,0)))&amp;" "&amp;MID("abcdefgh",MOD($D229-1,8)+1,1)&amp;(INT(($D229-1)/8)+1)&amp;"→"&amp;MID("abcdefgh",MOD($E229-1,8)+1,1)&amp;(INT(($E229-1)/8)+1)&amp;IF(OR($H229&lt;&gt;"",$Z229=1)," ×","")&amp;IF($Y229=1," castles","")&amp;IF($Z229=1," e.p.","")&amp;IF($AA229=1," =" &amp;LOWER(INDEX($CV$2:$CV$13,MATCH($F229&amp;$AB229,$CU$2:$CU$13,0))),""),"X "&amp;$Q229))</f>
        <v/>
      </c>
      <c r="AG229" s="11"/>
      <c r="AH229" s="11" t="str">
        <f aca="false">IF($P229=0,AH228,IF(AH$3=$E229,IF($AA229=1,$F229&amp;$AB229,$G229),IF(OR(AH$3=$D229,AH$3=$AC229,AH$3=$AE229),"",IF(AH$3=$AD229,$F229&amp;"R",AH228))))</f>
        <v>wR</v>
      </c>
      <c r="AI229" s="11" t="str">
        <f aca="false">IF($P229=0,AI228,IF(AI$3=$E229,IF($AA229=1,$F229&amp;$AB229,$G229),IF(OR(AI$3=$D229,AI$3=$AC229,AI$3=$AE229),"",IF(AI$3=$AD229,$F229&amp;"R",AI228))))</f>
        <v>wN</v>
      </c>
      <c r="AJ229" s="11" t="str">
        <f aca="false">IF($P229=0,AJ228,IF(AJ$3=$E229,IF($AA229=1,$F229&amp;$AB229,$G229),IF(OR(AJ$3=$D229,AJ$3=$AC229,AJ$3=$AE229),"",IF(AJ$3=$AD229,$F229&amp;"R",AJ228))))</f>
        <v>wB</v>
      </c>
      <c r="AK229" s="11" t="str">
        <f aca="false">IF($P229=0,AK228,IF(AK$3=$E229,IF($AA229=1,$F229&amp;$AB229,$G229),IF(OR(AK$3=$D229,AK$3=$AC229,AK$3=$AE229),"",IF(AK$3=$AD229,$F229&amp;"R",AK228))))</f>
        <v>wQ</v>
      </c>
      <c r="AL229" s="11" t="str">
        <f aca="false">IF($P229=0,AL228,IF(AL$3=$E229,IF($AA229=1,$F229&amp;$AB229,$G229),IF(OR(AL$3=$D229,AL$3=$AC229,AL$3=$AE229),"",IF(AL$3=$AD229,$F229&amp;"R",AL228))))</f>
        <v>wK</v>
      </c>
      <c r="AM229" s="11" t="str">
        <f aca="false">IF($P229=0,AM228,IF(AM$3=$E229,IF($AA229=1,$F229&amp;$AB229,$G229),IF(OR(AM$3=$D229,AM$3=$AC229,AM$3=$AE229),"",IF(AM$3=$AD229,$F229&amp;"R",AM228))))</f>
        <v>wB</v>
      </c>
      <c r="AN229" s="11" t="str">
        <f aca="false">IF($P229=0,AN228,IF(AN$3=$E229,IF($AA229=1,$F229&amp;$AB229,$G229),IF(OR(AN$3=$D229,AN$3=$AC229,AN$3=$AE229),"",IF(AN$3=$AD229,$F229&amp;"R",AN228))))</f>
        <v>wN</v>
      </c>
      <c r="AO229" s="11" t="str">
        <f aca="false">IF($P229=0,AO228,IF(AO$3=$E229,IF($AA229=1,$F229&amp;$AB229,$G229),IF(OR(AO$3=$D229,AO$3=$AC229,AO$3=$AE229),"",IF(AO$3=$AD229,$F229&amp;"R",AO228))))</f>
        <v>wR</v>
      </c>
      <c r="AP229" s="11" t="str">
        <f aca="false">IF($P229=0,AP228,IF(AP$3=$E229,IF($AA229=1,$F229&amp;$AB229,$G229),IF(OR(AP$3=$D229,AP$3=$AC229,AP$3=$AE229),"",IF(AP$3=$AD229,$F229&amp;"R",AP228))))</f>
        <v>wP</v>
      </c>
      <c r="AQ229" s="11" t="str">
        <f aca="false">IF($P229=0,AQ228,IF(AQ$3=$E229,IF($AA229=1,$F229&amp;$AB229,$G229),IF(OR(AQ$3=$D229,AQ$3=$AC229,AQ$3=$AE229),"",IF(AQ$3=$AD229,$F229&amp;"R",AQ228))))</f>
        <v>wP</v>
      </c>
      <c r="AR229" s="11" t="str">
        <f aca="false">IF($P229=0,AR228,IF(AR$3=$E229,IF($AA229=1,$F229&amp;$AB229,$G229),IF(OR(AR$3=$D229,AR$3=$AC229,AR$3=$AE229),"",IF(AR$3=$AD229,$F229&amp;"R",AR228))))</f>
        <v>wP</v>
      </c>
      <c r="AS229" s="11" t="str">
        <f aca="false">IF($P229=0,AS228,IF(AS$3=$E229,IF($AA229=1,$F229&amp;$AB229,$G229),IF(OR(AS$3=$D229,AS$3=$AC229,AS$3=$AE229),"",IF(AS$3=$AD229,$F229&amp;"R",AS228))))</f>
        <v>wP</v>
      </c>
      <c r="AT229" s="11" t="str">
        <f aca="false">IF($P229=0,AT228,IF(AT$3=$E229,IF($AA229=1,$F229&amp;$AB229,$G229),IF(OR(AT$3=$D229,AT$3=$AC229,AT$3=$AE229),"",IF(AT$3=$AD229,$F229&amp;"R",AT228))))</f>
        <v>wP</v>
      </c>
      <c r="AU229" s="11" t="str">
        <f aca="false">IF($P229=0,AU228,IF(AU$3=$E229,IF($AA229=1,$F229&amp;$AB229,$G229),IF(OR(AU$3=$D229,AU$3=$AC229,AU$3=$AE229),"",IF(AU$3=$AD229,$F229&amp;"R",AU228))))</f>
        <v>wP</v>
      </c>
      <c r="AV229" s="11" t="str">
        <f aca="false">IF($P229=0,AV228,IF(AV$3=$E229,IF($AA229=1,$F229&amp;$AB229,$G229),IF(OR(AV$3=$D229,AV$3=$AC229,AV$3=$AE229),"",IF(AV$3=$AD229,$F229&amp;"R",AV228))))</f>
        <v>wP</v>
      </c>
      <c r="AW229" s="11" t="str">
        <f aca="false">IF($P229=0,AW228,IF(AW$3=$E229,IF($AA229=1,$F229&amp;$AB229,$G229),IF(OR(AW$3=$D229,AW$3=$AC229,AW$3=$AE229),"",IF(AW$3=$AD229,$F229&amp;"R",AW228))))</f>
        <v>wP</v>
      </c>
      <c r="AX229" s="11" t="str">
        <f aca="false">IF($P229=0,AX228,IF(AX$3=$E229,IF($AA229=1,$F229&amp;$AB229,$G229),IF(OR(AX$3=$D229,AX$3=$AC229,AX$3=$AE229),"",IF(AX$3=$AD229,$F229&amp;"R",AX228))))</f>
        <v/>
      </c>
      <c r="AY229" s="11" t="str">
        <f aca="false">IF($P229=0,AY228,IF(AY$3=$E229,IF($AA229=1,$F229&amp;$AB229,$G229),IF(OR(AY$3=$D229,AY$3=$AC229,AY$3=$AE229),"",IF(AY$3=$AD229,$F229&amp;"R",AY228))))</f>
        <v/>
      </c>
      <c r="AZ229" s="11" t="str">
        <f aca="false">IF($P229=0,AZ228,IF(AZ$3=$E229,IF($AA229=1,$F229&amp;$AB229,$G229),IF(OR(AZ$3=$D229,AZ$3=$AC229,AZ$3=$AE229),"",IF(AZ$3=$AD229,$F229&amp;"R",AZ228))))</f>
        <v/>
      </c>
      <c r="BA229" s="11" t="str">
        <f aca="false">IF($P229=0,BA228,IF(BA$3=$E229,IF($AA229=1,$F229&amp;$AB229,$G229),IF(OR(BA$3=$D229,BA$3=$AC229,BA$3=$AE229),"",IF(BA$3=$AD229,$F229&amp;"R",BA228))))</f>
        <v/>
      </c>
      <c r="BB229" s="11" t="str">
        <f aca="false">IF($P229=0,BB228,IF(BB$3=$E229,IF($AA229=1,$F229&amp;$AB229,$G229),IF(OR(BB$3=$D229,BB$3=$AC229,BB$3=$AE229),"",IF(BB$3=$AD229,$F229&amp;"R",BB228))))</f>
        <v/>
      </c>
      <c r="BC229" s="11" t="str">
        <f aca="false">IF($P229=0,BC228,IF(BC$3=$E229,IF($AA229=1,$F229&amp;$AB229,$G229),IF(OR(BC$3=$D229,BC$3=$AC229,BC$3=$AE229),"",IF(BC$3=$AD229,$F229&amp;"R",BC228))))</f>
        <v/>
      </c>
      <c r="BD229" s="11" t="str">
        <f aca="false">IF($P229=0,BD228,IF(BD$3=$E229,IF($AA229=1,$F229&amp;$AB229,$G229),IF(OR(BD$3=$D229,BD$3=$AC229,BD$3=$AE229),"",IF(BD$3=$AD229,$F229&amp;"R",BD228))))</f>
        <v/>
      </c>
      <c r="BE229" s="11" t="str">
        <f aca="false">IF($P229=0,BE228,IF(BE$3=$E229,IF($AA229=1,$F229&amp;$AB229,$G229),IF(OR(BE$3=$D229,BE$3=$AC229,BE$3=$AE229),"",IF(BE$3=$AD229,$F229&amp;"R",BE228))))</f>
        <v/>
      </c>
      <c r="BF229" s="11" t="str">
        <f aca="false">IF($P229=0,BF228,IF(BF$3=$E229,IF($AA229=1,$F229&amp;$AB229,$G229),IF(OR(BF$3=$D229,BF$3=$AC229,BF$3=$AE229),"",IF(BF$3=$AD229,$F229&amp;"R",BF228))))</f>
        <v/>
      </c>
      <c r="BG229" s="11" t="str">
        <f aca="false">IF($P229=0,BG228,IF(BG$3=$E229,IF($AA229=1,$F229&amp;$AB229,$G229),IF(OR(BG$3=$D229,BG$3=$AC229,BG$3=$AE229),"",IF(BG$3=$AD229,$F229&amp;"R",BG228))))</f>
        <v/>
      </c>
      <c r="BH229" s="11" t="str">
        <f aca="false">IF($P229=0,BH228,IF(BH$3=$E229,IF($AA229=1,$F229&amp;$AB229,$G229),IF(OR(BH$3=$D229,BH$3=$AC229,BH$3=$AE229),"",IF(BH$3=$AD229,$F229&amp;"R",BH228))))</f>
        <v/>
      </c>
      <c r="BI229" s="11" t="str">
        <f aca="false">IF($P229=0,BI228,IF(BI$3=$E229,IF($AA229=1,$F229&amp;$AB229,$G229),IF(OR(BI$3=$D229,BI$3=$AC229,BI$3=$AE229),"",IF(BI$3=$AD229,$F229&amp;"R",BI228))))</f>
        <v/>
      </c>
      <c r="BJ229" s="11" t="str">
        <f aca="false">IF($P229=0,BJ228,IF(BJ$3=$E229,IF($AA229=1,$F229&amp;$AB229,$G229),IF(OR(BJ$3=$D229,BJ$3=$AC229,BJ$3=$AE229),"",IF(BJ$3=$AD229,$F229&amp;"R",BJ228))))</f>
        <v/>
      </c>
      <c r="BK229" s="11" t="str">
        <f aca="false">IF($P229=0,BK228,IF(BK$3=$E229,IF($AA229=1,$F229&amp;$AB229,$G229),IF(OR(BK$3=$D229,BK$3=$AC229,BK$3=$AE229),"",IF(BK$3=$AD229,$F229&amp;"R",BK228))))</f>
        <v/>
      </c>
      <c r="BL229" s="11" t="str">
        <f aca="false">IF($P229=0,BL228,IF(BL$3=$E229,IF($AA229=1,$F229&amp;$AB229,$G229),IF(OR(BL$3=$D229,BL$3=$AC229,BL$3=$AE229),"",IF(BL$3=$AD229,$F229&amp;"R",BL228))))</f>
        <v/>
      </c>
      <c r="BM229" s="11" t="str">
        <f aca="false">IF($P229=0,BM228,IF(BM$3=$E229,IF($AA229=1,$F229&amp;$AB229,$G229),IF(OR(BM$3=$D229,BM$3=$AC229,BM$3=$AE229),"",IF(BM$3=$AD229,$F229&amp;"R",BM228))))</f>
        <v/>
      </c>
      <c r="BN229" s="11" t="str">
        <f aca="false">IF($P229=0,BN228,IF(BN$3=$E229,IF($AA229=1,$F229&amp;$AB229,$G229),IF(OR(BN$3=$D229,BN$3=$AC229,BN$3=$AE229),"",IF(BN$3=$AD229,$F229&amp;"R",BN228))))</f>
        <v/>
      </c>
      <c r="BO229" s="11" t="str">
        <f aca="false">IF($P229=0,BO228,IF(BO$3=$E229,IF($AA229=1,$F229&amp;$AB229,$G229),IF(OR(BO$3=$D229,BO$3=$AC229,BO$3=$AE229),"",IF(BO$3=$AD229,$F229&amp;"R",BO228))))</f>
        <v/>
      </c>
      <c r="BP229" s="11" t="str">
        <f aca="false">IF($P229=0,BP228,IF(BP$3=$E229,IF($AA229=1,$F229&amp;$AB229,$G229),IF(OR(BP$3=$D229,BP$3=$AC229,BP$3=$AE229),"",IF(BP$3=$AD229,$F229&amp;"R",BP228))))</f>
        <v/>
      </c>
      <c r="BQ229" s="11" t="str">
        <f aca="false">IF($P229=0,BQ228,IF(BQ$3=$E229,IF($AA229=1,$F229&amp;$AB229,$G229),IF(OR(BQ$3=$D229,BQ$3=$AC229,BQ$3=$AE229),"",IF(BQ$3=$AD229,$F229&amp;"R",BQ228))))</f>
        <v/>
      </c>
      <c r="BR229" s="11" t="str">
        <f aca="false">IF($P229=0,BR228,IF(BR$3=$E229,IF($AA229=1,$F229&amp;$AB229,$G229),IF(OR(BR$3=$D229,BR$3=$AC229,BR$3=$AE229),"",IF(BR$3=$AD229,$F229&amp;"R",BR228))))</f>
        <v/>
      </c>
      <c r="BS229" s="11" t="str">
        <f aca="false">IF($P229=0,BS228,IF(BS$3=$E229,IF($AA229=1,$F229&amp;$AB229,$G229),IF(OR(BS$3=$D229,BS$3=$AC229,BS$3=$AE229),"",IF(BS$3=$AD229,$F229&amp;"R",BS228))))</f>
        <v/>
      </c>
      <c r="BT229" s="11" t="str">
        <f aca="false">IF($P229=0,BT228,IF(BT$3=$E229,IF($AA229=1,$F229&amp;$AB229,$G229),IF(OR(BT$3=$D229,BT$3=$AC229,BT$3=$AE229),"",IF(BT$3=$AD229,$F229&amp;"R",BT228))))</f>
        <v/>
      </c>
      <c r="BU229" s="11" t="str">
        <f aca="false">IF($P229=0,BU228,IF(BU$3=$E229,IF($AA229=1,$F229&amp;$AB229,$G229),IF(OR(BU$3=$D229,BU$3=$AC229,BU$3=$AE229),"",IF(BU$3=$AD229,$F229&amp;"R",BU228))))</f>
        <v/>
      </c>
      <c r="BV229" s="11" t="str">
        <f aca="false">IF($P229=0,BV228,IF(BV$3=$E229,IF($AA229=1,$F229&amp;$AB229,$G229),IF(OR(BV$3=$D229,BV$3=$AC229,BV$3=$AE229),"",IF(BV$3=$AD229,$F229&amp;"R",BV228))))</f>
        <v/>
      </c>
      <c r="BW229" s="11" t="str">
        <f aca="false">IF($P229=0,BW228,IF(BW$3=$E229,IF($AA229=1,$F229&amp;$AB229,$G229),IF(OR(BW$3=$D229,BW$3=$AC229,BW$3=$AE229),"",IF(BW$3=$AD229,$F229&amp;"R",BW228))))</f>
        <v/>
      </c>
      <c r="BX229" s="11" t="str">
        <f aca="false">IF($P229=0,BX228,IF(BX$3=$E229,IF($AA229=1,$F229&amp;$AB229,$G229),IF(OR(BX$3=$D229,BX$3=$AC229,BX$3=$AE229),"",IF(BX$3=$AD229,$F229&amp;"R",BX228))))</f>
        <v/>
      </c>
      <c r="BY229" s="11" t="str">
        <f aca="false">IF($P229=0,BY228,IF(BY$3=$E229,IF($AA229=1,$F229&amp;$AB229,$G229),IF(OR(BY$3=$D229,BY$3=$AC229,BY$3=$AE229),"",IF(BY$3=$AD229,$F229&amp;"R",BY228))))</f>
        <v/>
      </c>
      <c r="BZ229" s="11" t="str">
        <f aca="false">IF($P229=0,BZ228,IF(BZ$3=$E229,IF($AA229=1,$F229&amp;$AB229,$G229),IF(OR(BZ$3=$D229,BZ$3=$AC229,BZ$3=$AE229),"",IF(BZ$3=$AD229,$F229&amp;"R",BZ228))))</f>
        <v/>
      </c>
      <c r="CA229" s="11" t="str">
        <f aca="false">IF($P229=0,CA228,IF(CA$3=$E229,IF($AA229=1,$F229&amp;$AB229,$G229),IF(OR(CA$3=$D229,CA$3=$AC229,CA$3=$AE229),"",IF(CA$3=$AD229,$F229&amp;"R",CA228))))</f>
        <v/>
      </c>
      <c r="CB229" s="11" t="str">
        <f aca="false">IF($P229=0,CB228,IF(CB$3=$E229,IF($AA229=1,$F229&amp;$AB229,$G229),IF(OR(CB$3=$D229,CB$3=$AC229,CB$3=$AE229),"",IF(CB$3=$AD229,$F229&amp;"R",CB228))))</f>
        <v/>
      </c>
      <c r="CC229" s="11" t="str">
        <f aca="false">IF($P229=0,CC228,IF(CC$3=$E229,IF($AA229=1,$F229&amp;$AB229,$G229),IF(OR(CC$3=$D229,CC$3=$AC229,CC$3=$AE229),"",IF(CC$3=$AD229,$F229&amp;"R",CC228))))</f>
        <v/>
      </c>
      <c r="CD229" s="11" t="str">
        <f aca="false">IF($P229=0,CD228,IF(CD$3=$E229,IF($AA229=1,$F229&amp;$AB229,$G229),IF(OR(CD$3=$D229,CD$3=$AC229,CD$3=$AE229),"",IF(CD$3=$AD229,$F229&amp;"R",CD228))))</f>
        <v>bP</v>
      </c>
      <c r="CE229" s="11" t="str">
        <f aca="false">IF($P229=0,CE228,IF(CE$3=$E229,IF($AA229=1,$F229&amp;$AB229,$G229),IF(OR(CE$3=$D229,CE$3=$AC229,CE$3=$AE229),"",IF(CE$3=$AD229,$F229&amp;"R",CE228))))</f>
        <v>bP</v>
      </c>
      <c r="CF229" s="11" t="str">
        <f aca="false">IF($P229=0,CF228,IF(CF$3=$E229,IF($AA229=1,$F229&amp;$AB229,$G229),IF(OR(CF$3=$D229,CF$3=$AC229,CF$3=$AE229),"",IF(CF$3=$AD229,$F229&amp;"R",CF228))))</f>
        <v>bP</v>
      </c>
      <c r="CG229" s="11" t="str">
        <f aca="false">IF($P229=0,CG228,IF(CG$3=$E229,IF($AA229=1,$F229&amp;$AB229,$G229),IF(OR(CG$3=$D229,CG$3=$AC229,CG$3=$AE229),"",IF(CG$3=$AD229,$F229&amp;"R",CG228))))</f>
        <v>bP</v>
      </c>
      <c r="CH229" s="11" t="str">
        <f aca="false">IF($P229=0,CH228,IF(CH$3=$E229,IF($AA229=1,$F229&amp;$AB229,$G229),IF(OR(CH$3=$D229,CH$3=$AC229,CH$3=$AE229),"",IF(CH$3=$AD229,$F229&amp;"R",CH228))))</f>
        <v>bP</v>
      </c>
      <c r="CI229" s="11" t="str">
        <f aca="false">IF($P229=0,CI228,IF(CI$3=$E229,IF($AA229=1,$F229&amp;$AB229,$G229),IF(OR(CI$3=$D229,CI$3=$AC229,CI$3=$AE229),"",IF(CI$3=$AD229,$F229&amp;"R",CI228))))</f>
        <v>bP</v>
      </c>
      <c r="CJ229" s="11" t="str">
        <f aca="false">IF($P229=0,CJ228,IF(CJ$3=$E229,IF($AA229=1,$F229&amp;$AB229,$G229),IF(OR(CJ$3=$D229,CJ$3=$AC229,CJ$3=$AE229),"",IF(CJ$3=$AD229,$F229&amp;"R",CJ228))))</f>
        <v>bP</v>
      </c>
      <c r="CK229" s="11" t="str">
        <f aca="false">IF($P229=0,CK228,IF(CK$3=$E229,IF($AA229=1,$F229&amp;$AB229,$G229),IF(OR(CK$3=$D229,CK$3=$AC229,CK$3=$AE229),"",IF(CK$3=$AD229,$F229&amp;"R",CK228))))</f>
        <v>bP</v>
      </c>
      <c r="CL229" s="11" t="str">
        <f aca="false">IF($P229=0,CL228,IF(CL$3=$E229,IF($AA229=1,$F229&amp;$AB229,$G229),IF(OR(CL$3=$D229,CL$3=$AC229,CL$3=$AE229),"",IF(CL$3=$AD229,$F229&amp;"R",CL228))))</f>
        <v>bR</v>
      </c>
      <c r="CM229" s="11" t="str">
        <f aca="false">IF($P229=0,CM228,IF(CM$3=$E229,IF($AA229=1,$F229&amp;$AB229,$G229),IF(OR(CM$3=$D229,CM$3=$AC229,CM$3=$AE229),"",IF(CM$3=$AD229,$F229&amp;"R",CM228))))</f>
        <v>bN</v>
      </c>
      <c r="CN229" s="11" t="str">
        <f aca="false">IF($P229=0,CN228,IF(CN$3=$E229,IF($AA229=1,$F229&amp;$AB229,$G229),IF(OR(CN$3=$D229,CN$3=$AC229,CN$3=$AE229),"",IF(CN$3=$AD229,$F229&amp;"R",CN228))))</f>
        <v>bB</v>
      </c>
      <c r="CO229" s="11" t="str">
        <f aca="false">IF($P229=0,CO228,IF(CO$3=$E229,IF($AA229=1,$F229&amp;$AB229,$G229),IF(OR(CO$3=$D229,CO$3=$AC229,CO$3=$AE229),"",IF(CO$3=$AD229,$F229&amp;"R",CO228))))</f>
        <v>bQ</v>
      </c>
      <c r="CP229" s="11" t="str">
        <f aca="false">IF($P229=0,CP228,IF(CP$3=$E229,IF($AA229=1,$F229&amp;$AB229,$G229),IF(OR(CP$3=$D229,CP$3=$AC229,CP$3=$AE229),"",IF(CP$3=$AD229,$F229&amp;"R",CP228))))</f>
        <v>bK</v>
      </c>
      <c r="CQ229" s="11" t="str">
        <f aca="false">IF($P229=0,CQ228,IF(CQ$3=$E229,IF($AA229=1,$F229&amp;$AB229,$G229),IF(OR(CQ$3=$D229,CQ$3=$AC229,CQ$3=$AE229),"",IF(CQ$3=$AD229,$F229&amp;"R",CQ228))))</f>
        <v>bB</v>
      </c>
      <c r="CR229" s="11" t="str">
        <f aca="false">IF($P229=0,CR228,IF(CR$3=$E229,IF($AA229=1,$F229&amp;$AB229,$G229),IF(OR(CR$3=$D229,CR$3=$AC229,CR$3=$AE229),"",IF(CR$3=$AD229,$F229&amp;"R",CR228))))</f>
        <v>bN</v>
      </c>
      <c r="CS229" s="11" t="str">
        <f aca="false">IF($P229=0,CS228,IF(CS$3=$E229,IF($AA229=1,$F229&amp;$AB229,$G229),IF(OR(CS$3=$D229,CS$3=$AC229,CS$3=$AE229),"",IF(CS$3=$AD229,$F229&amp;"R",CS228))))</f>
        <v>bR</v>
      </c>
      <c r="CT229" s="11"/>
      <c r="CU229" s="11"/>
      <c r="CV229" s="11"/>
    </row>
    <row r="230" customFormat="false" ht="15" hidden="false" customHeight="false" outlineLevel="0" collapsed="false">
      <c r="A230" s="11" t="n">
        <v>225</v>
      </c>
      <c r="B230" s="11" t="str">
        <f aca="false">IF(Chess!$L$234="","",Chess!$L$234&amp;"")</f>
        <v/>
      </c>
      <c r="C230" s="11" t="str">
        <f aca="false">LOWER(SUBSTITUTE(SUBSTITUTE(SUBSTITUTE(SUBSTITUTE(TRIM($B230),"-",""),"=","")," ",""),"x",""))</f>
        <v/>
      </c>
      <c r="D230" s="11" t="n">
        <f aca="false">IF(LEN($C230)&lt;4,0,IFERROR(IF(AND(CODE(MID($C230,1,1))&gt;=97,CODE(MID($C230,1,1))&lt;=104,VALUE(MID($C230,2,1))&gt;=1,VALUE(MID($C230,2,1))&lt;=8),(VALUE(MID($C230,2,1))-1)*8+CODE(MID($C230,1,1))-96,0),0))</f>
        <v>0</v>
      </c>
      <c r="E230" s="11" t="n">
        <f aca="false">IF(LEN($C230)&lt;4,0,IFERROR(IF(AND(CODE(MID($C230,3,1))&gt;=97,CODE(MID($C230,3,1))&lt;=104,VALUE(MID($C230,4,1))&gt;=1,VALUE(MID($C230,4,1))&lt;=8),(VALUE(MID($C230,4,1))-1)*8+CODE(MID($C230,3,1))-96,0),0))</f>
        <v>0</v>
      </c>
      <c r="F230" s="11" t="str">
        <f aca="false">IF(MOD(SUM($P$5:$P229),2)=0,"w","b")</f>
        <v>w</v>
      </c>
      <c r="G230" s="11" t="str">
        <f aca="false">IF($D230=0,"",INDEX($AH229:$CS229,1,$D230)&amp;"")</f>
        <v/>
      </c>
      <c r="H230" s="11" t="str">
        <f aca="false">IF($E230=0,"",INDEX($AH229:$CS229,1,$E230)&amp;"")</f>
        <v/>
      </c>
      <c r="I230" s="11" t="n">
        <f aca="false">IF(OR($D230=0,$E230=0),0,MOD($E230-1,8)-MOD($D230-1,8))</f>
        <v>0</v>
      </c>
      <c r="J230" s="11" t="n">
        <f aca="false">IF(OR($D230=0,$E230=0),0,INT(($E230-1)/8)-INT(($D230-1)/8))</f>
        <v>0</v>
      </c>
      <c r="K230" s="11" t="str">
        <f aca="false">IF($G230="","",RIGHT($G230,1))</f>
        <v/>
      </c>
      <c r="L230" s="11" t="n">
        <f aca="false">IF(OR($D230=0,$E230=0),0,SUMPRODUCT(($AH$3:$CS$3&gt;MIN($D230,$E230))*($AH$3:$CS$3&lt;MAX($D230,$E230))*(MOD($AH$3:$CS$3-MIN($D230,$E230),MAX(1,ABS(SIGN($J230)*8+SIGN($I230))))=0)*($AH229:$CS229&lt;&gt;"")))</f>
        <v>0</v>
      </c>
      <c r="M230" s="11" t="n">
        <f aca="false">IF($K230&lt;&gt;"K",0,IFERROR(--AND($J230=0,ABS($I230)=2,$D230=IF($F230="w",5,61),IF($F230="w",$S229,$V229)=0,IF($I230=2,AND(IF($F230="w",$U229,$X229)=0,INDEX($AH229:$CS229,1,$D230+1)&amp;""="",INDEX($AH229:$CS229,1,$D230+2)&amp;""=""),AND(IF($F230="w",$T229,$W229)=0,INDEX($AH229:$CS229,1,$D230-1)&amp;""="",INDEX($AH229:$CS229,1,$D230-2)&amp;""="",INDEX($AH229:$CS229,1,$D230-3)&amp;""=""))),0))</f>
        <v>0</v>
      </c>
      <c r="N230" s="11" t="n">
        <f aca="false">IF($K230&lt;&gt;"P",0,IFERROR(--OR(AND($I230=0,$J230=IF($F230="w",1,-1),$H230=""),AND($I230=0,$J230=2*IF($F230="w",1,-1),$H230="",INT(($D230-1)/8)=IF($F230="w",1,6),INDEX($AH229:$CS229,1,MAX(1,MIN(64,$D230+8*IF($F230="w",1,-1))))&amp;""=""),AND(ABS($I230)=1,$J230=IF($F230="w",1,-1),$H230&lt;&gt;""),AND(ABS($I230)=1,$J230=IF($F230="w",1,-1),$H230="",$R229&gt;0,$E230=$R229)),0))</f>
        <v>0</v>
      </c>
      <c r="O230" s="11" t="n">
        <f aca="false">IF(OR($D230=0,$E230=0,$G230=""),0,IF($K230="N",--OR(AND(ABS($I230)=1,ABS($J230)=2),AND(ABS($I230)=2,ABS($J230)=1)),IF($K230="B",--AND(ABS($I230)=ABS($J230),$I230&lt;&gt;0,$L230=0),IF($K230="R",--AND(OR($I230=0,$J230=0),OR($I230&lt;&gt;0,$J230&lt;&gt;0),$L230=0),IF($K230="Q",--AND(OR(AND(ABS($I230)=ABS($J230),$I230&lt;&gt;0),AND(OR($I230=0,$J230=0),OR($I230&lt;&gt;0,$J230&lt;&gt;0))),$L230=0),IF($K230="K",--OR(MAX(ABS($I230),ABS($J230))=1,$M230=1),$N230))))))</f>
        <v>0</v>
      </c>
      <c r="P230" s="11" t="n">
        <f aca="false">IF($Q230="OK",1,0)</f>
        <v>0</v>
      </c>
      <c r="Q230" s="11" t="str">
        <f aca="false">IF($B230="","",IF(OR(COUNTIF($AH229:$CS229,"wK")=0,COUNTIF($AH229:$CS229,"bK")=0),"Game is over",IF(OR($D230=0,$E230=0),"Use the format e2e4",IF($G230="","No piece on that square",IF(LEFT($G230,1)&lt;&gt;$F230,"Not your piece ("&amp;IF($F230="w","White","Black")&amp;" to move)",IF($D230=$E230,"Piece must move",IF(AND($H230&lt;&gt;"",LEFT($H230,1)=$F230),"Cannot capture your own piece",IF($O230=0,"Illegal move for that piece (or path blocked)","OK"))))))))</f>
        <v/>
      </c>
      <c r="R230" s="11" t="n">
        <f aca="false">IF($P230=1,IF(AND($K230="P",ABS($J230)=2),($D230+$E230)/2,0),$R229)</f>
        <v>0</v>
      </c>
      <c r="S230" s="12" t="b">
        <f aca="false">--OR($S229=1,AND($P230=1,OR($D230=5,$E230=5)))</f>
        <v>0</v>
      </c>
      <c r="T230" s="12" t="b">
        <f aca="false">--OR($T229=1,AND($P230=1,OR($D230=1,$E230=1)))</f>
        <v>0</v>
      </c>
      <c r="U230" s="12" t="b">
        <f aca="false">--OR($U229=1,AND($P230=1,OR($D230=8,$E230=8)))</f>
        <v>0</v>
      </c>
      <c r="V230" s="12" t="b">
        <f aca="false">--OR($V229=1,AND($P230=1,OR($D230=61,$E230=61)))</f>
        <v>0</v>
      </c>
      <c r="W230" s="12" t="b">
        <f aca="false">--OR($W229=1,AND($P230=1,OR($D230=57,$E230=57)))</f>
        <v>0</v>
      </c>
      <c r="X230" s="12" t="b">
        <f aca="false">--OR($X229=1,AND($P230=1,OR($D230=64,$E230=64)))</f>
        <v>0</v>
      </c>
      <c r="Y230" s="12" t="b">
        <f aca="false">--AND($P230=1,$K230="K",ABS($I230)=2)</f>
        <v>0</v>
      </c>
      <c r="Z230" s="12" t="b">
        <f aca="false">--AND($P230=1,$K230="P",ABS($I230)=1,$H230="")</f>
        <v>0</v>
      </c>
      <c r="AA230" s="12" t="b">
        <f aca="false">--AND($P230=1,$K230="P",INT(($E230-1)/8)=IF($F230="w",7,0))</f>
        <v>0</v>
      </c>
      <c r="AB230" s="11" t="str">
        <f aca="false">IF(LEN($C230)&gt;=5,IF(ISNUMBER(FIND(MID($C230,5,1),"qrbn")),UPPER(MID($C230,5,1)),"Q"),"Q")</f>
        <v>Q</v>
      </c>
      <c r="AC230" s="11" t="n">
        <f aca="false">IF($Y230=1,IF($I230=2,$D230+3,$D230-4),0)</f>
        <v>0</v>
      </c>
      <c r="AD230" s="11" t="n">
        <f aca="false">IF($Y230=1,IF($I230=2,$D230+1,$D230-1),0)</f>
        <v>0</v>
      </c>
      <c r="AE230" s="11" t="n">
        <f aca="false">IF($Z230=1,$E230-8*IF($F230="w",1,-1),0)</f>
        <v>0</v>
      </c>
      <c r="AF230" s="11" t="str">
        <f aca="false">IF($B230="","",IF($P230=1,LOWER(INDEX($CV$2:$CV$13,MATCH($G230,$CU$2:$CU$13,0)))&amp;" "&amp;MID("abcdefgh",MOD($D230-1,8)+1,1)&amp;(INT(($D230-1)/8)+1)&amp;"→"&amp;MID("abcdefgh",MOD($E230-1,8)+1,1)&amp;(INT(($E230-1)/8)+1)&amp;IF(OR($H230&lt;&gt;"",$Z230=1)," ×","")&amp;IF($Y230=1," castles","")&amp;IF($Z230=1," e.p.","")&amp;IF($AA230=1," =" &amp;LOWER(INDEX($CV$2:$CV$13,MATCH($F230&amp;$AB230,$CU$2:$CU$13,0))),""),"X "&amp;$Q230))</f>
        <v/>
      </c>
      <c r="AG230" s="11"/>
      <c r="AH230" s="11" t="str">
        <f aca="false">IF($P230=0,AH229,IF(AH$3=$E230,IF($AA230=1,$F230&amp;$AB230,$G230),IF(OR(AH$3=$D230,AH$3=$AC230,AH$3=$AE230),"",IF(AH$3=$AD230,$F230&amp;"R",AH229))))</f>
        <v>wR</v>
      </c>
      <c r="AI230" s="11" t="str">
        <f aca="false">IF($P230=0,AI229,IF(AI$3=$E230,IF($AA230=1,$F230&amp;$AB230,$G230),IF(OR(AI$3=$D230,AI$3=$AC230,AI$3=$AE230),"",IF(AI$3=$AD230,$F230&amp;"R",AI229))))</f>
        <v>wN</v>
      </c>
      <c r="AJ230" s="11" t="str">
        <f aca="false">IF($P230=0,AJ229,IF(AJ$3=$E230,IF($AA230=1,$F230&amp;$AB230,$G230),IF(OR(AJ$3=$D230,AJ$3=$AC230,AJ$3=$AE230),"",IF(AJ$3=$AD230,$F230&amp;"R",AJ229))))</f>
        <v>wB</v>
      </c>
      <c r="AK230" s="11" t="str">
        <f aca="false">IF($P230=0,AK229,IF(AK$3=$E230,IF($AA230=1,$F230&amp;$AB230,$G230),IF(OR(AK$3=$D230,AK$3=$AC230,AK$3=$AE230),"",IF(AK$3=$AD230,$F230&amp;"R",AK229))))</f>
        <v>wQ</v>
      </c>
      <c r="AL230" s="11" t="str">
        <f aca="false">IF($P230=0,AL229,IF(AL$3=$E230,IF($AA230=1,$F230&amp;$AB230,$G230),IF(OR(AL$3=$D230,AL$3=$AC230,AL$3=$AE230),"",IF(AL$3=$AD230,$F230&amp;"R",AL229))))</f>
        <v>wK</v>
      </c>
      <c r="AM230" s="11" t="str">
        <f aca="false">IF($P230=0,AM229,IF(AM$3=$E230,IF($AA230=1,$F230&amp;$AB230,$G230),IF(OR(AM$3=$D230,AM$3=$AC230,AM$3=$AE230),"",IF(AM$3=$AD230,$F230&amp;"R",AM229))))</f>
        <v>wB</v>
      </c>
      <c r="AN230" s="11" t="str">
        <f aca="false">IF($P230=0,AN229,IF(AN$3=$E230,IF($AA230=1,$F230&amp;$AB230,$G230),IF(OR(AN$3=$D230,AN$3=$AC230,AN$3=$AE230),"",IF(AN$3=$AD230,$F230&amp;"R",AN229))))</f>
        <v>wN</v>
      </c>
      <c r="AO230" s="11" t="str">
        <f aca="false">IF($P230=0,AO229,IF(AO$3=$E230,IF($AA230=1,$F230&amp;$AB230,$G230),IF(OR(AO$3=$D230,AO$3=$AC230,AO$3=$AE230),"",IF(AO$3=$AD230,$F230&amp;"R",AO229))))</f>
        <v>wR</v>
      </c>
      <c r="AP230" s="11" t="str">
        <f aca="false">IF($P230=0,AP229,IF(AP$3=$E230,IF($AA230=1,$F230&amp;$AB230,$G230),IF(OR(AP$3=$D230,AP$3=$AC230,AP$3=$AE230),"",IF(AP$3=$AD230,$F230&amp;"R",AP229))))</f>
        <v>wP</v>
      </c>
      <c r="AQ230" s="11" t="str">
        <f aca="false">IF($P230=0,AQ229,IF(AQ$3=$E230,IF($AA230=1,$F230&amp;$AB230,$G230),IF(OR(AQ$3=$D230,AQ$3=$AC230,AQ$3=$AE230),"",IF(AQ$3=$AD230,$F230&amp;"R",AQ229))))</f>
        <v>wP</v>
      </c>
      <c r="AR230" s="11" t="str">
        <f aca="false">IF($P230=0,AR229,IF(AR$3=$E230,IF($AA230=1,$F230&amp;$AB230,$G230),IF(OR(AR$3=$D230,AR$3=$AC230,AR$3=$AE230),"",IF(AR$3=$AD230,$F230&amp;"R",AR229))))</f>
        <v>wP</v>
      </c>
      <c r="AS230" s="11" t="str">
        <f aca="false">IF($P230=0,AS229,IF(AS$3=$E230,IF($AA230=1,$F230&amp;$AB230,$G230),IF(OR(AS$3=$D230,AS$3=$AC230,AS$3=$AE230),"",IF(AS$3=$AD230,$F230&amp;"R",AS229))))</f>
        <v>wP</v>
      </c>
      <c r="AT230" s="11" t="str">
        <f aca="false">IF($P230=0,AT229,IF(AT$3=$E230,IF($AA230=1,$F230&amp;$AB230,$G230),IF(OR(AT$3=$D230,AT$3=$AC230,AT$3=$AE230),"",IF(AT$3=$AD230,$F230&amp;"R",AT229))))</f>
        <v>wP</v>
      </c>
      <c r="AU230" s="11" t="str">
        <f aca="false">IF($P230=0,AU229,IF(AU$3=$E230,IF($AA230=1,$F230&amp;$AB230,$G230),IF(OR(AU$3=$D230,AU$3=$AC230,AU$3=$AE230),"",IF(AU$3=$AD230,$F230&amp;"R",AU229))))</f>
        <v>wP</v>
      </c>
      <c r="AV230" s="11" t="str">
        <f aca="false">IF($P230=0,AV229,IF(AV$3=$E230,IF($AA230=1,$F230&amp;$AB230,$G230),IF(OR(AV$3=$D230,AV$3=$AC230,AV$3=$AE230),"",IF(AV$3=$AD230,$F230&amp;"R",AV229))))</f>
        <v>wP</v>
      </c>
      <c r="AW230" s="11" t="str">
        <f aca="false">IF($P230=0,AW229,IF(AW$3=$E230,IF($AA230=1,$F230&amp;$AB230,$G230),IF(OR(AW$3=$D230,AW$3=$AC230,AW$3=$AE230),"",IF(AW$3=$AD230,$F230&amp;"R",AW229))))</f>
        <v>wP</v>
      </c>
      <c r="AX230" s="11" t="str">
        <f aca="false">IF($P230=0,AX229,IF(AX$3=$E230,IF($AA230=1,$F230&amp;$AB230,$G230),IF(OR(AX$3=$D230,AX$3=$AC230,AX$3=$AE230),"",IF(AX$3=$AD230,$F230&amp;"R",AX229))))</f>
        <v/>
      </c>
      <c r="AY230" s="11" t="str">
        <f aca="false">IF($P230=0,AY229,IF(AY$3=$E230,IF($AA230=1,$F230&amp;$AB230,$G230),IF(OR(AY$3=$D230,AY$3=$AC230,AY$3=$AE230),"",IF(AY$3=$AD230,$F230&amp;"R",AY229))))</f>
        <v/>
      </c>
      <c r="AZ230" s="11" t="str">
        <f aca="false">IF($P230=0,AZ229,IF(AZ$3=$E230,IF($AA230=1,$F230&amp;$AB230,$G230),IF(OR(AZ$3=$D230,AZ$3=$AC230,AZ$3=$AE230),"",IF(AZ$3=$AD230,$F230&amp;"R",AZ229))))</f>
        <v/>
      </c>
      <c r="BA230" s="11" t="str">
        <f aca="false">IF($P230=0,BA229,IF(BA$3=$E230,IF($AA230=1,$F230&amp;$AB230,$G230),IF(OR(BA$3=$D230,BA$3=$AC230,BA$3=$AE230),"",IF(BA$3=$AD230,$F230&amp;"R",BA229))))</f>
        <v/>
      </c>
      <c r="BB230" s="11" t="str">
        <f aca="false">IF($P230=0,BB229,IF(BB$3=$E230,IF($AA230=1,$F230&amp;$AB230,$G230),IF(OR(BB$3=$D230,BB$3=$AC230,BB$3=$AE230),"",IF(BB$3=$AD230,$F230&amp;"R",BB229))))</f>
        <v/>
      </c>
      <c r="BC230" s="11" t="str">
        <f aca="false">IF($P230=0,BC229,IF(BC$3=$E230,IF($AA230=1,$F230&amp;$AB230,$G230),IF(OR(BC$3=$D230,BC$3=$AC230,BC$3=$AE230),"",IF(BC$3=$AD230,$F230&amp;"R",BC229))))</f>
        <v/>
      </c>
      <c r="BD230" s="11" t="str">
        <f aca="false">IF($P230=0,BD229,IF(BD$3=$E230,IF($AA230=1,$F230&amp;$AB230,$G230),IF(OR(BD$3=$D230,BD$3=$AC230,BD$3=$AE230),"",IF(BD$3=$AD230,$F230&amp;"R",BD229))))</f>
        <v/>
      </c>
      <c r="BE230" s="11" t="str">
        <f aca="false">IF($P230=0,BE229,IF(BE$3=$E230,IF($AA230=1,$F230&amp;$AB230,$G230),IF(OR(BE$3=$D230,BE$3=$AC230,BE$3=$AE230),"",IF(BE$3=$AD230,$F230&amp;"R",BE229))))</f>
        <v/>
      </c>
      <c r="BF230" s="11" t="str">
        <f aca="false">IF($P230=0,BF229,IF(BF$3=$E230,IF($AA230=1,$F230&amp;$AB230,$G230),IF(OR(BF$3=$D230,BF$3=$AC230,BF$3=$AE230),"",IF(BF$3=$AD230,$F230&amp;"R",BF229))))</f>
        <v/>
      </c>
      <c r="BG230" s="11" t="str">
        <f aca="false">IF($P230=0,BG229,IF(BG$3=$E230,IF($AA230=1,$F230&amp;$AB230,$G230),IF(OR(BG$3=$D230,BG$3=$AC230,BG$3=$AE230),"",IF(BG$3=$AD230,$F230&amp;"R",BG229))))</f>
        <v/>
      </c>
      <c r="BH230" s="11" t="str">
        <f aca="false">IF($P230=0,BH229,IF(BH$3=$E230,IF($AA230=1,$F230&amp;$AB230,$G230),IF(OR(BH$3=$D230,BH$3=$AC230,BH$3=$AE230),"",IF(BH$3=$AD230,$F230&amp;"R",BH229))))</f>
        <v/>
      </c>
      <c r="BI230" s="11" t="str">
        <f aca="false">IF($P230=0,BI229,IF(BI$3=$E230,IF($AA230=1,$F230&amp;$AB230,$G230),IF(OR(BI$3=$D230,BI$3=$AC230,BI$3=$AE230),"",IF(BI$3=$AD230,$F230&amp;"R",BI229))))</f>
        <v/>
      </c>
      <c r="BJ230" s="11" t="str">
        <f aca="false">IF($P230=0,BJ229,IF(BJ$3=$E230,IF($AA230=1,$F230&amp;$AB230,$G230),IF(OR(BJ$3=$D230,BJ$3=$AC230,BJ$3=$AE230),"",IF(BJ$3=$AD230,$F230&amp;"R",BJ229))))</f>
        <v/>
      </c>
      <c r="BK230" s="11" t="str">
        <f aca="false">IF($P230=0,BK229,IF(BK$3=$E230,IF($AA230=1,$F230&amp;$AB230,$G230),IF(OR(BK$3=$D230,BK$3=$AC230,BK$3=$AE230),"",IF(BK$3=$AD230,$F230&amp;"R",BK229))))</f>
        <v/>
      </c>
      <c r="BL230" s="11" t="str">
        <f aca="false">IF($P230=0,BL229,IF(BL$3=$E230,IF($AA230=1,$F230&amp;$AB230,$G230),IF(OR(BL$3=$D230,BL$3=$AC230,BL$3=$AE230),"",IF(BL$3=$AD230,$F230&amp;"R",BL229))))</f>
        <v/>
      </c>
      <c r="BM230" s="11" t="str">
        <f aca="false">IF($P230=0,BM229,IF(BM$3=$E230,IF($AA230=1,$F230&amp;$AB230,$G230),IF(OR(BM$3=$D230,BM$3=$AC230,BM$3=$AE230),"",IF(BM$3=$AD230,$F230&amp;"R",BM229))))</f>
        <v/>
      </c>
      <c r="BN230" s="11" t="str">
        <f aca="false">IF($P230=0,BN229,IF(BN$3=$E230,IF($AA230=1,$F230&amp;$AB230,$G230),IF(OR(BN$3=$D230,BN$3=$AC230,BN$3=$AE230),"",IF(BN$3=$AD230,$F230&amp;"R",BN229))))</f>
        <v/>
      </c>
      <c r="BO230" s="11" t="str">
        <f aca="false">IF($P230=0,BO229,IF(BO$3=$E230,IF($AA230=1,$F230&amp;$AB230,$G230),IF(OR(BO$3=$D230,BO$3=$AC230,BO$3=$AE230),"",IF(BO$3=$AD230,$F230&amp;"R",BO229))))</f>
        <v/>
      </c>
      <c r="BP230" s="11" t="str">
        <f aca="false">IF($P230=0,BP229,IF(BP$3=$E230,IF($AA230=1,$F230&amp;$AB230,$G230),IF(OR(BP$3=$D230,BP$3=$AC230,BP$3=$AE230),"",IF(BP$3=$AD230,$F230&amp;"R",BP229))))</f>
        <v/>
      </c>
      <c r="BQ230" s="11" t="str">
        <f aca="false">IF($P230=0,BQ229,IF(BQ$3=$E230,IF($AA230=1,$F230&amp;$AB230,$G230),IF(OR(BQ$3=$D230,BQ$3=$AC230,BQ$3=$AE230),"",IF(BQ$3=$AD230,$F230&amp;"R",BQ229))))</f>
        <v/>
      </c>
      <c r="BR230" s="11" t="str">
        <f aca="false">IF($P230=0,BR229,IF(BR$3=$E230,IF($AA230=1,$F230&amp;$AB230,$G230),IF(OR(BR$3=$D230,BR$3=$AC230,BR$3=$AE230),"",IF(BR$3=$AD230,$F230&amp;"R",BR229))))</f>
        <v/>
      </c>
      <c r="BS230" s="11" t="str">
        <f aca="false">IF($P230=0,BS229,IF(BS$3=$E230,IF($AA230=1,$F230&amp;$AB230,$G230),IF(OR(BS$3=$D230,BS$3=$AC230,BS$3=$AE230),"",IF(BS$3=$AD230,$F230&amp;"R",BS229))))</f>
        <v/>
      </c>
      <c r="BT230" s="11" t="str">
        <f aca="false">IF($P230=0,BT229,IF(BT$3=$E230,IF($AA230=1,$F230&amp;$AB230,$G230),IF(OR(BT$3=$D230,BT$3=$AC230,BT$3=$AE230),"",IF(BT$3=$AD230,$F230&amp;"R",BT229))))</f>
        <v/>
      </c>
      <c r="BU230" s="11" t="str">
        <f aca="false">IF($P230=0,BU229,IF(BU$3=$E230,IF($AA230=1,$F230&amp;$AB230,$G230),IF(OR(BU$3=$D230,BU$3=$AC230,BU$3=$AE230),"",IF(BU$3=$AD230,$F230&amp;"R",BU229))))</f>
        <v/>
      </c>
      <c r="BV230" s="11" t="str">
        <f aca="false">IF($P230=0,BV229,IF(BV$3=$E230,IF($AA230=1,$F230&amp;$AB230,$G230),IF(OR(BV$3=$D230,BV$3=$AC230,BV$3=$AE230),"",IF(BV$3=$AD230,$F230&amp;"R",BV229))))</f>
        <v/>
      </c>
      <c r="BW230" s="11" t="str">
        <f aca="false">IF($P230=0,BW229,IF(BW$3=$E230,IF($AA230=1,$F230&amp;$AB230,$G230),IF(OR(BW$3=$D230,BW$3=$AC230,BW$3=$AE230),"",IF(BW$3=$AD230,$F230&amp;"R",BW229))))</f>
        <v/>
      </c>
      <c r="BX230" s="11" t="str">
        <f aca="false">IF($P230=0,BX229,IF(BX$3=$E230,IF($AA230=1,$F230&amp;$AB230,$G230),IF(OR(BX$3=$D230,BX$3=$AC230,BX$3=$AE230),"",IF(BX$3=$AD230,$F230&amp;"R",BX229))))</f>
        <v/>
      </c>
      <c r="BY230" s="11" t="str">
        <f aca="false">IF($P230=0,BY229,IF(BY$3=$E230,IF($AA230=1,$F230&amp;$AB230,$G230),IF(OR(BY$3=$D230,BY$3=$AC230,BY$3=$AE230),"",IF(BY$3=$AD230,$F230&amp;"R",BY229))))</f>
        <v/>
      </c>
      <c r="BZ230" s="11" t="str">
        <f aca="false">IF($P230=0,BZ229,IF(BZ$3=$E230,IF($AA230=1,$F230&amp;$AB230,$G230),IF(OR(BZ$3=$D230,BZ$3=$AC230,BZ$3=$AE230),"",IF(BZ$3=$AD230,$F230&amp;"R",BZ229))))</f>
        <v/>
      </c>
      <c r="CA230" s="11" t="str">
        <f aca="false">IF($P230=0,CA229,IF(CA$3=$E230,IF($AA230=1,$F230&amp;$AB230,$G230),IF(OR(CA$3=$D230,CA$3=$AC230,CA$3=$AE230),"",IF(CA$3=$AD230,$F230&amp;"R",CA229))))</f>
        <v/>
      </c>
      <c r="CB230" s="11" t="str">
        <f aca="false">IF($P230=0,CB229,IF(CB$3=$E230,IF($AA230=1,$F230&amp;$AB230,$G230),IF(OR(CB$3=$D230,CB$3=$AC230,CB$3=$AE230),"",IF(CB$3=$AD230,$F230&amp;"R",CB229))))</f>
        <v/>
      </c>
      <c r="CC230" s="11" t="str">
        <f aca="false">IF($P230=0,CC229,IF(CC$3=$E230,IF($AA230=1,$F230&amp;$AB230,$G230),IF(OR(CC$3=$D230,CC$3=$AC230,CC$3=$AE230),"",IF(CC$3=$AD230,$F230&amp;"R",CC229))))</f>
        <v/>
      </c>
      <c r="CD230" s="11" t="str">
        <f aca="false">IF($P230=0,CD229,IF(CD$3=$E230,IF($AA230=1,$F230&amp;$AB230,$G230),IF(OR(CD$3=$D230,CD$3=$AC230,CD$3=$AE230),"",IF(CD$3=$AD230,$F230&amp;"R",CD229))))</f>
        <v>bP</v>
      </c>
      <c r="CE230" s="11" t="str">
        <f aca="false">IF($P230=0,CE229,IF(CE$3=$E230,IF($AA230=1,$F230&amp;$AB230,$G230),IF(OR(CE$3=$D230,CE$3=$AC230,CE$3=$AE230),"",IF(CE$3=$AD230,$F230&amp;"R",CE229))))</f>
        <v>bP</v>
      </c>
      <c r="CF230" s="11" t="str">
        <f aca="false">IF($P230=0,CF229,IF(CF$3=$E230,IF($AA230=1,$F230&amp;$AB230,$G230),IF(OR(CF$3=$D230,CF$3=$AC230,CF$3=$AE230),"",IF(CF$3=$AD230,$F230&amp;"R",CF229))))</f>
        <v>bP</v>
      </c>
      <c r="CG230" s="11" t="str">
        <f aca="false">IF($P230=0,CG229,IF(CG$3=$E230,IF($AA230=1,$F230&amp;$AB230,$G230),IF(OR(CG$3=$D230,CG$3=$AC230,CG$3=$AE230),"",IF(CG$3=$AD230,$F230&amp;"R",CG229))))</f>
        <v>bP</v>
      </c>
      <c r="CH230" s="11" t="str">
        <f aca="false">IF($P230=0,CH229,IF(CH$3=$E230,IF($AA230=1,$F230&amp;$AB230,$G230),IF(OR(CH$3=$D230,CH$3=$AC230,CH$3=$AE230),"",IF(CH$3=$AD230,$F230&amp;"R",CH229))))</f>
        <v>bP</v>
      </c>
      <c r="CI230" s="11" t="str">
        <f aca="false">IF($P230=0,CI229,IF(CI$3=$E230,IF($AA230=1,$F230&amp;$AB230,$G230),IF(OR(CI$3=$D230,CI$3=$AC230,CI$3=$AE230),"",IF(CI$3=$AD230,$F230&amp;"R",CI229))))</f>
        <v>bP</v>
      </c>
      <c r="CJ230" s="11" t="str">
        <f aca="false">IF($P230=0,CJ229,IF(CJ$3=$E230,IF($AA230=1,$F230&amp;$AB230,$G230),IF(OR(CJ$3=$D230,CJ$3=$AC230,CJ$3=$AE230),"",IF(CJ$3=$AD230,$F230&amp;"R",CJ229))))</f>
        <v>bP</v>
      </c>
      <c r="CK230" s="11" t="str">
        <f aca="false">IF($P230=0,CK229,IF(CK$3=$E230,IF($AA230=1,$F230&amp;$AB230,$G230),IF(OR(CK$3=$D230,CK$3=$AC230,CK$3=$AE230),"",IF(CK$3=$AD230,$F230&amp;"R",CK229))))</f>
        <v>bP</v>
      </c>
      <c r="CL230" s="11" t="str">
        <f aca="false">IF($P230=0,CL229,IF(CL$3=$E230,IF($AA230=1,$F230&amp;$AB230,$G230),IF(OR(CL$3=$D230,CL$3=$AC230,CL$3=$AE230),"",IF(CL$3=$AD230,$F230&amp;"R",CL229))))</f>
        <v>bR</v>
      </c>
      <c r="CM230" s="11" t="str">
        <f aca="false">IF($P230=0,CM229,IF(CM$3=$E230,IF($AA230=1,$F230&amp;$AB230,$G230),IF(OR(CM$3=$D230,CM$3=$AC230,CM$3=$AE230),"",IF(CM$3=$AD230,$F230&amp;"R",CM229))))</f>
        <v>bN</v>
      </c>
      <c r="CN230" s="11" t="str">
        <f aca="false">IF($P230=0,CN229,IF(CN$3=$E230,IF($AA230=1,$F230&amp;$AB230,$G230),IF(OR(CN$3=$D230,CN$3=$AC230,CN$3=$AE230),"",IF(CN$3=$AD230,$F230&amp;"R",CN229))))</f>
        <v>bB</v>
      </c>
      <c r="CO230" s="11" t="str">
        <f aca="false">IF($P230=0,CO229,IF(CO$3=$E230,IF($AA230=1,$F230&amp;$AB230,$G230),IF(OR(CO$3=$D230,CO$3=$AC230,CO$3=$AE230),"",IF(CO$3=$AD230,$F230&amp;"R",CO229))))</f>
        <v>bQ</v>
      </c>
      <c r="CP230" s="11" t="str">
        <f aca="false">IF($P230=0,CP229,IF(CP$3=$E230,IF($AA230=1,$F230&amp;$AB230,$G230),IF(OR(CP$3=$D230,CP$3=$AC230,CP$3=$AE230),"",IF(CP$3=$AD230,$F230&amp;"R",CP229))))</f>
        <v>bK</v>
      </c>
      <c r="CQ230" s="11" t="str">
        <f aca="false">IF($P230=0,CQ229,IF(CQ$3=$E230,IF($AA230=1,$F230&amp;$AB230,$G230),IF(OR(CQ$3=$D230,CQ$3=$AC230,CQ$3=$AE230),"",IF(CQ$3=$AD230,$F230&amp;"R",CQ229))))</f>
        <v>bB</v>
      </c>
      <c r="CR230" s="11" t="str">
        <f aca="false">IF($P230=0,CR229,IF(CR$3=$E230,IF($AA230=1,$F230&amp;$AB230,$G230),IF(OR(CR$3=$D230,CR$3=$AC230,CR$3=$AE230),"",IF(CR$3=$AD230,$F230&amp;"R",CR229))))</f>
        <v>bN</v>
      </c>
      <c r="CS230" s="11" t="str">
        <f aca="false">IF($P230=0,CS229,IF(CS$3=$E230,IF($AA230=1,$F230&amp;$AB230,$G230),IF(OR(CS$3=$D230,CS$3=$AC230,CS$3=$AE230),"",IF(CS$3=$AD230,$F230&amp;"R",CS229))))</f>
        <v>bR</v>
      </c>
      <c r="CT230" s="11"/>
      <c r="CU230" s="11"/>
      <c r="CV230" s="11"/>
    </row>
    <row r="231" customFormat="false" ht="15" hidden="false" customHeight="false" outlineLevel="0" collapsed="false">
      <c r="A231" s="11" t="n">
        <v>226</v>
      </c>
      <c r="B231" s="11" t="str">
        <f aca="false">IF(Chess!$L$235="","",Chess!$L$235&amp;"")</f>
        <v/>
      </c>
      <c r="C231" s="11" t="str">
        <f aca="false">LOWER(SUBSTITUTE(SUBSTITUTE(SUBSTITUTE(SUBSTITUTE(TRIM($B231),"-",""),"=","")," ",""),"x",""))</f>
        <v/>
      </c>
      <c r="D231" s="11" t="n">
        <f aca="false">IF(LEN($C231)&lt;4,0,IFERROR(IF(AND(CODE(MID($C231,1,1))&gt;=97,CODE(MID($C231,1,1))&lt;=104,VALUE(MID($C231,2,1))&gt;=1,VALUE(MID($C231,2,1))&lt;=8),(VALUE(MID($C231,2,1))-1)*8+CODE(MID($C231,1,1))-96,0),0))</f>
        <v>0</v>
      </c>
      <c r="E231" s="11" t="n">
        <f aca="false">IF(LEN($C231)&lt;4,0,IFERROR(IF(AND(CODE(MID($C231,3,1))&gt;=97,CODE(MID($C231,3,1))&lt;=104,VALUE(MID($C231,4,1))&gt;=1,VALUE(MID($C231,4,1))&lt;=8),(VALUE(MID($C231,4,1))-1)*8+CODE(MID($C231,3,1))-96,0),0))</f>
        <v>0</v>
      </c>
      <c r="F231" s="11" t="str">
        <f aca="false">IF(MOD(SUM($P$5:$P230),2)=0,"w","b")</f>
        <v>w</v>
      </c>
      <c r="G231" s="11" t="str">
        <f aca="false">IF($D231=0,"",INDEX($AH230:$CS230,1,$D231)&amp;"")</f>
        <v/>
      </c>
      <c r="H231" s="11" t="str">
        <f aca="false">IF($E231=0,"",INDEX($AH230:$CS230,1,$E231)&amp;"")</f>
        <v/>
      </c>
      <c r="I231" s="11" t="n">
        <f aca="false">IF(OR($D231=0,$E231=0),0,MOD($E231-1,8)-MOD($D231-1,8))</f>
        <v>0</v>
      </c>
      <c r="J231" s="11" t="n">
        <f aca="false">IF(OR($D231=0,$E231=0),0,INT(($E231-1)/8)-INT(($D231-1)/8))</f>
        <v>0</v>
      </c>
      <c r="K231" s="11" t="str">
        <f aca="false">IF($G231="","",RIGHT($G231,1))</f>
        <v/>
      </c>
      <c r="L231" s="11" t="n">
        <f aca="false">IF(OR($D231=0,$E231=0),0,SUMPRODUCT(($AH$3:$CS$3&gt;MIN($D231,$E231))*($AH$3:$CS$3&lt;MAX($D231,$E231))*(MOD($AH$3:$CS$3-MIN($D231,$E231),MAX(1,ABS(SIGN($J231)*8+SIGN($I231))))=0)*($AH230:$CS230&lt;&gt;"")))</f>
        <v>0</v>
      </c>
      <c r="M231" s="11" t="n">
        <f aca="false">IF($K231&lt;&gt;"K",0,IFERROR(--AND($J231=0,ABS($I231)=2,$D231=IF($F231="w",5,61),IF($F231="w",$S230,$V230)=0,IF($I231=2,AND(IF($F231="w",$U230,$X230)=0,INDEX($AH230:$CS230,1,$D231+1)&amp;""="",INDEX($AH230:$CS230,1,$D231+2)&amp;""=""),AND(IF($F231="w",$T230,$W230)=0,INDEX($AH230:$CS230,1,$D231-1)&amp;""="",INDEX($AH230:$CS230,1,$D231-2)&amp;""="",INDEX($AH230:$CS230,1,$D231-3)&amp;""=""))),0))</f>
        <v>0</v>
      </c>
      <c r="N231" s="11" t="n">
        <f aca="false">IF($K231&lt;&gt;"P",0,IFERROR(--OR(AND($I231=0,$J231=IF($F231="w",1,-1),$H231=""),AND($I231=0,$J231=2*IF($F231="w",1,-1),$H231="",INT(($D231-1)/8)=IF($F231="w",1,6),INDEX($AH230:$CS230,1,MAX(1,MIN(64,$D231+8*IF($F231="w",1,-1))))&amp;""=""),AND(ABS($I231)=1,$J231=IF($F231="w",1,-1),$H231&lt;&gt;""),AND(ABS($I231)=1,$J231=IF($F231="w",1,-1),$H231="",$R230&gt;0,$E231=$R230)),0))</f>
        <v>0</v>
      </c>
      <c r="O231" s="11" t="n">
        <f aca="false">IF(OR($D231=0,$E231=0,$G231=""),0,IF($K231="N",--OR(AND(ABS($I231)=1,ABS($J231)=2),AND(ABS($I231)=2,ABS($J231)=1)),IF($K231="B",--AND(ABS($I231)=ABS($J231),$I231&lt;&gt;0,$L231=0),IF($K231="R",--AND(OR($I231=0,$J231=0),OR($I231&lt;&gt;0,$J231&lt;&gt;0),$L231=0),IF($K231="Q",--AND(OR(AND(ABS($I231)=ABS($J231),$I231&lt;&gt;0),AND(OR($I231=0,$J231=0),OR($I231&lt;&gt;0,$J231&lt;&gt;0))),$L231=0),IF($K231="K",--OR(MAX(ABS($I231),ABS($J231))=1,$M231=1),$N231))))))</f>
        <v>0</v>
      </c>
      <c r="P231" s="11" t="n">
        <f aca="false">IF($Q231="OK",1,0)</f>
        <v>0</v>
      </c>
      <c r="Q231" s="11" t="str">
        <f aca="false">IF($B231="","",IF(OR(COUNTIF($AH230:$CS230,"wK")=0,COUNTIF($AH230:$CS230,"bK")=0),"Game is over",IF(OR($D231=0,$E231=0),"Use the format e2e4",IF($G231="","No piece on that square",IF(LEFT($G231,1)&lt;&gt;$F231,"Not your piece ("&amp;IF($F231="w","White","Black")&amp;" to move)",IF($D231=$E231,"Piece must move",IF(AND($H231&lt;&gt;"",LEFT($H231,1)=$F231),"Cannot capture your own piece",IF($O231=0,"Illegal move for that piece (or path blocked)","OK"))))))))</f>
        <v/>
      </c>
      <c r="R231" s="11" t="n">
        <f aca="false">IF($P231=1,IF(AND($K231="P",ABS($J231)=2),($D231+$E231)/2,0),$R230)</f>
        <v>0</v>
      </c>
      <c r="S231" s="12" t="b">
        <f aca="false">--OR($S230=1,AND($P231=1,OR($D231=5,$E231=5)))</f>
        <v>0</v>
      </c>
      <c r="T231" s="12" t="b">
        <f aca="false">--OR($T230=1,AND($P231=1,OR($D231=1,$E231=1)))</f>
        <v>0</v>
      </c>
      <c r="U231" s="12" t="b">
        <f aca="false">--OR($U230=1,AND($P231=1,OR($D231=8,$E231=8)))</f>
        <v>0</v>
      </c>
      <c r="V231" s="12" t="b">
        <f aca="false">--OR($V230=1,AND($P231=1,OR($D231=61,$E231=61)))</f>
        <v>0</v>
      </c>
      <c r="W231" s="12" t="b">
        <f aca="false">--OR($W230=1,AND($P231=1,OR($D231=57,$E231=57)))</f>
        <v>0</v>
      </c>
      <c r="X231" s="12" t="b">
        <f aca="false">--OR($X230=1,AND($P231=1,OR($D231=64,$E231=64)))</f>
        <v>0</v>
      </c>
      <c r="Y231" s="12" t="b">
        <f aca="false">--AND($P231=1,$K231="K",ABS($I231)=2)</f>
        <v>0</v>
      </c>
      <c r="Z231" s="12" t="b">
        <f aca="false">--AND($P231=1,$K231="P",ABS($I231)=1,$H231="")</f>
        <v>0</v>
      </c>
      <c r="AA231" s="12" t="b">
        <f aca="false">--AND($P231=1,$K231="P",INT(($E231-1)/8)=IF($F231="w",7,0))</f>
        <v>0</v>
      </c>
      <c r="AB231" s="11" t="str">
        <f aca="false">IF(LEN($C231)&gt;=5,IF(ISNUMBER(FIND(MID($C231,5,1),"qrbn")),UPPER(MID($C231,5,1)),"Q"),"Q")</f>
        <v>Q</v>
      </c>
      <c r="AC231" s="11" t="n">
        <f aca="false">IF($Y231=1,IF($I231=2,$D231+3,$D231-4),0)</f>
        <v>0</v>
      </c>
      <c r="AD231" s="11" t="n">
        <f aca="false">IF($Y231=1,IF($I231=2,$D231+1,$D231-1),0)</f>
        <v>0</v>
      </c>
      <c r="AE231" s="11" t="n">
        <f aca="false">IF($Z231=1,$E231-8*IF($F231="w",1,-1),0)</f>
        <v>0</v>
      </c>
      <c r="AF231" s="11" t="str">
        <f aca="false">IF($B231="","",IF($P231=1,LOWER(INDEX($CV$2:$CV$13,MATCH($G231,$CU$2:$CU$13,0)))&amp;" "&amp;MID("abcdefgh",MOD($D231-1,8)+1,1)&amp;(INT(($D231-1)/8)+1)&amp;"→"&amp;MID("abcdefgh",MOD($E231-1,8)+1,1)&amp;(INT(($E231-1)/8)+1)&amp;IF(OR($H231&lt;&gt;"",$Z231=1)," ×","")&amp;IF($Y231=1," castles","")&amp;IF($Z231=1," e.p.","")&amp;IF($AA231=1," =" &amp;LOWER(INDEX($CV$2:$CV$13,MATCH($F231&amp;$AB231,$CU$2:$CU$13,0))),""),"X "&amp;$Q231))</f>
        <v/>
      </c>
      <c r="AG231" s="11"/>
      <c r="AH231" s="11" t="str">
        <f aca="false">IF($P231=0,AH230,IF(AH$3=$E231,IF($AA231=1,$F231&amp;$AB231,$G231),IF(OR(AH$3=$D231,AH$3=$AC231,AH$3=$AE231),"",IF(AH$3=$AD231,$F231&amp;"R",AH230))))</f>
        <v>wR</v>
      </c>
      <c r="AI231" s="11" t="str">
        <f aca="false">IF($P231=0,AI230,IF(AI$3=$E231,IF($AA231=1,$F231&amp;$AB231,$G231),IF(OR(AI$3=$D231,AI$3=$AC231,AI$3=$AE231),"",IF(AI$3=$AD231,$F231&amp;"R",AI230))))</f>
        <v>wN</v>
      </c>
      <c r="AJ231" s="11" t="str">
        <f aca="false">IF($P231=0,AJ230,IF(AJ$3=$E231,IF($AA231=1,$F231&amp;$AB231,$G231),IF(OR(AJ$3=$D231,AJ$3=$AC231,AJ$3=$AE231),"",IF(AJ$3=$AD231,$F231&amp;"R",AJ230))))</f>
        <v>wB</v>
      </c>
      <c r="AK231" s="11" t="str">
        <f aca="false">IF($P231=0,AK230,IF(AK$3=$E231,IF($AA231=1,$F231&amp;$AB231,$G231),IF(OR(AK$3=$D231,AK$3=$AC231,AK$3=$AE231),"",IF(AK$3=$AD231,$F231&amp;"R",AK230))))</f>
        <v>wQ</v>
      </c>
      <c r="AL231" s="11" t="str">
        <f aca="false">IF($P231=0,AL230,IF(AL$3=$E231,IF($AA231=1,$F231&amp;$AB231,$G231),IF(OR(AL$3=$D231,AL$3=$AC231,AL$3=$AE231),"",IF(AL$3=$AD231,$F231&amp;"R",AL230))))</f>
        <v>wK</v>
      </c>
      <c r="AM231" s="11" t="str">
        <f aca="false">IF($P231=0,AM230,IF(AM$3=$E231,IF($AA231=1,$F231&amp;$AB231,$G231),IF(OR(AM$3=$D231,AM$3=$AC231,AM$3=$AE231),"",IF(AM$3=$AD231,$F231&amp;"R",AM230))))</f>
        <v>wB</v>
      </c>
      <c r="AN231" s="11" t="str">
        <f aca="false">IF($P231=0,AN230,IF(AN$3=$E231,IF($AA231=1,$F231&amp;$AB231,$G231),IF(OR(AN$3=$D231,AN$3=$AC231,AN$3=$AE231),"",IF(AN$3=$AD231,$F231&amp;"R",AN230))))</f>
        <v>wN</v>
      </c>
      <c r="AO231" s="11" t="str">
        <f aca="false">IF($P231=0,AO230,IF(AO$3=$E231,IF($AA231=1,$F231&amp;$AB231,$G231),IF(OR(AO$3=$D231,AO$3=$AC231,AO$3=$AE231),"",IF(AO$3=$AD231,$F231&amp;"R",AO230))))</f>
        <v>wR</v>
      </c>
      <c r="AP231" s="11" t="str">
        <f aca="false">IF($P231=0,AP230,IF(AP$3=$E231,IF($AA231=1,$F231&amp;$AB231,$G231),IF(OR(AP$3=$D231,AP$3=$AC231,AP$3=$AE231),"",IF(AP$3=$AD231,$F231&amp;"R",AP230))))</f>
        <v>wP</v>
      </c>
      <c r="AQ231" s="11" t="str">
        <f aca="false">IF($P231=0,AQ230,IF(AQ$3=$E231,IF($AA231=1,$F231&amp;$AB231,$G231),IF(OR(AQ$3=$D231,AQ$3=$AC231,AQ$3=$AE231),"",IF(AQ$3=$AD231,$F231&amp;"R",AQ230))))</f>
        <v>wP</v>
      </c>
      <c r="AR231" s="11" t="str">
        <f aca="false">IF($P231=0,AR230,IF(AR$3=$E231,IF($AA231=1,$F231&amp;$AB231,$G231),IF(OR(AR$3=$D231,AR$3=$AC231,AR$3=$AE231),"",IF(AR$3=$AD231,$F231&amp;"R",AR230))))</f>
        <v>wP</v>
      </c>
      <c r="AS231" s="11" t="str">
        <f aca="false">IF($P231=0,AS230,IF(AS$3=$E231,IF($AA231=1,$F231&amp;$AB231,$G231),IF(OR(AS$3=$D231,AS$3=$AC231,AS$3=$AE231),"",IF(AS$3=$AD231,$F231&amp;"R",AS230))))</f>
        <v>wP</v>
      </c>
      <c r="AT231" s="11" t="str">
        <f aca="false">IF($P231=0,AT230,IF(AT$3=$E231,IF($AA231=1,$F231&amp;$AB231,$G231),IF(OR(AT$3=$D231,AT$3=$AC231,AT$3=$AE231),"",IF(AT$3=$AD231,$F231&amp;"R",AT230))))</f>
        <v>wP</v>
      </c>
      <c r="AU231" s="11" t="str">
        <f aca="false">IF($P231=0,AU230,IF(AU$3=$E231,IF($AA231=1,$F231&amp;$AB231,$G231),IF(OR(AU$3=$D231,AU$3=$AC231,AU$3=$AE231),"",IF(AU$3=$AD231,$F231&amp;"R",AU230))))</f>
        <v>wP</v>
      </c>
      <c r="AV231" s="11" t="str">
        <f aca="false">IF($P231=0,AV230,IF(AV$3=$E231,IF($AA231=1,$F231&amp;$AB231,$G231),IF(OR(AV$3=$D231,AV$3=$AC231,AV$3=$AE231),"",IF(AV$3=$AD231,$F231&amp;"R",AV230))))</f>
        <v>wP</v>
      </c>
      <c r="AW231" s="11" t="str">
        <f aca="false">IF($P231=0,AW230,IF(AW$3=$E231,IF($AA231=1,$F231&amp;$AB231,$G231),IF(OR(AW$3=$D231,AW$3=$AC231,AW$3=$AE231),"",IF(AW$3=$AD231,$F231&amp;"R",AW230))))</f>
        <v>wP</v>
      </c>
      <c r="AX231" s="11" t="str">
        <f aca="false">IF($P231=0,AX230,IF(AX$3=$E231,IF($AA231=1,$F231&amp;$AB231,$G231),IF(OR(AX$3=$D231,AX$3=$AC231,AX$3=$AE231),"",IF(AX$3=$AD231,$F231&amp;"R",AX230))))</f>
        <v/>
      </c>
      <c r="AY231" s="11" t="str">
        <f aca="false">IF($P231=0,AY230,IF(AY$3=$E231,IF($AA231=1,$F231&amp;$AB231,$G231),IF(OR(AY$3=$D231,AY$3=$AC231,AY$3=$AE231),"",IF(AY$3=$AD231,$F231&amp;"R",AY230))))</f>
        <v/>
      </c>
      <c r="AZ231" s="11" t="str">
        <f aca="false">IF($P231=0,AZ230,IF(AZ$3=$E231,IF($AA231=1,$F231&amp;$AB231,$G231),IF(OR(AZ$3=$D231,AZ$3=$AC231,AZ$3=$AE231),"",IF(AZ$3=$AD231,$F231&amp;"R",AZ230))))</f>
        <v/>
      </c>
      <c r="BA231" s="11" t="str">
        <f aca="false">IF($P231=0,BA230,IF(BA$3=$E231,IF($AA231=1,$F231&amp;$AB231,$G231),IF(OR(BA$3=$D231,BA$3=$AC231,BA$3=$AE231),"",IF(BA$3=$AD231,$F231&amp;"R",BA230))))</f>
        <v/>
      </c>
      <c r="BB231" s="11" t="str">
        <f aca="false">IF($P231=0,BB230,IF(BB$3=$E231,IF($AA231=1,$F231&amp;$AB231,$G231),IF(OR(BB$3=$D231,BB$3=$AC231,BB$3=$AE231),"",IF(BB$3=$AD231,$F231&amp;"R",BB230))))</f>
        <v/>
      </c>
      <c r="BC231" s="11" t="str">
        <f aca="false">IF($P231=0,BC230,IF(BC$3=$E231,IF($AA231=1,$F231&amp;$AB231,$G231),IF(OR(BC$3=$D231,BC$3=$AC231,BC$3=$AE231),"",IF(BC$3=$AD231,$F231&amp;"R",BC230))))</f>
        <v/>
      </c>
      <c r="BD231" s="11" t="str">
        <f aca="false">IF($P231=0,BD230,IF(BD$3=$E231,IF($AA231=1,$F231&amp;$AB231,$G231),IF(OR(BD$3=$D231,BD$3=$AC231,BD$3=$AE231),"",IF(BD$3=$AD231,$F231&amp;"R",BD230))))</f>
        <v/>
      </c>
      <c r="BE231" s="11" t="str">
        <f aca="false">IF($P231=0,BE230,IF(BE$3=$E231,IF($AA231=1,$F231&amp;$AB231,$G231),IF(OR(BE$3=$D231,BE$3=$AC231,BE$3=$AE231),"",IF(BE$3=$AD231,$F231&amp;"R",BE230))))</f>
        <v/>
      </c>
      <c r="BF231" s="11" t="str">
        <f aca="false">IF($P231=0,BF230,IF(BF$3=$E231,IF($AA231=1,$F231&amp;$AB231,$G231),IF(OR(BF$3=$D231,BF$3=$AC231,BF$3=$AE231),"",IF(BF$3=$AD231,$F231&amp;"R",BF230))))</f>
        <v/>
      </c>
      <c r="BG231" s="11" t="str">
        <f aca="false">IF($P231=0,BG230,IF(BG$3=$E231,IF($AA231=1,$F231&amp;$AB231,$G231),IF(OR(BG$3=$D231,BG$3=$AC231,BG$3=$AE231),"",IF(BG$3=$AD231,$F231&amp;"R",BG230))))</f>
        <v/>
      </c>
      <c r="BH231" s="11" t="str">
        <f aca="false">IF($P231=0,BH230,IF(BH$3=$E231,IF($AA231=1,$F231&amp;$AB231,$G231),IF(OR(BH$3=$D231,BH$3=$AC231,BH$3=$AE231),"",IF(BH$3=$AD231,$F231&amp;"R",BH230))))</f>
        <v/>
      </c>
      <c r="BI231" s="11" t="str">
        <f aca="false">IF($P231=0,BI230,IF(BI$3=$E231,IF($AA231=1,$F231&amp;$AB231,$G231),IF(OR(BI$3=$D231,BI$3=$AC231,BI$3=$AE231),"",IF(BI$3=$AD231,$F231&amp;"R",BI230))))</f>
        <v/>
      </c>
      <c r="BJ231" s="11" t="str">
        <f aca="false">IF($P231=0,BJ230,IF(BJ$3=$E231,IF($AA231=1,$F231&amp;$AB231,$G231),IF(OR(BJ$3=$D231,BJ$3=$AC231,BJ$3=$AE231),"",IF(BJ$3=$AD231,$F231&amp;"R",BJ230))))</f>
        <v/>
      </c>
      <c r="BK231" s="11" t="str">
        <f aca="false">IF($P231=0,BK230,IF(BK$3=$E231,IF($AA231=1,$F231&amp;$AB231,$G231),IF(OR(BK$3=$D231,BK$3=$AC231,BK$3=$AE231),"",IF(BK$3=$AD231,$F231&amp;"R",BK230))))</f>
        <v/>
      </c>
      <c r="BL231" s="11" t="str">
        <f aca="false">IF($P231=0,BL230,IF(BL$3=$E231,IF($AA231=1,$F231&amp;$AB231,$G231),IF(OR(BL$3=$D231,BL$3=$AC231,BL$3=$AE231),"",IF(BL$3=$AD231,$F231&amp;"R",BL230))))</f>
        <v/>
      </c>
      <c r="BM231" s="11" t="str">
        <f aca="false">IF($P231=0,BM230,IF(BM$3=$E231,IF($AA231=1,$F231&amp;$AB231,$G231),IF(OR(BM$3=$D231,BM$3=$AC231,BM$3=$AE231),"",IF(BM$3=$AD231,$F231&amp;"R",BM230))))</f>
        <v/>
      </c>
      <c r="BN231" s="11" t="str">
        <f aca="false">IF($P231=0,BN230,IF(BN$3=$E231,IF($AA231=1,$F231&amp;$AB231,$G231),IF(OR(BN$3=$D231,BN$3=$AC231,BN$3=$AE231),"",IF(BN$3=$AD231,$F231&amp;"R",BN230))))</f>
        <v/>
      </c>
      <c r="BO231" s="11" t="str">
        <f aca="false">IF($P231=0,BO230,IF(BO$3=$E231,IF($AA231=1,$F231&amp;$AB231,$G231),IF(OR(BO$3=$D231,BO$3=$AC231,BO$3=$AE231),"",IF(BO$3=$AD231,$F231&amp;"R",BO230))))</f>
        <v/>
      </c>
      <c r="BP231" s="11" t="str">
        <f aca="false">IF($P231=0,BP230,IF(BP$3=$E231,IF($AA231=1,$F231&amp;$AB231,$G231),IF(OR(BP$3=$D231,BP$3=$AC231,BP$3=$AE231),"",IF(BP$3=$AD231,$F231&amp;"R",BP230))))</f>
        <v/>
      </c>
      <c r="BQ231" s="11" t="str">
        <f aca="false">IF($P231=0,BQ230,IF(BQ$3=$E231,IF($AA231=1,$F231&amp;$AB231,$G231),IF(OR(BQ$3=$D231,BQ$3=$AC231,BQ$3=$AE231),"",IF(BQ$3=$AD231,$F231&amp;"R",BQ230))))</f>
        <v/>
      </c>
      <c r="BR231" s="11" t="str">
        <f aca="false">IF($P231=0,BR230,IF(BR$3=$E231,IF($AA231=1,$F231&amp;$AB231,$G231),IF(OR(BR$3=$D231,BR$3=$AC231,BR$3=$AE231),"",IF(BR$3=$AD231,$F231&amp;"R",BR230))))</f>
        <v/>
      </c>
      <c r="BS231" s="11" t="str">
        <f aca="false">IF($P231=0,BS230,IF(BS$3=$E231,IF($AA231=1,$F231&amp;$AB231,$G231),IF(OR(BS$3=$D231,BS$3=$AC231,BS$3=$AE231),"",IF(BS$3=$AD231,$F231&amp;"R",BS230))))</f>
        <v/>
      </c>
      <c r="BT231" s="11" t="str">
        <f aca="false">IF($P231=0,BT230,IF(BT$3=$E231,IF($AA231=1,$F231&amp;$AB231,$G231),IF(OR(BT$3=$D231,BT$3=$AC231,BT$3=$AE231),"",IF(BT$3=$AD231,$F231&amp;"R",BT230))))</f>
        <v/>
      </c>
      <c r="BU231" s="11" t="str">
        <f aca="false">IF($P231=0,BU230,IF(BU$3=$E231,IF($AA231=1,$F231&amp;$AB231,$G231),IF(OR(BU$3=$D231,BU$3=$AC231,BU$3=$AE231),"",IF(BU$3=$AD231,$F231&amp;"R",BU230))))</f>
        <v/>
      </c>
      <c r="BV231" s="11" t="str">
        <f aca="false">IF($P231=0,BV230,IF(BV$3=$E231,IF($AA231=1,$F231&amp;$AB231,$G231),IF(OR(BV$3=$D231,BV$3=$AC231,BV$3=$AE231),"",IF(BV$3=$AD231,$F231&amp;"R",BV230))))</f>
        <v/>
      </c>
      <c r="BW231" s="11" t="str">
        <f aca="false">IF($P231=0,BW230,IF(BW$3=$E231,IF($AA231=1,$F231&amp;$AB231,$G231),IF(OR(BW$3=$D231,BW$3=$AC231,BW$3=$AE231),"",IF(BW$3=$AD231,$F231&amp;"R",BW230))))</f>
        <v/>
      </c>
      <c r="BX231" s="11" t="str">
        <f aca="false">IF($P231=0,BX230,IF(BX$3=$E231,IF($AA231=1,$F231&amp;$AB231,$G231),IF(OR(BX$3=$D231,BX$3=$AC231,BX$3=$AE231),"",IF(BX$3=$AD231,$F231&amp;"R",BX230))))</f>
        <v/>
      </c>
      <c r="BY231" s="11" t="str">
        <f aca="false">IF($P231=0,BY230,IF(BY$3=$E231,IF($AA231=1,$F231&amp;$AB231,$G231),IF(OR(BY$3=$D231,BY$3=$AC231,BY$3=$AE231),"",IF(BY$3=$AD231,$F231&amp;"R",BY230))))</f>
        <v/>
      </c>
      <c r="BZ231" s="11" t="str">
        <f aca="false">IF($P231=0,BZ230,IF(BZ$3=$E231,IF($AA231=1,$F231&amp;$AB231,$G231),IF(OR(BZ$3=$D231,BZ$3=$AC231,BZ$3=$AE231),"",IF(BZ$3=$AD231,$F231&amp;"R",BZ230))))</f>
        <v/>
      </c>
      <c r="CA231" s="11" t="str">
        <f aca="false">IF($P231=0,CA230,IF(CA$3=$E231,IF($AA231=1,$F231&amp;$AB231,$G231),IF(OR(CA$3=$D231,CA$3=$AC231,CA$3=$AE231),"",IF(CA$3=$AD231,$F231&amp;"R",CA230))))</f>
        <v/>
      </c>
      <c r="CB231" s="11" t="str">
        <f aca="false">IF($P231=0,CB230,IF(CB$3=$E231,IF($AA231=1,$F231&amp;$AB231,$G231),IF(OR(CB$3=$D231,CB$3=$AC231,CB$3=$AE231),"",IF(CB$3=$AD231,$F231&amp;"R",CB230))))</f>
        <v/>
      </c>
      <c r="CC231" s="11" t="str">
        <f aca="false">IF($P231=0,CC230,IF(CC$3=$E231,IF($AA231=1,$F231&amp;$AB231,$G231),IF(OR(CC$3=$D231,CC$3=$AC231,CC$3=$AE231),"",IF(CC$3=$AD231,$F231&amp;"R",CC230))))</f>
        <v/>
      </c>
      <c r="CD231" s="11" t="str">
        <f aca="false">IF($P231=0,CD230,IF(CD$3=$E231,IF($AA231=1,$F231&amp;$AB231,$G231),IF(OR(CD$3=$D231,CD$3=$AC231,CD$3=$AE231),"",IF(CD$3=$AD231,$F231&amp;"R",CD230))))</f>
        <v>bP</v>
      </c>
      <c r="CE231" s="11" t="str">
        <f aca="false">IF($P231=0,CE230,IF(CE$3=$E231,IF($AA231=1,$F231&amp;$AB231,$G231),IF(OR(CE$3=$D231,CE$3=$AC231,CE$3=$AE231),"",IF(CE$3=$AD231,$F231&amp;"R",CE230))))</f>
        <v>bP</v>
      </c>
      <c r="CF231" s="11" t="str">
        <f aca="false">IF($P231=0,CF230,IF(CF$3=$E231,IF($AA231=1,$F231&amp;$AB231,$G231),IF(OR(CF$3=$D231,CF$3=$AC231,CF$3=$AE231),"",IF(CF$3=$AD231,$F231&amp;"R",CF230))))</f>
        <v>bP</v>
      </c>
      <c r="CG231" s="11" t="str">
        <f aca="false">IF($P231=0,CG230,IF(CG$3=$E231,IF($AA231=1,$F231&amp;$AB231,$G231),IF(OR(CG$3=$D231,CG$3=$AC231,CG$3=$AE231),"",IF(CG$3=$AD231,$F231&amp;"R",CG230))))</f>
        <v>bP</v>
      </c>
      <c r="CH231" s="11" t="str">
        <f aca="false">IF($P231=0,CH230,IF(CH$3=$E231,IF($AA231=1,$F231&amp;$AB231,$G231),IF(OR(CH$3=$D231,CH$3=$AC231,CH$3=$AE231),"",IF(CH$3=$AD231,$F231&amp;"R",CH230))))</f>
        <v>bP</v>
      </c>
      <c r="CI231" s="11" t="str">
        <f aca="false">IF($P231=0,CI230,IF(CI$3=$E231,IF($AA231=1,$F231&amp;$AB231,$G231),IF(OR(CI$3=$D231,CI$3=$AC231,CI$3=$AE231),"",IF(CI$3=$AD231,$F231&amp;"R",CI230))))</f>
        <v>bP</v>
      </c>
      <c r="CJ231" s="11" t="str">
        <f aca="false">IF($P231=0,CJ230,IF(CJ$3=$E231,IF($AA231=1,$F231&amp;$AB231,$G231),IF(OR(CJ$3=$D231,CJ$3=$AC231,CJ$3=$AE231),"",IF(CJ$3=$AD231,$F231&amp;"R",CJ230))))</f>
        <v>bP</v>
      </c>
      <c r="CK231" s="11" t="str">
        <f aca="false">IF($P231=0,CK230,IF(CK$3=$E231,IF($AA231=1,$F231&amp;$AB231,$G231),IF(OR(CK$3=$D231,CK$3=$AC231,CK$3=$AE231),"",IF(CK$3=$AD231,$F231&amp;"R",CK230))))</f>
        <v>bP</v>
      </c>
      <c r="CL231" s="11" t="str">
        <f aca="false">IF($P231=0,CL230,IF(CL$3=$E231,IF($AA231=1,$F231&amp;$AB231,$G231),IF(OR(CL$3=$D231,CL$3=$AC231,CL$3=$AE231),"",IF(CL$3=$AD231,$F231&amp;"R",CL230))))</f>
        <v>bR</v>
      </c>
      <c r="CM231" s="11" t="str">
        <f aca="false">IF($P231=0,CM230,IF(CM$3=$E231,IF($AA231=1,$F231&amp;$AB231,$G231),IF(OR(CM$3=$D231,CM$3=$AC231,CM$3=$AE231),"",IF(CM$3=$AD231,$F231&amp;"R",CM230))))</f>
        <v>bN</v>
      </c>
      <c r="CN231" s="11" t="str">
        <f aca="false">IF($P231=0,CN230,IF(CN$3=$E231,IF($AA231=1,$F231&amp;$AB231,$G231),IF(OR(CN$3=$D231,CN$3=$AC231,CN$3=$AE231),"",IF(CN$3=$AD231,$F231&amp;"R",CN230))))</f>
        <v>bB</v>
      </c>
      <c r="CO231" s="11" t="str">
        <f aca="false">IF($P231=0,CO230,IF(CO$3=$E231,IF($AA231=1,$F231&amp;$AB231,$G231),IF(OR(CO$3=$D231,CO$3=$AC231,CO$3=$AE231),"",IF(CO$3=$AD231,$F231&amp;"R",CO230))))</f>
        <v>bQ</v>
      </c>
      <c r="CP231" s="11" t="str">
        <f aca="false">IF($P231=0,CP230,IF(CP$3=$E231,IF($AA231=1,$F231&amp;$AB231,$G231),IF(OR(CP$3=$D231,CP$3=$AC231,CP$3=$AE231),"",IF(CP$3=$AD231,$F231&amp;"R",CP230))))</f>
        <v>bK</v>
      </c>
      <c r="CQ231" s="11" t="str">
        <f aca="false">IF($P231=0,CQ230,IF(CQ$3=$E231,IF($AA231=1,$F231&amp;$AB231,$G231),IF(OR(CQ$3=$D231,CQ$3=$AC231,CQ$3=$AE231),"",IF(CQ$3=$AD231,$F231&amp;"R",CQ230))))</f>
        <v>bB</v>
      </c>
      <c r="CR231" s="11" t="str">
        <f aca="false">IF($P231=0,CR230,IF(CR$3=$E231,IF($AA231=1,$F231&amp;$AB231,$G231),IF(OR(CR$3=$D231,CR$3=$AC231,CR$3=$AE231),"",IF(CR$3=$AD231,$F231&amp;"R",CR230))))</f>
        <v>bN</v>
      </c>
      <c r="CS231" s="11" t="str">
        <f aca="false">IF($P231=0,CS230,IF(CS$3=$E231,IF($AA231=1,$F231&amp;$AB231,$G231),IF(OR(CS$3=$D231,CS$3=$AC231,CS$3=$AE231),"",IF(CS$3=$AD231,$F231&amp;"R",CS230))))</f>
        <v>bR</v>
      </c>
      <c r="CT231" s="11"/>
      <c r="CU231" s="11"/>
      <c r="CV231" s="11"/>
    </row>
    <row r="232" customFormat="false" ht="15" hidden="false" customHeight="false" outlineLevel="0" collapsed="false">
      <c r="A232" s="11" t="n">
        <v>227</v>
      </c>
      <c r="B232" s="11" t="str">
        <f aca="false">IF(Chess!$L$236="","",Chess!$L$236&amp;"")</f>
        <v/>
      </c>
      <c r="C232" s="11" t="str">
        <f aca="false">LOWER(SUBSTITUTE(SUBSTITUTE(SUBSTITUTE(SUBSTITUTE(TRIM($B232),"-",""),"=","")," ",""),"x",""))</f>
        <v/>
      </c>
      <c r="D232" s="11" t="n">
        <f aca="false">IF(LEN($C232)&lt;4,0,IFERROR(IF(AND(CODE(MID($C232,1,1))&gt;=97,CODE(MID($C232,1,1))&lt;=104,VALUE(MID($C232,2,1))&gt;=1,VALUE(MID($C232,2,1))&lt;=8),(VALUE(MID($C232,2,1))-1)*8+CODE(MID($C232,1,1))-96,0),0))</f>
        <v>0</v>
      </c>
      <c r="E232" s="11" t="n">
        <f aca="false">IF(LEN($C232)&lt;4,0,IFERROR(IF(AND(CODE(MID($C232,3,1))&gt;=97,CODE(MID($C232,3,1))&lt;=104,VALUE(MID($C232,4,1))&gt;=1,VALUE(MID($C232,4,1))&lt;=8),(VALUE(MID($C232,4,1))-1)*8+CODE(MID($C232,3,1))-96,0),0))</f>
        <v>0</v>
      </c>
      <c r="F232" s="11" t="str">
        <f aca="false">IF(MOD(SUM($P$5:$P231),2)=0,"w","b")</f>
        <v>w</v>
      </c>
      <c r="G232" s="11" t="str">
        <f aca="false">IF($D232=0,"",INDEX($AH231:$CS231,1,$D232)&amp;"")</f>
        <v/>
      </c>
      <c r="H232" s="11" t="str">
        <f aca="false">IF($E232=0,"",INDEX($AH231:$CS231,1,$E232)&amp;"")</f>
        <v/>
      </c>
      <c r="I232" s="11" t="n">
        <f aca="false">IF(OR($D232=0,$E232=0),0,MOD($E232-1,8)-MOD($D232-1,8))</f>
        <v>0</v>
      </c>
      <c r="J232" s="11" t="n">
        <f aca="false">IF(OR($D232=0,$E232=0),0,INT(($E232-1)/8)-INT(($D232-1)/8))</f>
        <v>0</v>
      </c>
      <c r="K232" s="11" t="str">
        <f aca="false">IF($G232="","",RIGHT($G232,1))</f>
        <v/>
      </c>
      <c r="L232" s="11" t="n">
        <f aca="false">IF(OR($D232=0,$E232=0),0,SUMPRODUCT(($AH$3:$CS$3&gt;MIN($D232,$E232))*($AH$3:$CS$3&lt;MAX($D232,$E232))*(MOD($AH$3:$CS$3-MIN($D232,$E232),MAX(1,ABS(SIGN($J232)*8+SIGN($I232))))=0)*($AH231:$CS231&lt;&gt;"")))</f>
        <v>0</v>
      </c>
      <c r="M232" s="11" t="n">
        <f aca="false">IF($K232&lt;&gt;"K",0,IFERROR(--AND($J232=0,ABS($I232)=2,$D232=IF($F232="w",5,61),IF($F232="w",$S231,$V231)=0,IF($I232=2,AND(IF($F232="w",$U231,$X231)=0,INDEX($AH231:$CS231,1,$D232+1)&amp;""="",INDEX($AH231:$CS231,1,$D232+2)&amp;""=""),AND(IF($F232="w",$T231,$W231)=0,INDEX($AH231:$CS231,1,$D232-1)&amp;""="",INDEX($AH231:$CS231,1,$D232-2)&amp;""="",INDEX($AH231:$CS231,1,$D232-3)&amp;""=""))),0))</f>
        <v>0</v>
      </c>
      <c r="N232" s="11" t="n">
        <f aca="false">IF($K232&lt;&gt;"P",0,IFERROR(--OR(AND($I232=0,$J232=IF($F232="w",1,-1),$H232=""),AND($I232=0,$J232=2*IF($F232="w",1,-1),$H232="",INT(($D232-1)/8)=IF($F232="w",1,6),INDEX($AH231:$CS231,1,MAX(1,MIN(64,$D232+8*IF($F232="w",1,-1))))&amp;""=""),AND(ABS($I232)=1,$J232=IF($F232="w",1,-1),$H232&lt;&gt;""),AND(ABS($I232)=1,$J232=IF($F232="w",1,-1),$H232="",$R231&gt;0,$E232=$R231)),0))</f>
        <v>0</v>
      </c>
      <c r="O232" s="11" t="n">
        <f aca="false">IF(OR($D232=0,$E232=0,$G232=""),0,IF($K232="N",--OR(AND(ABS($I232)=1,ABS($J232)=2),AND(ABS($I232)=2,ABS($J232)=1)),IF($K232="B",--AND(ABS($I232)=ABS($J232),$I232&lt;&gt;0,$L232=0),IF($K232="R",--AND(OR($I232=0,$J232=0),OR($I232&lt;&gt;0,$J232&lt;&gt;0),$L232=0),IF($K232="Q",--AND(OR(AND(ABS($I232)=ABS($J232),$I232&lt;&gt;0),AND(OR($I232=0,$J232=0),OR($I232&lt;&gt;0,$J232&lt;&gt;0))),$L232=0),IF($K232="K",--OR(MAX(ABS($I232),ABS($J232))=1,$M232=1),$N232))))))</f>
        <v>0</v>
      </c>
      <c r="P232" s="11" t="n">
        <f aca="false">IF($Q232="OK",1,0)</f>
        <v>0</v>
      </c>
      <c r="Q232" s="11" t="str">
        <f aca="false">IF($B232="","",IF(OR(COUNTIF($AH231:$CS231,"wK")=0,COUNTIF($AH231:$CS231,"bK")=0),"Game is over",IF(OR($D232=0,$E232=0),"Use the format e2e4",IF($G232="","No piece on that square",IF(LEFT($G232,1)&lt;&gt;$F232,"Not your piece ("&amp;IF($F232="w","White","Black")&amp;" to move)",IF($D232=$E232,"Piece must move",IF(AND($H232&lt;&gt;"",LEFT($H232,1)=$F232),"Cannot capture your own piece",IF($O232=0,"Illegal move for that piece (or path blocked)","OK"))))))))</f>
        <v/>
      </c>
      <c r="R232" s="11" t="n">
        <f aca="false">IF($P232=1,IF(AND($K232="P",ABS($J232)=2),($D232+$E232)/2,0),$R231)</f>
        <v>0</v>
      </c>
      <c r="S232" s="12" t="b">
        <f aca="false">--OR($S231=1,AND($P232=1,OR($D232=5,$E232=5)))</f>
        <v>0</v>
      </c>
      <c r="T232" s="12" t="b">
        <f aca="false">--OR($T231=1,AND($P232=1,OR($D232=1,$E232=1)))</f>
        <v>0</v>
      </c>
      <c r="U232" s="12" t="b">
        <f aca="false">--OR($U231=1,AND($P232=1,OR($D232=8,$E232=8)))</f>
        <v>0</v>
      </c>
      <c r="V232" s="12" t="b">
        <f aca="false">--OR($V231=1,AND($P232=1,OR($D232=61,$E232=61)))</f>
        <v>0</v>
      </c>
      <c r="W232" s="12" t="b">
        <f aca="false">--OR($W231=1,AND($P232=1,OR($D232=57,$E232=57)))</f>
        <v>0</v>
      </c>
      <c r="X232" s="12" t="b">
        <f aca="false">--OR($X231=1,AND($P232=1,OR($D232=64,$E232=64)))</f>
        <v>0</v>
      </c>
      <c r="Y232" s="12" t="b">
        <f aca="false">--AND($P232=1,$K232="K",ABS($I232)=2)</f>
        <v>0</v>
      </c>
      <c r="Z232" s="12" t="b">
        <f aca="false">--AND($P232=1,$K232="P",ABS($I232)=1,$H232="")</f>
        <v>0</v>
      </c>
      <c r="AA232" s="12" t="b">
        <f aca="false">--AND($P232=1,$K232="P",INT(($E232-1)/8)=IF($F232="w",7,0))</f>
        <v>0</v>
      </c>
      <c r="AB232" s="11" t="str">
        <f aca="false">IF(LEN($C232)&gt;=5,IF(ISNUMBER(FIND(MID($C232,5,1),"qrbn")),UPPER(MID($C232,5,1)),"Q"),"Q")</f>
        <v>Q</v>
      </c>
      <c r="AC232" s="11" t="n">
        <f aca="false">IF($Y232=1,IF($I232=2,$D232+3,$D232-4),0)</f>
        <v>0</v>
      </c>
      <c r="AD232" s="11" t="n">
        <f aca="false">IF($Y232=1,IF($I232=2,$D232+1,$D232-1),0)</f>
        <v>0</v>
      </c>
      <c r="AE232" s="11" t="n">
        <f aca="false">IF($Z232=1,$E232-8*IF($F232="w",1,-1),0)</f>
        <v>0</v>
      </c>
      <c r="AF232" s="11" t="str">
        <f aca="false">IF($B232="","",IF($P232=1,LOWER(INDEX($CV$2:$CV$13,MATCH($G232,$CU$2:$CU$13,0)))&amp;" "&amp;MID("abcdefgh",MOD($D232-1,8)+1,1)&amp;(INT(($D232-1)/8)+1)&amp;"→"&amp;MID("abcdefgh",MOD($E232-1,8)+1,1)&amp;(INT(($E232-1)/8)+1)&amp;IF(OR($H232&lt;&gt;"",$Z232=1)," ×","")&amp;IF($Y232=1," castles","")&amp;IF($Z232=1," e.p.","")&amp;IF($AA232=1," =" &amp;LOWER(INDEX($CV$2:$CV$13,MATCH($F232&amp;$AB232,$CU$2:$CU$13,0))),""),"X "&amp;$Q232))</f>
        <v/>
      </c>
      <c r="AG232" s="11"/>
      <c r="AH232" s="11" t="str">
        <f aca="false">IF($P232=0,AH231,IF(AH$3=$E232,IF($AA232=1,$F232&amp;$AB232,$G232),IF(OR(AH$3=$D232,AH$3=$AC232,AH$3=$AE232),"",IF(AH$3=$AD232,$F232&amp;"R",AH231))))</f>
        <v>wR</v>
      </c>
      <c r="AI232" s="11" t="str">
        <f aca="false">IF($P232=0,AI231,IF(AI$3=$E232,IF($AA232=1,$F232&amp;$AB232,$G232),IF(OR(AI$3=$D232,AI$3=$AC232,AI$3=$AE232),"",IF(AI$3=$AD232,$F232&amp;"R",AI231))))</f>
        <v>wN</v>
      </c>
      <c r="AJ232" s="11" t="str">
        <f aca="false">IF($P232=0,AJ231,IF(AJ$3=$E232,IF($AA232=1,$F232&amp;$AB232,$G232),IF(OR(AJ$3=$D232,AJ$3=$AC232,AJ$3=$AE232),"",IF(AJ$3=$AD232,$F232&amp;"R",AJ231))))</f>
        <v>wB</v>
      </c>
      <c r="AK232" s="11" t="str">
        <f aca="false">IF($P232=0,AK231,IF(AK$3=$E232,IF($AA232=1,$F232&amp;$AB232,$G232),IF(OR(AK$3=$D232,AK$3=$AC232,AK$3=$AE232),"",IF(AK$3=$AD232,$F232&amp;"R",AK231))))</f>
        <v>wQ</v>
      </c>
      <c r="AL232" s="11" t="str">
        <f aca="false">IF($P232=0,AL231,IF(AL$3=$E232,IF($AA232=1,$F232&amp;$AB232,$G232),IF(OR(AL$3=$D232,AL$3=$AC232,AL$3=$AE232),"",IF(AL$3=$AD232,$F232&amp;"R",AL231))))</f>
        <v>wK</v>
      </c>
      <c r="AM232" s="11" t="str">
        <f aca="false">IF($P232=0,AM231,IF(AM$3=$E232,IF($AA232=1,$F232&amp;$AB232,$G232),IF(OR(AM$3=$D232,AM$3=$AC232,AM$3=$AE232),"",IF(AM$3=$AD232,$F232&amp;"R",AM231))))</f>
        <v>wB</v>
      </c>
      <c r="AN232" s="11" t="str">
        <f aca="false">IF($P232=0,AN231,IF(AN$3=$E232,IF($AA232=1,$F232&amp;$AB232,$G232),IF(OR(AN$3=$D232,AN$3=$AC232,AN$3=$AE232),"",IF(AN$3=$AD232,$F232&amp;"R",AN231))))</f>
        <v>wN</v>
      </c>
      <c r="AO232" s="11" t="str">
        <f aca="false">IF($P232=0,AO231,IF(AO$3=$E232,IF($AA232=1,$F232&amp;$AB232,$G232),IF(OR(AO$3=$D232,AO$3=$AC232,AO$3=$AE232),"",IF(AO$3=$AD232,$F232&amp;"R",AO231))))</f>
        <v>wR</v>
      </c>
      <c r="AP232" s="11" t="str">
        <f aca="false">IF($P232=0,AP231,IF(AP$3=$E232,IF($AA232=1,$F232&amp;$AB232,$G232),IF(OR(AP$3=$D232,AP$3=$AC232,AP$3=$AE232),"",IF(AP$3=$AD232,$F232&amp;"R",AP231))))</f>
        <v>wP</v>
      </c>
      <c r="AQ232" s="11" t="str">
        <f aca="false">IF($P232=0,AQ231,IF(AQ$3=$E232,IF($AA232=1,$F232&amp;$AB232,$G232),IF(OR(AQ$3=$D232,AQ$3=$AC232,AQ$3=$AE232),"",IF(AQ$3=$AD232,$F232&amp;"R",AQ231))))</f>
        <v>wP</v>
      </c>
      <c r="AR232" s="11" t="str">
        <f aca="false">IF($P232=0,AR231,IF(AR$3=$E232,IF($AA232=1,$F232&amp;$AB232,$G232),IF(OR(AR$3=$D232,AR$3=$AC232,AR$3=$AE232),"",IF(AR$3=$AD232,$F232&amp;"R",AR231))))</f>
        <v>wP</v>
      </c>
      <c r="AS232" s="11" t="str">
        <f aca="false">IF($P232=0,AS231,IF(AS$3=$E232,IF($AA232=1,$F232&amp;$AB232,$G232),IF(OR(AS$3=$D232,AS$3=$AC232,AS$3=$AE232),"",IF(AS$3=$AD232,$F232&amp;"R",AS231))))</f>
        <v>wP</v>
      </c>
      <c r="AT232" s="11" t="str">
        <f aca="false">IF($P232=0,AT231,IF(AT$3=$E232,IF($AA232=1,$F232&amp;$AB232,$G232),IF(OR(AT$3=$D232,AT$3=$AC232,AT$3=$AE232),"",IF(AT$3=$AD232,$F232&amp;"R",AT231))))</f>
        <v>wP</v>
      </c>
      <c r="AU232" s="11" t="str">
        <f aca="false">IF($P232=0,AU231,IF(AU$3=$E232,IF($AA232=1,$F232&amp;$AB232,$G232),IF(OR(AU$3=$D232,AU$3=$AC232,AU$3=$AE232),"",IF(AU$3=$AD232,$F232&amp;"R",AU231))))</f>
        <v>wP</v>
      </c>
      <c r="AV232" s="11" t="str">
        <f aca="false">IF($P232=0,AV231,IF(AV$3=$E232,IF($AA232=1,$F232&amp;$AB232,$G232),IF(OR(AV$3=$D232,AV$3=$AC232,AV$3=$AE232),"",IF(AV$3=$AD232,$F232&amp;"R",AV231))))</f>
        <v>wP</v>
      </c>
      <c r="AW232" s="11" t="str">
        <f aca="false">IF($P232=0,AW231,IF(AW$3=$E232,IF($AA232=1,$F232&amp;$AB232,$G232),IF(OR(AW$3=$D232,AW$3=$AC232,AW$3=$AE232),"",IF(AW$3=$AD232,$F232&amp;"R",AW231))))</f>
        <v>wP</v>
      </c>
      <c r="AX232" s="11" t="str">
        <f aca="false">IF($P232=0,AX231,IF(AX$3=$E232,IF($AA232=1,$F232&amp;$AB232,$G232),IF(OR(AX$3=$D232,AX$3=$AC232,AX$3=$AE232),"",IF(AX$3=$AD232,$F232&amp;"R",AX231))))</f>
        <v/>
      </c>
      <c r="AY232" s="11" t="str">
        <f aca="false">IF($P232=0,AY231,IF(AY$3=$E232,IF($AA232=1,$F232&amp;$AB232,$G232),IF(OR(AY$3=$D232,AY$3=$AC232,AY$3=$AE232),"",IF(AY$3=$AD232,$F232&amp;"R",AY231))))</f>
        <v/>
      </c>
      <c r="AZ232" s="11" t="str">
        <f aca="false">IF($P232=0,AZ231,IF(AZ$3=$E232,IF($AA232=1,$F232&amp;$AB232,$G232),IF(OR(AZ$3=$D232,AZ$3=$AC232,AZ$3=$AE232),"",IF(AZ$3=$AD232,$F232&amp;"R",AZ231))))</f>
        <v/>
      </c>
      <c r="BA232" s="11" t="str">
        <f aca="false">IF($P232=0,BA231,IF(BA$3=$E232,IF($AA232=1,$F232&amp;$AB232,$G232),IF(OR(BA$3=$D232,BA$3=$AC232,BA$3=$AE232),"",IF(BA$3=$AD232,$F232&amp;"R",BA231))))</f>
        <v/>
      </c>
      <c r="BB232" s="11" t="str">
        <f aca="false">IF($P232=0,BB231,IF(BB$3=$E232,IF($AA232=1,$F232&amp;$AB232,$G232),IF(OR(BB$3=$D232,BB$3=$AC232,BB$3=$AE232),"",IF(BB$3=$AD232,$F232&amp;"R",BB231))))</f>
        <v/>
      </c>
      <c r="BC232" s="11" t="str">
        <f aca="false">IF($P232=0,BC231,IF(BC$3=$E232,IF($AA232=1,$F232&amp;$AB232,$G232),IF(OR(BC$3=$D232,BC$3=$AC232,BC$3=$AE232),"",IF(BC$3=$AD232,$F232&amp;"R",BC231))))</f>
        <v/>
      </c>
      <c r="BD232" s="11" t="str">
        <f aca="false">IF($P232=0,BD231,IF(BD$3=$E232,IF($AA232=1,$F232&amp;$AB232,$G232),IF(OR(BD$3=$D232,BD$3=$AC232,BD$3=$AE232),"",IF(BD$3=$AD232,$F232&amp;"R",BD231))))</f>
        <v/>
      </c>
      <c r="BE232" s="11" t="str">
        <f aca="false">IF($P232=0,BE231,IF(BE$3=$E232,IF($AA232=1,$F232&amp;$AB232,$G232),IF(OR(BE$3=$D232,BE$3=$AC232,BE$3=$AE232),"",IF(BE$3=$AD232,$F232&amp;"R",BE231))))</f>
        <v/>
      </c>
      <c r="BF232" s="11" t="str">
        <f aca="false">IF($P232=0,BF231,IF(BF$3=$E232,IF($AA232=1,$F232&amp;$AB232,$G232),IF(OR(BF$3=$D232,BF$3=$AC232,BF$3=$AE232),"",IF(BF$3=$AD232,$F232&amp;"R",BF231))))</f>
        <v/>
      </c>
      <c r="BG232" s="11" t="str">
        <f aca="false">IF($P232=0,BG231,IF(BG$3=$E232,IF($AA232=1,$F232&amp;$AB232,$G232),IF(OR(BG$3=$D232,BG$3=$AC232,BG$3=$AE232),"",IF(BG$3=$AD232,$F232&amp;"R",BG231))))</f>
        <v/>
      </c>
      <c r="BH232" s="11" t="str">
        <f aca="false">IF($P232=0,BH231,IF(BH$3=$E232,IF($AA232=1,$F232&amp;$AB232,$G232),IF(OR(BH$3=$D232,BH$3=$AC232,BH$3=$AE232),"",IF(BH$3=$AD232,$F232&amp;"R",BH231))))</f>
        <v/>
      </c>
      <c r="BI232" s="11" t="str">
        <f aca="false">IF($P232=0,BI231,IF(BI$3=$E232,IF($AA232=1,$F232&amp;$AB232,$G232),IF(OR(BI$3=$D232,BI$3=$AC232,BI$3=$AE232),"",IF(BI$3=$AD232,$F232&amp;"R",BI231))))</f>
        <v/>
      </c>
      <c r="BJ232" s="11" t="str">
        <f aca="false">IF($P232=0,BJ231,IF(BJ$3=$E232,IF($AA232=1,$F232&amp;$AB232,$G232),IF(OR(BJ$3=$D232,BJ$3=$AC232,BJ$3=$AE232),"",IF(BJ$3=$AD232,$F232&amp;"R",BJ231))))</f>
        <v/>
      </c>
      <c r="BK232" s="11" t="str">
        <f aca="false">IF($P232=0,BK231,IF(BK$3=$E232,IF($AA232=1,$F232&amp;$AB232,$G232),IF(OR(BK$3=$D232,BK$3=$AC232,BK$3=$AE232),"",IF(BK$3=$AD232,$F232&amp;"R",BK231))))</f>
        <v/>
      </c>
      <c r="BL232" s="11" t="str">
        <f aca="false">IF($P232=0,BL231,IF(BL$3=$E232,IF($AA232=1,$F232&amp;$AB232,$G232),IF(OR(BL$3=$D232,BL$3=$AC232,BL$3=$AE232),"",IF(BL$3=$AD232,$F232&amp;"R",BL231))))</f>
        <v/>
      </c>
      <c r="BM232" s="11" t="str">
        <f aca="false">IF($P232=0,BM231,IF(BM$3=$E232,IF($AA232=1,$F232&amp;$AB232,$G232),IF(OR(BM$3=$D232,BM$3=$AC232,BM$3=$AE232),"",IF(BM$3=$AD232,$F232&amp;"R",BM231))))</f>
        <v/>
      </c>
      <c r="BN232" s="11" t="str">
        <f aca="false">IF($P232=0,BN231,IF(BN$3=$E232,IF($AA232=1,$F232&amp;$AB232,$G232),IF(OR(BN$3=$D232,BN$3=$AC232,BN$3=$AE232),"",IF(BN$3=$AD232,$F232&amp;"R",BN231))))</f>
        <v/>
      </c>
      <c r="BO232" s="11" t="str">
        <f aca="false">IF($P232=0,BO231,IF(BO$3=$E232,IF($AA232=1,$F232&amp;$AB232,$G232),IF(OR(BO$3=$D232,BO$3=$AC232,BO$3=$AE232),"",IF(BO$3=$AD232,$F232&amp;"R",BO231))))</f>
        <v/>
      </c>
      <c r="BP232" s="11" t="str">
        <f aca="false">IF($P232=0,BP231,IF(BP$3=$E232,IF($AA232=1,$F232&amp;$AB232,$G232),IF(OR(BP$3=$D232,BP$3=$AC232,BP$3=$AE232),"",IF(BP$3=$AD232,$F232&amp;"R",BP231))))</f>
        <v/>
      </c>
      <c r="BQ232" s="11" t="str">
        <f aca="false">IF($P232=0,BQ231,IF(BQ$3=$E232,IF($AA232=1,$F232&amp;$AB232,$G232),IF(OR(BQ$3=$D232,BQ$3=$AC232,BQ$3=$AE232),"",IF(BQ$3=$AD232,$F232&amp;"R",BQ231))))</f>
        <v/>
      </c>
      <c r="BR232" s="11" t="str">
        <f aca="false">IF($P232=0,BR231,IF(BR$3=$E232,IF($AA232=1,$F232&amp;$AB232,$G232),IF(OR(BR$3=$D232,BR$3=$AC232,BR$3=$AE232),"",IF(BR$3=$AD232,$F232&amp;"R",BR231))))</f>
        <v/>
      </c>
      <c r="BS232" s="11" t="str">
        <f aca="false">IF($P232=0,BS231,IF(BS$3=$E232,IF($AA232=1,$F232&amp;$AB232,$G232),IF(OR(BS$3=$D232,BS$3=$AC232,BS$3=$AE232),"",IF(BS$3=$AD232,$F232&amp;"R",BS231))))</f>
        <v/>
      </c>
      <c r="BT232" s="11" t="str">
        <f aca="false">IF($P232=0,BT231,IF(BT$3=$E232,IF($AA232=1,$F232&amp;$AB232,$G232),IF(OR(BT$3=$D232,BT$3=$AC232,BT$3=$AE232),"",IF(BT$3=$AD232,$F232&amp;"R",BT231))))</f>
        <v/>
      </c>
      <c r="BU232" s="11" t="str">
        <f aca="false">IF($P232=0,BU231,IF(BU$3=$E232,IF($AA232=1,$F232&amp;$AB232,$G232),IF(OR(BU$3=$D232,BU$3=$AC232,BU$3=$AE232),"",IF(BU$3=$AD232,$F232&amp;"R",BU231))))</f>
        <v/>
      </c>
      <c r="BV232" s="11" t="str">
        <f aca="false">IF($P232=0,BV231,IF(BV$3=$E232,IF($AA232=1,$F232&amp;$AB232,$G232),IF(OR(BV$3=$D232,BV$3=$AC232,BV$3=$AE232),"",IF(BV$3=$AD232,$F232&amp;"R",BV231))))</f>
        <v/>
      </c>
      <c r="BW232" s="11" t="str">
        <f aca="false">IF($P232=0,BW231,IF(BW$3=$E232,IF($AA232=1,$F232&amp;$AB232,$G232),IF(OR(BW$3=$D232,BW$3=$AC232,BW$3=$AE232),"",IF(BW$3=$AD232,$F232&amp;"R",BW231))))</f>
        <v/>
      </c>
      <c r="BX232" s="11" t="str">
        <f aca="false">IF($P232=0,BX231,IF(BX$3=$E232,IF($AA232=1,$F232&amp;$AB232,$G232),IF(OR(BX$3=$D232,BX$3=$AC232,BX$3=$AE232),"",IF(BX$3=$AD232,$F232&amp;"R",BX231))))</f>
        <v/>
      </c>
      <c r="BY232" s="11" t="str">
        <f aca="false">IF($P232=0,BY231,IF(BY$3=$E232,IF($AA232=1,$F232&amp;$AB232,$G232),IF(OR(BY$3=$D232,BY$3=$AC232,BY$3=$AE232),"",IF(BY$3=$AD232,$F232&amp;"R",BY231))))</f>
        <v/>
      </c>
      <c r="BZ232" s="11" t="str">
        <f aca="false">IF($P232=0,BZ231,IF(BZ$3=$E232,IF($AA232=1,$F232&amp;$AB232,$G232),IF(OR(BZ$3=$D232,BZ$3=$AC232,BZ$3=$AE232),"",IF(BZ$3=$AD232,$F232&amp;"R",BZ231))))</f>
        <v/>
      </c>
      <c r="CA232" s="11" t="str">
        <f aca="false">IF($P232=0,CA231,IF(CA$3=$E232,IF($AA232=1,$F232&amp;$AB232,$G232),IF(OR(CA$3=$D232,CA$3=$AC232,CA$3=$AE232),"",IF(CA$3=$AD232,$F232&amp;"R",CA231))))</f>
        <v/>
      </c>
      <c r="CB232" s="11" t="str">
        <f aca="false">IF($P232=0,CB231,IF(CB$3=$E232,IF($AA232=1,$F232&amp;$AB232,$G232),IF(OR(CB$3=$D232,CB$3=$AC232,CB$3=$AE232),"",IF(CB$3=$AD232,$F232&amp;"R",CB231))))</f>
        <v/>
      </c>
      <c r="CC232" s="11" t="str">
        <f aca="false">IF($P232=0,CC231,IF(CC$3=$E232,IF($AA232=1,$F232&amp;$AB232,$G232),IF(OR(CC$3=$D232,CC$3=$AC232,CC$3=$AE232),"",IF(CC$3=$AD232,$F232&amp;"R",CC231))))</f>
        <v/>
      </c>
      <c r="CD232" s="11" t="str">
        <f aca="false">IF($P232=0,CD231,IF(CD$3=$E232,IF($AA232=1,$F232&amp;$AB232,$G232),IF(OR(CD$3=$D232,CD$3=$AC232,CD$3=$AE232),"",IF(CD$3=$AD232,$F232&amp;"R",CD231))))</f>
        <v>bP</v>
      </c>
      <c r="CE232" s="11" t="str">
        <f aca="false">IF($P232=0,CE231,IF(CE$3=$E232,IF($AA232=1,$F232&amp;$AB232,$G232),IF(OR(CE$3=$D232,CE$3=$AC232,CE$3=$AE232),"",IF(CE$3=$AD232,$F232&amp;"R",CE231))))</f>
        <v>bP</v>
      </c>
      <c r="CF232" s="11" t="str">
        <f aca="false">IF($P232=0,CF231,IF(CF$3=$E232,IF($AA232=1,$F232&amp;$AB232,$G232),IF(OR(CF$3=$D232,CF$3=$AC232,CF$3=$AE232),"",IF(CF$3=$AD232,$F232&amp;"R",CF231))))</f>
        <v>bP</v>
      </c>
      <c r="CG232" s="11" t="str">
        <f aca="false">IF($P232=0,CG231,IF(CG$3=$E232,IF($AA232=1,$F232&amp;$AB232,$G232),IF(OR(CG$3=$D232,CG$3=$AC232,CG$3=$AE232),"",IF(CG$3=$AD232,$F232&amp;"R",CG231))))</f>
        <v>bP</v>
      </c>
      <c r="CH232" s="11" t="str">
        <f aca="false">IF($P232=0,CH231,IF(CH$3=$E232,IF($AA232=1,$F232&amp;$AB232,$G232),IF(OR(CH$3=$D232,CH$3=$AC232,CH$3=$AE232),"",IF(CH$3=$AD232,$F232&amp;"R",CH231))))</f>
        <v>bP</v>
      </c>
      <c r="CI232" s="11" t="str">
        <f aca="false">IF($P232=0,CI231,IF(CI$3=$E232,IF($AA232=1,$F232&amp;$AB232,$G232),IF(OR(CI$3=$D232,CI$3=$AC232,CI$3=$AE232),"",IF(CI$3=$AD232,$F232&amp;"R",CI231))))</f>
        <v>bP</v>
      </c>
      <c r="CJ232" s="11" t="str">
        <f aca="false">IF($P232=0,CJ231,IF(CJ$3=$E232,IF($AA232=1,$F232&amp;$AB232,$G232),IF(OR(CJ$3=$D232,CJ$3=$AC232,CJ$3=$AE232),"",IF(CJ$3=$AD232,$F232&amp;"R",CJ231))))</f>
        <v>bP</v>
      </c>
      <c r="CK232" s="11" t="str">
        <f aca="false">IF($P232=0,CK231,IF(CK$3=$E232,IF($AA232=1,$F232&amp;$AB232,$G232),IF(OR(CK$3=$D232,CK$3=$AC232,CK$3=$AE232),"",IF(CK$3=$AD232,$F232&amp;"R",CK231))))</f>
        <v>bP</v>
      </c>
      <c r="CL232" s="11" t="str">
        <f aca="false">IF($P232=0,CL231,IF(CL$3=$E232,IF($AA232=1,$F232&amp;$AB232,$G232),IF(OR(CL$3=$D232,CL$3=$AC232,CL$3=$AE232),"",IF(CL$3=$AD232,$F232&amp;"R",CL231))))</f>
        <v>bR</v>
      </c>
      <c r="CM232" s="11" t="str">
        <f aca="false">IF($P232=0,CM231,IF(CM$3=$E232,IF($AA232=1,$F232&amp;$AB232,$G232),IF(OR(CM$3=$D232,CM$3=$AC232,CM$3=$AE232),"",IF(CM$3=$AD232,$F232&amp;"R",CM231))))</f>
        <v>bN</v>
      </c>
      <c r="CN232" s="11" t="str">
        <f aca="false">IF($P232=0,CN231,IF(CN$3=$E232,IF($AA232=1,$F232&amp;$AB232,$G232),IF(OR(CN$3=$D232,CN$3=$AC232,CN$3=$AE232),"",IF(CN$3=$AD232,$F232&amp;"R",CN231))))</f>
        <v>bB</v>
      </c>
      <c r="CO232" s="11" t="str">
        <f aca="false">IF($P232=0,CO231,IF(CO$3=$E232,IF($AA232=1,$F232&amp;$AB232,$G232),IF(OR(CO$3=$D232,CO$3=$AC232,CO$3=$AE232),"",IF(CO$3=$AD232,$F232&amp;"R",CO231))))</f>
        <v>bQ</v>
      </c>
      <c r="CP232" s="11" t="str">
        <f aca="false">IF($P232=0,CP231,IF(CP$3=$E232,IF($AA232=1,$F232&amp;$AB232,$G232),IF(OR(CP$3=$D232,CP$3=$AC232,CP$3=$AE232),"",IF(CP$3=$AD232,$F232&amp;"R",CP231))))</f>
        <v>bK</v>
      </c>
      <c r="CQ232" s="11" t="str">
        <f aca="false">IF($P232=0,CQ231,IF(CQ$3=$E232,IF($AA232=1,$F232&amp;$AB232,$G232),IF(OR(CQ$3=$D232,CQ$3=$AC232,CQ$3=$AE232),"",IF(CQ$3=$AD232,$F232&amp;"R",CQ231))))</f>
        <v>bB</v>
      </c>
      <c r="CR232" s="11" t="str">
        <f aca="false">IF($P232=0,CR231,IF(CR$3=$E232,IF($AA232=1,$F232&amp;$AB232,$G232),IF(OR(CR$3=$D232,CR$3=$AC232,CR$3=$AE232),"",IF(CR$3=$AD232,$F232&amp;"R",CR231))))</f>
        <v>bN</v>
      </c>
      <c r="CS232" s="11" t="str">
        <f aca="false">IF($P232=0,CS231,IF(CS$3=$E232,IF($AA232=1,$F232&amp;$AB232,$G232),IF(OR(CS$3=$D232,CS$3=$AC232,CS$3=$AE232),"",IF(CS$3=$AD232,$F232&amp;"R",CS231))))</f>
        <v>bR</v>
      </c>
      <c r="CT232" s="11"/>
      <c r="CU232" s="11"/>
      <c r="CV232" s="11"/>
    </row>
    <row r="233" customFormat="false" ht="15" hidden="false" customHeight="false" outlineLevel="0" collapsed="false">
      <c r="A233" s="11" t="n">
        <v>228</v>
      </c>
      <c r="B233" s="11" t="str">
        <f aca="false">IF(Chess!$L$237="","",Chess!$L$237&amp;"")</f>
        <v/>
      </c>
      <c r="C233" s="11" t="str">
        <f aca="false">LOWER(SUBSTITUTE(SUBSTITUTE(SUBSTITUTE(SUBSTITUTE(TRIM($B233),"-",""),"=","")," ",""),"x",""))</f>
        <v/>
      </c>
      <c r="D233" s="11" t="n">
        <f aca="false">IF(LEN($C233)&lt;4,0,IFERROR(IF(AND(CODE(MID($C233,1,1))&gt;=97,CODE(MID($C233,1,1))&lt;=104,VALUE(MID($C233,2,1))&gt;=1,VALUE(MID($C233,2,1))&lt;=8),(VALUE(MID($C233,2,1))-1)*8+CODE(MID($C233,1,1))-96,0),0))</f>
        <v>0</v>
      </c>
      <c r="E233" s="11" t="n">
        <f aca="false">IF(LEN($C233)&lt;4,0,IFERROR(IF(AND(CODE(MID($C233,3,1))&gt;=97,CODE(MID($C233,3,1))&lt;=104,VALUE(MID($C233,4,1))&gt;=1,VALUE(MID($C233,4,1))&lt;=8),(VALUE(MID($C233,4,1))-1)*8+CODE(MID($C233,3,1))-96,0),0))</f>
        <v>0</v>
      </c>
      <c r="F233" s="11" t="str">
        <f aca="false">IF(MOD(SUM($P$5:$P232),2)=0,"w","b")</f>
        <v>w</v>
      </c>
      <c r="G233" s="11" t="str">
        <f aca="false">IF($D233=0,"",INDEX($AH232:$CS232,1,$D233)&amp;"")</f>
        <v/>
      </c>
      <c r="H233" s="11" t="str">
        <f aca="false">IF($E233=0,"",INDEX($AH232:$CS232,1,$E233)&amp;"")</f>
        <v/>
      </c>
      <c r="I233" s="11" t="n">
        <f aca="false">IF(OR($D233=0,$E233=0),0,MOD($E233-1,8)-MOD($D233-1,8))</f>
        <v>0</v>
      </c>
      <c r="J233" s="11" t="n">
        <f aca="false">IF(OR($D233=0,$E233=0),0,INT(($E233-1)/8)-INT(($D233-1)/8))</f>
        <v>0</v>
      </c>
      <c r="K233" s="11" t="str">
        <f aca="false">IF($G233="","",RIGHT($G233,1))</f>
        <v/>
      </c>
      <c r="L233" s="11" t="n">
        <f aca="false">IF(OR($D233=0,$E233=0),0,SUMPRODUCT(($AH$3:$CS$3&gt;MIN($D233,$E233))*($AH$3:$CS$3&lt;MAX($D233,$E233))*(MOD($AH$3:$CS$3-MIN($D233,$E233),MAX(1,ABS(SIGN($J233)*8+SIGN($I233))))=0)*($AH232:$CS232&lt;&gt;"")))</f>
        <v>0</v>
      </c>
      <c r="M233" s="11" t="n">
        <f aca="false">IF($K233&lt;&gt;"K",0,IFERROR(--AND($J233=0,ABS($I233)=2,$D233=IF($F233="w",5,61),IF($F233="w",$S232,$V232)=0,IF($I233=2,AND(IF($F233="w",$U232,$X232)=0,INDEX($AH232:$CS232,1,$D233+1)&amp;""="",INDEX($AH232:$CS232,1,$D233+2)&amp;""=""),AND(IF($F233="w",$T232,$W232)=0,INDEX($AH232:$CS232,1,$D233-1)&amp;""="",INDEX($AH232:$CS232,1,$D233-2)&amp;""="",INDEX($AH232:$CS232,1,$D233-3)&amp;""=""))),0))</f>
        <v>0</v>
      </c>
      <c r="N233" s="11" t="n">
        <f aca="false">IF($K233&lt;&gt;"P",0,IFERROR(--OR(AND($I233=0,$J233=IF($F233="w",1,-1),$H233=""),AND($I233=0,$J233=2*IF($F233="w",1,-1),$H233="",INT(($D233-1)/8)=IF($F233="w",1,6),INDEX($AH232:$CS232,1,MAX(1,MIN(64,$D233+8*IF($F233="w",1,-1))))&amp;""=""),AND(ABS($I233)=1,$J233=IF($F233="w",1,-1),$H233&lt;&gt;""),AND(ABS($I233)=1,$J233=IF($F233="w",1,-1),$H233="",$R232&gt;0,$E233=$R232)),0))</f>
        <v>0</v>
      </c>
      <c r="O233" s="11" t="n">
        <f aca="false">IF(OR($D233=0,$E233=0,$G233=""),0,IF($K233="N",--OR(AND(ABS($I233)=1,ABS($J233)=2),AND(ABS($I233)=2,ABS($J233)=1)),IF($K233="B",--AND(ABS($I233)=ABS($J233),$I233&lt;&gt;0,$L233=0),IF($K233="R",--AND(OR($I233=0,$J233=0),OR($I233&lt;&gt;0,$J233&lt;&gt;0),$L233=0),IF($K233="Q",--AND(OR(AND(ABS($I233)=ABS($J233),$I233&lt;&gt;0),AND(OR($I233=0,$J233=0),OR($I233&lt;&gt;0,$J233&lt;&gt;0))),$L233=0),IF($K233="K",--OR(MAX(ABS($I233),ABS($J233))=1,$M233=1),$N233))))))</f>
        <v>0</v>
      </c>
      <c r="P233" s="11" t="n">
        <f aca="false">IF($Q233="OK",1,0)</f>
        <v>0</v>
      </c>
      <c r="Q233" s="11" t="str">
        <f aca="false">IF($B233="","",IF(OR(COUNTIF($AH232:$CS232,"wK")=0,COUNTIF($AH232:$CS232,"bK")=0),"Game is over",IF(OR($D233=0,$E233=0),"Use the format e2e4",IF($G233="","No piece on that square",IF(LEFT($G233,1)&lt;&gt;$F233,"Not your piece ("&amp;IF($F233="w","White","Black")&amp;" to move)",IF($D233=$E233,"Piece must move",IF(AND($H233&lt;&gt;"",LEFT($H233,1)=$F233),"Cannot capture your own piece",IF($O233=0,"Illegal move for that piece (or path blocked)","OK"))))))))</f>
        <v/>
      </c>
      <c r="R233" s="11" t="n">
        <f aca="false">IF($P233=1,IF(AND($K233="P",ABS($J233)=2),($D233+$E233)/2,0),$R232)</f>
        <v>0</v>
      </c>
      <c r="S233" s="12" t="b">
        <f aca="false">--OR($S232=1,AND($P233=1,OR($D233=5,$E233=5)))</f>
        <v>0</v>
      </c>
      <c r="T233" s="12" t="b">
        <f aca="false">--OR($T232=1,AND($P233=1,OR($D233=1,$E233=1)))</f>
        <v>0</v>
      </c>
      <c r="U233" s="12" t="b">
        <f aca="false">--OR($U232=1,AND($P233=1,OR($D233=8,$E233=8)))</f>
        <v>0</v>
      </c>
      <c r="V233" s="12" t="b">
        <f aca="false">--OR($V232=1,AND($P233=1,OR($D233=61,$E233=61)))</f>
        <v>0</v>
      </c>
      <c r="W233" s="12" t="b">
        <f aca="false">--OR($W232=1,AND($P233=1,OR($D233=57,$E233=57)))</f>
        <v>0</v>
      </c>
      <c r="X233" s="12" t="b">
        <f aca="false">--OR($X232=1,AND($P233=1,OR($D233=64,$E233=64)))</f>
        <v>0</v>
      </c>
      <c r="Y233" s="12" t="b">
        <f aca="false">--AND($P233=1,$K233="K",ABS($I233)=2)</f>
        <v>0</v>
      </c>
      <c r="Z233" s="12" t="b">
        <f aca="false">--AND($P233=1,$K233="P",ABS($I233)=1,$H233="")</f>
        <v>0</v>
      </c>
      <c r="AA233" s="12" t="b">
        <f aca="false">--AND($P233=1,$K233="P",INT(($E233-1)/8)=IF($F233="w",7,0))</f>
        <v>0</v>
      </c>
      <c r="AB233" s="11" t="str">
        <f aca="false">IF(LEN($C233)&gt;=5,IF(ISNUMBER(FIND(MID($C233,5,1),"qrbn")),UPPER(MID($C233,5,1)),"Q"),"Q")</f>
        <v>Q</v>
      </c>
      <c r="AC233" s="11" t="n">
        <f aca="false">IF($Y233=1,IF($I233=2,$D233+3,$D233-4),0)</f>
        <v>0</v>
      </c>
      <c r="AD233" s="11" t="n">
        <f aca="false">IF($Y233=1,IF($I233=2,$D233+1,$D233-1),0)</f>
        <v>0</v>
      </c>
      <c r="AE233" s="11" t="n">
        <f aca="false">IF($Z233=1,$E233-8*IF($F233="w",1,-1),0)</f>
        <v>0</v>
      </c>
      <c r="AF233" s="11" t="str">
        <f aca="false">IF($B233="","",IF($P233=1,LOWER(INDEX($CV$2:$CV$13,MATCH($G233,$CU$2:$CU$13,0)))&amp;" "&amp;MID("abcdefgh",MOD($D233-1,8)+1,1)&amp;(INT(($D233-1)/8)+1)&amp;"→"&amp;MID("abcdefgh",MOD($E233-1,8)+1,1)&amp;(INT(($E233-1)/8)+1)&amp;IF(OR($H233&lt;&gt;"",$Z233=1)," ×","")&amp;IF($Y233=1," castles","")&amp;IF($Z233=1," e.p.","")&amp;IF($AA233=1," =" &amp;LOWER(INDEX($CV$2:$CV$13,MATCH($F233&amp;$AB233,$CU$2:$CU$13,0))),""),"X "&amp;$Q233))</f>
        <v/>
      </c>
      <c r="AG233" s="11"/>
      <c r="AH233" s="11" t="str">
        <f aca="false">IF($P233=0,AH232,IF(AH$3=$E233,IF($AA233=1,$F233&amp;$AB233,$G233),IF(OR(AH$3=$D233,AH$3=$AC233,AH$3=$AE233),"",IF(AH$3=$AD233,$F233&amp;"R",AH232))))</f>
        <v>wR</v>
      </c>
      <c r="AI233" s="11" t="str">
        <f aca="false">IF($P233=0,AI232,IF(AI$3=$E233,IF($AA233=1,$F233&amp;$AB233,$G233),IF(OR(AI$3=$D233,AI$3=$AC233,AI$3=$AE233),"",IF(AI$3=$AD233,$F233&amp;"R",AI232))))</f>
        <v>wN</v>
      </c>
      <c r="AJ233" s="11" t="str">
        <f aca="false">IF($P233=0,AJ232,IF(AJ$3=$E233,IF($AA233=1,$F233&amp;$AB233,$G233),IF(OR(AJ$3=$D233,AJ$3=$AC233,AJ$3=$AE233),"",IF(AJ$3=$AD233,$F233&amp;"R",AJ232))))</f>
        <v>wB</v>
      </c>
      <c r="AK233" s="11" t="str">
        <f aca="false">IF($P233=0,AK232,IF(AK$3=$E233,IF($AA233=1,$F233&amp;$AB233,$G233),IF(OR(AK$3=$D233,AK$3=$AC233,AK$3=$AE233),"",IF(AK$3=$AD233,$F233&amp;"R",AK232))))</f>
        <v>wQ</v>
      </c>
      <c r="AL233" s="11" t="str">
        <f aca="false">IF($P233=0,AL232,IF(AL$3=$E233,IF($AA233=1,$F233&amp;$AB233,$G233),IF(OR(AL$3=$D233,AL$3=$AC233,AL$3=$AE233),"",IF(AL$3=$AD233,$F233&amp;"R",AL232))))</f>
        <v>wK</v>
      </c>
      <c r="AM233" s="11" t="str">
        <f aca="false">IF($P233=0,AM232,IF(AM$3=$E233,IF($AA233=1,$F233&amp;$AB233,$G233),IF(OR(AM$3=$D233,AM$3=$AC233,AM$3=$AE233),"",IF(AM$3=$AD233,$F233&amp;"R",AM232))))</f>
        <v>wB</v>
      </c>
      <c r="AN233" s="11" t="str">
        <f aca="false">IF($P233=0,AN232,IF(AN$3=$E233,IF($AA233=1,$F233&amp;$AB233,$G233),IF(OR(AN$3=$D233,AN$3=$AC233,AN$3=$AE233),"",IF(AN$3=$AD233,$F233&amp;"R",AN232))))</f>
        <v>wN</v>
      </c>
      <c r="AO233" s="11" t="str">
        <f aca="false">IF($P233=0,AO232,IF(AO$3=$E233,IF($AA233=1,$F233&amp;$AB233,$G233),IF(OR(AO$3=$D233,AO$3=$AC233,AO$3=$AE233),"",IF(AO$3=$AD233,$F233&amp;"R",AO232))))</f>
        <v>wR</v>
      </c>
      <c r="AP233" s="11" t="str">
        <f aca="false">IF($P233=0,AP232,IF(AP$3=$E233,IF($AA233=1,$F233&amp;$AB233,$G233),IF(OR(AP$3=$D233,AP$3=$AC233,AP$3=$AE233),"",IF(AP$3=$AD233,$F233&amp;"R",AP232))))</f>
        <v>wP</v>
      </c>
      <c r="AQ233" s="11" t="str">
        <f aca="false">IF($P233=0,AQ232,IF(AQ$3=$E233,IF($AA233=1,$F233&amp;$AB233,$G233),IF(OR(AQ$3=$D233,AQ$3=$AC233,AQ$3=$AE233),"",IF(AQ$3=$AD233,$F233&amp;"R",AQ232))))</f>
        <v>wP</v>
      </c>
      <c r="AR233" s="11" t="str">
        <f aca="false">IF($P233=0,AR232,IF(AR$3=$E233,IF($AA233=1,$F233&amp;$AB233,$G233),IF(OR(AR$3=$D233,AR$3=$AC233,AR$3=$AE233),"",IF(AR$3=$AD233,$F233&amp;"R",AR232))))</f>
        <v>wP</v>
      </c>
      <c r="AS233" s="11" t="str">
        <f aca="false">IF($P233=0,AS232,IF(AS$3=$E233,IF($AA233=1,$F233&amp;$AB233,$G233),IF(OR(AS$3=$D233,AS$3=$AC233,AS$3=$AE233),"",IF(AS$3=$AD233,$F233&amp;"R",AS232))))</f>
        <v>wP</v>
      </c>
      <c r="AT233" s="11" t="str">
        <f aca="false">IF($P233=0,AT232,IF(AT$3=$E233,IF($AA233=1,$F233&amp;$AB233,$G233),IF(OR(AT$3=$D233,AT$3=$AC233,AT$3=$AE233),"",IF(AT$3=$AD233,$F233&amp;"R",AT232))))</f>
        <v>wP</v>
      </c>
      <c r="AU233" s="11" t="str">
        <f aca="false">IF($P233=0,AU232,IF(AU$3=$E233,IF($AA233=1,$F233&amp;$AB233,$G233),IF(OR(AU$3=$D233,AU$3=$AC233,AU$3=$AE233),"",IF(AU$3=$AD233,$F233&amp;"R",AU232))))</f>
        <v>wP</v>
      </c>
      <c r="AV233" s="11" t="str">
        <f aca="false">IF($P233=0,AV232,IF(AV$3=$E233,IF($AA233=1,$F233&amp;$AB233,$G233),IF(OR(AV$3=$D233,AV$3=$AC233,AV$3=$AE233),"",IF(AV$3=$AD233,$F233&amp;"R",AV232))))</f>
        <v>wP</v>
      </c>
      <c r="AW233" s="11" t="str">
        <f aca="false">IF($P233=0,AW232,IF(AW$3=$E233,IF($AA233=1,$F233&amp;$AB233,$G233),IF(OR(AW$3=$D233,AW$3=$AC233,AW$3=$AE233),"",IF(AW$3=$AD233,$F233&amp;"R",AW232))))</f>
        <v>wP</v>
      </c>
      <c r="AX233" s="11" t="str">
        <f aca="false">IF($P233=0,AX232,IF(AX$3=$E233,IF($AA233=1,$F233&amp;$AB233,$G233),IF(OR(AX$3=$D233,AX$3=$AC233,AX$3=$AE233),"",IF(AX$3=$AD233,$F233&amp;"R",AX232))))</f>
        <v/>
      </c>
      <c r="AY233" s="11" t="str">
        <f aca="false">IF($P233=0,AY232,IF(AY$3=$E233,IF($AA233=1,$F233&amp;$AB233,$G233),IF(OR(AY$3=$D233,AY$3=$AC233,AY$3=$AE233),"",IF(AY$3=$AD233,$F233&amp;"R",AY232))))</f>
        <v/>
      </c>
      <c r="AZ233" s="11" t="str">
        <f aca="false">IF($P233=0,AZ232,IF(AZ$3=$E233,IF($AA233=1,$F233&amp;$AB233,$G233),IF(OR(AZ$3=$D233,AZ$3=$AC233,AZ$3=$AE233),"",IF(AZ$3=$AD233,$F233&amp;"R",AZ232))))</f>
        <v/>
      </c>
      <c r="BA233" s="11" t="str">
        <f aca="false">IF($P233=0,BA232,IF(BA$3=$E233,IF($AA233=1,$F233&amp;$AB233,$G233),IF(OR(BA$3=$D233,BA$3=$AC233,BA$3=$AE233),"",IF(BA$3=$AD233,$F233&amp;"R",BA232))))</f>
        <v/>
      </c>
      <c r="BB233" s="11" t="str">
        <f aca="false">IF($P233=0,BB232,IF(BB$3=$E233,IF($AA233=1,$F233&amp;$AB233,$G233),IF(OR(BB$3=$D233,BB$3=$AC233,BB$3=$AE233),"",IF(BB$3=$AD233,$F233&amp;"R",BB232))))</f>
        <v/>
      </c>
      <c r="BC233" s="11" t="str">
        <f aca="false">IF($P233=0,BC232,IF(BC$3=$E233,IF($AA233=1,$F233&amp;$AB233,$G233),IF(OR(BC$3=$D233,BC$3=$AC233,BC$3=$AE233),"",IF(BC$3=$AD233,$F233&amp;"R",BC232))))</f>
        <v/>
      </c>
      <c r="BD233" s="11" t="str">
        <f aca="false">IF($P233=0,BD232,IF(BD$3=$E233,IF($AA233=1,$F233&amp;$AB233,$G233),IF(OR(BD$3=$D233,BD$3=$AC233,BD$3=$AE233),"",IF(BD$3=$AD233,$F233&amp;"R",BD232))))</f>
        <v/>
      </c>
      <c r="BE233" s="11" t="str">
        <f aca="false">IF($P233=0,BE232,IF(BE$3=$E233,IF($AA233=1,$F233&amp;$AB233,$G233),IF(OR(BE$3=$D233,BE$3=$AC233,BE$3=$AE233),"",IF(BE$3=$AD233,$F233&amp;"R",BE232))))</f>
        <v/>
      </c>
      <c r="BF233" s="11" t="str">
        <f aca="false">IF($P233=0,BF232,IF(BF$3=$E233,IF($AA233=1,$F233&amp;$AB233,$G233),IF(OR(BF$3=$D233,BF$3=$AC233,BF$3=$AE233),"",IF(BF$3=$AD233,$F233&amp;"R",BF232))))</f>
        <v/>
      </c>
      <c r="BG233" s="11" t="str">
        <f aca="false">IF($P233=0,BG232,IF(BG$3=$E233,IF($AA233=1,$F233&amp;$AB233,$G233),IF(OR(BG$3=$D233,BG$3=$AC233,BG$3=$AE233),"",IF(BG$3=$AD233,$F233&amp;"R",BG232))))</f>
        <v/>
      </c>
      <c r="BH233" s="11" t="str">
        <f aca="false">IF($P233=0,BH232,IF(BH$3=$E233,IF($AA233=1,$F233&amp;$AB233,$G233),IF(OR(BH$3=$D233,BH$3=$AC233,BH$3=$AE233),"",IF(BH$3=$AD233,$F233&amp;"R",BH232))))</f>
        <v/>
      </c>
      <c r="BI233" s="11" t="str">
        <f aca="false">IF($P233=0,BI232,IF(BI$3=$E233,IF($AA233=1,$F233&amp;$AB233,$G233),IF(OR(BI$3=$D233,BI$3=$AC233,BI$3=$AE233),"",IF(BI$3=$AD233,$F233&amp;"R",BI232))))</f>
        <v/>
      </c>
      <c r="BJ233" s="11" t="str">
        <f aca="false">IF($P233=0,BJ232,IF(BJ$3=$E233,IF($AA233=1,$F233&amp;$AB233,$G233),IF(OR(BJ$3=$D233,BJ$3=$AC233,BJ$3=$AE233),"",IF(BJ$3=$AD233,$F233&amp;"R",BJ232))))</f>
        <v/>
      </c>
      <c r="BK233" s="11" t="str">
        <f aca="false">IF($P233=0,BK232,IF(BK$3=$E233,IF($AA233=1,$F233&amp;$AB233,$G233),IF(OR(BK$3=$D233,BK$3=$AC233,BK$3=$AE233),"",IF(BK$3=$AD233,$F233&amp;"R",BK232))))</f>
        <v/>
      </c>
      <c r="BL233" s="11" t="str">
        <f aca="false">IF($P233=0,BL232,IF(BL$3=$E233,IF($AA233=1,$F233&amp;$AB233,$G233),IF(OR(BL$3=$D233,BL$3=$AC233,BL$3=$AE233),"",IF(BL$3=$AD233,$F233&amp;"R",BL232))))</f>
        <v/>
      </c>
      <c r="BM233" s="11" t="str">
        <f aca="false">IF($P233=0,BM232,IF(BM$3=$E233,IF($AA233=1,$F233&amp;$AB233,$G233),IF(OR(BM$3=$D233,BM$3=$AC233,BM$3=$AE233),"",IF(BM$3=$AD233,$F233&amp;"R",BM232))))</f>
        <v/>
      </c>
      <c r="BN233" s="11" t="str">
        <f aca="false">IF($P233=0,BN232,IF(BN$3=$E233,IF($AA233=1,$F233&amp;$AB233,$G233),IF(OR(BN$3=$D233,BN$3=$AC233,BN$3=$AE233),"",IF(BN$3=$AD233,$F233&amp;"R",BN232))))</f>
        <v/>
      </c>
      <c r="BO233" s="11" t="str">
        <f aca="false">IF($P233=0,BO232,IF(BO$3=$E233,IF($AA233=1,$F233&amp;$AB233,$G233),IF(OR(BO$3=$D233,BO$3=$AC233,BO$3=$AE233),"",IF(BO$3=$AD233,$F233&amp;"R",BO232))))</f>
        <v/>
      </c>
      <c r="BP233" s="11" t="str">
        <f aca="false">IF($P233=0,BP232,IF(BP$3=$E233,IF($AA233=1,$F233&amp;$AB233,$G233),IF(OR(BP$3=$D233,BP$3=$AC233,BP$3=$AE233),"",IF(BP$3=$AD233,$F233&amp;"R",BP232))))</f>
        <v/>
      </c>
      <c r="BQ233" s="11" t="str">
        <f aca="false">IF($P233=0,BQ232,IF(BQ$3=$E233,IF($AA233=1,$F233&amp;$AB233,$G233),IF(OR(BQ$3=$D233,BQ$3=$AC233,BQ$3=$AE233),"",IF(BQ$3=$AD233,$F233&amp;"R",BQ232))))</f>
        <v/>
      </c>
      <c r="BR233" s="11" t="str">
        <f aca="false">IF($P233=0,BR232,IF(BR$3=$E233,IF($AA233=1,$F233&amp;$AB233,$G233),IF(OR(BR$3=$D233,BR$3=$AC233,BR$3=$AE233),"",IF(BR$3=$AD233,$F233&amp;"R",BR232))))</f>
        <v/>
      </c>
      <c r="BS233" s="11" t="str">
        <f aca="false">IF($P233=0,BS232,IF(BS$3=$E233,IF($AA233=1,$F233&amp;$AB233,$G233),IF(OR(BS$3=$D233,BS$3=$AC233,BS$3=$AE233),"",IF(BS$3=$AD233,$F233&amp;"R",BS232))))</f>
        <v/>
      </c>
      <c r="BT233" s="11" t="str">
        <f aca="false">IF($P233=0,BT232,IF(BT$3=$E233,IF($AA233=1,$F233&amp;$AB233,$G233),IF(OR(BT$3=$D233,BT$3=$AC233,BT$3=$AE233),"",IF(BT$3=$AD233,$F233&amp;"R",BT232))))</f>
        <v/>
      </c>
      <c r="BU233" s="11" t="str">
        <f aca="false">IF($P233=0,BU232,IF(BU$3=$E233,IF($AA233=1,$F233&amp;$AB233,$G233),IF(OR(BU$3=$D233,BU$3=$AC233,BU$3=$AE233),"",IF(BU$3=$AD233,$F233&amp;"R",BU232))))</f>
        <v/>
      </c>
      <c r="BV233" s="11" t="str">
        <f aca="false">IF($P233=0,BV232,IF(BV$3=$E233,IF($AA233=1,$F233&amp;$AB233,$G233),IF(OR(BV$3=$D233,BV$3=$AC233,BV$3=$AE233),"",IF(BV$3=$AD233,$F233&amp;"R",BV232))))</f>
        <v/>
      </c>
      <c r="BW233" s="11" t="str">
        <f aca="false">IF($P233=0,BW232,IF(BW$3=$E233,IF($AA233=1,$F233&amp;$AB233,$G233),IF(OR(BW$3=$D233,BW$3=$AC233,BW$3=$AE233),"",IF(BW$3=$AD233,$F233&amp;"R",BW232))))</f>
        <v/>
      </c>
      <c r="BX233" s="11" t="str">
        <f aca="false">IF($P233=0,BX232,IF(BX$3=$E233,IF($AA233=1,$F233&amp;$AB233,$G233),IF(OR(BX$3=$D233,BX$3=$AC233,BX$3=$AE233),"",IF(BX$3=$AD233,$F233&amp;"R",BX232))))</f>
        <v/>
      </c>
      <c r="BY233" s="11" t="str">
        <f aca="false">IF($P233=0,BY232,IF(BY$3=$E233,IF($AA233=1,$F233&amp;$AB233,$G233),IF(OR(BY$3=$D233,BY$3=$AC233,BY$3=$AE233),"",IF(BY$3=$AD233,$F233&amp;"R",BY232))))</f>
        <v/>
      </c>
      <c r="BZ233" s="11" t="str">
        <f aca="false">IF($P233=0,BZ232,IF(BZ$3=$E233,IF($AA233=1,$F233&amp;$AB233,$G233),IF(OR(BZ$3=$D233,BZ$3=$AC233,BZ$3=$AE233),"",IF(BZ$3=$AD233,$F233&amp;"R",BZ232))))</f>
        <v/>
      </c>
      <c r="CA233" s="11" t="str">
        <f aca="false">IF($P233=0,CA232,IF(CA$3=$E233,IF($AA233=1,$F233&amp;$AB233,$G233),IF(OR(CA$3=$D233,CA$3=$AC233,CA$3=$AE233),"",IF(CA$3=$AD233,$F233&amp;"R",CA232))))</f>
        <v/>
      </c>
      <c r="CB233" s="11" t="str">
        <f aca="false">IF($P233=0,CB232,IF(CB$3=$E233,IF($AA233=1,$F233&amp;$AB233,$G233),IF(OR(CB$3=$D233,CB$3=$AC233,CB$3=$AE233),"",IF(CB$3=$AD233,$F233&amp;"R",CB232))))</f>
        <v/>
      </c>
      <c r="CC233" s="11" t="str">
        <f aca="false">IF($P233=0,CC232,IF(CC$3=$E233,IF($AA233=1,$F233&amp;$AB233,$G233),IF(OR(CC$3=$D233,CC$3=$AC233,CC$3=$AE233),"",IF(CC$3=$AD233,$F233&amp;"R",CC232))))</f>
        <v/>
      </c>
      <c r="CD233" s="11" t="str">
        <f aca="false">IF($P233=0,CD232,IF(CD$3=$E233,IF($AA233=1,$F233&amp;$AB233,$G233),IF(OR(CD$3=$D233,CD$3=$AC233,CD$3=$AE233),"",IF(CD$3=$AD233,$F233&amp;"R",CD232))))</f>
        <v>bP</v>
      </c>
      <c r="CE233" s="11" t="str">
        <f aca="false">IF($P233=0,CE232,IF(CE$3=$E233,IF($AA233=1,$F233&amp;$AB233,$G233),IF(OR(CE$3=$D233,CE$3=$AC233,CE$3=$AE233),"",IF(CE$3=$AD233,$F233&amp;"R",CE232))))</f>
        <v>bP</v>
      </c>
      <c r="CF233" s="11" t="str">
        <f aca="false">IF($P233=0,CF232,IF(CF$3=$E233,IF($AA233=1,$F233&amp;$AB233,$G233),IF(OR(CF$3=$D233,CF$3=$AC233,CF$3=$AE233),"",IF(CF$3=$AD233,$F233&amp;"R",CF232))))</f>
        <v>bP</v>
      </c>
      <c r="CG233" s="11" t="str">
        <f aca="false">IF($P233=0,CG232,IF(CG$3=$E233,IF($AA233=1,$F233&amp;$AB233,$G233),IF(OR(CG$3=$D233,CG$3=$AC233,CG$3=$AE233),"",IF(CG$3=$AD233,$F233&amp;"R",CG232))))</f>
        <v>bP</v>
      </c>
      <c r="CH233" s="11" t="str">
        <f aca="false">IF($P233=0,CH232,IF(CH$3=$E233,IF($AA233=1,$F233&amp;$AB233,$G233),IF(OR(CH$3=$D233,CH$3=$AC233,CH$3=$AE233),"",IF(CH$3=$AD233,$F233&amp;"R",CH232))))</f>
        <v>bP</v>
      </c>
      <c r="CI233" s="11" t="str">
        <f aca="false">IF($P233=0,CI232,IF(CI$3=$E233,IF($AA233=1,$F233&amp;$AB233,$G233),IF(OR(CI$3=$D233,CI$3=$AC233,CI$3=$AE233),"",IF(CI$3=$AD233,$F233&amp;"R",CI232))))</f>
        <v>bP</v>
      </c>
      <c r="CJ233" s="11" t="str">
        <f aca="false">IF($P233=0,CJ232,IF(CJ$3=$E233,IF($AA233=1,$F233&amp;$AB233,$G233),IF(OR(CJ$3=$D233,CJ$3=$AC233,CJ$3=$AE233),"",IF(CJ$3=$AD233,$F233&amp;"R",CJ232))))</f>
        <v>bP</v>
      </c>
      <c r="CK233" s="11" t="str">
        <f aca="false">IF($P233=0,CK232,IF(CK$3=$E233,IF($AA233=1,$F233&amp;$AB233,$G233),IF(OR(CK$3=$D233,CK$3=$AC233,CK$3=$AE233),"",IF(CK$3=$AD233,$F233&amp;"R",CK232))))</f>
        <v>bP</v>
      </c>
      <c r="CL233" s="11" t="str">
        <f aca="false">IF($P233=0,CL232,IF(CL$3=$E233,IF($AA233=1,$F233&amp;$AB233,$G233),IF(OR(CL$3=$D233,CL$3=$AC233,CL$3=$AE233),"",IF(CL$3=$AD233,$F233&amp;"R",CL232))))</f>
        <v>bR</v>
      </c>
      <c r="CM233" s="11" t="str">
        <f aca="false">IF($P233=0,CM232,IF(CM$3=$E233,IF($AA233=1,$F233&amp;$AB233,$G233),IF(OR(CM$3=$D233,CM$3=$AC233,CM$3=$AE233),"",IF(CM$3=$AD233,$F233&amp;"R",CM232))))</f>
        <v>bN</v>
      </c>
      <c r="CN233" s="11" t="str">
        <f aca="false">IF($P233=0,CN232,IF(CN$3=$E233,IF($AA233=1,$F233&amp;$AB233,$G233),IF(OR(CN$3=$D233,CN$3=$AC233,CN$3=$AE233),"",IF(CN$3=$AD233,$F233&amp;"R",CN232))))</f>
        <v>bB</v>
      </c>
      <c r="CO233" s="11" t="str">
        <f aca="false">IF($P233=0,CO232,IF(CO$3=$E233,IF($AA233=1,$F233&amp;$AB233,$G233),IF(OR(CO$3=$D233,CO$3=$AC233,CO$3=$AE233),"",IF(CO$3=$AD233,$F233&amp;"R",CO232))))</f>
        <v>bQ</v>
      </c>
      <c r="CP233" s="11" t="str">
        <f aca="false">IF($P233=0,CP232,IF(CP$3=$E233,IF($AA233=1,$F233&amp;$AB233,$G233),IF(OR(CP$3=$D233,CP$3=$AC233,CP$3=$AE233),"",IF(CP$3=$AD233,$F233&amp;"R",CP232))))</f>
        <v>bK</v>
      </c>
      <c r="CQ233" s="11" t="str">
        <f aca="false">IF($P233=0,CQ232,IF(CQ$3=$E233,IF($AA233=1,$F233&amp;$AB233,$G233),IF(OR(CQ$3=$D233,CQ$3=$AC233,CQ$3=$AE233),"",IF(CQ$3=$AD233,$F233&amp;"R",CQ232))))</f>
        <v>bB</v>
      </c>
      <c r="CR233" s="11" t="str">
        <f aca="false">IF($P233=0,CR232,IF(CR$3=$E233,IF($AA233=1,$F233&amp;$AB233,$G233),IF(OR(CR$3=$D233,CR$3=$AC233,CR$3=$AE233),"",IF(CR$3=$AD233,$F233&amp;"R",CR232))))</f>
        <v>bN</v>
      </c>
      <c r="CS233" s="11" t="str">
        <f aca="false">IF($P233=0,CS232,IF(CS$3=$E233,IF($AA233=1,$F233&amp;$AB233,$G233),IF(OR(CS$3=$D233,CS$3=$AC233,CS$3=$AE233),"",IF(CS$3=$AD233,$F233&amp;"R",CS232))))</f>
        <v>bR</v>
      </c>
      <c r="CT233" s="11"/>
      <c r="CU233" s="11"/>
      <c r="CV233" s="11"/>
    </row>
    <row r="234" customFormat="false" ht="15" hidden="false" customHeight="false" outlineLevel="0" collapsed="false">
      <c r="A234" s="11" t="n">
        <v>229</v>
      </c>
      <c r="B234" s="11" t="str">
        <f aca="false">IF(Chess!$L$238="","",Chess!$L$238&amp;"")</f>
        <v/>
      </c>
      <c r="C234" s="11" t="str">
        <f aca="false">LOWER(SUBSTITUTE(SUBSTITUTE(SUBSTITUTE(SUBSTITUTE(TRIM($B234),"-",""),"=","")," ",""),"x",""))</f>
        <v/>
      </c>
      <c r="D234" s="11" t="n">
        <f aca="false">IF(LEN($C234)&lt;4,0,IFERROR(IF(AND(CODE(MID($C234,1,1))&gt;=97,CODE(MID($C234,1,1))&lt;=104,VALUE(MID($C234,2,1))&gt;=1,VALUE(MID($C234,2,1))&lt;=8),(VALUE(MID($C234,2,1))-1)*8+CODE(MID($C234,1,1))-96,0),0))</f>
        <v>0</v>
      </c>
      <c r="E234" s="11" t="n">
        <f aca="false">IF(LEN($C234)&lt;4,0,IFERROR(IF(AND(CODE(MID($C234,3,1))&gt;=97,CODE(MID($C234,3,1))&lt;=104,VALUE(MID($C234,4,1))&gt;=1,VALUE(MID($C234,4,1))&lt;=8),(VALUE(MID($C234,4,1))-1)*8+CODE(MID($C234,3,1))-96,0),0))</f>
        <v>0</v>
      </c>
      <c r="F234" s="11" t="str">
        <f aca="false">IF(MOD(SUM($P$5:$P233),2)=0,"w","b")</f>
        <v>w</v>
      </c>
      <c r="G234" s="11" t="str">
        <f aca="false">IF($D234=0,"",INDEX($AH233:$CS233,1,$D234)&amp;"")</f>
        <v/>
      </c>
      <c r="H234" s="11" t="str">
        <f aca="false">IF($E234=0,"",INDEX($AH233:$CS233,1,$E234)&amp;"")</f>
        <v/>
      </c>
      <c r="I234" s="11" t="n">
        <f aca="false">IF(OR($D234=0,$E234=0),0,MOD($E234-1,8)-MOD($D234-1,8))</f>
        <v>0</v>
      </c>
      <c r="J234" s="11" t="n">
        <f aca="false">IF(OR($D234=0,$E234=0),0,INT(($E234-1)/8)-INT(($D234-1)/8))</f>
        <v>0</v>
      </c>
      <c r="K234" s="11" t="str">
        <f aca="false">IF($G234="","",RIGHT($G234,1))</f>
        <v/>
      </c>
      <c r="L234" s="11" t="n">
        <f aca="false">IF(OR($D234=0,$E234=0),0,SUMPRODUCT(($AH$3:$CS$3&gt;MIN($D234,$E234))*($AH$3:$CS$3&lt;MAX($D234,$E234))*(MOD($AH$3:$CS$3-MIN($D234,$E234),MAX(1,ABS(SIGN($J234)*8+SIGN($I234))))=0)*($AH233:$CS233&lt;&gt;"")))</f>
        <v>0</v>
      </c>
      <c r="M234" s="11" t="n">
        <f aca="false">IF($K234&lt;&gt;"K",0,IFERROR(--AND($J234=0,ABS($I234)=2,$D234=IF($F234="w",5,61),IF($F234="w",$S233,$V233)=0,IF($I234=2,AND(IF($F234="w",$U233,$X233)=0,INDEX($AH233:$CS233,1,$D234+1)&amp;""="",INDEX($AH233:$CS233,1,$D234+2)&amp;""=""),AND(IF($F234="w",$T233,$W233)=0,INDEX($AH233:$CS233,1,$D234-1)&amp;""="",INDEX($AH233:$CS233,1,$D234-2)&amp;""="",INDEX($AH233:$CS233,1,$D234-3)&amp;""=""))),0))</f>
        <v>0</v>
      </c>
      <c r="N234" s="11" t="n">
        <f aca="false">IF($K234&lt;&gt;"P",0,IFERROR(--OR(AND($I234=0,$J234=IF($F234="w",1,-1),$H234=""),AND($I234=0,$J234=2*IF($F234="w",1,-1),$H234="",INT(($D234-1)/8)=IF($F234="w",1,6),INDEX($AH233:$CS233,1,MAX(1,MIN(64,$D234+8*IF($F234="w",1,-1))))&amp;""=""),AND(ABS($I234)=1,$J234=IF($F234="w",1,-1),$H234&lt;&gt;""),AND(ABS($I234)=1,$J234=IF($F234="w",1,-1),$H234="",$R233&gt;0,$E234=$R233)),0))</f>
        <v>0</v>
      </c>
      <c r="O234" s="11" t="n">
        <f aca="false">IF(OR($D234=0,$E234=0,$G234=""),0,IF($K234="N",--OR(AND(ABS($I234)=1,ABS($J234)=2),AND(ABS($I234)=2,ABS($J234)=1)),IF($K234="B",--AND(ABS($I234)=ABS($J234),$I234&lt;&gt;0,$L234=0),IF($K234="R",--AND(OR($I234=0,$J234=0),OR($I234&lt;&gt;0,$J234&lt;&gt;0),$L234=0),IF($K234="Q",--AND(OR(AND(ABS($I234)=ABS($J234),$I234&lt;&gt;0),AND(OR($I234=0,$J234=0),OR($I234&lt;&gt;0,$J234&lt;&gt;0))),$L234=0),IF($K234="K",--OR(MAX(ABS($I234),ABS($J234))=1,$M234=1),$N234))))))</f>
        <v>0</v>
      </c>
      <c r="P234" s="11" t="n">
        <f aca="false">IF($Q234="OK",1,0)</f>
        <v>0</v>
      </c>
      <c r="Q234" s="11" t="str">
        <f aca="false">IF($B234="","",IF(OR(COUNTIF($AH233:$CS233,"wK")=0,COUNTIF($AH233:$CS233,"bK")=0),"Game is over",IF(OR($D234=0,$E234=0),"Use the format e2e4",IF($G234="","No piece on that square",IF(LEFT($G234,1)&lt;&gt;$F234,"Not your piece ("&amp;IF($F234="w","White","Black")&amp;" to move)",IF($D234=$E234,"Piece must move",IF(AND($H234&lt;&gt;"",LEFT($H234,1)=$F234),"Cannot capture your own piece",IF($O234=0,"Illegal move for that piece (or path blocked)","OK"))))))))</f>
        <v/>
      </c>
      <c r="R234" s="11" t="n">
        <f aca="false">IF($P234=1,IF(AND($K234="P",ABS($J234)=2),($D234+$E234)/2,0),$R233)</f>
        <v>0</v>
      </c>
      <c r="S234" s="12" t="b">
        <f aca="false">--OR($S233=1,AND($P234=1,OR($D234=5,$E234=5)))</f>
        <v>0</v>
      </c>
      <c r="T234" s="12" t="b">
        <f aca="false">--OR($T233=1,AND($P234=1,OR($D234=1,$E234=1)))</f>
        <v>0</v>
      </c>
      <c r="U234" s="12" t="b">
        <f aca="false">--OR($U233=1,AND($P234=1,OR($D234=8,$E234=8)))</f>
        <v>0</v>
      </c>
      <c r="V234" s="12" t="b">
        <f aca="false">--OR($V233=1,AND($P234=1,OR($D234=61,$E234=61)))</f>
        <v>0</v>
      </c>
      <c r="W234" s="12" t="b">
        <f aca="false">--OR($W233=1,AND($P234=1,OR($D234=57,$E234=57)))</f>
        <v>0</v>
      </c>
      <c r="X234" s="12" t="b">
        <f aca="false">--OR($X233=1,AND($P234=1,OR($D234=64,$E234=64)))</f>
        <v>0</v>
      </c>
      <c r="Y234" s="12" t="b">
        <f aca="false">--AND($P234=1,$K234="K",ABS($I234)=2)</f>
        <v>0</v>
      </c>
      <c r="Z234" s="12" t="b">
        <f aca="false">--AND($P234=1,$K234="P",ABS($I234)=1,$H234="")</f>
        <v>0</v>
      </c>
      <c r="AA234" s="12" t="b">
        <f aca="false">--AND($P234=1,$K234="P",INT(($E234-1)/8)=IF($F234="w",7,0))</f>
        <v>0</v>
      </c>
      <c r="AB234" s="11" t="str">
        <f aca="false">IF(LEN($C234)&gt;=5,IF(ISNUMBER(FIND(MID($C234,5,1),"qrbn")),UPPER(MID($C234,5,1)),"Q"),"Q")</f>
        <v>Q</v>
      </c>
      <c r="AC234" s="11" t="n">
        <f aca="false">IF($Y234=1,IF($I234=2,$D234+3,$D234-4),0)</f>
        <v>0</v>
      </c>
      <c r="AD234" s="11" t="n">
        <f aca="false">IF($Y234=1,IF($I234=2,$D234+1,$D234-1),0)</f>
        <v>0</v>
      </c>
      <c r="AE234" s="11" t="n">
        <f aca="false">IF($Z234=1,$E234-8*IF($F234="w",1,-1),0)</f>
        <v>0</v>
      </c>
      <c r="AF234" s="11" t="str">
        <f aca="false">IF($B234="","",IF($P234=1,LOWER(INDEX($CV$2:$CV$13,MATCH($G234,$CU$2:$CU$13,0)))&amp;" "&amp;MID("abcdefgh",MOD($D234-1,8)+1,1)&amp;(INT(($D234-1)/8)+1)&amp;"→"&amp;MID("abcdefgh",MOD($E234-1,8)+1,1)&amp;(INT(($E234-1)/8)+1)&amp;IF(OR($H234&lt;&gt;"",$Z234=1)," ×","")&amp;IF($Y234=1," castles","")&amp;IF($Z234=1," e.p.","")&amp;IF($AA234=1," =" &amp;LOWER(INDEX($CV$2:$CV$13,MATCH($F234&amp;$AB234,$CU$2:$CU$13,0))),""),"X "&amp;$Q234))</f>
        <v/>
      </c>
      <c r="AG234" s="11"/>
      <c r="AH234" s="11" t="str">
        <f aca="false">IF($P234=0,AH233,IF(AH$3=$E234,IF($AA234=1,$F234&amp;$AB234,$G234),IF(OR(AH$3=$D234,AH$3=$AC234,AH$3=$AE234),"",IF(AH$3=$AD234,$F234&amp;"R",AH233))))</f>
        <v>wR</v>
      </c>
      <c r="AI234" s="11" t="str">
        <f aca="false">IF($P234=0,AI233,IF(AI$3=$E234,IF($AA234=1,$F234&amp;$AB234,$G234),IF(OR(AI$3=$D234,AI$3=$AC234,AI$3=$AE234),"",IF(AI$3=$AD234,$F234&amp;"R",AI233))))</f>
        <v>wN</v>
      </c>
      <c r="AJ234" s="11" t="str">
        <f aca="false">IF($P234=0,AJ233,IF(AJ$3=$E234,IF($AA234=1,$F234&amp;$AB234,$G234),IF(OR(AJ$3=$D234,AJ$3=$AC234,AJ$3=$AE234),"",IF(AJ$3=$AD234,$F234&amp;"R",AJ233))))</f>
        <v>wB</v>
      </c>
      <c r="AK234" s="11" t="str">
        <f aca="false">IF($P234=0,AK233,IF(AK$3=$E234,IF($AA234=1,$F234&amp;$AB234,$G234),IF(OR(AK$3=$D234,AK$3=$AC234,AK$3=$AE234),"",IF(AK$3=$AD234,$F234&amp;"R",AK233))))</f>
        <v>wQ</v>
      </c>
      <c r="AL234" s="11" t="str">
        <f aca="false">IF($P234=0,AL233,IF(AL$3=$E234,IF($AA234=1,$F234&amp;$AB234,$G234),IF(OR(AL$3=$D234,AL$3=$AC234,AL$3=$AE234),"",IF(AL$3=$AD234,$F234&amp;"R",AL233))))</f>
        <v>wK</v>
      </c>
      <c r="AM234" s="11" t="str">
        <f aca="false">IF($P234=0,AM233,IF(AM$3=$E234,IF($AA234=1,$F234&amp;$AB234,$G234),IF(OR(AM$3=$D234,AM$3=$AC234,AM$3=$AE234),"",IF(AM$3=$AD234,$F234&amp;"R",AM233))))</f>
        <v>wB</v>
      </c>
      <c r="AN234" s="11" t="str">
        <f aca="false">IF($P234=0,AN233,IF(AN$3=$E234,IF($AA234=1,$F234&amp;$AB234,$G234),IF(OR(AN$3=$D234,AN$3=$AC234,AN$3=$AE234),"",IF(AN$3=$AD234,$F234&amp;"R",AN233))))</f>
        <v>wN</v>
      </c>
      <c r="AO234" s="11" t="str">
        <f aca="false">IF($P234=0,AO233,IF(AO$3=$E234,IF($AA234=1,$F234&amp;$AB234,$G234),IF(OR(AO$3=$D234,AO$3=$AC234,AO$3=$AE234),"",IF(AO$3=$AD234,$F234&amp;"R",AO233))))</f>
        <v>wR</v>
      </c>
      <c r="AP234" s="11" t="str">
        <f aca="false">IF($P234=0,AP233,IF(AP$3=$E234,IF($AA234=1,$F234&amp;$AB234,$G234),IF(OR(AP$3=$D234,AP$3=$AC234,AP$3=$AE234),"",IF(AP$3=$AD234,$F234&amp;"R",AP233))))</f>
        <v>wP</v>
      </c>
      <c r="AQ234" s="11" t="str">
        <f aca="false">IF($P234=0,AQ233,IF(AQ$3=$E234,IF($AA234=1,$F234&amp;$AB234,$G234),IF(OR(AQ$3=$D234,AQ$3=$AC234,AQ$3=$AE234),"",IF(AQ$3=$AD234,$F234&amp;"R",AQ233))))</f>
        <v>wP</v>
      </c>
      <c r="AR234" s="11" t="str">
        <f aca="false">IF($P234=0,AR233,IF(AR$3=$E234,IF($AA234=1,$F234&amp;$AB234,$G234),IF(OR(AR$3=$D234,AR$3=$AC234,AR$3=$AE234),"",IF(AR$3=$AD234,$F234&amp;"R",AR233))))</f>
        <v>wP</v>
      </c>
      <c r="AS234" s="11" t="str">
        <f aca="false">IF($P234=0,AS233,IF(AS$3=$E234,IF($AA234=1,$F234&amp;$AB234,$G234),IF(OR(AS$3=$D234,AS$3=$AC234,AS$3=$AE234),"",IF(AS$3=$AD234,$F234&amp;"R",AS233))))</f>
        <v>wP</v>
      </c>
      <c r="AT234" s="11" t="str">
        <f aca="false">IF($P234=0,AT233,IF(AT$3=$E234,IF($AA234=1,$F234&amp;$AB234,$G234),IF(OR(AT$3=$D234,AT$3=$AC234,AT$3=$AE234),"",IF(AT$3=$AD234,$F234&amp;"R",AT233))))</f>
        <v>wP</v>
      </c>
      <c r="AU234" s="11" t="str">
        <f aca="false">IF($P234=0,AU233,IF(AU$3=$E234,IF($AA234=1,$F234&amp;$AB234,$G234),IF(OR(AU$3=$D234,AU$3=$AC234,AU$3=$AE234),"",IF(AU$3=$AD234,$F234&amp;"R",AU233))))</f>
        <v>wP</v>
      </c>
      <c r="AV234" s="11" t="str">
        <f aca="false">IF($P234=0,AV233,IF(AV$3=$E234,IF($AA234=1,$F234&amp;$AB234,$G234),IF(OR(AV$3=$D234,AV$3=$AC234,AV$3=$AE234),"",IF(AV$3=$AD234,$F234&amp;"R",AV233))))</f>
        <v>wP</v>
      </c>
      <c r="AW234" s="11" t="str">
        <f aca="false">IF($P234=0,AW233,IF(AW$3=$E234,IF($AA234=1,$F234&amp;$AB234,$G234),IF(OR(AW$3=$D234,AW$3=$AC234,AW$3=$AE234),"",IF(AW$3=$AD234,$F234&amp;"R",AW233))))</f>
        <v>wP</v>
      </c>
      <c r="AX234" s="11" t="str">
        <f aca="false">IF($P234=0,AX233,IF(AX$3=$E234,IF($AA234=1,$F234&amp;$AB234,$G234),IF(OR(AX$3=$D234,AX$3=$AC234,AX$3=$AE234),"",IF(AX$3=$AD234,$F234&amp;"R",AX233))))</f>
        <v/>
      </c>
      <c r="AY234" s="11" t="str">
        <f aca="false">IF($P234=0,AY233,IF(AY$3=$E234,IF($AA234=1,$F234&amp;$AB234,$G234),IF(OR(AY$3=$D234,AY$3=$AC234,AY$3=$AE234),"",IF(AY$3=$AD234,$F234&amp;"R",AY233))))</f>
        <v/>
      </c>
      <c r="AZ234" s="11" t="str">
        <f aca="false">IF($P234=0,AZ233,IF(AZ$3=$E234,IF($AA234=1,$F234&amp;$AB234,$G234),IF(OR(AZ$3=$D234,AZ$3=$AC234,AZ$3=$AE234),"",IF(AZ$3=$AD234,$F234&amp;"R",AZ233))))</f>
        <v/>
      </c>
      <c r="BA234" s="11" t="str">
        <f aca="false">IF($P234=0,BA233,IF(BA$3=$E234,IF($AA234=1,$F234&amp;$AB234,$G234),IF(OR(BA$3=$D234,BA$3=$AC234,BA$3=$AE234),"",IF(BA$3=$AD234,$F234&amp;"R",BA233))))</f>
        <v/>
      </c>
      <c r="BB234" s="11" t="str">
        <f aca="false">IF($P234=0,BB233,IF(BB$3=$E234,IF($AA234=1,$F234&amp;$AB234,$G234),IF(OR(BB$3=$D234,BB$3=$AC234,BB$3=$AE234),"",IF(BB$3=$AD234,$F234&amp;"R",BB233))))</f>
        <v/>
      </c>
      <c r="BC234" s="11" t="str">
        <f aca="false">IF($P234=0,BC233,IF(BC$3=$E234,IF($AA234=1,$F234&amp;$AB234,$G234),IF(OR(BC$3=$D234,BC$3=$AC234,BC$3=$AE234),"",IF(BC$3=$AD234,$F234&amp;"R",BC233))))</f>
        <v/>
      </c>
      <c r="BD234" s="11" t="str">
        <f aca="false">IF($P234=0,BD233,IF(BD$3=$E234,IF($AA234=1,$F234&amp;$AB234,$G234),IF(OR(BD$3=$D234,BD$3=$AC234,BD$3=$AE234),"",IF(BD$3=$AD234,$F234&amp;"R",BD233))))</f>
        <v/>
      </c>
      <c r="BE234" s="11" t="str">
        <f aca="false">IF($P234=0,BE233,IF(BE$3=$E234,IF($AA234=1,$F234&amp;$AB234,$G234),IF(OR(BE$3=$D234,BE$3=$AC234,BE$3=$AE234),"",IF(BE$3=$AD234,$F234&amp;"R",BE233))))</f>
        <v/>
      </c>
      <c r="BF234" s="11" t="str">
        <f aca="false">IF($P234=0,BF233,IF(BF$3=$E234,IF($AA234=1,$F234&amp;$AB234,$G234),IF(OR(BF$3=$D234,BF$3=$AC234,BF$3=$AE234),"",IF(BF$3=$AD234,$F234&amp;"R",BF233))))</f>
        <v/>
      </c>
      <c r="BG234" s="11" t="str">
        <f aca="false">IF($P234=0,BG233,IF(BG$3=$E234,IF($AA234=1,$F234&amp;$AB234,$G234),IF(OR(BG$3=$D234,BG$3=$AC234,BG$3=$AE234),"",IF(BG$3=$AD234,$F234&amp;"R",BG233))))</f>
        <v/>
      </c>
      <c r="BH234" s="11" t="str">
        <f aca="false">IF($P234=0,BH233,IF(BH$3=$E234,IF($AA234=1,$F234&amp;$AB234,$G234),IF(OR(BH$3=$D234,BH$3=$AC234,BH$3=$AE234),"",IF(BH$3=$AD234,$F234&amp;"R",BH233))))</f>
        <v/>
      </c>
      <c r="BI234" s="11" t="str">
        <f aca="false">IF($P234=0,BI233,IF(BI$3=$E234,IF($AA234=1,$F234&amp;$AB234,$G234),IF(OR(BI$3=$D234,BI$3=$AC234,BI$3=$AE234),"",IF(BI$3=$AD234,$F234&amp;"R",BI233))))</f>
        <v/>
      </c>
      <c r="BJ234" s="11" t="str">
        <f aca="false">IF($P234=0,BJ233,IF(BJ$3=$E234,IF($AA234=1,$F234&amp;$AB234,$G234),IF(OR(BJ$3=$D234,BJ$3=$AC234,BJ$3=$AE234),"",IF(BJ$3=$AD234,$F234&amp;"R",BJ233))))</f>
        <v/>
      </c>
      <c r="BK234" s="11" t="str">
        <f aca="false">IF($P234=0,BK233,IF(BK$3=$E234,IF($AA234=1,$F234&amp;$AB234,$G234),IF(OR(BK$3=$D234,BK$3=$AC234,BK$3=$AE234),"",IF(BK$3=$AD234,$F234&amp;"R",BK233))))</f>
        <v/>
      </c>
      <c r="BL234" s="11" t="str">
        <f aca="false">IF($P234=0,BL233,IF(BL$3=$E234,IF($AA234=1,$F234&amp;$AB234,$G234),IF(OR(BL$3=$D234,BL$3=$AC234,BL$3=$AE234),"",IF(BL$3=$AD234,$F234&amp;"R",BL233))))</f>
        <v/>
      </c>
      <c r="BM234" s="11" t="str">
        <f aca="false">IF($P234=0,BM233,IF(BM$3=$E234,IF($AA234=1,$F234&amp;$AB234,$G234),IF(OR(BM$3=$D234,BM$3=$AC234,BM$3=$AE234),"",IF(BM$3=$AD234,$F234&amp;"R",BM233))))</f>
        <v/>
      </c>
      <c r="BN234" s="11" t="str">
        <f aca="false">IF($P234=0,BN233,IF(BN$3=$E234,IF($AA234=1,$F234&amp;$AB234,$G234),IF(OR(BN$3=$D234,BN$3=$AC234,BN$3=$AE234),"",IF(BN$3=$AD234,$F234&amp;"R",BN233))))</f>
        <v/>
      </c>
      <c r="BO234" s="11" t="str">
        <f aca="false">IF($P234=0,BO233,IF(BO$3=$E234,IF($AA234=1,$F234&amp;$AB234,$G234),IF(OR(BO$3=$D234,BO$3=$AC234,BO$3=$AE234),"",IF(BO$3=$AD234,$F234&amp;"R",BO233))))</f>
        <v/>
      </c>
      <c r="BP234" s="11" t="str">
        <f aca="false">IF($P234=0,BP233,IF(BP$3=$E234,IF($AA234=1,$F234&amp;$AB234,$G234),IF(OR(BP$3=$D234,BP$3=$AC234,BP$3=$AE234),"",IF(BP$3=$AD234,$F234&amp;"R",BP233))))</f>
        <v/>
      </c>
      <c r="BQ234" s="11" t="str">
        <f aca="false">IF($P234=0,BQ233,IF(BQ$3=$E234,IF($AA234=1,$F234&amp;$AB234,$G234),IF(OR(BQ$3=$D234,BQ$3=$AC234,BQ$3=$AE234),"",IF(BQ$3=$AD234,$F234&amp;"R",BQ233))))</f>
        <v/>
      </c>
      <c r="BR234" s="11" t="str">
        <f aca="false">IF($P234=0,BR233,IF(BR$3=$E234,IF($AA234=1,$F234&amp;$AB234,$G234),IF(OR(BR$3=$D234,BR$3=$AC234,BR$3=$AE234),"",IF(BR$3=$AD234,$F234&amp;"R",BR233))))</f>
        <v/>
      </c>
      <c r="BS234" s="11" t="str">
        <f aca="false">IF($P234=0,BS233,IF(BS$3=$E234,IF($AA234=1,$F234&amp;$AB234,$G234),IF(OR(BS$3=$D234,BS$3=$AC234,BS$3=$AE234),"",IF(BS$3=$AD234,$F234&amp;"R",BS233))))</f>
        <v/>
      </c>
      <c r="BT234" s="11" t="str">
        <f aca="false">IF($P234=0,BT233,IF(BT$3=$E234,IF($AA234=1,$F234&amp;$AB234,$G234),IF(OR(BT$3=$D234,BT$3=$AC234,BT$3=$AE234),"",IF(BT$3=$AD234,$F234&amp;"R",BT233))))</f>
        <v/>
      </c>
      <c r="BU234" s="11" t="str">
        <f aca="false">IF($P234=0,BU233,IF(BU$3=$E234,IF($AA234=1,$F234&amp;$AB234,$G234),IF(OR(BU$3=$D234,BU$3=$AC234,BU$3=$AE234),"",IF(BU$3=$AD234,$F234&amp;"R",BU233))))</f>
        <v/>
      </c>
      <c r="BV234" s="11" t="str">
        <f aca="false">IF($P234=0,BV233,IF(BV$3=$E234,IF($AA234=1,$F234&amp;$AB234,$G234),IF(OR(BV$3=$D234,BV$3=$AC234,BV$3=$AE234),"",IF(BV$3=$AD234,$F234&amp;"R",BV233))))</f>
        <v/>
      </c>
      <c r="BW234" s="11" t="str">
        <f aca="false">IF($P234=0,BW233,IF(BW$3=$E234,IF($AA234=1,$F234&amp;$AB234,$G234),IF(OR(BW$3=$D234,BW$3=$AC234,BW$3=$AE234),"",IF(BW$3=$AD234,$F234&amp;"R",BW233))))</f>
        <v/>
      </c>
      <c r="BX234" s="11" t="str">
        <f aca="false">IF($P234=0,BX233,IF(BX$3=$E234,IF($AA234=1,$F234&amp;$AB234,$G234),IF(OR(BX$3=$D234,BX$3=$AC234,BX$3=$AE234),"",IF(BX$3=$AD234,$F234&amp;"R",BX233))))</f>
        <v/>
      </c>
      <c r="BY234" s="11" t="str">
        <f aca="false">IF($P234=0,BY233,IF(BY$3=$E234,IF($AA234=1,$F234&amp;$AB234,$G234),IF(OR(BY$3=$D234,BY$3=$AC234,BY$3=$AE234),"",IF(BY$3=$AD234,$F234&amp;"R",BY233))))</f>
        <v/>
      </c>
      <c r="BZ234" s="11" t="str">
        <f aca="false">IF($P234=0,BZ233,IF(BZ$3=$E234,IF($AA234=1,$F234&amp;$AB234,$G234),IF(OR(BZ$3=$D234,BZ$3=$AC234,BZ$3=$AE234),"",IF(BZ$3=$AD234,$F234&amp;"R",BZ233))))</f>
        <v/>
      </c>
      <c r="CA234" s="11" t="str">
        <f aca="false">IF($P234=0,CA233,IF(CA$3=$E234,IF($AA234=1,$F234&amp;$AB234,$G234),IF(OR(CA$3=$D234,CA$3=$AC234,CA$3=$AE234),"",IF(CA$3=$AD234,$F234&amp;"R",CA233))))</f>
        <v/>
      </c>
      <c r="CB234" s="11" t="str">
        <f aca="false">IF($P234=0,CB233,IF(CB$3=$E234,IF($AA234=1,$F234&amp;$AB234,$G234),IF(OR(CB$3=$D234,CB$3=$AC234,CB$3=$AE234),"",IF(CB$3=$AD234,$F234&amp;"R",CB233))))</f>
        <v/>
      </c>
      <c r="CC234" s="11" t="str">
        <f aca="false">IF($P234=0,CC233,IF(CC$3=$E234,IF($AA234=1,$F234&amp;$AB234,$G234),IF(OR(CC$3=$D234,CC$3=$AC234,CC$3=$AE234),"",IF(CC$3=$AD234,$F234&amp;"R",CC233))))</f>
        <v/>
      </c>
      <c r="CD234" s="11" t="str">
        <f aca="false">IF($P234=0,CD233,IF(CD$3=$E234,IF($AA234=1,$F234&amp;$AB234,$G234),IF(OR(CD$3=$D234,CD$3=$AC234,CD$3=$AE234),"",IF(CD$3=$AD234,$F234&amp;"R",CD233))))</f>
        <v>bP</v>
      </c>
      <c r="CE234" s="11" t="str">
        <f aca="false">IF($P234=0,CE233,IF(CE$3=$E234,IF($AA234=1,$F234&amp;$AB234,$G234),IF(OR(CE$3=$D234,CE$3=$AC234,CE$3=$AE234),"",IF(CE$3=$AD234,$F234&amp;"R",CE233))))</f>
        <v>bP</v>
      </c>
      <c r="CF234" s="11" t="str">
        <f aca="false">IF($P234=0,CF233,IF(CF$3=$E234,IF($AA234=1,$F234&amp;$AB234,$G234),IF(OR(CF$3=$D234,CF$3=$AC234,CF$3=$AE234),"",IF(CF$3=$AD234,$F234&amp;"R",CF233))))</f>
        <v>bP</v>
      </c>
      <c r="CG234" s="11" t="str">
        <f aca="false">IF($P234=0,CG233,IF(CG$3=$E234,IF($AA234=1,$F234&amp;$AB234,$G234),IF(OR(CG$3=$D234,CG$3=$AC234,CG$3=$AE234),"",IF(CG$3=$AD234,$F234&amp;"R",CG233))))</f>
        <v>bP</v>
      </c>
      <c r="CH234" s="11" t="str">
        <f aca="false">IF($P234=0,CH233,IF(CH$3=$E234,IF($AA234=1,$F234&amp;$AB234,$G234),IF(OR(CH$3=$D234,CH$3=$AC234,CH$3=$AE234),"",IF(CH$3=$AD234,$F234&amp;"R",CH233))))</f>
        <v>bP</v>
      </c>
      <c r="CI234" s="11" t="str">
        <f aca="false">IF($P234=0,CI233,IF(CI$3=$E234,IF($AA234=1,$F234&amp;$AB234,$G234),IF(OR(CI$3=$D234,CI$3=$AC234,CI$3=$AE234),"",IF(CI$3=$AD234,$F234&amp;"R",CI233))))</f>
        <v>bP</v>
      </c>
      <c r="CJ234" s="11" t="str">
        <f aca="false">IF($P234=0,CJ233,IF(CJ$3=$E234,IF($AA234=1,$F234&amp;$AB234,$G234),IF(OR(CJ$3=$D234,CJ$3=$AC234,CJ$3=$AE234),"",IF(CJ$3=$AD234,$F234&amp;"R",CJ233))))</f>
        <v>bP</v>
      </c>
      <c r="CK234" s="11" t="str">
        <f aca="false">IF($P234=0,CK233,IF(CK$3=$E234,IF($AA234=1,$F234&amp;$AB234,$G234),IF(OR(CK$3=$D234,CK$3=$AC234,CK$3=$AE234),"",IF(CK$3=$AD234,$F234&amp;"R",CK233))))</f>
        <v>bP</v>
      </c>
      <c r="CL234" s="11" t="str">
        <f aca="false">IF($P234=0,CL233,IF(CL$3=$E234,IF($AA234=1,$F234&amp;$AB234,$G234),IF(OR(CL$3=$D234,CL$3=$AC234,CL$3=$AE234),"",IF(CL$3=$AD234,$F234&amp;"R",CL233))))</f>
        <v>bR</v>
      </c>
      <c r="CM234" s="11" t="str">
        <f aca="false">IF($P234=0,CM233,IF(CM$3=$E234,IF($AA234=1,$F234&amp;$AB234,$G234),IF(OR(CM$3=$D234,CM$3=$AC234,CM$3=$AE234),"",IF(CM$3=$AD234,$F234&amp;"R",CM233))))</f>
        <v>bN</v>
      </c>
      <c r="CN234" s="11" t="str">
        <f aca="false">IF($P234=0,CN233,IF(CN$3=$E234,IF($AA234=1,$F234&amp;$AB234,$G234),IF(OR(CN$3=$D234,CN$3=$AC234,CN$3=$AE234),"",IF(CN$3=$AD234,$F234&amp;"R",CN233))))</f>
        <v>bB</v>
      </c>
      <c r="CO234" s="11" t="str">
        <f aca="false">IF($P234=0,CO233,IF(CO$3=$E234,IF($AA234=1,$F234&amp;$AB234,$G234),IF(OR(CO$3=$D234,CO$3=$AC234,CO$3=$AE234),"",IF(CO$3=$AD234,$F234&amp;"R",CO233))))</f>
        <v>bQ</v>
      </c>
      <c r="CP234" s="11" t="str">
        <f aca="false">IF($P234=0,CP233,IF(CP$3=$E234,IF($AA234=1,$F234&amp;$AB234,$G234),IF(OR(CP$3=$D234,CP$3=$AC234,CP$3=$AE234),"",IF(CP$3=$AD234,$F234&amp;"R",CP233))))</f>
        <v>bK</v>
      </c>
      <c r="CQ234" s="11" t="str">
        <f aca="false">IF($P234=0,CQ233,IF(CQ$3=$E234,IF($AA234=1,$F234&amp;$AB234,$G234),IF(OR(CQ$3=$D234,CQ$3=$AC234,CQ$3=$AE234),"",IF(CQ$3=$AD234,$F234&amp;"R",CQ233))))</f>
        <v>bB</v>
      </c>
      <c r="CR234" s="11" t="str">
        <f aca="false">IF($P234=0,CR233,IF(CR$3=$E234,IF($AA234=1,$F234&amp;$AB234,$G234),IF(OR(CR$3=$D234,CR$3=$AC234,CR$3=$AE234),"",IF(CR$3=$AD234,$F234&amp;"R",CR233))))</f>
        <v>bN</v>
      </c>
      <c r="CS234" s="11" t="str">
        <f aca="false">IF($P234=0,CS233,IF(CS$3=$E234,IF($AA234=1,$F234&amp;$AB234,$G234),IF(OR(CS$3=$D234,CS$3=$AC234,CS$3=$AE234),"",IF(CS$3=$AD234,$F234&amp;"R",CS233))))</f>
        <v>bR</v>
      </c>
      <c r="CT234" s="11"/>
      <c r="CU234" s="11"/>
      <c r="CV234" s="11"/>
    </row>
    <row r="235" customFormat="false" ht="15" hidden="false" customHeight="false" outlineLevel="0" collapsed="false">
      <c r="A235" s="11" t="n">
        <v>230</v>
      </c>
      <c r="B235" s="11" t="str">
        <f aca="false">IF(Chess!$L$239="","",Chess!$L$239&amp;"")</f>
        <v/>
      </c>
      <c r="C235" s="11" t="str">
        <f aca="false">LOWER(SUBSTITUTE(SUBSTITUTE(SUBSTITUTE(SUBSTITUTE(TRIM($B235),"-",""),"=","")," ",""),"x",""))</f>
        <v/>
      </c>
      <c r="D235" s="11" t="n">
        <f aca="false">IF(LEN($C235)&lt;4,0,IFERROR(IF(AND(CODE(MID($C235,1,1))&gt;=97,CODE(MID($C235,1,1))&lt;=104,VALUE(MID($C235,2,1))&gt;=1,VALUE(MID($C235,2,1))&lt;=8),(VALUE(MID($C235,2,1))-1)*8+CODE(MID($C235,1,1))-96,0),0))</f>
        <v>0</v>
      </c>
      <c r="E235" s="11" t="n">
        <f aca="false">IF(LEN($C235)&lt;4,0,IFERROR(IF(AND(CODE(MID($C235,3,1))&gt;=97,CODE(MID($C235,3,1))&lt;=104,VALUE(MID($C235,4,1))&gt;=1,VALUE(MID($C235,4,1))&lt;=8),(VALUE(MID($C235,4,1))-1)*8+CODE(MID($C235,3,1))-96,0),0))</f>
        <v>0</v>
      </c>
      <c r="F235" s="11" t="str">
        <f aca="false">IF(MOD(SUM($P$5:$P234),2)=0,"w","b")</f>
        <v>w</v>
      </c>
      <c r="G235" s="11" t="str">
        <f aca="false">IF($D235=0,"",INDEX($AH234:$CS234,1,$D235)&amp;"")</f>
        <v/>
      </c>
      <c r="H235" s="11" t="str">
        <f aca="false">IF($E235=0,"",INDEX($AH234:$CS234,1,$E235)&amp;"")</f>
        <v/>
      </c>
      <c r="I235" s="11" t="n">
        <f aca="false">IF(OR($D235=0,$E235=0),0,MOD($E235-1,8)-MOD($D235-1,8))</f>
        <v>0</v>
      </c>
      <c r="J235" s="11" t="n">
        <f aca="false">IF(OR($D235=0,$E235=0),0,INT(($E235-1)/8)-INT(($D235-1)/8))</f>
        <v>0</v>
      </c>
      <c r="K235" s="11" t="str">
        <f aca="false">IF($G235="","",RIGHT($G235,1))</f>
        <v/>
      </c>
      <c r="L235" s="11" t="n">
        <f aca="false">IF(OR($D235=0,$E235=0),0,SUMPRODUCT(($AH$3:$CS$3&gt;MIN($D235,$E235))*($AH$3:$CS$3&lt;MAX($D235,$E235))*(MOD($AH$3:$CS$3-MIN($D235,$E235),MAX(1,ABS(SIGN($J235)*8+SIGN($I235))))=0)*($AH234:$CS234&lt;&gt;"")))</f>
        <v>0</v>
      </c>
      <c r="M235" s="11" t="n">
        <f aca="false">IF($K235&lt;&gt;"K",0,IFERROR(--AND($J235=0,ABS($I235)=2,$D235=IF($F235="w",5,61),IF($F235="w",$S234,$V234)=0,IF($I235=2,AND(IF($F235="w",$U234,$X234)=0,INDEX($AH234:$CS234,1,$D235+1)&amp;""="",INDEX($AH234:$CS234,1,$D235+2)&amp;""=""),AND(IF($F235="w",$T234,$W234)=0,INDEX($AH234:$CS234,1,$D235-1)&amp;""="",INDEX($AH234:$CS234,1,$D235-2)&amp;""="",INDEX($AH234:$CS234,1,$D235-3)&amp;""=""))),0))</f>
        <v>0</v>
      </c>
      <c r="N235" s="11" t="n">
        <f aca="false">IF($K235&lt;&gt;"P",0,IFERROR(--OR(AND($I235=0,$J235=IF($F235="w",1,-1),$H235=""),AND($I235=0,$J235=2*IF($F235="w",1,-1),$H235="",INT(($D235-1)/8)=IF($F235="w",1,6),INDEX($AH234:$CS234,1,MAX(1,MIN(64,$D235+8*IF($F235="w",1,-1))))&amp;""=""),AND(ABS($I235)=1,$J235=IF($F235="w",1,-1),$H235&lt;&gt;""),AND(ABS($I235)=1,$J235=IF($F235="w",1,-1),$H235="",$R234&gt;0,$E235=$R234)),0))</f>
        <v>0</v>
      </c>
      <c r="O235" s="11" t="n">
        <f aca="false">IF(OR($D235=0,$E235=0,$G235=""),0,IF($K235="N",--OR(AND(ABS($I235)=1,ABS($J235)=2),AND(ABS($I235)=2,ABS($J235)=1)),IF($K235="B",--AND(ABS($I235)=ABS($J235),$I235&lt;&gt;0,$L235=0),IF($K235="R",--AND(OR($I235=0,$J235=0),OR($I235&lt;&gt;0,$J235&lt;&gt;0),$L235=0),IF($K235="Q",--AND(OR(AND(ABS($I235)=ABS($J235),$I235&lt;&gt;0),AND(OR($I235=0,$J235=0),OR($I235&lt;&gt;0,$J235&lt;&gt;0))),$L235=0),IF($K235="K",--OR(MAX(ABS($I235),ABS($J235))=1,$M235=1),$N235))))))</f>
        <v>0</v>
      </c>
      <c r="P235" s="11" t="n">
        <f aca="false">IF($Q235="OK",1,0)</f>
        <v>0</v>
      </c>
      <c r="Q235" s="11" t="str">
        <f aca="false">IF($B235="","",IF(OR(COUNTIF($AH234:$CS234,"wK")=0,COUNTIF($AH234:$CS234,"bK")=0),"Game is over",IF(OR($D235=0,$E235=0),"Use the format e2e4",IF($G235="","No piece on that square",IF(LEFT($G235,1)&lt;&gt;$F235,"Not your piece ("&amp;IF($F235="w","White","Black")&amp;" to move)",IF($D235=$E235,"Piece must move",IF(AND($H235&lt;&gt;"",LEFT($H235,1)=$F235),"Cannot capture your own piece",IF($O235=0,"Illegal move for that piece (or path blocked)","OK"))))))))</f>
        <v/>
      </c>
      <c r="R235" s="11" t="n">
        <f aca="false">IF($P235=1,IF(AND($K235="P",ABS($J235)=2),($D235+$E235)/2,0),$R234)</f>
        <v>0</v>
      </c>
      <c r="S235" s="12" t="b">
        <f aca="false">--OR($S234=1,AND($P235=1,OR($D235=5,$E235=5)))</f>
        <v>0</v>
      </c>
      <c r="T235" s="12" t="b">
        <f aca="false">--OR($T234=1,AND($P235=1,OR($D235=1,$E235=1)))</f>
        <v>0</v>
      </c>
      <c r="U235" s="12" t="b">
        <f aca="false">--OR($U234=1,AND($P235=1,OR($D235=8,$E235=8)))</f>
        <v>0</v>
      </c>
      <c r="V235" s="12" t="b">
        <f aca="false">--OR($V234=1,AND($P235=1,OR($D235=61,$E235=61)))</f>
        <v>0</v>
      </c>
      <c r="W235" s="12" t="b">
        <f aca="false">--OR($W234=1,AND($P235=1,OR($D235=57,$E235=57)))</f>
        <v>0</v>
      </c>
      <c r="X235" s="12" t="b">
        <f aca="false">--OR($X234=1,AND($P235=1,OR($D235=64,$E235=64)))</f>
        <v>0</v>
      </c>
      <c r="Y235" s="12" t="b">
        <f aca="false">--AND($P235=1,$K235="K",ABS($I235)=2)</f>
        <v>0</v>
      </c>
      <c r="Z235" s="12" t="b">
        <f aca="false">--AND($P235=1,$K235="P",ABS($I235)=1,$H235="")</f>
        <v>0</v>
      </c>
      <c r="AA235" s="12" t="b">
        <f aca="false">--AND($P235=1,$K235="P",INT(($E235-1)/8)=IF($F235="w",7,0))</f>
        <v>0</v>
      </c>
      <c r="AB235" s="11" t="str">
        <f aca="false">IF(LEN($C235)&gt;=5,IF(ISNUMBER(FIND(MID($C235,5,1),"qrbn")),UPPER(MID($C235,5,1)),"Q"),"Q")</f>
        <v>Q</v>
      </c>
      <c r="AC235" s="11" t="n">
        <f aca="false">IF($Y235=1,IF($I235=2,$D235+3,$D235-4),0)</f>
        <v>0</v>
      </c>
      <c r="AD235" s="11" t="n">
        <f aca="false">IF($Y235=1,IF($I235=2,$D235+1,$D235-1),0)</f>
        <v>0</v>
      </c>
      <c r="AE235" s="11" t="n">
        <f aca="false">IF($Z235=1,$E235-8*IF($F235="w",1,-1),0)</f>
        <v>0</v>
      </c>
      <c r="AF235" s="11" t="str">
        <f aca="false">IF($B235="","",IF($P235=1,LOWER(INDEX($CV$2:$CV$13,MATCH($G235,$CU$2:$CU$13,0)))&amp;" "&amp;MID("abcdefgh",MOD($D235-1,8)+1,1)&amp;(INT(($D235-1)/8)+1)&amp;"→"&amp;MID("abcdefgh",MOD($E235-1,8)+1,1)&amp;(INT(($E235-1)/8)+1)&amp;IF(OR($H235&lt;&gt;"",$Z235=1)," ×","")&amp;IF($Y235=1," castles","")&amp;IF($Z235=1," e.p.","")&amp;IF($AA235=1," =" &amp;LOWER(INDEX($CV$2:$CV$13,MATCH($F235&amp;$AB235,$CU$2:$CU$13,0))),""),"X "&amp;$Q235))</f>
        <v/>
      </c>
      <c r="AG235" s="11"/>
      <c r="AH235" s="11" t="str">
        <f aca="false">IF($P235=0,AH234,IF(AH$3=$E235,IF($AA235=1,$F235&amp;$AB235,$G235),IF(OR(AH$3=$D235,AH$3=$AC235,AH$3=$AE235),"",IF(AH$3=$AD235,$F235&amp;"R",AH234))))</f>
        <v>wR</v>
      </c>
      <c r="AI235" s="11" t="str">
        <f aca="false">IF($P235=0,AI234,IF(AI$3=$E235,IF($AA235=1,$F235&amp;$AB235,$G235),IF(OR(AI$3=$D235,AI$3=$AC235,AI$3=$AE235),"",IF(AI$3=$AD235,$F235&amp;"R",AI234))))</f>
        <v>wN</v>
      </c>
      <c r="AJ235" s="11" t="str">
        <f aca="false">IF($P235=0,AJ234,IF(AJ$3=$E235,IF($AA235=1,$F235&amp;$AB235,$G235),IF(OR(AJ$3=$D235,AJ$3=$AC235,AJ$3=$AE235),"",IF(AJ$3=$AD235,$F235&amp;"R",AJ234))))</f>
        <v>wB</v>
      </c>
      <c r="AK235" s="11" t="str">
        <f aca="false">IF($P235=0,AK234,IF(AK$3=$E235,IF($AA235=1,$F235&amp;$AB235,$G235),IF(OR(AK$3=$D235,AK$3=$AC235,AK$3=$AE235),"",IF(AK$3=$AD235,$F235&amp;"R",AK234))))</f>
        <v>wQ</v>
      </c>
      <c r="AL235" s="11" t="str">
        <f aca="false">IF($P235=0,AL234,IF(AL$3=$E235,IF($AA235=1,$F235&amp;$AB235,$G235),IF(OR(AL$3=$D235,AL$3=$AC235,AL$3=$AE235),"",IF(AL$3=$AD235,$F235&amp;"R",AL234))))</f>
        <v>wK</v>
      </c>
      <c r="AM235" s="11" t="str">
        <f aca="false">IF($P235=0,AM234,IF(AM$3=$E235,IF($AA235=1,$F235&amp;$AB235,$G235),IF(OR(AM$3=$D235,AM$3=$AC235,AM$3=$AE235),"",IF(AM$3=$AD235,$F235&amp;"R",AM234))))</f>
        <v>wB</v>
      </c>
      <c r="AN235" s="11" t="str">
        <f aca="false">IF($P235=0,AN234,IF(AN$3=$E235,IF($AA235=1,$F235&amp;$AB235,$G235),IF(OR(AN$3=$D235,AN$3=$AC235,AN$3=$AE235),"",IF(AN$3=$AD235,$F235&amp;"R",AN234))))</f>
        <v>wN</v>
      </c>
      <c r="AO235" s="11" t="str">
        <f aca="false">IF($P235=0,AO234,IF(AO$3=$E235,IF($AA235=1,$F235&amp;$AB235,$G235),IF(OR(AO$3=$D235,AO$3=$AC235,AO$3=$AE235),"",IF(AO$3=$AD235,$F235&amp;"R",AO234))))</f>
        <v>wR</v>
      </c>
      <c r="AP235" s="11" t="str">
        <f aca="false">IF($P235=0,AP234,IF(AP$3=$E235,IF($AA235=1,$F235&amp;$AB235,$G235),IF(OR(AP$3=$D235,AP$3=$AC235,AP$3=$AE235),"",IF(AP$3=$AD235,$F235&amp;"R",AP234))))</f>
        <v>wP</v>
      </c>
      <c r="AQ235" s="11" t="str">
        <f aca="false">IF($P235=0,AQ234,IF(AQ$3=$E235,IF($AA235=1,$F235&amp;$AB235,$G235),IF(OR(AQ$3=$D235,AQ$3=$AC235,AQ$3=$AE235),"",IF(AQ$3=$AD235,$F235&amp;"R",AQ234))))</f>
        <v>wP</v>
      </c>
      <c r="AR235" s="11" t="str">
        <f aca="false">IF($P235=0,AR234,IF(AR$3=$E235,IF($AA235=1,$F235&amp;$AB235,$G235),IF(OR(AR$3=$D235,AR$3=$AC235,AR$3=$AE235),"",IF(AR$3=$AD235,$F235&amp;"R",AR234))))</f>
        <v>wP</v>
      </c>
      <c r="AS235" s="11" t="str">
        <f aca="false">IF($P235=0,AS234,IF(AS$3=$E235,IF($AA235=1,$F235&amp;$AB235,$G235),IF(OR(AS$3=$D235,AS$3=$AC235,AS$3=$AE235),"",IF(AS$3=$AD235,$F235&amp;"R",AS234))))</f>
        <v>wP</v>
      </c>
      <c r="AT235" s="11" t="str">
        <f aca="false">IF($P235=0,AT234,IF(AT$3=$E235,IF($AA235=1,$F235&amp;$AB235,$G235),IF(OR(AT$3=$D235,AT$3=$AC235,AT$3=$AE235),"",IF(AT$3=$AD235,$F235&amp;"R",AT234))))</f>
        <v>wP</v>
      </c>
      <c r="AU235" s="11" t="str">
        <f aca="false">IF($P235=0,AU234,IF(AU$3=$E235,IF($AA235=1,$F235&amp;$AB235,$G235),IF(OR(AU$3=$D235,AU$3=$AC235,AU$3=$AE235),"",IF(AU$3=$AD235,$F235&amp;"R",AU234))))</f>
        <v>wP</v>
      </c>
      <c r="AV235" s="11" t="str">
        <f aca="false">IF($P235=0,AV234,IF(AV$3=$E235,IF($AA235=1,$F235&amp;$AB235,$G235),IF(OR(AV$3=$D235,AV$3=$AC235,AV$3=$AE235),"",IF(AV$3=$AD235,$F235&amp;"R",AV234))))</f>
        <v>wP</v>
      </c>
      <c r="AW235" s="11" t="str">
        <f aca="false">IF($P235=0,AW234,IF(AW$3=$E235,IF($AA235=1,$F235&amp;$AB235,$G235),IF(OR(AW$3=$D235,AW$3=$AC235,AW$3=$AE235),"",IF(AW$3=$AD235,$F235&amp;"R",AW234))))</f>
        <v>wP</v>
      </c>
      <c r="AX235" s="11" t="str">
        <f aca="false">IF($P235=0,AX234,IF(AX$3=$E235,IF($AA235=1,$F235&amp;$AB235,$G235),IF(OR(AX$3=$D235,AX$3=$AC235,AX$3=$AE235),"",IF(AX$3=$AD235,$F235&amp;"R",AX234))))</f>
        <v/>
      </c>
      <c r="AY235" s="11" t="str">
        <f aca="false">IF($P235=0,AY234,IF(AY$3=$E235,IF($AA235=1,$F235&amp;$AB235,$G235),IF(OR(AY$3=$D235,AY$3=$AC235,AY$3=$AE235),"",IF(AY$3=$AD235,$F235&amp;"R",AY234))))</f>
        <v/>
      </c>
      <c r="AZ235" s="11" t="str">
        <f aca="false">IF($P235=0,AZ234,IF(AZ$3=$E235,IF($AA235=1,$F235&amp;$AB235,$G235),IF(OR(AZ$3=$D235,AZ$3=$AC235,AZ$3=$AE235),"",IF(AZ$3=$AD235,$F235&amp;"R",AZ234))))</f>
        <v/>
      </c>
      <c r="BA235" s="11" t="str">
        <f aca="false">IF($P235=0,BA234,IF(BA$3=$E235,IF($AA235=1,$F235&amp;$AB235,$G235),IF(OR(BA$3=$D235,BA$3=$AC235,BA$3=$AE235),"",IF(BA$3=$AD235,$F235&amp;"R",BA234))))</f>
        <v/>
      </c>
      <c r="BB235" s="11" t="str">
        <f aca="false">IF($P235=0,BB234,IF(BB$3=$E235,IF($AA235=1,$F235&amp;$AB235,$G235),IF(OR(BB$3=$D235,BB$3=$AC235,BB$3=$AE235),"",IF(BB$3=$AD235,$F235&amp;"R",BB234))))</f>
        <v/>
      </c>
      <c r="BC235" s="11" t="str">
        <f aca="false">IF($P235=0,BC234,IF(BC$3=$E235,IF($AA235=1,$F235&amp;$AB235,$G235),IF(OR(BC$3=$D235,BC$3=$AC235,BC$3=$AE235),"",IF(BC$3=$AD235,$F235&amp;"R",BC234))))</f>
        <v/>
      </c>
      <c r="BD235" s="11" t="str">
        <f aca="false">IF($P235=0,BD234,IF(BD$3=$E235,IF($AA235=1,$F235&amp;$AB235,$G235),IF(OR(BD$3=$D235,BD$3=$AC235,BD$3=$AE235),"",IF(BD$3=$AD235,$F235&amp;"R",BD234))))</f>
        <v/>
      </c>
      <c r="BE235" s="11" t="str">
        <f aca="false">IF($P235=0,BE234,IF(BE$3=$E235,IF($AA235=1,$F235&amp;$AB235,$G235),IF(OR(BE$3=$D235,BE$3=$AC235,BE$3=$AE235),"",IF(BE$3=$AD235,$F235&amp;"R",BE234))))</f>
        <v/>
      </c>
      <c r="BF235" s="11" t="str">
        <f aca="false">IF($P235=0,BF234,IF(BF$3=$E235,IF($AA235=1,$F235&amp;$AB235,$G235),IF(OR(BF$3=$D235,BF$3=$AC235,BF$3=$AE235),"",IF(BF$3=$AD235,$F235&amp;"R",BF234))))</f>
        <v/>
      </c>
      <c r="BG235" s="11" t="str">
        <f aca="false">IF($P235=0,BG234,IF(BG$3=$E235,IF($AA235=1,$F235&amp;$AB235,$G235),IF(OR(BG$3=$D235,BG$3=$AC235,BG$3=$AE235),"",IF(BG$3=$AD235,$F235&amp;"R",BG234))))</f>
        <v/>
      </c>
      <c r="BH235" s="11" t="str">
        <f aca="false">IF($P235=0,BH234,IF(BH$3=$E235,IF($AA235=1,$F235&amp;$AB235,$G235),IF(OR(BH$3=$D235,BH$3=$AC235,BH$3=$AE235),"",IF(BH$3=$AD235,$F235&amp;"R",BH234))))</f>
        <v/>
      </c>
      <c r="BI235" s="11" t="str">
        <f aca="false">IF($P235=0,BI234,IF(BI$3=$E235,IF($AA235=1,$F235&amp;$AB235,$G235),IF(OR(BI$3=$D235,BI$3=$AC235,BI$3=$AE235),"",IF(BI$3=$AD235,$F235&amp;"R",BI234))))</f>
        <v/>
      </c>
      <c r="BJ235" s="11" t="str">
        <f aca="false">IF($P235=0,BJ234,IF(BJ$3=$E235,IF($AA235=1,$F235&amp;$AB235,$G235),IF(OR(BJ$3=$D235,BJ$3=$AC235,BJ$3=$AE235),"",IF(BJ$3=$AD235,$F235&amp;"R",BJ234))))</f>
        <v/>
      </c>
      <c r="BK235" s="11" t="str">
        <f aca="false">IF($P235=0,BK234,IF(BK$3=$E235,IF($AA235=1,$F235&amp;$AB235,$G235),IF(OR(BK$3=$D235,BK$3=$AC235,BK$3=$AE235),"",IF(BK$3=$AD235,$F235&amp;"R",BK234))))</f>
        <v/>
      </c>
      <c r="BL235" s="11" t="str">
        <f aca="false">IF($P235=0,BL234,IF(BL$3=$E235,IF($AA235=1,$F235&amp;$AB235,$G235),IF(OR(BL$3=$D235,BL$3=$AC235,BL$3=$AE235),"",IF(BL$3=$AD235,$F235&amp;"R",BL234))))</f>
        <v/>
      </c>
      <c r="BM235" s="11" t="str">
        <f aca="false">IF($P235=0,BM234,IF(BM$3=$E235,IF($AA235=1,$F235&amp;$AB235,$G235),IF(OR(BM$3=$D235,BM$3=$AC235,BM$3=$AE235),"",IF(BM$3=$AD235,$F235&amp;"R",BM234))))</f>
        <v/>
      </c>
      <c r="BN235" s="11" t="str">
        <f aca="false">IF($P235=0,BN234,IF(BN$3=$E235,IF($AA235=1,$F235&amp;$AB235,$G235),IF(OR(BN$3=$D235,BN$3=$AC235,BN$3=$AE235),"",IF(BN$3=$AD235,$F235&amp;"R",BN234))))</f>
        <v/>
      </c>
      <c r="BO235" s="11" t="str">
        <f aca="false">IF($P235=0,BO234,IF(BO$3=$E235,IF($AA235=1,$F235&amp;$AB235,$G235),IF(OR(BO$3=$D235,BO$3=$AC235,BO$3=$AE235),"",IF(BO$3=$AD235,$F235&amp;"R",BO234))))</f>
        <v/>
      </c>
      <c r="BP235" s="11" t="str">
        <f aca="false">IF($P235=0,BP234,IF(BP$3=$E235,IF($AA235=1,$F235&amp;$AB235,$G235),IF(OR(BP$3=$D235,BP$3=$AC235,BP$3=$AE235),"",IF(BP$3=$AD235,$F235&amp;"R",BP234))))</f>
        <v/>
      </c>
      <c r="BQ235" s="11" t="str">
        <f aca="false">IF($P235=0,BQ234,IF(BQ$3=$E235,IF($AA235=1,$F235&amp;$AB235,$G235),IF(OR(BQ$3=$D235,BQ$3=$AC235,BQ$3=$AE235),"",IF(BQ$3=$AD235,$F235&amp;"R",BQ234))))</f>
        <v/>
      </c>
      <c r="BR235" s="11" t="str">
        <f aca="false">IF($P235=0,BR234,IF(BR$3=$E235,IF($AA235=1,$F235&amp;$AB235,$G235),IF(OR(BR$3=$D235,BR$3=$AC235,BR$3=$AE235),"",IF(BR$3=$AD235,$F235&amp;"R",BR234))))</f>
        <v/>
      </c>
      <c r="BS235" s="11" t="str">
        <f aca="false">IF($P235=0,BS234,IF(BS$3=$E235,IF($AA235=1,$F235&amp;$AB235,$G235),IF(OR(BS$3=$D235,BS$3=$AC235,BS$3=$AE235),"",IF(BS$3=$AD235,$F235&amp;"R",BS234))))</f>
        <v/>
      </c>
      <c r="BT235" s="11" t="str">
        <f aca="false">IF($P235=0,BT234,IF(BT$3=$E235,IF($AA235=1,$F235&amp;$AB235,$G235),IF(OR(BT$3=$D235,BT$3=$AC235,BT$3=$AE235),"",IF(BT$3=$AD235,$F235&amp;"R",BT234))))</f>
        <v/>
      </c>
      <c r="BU235" s="11" t="str">
        <f aca="false">IF($P235=0,BU234,IF(BU$3=$E235,IF($AA235=1,$F235&amp;$AB235,$G235),IF(OR(BU$3=$D235,BU$3=$AC235,BU$3=$AE235),"",IF(BU$3=$AD235,$F235&amp;"R",BU234))))</f>
        <v/>
      </c>
      <c r="BV235" s="11" t="str">
        <f aca="false">IF($P235=0,BV234,IF(BV$3=$E235,IF($AA235=1,$F235&amp;$AB235,$G235),IF(OR(BV$3=$D235,BV$3=$AC235,BV$3=$AE235),"",IF(BV$3=$AD235,$F235&amp;"R",BV234))))</f>
        <v/>
      </c>
      <c r="BW235" s="11" t="str">
        <f aca="false">IF($P235=0,BW234,IF(BW$3=$E235,IF($AA235=1,$F235&amp;$AB235,$G235),IF(OR(BW$3=$D235,BW$3=$AC235,BW$3=$AE235),"",IF(BW$3=$AD235,$F235&amp;"R",BW234))))</f>
        <v/>
      </c>
      <c r="BX235" s="11" t="str">
        <f aca="false">IF($P235=0,BX234,IF(BX$3=$E235,IF($AA235=1,$F235&amp;$AB235,$G235),IF(OR(BX$3=$D235,BX$3=$AC235,BX$3=$AE235),"",IF(BX$3=$AD235,$F235&amp;"R",BX234))))</f>
        <v/>
      </c>
      <c r="BY235" s="11" t="str">
        <f aca="false">IF($P235=0,BY234,IF(BY$3=$E235,IF($AA235=1,$F235&amp;$AB235,$G235),IF(OR(BY$3=$D235,BY$3=$AC235,BY$3=$AE235),"",IF(BY$3=$AD235,$F235&amp;"R",BY234))))</f>
        <v/>
      </c>
      <c r="BZ235" s="11" t="str">
        <f aca="false">IF($P235=0,BZ234,IF(BZ$3=$E235,IF($AA235=1,$F235&amp;$AB235,$G235),IF(OR(BZ$3=$D235,BZ$3=$AC235,BZ$3=$AE235),"",IF(BZ$3=$AD235,$F235&amp;"R",BZ234))))</f>
        <v/>
      </c>
      <c r="CA235" s="11" t="str">
        <f aca="false">IF($P235=0,CA234,IF(CA$3=$E235,IF($AA235=1,$F235&amp;$AB235,$G235),IF(OR(CA$3=$D235,CA$3=$AC235,CA$3=$AE235),"",IF(CA$3=$AD235,$F235&amp;"R",CA234))))</f>
        <v/>
      </c>
      <c r="CB235" s="11" t="str">
        <f aca="false">IF($P235=0,CB234,IF(CB$3=$E235,IF($AA235=1,$F235&amp;$AB235,$G235),IF(OR(CB$3=$D235,CB$3=$AC235,CB$3=$AE235),"",IF(CB$3=$AD235,$F235&amp;"R",CB234))))</f>
        <v/>
      </c>
      <c r="CC235" s="11" t="str">
        <f aca="false">IF($P235=0,CC234,IF(CC$3=$E235,IF($AA235=1,$F235&amp;$AB235,$G235),IF(OR(CC$3=$D235,CC$3=$AC235,CC$3=$AE235),"",IF(CC$3=$AD235,$F235&amp;"R",CC234))))</f>
        <v/>
      </c>
      <c r="CD235" s="11" t="str">
        <f aca="false">IF($P235=0,CD234,IF(CD$3=$E235,IF($AA235=1,$F235&amp;$AB235,$G235),IF(OR(CD$3=$D235,CD$3=$AC235,CD$3=$AE235),"",IF(CD$3=$AD235,$F235&amp;"R",CD234))))</f>
        <v>bP</v>
      </c>
      <c r="CE235" s="11" t="str">
        <f aca="false">IF($P235=0,CE234,IF(CE$3=$E235,IF($AA235=1,$F235&amp;$AB235,$G235),IF(OR(CE$3=$D235,CE$3=$AC235,CE$3=$AE235),"",IF(CE$3=$AD235,$F235&amp;"R",CE234))))</f>
        <v>bP</v>
      </c>
      <c r="CF235" s="11" t="str">
        <f aca="false">IF($P235=0,CF234,IF(CF$3=$E235,IF($AA235=1,$F235&amp;$AB235,$G235),IF(OR(CF$3=$D235,CF$3=$AC235,CF$3=$AE235),"",IF(CF$3=$AD235,$F235&amp;"R",CF234))))</f>
        <v>bP</v>
      </c>
      <c r="CG235" s="11" t="str">
        <f aca="false">IF($P235=0,CG234,IF(CG$3=$E235,IF($AA235=1,$F235&amp;$AB235,$G235),IF(OR(CG$3=$D235,CG$3=$AC235,CG$3=$AE235),"",IF(CG$3=$AD235,$F235&amp;"R",CG234))))</f>
        <v>bP</v>
      </c>
      <c r="CH235" s="11" t="str">
        <f aca="false">IF($P235=0,CH234,IF(CH$3=$E235,IF($AA235=1,$F235&amp;$AB235,$G235),IF(OR(CH$3=$D235,CH$3=$AC235,CH$3=$AE235),"",IF(CH$3=$AD235,$F235&amp;"R",CH234))))</f>
        <v>bP</v>
      </c>
      <c r="CI235" s="11" t="str">
        <f aca="false">IF($P235=0,CI234,IF(CI$3=$E235,IF($AA235=1,$F235&amp;$AB235,$G235),IF(OR(CI$3=$D235,CI$3=$AC235,CI$3=$AE235),"",IF(CI$3=$AD235,$F235&amp;"R",CI234))))</f>
        <v>bP</v>
      </c>
      <c r="CJ235" s="11" t="str">
        <f aca="false">IF($P235=0,CJ234,IF(CJ$3=$E235,IF($AA235=1,$F235&amp;$AB235,$G235),IF(OR(CJ$3=$D235,CJ$3=$AC235,CJ$3=$AE235),"",IF(CJ$3=$AD235,$F235&amp;"R",CJ234))))</f>
        <v>bP</v>
      </c>
      <c r="CK235" s="11" t="str">
        <f aca="false">IF($P235=0,CK234,IF(CK$3=$E235,IF($AA235=1,$F235&amp;$AB235,$G235),IF(OR(CK$3=$D235,CK$3=$AC235,CK$3=$AE235),"",IF(CK$3=$AD235,$F235&amp;"R",CK234))))</f>
        <v>bP</v>
      </c>
      <c r="CL235" s="11" t="str">
        <f aca="false">IF($P235=0,CL234,IF(CL$3=$E235,IF($AA235=1,$F235&amp;$AB235,$G235),IF(OR(CL$3=$D235,CL$3=$AC235,CL$3=$AE235),"",IF(CL$3=$AD235,$F235&amp;"R",CL234))))</f>
        <v>bR</v>
      </c>
      <c r="CM235" s="11" t="str">
        <f aca="false">IF($P235=0,CM234,IF(CM$3=$E235,IF($AA235=1,$F235&amp;$AB235,$G235),IF(OR(CM$3=$D235,CM$3=$AC235,CM$3=$AE235),"",IF(CM$3=$AD235,$F235&amp;"R",CM234))))</f>
        <v>bN</v>
      </c>
      <c r="CN235" s="11" t="str">
        <f aca="false">IF($P235=0,CN234,IF(CN$3=$E235,IF($AA235=1,$F235&amp;$AB235,$G235),IF(OR(CN$3=$D235,CN$3=$AC235,CN$3=$AE235),"",IF(CN$3=$AD235,$F235&amp;"R",CN234))))</f>
        <v>bB</v>
      </c>
      <c r="CO235" s="11" t="str">
        <f aca="false">IF($P235=0,CO234,IF(CO$3=$E235,IF($AA235=1,$F235&amp;$AB235,$G235),IF(OR(CO$3=$D235,CO$3=$AC235,CO$3=$AE235),"",IF(CO$3=$AD235,$F235&amp;"R",CO234))))</f>
        <v>bQ</v>
      </c>
      <c r="CP235" s="11" t="str">
        <f aca="false">IF($P235=0,CP234,IF(CP$3=$E235,IF($AA235=1,$F235&amp;$AB235,$G235),IF(OR(CP$3=$D235,CP$3=$AC235,CP$3=$AE235),"",IF(CP$3=$AD235,$F235&amp;"R",CP234))))</f>
        <v>bK</v>
      </c>
      <c r="CQ235" s="11" t="str">
        <f aca="false">IF($P235=0,CQ234,IF(CQ$3=$E235,IF($AA235=1,$F235&amp;$AB235,$G235),IF(OR(CQ$3=$D235,CQ$3=$AC235,CQ$3=$AE235),"",IF(CQ$3=$AD235,$F235&amp;"R",CQ234))))</f>
        <v>bB</v>
      </c>
      <c r="CR235" s="11" t="str">
        <f aca="false">IF($P235=0,CR234,IF(CR$3=$E235,IF($AA235=1,$F235&amp;$AB235,$G235),IF(OR(CR$3=$D235,CR$3=$AC235,CR$3=$AE235),"",IF(CR$3=$AD235,$F235&amp;"R",CR234))))</f>
        <v>bN</v>
      </c>
      <c r="CS235" s="11" t="str">
        <f aca="false">IF($P235=0,CS234,IF(CS$3=$E235,IF($AA235=1,$F235&amp;$AB235,$G235),IF(OR(CS$3=$D235,CS$3=$AC235,CS$3=$AE235),"",IF(CS$3=$AD235,$F235&amp;"R",CS234))))</f>
        <v>bR</v>
      </c>
      <c r="CT235" s="11"/>
      <c r="CU235" s="11"/>
      <c r="CV235" s="11"/>
    </row>
    <row r="236" customFormat="false" ht="15" hidden="false" customHeight="false" outlineLevel="0" collapsed="false">
      <c r="A236" s="11" t="n">
        <v>231</v>
      </c>
      <c r="B236" s="11" t="str">
        <f aca="false">IF(Chess!$L$240="","",Chess!$L$240&amp;"")</f>
        <v/>
      </c>
      <c r="C236" s="11" t="str">
        <f aca="false">LOWER(SUBSTITUTE(SUBSTITUTE(SUBSTITUTE(SUBSTITUTE(TRIM($B236),"-",""),"=","")," ",""),"x",""))</f>
        <v/>
      </c>
      <c r="D236" s="11" t="n">
        <f aca="false">IF(LEN($C236)&lt;4,0,IFERROR(IF(AND(CODE(MID($C236,1,1))&gt;=97,CODE(MID($C236,1,1))&lt;=104,VALUE(MID($C236,2,1))&gt;=1,VALUE(MID($C236,2,1))&lt;=8),(VALUE(MID($C236,2,1))-1)*8+CODE(MID($C236,1,1))-96,0),0))</f>
        <v>0</v>
      </c>
      <c r="E236" s="11" t="n">
        <f aca="false">IF(LEN($C236)&lt;4,0,IFERROR(IF(AND(CODE(MID($C236,3,1))&gt;=97,CODE(MID($C236,3,1))&lt;=104,VALUE(MID($C236,4,1))&gt;=1,VALUE(MID($C236,4,1))&lt;=8),(VALUE(MID($C236,4,1))-1)*8+CODE(MID($C236,3,1))-96,0),0))</f>
        <v>0</v>
      </c>
      <c r="F236" s="11" t="str">
        <f aca="false">IF(MOD(SUM($P$5:$P235),2)=0,"w","b")</f>
        <v>w</v>
      </c>
      <c r="G236" s="11" t="str">
        <f aca="false">IF($D236=0,"",INDEX($AH235:$CS235,1,$D236)&amp;"")</f>
        <v/>
      </c>
      <c r="H236" s="11" t="str">
        <f aca="false">IF($E236=0,"",INDEX($AH235:$CS235,1,$E236)&amp;"")</f>
        <v/>
      </c>
      <c r="I236" s="11" t="n">
        <f aca="false">IF(OR($D236=0,$E236=0),0,MOD($E236-1,8)-MOD($D236-1,8))</f>
        <v>0</v>
      </c>
      <c r="J236" s="11" t="n">
        <f aca="false">IF(OR($D236=0,$E236=0),0,INT(($E236-1)/8)-INT(($D236-1)/8))</f>
        <v>0</v>
      </c>
      <c r="K236" s="11" t="str">
        <f aca="false">IF($G236="","",RIGHT($G236,1))</f>
        <v/>
      </c>
      <c r="L236" s="11" t="n">
        <f aca="false">IF(OR($D236=0,$E236=0),0,SUMPRODUCT(($AH$3:$CS$3&gt;MIN($D236,$E236))*($AH$3:$CS$3&lt;MAX($D236,$E236))*(MOD($AH$3:$CS$3-MIN($D236,$E236),MAX(1,ABS(SIGN($J236)*8+SIGN($I236))))=0)*($AH235:$CS235&lt;&gt;"")))</f>
        <v>0</v>
      </c>
      <c r="M236" s="11" t="n">
        <f aca="false">IF($K236&lt;&gt;"K",0,IFERROR(--AND($J236=0,ABS($I236)=2,$D236=IF($F236="w",5,61),IF($F236="w",$S235,$V235)=0,IF($I236=2,AND(IF($F236="w",$U235,$X235)=0,INDEX($AH235:$CS235,1,$D236+1)&amp;""="",INDEX($AH235:$CS235,1,$D236+2)&amp;""=""),AND(IF($F236="w",$T235,$W235)=0,INDEX($AH235:$CS235,1,$D236-1)&amp;""="",INDEX($AH235:$CS235,1,$D236-2)&amp;""="",INDEX($AH235:$CS235,1,$D236-3)&amp;""=""))),0))</f>
        <v>0</v>
      </c>
      <c r="N236" s="11" t="n">
        <f aca="false">IF($K236&lt;&gt;"P",0,IFERROR(--OR(AND($I236=0,$J236=IF($F236="w",1,-1),$H236=""),AND($I236=0,$J236=2*IF($F236="w",1,-1),$H236="",INT(($D236-1)/8)=IF($F236="w",1,6),INDEX($AH235:$CS235,1,MAX(1,MIN(64,$D236+8*IF($F236="w",1,-1))))&amp;""=""),AND(ABS($I236)=1,$J236=IF($F236="w",1,-1),$H236&lt;&gt;""),AND(ABS($I236)=1,$J236=IF($F236="w",1,-1),$H236="",$R235&gt;0,$E236=$R235)),0))</f>
        <v>0</v>
      </c>
      <c r="O236" s="11" t="n">
        <f aca="false">IF(OR($D236=0,$E236=0,$G236=""),0,IF($K236="N",--OR(AND(ABS($I236)=1,ABS($J236)=2),AND(ABS($I236)=2,ABS($J236)=1)),IF($K236="B",--AND(ABS($I236)=ABS($J236),$I236&lt;&gt;0,$L236=0),IF($K236="R",--AND(OR($I236=0,$J236=0),OR($I236&lt;&gt;0,$J236&lt;&gt;0),$L236=0),IF($K236="Q",--AND(OR(AND(ABS($I236)=ABS($J236),$I236&lt;&gt;0),AND(OR($I236=0,$J236=0),OR($I236&lt;&gt;0,$J236&lt;&gt;0))),$L236=0),IF($K236="K",--OR(MAX(ABS($I236),ABS($J236))=1,$M236=1),$N236))))))</f>
        <v>0</v>
      </c>
      <c r="P236" s="11" t="n">
        <f aca="false">IF($Q236="OK",1,0)</f>
        <v>0</v>
      </c>
      <c r="Q236" s="11" t="str">
        <f aca="false">IF($B236="","",IF(OR(COUNTIF($AH235:$CS235,"wK")=0,COUNTIF($AH235:$CS235,"bK")=0),"Game is over",IF(OR($D236=0,$E236=0),"Use the format e2e4",IF($G236="","No piece on that square",IF(LEFT($G236,1)&lt;&gt;$F236,"Not your piece ("&amp;IF($F236="w","White","Black")&amp;" to move)",IF($D236=$E236,"Piece must move",IF(AND($H236&lt;&gt;"",LEFT($H236,1)=$F236),"Cannot capture your own piece",IF($O236=0,"Illegal move for that piece (or path blocked)","OK"))))))))</f>
        <v/>
      </c>
      <c r="R236" s="11" t="n">
        <f aca="false">IF($P236=1,IF(AND($K236="P",ABS($J236)=2),($D236+$E236)/2,0),$R235)</f>
        <v>0</v>
      </c>
      <c r="S236" s="12" t="b">
        <f aca="false">--OR($S235=1,AND($P236=1,OR($D236=5,$E236=5)))</f>
        <v>0</v>
      </c>
      <c r="T236" s="12" t="b">
        <f aca="false">--OR($T235=1,AND($P236=1,OR($D236=1,$E236=1)))</f>
        <v>0</v>
      </c>
      <c r="U236" s="12" t="b">
        <f aca="false">--OR($U235=1,AND($P236=1,OR($D236=8,$E236=8)))</f>
        <v>0</v>
      </c>
      <c r="V236" s="12" t="b">
        <f aca="false">--OR($V235=1,AND($P236=1,OR($D236=61,$E236=61)))</f>
        <v>0</v>
      </c>
      <c r="W236" s="12" t="b">
        <f aca="false">--OR($W235=1,AND($P236=1,OR($D236=57,$E236=57)))</f>
        <v>0</v>
      </c>
      <c r="X236" s="12" t="b">
        <f aca="false">--OR($X235=1,AND($P236=1,OR($D236=64,$E236=64)))</f>
        <v>0</v>
      </c>
      <c r="Y236" s="12" t="b">
        <f aca="false">--AND($P236=1,$K236="K",ABS($I236)=2)</f>
        <v>0</v>
      </c>
      <c r="Z236" s="12" t="b">
        <f aca="false">--AND($P236=1,$K236="P",ABS($I236)=1,$H236="")</f>
        <v>0</v>
      </c>
      <c r="AA236" s="12" t="b">
        <f aca="false">--AND($P236=1,$K236="P",INT(($E236-1)/8)=IF($F236="w",7,0))</f>
        <v>0</v>
      </c>
      <c r="AB236" s="11" t="str">
        <f aca="false">IF(LEN($C236)&gt;=5,IF(ISNUMBER(FIND(MID($C236,5,1),"qrbn")),UPPER(MID($C236,5,1)),"Q"),"Q")</f>
        <v>Q</v>
      </c>
      <c r="AC236" s="11" t="n">
        <f aca="false">IF($Y236=1,IF($I236=2,$D236+3,$D236-4),0)</f>
        <v>0</v>
      </c>
      <c r="AD236" s="11" t="n">
        <f aca="false">IF($Y236=1,IF($I236=2,$D236+1,$D236-1),0)</f>
        <v>0</v>
      </c>
      <c r="AE236" s="11" t="n">
        <f aca="false">IF($Z236=1,$E236-8*IF($F236="w",1,-1),0)</f>
        <v>0</v>
      </c>
      <c r="AF236" s="11" t="str">
        <f aca="false">IF($B236="","",IF($P236=1,LOWER(INDEX($CV$2:$CV$13,MATCH($G236,$CU$2:$CU$13,0)))&amp;" "&amp;MID("abcdefgh",MOD($D236-1,8)+1,1)&amp;(INT(($D236-1)/8)+1)&amp;"→"&amp;MID("abcdefgh",MOD($E236-1,8)+1,1)&amp;(INT(($E236-1)/8)+1)&amp;IF(OR($H236&lt;&gt;"",$Z236=1)," ×","")&amp;IF($Y236=1," castles","")&amp;IF($Z236=1," e.p.","")&amp;IF($AA236=1," =" &amp;LOWER(INDEX($CV$2:$CV$13,MATCH($F236&amp;$AB236,$CU$2:$CU$13,0))),""),"X "&amp;$Q236))</f>
        <v/>
      </c>
      <c r="AG236" s="11"/>
      <c r="AH236" s="11" t="str">
        <f aca="false">IF($P236=0,AH235,IF(AH$3=$E236,IF($AA236=1,$F236&amp;$AB236,$G236),IF(OR(AH$3=$D236,AH$3=$AC236,AH$3=$AE236),"",IF(AH$3=$AD236,$F236&amp;"R",AH235))))</f>
        <v>wR</v>
      </c>
      <c r="AI236" s="11" t="str">
        <f aca="false">IF($P236=0,AI235,IF(AI$3=$E236,IF($AA236=1,$F236&amp;$AB236,$G236),IF(OR(AI$3=$D236,AI$3=$AC236,AI$3=$AE236),"",IF(AI$3=$AD236,$F236&amp;"R",AI235))))</f>
        <v>wN</v>
      </c>
      <c r="AJ236" s="11" t="str">
        <f aca="false">IF($P236=0,AJ235,IF(AJ$3=$E236,IF($AA236=1,$F236&amp;$AB236,$G236),IF(OR(AJ$3=$D236,AJ$3=$AC236,AJ$3=$AE236),"",IF(AJ$3=$AD236,$F236&amp;"R",AJ235))))</f>
        <v>wB</v>
      </c>
      <c r="AK236" s="11" t="str">
        <f aca="false">IF($P236=0,AK235,IF(AK$3=$E236,IF($AA236=1,$F236&amp;$AB236,$G236),IF(OR(AK$3=$D236,AK$3=$AC236,AK$3=$AE236),"",IF(AK$3=$AD236,$F236&amp;"R",AK235))))</f>
        <v>wQ</v>
      </c>
      <c r="AL236" s="11" t="str">
        <f aca="false">IF($P236=0,AL235,IF(AL$3=$E236,IF($AA236=1,$F236&amp;$AB236,$G236),IF(OR(AL$3=$D236,AL$3=$AC236,AL$3=$AE236),"",IF(AL$3=$AD236,$F236&amp;"R",AL235))))</f>
        <v>wK</v>
      </c>
      <c r="AM236" s="11" t="str">
        <f aca="false">IF($P236=0,AM235,IF(AM$3=$E236,IF($AA236=1,$F236&amp;$AB236,$G236),IF(OR(AM$3=$D236,AM$3=$AC236,AM$3=$AE236),"",IF(AM$3=$AD236,$F236&amp;"R",AM235))))</f>
        <v>wB</v>
      </c>
      <c r="AN236" s="11" t="str">
        <f aca="false">IF($P236=0,AN235,IF(AN$3=$E236,IF($AA236=1,$F236&amp;$AB236,$G236),IF(OR(AN$3=$D236,AN$3=$AC236,AN$3=$AE236),"",IF(AN$3=$AD236,$F236&amp;"R",AN235))))</f>
        <v>wN</v>
      </c>
      <c r="AO236" s="11" t="str">
        <f aca="false">IF($P236=0,AO235,IF(AO$3=$E236,IF($AA236=1,$F236&amp;$AB236,$G236),IF(OR(AO$3=$D236,AO$3=$AC236,AO$3=$AE236),"",IF(AO$3=$AD236,$F236&amp;"R",AO235))))</f>
        <v>wR</v>
      </c>
      <c r="AP236" s="11" t="str">
        <f aca="false">IF($P236=0,AP235,IF(AP$3=$E236,IF($AA236=1,$F236&amp;$AB236,$G236),IF(OR(AP$3=$D236,AP$3=$AC236,AP$3=$AE236),"",IF(AP$3=$AD236,$F236&amp;"R",AP235))))</f>
        <v>wP</v>
      </c>
      <c r="AQ236" s="11" t="str">
        <f aca="false">IF($P236=0,AQ235,IF(AQ$3=$E236,IF($AA236=1,$F236&amp;$AB236,$G236),IF(OR(AQ$3=$D236,AQ$3=$AC236,AQ$3=$AE236),"",IF(AQ$3=$AD236,$F236&amp;"R",AQ235))))</f>
        <v>wP</v>
      </c>
      <c r="AR236" s="11" t="str">
        <f aca="false">IF($P236=0,AR235,IF(AR$3=$E236,IF($AA236=1,$F236&amp;$AB236,$G236),IF(OR(AR$3=$D236,AR$3=$AC236,AR$3=$AE236),"",IF(AR$3=$AD236,$F236&amp;"R",AR235))))</f>
        <v>wP</v>
      </c>
      <c r="AS236" s="11" t="str">
        <f aca="false">IF($P236=0,AS235,IF(AS$3=$E236,IF($AA236=1,$F236&amp;$AB236,$G236),IF(OR(AS$3=$D236,AS$3=$AC236,AS$3=$AE236),"",IF(AS$3=$AD236,$F236&amp;"R",AS235))))</f>
        <v>wP</v>
      </c>
      <c r="AT236" s="11" t="str">
        <f aca="false">IF($P236=0,AT235,IF(AT$3=$E236,IF($AA236=1,$F236&amp;$AB236,$G236),IF(OR(AT$3=$D236,AT$3=$AC236,AT$3=$AE236),"",IF(AT$3=$AD236,$F236&amp;"R",AT235))))</f>
        <v>wP</v>
      </c>
      <c r="AU236" s="11" t="str">
        <f aca="false">IF($P236=0,AU235,IF(AU$3=$E236,IF($AA236=1,$F236&amp;$AB236,$G236),IF(OR(AU$3=$D236,AU$3=$AC236,AU$3=$AE236),"",IF(AU$3=$AD236,$F236&amp;"R",AU235))))</f>
        <v>wP</v>
      </c>
      <c r="AV236" s="11" t="str">
        <f aca="false">IF($P236=0,AV235,IF(AV$3=$E236,IF($AA236=1,$F236&amp;$AB236,$G236),IF(OR(AV$3=$D236,AV$3=$AC236,AV$3=$AE236),"",IF(AV$3=$AD236,$F236&amp;"R",AV235))))</f>
        <v>wP</v>
      </c>
      <c r="AW236" s="11" t="str">
        <f aca="false">IF($P236=0,AW235,IF(AW$3=$E236,IF($AA236=1,$F236&amp;$AB236,$G236),IF(OR(AW$3=$D236,AW$3=$AC236,AW$3=$AE236),"",IF(AW$3=$AD236,$F236&amp;"R",AW235))))</f>
        <v>wP</v>
      </c>
      <c r="AX236" s="11" t="str">
        <f aca="false">IF($P236=0,AX235,IF(AX$3=$E236,IF($AA236=1,$F236&amp;$AB236,$G236),IF(OR(AX$3=$D236,AX$3=$AC236,AX$3=$AE236),"",IF(AX$3=$AD236,$F236&amp;"R",AX235))))</f>
        <v/>
      </c>
      <c r="AY236" s="11" t="str">
        <f aca="false">IF($P236=0,AY235,IF(AY$3=$E236,IF($AA236=1,$F236&amp;$AB236,$G236),IF(OR(AY$3=$D236,AY$3=$AC236,AY$3=$AE236),"",IF(AY$3=$AD236,$F236&amp;"R",AY235))))</f>
        <v/>
      </c>
      <c r="AZ236" s="11" t="str">
        <f aca="false">IF($P236=0,AZ235,IF(AZ$3=$E236,IF($AA236=1,$F236&amp;$AB236,$G236),IF(OR(AZ$3=$D236,AZ$3=$AC236,AZ$3=$AE236),"",IF(AZ$3=$AD236,$F236&amp;"R",AZ235))))</f>
        <v/>
      </c>
      <c r="BA236" s="11" t="str">
        <f aca="false">IF($P236=0,BA235,IF(BA$3=$E236,IF($AA236=1,$F236&amp;$AB236,$G236),IF(OR(BA$3=$D236,BA$3=$AC236,BA$3=$AE236),"",IF(BA$3=$AD236,$F236&amp;"R",BA235))))</f>
        <v/>
      </c>
      <c r="BB236" s="11" t="str">
        <f aca="false">IF($P236=0,BB235,IF(BB$3=$E236,IF($AA236=1,$F236&amp;$AB236,$G236),IF(OR(BB$3=$D236,BB$3=$AC236,BB$3=$AE236),"",IF(BB$3=$AD236,$F236&amp;"R",BB235))))</f>
        <v/>
      </c>
      <c r="BC236" s="11" t="str">
        <f aca="false">IF($P236=0,BC235,IF(BC$3=$E236,IF($AA236=1,$F236&amp;$AB236,$G236),IF(OR(BC$3=$D236,BC$3=$AC236,BC$3=$AE236),"",IF(BC$3=$AD236,$F236&amp;"R",BC235))))</f>
        <v/>
      </c>
      <c r="BD236" s="11" t="str">
        <f aca="false">IF($P236=0,BD235,IF(BD$3=$E236,IF($AA236=1,$F236&amp;$AB236,$G236),IF(OR(BD$3=$D236,BD$3=$AC236,BD$3=$AE236),"",IF(BD$3=$AD236,$F236&amp;"R",BD235))))</f>
        <v/>
      </c>
      <c r="BE236" s="11" t="str">
        <f aca="false">IF($P236=0,BE235,IF(BE$3=$E236,IF($AA236=1,$F236&amp;$AB236,$G236),IF(OR(BE$3=$D236,BE$3=$AC236,BE$3=$AE236),"",IF(BE$3=$AD236,$F236&amp;"R",BE235))))</f>
        <v/>
      </c>
      <c r="BF236" s="11" t="str">
        <f aca="false">IF($P236=0,BF235,IF(BF$3=$E236,IF($AA236=1,$F236&amp;$AB236,$G236),IF(OR(BF$3=$D236,BF$3=$AC236,BF$3=$AE236),"",IF(BF$3=$AD236,$F236&amp;"R",BF235))))</f>
        <v/>
      </c>
      <c r="BG236" s="11" t="str">
        <f aca="false">IF($P236=0,BG235,IF(BG$3=$E236,IF($AA236=1,$F236&amp;$AB236,$G236),IF(OR(BG$3=$D236,BG$3=$AC236,BG$3=$AE236),"",IF(BG$3=$AD236,$F236&amp;"R",BG235))))</f>
        <v/>
      </c>
      <c r="BH236" s="11" t="str">
        <f aca="false">IF($P236=0,BH235,IF(BH$3=$E236,IF($AA236=1,$F236&amp;$AB236,$G236),IF(OR(BH$3=$D236,BH$3=$AC236,BH$3=$AE236),"",IF(BH$3=$AD236,$F236&amp;"R",BH235))))</f>
        <v/>
      </c>
      <c r="BI236" s="11" t="str">
        <f aca="false">IF($P236=0,BI235,IF(BI$3=$E236,IF($AA236=1,$F236&amp;$AB236,$G236),IF(OR(BI$3=$D236,BI$3=$AC236,BI$3=$AE236),"",IF(BI$3=$AD236,$F236&amp;"R",BI235))))</f>
        <v/>
      </c>
      <c r="BJ236" s="11" t="str">
        <f aca="false">IF($P236=0,BJ235,IF(BJ$3=$E236,IF($AA236=1,$F236&amp;$AB236,$G236),IF(OR(BJ$3=$D236,BJ$3=$AC236,BJ$3=$AE236),"",IF(BJ$3=$AD236,$F236&amp;"R",BJ235))))</f>
        <v/>
      </c>
      <c r="BK236" s="11" t="str">
        <f aca="false">IF($P236=0,BK235,IF(BK$3=$E236,IF($AA236=1,$F236&amp;$AB236,$G236),IF(OR(BK$3=$D236,BK$3=$AC236,BK$3=$AE236),"",IF(BK$3=$AD236,$F236&amp;"R",BK235))))</f>
        <v/>
      </c>
      <c r="BL236" s="11" t="str">
        <f aca="false">IF($P236=0,BL235,IF(BL$3=$E236,IF($AA236=1,$F236&amp;$AB236,$G236),IF(OR(BL$3=$D236,BL$3=$AC236,BL$3=$AE236),"",IF(BL$3=$AD236,$F236&amp;"R",BL235))))</f>
        <v/>
      </c>
      <c r="BM236" s="11" t="str">
        <f aca="false">IF($P236=0,BM235,IF(BM$3=$E236,IF($AA236=1,$F236&amp;$AB236,$G236),IF(OR(BM$3=$D236,BM$3=$AC236,BM$3=$AE236),"",IF(BM$3=$AD236,$F236&amp;"R",BM235))))</f>
        <v/>
      </c>
      <c r="BN236" s="11" t="str">
        <f aca="false">IF($P236=0,BN235,IF(BN$3=$E236,IF($AA236=1,$F236&amp;$AB236,$G236),IF(OR(BN$3=$D236,BN$3=$AC236,BN$3=$AE236),"",IF(BN$3=$AD236,$F236&amp;"R",BN235))))</f>
        <v/>
      </c>
      <c r="BO236" s="11" t="str">
        <f aca="false">IF($P236=0,BO235,IF(BO$3=$E236,IF($AA236=1,$F236&amp;$AB236,$G236),IF(OR(BO$3=$D236,BO$3=$AC236,BO$3=$AE236),"",IF(BO$3=$AD236,$F236&amp;"R",BO235))))</f>
        <v/>
      </c>
      <c r="BP236" s="11" t="str">
        <f aca="false">IF($P236=0,BP235,IF(BP$3=$E236,IF($AA236=1,$F236&amp;$AB236,$G236),IF(OR(BP$3=$D236,BP$3=$AC236,BP$3=$AE236),"",IF(BP$3=$AD236,$F236&amp;"R",BP235))))</f>
        <v/>
      </c>
      <c r="BQ236" s="11" t="str">
        <f aca="false">IF($P236=0,BQ235,IF(BQ$3=$E236,IF($AA236=1,$F236&amp;$AB236,$G236),IF(OR(BQ$3=$D236,BQ$3=$AC236,BQ$3=$AE236),"",IF(BQ$3=$AD236,$F236&amp;"R",BQ235))))</f>
        <v/>
      </c>
      <c r="BR236" s="11" t="str">
        <f aca="false">IF($P236=0,BR235,IF(BR$3=$E236,IF($AA236=1,$F236&amp;$AB236,$G236),IF(OR(BR$3=$D236,BR$3=$AC236,BR$3=$AE236),"",IF(BR$3=$AD236,$F236&amp;"R",BR235))))</f>
        <v/>
      </c>
      <c r="BS236" s="11" t="str">
        <f aca="false">IF($P236=0,BS235,IF(BS$3=$E236,IF($AA236=1,$F236&amp;$AB236,$G236),IF(OR(BS$3=$D236,BS$3=$AC236,BS$3=$AE236),"",IF(BS$3=$AD236,$F236&amp;"R",BS235))))</f>
        <v/>
      </c>
      <c r="BT236" s="11" t="str">
        <f aca="false">IF($P236=0,BT235,IF(BT$3=$E236,IF($AA236=1,$F236&amp;$AB236,$G236),IF(OR(BT$3=$D236,BT$3=$AC236,BT$3=$AE236),"",IF(BT$3=$AD236,$F236&amp;"R",BT235))))</f>
        <v/>
      </c>
      <c r="BU236" s="11" t="str">
        <f aca="false">IF($P236=0,BU235,IF(BU$3=$E236,IF($AA236=1,$F236&amp;$AB236,$G236),IF(OR(BU$3=$D236,BU$3=$AC236,BU$3=$AE236),"",IF(BU$3=$AD236,$F236&amp;"R",BU235))))</f>
        <v/>
      </c>
      <c r="BV236" s="11" t="str">
        <f aca="false">IF($P236=0,BV235,IF(BV$3=$E236,IF($AA236=1,$F236&amp;$AB236,$G236),IF(OR(BV$3=$D236,BV$3=$AC236,BV$3=$AE236),"",IF(BV$3=$AD236,$F236&amp;"R",BV235))))</f>
        <v/>
      </c>
      <c r="BW236" s="11" t="str">
        <f aca="false">IF($P236=0,BW235,IF(BW$3=$E236,IF($AA236=1,$F236&amp;$AB236,$G236),IF(OR(BW$3=$D236,BW$3=$AC236,BW$3=$AE236),"",IF(BW$3=$AD236,$F236&amp;"R",BW235))))</f>
        <v/>
      </c>
      <c r="BX236" s="11" t="str">
        <f aca="false">IF($P236=0,BX235,IF(BX$3=$E236,IF($AA236=1,$F236&amp;$AB236,$G236),IF(OR(BX$3=$D236,BX$3=$AC236,BX$3=$AE236),"",IF(BX$3=$AD236,$F236&amp;"R",BX235))))</f>
        <v/>
      </c>
      <c r="BY236" s="11" t="str">
        <f aca="false">IF($P236=0,BY235,IF(BY$3=$E236,IF($AA236=1,$F236&amp;$AB236,$G236),IF(OR(BY$3=$D236,BY$3=$AC236,BY$3=$AE236),"",IF(BY$3=$AD236,$F236&amp;"R",BY235))))</f>
        <v/>
      </c>
      <c r="BZ236" s="11" t="str">
        <f aca="false">IF($P236=0,BZ235,IF(BZ$3=$E236,IF($AA236=1,$F236&amp;$AB236,$G236),IF(OR(BZ$3=$D236,BZ$3=$AC236,BZ$3=$AE236),"",IF(BZ$3=$AD236,$F236&amp;"R",BZ235))))</f>
        <v/>
      </c>
      <c r="CA236" s="11" t="str">
        <f aca="false">IF($P236=0,CA235,IF(CA$3=$E236,IF($AA236=1,$F236&amp;$AB236,$G236),IF(OR(CA$3=$D236,CA$3=$AC236,CA$3=$AE236),"",IF(CA$3=$AD236,$F236&amp;"R",CA235))))</f>
        <v/>
      </c>
      <c r="CB236" s="11" t="str">
        <f aca="false">IF($P236=0,CB235,IF(CB$3=$E236,IF($AA236=1,$F236&amp;$AB236,$G236),IF(OR(CB$3=$D236,CB$3=$AC236,CB$3=$AE236),"",IF(CB$3=$AD236,$F236&amp;"R",CB235))))</f>
        <v/>
      </c>
      <c r="CC236" s="11" t="str">
        <f aca="false">IF($P236=0,CC235,IF(CC$3=$E236,IF($AA236=1,$F236&amp;$AB236,$G236),IF(OR(CC$3=$D236,CC$3=$AC236,CC$3=$AE236),"",IF(CC$3=$AD236,$F236&amp;"R",CC235))))</f>
        <v/>
      </c>
      <c r="CD236" s="11" t="str">
        <f aca="false">IF($P236=0,CD235,IF(CD$3=$E236,IF($AA236=1,$F236&amp;$AB236,$G236),IF(OR(CD$3=$D236,CD$3=$AC236,CD$3=$AE236),"",IF(CD$3=$AD236,$F236&amp;"R",CD235))))</f>
        <v>bP</v>
      </c>
      <c r="CE236" s="11" t="str">
        <f aca="false">IF($P236=0,CE235,IF(CE$3=$E236,IF($AA236=1,$F236&amp;$AB236,$G236),IF(OR(CE$3=$D236,CE$3=$AC236,CE$3=$AE236),"",IF(CE$3=$AD236,$F236&amp;"R",CE235))))</f>
        <v>bP</v>
      </c>
      <c r="CF236" s="11" t="str">
        <f aca="false">IF($P236=0,CF235,IF(CF$3=$E236,IF($AA236=1,$F236&amp;$AB236,$G236),IF(OR(CF$3=$D236,CF$3=$AC236,CF$3=$AE236),"",IF(CF$3=$AD236,$F236&amp;"R",CF235))))</f>
        <v>bP</v>
      </c>
      <c r="CG236" s="11" t="str">
        <f aca="false">IF($P236=0,CG235,IF(CG$3=$E236,IF($AA236=1,$F236&amp;$AB236,$G236),IF(OR(CG$3=$D236,CG$3=$AC236,CG$3=$AE236),"",IF(CG$3=$AD236,$F236&amp;"R",CG235))))</f>
        <v>bP</v>
      </c>
      <c r="CH236" s="11" t="str">
        <f aca="false">IF($P236=0,CH235,IF(CH$3=$E236,IF($AA236=1,$F236&amp;$AB236,$G236),IF(OR(CH$3=$D236,CH$3=$AC236,CH$3=$AE236),"",IF(CH$3=$AD236,$F236&amp;"R",CH235))))</f>
        <v>bP</v>
      </c>
      <c r="CI236" s="11" t="str">
        <f aca="false">IF($P236=0,CI235,IF(CI$3=$E236,IF($AA236=1,$F236&amp;$AB236,$G236),IF(OR(CI$3=$D236,CI$3=$AC236,CI$3=$AE236),"",IF(CI$3=$AD236,$F236&amp;"R",CI235))))</f>
        <v>bP</v>
      </c>
      <c r="CJ236" s="11" t="str">
        <f aca="false">IF($P236=0,CJ235,IF(CJ$3=$E236,IF($AA236=1,$F236&amp;$AB236,$G236),IF(OR(CJ$3=$D236,CJ$3=$AC236,CJ$3=$AE236),"",IF(CJ$3=$AD236,$F236&amp;"R",CJ235))))</f>
        <v>bP</v>
      </c>
      <c r="CK236" s="11" t="str">
        <f aca="false">IF($P236=0,CK235,IF(CK$3=$E236,IF($AA236=1,$F236&amp;$AB236,$G236),IF(OR(CK$3=$D236,CK$3=$AC236,CK$3=$AE236),"",IF(CK$3=$AD236,$F236&amp;"R",CK235))))</f>
        <v>bP</v>
      </c>
      <c r="CL236" s="11" t="str">
        <f aca="false">IF($P236=0,CL235,IF(CL$3=$E236,IF($AA236=1,$F236&amp;$AB236,$G236),IF(OR(CL$3=$D236,CL$3=$AC236,CL$3=$AE236),"",IF(CL$3=$AD236,$F236&amp;"R",CL235))))</f>
        <v>bR</v>
      </c>
      <c r="CM236" s="11" t="str">
        <f aca="false">IF($P236=0,CM235,IF(CM$3=$E236,IF($AA236=1,$F236&amp;$AB236,$G236),IF(OR(CM$3=$D236,CM$3=$AC236,CM$3=$AE236),"",IF(CM$3=$AD236,$F236&amp;"R",CM235))))</f>
        <v>bN</v>
      </c>
      <c r="CN236" s="11" t="str">
        <f aca="false">IF($P236=0,CN235,IF(CN$3=$E236,IF($AA236=1,$F236&amp;$AB236,$G236),IF(OR(CN$3=$D236,CN$3=$AC236,CN$3=$AE236),"",IF(CN$3=$AD236,$F236&amp;"R",CN235))))</f>
        <v>bB</v>
      </c>
      <c r="CO236" s="11" t="str">
        <f aca="false">IF($P236=0,CO235,IF(CO$3=$E236,IF($AA236=1,$F236&amp;$AB236,$G236),IF(OR(CO$3=$D236,CO$3=$AC236,CO$3=$AE236),"",IF(CO$3=$AD236,$F236&amp;"R",CO235))))</f>
        <v>bQ</v>
      </c>
      <c r="CP236" s="11" t="str">
        <f aca="false">IF($P236=0,CP235,IF(CP$3=$E236,IF($AA236=1,$F236&amp;$AB236,$G236),IF(OR(CP$3=$D236,CP$3=$AC236,CP$3=$AE236),"",IF(CP$3=$AD236,$F236&amp;"R",CP235))))</f>
        <v>bK</v>
      </c>
      <c r="CQ236" s="11" t="str">
        <f aca="false">IF($P236=0,CQ235,IF(CQ$3=$E236,IF($AA236=1,$F236&amp;$AB236,$G236),IF(OR(CQ$3=$D236,CQ$3=$AC236,CQ$3=$AE236),"",IF(CQ$3=$AD236,$F236&amp;"R",CQ235))))</f>
        <v>bB</v>
      </c>
      <c r="CR236" s="11" t="str">
        <f aca="false">IF($P236=0,CR235,IF(CR$3=$E236,IF($AA236=1,$F236&amp;$AB236,$G236),IF(OR(CR$3=$D236,CR$3=$AC236,CR$3=$AE236),"",IF(CR$3=$AD236,$F236&amp;"R",CR235))))</f>
        <v>bN</v>
      </c>
      <c r="CS236" s="11" t="str">
        <f aca="false">IF($P236=0,CS235,IF(CS$3=$E236,IF($AA236=1,$F236&amp;$AB236,$G236),IF(OR(CS$3=$D236,CS$3=$AC236,CS$3=$AE236),"",IF(CS$3=$AD236,$F236&amp;"R",CS235))))</f>
        <v>bR</v>
      </c>
      <c r="CT236" s="11"/>
      <c r="CU236" s="11"/>
      <c r="CV236" s="11"/>
    </row>
    <row r="237" customFormat="false" ht="15" hidden="false" customHeight="false" outlineLevel="0" collapsed="false">
      <c r="A237" s="11" t="n">
        <v>232</v>
      </c>
      <c r="B237" s="11" t="str">
        <f aca="false">IF(Chess!$L$241="","",Chess!$L$241&amp;"")</f>
        <v/>
      </c>
      <c r="C237" s="11" t="str">
        <f aca="false">LOWER(SUBSTITUTE(SUBSTITUTE(SUBSTITUTE(SUBSTITUTE(TRIM($B237),"-",""),"=","")," ",""),"x",""))</f>
        <v/>
      </c>
      <c r="D237" s="11" t="n">
        <f aca="false">IF(LEN($C237)&lt;4,0,IFERROR(IF(AND(CODE(MID($C237,1,1))&gt;=97,CODE(MID($C237,1,1))&lt;=104,VALUE(MID($C237,2,1))&gt;=1,VALUE(MID($C237,2,1))&lt;=8),(VALUE(MID($C237,2,1))-1)*8+CODE(MID($C237,1,1))-96,0),0))</f>
        <v>0</v>
      </c>
      <c r="E237" s="11" t="n">
        <f aca="false">IF(LEN($C237)&lt;4,0,IFERROR(IF(AND(CODE(MID($C237,3,1))&gt;=97,CODE(MID($C237,3,1))&lt;=104,VALUE(MID($C237,4,1))&gt;=1,VALUE(MID($C237,4,1))&lt;=8),(VALUE(MID($C237,4,1))-1)*8+CODE(MID($C237,3,1))-96,0),0))</f>
        <v>0</v>
      </c>
      <c r="F237" s="11" t="str">
        <f aca="false">IF(MOD(SUM($P$5:$P236),2)=0,"w","b")</f>
        <v>w</v>
      </c>
      <c r="G237" s="11" t="str">
        <f aca="false">IF($D237=0,"",INDEX($AH236:$CS236,1,$D237)&amp;"")</f>
        <v/>
      </c>
      <c r="H237" s="11" t="str">
        <f aca="false">IF($E237=0,"",INDEX($AH236:$CS236,1,$E237)&amp;"")</f>
        <v/>
      </c>
      <c r="I237" s="11" t="n">
        <f aca="false">IF(OR($D237=0,$E237=0),0,MOD($E237-1,8)-MOD($D237-1,8))</f>
        <v>0</v>
      </c>
      <c r="J237" s="11" t="n">
        <f aca="false">IF(OR($D237=0,$E237=0),0,INT(($E237-1)/8)-INT(($D237-1)/8))</f>
        <v>0</v>
      </c>
      <c r="K237" s="11" t="str">
        <f aca="false">IF($G237="","",RIGHT($G237,1))</f>
        <v/>
      </c>
      <c r="L237" s="11" t="n">
        <f aca="false">IF(OR($D237=0,$E237=0),0,SUMPRODUCT(($AH$3:$CS$3&gt;MIN($D237,$E237))*($AH$3:$CS$3&lt;MAX($D237,$E237))*(MOD($AH$3:$CS$3-MIN($D237,$E237),MAX(1,ABS(SIGN($J237)*8+SIGN($I237))))=0)*($AH236:$CS236&lt;&gt;"")))</f>
        <v>0</v>
      </c>
      <c r="M237" s="11" t="n">
        <f aca="false">IF($K237&lt;&gt;"K",0,IFERROR(--AND($J237=0,ABS($I237)=2,$D237=IF($F237="w",5,61),IF($F237="w",$S236,$V236)=0,IF($I237=2,AND(IF($F237="w",$U236,$X236)=0,INDEX($AH236:$CS236,1,$D237+1)&amp;""="",INDEX($AH236:$CS236,1,$D237+2)&amp;""=""),AND(IF($F237="w",$T236,$W236)=0,INDEX($AH236:$CS236,1,$D237-1)&amp;""="",INDEX($AH236:$CS236,1,$D237-2)&amp;""="",INDEX($AH236:$CS236,1,$D237-3)&amp;""=""))),0))</f>
        <v>0</v>
      </c>
      <c r="N237" s="11" t="n">
        <f aca="false">IF($K237&lt;&gt;"P",0,IFERROR(--OR(AND($I237=0,$J237=IF($F237="w",1,-1),$H237=""),AND($I237=0,$J237=2*IF($F237="w",1,-1),$H237="",INT(($D237-1)/8)=IF($F237="w",1,6),INDEX($AH236:$CS236,1,MAX(1,MIN(64,$D237+8*IF($F237="w",1,-1))))&amp;""=""),AND(ABS($I237)=1,$J237=IF($F237="w",1,-1),$H237&lt;&gt;""),AND(ABS($I237)=1,$J237=IF($F237="w",1,-1),$H237="",$R236&gt;0,$E237=$R236)),0))</f>
        <v>0</v>
      </c>
      <c r="O237" s="11" t="n">
        <f aca="false">IF(OR($D237=0,$E237=0,$G237=""),0,IF($K237="N",--OR(AND(ABS($I237)=1,ABS($J237)=2),AND(ABS($I237)=2,ABS($J237)=1)),IF($K237="B",--AND(ABS($I237)=ABS($J237),$I237&lt;&gt;0,$L237=0),IF($K237="R",--AND(OR($I237=0,$J237=0),OR($I237&lt;&gt;0,$J237&lt;&gt;0),$L237=0),IF($K237="Q",--AND(OR(AND(ABS($I237)=ABS($J237),$I237&lt;&gt;0),AND(OR($I237=0,$J237=0),OR($I237&lt;&gt;0,$J237&lt;&gt;0))),$L237=0),IF($K237="K",--OR(MAX(ABS($I237),ABS($J237))=1,$M237=1),$N237))))))</f>
        <v>0</v>
      </c>
      <c r="P237" s="11" t="n">
        <f aca="false">IF($Q237="OK",1,0)</f>
        <v>0</v>
      </c>
      <c r="Q237" s="11" t="str">
        <f aca="false">IF($B237="","",IF(OR(COUNTIF($AH236:$CS236,"wK")=0,COUNTIF($AH236:$CS236,"bK")=0),"Game is over",IF(OR($D237=0,$E237=0),"Use the format e2e4",IF($G237="","No piece on that square",IF(LEFT($G237,1)&lt;&gt;$F237,"Not your piece ("&amp;IF($F237="w","White","Black")&amp;" to move)",IF($D237=$E237,"Piece must move",IF(AND($H237&lt;&gt;"",LEFT($H237,1)=$F237),"Cannot capture your own piece",IF($O237=0,"Illegal move for that piece (or path blocked)","OK"))))))))</f>
        <v/>
      </c>
      <c r="R237" s="11" t="n">
        <f aca="false">IF($P237=1,IF(AND($K237="P",ABS($J237)=2),($D237+$E237)/2,0),$R236)</f>
        <v>0</v>
      </c>
      <c r="S237" s="12" t="b">
        <f aca="false">--OR($S236=1,AND($P237=1,OR($D237=5,$E237=5)))</f>
        <v>0</v>
      </c>
      <c r="T237" s="12" t="b">
        <f aca="false">--OR($T236=1,AND($P237=1,OR($D237=1,$E237=1)))</f>
        <v>0</v>
      </c>
      <c r="U237" s="12" t="b">
        <f aca="false">--OR($U236=1,AND($P237=1,OR($D237=8,$E237=8)))</f>
        <v>0</v>
      </c>
      <c r="V237" s="12" t="b">
        <f aca="false">--OR($V236=1,AND($P237=1,OR($D237=61,$E237=61)))</f>
        <v>0</v>
      </c>
      <c r="W237" s="12" t="b">
        <f aca="false">--OR($W236=1,AND($P237=1,OR($D237=57,$E237=57)))</f>
        <v>0</v>
      </c>
      <c r="X237" s="12" t="b">
        <f aca="false">--OR($X236=1,AND($P237=1,OR($D237=64,$E237=64)))</f>
        <v>0</v>
      </c>
      <c r="Y237" s="12" t="b">
        <f aca="false">--AND($P237=1,$K237="K",ABS($I237)=2)</f>
        <v>0</v>
      </c>
      <c r="Z237" s="12" t="b">
        <f aca="false">--AND($P237=1,$K237="P",ABS($I237)=1,$H237="")</f>
        <v>0</v>
      </c>
      <c r="AA237" s="12" t="b">
        <f aca="false">--AND($P237=1,$K237="P",INT(($E237-1)/8)=IF($F237="w",7,0))</f>
        <v>0</v>
      </c>
      <c r="AB237" s="11" t="str">
        <f aca="false">IF(LEN($C237)&gt;=5,IF(ISNUMBER(FIND(MID($C237,5,1),"qrbn")),UPPER(MID($C237,5,1)),"Q"),"Q")</f>
        <v>Q</v>
      </c>
      <c r="AC237" s="11" t="n">
        <f aca="false">IF($Y237=1,IF($I237=2,$D237+3,$D237-4),0)</f>
        <v>0</v>
      </c>
      <c r="AD237" s="11" t="n">
        <f aca="false">IF($Y237=1,IF($I237=2,$D237+1,$D237-1),0)</f>
        <v>0</v>
      </c>
      <c r="AE237" s="11" t="n">
        <f aca="false">IF($Z237=1,$E237-8*IF($F237="w",1,-1),0)</f>
        <v>0</v>
      </c>
      <c r="AF237" s="11" t="str">
        <f aca="false">IF($B237="","",IF($P237=1,LOWER(INDEX($CV$2:$CV$13,MATCH($G237,$CU$2:$CU$13,0)))&amp;" "&amp;MID("abcdefgh",MOD($D237-1,8)+1,1)&amp;(INT(($D237-1)/8)+1)&amp;"→"&amp;MID("abcdefgh",MOD($E237-1,8)+1,1)&amp;(INT(($E237-1)/8)+1)&amp;IF(OR($H237&lt;&gt;"",$Z237=1)," ×","")&amp;IF($Y237=1," castles","")&amp;IF($Z237=1," e.p.","")&amp;IF($AA237=1," =" &amp;LOWER(INDEX($CV$2:$CV$13,MATCH($F237&amp;$AB237,$CU$2:$CU$13,0))),""),"X "&amp;$Q237))</f>
        <v/>
      </c>
      <c r="AG237" s="11"/>
      <c r="AH237" s="11" t="str">
        <f aca="false">IF($P237=0,AH236,IF(AH$3=$E237,IF($AA237=1,$F237&amp;$AB237,$G237),IF(OR(AH$3=$D237,AH$3=$AC237,AH$3=$AE237),"",IF(AH$3=$AD237,$F237&amp;"R",AH236))))</f>
        <v>wR</v>
      </c>
      <c r="AI237" s="11" t="str">
        <f aca="false">IF($P237=0,AI236,IF(AI$3=$E237,IF($AA237=1,$F237&amp;$AB237,$G237),IF(OR(AI$3=$D237,AI$3=$AC237,AI$3=$AE237),"",IF(AI$3=$AD237,$F237&amp;"R",AI236))))</f>
        <v>wN</v>
      </c>
      <c r="AJ237" s="11" t="str">
        <f aca="false">IF($P237=0,AJ236,IF(AJ$3=$E237,IF($AA237=1,$F237&amp;$AB237,$G237),IF(OR(AJ$3=$D237,AJ$3=$AC237,AJ$3=$AE237),"",IF(AJ$3=$AD237,$F237&amp;"R",AJ236))))</f>
        <v>wB</v>
      </c>
      <c r="AK237" s="11" t="str">
        <f aca="false">IF($P237=0,AK236,IF(AK$3=$E237,IF($AA237=1,$F237&amp;$AB237,$G237),IF(OR(AK$3=$D237,AK$3=$AC237,AK$3=$AE237),"",IF(AK$3=$AD237,$F237&amp;"R",AK236))))</f>
        <v>wQ</v>
      </c>
      <c r="AL237" s="11" t="str">
        <f aca="false">IF($P237=0,AL236,IF(AL$3=$E237,IF($AA237=1,$F237&amp;$AB237,$G237),IF(OR(AL$3=$D237,AL$3=$AC237,AL$3=$AE237),"",IF(AL$3=$AD237,$F237&amp;"R",AL236))))</f>
        <v>wK</v>
      </c>
      <c r="AM237" s="11" t="str">
        <f aca="false">IF($P237=0,AM236,IF(AM$3=$E237,IF($AA237=1,$F237&amp;$AB237,$G237),IF(OR(AM$3=$D237,AM$3=$AC237,AM$3=$AE237),"",IF(AM$3=$AD237,$F237&amp;"R",AM236))))</f>
        <v>wB</v>
      </c>
      <c r="AN237" s="11" t="str">
        <f aca="false">IF($P237=0,AN236,IF(AN$3=$E237,IF($AA237=1,$F237&amp;$AB237,$G237),IF(OR(AN$3=$D237,AN$3=$AC237,AN$3=$AE237),"",IF(AN$3=$AD237,$F237&amp;"R",AN236))))</f>
        <v>wN</v>
      </c>
      <c r="AO237" s="11" t="str">
        <f aca="false">IF($P237=0,AO236,IF(AO$3=$E237,IF($AA237=1,$F237&amp;$AB237,$G237),IF(OR(AO$3=$D237,AO$3=$AC237,AO$3=$AE237),"",IF(AO$3=$AD237,$F237&amp;"R",AO236))))</f>
        <v>wR</v>
      </c>
      <c r="AP237" s="11" t="str">
        <f aca="false">IF($P237=0,AP236,IF(AP$3=$E237,IF($AA237=1,$F237&amp;$AB237,$G237),IF(OR(AP$3=$D237,AP$3=$AC237,AP$3=$AE237),"",IF(AP$3=$AD237,$F237&amp;"R",AP236))))</f>
        <v>wP</v>
      </c>
      <c r="AQ237" s="11" t="str">
        <f aca="false">IF($P237=0,AQ236,IF(AQ$3=$E237,IF($AA237=1,$F237&amp;$AB237,$G237),IF(OR(AQ$3=$D237,AQ$3=$AC237,AQ$3=$AE237),"",IF(AQ$3=$AD237,$F237&amp;"R",AQ236))))</f>
        <v>wP</v>
      </c>
      <c r="AR237" s="11" t="str">
        <f aca="false">IF($P237=0,AR236,IF(AR$3=$E237,IF($AA237=1,$F237&amp;$AB237,$G237),IF(OR(AR$3=$D237,AR$3=$AC237,AR$3=$AE237),"",IF(AR$3=$AD237,$F237&amp;"R",AR236))))</f>
        <v>wP</v>
      </c>
      <c r="AS237" s="11" t="str">
        <f aca="false">IF($P237=0,AS236,IF(AS$3=$E237,IF($AA237=1,$F237&amp;$AB237,$G237),IF(OR(AS$3=$D237,AS$3=$AC237,AS$3=$AE237),"",IF(AS$3=$AD237,$F237&amp;"R",AS236))))</f>
        <v>wP</v>
      </c>
      <c r="AT237" s="11" t="str">
        <f aca="false">IF($P237=0,AT236,IF(AT$3=$E237,IF($AA237=1,$F237&amp;$AB237,$G237),IF(OR(AT$3=$D237,AT$3=$AC237,AT$3=$AE237),"",IF(AT$3=$AD237,$F237&amp;"R",AT236))))</f>
        <v>wP</v>
      </c>
      <c r="AU237" s="11" t="str">
        <f aca="false">IF($P237=0,AU236,IF(AU$3=$E237,IF($AA237=1,$F237&amp;$AB237,$G237),IF(OR(AU$3=$D237,AU$3=$AC237,AU$3=$AE237),"",IF(AU$3=$AD237,$F237&amp;"R",AU236))))</f>
        <v>wP</v>
      </c>
      <c r="AV237" s="11" t="str">
        <f aca="false">IF($P237=0,AV236,IF(AV$3=$E237,IF($AA237=1,$F237&amp;$AB237,$G237),IF(OR(AV$3=$D237,AV$3=$AC237,AV$3=$AE237),"",IF(AV$3=$AD237,$F237&amp;"R",AV236))))</f>
        <v>wP</v>
      </c>
      <c r="AW237" s="11" t="str">
        <f aca="false">IF($P237=0,AW236,IF(AW$3=$E237,IF($AA237=1,$F237&amp;$AB237,$G237),IF(OR(AW$3=$D237,AW$3=$AC237,AW$3=$AE237),"",IF(AW$3=$AD237,$F237&amp;"R",AW236))))</f>
        <v>wP</v>
      </c>
      <c r="AX237" s="11" t="str">
        <f aca="false">IF($P237=0,AX236,IF(AX$3=$E237,IF($AA237=1,$F237&amp;$AB237,$G237),IF(OR(AX$3=$D237,AX$3=$AC237,AX$3=$AE237),"",IF(AX$3=$AD237,$F237&amp;"R",AX236))))</f>
        <v/>
      </c>
      <c r="AY237" s="11" t="str">
        <f aca="false">IF($P237=0,AY236,IF(AY$3=$E237,IF($AA237=1,$F237&amp;$AB237,$G237),IF(OR(AY$3=$D237,AY$3=$AC237,AY$3=$AE237),"",IF(AY$3=$AD237,$F237&amp;"R",AY236))))</f>
        <v/>
      </c>
      <c r="AZ237" s="11" t="str">
        <f aca="false">IF($P237=0,AZ236,IF(AZ$3=$E237,IF($AA237=1,$F237&amp;$AB237,$G237),IF(OR(AZ$3=$D237,AZ$3=$AC237,AZ$3=$AE237),"",IF(AZ$3=$AD237,$F237&amp;"R",AZ236))))</f>
        <v/>
      </c>
      <c r="BA237" s="11" t="str">
        <f aca="false">IF($P237=0,BA236,IF(BA$3=$E237,IF($AA237=1,$F237&amp;$AB237,$G237),IF(OR(BA$3=$D237,BA$3=$AC237,BA$3=$AE237),"",IF(BA$3=$AD237,$F237&amp;"R",BA236))))</f>
        <v/>
      </c>
      <c r="BB237" s="11" t="str">
        <f aca="false">IF($P237=0,BB236,IF(BB$3=$E237,IF($AA237=1,$F237&amp;$AB237,$G237),IF(OR(BB$3=$D237,BB$3=$AC237,BB$3=$AE237),"",IF(BB$3=$AD237,$F237&amp;"R",BB236))))</f>
        <v/>
      </c>
      <c r="BC237" s="11" t="str">
        <f aca="false">IF($P237=0,BC236,IF(BC$3=$E237,IF($AA237=1,$F237&amp;$AB237,$G237),IF(OR(BC$3=$D237,BC$3=$AC237,BC$3=$AE237),"",IF(BC$3=$AD237,$F237&amp;"R",BC236))))</f>
        <v/>
      </c>
      <c r="BD237" s="11" t="str">
        <f aca="false">IF($P237=0,BD236,IF(BD$3=$E237,IF($AA237=1,$F237&amp;$AB237,$G237),IF(OR(BD$3=$D237,BD$3=$AC237,BD$3=$AE237),"",IF(BD$3=$AD237,$F237&amp;"R",BD236))))</f>
        <v/>
      </c>
      <c r="BE237" s="11" t="str">
        <f aca="false">IF($P237=0,BE236,IF(BE$3=$E237,IF($AA237=1,$F237&amp;$AB237,$G237),IF(OR(BE$3=$D237,BE$3=$AC237,BE$3=$AE237),"",IF(BE$3=$AD237,$F237&amp;"R",BE236))))</f>
        <v/>
      </c>
      <c r="BF237" s="11" t="str">
        <f aca="false">IF($P237=0,BF236,IF(BF$3=$E237,IF($AA237=1,$F237&amp;$AB237,$G237),IF(OR(BF$3=$D237,BF$3=$AC237,BF$3=$AE237),"",IF(BF$3=$AD237,$F237&amp;"R",BF236))))</f>
        <v/>
      </c>
      <c r="BG237" s="11" t="str">
        <f aca="false">IF($P237=0,BG236,IF(BG$3=$E237,IF($AA237=1,$F237&amp;$AB237,$G237),IF(OR(BG$3=$D237,BG$3=$AC237,BG$3=$AE237),"",IF(BG$3=$AD237,$F237&amp;"R",BG236))))</f>
        <v/>
      </c>
      <c r="BH237" s="11" t="str">
        <f aca="false">IF($P237=0,BH236,IF(BH$3=$E237,IF($AA237=1,$F237&amp;$AB237,$G237),IF(OR(BH$3=$D237,BH$3=$AC237,BH$3=$AE237),"",IF(BH$3=$AD237,$F237&amp;"R",BH236))))</f>
        <v/>
      </c>
      <c r="BI237" s="11" t="str">
        <f aca="false">IF($P237=0,BI236,IF(BI$3=$E237,IF($AA237=1,$F237&amp;$AB237,$G237),IF(OR(BI$3=$D237,BI$3=$AC237,BI$3=$AE237),"",IF(BI$3=$AD237,$F237&amp;"R",BI236))))</f>
        <v/>
      </c>
      <c r="BJ237" s="11" t="str">
        <f aca="false">IF($P237=0,BJ236,IF(BJ$3=$E237,IF($AA237=1,$F237&amp;$AB237,$G237),IF(OR(BJ$3=$D237,BJ$3=$AC237,BJ$3=$AE237),"",IF(BJ$3=$AD237,$F237&amp;"R",BJ236))))</f>
        <v/>
      </c>
      <c r="BK237" s="11" t="str">
        <f aca="false">IF($P237=0,BK236,IF(BK$3=$E237,IF($AA237=1,$F237&amp;$AB237,$G237),IF(OR(BK$3=$D237,BK$3=$AC237,BK$3=$AE237),"",IF(BK$3=$AD237,$F237&amp;"R",BK236))))</f>
        <v/>
      </c>
      <c r="BL237" s="11" t="str">
        <f aca="false">IF($P237=0,BL236,IF(BL$3=$E237,IF($AA237=1,$F237&amp;$AB237,$G237),IF(OR(BL$3=$D237,BL$3=$AC237,BL$3=$AE237),"",IF(BL$3=$AD237,$F237&amp;"R",BL236))))</f>
        <v/>
      </c>
      <c r="BM237" s="11" t="str">
        <f aca="false">IF($P237=0,BM236,IF(BM$3=$E237,IF($AA237=1,$F237&amp;$AB237,$G237),IF(OR(BM$3=$D237,BM$3=$AC237,BM$3=$AE237),"",IF(BM$3=$AD237,$F237&amp;"R",BM236))))</f>
        <v/>
      </c>
      <c r="BN237" s="11" t="str">
        <f aca="false">IF($P237=0,BN236,IF(BN$3=$E237,IF($AA237=1,$F237&amp;$AB237,$G237),IF(OR(BN$3=$D237,BN$3=$AC237,BN$3=$AE237),"",IF(BN$3=$AD237,$F237&amp;"R",BN236))))</f>
        <v/>
      </c>
      <c r="BO237" s="11" t="str">
        <f aca="false">IF($P237=0,BO236,IF(BO$3=$E237,IF($AA237=1,$F237&amp;$AB237,$G237),IF(OR(BO$3=$D237,BO$3=$AC237,BO$3=$AE237),"",IF(BO$3=$AD237,$F237&amp;"R",BO236))))</f>
        <v/>
      </c>
      <c r="BP237" s="11" t="str">
        <f aca="false">IF($P237=0,BP236,IF(BP$3=$E237,IF($AA237=1,$F237&amp;$AB237,$G237),IF(OR(BP$3=$D237,BP$3=$AC237,BP$3=$AE237),"",IF(BP$3=$AD237,$F237&amp;"R",BP236))))</f>
        <v/>
      </c>
      <c r="BQ237" s="11" t="str">
        <f aca="false">IF($P237=0,BQ236,IF(BQ$3=$E237,IF($AA237=1,$F237&amp;$AB237,$G237),IF(OR(BQ$3=$D237,BQ$3=$AC237,BQ$3=$AE237),"",IF(BQ$3=$AD237,$F237&amp;"R",BQ236))))</f>
        <v/>
      </c>
      <c r="BR237" s="11" t="str">
        <f aca="false">IF($P237=0,BR236,IF(BR$3=$E237,IF($AA237=1,$F237&amp;$AB237,$G237),IF(OR(BR$3=$D237,BR$3=$AC237,BR$3=$AE237),"",IF(BR$3=$AD237,$F237&amp;"R",BR236))))</f>
        <v/>
      </c>
      <c r="BS237" s="11" t="str">
        <f aca="false">IF($P237=0,BS236,IF(BS$3=$E237,IF($AA237=1,$F237&amp;$AB237,$G237),IF(OR(BS$3=$D237,BS$3=$AC237,BS$3=$AE237),"",IF(BS$3=$AD237,$F237&amp;"R",BS236))))</f>
        <v/>
      </c>
      <c r="BT237" s="11" t="str">
        <f aca="false">IF($P237=0,BT236,IF(BT$3=$E237,IF($AA237=1,$F237&amp;$AB237,$G237),IF(OR(BT$3=$D237,BT$3=$AC237,BT$3=$AE237),"",IF(BT$3=$AD237,$F237&amp;"R",BT236))))</f>
        <v/>
      </c>
      <c r="BU237" s="11" t="str">
        <f aca="false">IF($P237=0,BU236,IF(BU$3=$E237,IF($AA237=1,$F237&amp;$AB237,$G237),IF(OR(BU$3=$D237,BU$3=$AC237,BU$3=$AE237),"",IF(BU$3=$AD237,$F237&amp;"R",BU236))))</f>
        <v/>
      </c>
      <c r="BV237" s="11" t="str">
        <f aca="false">IF($P237=0,BV236,IF(BV$3=$E237,IF($AA237=1,$F237&amp;$AB237,$G237),IF(OR(BV$3=$D237,BV$3=$AC237,BV$3=$AE237),"",IF(BV$3=$AD237,$F237&amp;"R",BV236))))</f>
        <v/>
      </c>
      <c r="BW237" s="11" t="str">
        <f aca="false">IF($P237=0,BW236,IF(BW$3=$E237,IF($AA237=1,$F237&amp;$AB237,$G237),IF(OR(BW$3=$D237,BW$3=$AC237,BW$3=$AE237),"",IF(BW$3=$AD237,$F237&amp;"R",BW236))))</f>
        <v/>
      </c>
      <c r="BX237" s="11" t="str">
        <f aca="false">IF($P237=0,BX236,IF(BX$3=$E237,IF($AA237=1,$F237&amp;$AB237,$G237),IF(OR(BX$3=$D237,BX$3=$AC237,BX$3=$AE237),"",IF(BX$3=$AD237,$F237&amp;"R",BX236))))</f>
        <v/>
      </c>
      <c r="BY237" s="11" t="str">
        <f aca="false">IF($P237=0,BY236,IF(BY$3=$E237,IF($AA237=1,$F237&amp;$AB237,$G237),IF(OR(BY$3=$D237,BY$3=$AC237,BY$3=$AE237),"",IF(BY$3=$AD237,$F237&amp;"R",BY236))))</f>
        <v/>
      </c>
      <c r="BZ237" s="11" t="str">
        <f aca="false">IF($P237=0,BZ236,IF(BZ$3=$E237,IF($AA237=1,$F237&amp;$AB237,$G237),IF(OR(BZ$3=$D237,BZ$3=$AC237,BZ$3=$AE237),"",IF(BZ$3=$AD237,$F237&amp;"R",BZ236))))</f>
        <v/>
      </c>
      <c r="CA237" s="11" t="str">
        <f aca="false">IF($P237=0,CA236,IF(CA$3=$E237,IF($AA237=1,$F237&amp;$AB237,$G237),IF(OR(CA$3=$D237,CA$3=$AC237,CA$3=$AE237),"",IF(CA$3=$AD237,$F237&amp;"R",CA236))))</f>
        <v/>
      </c>
      <c r="CB237" s="11" t="str">
        <f aca="false">IF($P237=0,CB236,IF(CB$3=$E237,IF($AA237=1,$F237&amp;$AB237,$G237),IF(OR(CB$3=$D237,CB$3=$AC237,CB$3=$AE237),"",IF(CB$3=$AD237,$F237&amp;"R",CB236))))</f>
        <v/>
      </c>
      <c r="CC237" s="11" t="str">
        <f aca="false">IF($P237=0,CC236,IF(CC$3=$E237,IF($AA237=1,$F237&amp;$AB237,$G237),IF(OR(CC$3=$D237,CC$3=$AC237,CC$3=$AE237),"",IF(CC$3=$AD237,$F237&amp;"R",CC236))))</f>
        <v/>
      </c>
      <c r="CD237" s="11" t="str">
        <f aca="false">IF($P237=0,CD236,IF(CD$3=$E237,IF($AA237=1,$F237&amp;$AB237,$G237),IF(OR(CD$3=$D237,CD$3=$AC237,CD$3=$AE237),"",IF(CD$3=$AD237,$F237&amp;"R",CD236))))</f>
        <v>bP</v>
      </c>
      <c r="CE237" s="11" t="str">
        <f aca="false">IF($P237=0,CE236,IF(CE$3=$E237,IF($AA237=1,$F237&amp;$AB237,$G237),IF(OR(CE$3=$D237,CE$3=$AC237,CE$3=$AE237),"",IF(CE$3=$AD237,$F237&amp;"R",CE236))))</f>
        <v>bP</v>
      </c>
      <c r="CF237" s="11" t="str">
        <f aca="false">IF($P237=0,CF236,IF(CF$3=$E237,IF($AA237=1,$F237&amp;$AB237,$G237),IF(OR(CF$3=$D237,CF$3=$AC237,CF$3=$AE237),"",IF(CF$3=$AD237,$F237&amp;"R",CF236))))</f>
        <v>bP</v>
      </c>
      <c r="CG237" s="11" t="str">
        <f aca="false">IF($P237=0,CG236,IF(CG$3=$E237,IF($AA237=1,$F237&amp;$AB237,$G237),IF(OR(CG$3=$D237,CG$3=$AC237,CG$3=$AE237),"",IF(CG$3=$AD237,$F237&amp;"R",CG236))))</f>
        <v>bP</v>
      </c>
      <c r="CH237" s="11" t="str">
        <f aca="false">IF($P237=0,CH236,IF(CH$3=$E237,IF($AA237=1,$F237&amp;$AB237,$G237),IF(OR(CH$3=$D237,CH$3=$AC237,CH$3=$AE237),"",IF(CH$3=$AD237,$F237&amp;"R",CH236))))</f>
        <v>bP</v>
      </c>
      <c r="CI237" s="11" t="str">
        <f aca="false">IF($P237=0,CI236,IF(CI$3=$E237,IF($AA237=1,$F237&amp;$AB237,$G237),IF(OR(CI$3=$D237,CI$3=$AC237,CI$3=$AE237),"",IF(CI$3=$AD237,$F237&amp;"R",CI236))))</f>
        <v>bP</v>
      </c>
      <c r="CJ237" s="11" t="str">
        <f aca="false">IF($P237=0,CJ236,IF(CJ$3=$E237,IF($AA237=1,$F237&amp;$AB237,$G237),IF(OR(CJ$3=$D237,CJ$3=$AC237,CJ$3=$AE237),"",IF(CJ$3=$AD237,$F237&amp;"R",CJ236))))</f>
        <v>bP</v>
      </c>
      <c r="CK237" s="11" t="str">
        <f aca="false">IF($P237=0,CK236,IF(CK$3=$E237,IF($AA237=1,$F237&amp;$AB237,$G237),IF(OR(CK$3=$D237,CK$3=$AC237,CK$3=$AE237),"",IF(CK$3=$AD237,$F237&amp;"R",CK236))))</f>
        <v>bP</v>
      </c>
      <c r="CL237" s="11" t="str">
        <f aca="false">IF($P237=0,CL236,IF(CL$3=$E237,IF($AA237=1,$F237&amp;$AB237,$G237),IF(OR(CL$3=$D237,CL$3=$AC237,CL$3=$AE237),"",IF(CL$3=$AD237,$F237&amp;"R",CL236))))</f>
        <v>bR</v>
      </c>
      <c r="CM237" s="11" t="str">
        <f aca="false">IF($P237=0,CM236,IF(CM$3=$E237,IF($AA237=1,$F237&amp;$AB237,$G237),IF(OR(CM$3=$D237,CM$3=$AC237,CM$3=$AE237),"",IF(CM$3=$AD237,$F237&amp;"R",CM236))))</f>
        <v>bN</v>
      </c>
      <c r="CN237" s="11" t="str">
        <f aca="false">IF($P237=0,CN236,IF(CN$3=$E237,IF($AA237=1,$F237&amp;$AB237,$G237),IF(OR(CN$3=$D237,CN$3=$AC237,CN$3=$AE237),"",IF(CN$3=$AD237,$F237&amp;"R",CN236))))</f>
        <v>bB</v>
      </c>
      <c r="CO237" s="11" t="str">
        <f aca="false">IF($P237=0,CO236,IF(CO$3=$E237,IF($AA237=1,$F237&amp;$AB237,$G237),IF(OR(CO$3=$D237,CO$3=$AC237,CO$3=$AE237),"",IF(CO$3=$AD237,$F237&amp;"R",CO236))))</f>
        <v>bQ</v>
      </c>
      <c r="CP237" s="11" t="str">
        <f aca="false">IF($P237=0,CP236,IF(CP$3=$E237,IF($AA237=1,$F237&amp;$AB237,$G237),IF(OR(CP$3=$D237,CP$3=$AC237,CP$3=$AE237),"",IF(CP$3=$AD237,$F237&amp;"R",CP236))))</f>
        <v>bK</v>
      </c>
      <c r="CQ237" s="11" t="str">
        <f aca="false">IF($P237=0,CQ236,IF(CQ$3=$E237,IF($AA237=1,$F237&amp;$AB237,$G237),IF(OR(CQ$3=$D237,CQ$3=$AC237,CQ$3=$AE237),"",IF(CQ$3=$AD237,$F237&amp;"R",CQ236))))</f>
        <v>bB</v>
      </c>
      <c r="CR237" s="11" t="str">
        <f aca="false">IF($P237=0,CR236,IF(CR$3=$E237,IF($AA237=1,$F237&amp;$AB237,$G237),IF(OR(CR$3=$D237,CR$3=$AC237,CR$3=$AE237),"",IF(CR$3=$AD237,$F237&amp;"R",CR236))))</f>
        <v>bN</v>
      </c>
      <c r="CS237" s="11" t="str">
        <f aca="false">IF($P237=0,CS236,IF(CS$3=$E237,IF($AA237=1,$F237&amp;$AB237,$G237),IF(OR(CS$3=$D237,CS$3=$AC237,CS$3=$AE237),"",IF(CS$3=$AD237,$F237&amp;"R",CS236))))</f>
        <v>bR</v>
      </c>
      <c r="CT237" s="11"/>
      <c r="CU237" s="11"/>
      <c r="CV237" s="11"/>
    </row>
    <row r="238" customFormat="false" ht="15" hidden="false" customHeight="false" outlineLevel="0" collapsed="false">
      <c r="A238" s="11" t="n">
        <v>233</v>
      </c>
      <c r="B238" s="11" t="str">
        <f aca="false">IF(Chess!$L$242="","",Chess!$L$242&amp;"")</f>
        <v/>
      </c>
      <c r="C238" s="11" t="str">
        <f aca="false">LOWER(SUBSTITUTE(SUBSTITUTE(SUBSTITUTE(SUBSTITUTE(TRIM($B238),"-",""),"=","")," ",""),"x",""))</f>
        <v/>
      </c>
      <c r="D238" s="11" t="n">
        <f aca="false">IF(LEN($C238)&lt;4,0,IFERROR(IF(AND(CODE(MID($C238,1,1))&gt;=97,CODE(MID($C238,1,1))&lt;=104,VALUE(MID($C238,2,1))&gt;=1,VALUE(MID($C238,2,1))&lt;=8),(VALUE(MID($C238,2,1))-1)*8+CODE(MID($C238,1,1))-96,0),0))</f>
        <v>0</v>
      </c>
      <c r="E238" s="11" t="n">
        <f aca="false">IF(LEN($C238)&lt;4,0,IFERROR(IF(AND(CODE(MID($C238,3,1))&gt;=97,CODE(MID($C238,3,1))&lt;=104,VALUE(MID($C238,4,1))&gt;=1,VALUE(MID($C238,4,1))&lt;=8),(VALUE(MID($C238,4,1))-1)*8+CODE(MID($C238,3,1))-96,0),0))</f>
        <v>0</v>
      </c>
      <c r="F238" s="11" t="str">
        <f aca="false">IF(MOD(SUM($P$5:$P237),2)=0,"w","b")</f>
        <v>w</v>
      </c>
      <c r="G238" s="11" t="str">
        <f aca="false">IF($D238=0,"",INDEX($AH237:$CS237,1,$D238)&amp;"")</f>
        <v/>
      </c>
      <c r="H238" s="11" t="str">
        <f aca="false">IF($E238=0,"",INDEX($AH237:$CS237,1,$E238)&amp;"")</f>
        <v/>
      </c>
      <c r="I238" s="11" t="n">
        <f aca="false">IF(OR($D238=0,$E238=0),0,MOD($E238-1,8)-MOD($D238-1,8))</f>
        <v>0</v>
      </c>
      <c r="J238" s="11" t="n">
        <f aca="false">IF(OR($D238=0,$E238=0),0,INT(($E238-1)/8)-INT(($D238-1)/8))</f>
        <v>0</v>
      </c>
      <c r="K238" s="11" t="str">
        <f aca="false">IF($G238="","",RIGHT($G238,1))</f>
        <v/>
      </c>
      <c r="L238" s="11" t="n">
        <f aca="false">IF(OR($D238=0,$E238=0),0,SUMPRODUCT(($AH$3:$CS$3&gt;MIN($D238,$E238))*($AH$3:$CS$3&lt;MAX($D238,$E238))*(MOD($AH$3:$CS$3-MIN($D238,$E238),MAX(1,ABS(SIGN($J238)*8+SIGN($I238))))=0)*($AH237:$CS237&lt;&gt;"")))</f>
        <v>0</v>
      </c>
      <c r="M238" s="11" t="n">
        <f aca="false">IF($K238&lt;&gt;"K",0,IFERROR(--AND($J238=0,ABS($I238)=2,$D238=IF($F238="w",5,61),IF($F238="w",$S237,$V237)=0,IF($I238=2,AND(IF($F238="w",$U237,$X237)=0,INDEX($AH237:$CS237,1,$D238+1)&amp;""="",INDEX($AH237:$CS237,1,$D238+2)&amp;""=""),AND(IF($F238="w",$T237,$W237)=0,INDEX($AH237:$CS237,1,$D238-1)&amp;""="",INDEX($AH237:$CS237,1,$D238-2)&amp;""="",INDEX($AH237:$CS237,1,$D238-3)&amp;""=""))),0))</f>
        <v>0</v>
      </c>
      <c r="N238" s="11" t="n">
        <f aca="false">IF($K238&lt;&gt;"P",0,IFERROR(--OR(AND($I238=0,$J238=IF($F238="w",1,-1),$H238=""),AND($I238=0,$J238=2*IF($F238="w",1,-1),$H238="",INT(($D238-1)/8)=IF($F238="w",1,6),INDEX($AH237:$CS237,1,MAX(1,MIN(64,$D238+8*IF($F238="w",1,-1))))&amp;""=""),AND(ABS($I238)=1,$J238=IF($F238="w",1,-1),$H238&lt;&gt;""),AND(ABS($I238)=1,$J238=IF($F238="w",1,-1),$H238="",$R237&gt;0,$E238=$R237)),0))</f>
        <v>0</v>
      </c>
      <c r="O238" s="11" t="n">
        <f aca="false">IF(OR($D238=0,$E238=0,$G238=""),0,IF($K238="N",--OR(AND(ABS($I238)=1,ABS($J238)=2),AND(ABS($I238)=2,ABS($J238)=1)),IF($K238="B",--AND(ABS($I238)=ABS($J238),$I238&lt;&gt;0,$L238=0),IF($K238="R",--AND(OR($I238=0,$J238=0),OR($I238&lt;&gt;0,$J238&lt;&gt;0),$L238=0),IF($K238="Q",--AND(OR(AND(ABS($I238)=ABS($J238),$I238&lt;&gt;0),AND(OR($I238=0,$J238=0),OR($I238&lt;&gt;0,$J238&lt;&gt;0))),$L238=0),IF($K238="K",--OR(MAX(ABS($I238),ABS($J238))=1,$M238=1),$N238))))))</f>
        <v>0</v>
      </c>
      <c r="P238" s="11" t="n">
        <f aca="false">IF($Q238="OK",1,0)</f>
        <v>0</v>
      </c>
      <c r="Q238" s="11" t="str">
        <f aca="false">IF($B238="","",IF(OR(COUNTIF($AH237:$CS237,"wK")=0,COUNTIF($AH237:$CS237,"bK")=0),"Game is over",IF(OR($D238=0,$E238=0),"Use the format e2e4",IF($G238="","No piece on that square",IF(LEFT($G238,1)&lt;&gt;$F238,"Not your piece ("&amp;IF($F238="w","White","Black")&amp;" to move)",IF($D238=$E238,"Piece must move",IF(AND($H238&lt;&gt;"",LEFT($H238,1)=$F238),"Cannot capture your own piece",IF($O238=0,"Illegal move for that piece (or path blocked)","OK"))))))))</f>
        <v/>
      </c>
      <c r="R238" s="11" t="n">
        <f aca="false">IF($P238=1,IF(AND($K238="P",ABS($J238)=2),($D238+$E238)/2,0),$R237)</f>
        <v>0</v>
      </c>
      <c r="S238" s="12" t="b">
        <f aca="false">--OR($S237=1,AND($P238=1,OR($D238=5,$E238=5)))</f>
        <v>0</v>
      </c>
      <c r="T238" s="12" t="b">
        <f aca="false">--OR($T237=1,AND($P238=1,OR($D238=1,$E238=1)))</f>
        <v>0</v>
      </c>
      <c r="U238" s="12" t="b">
        <f aca="false">--OR($U237=1,AND($P238=1,OR($D238=8,$E238=8)))</f>
        <v>0</v>
      </c>
      <c r="V238" s="12" t="b">
        <f aca="false">--OR($V237=1,AND($P238=1,OR($D238=61,$E238=61)))</f>
        <v>0</v>
      </c>
      <c r="W238" s="12" t="b">
        <f aca="false">--OR($W237=1,AND($P238=1,OR($D238=57,$E238=57)))</f>
        <v>0</v>
      </c>
      <c r="X238" s="12" t="b">
        <f aca="false">--OR($X237=1,AND($P238=1,OR($D238=64,$E238=64)))</f>
        <v>0</v>
      </c>
      <c r="Y238" s="12" t="b">
        <f aca="false">--AND($P238=1,$K238="K",ABS($I238)=2)</f>
        <v>0</v>
      </c>
      <c r="Z238" s="12" t="b">
        <f aca="false">--AND($P238=1,$K238="P",ABS($I238)=1,$H238="")</f>
        <v>0</v>
      </c>
      <c r="AA238" s="12" t="b">
        <f aca="false">--AND($P238=1,$K238="P",INT(($E238-1)/8)=IF($F238="w",7,0))</f>
        <v>0</v>
      </c>
      <c r="AB238" s="11" t="str">
        <f aca="false">IF(LEN($C238)&gt;=5,IF(ISNUMBER(FIND(MID($C238,5,1),"qrbn")),UPPER(MID($C238,5,1)),"Q"),"Q")</f>
        <v>Q</v>
      </c>
      <c r="AC238" s="11" t="n">
        <f aca="false">IF($Y238=1,IF($I238=2,$D238+3,$D238-4),0)</f>
        <v>0</v>
      </c>
      <c r="AD238" s="11" t="n">
        <f aca="false">IF($Y238=1,IF($I238=2,$D238+1,$D238-1),0)</f>
        <v>0</v>
      </c>
      <c r="AE238" s="11" t="n">
        <f aca="false">IF($Z238=1,$E238-8*IF($F238="w",1,-1),0)</f>
        <v>0</v>
      </c>
      <c r="AF238" s="11" t="str">
        <f aca="false">IF($B238="","",IF($P238=1,LOWER(INDEX($CV$2:$CV$13,MATCH($G238,$CU$2:$CU$13,0)))&amp;" "&amp;MID("abcdefgh",MOD($D238-1,8)+1,1)&amp;(INT(($D238-1)/8)+1)&amp;"→"&amp;MID("abcdefgh",MOD($E238-1,8)+1,1)&amp;(INT(($E238-1)/8)+1)&amp;IF(OR($H238&lt;&gt;"",$Z238=1)," ×","")&amp;IF($Y238=1," castles","")&amp;IF($Z238=1," e.p.","")&amp;IF($AA238=1," =" &amp;LOWER(INDEX($CV$2:$CV$13,MATCH($F238&amp;$AB238,$CU$2:$CU$13,0))),""),"X "&amp;$Q238))</f>
        <v/>
      </c>
      <c r="AG238" s="11"/>
      <c r="AH238" s="11" t="str">
        <f aca="false">IF($P238=0,AH237,IF(AH$3=$E238,IF($AA238=1,$F238&amp;$AB238,$G238),IF(OR(AH$3=$D238,AH$3=$AC238,AH$3=$AE238),"",IF(AH$3=$AD238,$F238&amp;"R",AH237))))</f>
        <v>wR</v>
      </c>
      <c r="AI238" s="11" t="str">
        <f aca="false">IF($P238=0,AI237,IF(AI$3=$E238,IF($AA238=1,$F238&amp;$AB238,$G238),IF(OR(AI$3=$D238,AI$3=$AC238,AI$3=$AE238),"",IF(AI$3=$AD238,$F238&amp;"R",AI237))))</f>
        <v>wN</v>
      </c>
      <c r="AJ238" s="11" t="str">
        <f aca="false">IF($P238=0,AJ237,IF(AJ$3=$E238,IF($AA238=1,$F238&amp;$AB238,$G238),IF(OR(AJ$3=$D238,AJ$3=$AC238,AJ$3=$AE238),"",IF(AJ$3=$AD238,$F238&amp;"R",AJ237))))</f>
        <v>wB</v>
      </c>
      <c r="AK238" s="11" t="str">
        <f aca="false">IF($P238=0,AK237,IF(AK$3=$E238,IF($AA238=1,$F238&amp;$AB238,$G238),IF(OR(AK$3=$D238,AK$3=$AC238,AK$3=$AE238),"",IF(AK$3=$AD238,$F238&amp;"R",AK237))))</f>
        <v>wQ</v>
      </c>
      <c r="AL238" s="11" t="str">
        <f aca="false">IF($P238=0,AL237,IF(AL$3=$E238,IF($AA238=1,$F238&amp;$AB238,$G238),IF(OR(AL$3=$D238,AL$3=$AC238,AL$3=$AE238),"",IF(AL$3=$AD238,$F238&amp;"R",AL237))))</f>
        <v>wK</v>
      </c>
      <c r="AM238" s="11" t="str">
        <f aca="false">IF($P238=0,AM237,IF(AM$3=$E238,IF($AA238=1,$F238&amp;$AB238,$G238),IF(OR(AM$3=$D238,AM$3=$AC238,AM$3=$AE238),"",IF(AM$3=$AD238,$F238&amp;"R",AM237))))</f>
        <v>wB</v>
      </c>
      <c r="AN238" s="11" t="str">
        <f aca="false">IF($P238=0,AN237,IF(AN$3=$E238,IF($AA238=1,$F238&amp;$AB238,$G238),IF(OR(AN$3=$D238,AN$3=$AC238,AN$3=$AE238),"",IF(AN$3=$AD238,$F238&amp;"R",AN237))))</f>
        <v>wN</v>
      </c>
      <c r="AO238" s="11" t="str">
        <f aca="false">IF($P238=0,AO237,IF(AO$3=$E238,IF($AA238=1,$F238&amp;$AB238,$G238),IF(OR(AO$3=$D238,AO$3=$AC238,AO$3=$AE238),"",IF(AO$3=$AD238,$F238&amp;"R",AO237))))</f>
        <v>wR</v>
      </c>
      <c r="AP238" s="11" t="str">
        <f aca="false">IF($P238=0,AP237,IF(AP$3=$E238,IF($AA238=1,$F238&amp;$AB238,$G238),IF(OR(AP$3=$D238,AP$3=$AC238,AP$3=$AE238),"",IF(AP$3=$AD238,$F238&amp;"R",AP237))))</f>
        <v>wP</v>
      </c>
      <c r="AQ238" s="11" t="str">
        <f aca="false">IF($P238=0,AQ237,IF(AQ$3=$E238,IF($AA238=1,$F238&amp;$AB238,$G238),IF(OR(AQ$3=$D238,AQ$3=$AC238,AQ$3=$AE238),"",IF(AQ$3=$AD238,$F238&amp;"R",AQ237))))</f>
        <v>wP</v>
      </c>
      <c r="AR238" s="11" t="str">
        <f aca="false">IF($P238=0,AR237,IF(AR$3=$E238,IF($AA238=1,$F238&amp;$AB238,$G238),IF(OR(AR$3=$D238,AR$3=$AC238,AR$3=$AE238),"",IF(AR$3=$AD238,$F238&amp;"R",AR237))))</f>
        <v>wP</v>
      </c>
      <c r="AS238" s="11" t="str">
        <f aca="false">IF($P238=0,AS237,IF(AS$3=$E238,IF($AA238=1,$F238&amp;$AB238,$G238),IF(OR(AS$3=$D238,AS$3=$AC238,AS$3=$AE238),"",IF(AS$3=$AD238,$F238&amp;"R",AS237))))</f>
        <v>wP</v>
      </c>
      <c r="AT238" s="11" t="str">
        <f aca="false">IF($P238=0,AT237,IF(AT$3=$E238,IF($AA238=1,$F238&amp;$AB238,$G238),IF(OR(AT$3=$D238,AT$3=$AC238,AT$3=$AE238),"",IF(AT$3=$AD238,$F238&amp;"R",AT237))))</f>
        <v>wP</v>
      </c>
      <c r="AU238" s="11" t="str">
        <f aca="false">IF($P238=0,AU237,IF(AU$3=$E238,IF($AA238=1,$F238&amp;$AB238,$G238),IF(OR(AU$3=$D238,AU$3=$AC238,AU$3=$AE238),"",IF(AU$3=$AD238,$F238&amp;"R",AU237))))</f>
        <v>wP</v>
      </c>
      <c r="AV238" s="11" t="str">
        <f aca="false">IF($P238=0,AV237,IF(AV$3=$E238,IF($AA238=1,$F238&amp;$AB238,$G238),IF(OR(AV$3=$D238,AV$3=$AC238,AV$3=$AE238),"",IF(AV$3=$AD238,$F238&amp;"R",AV237))))</f>
        <v>wP</v>
      </c>
      <c r="AW238" s="11" t="str">
        <f aca="false">IF($P238=0,AW237,IF(AW$3=$E238,IF($AA238=1,$F238&amp;$AB238,$G238),IF(OR(AW$3=$D238,AW$3=$AC238,AW$3=$AE238),"",IF(AW$3=$AD238,$F238&amp;"R",AW237))))</f>
        <v>wP</v>
      </c>
      <c r="AX238" s="11" t="str">
        <f aca="false">IF($P238=0,AX237,IF(AX$3=$E238,IF($AA238=1,$F238&amp;$AB238,$G238),IF(OR(AX$3=$D238,AX$3=$AC238,AX$3=$AE238),"",IF(AX$3=$AD238,$F238&amp;"R",AX237))))</f>
        <v/>
      </c>
      <c r="AY238" s="11" t="str">
        <f aca="false">IF($P238=0,AY237,IF(AY$3=$E238,IF($AA238=1,$F238&amp;$AB238,$G238),IF(OR(AY$3=$D238,AY$3=$AC238,AY$3=$AE238),"",IF(AY$3=$AD238,$F238&amp;"R",AY237))))</f>
        <v/>
      </c>
      <c r="AZ238" s="11" t="str">
        <f aca="false">IF($P238=0,AZ237,IF(AZ$3=$E238,IF($AA238=1,$F238&amp;$AB238,$G238),IF(OR(AZ$3=$D238,AZ$3=$AC238,AZ$3=$AE238),"",IF(AZ$3=$AD238,$F238&amp;"R",AZ237))))</f>
        <v/>
      </c>
      <c r="BA238" s="11" t="str">
        <f aca="false">IF($P238=0,BA237,IF(BA$3=$E238,IF($AA238=1,$F238&amp;$AB238,$G238),IF(OR(BA$3=$D238,BA$3=$AC238,BA$3=$AE238),"",IF(BA$3=$AD238,$F238&amp;"R",BA237))))</f>
        <v/>
      </c>
      <c r="BB238" s="11" t="str">
        <f aca="false">IF($P238=0,BB237,IF(BB$3=$E238,IF($AA238=1,$F238&amp;$AB238,$G238),IF(OR(BB$3=$D238,BB$3=$AC238,BB$3=$AE238),"",IF(BB$3=$AD238,$F238&amp;"R",BB237))))</f>
        <v/>
      </c>
      <c r="BC238" s="11" t="str">
        <f aca="false">IF($P238=0,BC237,IF(BC$3=$E238,IF($AA238=1,$F238&amp;$AB238,$G238),IF(OR(BC$3=$D238,BC$3=$AC238,BC$3=$AE238),"",IF(BC$3=$AD238,$F238&amp;"R",BC237))))</f>
        <v/>
      </c>
      <c r="BD238" s="11" t="str">
        <f aca="false">IF($P238=0,BD237,IF(BD$3=$E238,IF($AA238=1,$F238&amp;$AB238,$G238),IF(OR(BD$3=$D238,BD$3=$AC238,BD$3=$AE238),"",IF(BD$3=$AD238,$F238&amp;"R",BD237))))</f>
        <v/>
      </c>
      <c r="BE238" s="11" t="str">
        <f aca="false">IF($P238=0,BE237,IF(BE$3=$E238,IF($AA238=1,$F238&amp;$AB238,$G238),IF(OR(BE$3=$D238,BE$3=$AC238,BE$3=$AE238),"",IF(BE$3=$AD238,$F238&amp;"R",BE237))))</f>
        <v/>
      </c>
      <c r="BF238" s="11" t="str">
        <f aca="false">IF($P238=0,BF237,IF(BF$3=$E238,IF($AA238=1,$F238&amp;$AB238,$G238),IF(OR(BF$3=$D238,BF$3=$AC238,BF$3=$AE238),"",IF(BF$3=$AD238,$F238&amp;"R",BF237))))</f>
        <v/>
      </c>
      <c r="BG238" s="11" t="str">
        <f aca="false">IF($P238=0,BG237,IF(BG$3=$E238,IF($AA238=1,$F238&amp;$AB238,$G238),IF(OR(BG$3=$D238,BG$3=$AC238,BG$3=$AE238),"",IF(BG$3=$AD238,$F238&amp;"R",BG237))))</f>
        <v/>
      </c>
      <c r="BH238" s="11" t="str">
        <f aca="false">IF($P238=0,BH237,IF(BH$3=$E238,IF($AA238=1,$F238&amp;$AB238,$G238),IF(OR(BH$3=$D238,BH$3=$AC238,BH$3=$AE238),"",IF(BH$3=$AD238,$F238&amp;"R",BH237))))</f>
        <v/>
      </c>
      <c r="BI238" s="11" t="str">
        <f aca="false">IF($P238=0,BI237,IF(BI$3=$E238,IF($AA238=1,$F238&amp;$AB238,$G238),IF(OR(BI$3=$D238,BI$3=$AC238,BI$3=$AE238),"",IF(BI$3=$AD238,$F238&amp;"R",BI237))))</f>
        <v/>
      </c>
      <c r="BJ238" s="11" t="str">
        <f aca="false">IF($P238=0,BJ237,IF(BJ$3=$E238,IF($AA238=1,$F238&amp;$AB238,$G238),IF(OR(BJ$3=$D238,BJ$3=$AC238,BJ$3=$AE238),"",IF(BJ$3=$AD238,$F238&amp;"R",BJ237))))</f>
        <v/>
      </c>
      <c r="BK238" s="11" t="str">
        <f aca="false">IF($P238=0,BK237,IF(BK$3=$E238,IF($AA238=1,$F238&amp;$AB238,$G238),IF(OR(BK$3=$D238,BK$3=$AC238,BK$3=$AE238),"",IF(BK$3=$AD238,$F238&amp;"R",BK237))))</f>
        <v/>
      </c>
      <c r="BL238" s="11" t="str">
        <f aca="false">IF($P238=0,BL237,IF(BL$3=$E238,IF($AA238=1,$F238&amp;$AB238,$G238),IF(OR(BL$3=$D238,BL$3=$AC238,BL$3=$AE238),"",IF(BL$3=$AD238,$F238&amp;"R",BL237))))</f>
        <v/>
      </c>
      <c r="BM238" s="11" t="str">
        <f aca="false">IF($P238=0,BM237,IF(BM$3=$E238,IF($AA238=1,$F238&amp;$AB238,$G238),IF(OR(BM$3=$D238,BM$3=$AC238,BM$3=$AE238),"",IF(BM$3=$AD238,$F238&amp;"R",BM237))))</f>
        <v/>
      </c>
      <c r="BN238" s="11" t="str">
        <f aca="false">IF($P238=0,BN237,IF(BN$3=$E238,IF($AA238=1,$F238&amp;$AB238,$G238),IF(OR(BN$3=$D238,BN$3=$AC238,BN$3=$AE238),"",IF(BN$3=$AD238,$F238&amp;"R",BN237))))</f>
        <v/>
      </c>
      <c r="BO238" s="11" t="str">
        <f aca="false">IF($P238=0,BO237,IF(BO$3=$E238,IF($AA238=1,$F238&amp;$AB238,$G238),IF(OR(BO$3=$D238,BO$3=$AC238,BO$3=$AE238),"",IF(BO$3=$AD238,$F238&amp;"R",BO237))))</f>
        <v/>
      </c>
      <c r="BP238" s="11" t="str">
        <f aca="false">IF($P238=0,BP237,IF(BP$3=$E238,IF($AA238=1,$F238&amp;$AB238,$G238),IF(OR(BP$3=$D238,BP$3=$AC238,BP$3=$AE238),"",IF(BP$3=$AD238,$F238&amp;"R",BP237))))</f>
        <v/>
      </c>
      <c r="BQ238" s="11" t="str">
        <f aca="false">IF($P238=0,BQ237,IF(BQ$3=$E238,IF($AA238=1,$F238&amp;$AB238,$G238),IF(OR(BQ$3=$D238,BQ$3=$AC238,BQ$3=$AE238),"",IF(BQ$3=$AD238,$F238&amp;"R",BQ237))))</f>
        <v/>
      </c>
      <c r="BR238" s="11" t="str">
        <f aca="false">IF($P238=0,BR237,IF(BR$3=$E238,IF($AA238=1,$F238&amp;$AB238,$G238),IF(OR(BR$3=$D238,BR$3=$AC238,BR$3=$AE238),"",IF(BR$3=$AD238,$F238&amp;"R",BR237))))</f>
        <v/>
      </c>
      <c r="BS238" s="11" t="str">
        <f aca="false">IF($P238=0,BS237,IF(BS$3=$E238,IF($AA238=1,$F238&amp;$AB238,$G238),IF(OR(BS$3=$D238,BS$3=$AC238,BS$3=$AE238),"",IF(BS$3=$AD238,$F238&amp;"R",BS237))))</f>
        <v/>
      </c>
      <c r="BT238" s="11" t="str">
        <f aca="false">IF($P238=0,BT237,IF(BT$3=$E238,IF($AA238=1,$F238&amp;$AB238,$G238),IF(OR(BT$3=$D238,BT$3=$AC238,BT$3=$AE238),"",IF(BT$3=$AD238,$F238&amp;"R",BT237))))</f>
        <v/>
      </c>
      <c r="BU238" s="11" t="str">
        <f aca="false">IF($P238=0,BU237,IF(BU$3=$E238,IF($AA238=1,$F238&amp;$AB238,$G238),IF(OR(BU$3=$D238,BU$3=$AC238,BU$3=$AE238),"",IF(BU$3=$AD238,$F238&amp;"R",BU237))))</f>
        <v/>
      </c>
      <c r="BV238" s="11" t="str">
        <f aca="false">IF($P238=0,BV237,IF(BV$3=$E238,IF($AA238=1,$F238&amp;$AB238,$G238),IF(OR(BV$3=$D238,BV$3=$AC238,BV$3=$AE238),"",IF(BV$3=$AD238,$F238&amp;"R",BV237))))</f>
        <v/>
      </c>
      <c r="BW238" s="11" t="str">
        <f aca="false">IF($P238=0,BW237,IF(BW$3=$E238,IF($AA238=1,$F238&amp;$AB238,$G238),IF(OR(BW$3=$D238,BW$3=$AC238,BW$3=$AE238),"",IF(BW$3=$AD238,$F238&amp;"R",BW237))))</f>
        <v/>
      </c>
      <c r="BX238" s="11" t="str">
        <f aca="false">IF($P238=0,BX237,IF(BX$3=$E238,IF($AA238=1,$F238&amp;$AB238,$G238),IF(OR(BX$3=$D238,BX$3=$AC238,BX$3=$AE238),"",IF(BX$3=$AD238,$F238&amp;"R",BX237))))</f>
        <v/>
      </c>
      <c r="BY238" s="11" t="str">
        <f aca="false">IF($P238=0,BY237,IF(BY$3=$E238,IF($AA238=1,$F238&amp;$AB238,$G238),IF(OR(BY$3=$D238,BY$3=$AC238,BY$3=$AE238),"",IF(BY$3=$AD238,$F238&amp;"R",BY237))))</f>
        <v/>
      </c>
      <c r="BZ238" s="11" t="str">
        <f aca="false">IF($P238=0,BZ237,IF(BZ$3=$E238,IF($AA238=1,$F238&amp;$AB238,$G238),IF(OR(BZ$3=$D238,BZ$3=$AC238,BZ$3=$AE238),"",IF(BZ$3=$AD238,$F238&amp;"R",BZ237))))</f>
        <v/>
      </c>
      <c r="CA238" s="11" t="str">
        <f aca="false">IF($P238=0,CA237,IF(CA$3=$E238,IF($AA238=1,$F238&amp;$AB238,$G238),IF(OR(CA$3=$D238,CA$3=$AC238,CA$3=$AE238),"",IF(CA$3=$AD238,$F238&amp;"R",CA237))))</f>
        <v/>
      </c>
      <c r="CB238" s="11" t="str">
        <f aca="false">IF($P238=0,CB237,IF(CB$3=$E238,IF($AA238=1,$F238&amp;$AB238,$G238),IF(OR(CB$3=$D238,CB$3=$AC238,CB$3=$AE238),"",IF(CB$3=$AD238,$F238&amp;"R",CB237))))</f>
        <v/>
      </c>
      <c r="CC238" s="11" t="str">
        <f aca="false">IF($P238=0,CC237,IF(CC$3=$E238,IF($AA238=1,$F238&amp;$AB238,$G238),IF(OR(CC$3=$D238,CC$3=$AC238,CC$3=$AE238),"",IF(CC$3=$AD238,$F238&amp;"R",CC237))))</f>
        <v/>
      </c>
      <c r="CD238" s="11" t="str">
        <f aca="false">IF($P238=0,CD237,IF(CD$3=$E238,IF($AA238=1,$F238&amp;$AB238,$G238),IF(OR(CD$3=$D238,CD$3=$AC238,CD$3=$AE238),"",IF(CD$3=$AD238,$F238&amp;"R",CD237))))</f>
        <v>bP</v>
      </c>
      <c r="CE238" s="11" t="str">
        <f aca="false">IF($P238=0,CE237,IF(CE$3=$E238,IF($AA238=1,$F238&amp;$AB238,$G238),IF(OR(CE$3=$D238,CE$3=$AC238,CE$3=$AE238),"",IF(CE$3=$AD238,$F238&amp;"R",CE237))))</f>
        <v>bP</v>
      </c>
      <c r="CF238" s="11" t="str">
        <f aca="false">IF($P238=0,CF237,IF(CF$3=$E238,IF($AA238=1,$F238&amp;$AB238,$G238),IF(OR(CF$3=$D238,CF$3=$AC238,CF$3=$AE238),"",IF(CF$3=$AD238,$F238&amp;"R",CF237))))</f>
        <v>bP</v>
      </c>
      <c r="CG238" s="11" t="str">
        <f aca="false">IF($P238=0,CG237,IF(CG$3=$E238,IF($AA238=1,$F238&amp;$AB238,$G238),IF(OR(CG$3=$D238,CG$3=$AC238,CG$3=$AE238),"",IF(CG$3=$AD238,$F238&amp;"R",CG237))))</f>
        <v>bP</v>
      </c>
      <c r="CH238" s="11" t="str">
        <f aca="false">IF($P238=0,CH237,IF(CH$3=$E238,IF($AA238=1,$F238&amp;$AB238,$G238),IF(OR(CH$3=$D238,CH$3=$AC238,CH$3=$AE238),"",IF(CH$3=$AD238,$F238&amp;"R",CH237))))</f>
        <v>bP</v>
      </c>
      <c r="CI238" s="11" t="str">
        <f aca="false">IF($P238=0,CI237,IF(CI$3=$E238,IF($AA238=1,$F238&amp;$AB238,$G238),IF(OR(CI$3=$D238,CI$3=$AC238,CI$3=$AE238),"",IF(CI$3=$AD238,$F238&amp;"R",CI237))))</f>
        <v>bP</v>
      </c>
      <c r="CJ238" s="11" t="str">
        <f aca="false">IF($P238=0,CJ237,IF(CJ$3=$E238,IF($AA238=1,$F238&amp;$AB238,$G238),IF(OR(CJ$3=$D238,CJ$3=$AC238,CJ$3=$AE238),"",IF(CJ$3=$AD238,$F238&amp;"R",CJ237))))</f>
        <v>bP</v>
      </c>
      <c r="CK238" s="11" t="str">
        <f aca="false">IF($P238=0,CK237,IF(CK$3=$E238,IF($AA238=1,$F238&amp;$AB238,$G238),IF(OR(CK$3=$D238,CK$3=$AC238,CK$3=$AE238),"",IF(CK$3=$AD238,$F238&amp;"R",CK237))))</f>
        <v>bP</v>
      </c>
      <c r="CL238" s="11" t="str">
        <f aca="false">IF($P238=0,CL237,IF(CL$3=$E238,IF($AA238=1,$F238&amp;$AB238,$G238),IF(OR(CL$3=$D238,CL$3=$AC238,CL$3=$AE238),"",IF(CL$3=$AD238,$F238&amp;"R",CL237))))</f>
        <v>bR</v>
      </c>
      <c r="CM238" s="11" t="str">
        <f aca="false">IF($P238=0,CM237,IF(CM$3=$E238,IF($AA238=1,$F238&amp;$AB238,$G238),IF(OR(CM$3=$D238,CM$3=$AC238,CM$3=$AE238),"",IF(CM$3=$AD238,$F238&amp;"R",CM237))))</f>
        <v>bN</v>
      </c>
      <c r="CN238" s="11" t="str">
        <f aca="false">IF($P238=0,CN237,IF(CN$3=$E238,IF($AA238=1,$F238&amp;$AB238,$G238),IF(OR(CN$3=$D238,CN$3=$AC238,CN$3=$AE238),"",IF(CN$3=$AD238,$F238&amp;"R",CN237))))</f>
        <v>bB</v>
      </c>
      <c r="CO238" s="11" t="str">
        <f aca="false">IF($P238=0,CO237,IF(CO$3=$E238,IF($AA238=1,$F238&amp;$AB238,$G238),IF(OR(CO$3=$D238,CO$3=$AC238,CO$3=$AE238),"",IF(CO$3=$AD238,$F238&amp;"R",CO237))))</f>
        <v>bQ</v>
      </c>
      <c r="CP238" s="11" t="str">
        <f aca="false">IF($P238=0,CP237,IF(CP$3=$E238,IF($AA238=1,$F238&amp;$AB238,$G238),IF(OR(CP$3=$D238,CP$3=$AC238,CP$3=$AE238),"",IF(CP$3=$AD238,$F238&amp;"R",CP237))))</f>
        <v>bK</v>
      </c>
      <c r="CQ238" s="11" t="str">
        <f aca="false">IF($P238=0,CQ237,IF(CQ$3=$E238,IF($AA238=1,$F238&amp;$AB238,$G238),IF(OR(CQ$3=$D238,CQ$3=$AC238,CQ$3=$AE238),"",IF(CQ$3=$AD238,$F238&amp;"R",CQ237))))</f>
        <v>bB</v>
      </c>
      <c r="CR238" s="11" t="str">
        <f aca="false">IF($P238=0,CR237,IF(CR$3=$E238,IF($AA238=1,$F238&amp;$AB238,$G238),IF(OR(CR$3=$D238,CR$3=$AC238,CR$3=$AE238),"",IF(CR$3=$AD238,$F238&amp;"R",CR237))))</f>
        <v>bN</v>
      </c>
      <c r="CS238" s="11" t="str">
        <f aca="false">IF($P238=0,CS237,IF(CS$3=$E238,IF($AA238=1,$F238&amp;$AB238,$G238),IF(OR(CS$3=$D238,CS$3=$AC238,CS$3=$AE238),"",IF(CS$3=$AD238,$F238&amp;"R",CS237))))</f>
        <v>bR</v>
      </c>
      <c r="CT238" s="11"/>
      <c r="CU238" s="11"/>
      <c r="CV238" s="11"/>
    </row>
    <row r="239" customFormat="false" ht="15" hidden="false" customHeight="false" outlineLevel="0" collapsed="false">
      <c r="A239" s="11" t="n">
        <v>234</v>
      </c>
      <c r="B239" s="11" t="str">
        <f aca="false">IF(Chess!$L$243="","",Chess!$L$243&amp;"")</f>
        <v/>
      </c>
      <c r="C239" s="11" t="str">
        <f aca="false">LOWER(SUBSTITUTE(SUBSTITUTE(SUBSTITUTE(SUBSTITUTE(TRIM($B239),"-",""),"=","")," ",""),"x",""))</f>
        <v/>
      </c>
      <c r="D239" s="11" t="n">
        <f aca="false">IF(LEN($C239)&lt;4,0,IFERROR(IF(AND(CODE(MID($C239,1,1))&gt;=97,CODE(MID($C239,1,1))&lt;=104,VALUE(MID($C239,2,1))&gt;=1,VALUE(MID($C239,2,1))&lt;=8),(VALUE(MID($C239,2,1))-1)*8+CODE(MID($C239,1,1))-96,0),0))</f>
        <v>0</v>
      </c>
      <c r="E239" s="11" t="n">
        <f aca="false">IF(LEN($C239)&lt;4,0,IFERROR(IF(AND(CODE(MID($C239,3,1))&gt;=97,CODE(MID($C239,3,1))&lt;=104,VALUE(MID($C239,4,1))&gt;=1,VALUE(MID($C239,4,1))&lt;=8),(VALUE(MID($C239,4,1))-1)*8+CODE(MID($C239,3,1))-96,0),0))</f>
        <v>0</v>
      </c>
      <c r="F239" s="11" t="str">
        <f aca="false">IF(MOD(SUM($P$5:$P238),2)=0,"w","b")</f>
        <v>w</v>
      </c>
      <c r="G239" s="11" t="str">
        <f aca="false">IF($D239=0,"",INDEX($AH238:$CS238,1,$D239)&amp;"")</f>
        <v/>
      </c>
      <c r="H239" s="11" t="str">
        <f aca="false">IF($E239=0,"",INDEX($AH238:$CS238,1,$E239)&amp;"")</f>
        <v/>
      </c>
      <c r="I239" s="11" t="n">
        <f aca="false">IF(OR($D239=0,$E239=0),0,MOD($E239-1,8)-MOD($D239-1,8))</f>
        <v>0</v>
      </c>
      <c r="J239" s="11" t="n">
        <f aca="false">IF(OR($D239=0,$E239=0),0,INT(($E239-1)/8)-INT(($D239-1)/8))</f>
        <v>0</v>
      </c>
      <c r="K239" s="11" t="str">
        <f aca="false">IF($G239="","",RIGHT($G239,1))</f>
        <v/>
      </c>
      <c r="L239" s="11" t="n">
        <f aca="false">IF(OR($D239=0,$E239=0),0,SUMPRODUCT(($AH$3:$CS$3&gt;MIN($D239,$E239))*($AH$3:$CS$3&lt;MAX($D239,$E239))*(MOD($AH$3:$CS$3-MIN($D239,$E239),MAX(1,ABS(SIGN($J239)*8+SIGN($I239))))=0)*($AH238:$CS238&lt;&gt;"")))</f>
        <v>0</v>
      </c>
      <c r="M239" s="11" t="n">
        <f aca="false">IF($K239&lt;&gt;"K",0,IFERROR(--AND($J239=0,ABS($I239)=2,$D239=IF($F239="w",5,61),IF($F239="w",$S238,$V238)=0,IF($I239=2,AND(IF($F239="w",$U238,$X238)=0,INDEX($AH238:$CS238,1,$D239+1)&amp;""="",INDEX($AH238:$CS238,1,$D239+2)&amp;""=""),AND(IF($F239="w",$T238,$W238)=0,INDEX($AH238:$CS238,1,$D239-1)&amp;""="",INDEX($AH238:$CS238,1,$D239-2)&amp;""="",INDEX($AH238:$CS238,1,$D239-3)&amp;""=""))),0))</f>
        <v>0</v>
      </c>
      <c r="N239" s="11" t="n">
        <f aca="false">IF($K239&lt;&gt;"P",0,IFERROR(--OR(AND($I239=0,$J239=IF($F239="w",1,-1),$H239=""),AND($I239=0,$J239=2*IF($F239="w",1,-1),$H239="",INT(($D239-1)/8)=IF($F239="w",1,6),INDEX($AH238:$CS238,1,MAX(1,MIN(64,$D239+8*IF($F239="w",1,-1))))&amp;""=""),AND(ABS($I239)=1,$J239=IF($F239="w",1,-1),$H239&lt;&gt;""),AND(ABS($I239)=1,$J239=IF($F239="w",1,-1),$H239="",$R238&gt;0,$E239=$R238)),0))</f>
        <v>0</v>
      </c>
      <c r="O239" s="11" t="n">
        <f aca="false">IF(OR($D239=0,$E239=0,$G239=""),0,IF($K239="N",--OR(AND(ABS($I239)=1,ABS($J239)=2),AND(ABS($I239)=2,ABS($J239)=1)),IF($K239="B",--AND(ABS($I239)=ABS($J239),$I239&lt;&gt;0,$L239=0),IF($K239="R",--AND(OR($I239=0,$J239=0),OR($I239&lt;&gt;0,$J239&lt;&gt;0),$L239=0),IF($K239="Q",--AND(OR(AND(ABS($I239)=ABS($J239),$I239&lt;&gt;0),AND(OR($I239=0,$J239=0),OR($I239&lt;&gt;0,$J239&lt;&gt;0))),$L239=0),IF($K239="K",--OR(MAX(ABS($I239),ABS($J239))=1,$M239=1),$N239))))))</f>
        <v>0</v>
      </c>
      <c r="P239" s="11" t="n">
        <f aca="false">IF($Q239="OK",1,0)</f>
        <v>0</v>
      </c>
      <c r="Q239" s="11" t="str">
        <f aca="false">IF($B239="","",IF(OR(COUNTIF($AH238:$CS238,"wK")=0,COUNTIF($AH238:$CS238,"bK")=0),"Game is over",IF(OR($D239=0,$E239=0),"Use the format e2e4",IF($G239="","No piece on that square",IF(LEFT($G239,1)&lt;&gt;$F239,"Not your piece ("&amp;IF($F239="w","White","Black")&amp;" to move)",IF($D239=$E239,"Piece must move",IF(AND($H239&lt;&gt;"",LEFT($H239,1)=$F239),"Cannot capture your own piece",IF($O239=0,"Illegal move for that piece (or path blocked)","OK"))))))))</f>
        <v/>
      </c>
      <c r="R239" s="11" t="n">
        <f aca="false">IF($P239=1,IF(AND($K239="P",ABS($J239)=2),($D239+$E239)/2,0),$R238)</f>
        <v>0</v>
      </c>
      <c r="S239" s="12" t="b">
        <f aca="false">--OR($S238=1,AND($P239=1,OR($D239=5,$E239=5)))</f>
        <v>0</v>
      </c>
      <c r="T239" s="12" t="b">
        <f aca="false">--OR($T238=1,AND($P239=1,OR($D239=1,$E239=1)))</f>
        <v>0</v>
      </c>
      <c r="U239" s="12" t="b">
        <f aca="false">--OR($U238=1,AND($P239=1,OR($D239=8,$E239=8)))</f>
        <v>0</v>
      </c>
      <c r="V239" s="12" t="b">
        <f aca="false">--OR($V238=1,AND($P239=1,OR($D239=61,$E239=61)))</f>
        <v>0</v>
      </c>
      <c r="W239" s="12" t="b">
        <f aca="false">--OR($W238=1,AND($P239=1,OR($D239=57,$E239=57)))</f>
        <v>0</v>
      </c>
      <c r="X239" s="12" t="b">
        <f aca="false">--OR($X238=1,AND($P239=1,OR($D239=64,$E239=64)))</f>
        <v>0</v>
      </c>
      <c r="Y239" s="12" t="b">
        <f aca="false">--AND($P239=1,$K239="K",ABS($I239)=2)</f>
        <v>0</v>
      </c>
      <c r="Z239" s="12" t="b">
        <f aca="false">--AND($P239=1,$K239="P",ABS($I239)=1,$H239="")</f>
        <v>0</v>
      </c>
      <c r="AA239" s="12" t="b">
        <f aca="false">--AND($P239=1,$K239="P",INT(($E239-1)/8)=IF($F239="w",7,0))</f>
        <v>0</v>
      </c>
      <c r="AB239" s="11" t="str">
        <f aca="false">IF(LEN($C239)&gt;=5,IF(ISNUMBER(FIND(MID($C239,5,1),"qrbn")),UPPER(MID($C239,5,1)),"Q"),"Q")</f>
        <v>Q</v>
      </c>
      <c r="AC239" s="11" t="n">
        <f aca="false">IF($Y239=1,IF($I239=2,$D239+3,$D239-4),0)</f>
        <v>0</v>
      </c>
      <c r="AD239" s="11" t="n">
        <f aca="false">IF($Y239=1,IF($I239=2,$D239+1,$D239-1),0)</f>
        <v>0</v>
      </c>
      <c r="AE239" s="11" t="n">
        <f aca="false">IF($Z239=1,$E239-8*IF($F239="w",1,-1),0)</f>
        <v>0</v>
      </c>
      <c r="AF239" s="11" t="str">
        <f aca="false">IF($B239="","",IF($P239=1,LOWER(INDEX($CV$2:$CV$13,MATCH($G239,$CU$2:$CU$13,0)))&amp;" "&amp;MID("abcdefgh",MOD($D239-1,8)+1,1)&amp;(INT(($D239-1)/8)+1)&amp;"→"&amp;MID("abcdefgh",MOD($E239-1,8)+1,1)&amp;(INT(($E239-1)/8)+1)&amp;IF(OR($H239&lt;&gt;"",$Z239=1)," ×","")&amp;IF($Y239=1," castles","")&amp;IF($Z239=1," e.p.","")&amp;IF($AA239=1," =" &amp;LOWER(INDEX($CV$2:$CV$13,MATCH($F239&amp;$AB239,$CU$2:$CU$13,0))),""),"X "&amp;$Q239))</f>
        <v/>
      </c>
      <c r="AG239" s="11"/>
      <c r="AH239" s="11" t="str">
        <f aca="false">IF($P239=0,AH238,IF(AH$3=$E239,IF($AA239=1,$F239&amp;$AB239,$G239),IF(OR(AH$3=$D239,AH$3=$AC239,AH$3=$AE239),"",IF(AH$3=$AD239,$F239&amp;"R",AH238))))</f>
        <v>wR</v>
      </c>
      <c r="AI239" s="11" t="str">
        <f aca="false">IF($P239=0,AI238,IF(AI$3=$E239,IF($AA239=1,$F239&amp;$AB239,$G239),IF(OR(AI$3=$D239,AI$3=$AC239,AI$3=$AE239),"",IF(AI$3=$AD239,$F239&amp;"R",AI238))))</f>
        <v>wN</v>
      </c>
      <c r="AJ239" s="11" t="str">
        <f aca="false">IF($P239=0,AJ238,IF(AJ$3=$E239,IF($AA239=1,$F239&amp;$AB239,$G239),IF(OR(AJ$3=$D239,AJ$3=$AC239,AJ$3=$AE239),"",IF(AJ$3=$AD239,$F239&amp;"R",AJ238))))</f>
        <v>wB</v>
      </c>
      <c r="AK239" s="11" t="str">
        <f aca="false">IF($P239=0,AK238,IF(AK$3=$E239,IF($AA239=1,$F239&amp;$AB239,$G239),IF(OR(AK$3=$D239,AK$3=$AC239,AK$3=$AE239),"",IF(AK$3=$AD239,$F239&amp;"R",AK238))))</f>
        <v>wQ</v>
      </c>
      <c r="AL239" s="11" t="str">
        <f aca="false">IF($P239=0,AL238,IF(AL$3=$E239,IF($AA239=1,$F239&amp;$AB239,$G239),IF(OR(AL$3=$D239,AL$3=$AC239,AL$3=$AE239),"",IF(AL$3=$AD239,$F239&amp;"R",AL238))))</f>
        <v>wK</v>
      </c>
      <c r="AM239" s="11" t="str">
        <f aca="false">IF($P239=0,AM238,IF(AM$3=$E239,IF($AA239=1,$F239&amp;$AB239,$G239),IF(OR(AM$3=$D239,AM$3=$AC239,AM$3=$AE239),"",IF(AM$3=$AD239,$F239&amp;"R",AM238))))</f>
        <v>wB</v>
      </c>
      <c r="AN239" s="11" t="str">
        <f aca="false">IF($P239=0,AN238,IF(AN$3=$E239,IF($AA239=1,$F239&amp;$AB239,$G239),IF(OR(AN$3=$D239,AN$3=$AC239,AN$3=$AE239),"",IF(AN$3=$AD239,$F239&amp;"R",AN238))))</f>
        <v>wN</v>
      </c>
      <c r="AO239" s="11" t="str">
        <f aca="false">IF($P239=0,AO238,IF(AO$3=$E239,IF($AA239=1,$F239&amp;$AB239,$G239),IF(OR(AO$3=$D239,AO$3=$AC239,AO$3=$AE239),"",IF(AO$3=$AD239,$F239&amp;"R",AO238))))</f>
        <v>wR</v>
      </c>
      <c r="AP239" s="11" t="str">
        <f aca="false">IF($P239=0,AP238,IF(AP$3=$E239,IF($AA239=1,$F239&amp;$AB239,$G239),IF(OR(AP$3=$D239,AP$3=$AC239,AP$3=$AE239),"",IF(AP$3=$AD239,$F239&amp;"R",AP238))))</f>
        <v>wP</v>
      </c>
      <c r="AQ239" s="11" t="str">
        <f aca="false">IF($P239=0,AQ238,IF(AQ$3=$E239,IF($AA239=1,$F239&amp;$AB239,$G239),IF(OR(AQ$3=$D239,AQ$3=$AC239,AQ$3=$AE239),"",IF(AQ$3=$AD239,$F239&amp;"R",AQ238))))</f>
        <v>wP</v>
      </c>
      <c r="AR239" s="11" t="str">
        <f aca="false">IF($P239=0,AR238,IF(AR$3=$E239,IF($AA239=1,$F239&amp;$AB239,$G239),IF(OR(AR$3=$D239,AR$3=$AC239,AR$3=$AE239),"",IF(AR$3=$AD239,$F239&amp;"R",AR238))))</f>
        <v>wP</v>
      </c>
      <c r="AS239" s="11" t="str">
        <f aca="false">IF($P239=0,AS238,IF(AS$3=$E239,IF($AA239=1,$F239&amp;$AB239,$G239),IF(OR(AS$3=$D239,AS$3=$AC239,AS$3=$AE239),"",IF(AS$3=$AD239,$F239&amp;"R",AS238))))</f>
        <v>wP</v>
      </c>
      <c r="AT239" s="11" t="str">
        <f aca="false">IF($P239=0,AT238,IF(AT$3=$E239,IF($AA239=1,$F239&amp;$AB239,$G239),IF(OR(AT$3=$D239,AT$3=$AC239,AT$3=$AE239),"",IF(AT$3=$AD239,$F239&amp;"R",AT238))))</f>
        <v>wP</v>
      </c>
      <c r="AU239" s="11" t="str">
        <f aca="false">IF($P239=0,AU238,IF(AU$3=$E239,IF($AA239=1,$F239&amp;$AB239,$G239),IF(OR(AU$3=$D239,AU$3=$AC239,AU$3=$AE239),"",IF(AU$3=$AD239,$F239&amp;"R",AU238))))</f>
        <v>wP</v>
      </c>
      <c r="AV239" s="11" t="str">
        <f aca="false">IF($P239=0,AV238,IF(AV$3=$E239,IF($AA239=1,$F239&amp;$AB239,$G239),IF(OR(AV$3=$D239,AV$3=$AC239,AV$3=$AE239),"",IF(AV$3=$AD239,$F239&amp;"R",AV238))))</f>
        <v>wP</v>
      </c>
      <c r="AW239" s="11" t="str">
        <f aca="false">IF($P239=0,AW238,IF(AW$3=$E239,IF($AA239=1,$F239&amp;$AB239,$G239),IF(OR(AW$3=$D239,AW$3=$AC239,AW$3=$AE239),"",IF(AW$3=$AD239,$F239&amp;"R",AW238))))</f>
        <v>wP</v>
      </c>
      <c r="AX239" s="11" t="str">
        <f aca="false">IF($P239=0,AX238,IF(AX$3=$E239,IF($AA239=1,$F239&amp;$AB239,$G239),IF(OR(AX$3=$D239,AX$3=$AC239,AX$3=$AE239),"",IF(AX$3=$AD239,$F239&amp;"R",AX238))))</f>
        <v/>
      </c>
      <c r="AY239" s="11" t="str">
        <f aca="false">IF($P239=0,AY238,IF(AY$3=$E239,IF($AA239=1,$F239&amp;$AB239,$G239),IF(OR(AY$3=$D239,AY$3=$AC239,AY$3=$AE239),"",IF(AY$3=$AD239,$F239&amp;"R",AY238))))</f>
        <v/>
      </c>
      <c r="AZ239" s="11" t="str">
        <f aca="false">IF($P239=0,AZ238,IF(AZ$3=$E239,IF($AA239=1,$F239&amp;$AB239,$G239),IF(OR(AZ$3=$D239,AZ$3=$AC239,AZ$3=$AE239),"",IF(AZ$3=$AD239,$F239&amp;"R",AZ238))))</f>
        <v/>
      </c>
      <c r="BA239" s="11" t="str">
        <f aca="false">IF($P239=0,BA238,IF(BA$3=$E239,IF($AA239=1,$F239&amp;$AB239,$G239),IF(OR(BA$3=$D239,BA$3=$AC239,BA$3=$AE239),"",IF(BA$3=$AD239,$F239&amp;"R",BA238))))</f>
        <v/>
      </c>
      <c r="BB239" s="11" t="str">
        <f aca="false">IF($P239=0,BB238,IF(BB$3=$E239,IF($AA239=1,$F239&amp;$AB239,$G239),IF(OR(BB$3=$D239,BB$3=$AC239,BB$3=$AE239),"",IF(BB$3=$AD239,$F239&amp;"R",BB238))))</f>
        <v/>
      </c>
      <c r="BC239" s="11" t="str">
        <f aca="false">IF($P239=0,BC238,IF(BC$3=$E239,IF($AA239=1,$F239&amp;$AB239,$G239),IF(OR(BC$3=$D239,BC$3=$AC239,BC$3=$AE239),"",IF(BC$3=$AD239,$F239&amp;"R",BC238))))</f>
        <v/>
      </c>
      <c r="BD239" s="11" t="str">
        <f aca="false">IF($P239=0,BD238,IF(BD$3=$E239,IF($AA239=1,$F239&amp;$AB239,$G239),IF(OR(BD$3=$D239,BD$3=$AC239,BD$3=$AE239),"",IF(BD$3=$AD239,$F239&amp;"R",BD238))))</f>
        <v/>
      </c>
      <c r="BE239" s="11" t="str">
        <f aca="false">IF($P239=0,BE238,IF(BE$3=$E239,IF($AA239=1,$F239&amp;$AB239,$G239),IF(OR(BE$3=$D239,BE$3=$AC239,BE$3=$AE239),"",IF(BE$3=$AD239,$F239&amp;"R",BE238))))</f>
        <v/>
      </c>
      <c r="BF239" s="11" t="str">
        <f aca="false">IF($P239=0,BF238,IF(BF$3=$E239,IF($AA239=1,$F239&amp;$AB239,$G239),IF(OR(BF$3=$D239,BF$3=$AC239,BF$3=$AE239),"",IF(BF$3=$AD239,$F239&amp;"R",BF238))))</f>
        <v/>
      </c>
      <c r="BG239" s="11" t="str">
        <f aca="false">IF($P239=0,BG238,IF(BG$3=$E239,IF($AA239=1,$F239&amp;$AB239,$G239),IF(OR(BG$3=$D239,BG$3=$AC239,BG$3=$AE239),"",IF(BG$3=$AD239,$F239&amp;"R",BG238))))</f>
        <v/>
      </c>
      <c r="BH239" s="11" t="str">
        <f aca="false">IF($P239=0,BH238,IF(BH$3=$E239,IF($AA239=1,$F239&amp;$AB239,$G239),IF(OR(BH$3=$D239,BH$3=$AC239,BH$3=$AE239),"",IF(BH$3=$AD239,$F239&amp;"R",BH238))))</f>
        <v/>
      </c>
      <c r="BI239" s="11" t="str">
        <f aca="false">IF($P239=0,BI238,IF(BI$3=$E239,IF($AA239=1,$F239&amp;$AB239,$G239),IF(OR(BI$3=$D239,BI$3=$AC239,BI$3=$AE239),"",IF(BI$3=$AD239,$F239&amp;"R",BI238))))</f>
        <v/>
      </c>
      <c r="BJ239" s="11" t="str">
        <f aca="false">IF($P239=0,BJ238,IF(BJ$3=$E239,IF($AA239=1,$F239&amp;$AB239,$G239),IF(OR(BJ$3=$D239,BJ$3=$AC239,BJ$3=$AE239),"",IF(BJ$3=$AD239,$F239&amp;"R",BJ238))))</f>
        <v/>
      </c>
      <c r="BK239" s="11" t="str">
        <f aca="false">IF($P239=0,BK238,IF(BK$3=$E239,IF($AA239=1,$F239&amp;$AB239,$G239),IF(OR(BK$3=$D239,BK$3=$AC239,BK$3=$AE239),"",IF(BK$3=$AD239,$F239&amp;"R",BK238))))</f>
        <v/>
      </c>
      <c r="BL239" s="11" t="str">
        <f aca="false">IF($P239=0,BL238,IF(BL$3=$E239,IF($AA239=1,$F239&amp;$AB239,$G239),IF(OR(BL$3=$D239,BL$3=$AC239,BL$3=$AE239),"",IF(BL$3=$AD239,$F239&amp;"R",BL238))))</f>
        <v/>
      </c>
      <c r="BM239" s="11" t="str">
        <f aca="false">IF($P239=0,BM238,IF(BM$3=$E239,IF($AA239=1,$F239&amp;$AB239,$G239),IF(OR(BM$3=$D239,BM$3=$AC239,BM$3=$AE239),"",IF(BM$3=$AD239,$F239&amp;"R",BM238))))</f>
        <v/>
      </c>
      <c r="BN239" s="11" t="str">
        <f aca="false">IF($P239=0,BN238,IF(BN$3=$E239,IF($AA239=1,$F239&amp;$AB239,$G239),IF(OR(BN$3=$D239,BN$3=$AC239,BN$3=$AE239),"",IF(BN$3=$AD239,$F239&amp;"R",BN238))))</f>
        <v/>
      </c>
      <c r="BO239" s="11" t="str">
        <f aca="false">IF($P239=0,BO238,IF(BO$3=$E239,IF($AA239=1,$F239&amp;$AB239,$G239),IF(OR(BO$3=$D239,BO$3=$AC239,BO$3=$AE239),"",IF(BO$3=$AD239,$F239&amp;"R",BO238))))</f>
        <v/>
      </c>
      <c r="BP239" s="11" t="str">
        <f aca="false">IF($P239=0,BP238,IF(BP$3=$E239,IF($AA239=1,$F239&amp;$AB239,$G239),IF(OR(BP$3=$D239,BP$3=$AC239,BP$3=$AE239),"",IF(BP$3=$AD239,$F239&amp;"R",BP238))))</f>
        <v/>
      </c>
      <c r="BQ239" s="11" t="str">
        <f aca="false">IF($P239=0,BQ238,IF(BQ$3=$E239,IF($AA239=1,$F239&amp;$AB239,$G239),IF(OR(BQ$3=$D239,BQ$3=$AC239,BQ$3=$AE239),"",IF(BQ$3=$AD239,$F239&amp;"R",BQ238))))</f>
        <v/>
      </c>
      <c r="BR239" s="11" t="str">
        <f aca="false">IF($P239=0,BR238,IF(BR$3=$E239,IF($AA239=1,$F239&amp;$AB239,$G239),IF(OR(BR$3=$D239,BR$3=$AC239,BR$3=$AE239),"",IF(BR$3=$AD239,$F239&amp;"R",BR238))))</f>
        <v/>
      </c>
      <c r="BS239" s="11" t="str">
        <f aca="false">IF($P239=0,BS238,IF(BS$3=$E239,IF($AA239=1,$F239&amp;$AB239,$G239),IF(OR(BS$3=$D239,BS$3=$AC239,BS$3=$AE239),"",IF(BS$3=$AD239,$F239&amp;"R",BS238))))</f>
        <v/>
      </c>
      <c r="BT239" s="11" t="str">
        <f aca="false">IF($P239=0,BT238,IF(BT$3=$E239,IF($AA239=1,$F239&amp;$AB239,$G239),IF(OR(BT$3=$D239,BT$3=$AC239,BT$3=$AE239),"",IF(BT$3=$AD239,$F239&amp;"R",BT238))))</f>
        <v/>
      </c>
      <c r="BU239" s="11" t="str">
        <f aca="false">IF($P239=0,BU238,IF(BU$3=$E239,IF($AA239=1,$F239&amp;$AB239,$G239),IF(OR(BU$3=$D239,BU$3=$AC239,BU$3=$AE239),"",IF(BU$3=$AD239,$F239&amp;"R",BU238))))</f>
        <v/>
      </c>
      <c r="BV239" s="11" t="str">
        <f aca="false">IF($P239=0,BV238,IF(BV$3=$E239,IF($AA239=1,$F239&amp;$AB239,$G239),IF(OR(BV$3=$D239,BV$3=$AC239,BV$3=$AE239),"",IF(BV$3=$AD239,$F239&amp;"R",BV238))))</f>
        <v/>
      </c>
      <c r="BW239" s="11" t="str">
        <f aca="false">IF($P239=0,BW238,IF(BW$3=$E239,IF($AA239=1,$F239&amp;$AB239,$G239),IF(OR(BW$3=$D239,BW$3=$AC239,BW$3=$AE239),"",IF(BW$3=$AD239,$F239&amp;"R",BW238))))</f>
        <v/>
      </c>
      <c r="BX239" s="11" t="str">
        <f aca="false">IF($P239=0,BX238,IF(BX$3=$E239,IF($AA239=1,$F239&amp;$AB239,$G239),IF(OR(BX$3=$D239,BX$3=$AC239,BX$3=$AE239),"",IF(BX$3=$AD239,$F239&amp;"R",BX238))))</f>
        <v/>
      </c>
      <c r="BY239" s="11" t="str">
        <f aca="false">IF($P239=0,BY238,IF(BY$3=$E239,IF($AA239=1,$F239&amp;$AB239,$G239),IF(OR(BY$3=$D239,BY$3=$AC239,BY$3=$AE239),"",IF(BY$3=$AD239,$F239&amp;"R",BY238))))</f>
        <v/>
      </c>
      <c r="BZ239" s="11" t="str">
        <f aca="false">IF($P239=0,BZ238,IF(BZ$3=$E239,IF($AA239=1,$F239&amp;$AB239,$G239),IF(OR(BZ$3=$D239,BZ$3=$AC239,BZ$3=$AE239),"",IF(BZ$3=$AD239,$F239&amp;"R",BZ238))))</f>
        <v/>
      </c>
      <c r="CA239" s="11" t="str">
        <f aca="false">IF($P239=0,CA238,IF(CA$3=$E239,IF($AA239=1,$F239&amp;$AB239,$G239),IF(OR(CA$3=$D239,CA$3=$AC239,CA$3=$AE239),"",IF(CA$3=$AD239,$F239&amp;"R",CA238))))</f>
        <v/>
      </c>
      <c r="CB239" s="11" t="str">
        <f aca="false">IF($P239=0,CB238,IF(CB$3=$E239,IF($AA239=1,$F239&amp;$AB239,$G239),IF(OR(CB$3=$D239,CB$3=$AC239,CB$3=$AE239),"",IF(CB$3=$AD239,$F239&amp;"R",CB238))))</f>
        <v/>
      </c>
      <c r="CC239" s="11" t="str">
        <f aca="false">IF($P239=0,CC238,IF(CC$3=$E239,IF($AA239=1,$F239&amp;$AB239,$G239),IF(OR(CC$3=$D239,CC$3=$AC239,CC$3=$AE239),"",IF(CC$3=$AD239,$F239&amp;"R",CC238))))</f>
        <v/>
      </c>
      <c r="CD239" s="11" t="str">
        <f aca="false">IF($P239=0,CD238,IF(CD$3=$E239,IF($AA239=1,$F239&amp;$AB239,$G239),IF(OR(CD$3=$D239,CD$3=$AC239,CD$3=$AE239),"",IF(CD$3=$AD239,$F239&amp;"R",CD238))))</f>
        <v>bP</v>
      </c>
      <c r="CE239" s="11" t="str">
        <f aca="false">IF($P239=0,CE238,IF(CE$3=$E239,IF($AA239=1,$F239&amp;$AB239,$G239),IF(OR(CE$3=$D239,CE$3=$AC239,CE$3=$AE239),"",IF(CE$3=$AD239,$F239&amp;"R",CE238))))</f>
        <v>bP</v>
      </c>
      <c r="CF239" s="11" t="str">
        <f aca="false">IF($P239=0,CF238,IF(CF$3=$E239,IF($AA239=1,$F239&amp;$AB239,$G239),IF(OR(CF$3=$D239,CF$3=$AC239,CF$3=$AE239),"",IF(CF$3=$AD239,$F239&amp;"R",CF238))))</f>
        <v>bP</v>
      </c>
      <c r="CG239" s="11" t="str">
        <f aca="false">IF($P239=0,CG238,IF(CG$3=$E239,IF($AA239=1,$F239&amp;$AB239,$G239),IF(OR(CG$3=$D239,CG$3=$AC239,CG$3=$AE239),"",IF(CG$3=$AD239,$F239&amp;"R",CG238))))</f>
        <v>bP</v>
      </c>
      <c r="CH239" s="11" t="str">
        <f aca="false">IF($P239=0,CH238,IF(CH$3=$E239,IF($AA239=1,$F239&amp;$AB239,$G239),IF(OR(CH$3=$D239,CH$3=$AC239,CH$3=$AE239),"",IF(CH$3=$AD239,$F239&amp;"R",CH238))))</f>
        <v>bP</v>
      </c>
      <c r="CI239" s="11" t="str">
        <f aca="false">IF($P239=0,CI238,IF(CI$3=$E239,IF($AA239=1,$F239&amp;$AB239,$G239),IF(OR(CI$3=$D239,CI$3=$AC239,CI$3=$AE239),"",IF(CI$3=$AD239,$F239&amp;"R",CI238))))</f>
        <v>bP</v>
      </c>
      <c r="CJ239" s="11" t="str">
        <f aca="false">IF($P239=0,CJ238,IF(CJ$3=$E239,IF($AA239=1,$F239&amp;$AB239,$G239),IF(OR(CJ$3=$D239,CJ$3=$AC239,CJ$3=$AE239),"",IF(CJ$3=$AD239,$F239&amp;"R",CJ238))))</f>
        <v>bP</v>
      </c>
      <c r="CK239" s="11" t="str">
        <f aca="false">IF($P239=0,CK238,IF(CK$3=$E239,IF($AA239=1,$F239&amp;$AB239,$G239),IF(OR(CK$3=$D239,CK$3=$AC239,CK$3=$AE239),"",IF(CK$3=$AD239,$F239&amp;"R",CK238))))</f>
        <v>bP</v>
      </c>
      <c r="CL239" s="11" t="str">
        <f aca="false">IF($P239=0,CL238,IF(CL$3=$E239,IF($AA239=1,$F239&amp;$AB239,$G239),IF(OR(CL$3=$D239,CL$3=$AC239,CL$3=$AE239),"",IF(CL$3=$AD239,$F239&amp;"R",CL238))))</f>
        <v>bR</v>
      </c>
      <c r="CM239" s="11" t="str">
        <f aca="false">IF($P239=0,CM238,IF(CM$3=$E239,IF($AA239=1,$F239&amp;$AB239,$G239),IF(OR(CM$3=$D239,CM$3=$AC239,CM$3=$AE239),"",IF(CM$3=$AD239,$F239&amp;"R",CM238))))</f>
        <v>bN</v>
      </c>
      <c r="CN239" s="11" t="str">
        <f aca="false">IF($P239=0,CN238,IF(CN$3=$E239,IF($AA239=1,$F239&amp;$AB239,$G239),IF(OR(CN$3=$D239,CN$3=$AC239,CN$3=$AE239),"",IF(CN$3=$AD239,$F239&amp;"R",CN238))))</f>
        <v>bB</v>
      </c>
      <c r="CO239" s="11" t="str">
        <f aca="false">IF($P239=0,CO238,IF(CO$3=$E239,IF($AA239=1,$F239&amp;$AB239,$G239),IF(OR(CO$3=$D239,CO$3=$AC239,CO$3=$AE239),"",IF(CO$3=$AD239,$F239&amp;"R",CO238))))</f>
        <v>bQ</v>
      </c>
      <c r="CP239" s="11" t="str">
        <f aca="false">IF($P239=0,CP238,IF(CP$3=$E239,IF($AA239=1,$F239&amp;$AB239,$G239),IF(OR(CP$3=$D239,CP$3=$AC239,CP$3=$AE239),"",IF(CP$3=$AD239,$F239&amp;"R",CP238))))</f>
        <v>bK</v>
      </c>
      <c r="CQ239" s="11" t="str">
        <f aca="false">IF($P239=0,CQ238,IF(CQ$3=$E239,IF($AA239=1,$F239&amp;$AB239,$G239),IF(OR(CQ$3=$D239,CQ$3=$AC239,CQ$3=$AE239),"",IF(CQ$3=$AD239,$F239&amp;"R",CQ238))))</f>
        <v>bB</v>
      </c>
      <c r="CR239" s="11" t="str">
        <f aca="false">IF($P239=0,CR238,IF(CR$3=$E239,IF($AA239=1,$F239&amp;$AB239,$G239),IF(OR(CR$3=$D239,CR$3=$AC239,CR$3=$AE239),"",IF(CR$3=$AD239,$F239&amp;"R",CR238))))</f>
        <v>bN</v>
      </c>
      <c r="CS239" s="11" t="str">
        <f aca="false">IF($P239=0,CS238,IF(CS$3=$E239,IF($AA239=1,$F239&amp;$AB239,$G239),IF(OR(CS$3=$D239,CS$3=$AC239,CS$3=$AE239),"",IF(CS$3=$AD239,$F239&amp;"R",CS238))))</f>
        <v>bR</v>
      </c>
      <c r="CT239" s="11"/>
      <c r="CU239" s="11"/>
      <c r="CV239" s="11"/>
    </row>
    <row r="240" customFormat="false" ht="15" hidden="false" customHeight="false" outlineLevel="0" collapsed="false">
      <c r="A240" s="11" t="n">
        <v>235</v>
      </c>
      <c r="B240" s="11" t="str">
        <f aca="false">IF(Chess!$L$244="","",Chess!$L$244&amp;"")</f>
        <v/>
      </c>
      <c r="C240" s="11" t="str">
        <f aca="false">LOWER(SUBSTITUTE(SUBSTITUTE(SUBSTITUTE(SUBSTITUTE(TRIM($B240),"-",""),"=","")," ",""),"x",""))</f>
        <v/>
      </c>
      <c r="D240" s="11" t="n">
        <f aca="false">IF(LEN($C240)&lt;4,0,IFERROR(IF(AND(CODE(MID($C240,1,1))&gt;=97,CODE(MID($C240,1,1))&lt;=104,VALUE(MID($C240,2,1))&gt;=1,VALUE(MID($C240,2,1))&lt;=8),(VALUE(MID($C240,2,1))-1)*8+CODE(MID($C240,1,1))-96,0),0))</f>
        <v>0</v>
      </c>
      <c r="E240" s="11" t="n">
        <f aca="false">IF(LEN($C240)&lt;4,0,IFERROR(IF(AND(CODE(MID($C240,3,1))&gt;=97,CODE(MID($C240,3,1))&lt;=104,VALUE(MID($C240,4,1))&gt;=1,VALUE(MID($C240,4,1))&lt;=8),(VALUE(MID($C240,4,1))-1)*8+CODE(MID($C240,3,1))-96,0),0))</f>
        <v>0</v>
      </c>
      <c r="F240" s="11" t="str">
        <f aca="false">IF(MOD(SUM($P$5:$P239),2)=0,"w","b")</f>
        <v>w</v>
      </c>
      <c r="G240" s="11" t="str">
        <f aca="false">IF($D240=0,"",INDEX($AH239:$CS239,1,$D240)&amp;"")</f>
        <v/>
      </c>
      <c r="H240" s="11" t="str">
        <f aca="false">IF($E240=0,"",INDEX($AH239:$CS239,1,$E240)&amp;"")</f>
        <v/>
      </c>
      <c r="I240" s="11" t="n">
        <f aca="false">IF(OR($D240=0,$E240=0),0,MOD($E240-1,8)-MOD($D240-1,8))</f>
        <v>0</v>
      </c>
      <c r="J240" s="11" t="n">
        <f aca="false">IF(OR($D240=0,$E240=0),0,INT(($E240-1)/8)-INT(($D240-1)/8))</f>
        <v>0</v>
      </c>
      <c r="K240" s="11" t="str">
        <f aca="false">IF($G240="","",RIGHT($G240,1))</f>
        <v/>
      </c>
      <c r="L240" s="11" t="n">
        <f aca="false">IF(OR($D240=0,$E240=0),0,SUMPRODUCT(($AH$3:$CS$3&gt;MIN($D240,$E240))*($AH$3:$CS$3&lt;MAX($D240,$E240))*(MOD($AH$3:$CS$3-MIN($D240,$E240),MAX(1,ABS(SIGN($J240)*8+SIGN($I240))))=0)*($AH239:$CS239&lt;&gt;"")))</f>
        <v>0</v>
      </c>
      <c r="M240" s="11" t="n">
        <f aca="false">IF($K240&lt;&gt;"K",0,IFERROR(--AND($J240=0,ABS($I240)=2,$D240=IF($F240="w",5,61),IF($F240="w",$S239,$V239)=0,IF($I240=2,AND(IF($F240="w",$U239,$X239)=0,INDEX($AH239:$CS239,1,$D240+1)&amp;""="",INDEX($AH239:$CS239,1,$D240+2)&amp;""=""),AND(IF($F240="w",$T239,$W239)=0,INDEX($AH239:$CS239,1,$D240-1)&amp;""="",INDEX($AH239:$CS239,1,$D240-2)&amp;""="",INDEX($AH239:$CS239,1,$D240-3)&amp;""=""))),0))</f>
        <v>0</v>
      </c>
      <c r="N240" s="11" t="n">
        <f aca="false">IF($K240&lt;&gt;"P",0,IFERROR(--OR(AND($I240=0,$J240=IF($F240="w",1,-1),$H240=""),AND($I240=0,$J240=2*IF($F240="w",1,-1),$H240="",INT(($D240-1)/8)=IF($F240="w",1,6),INDEX($AH239:$CS239,1,MAX(1,MIN(64,$D240+8*IF($F240="w",1,-1))))&amp;""=""),AND(ABS($I240)=1,$J240=IF($F240="w",1,-1),$H240&lt;&gt;""),AND(ABS($I240)=1,$J240=IF($F240="w",1,-1),$H240="",$R239&gt;0,$E240=$R239)),0))</f>
        <v>0</v>
      </c>
      <c r="O240" s="11" t="n">
        <f aca="false">IF(OR($D240=0,$E240=0,$G240=""),0,IF($K240="N",--OR(AND(ABS($I240)=1,ABS($J240)=2),AND(ABS($I240)=2,ABS($J240)=1)),IF($K240="B",--AND(ABS($I240)=ABS($J240),$I240&lt;&gt;0,$L240=0),IF($K240="R",--AND(OR($I240=0,$J240=0),OR($I240&lt;&gt;0,$J240&lt;&gt;0),$L240=0),IF($K240="Q",--AND(OR(AND(ABS($I240)=ABS($J240),$I240&lt;&gt;0),AND(OR($I240=0,$J240=0),OR($I240&lt;&gt;0,$J240&lt;&gt;0))),$L240=0),IF($K240="K",--OR(MAX(ABS($I240),ABS($J240))=1,$M240=1),$N240))))))</f>
        <v>0</v>
      </c>
      <c r="P240" s="11" t="n">
        <f aca="false">IF($Q240="OK",1,0)</f>
        <v>0</v>
      </c>
      <c r="Q240" s="11" t="str">
        <f aca="false">IF($B240="","",IF(OR(COUNTIF($AH239:$CS239,"wK")=0,COUNTIF($AH239:$CS239,"bK")=0),"Game is over",IF(OR($D240=0,$E240=0),"Use the format e2e4",IF($G240="","No piece on that square",IF(LEFT($G240,1)&lt;&gt;$F240,"Not your piece ("&amp;IF($F240="w","White","Black")&amp;" to move)",IF($D240=$E240,"Piece must move",IF(AND($H240&lt;&gt;"",LEFT($H240,1)=$F240),"Cannot capture your own piece",IF($O240=0,"Illegal move for that piece (or path blocked)","OK"))))))))</f>
        <v/>
      </c>
      <c r="R240" s="11" t="n">
        <f aca="false">IF($P240=1,IF(AND($K240="P",ABS($J240)=2),($D240+$E240)/2,0),$R239)</f>
        <v>0</v>
      </c>
      <c r="S240" s="12" t="b">
        <f aca="false">--OR($S239=1,AND($P240=1,OR($D240=5,$E240=5)))</f>
        <v>0</v>
      </c>
      <c r="T240" s="12" t="b">
        <f aca="false">--OR($T239=1,AND($P240=1,OR($D240=1,$E240=1)))</f>
        <v>0</v>
      </c>
      <c r="U240" s="12" t="b">
        <f aca="false">--OR($U239=1,AND($P240=1,OR($D240=8,$E240=8)))</f>
        <v>0</v>
      </c>
      <c r="V240" s="12" t="b">
        <f aca="false">--OR($V239=1,AND($P240=1,OR($D240=61,$E240=61)))</f>
        <v>0</v>
      </c>
      <c r="W240" s="12" t="b">
        <f aca="false">--OR($W239=1,AND($P240=1,OR($D240=57,$E240=57)))</f>
        <v>0</v>
      </c>
      <c r="X240" s="12" t="b">
        <f aca="false">--OR($X239=1,AND($P240=1,OR($D240=64,$E240=64)))</f>
        <v>0</v>
      </c>
      <c r="Y240" s="12" t="b">
        <f aca="false">--AND($P240=1,$K240="K",ABS($I240)=2)</f>
        <v>0</v>
      </c>
      <c r="Z240" s="12" t="b">
        <f aca="false">--AND($P240=1,$K240="P",ABS($I240)=1,$H240="")</f>
        <v>0</v>
      </c>
      <c r="AA240" s="12" t="b">
        <f aca="false">--AND($P240=1,$K240="P",INT(($E240-1)/8)=IF($F240="w",7,0))</f>
        <v>0</v>
      </c>
      <c r="AB240" s="11" t="str">
        <f aca="false">IF(LEN($C240)&gt;=5,IF(ISNUMBER(FIND(MID($C240,5,1),"qrbn")),UPPER(MID($C240,5,1)),"Q"),"Q")</f>
        <v>Q</v>
      </c>
      <c r="AC240" s="11" t="n">
        <f aca="false">IF($Y240=1,IF($I240=2,$D240+3,$D240-4),0)</f>
        <v>0</v>
      </c>
      <c r="AD240" s="11" t="n">
        <f aca="false">IF($Y240=1,IF($I240=2,$D240+1,$D240-1),0)</f>
        <v>0</v>
      </c>
      <c r="AE240" s="11" t="n">
        <f aca="false">IF($Z240=1,$E240-8*IF($F240="w",1,-1),0)</f>
        <v>0</v>
      </c>
      <c r="AF240" s="11" t="str">
        <f aca="false">IF($B240="","",IF($P240=1,LOWER(INDEX($CV$2:$CV$13,MATCH($G240,$CU$2:$CU$13,0)))&amp;" "&amp;MID("abcdefgh",MOD($D240-1,8)+1,1)&amp;(INT(($D240-1)/8)+1)&amp;"→"&amp;MID("abcdefgh",MOD($E240-1,8)+1,1)&amp;(INT(($E240-1)/8)+1)&amp;IF(OR($H240&lt;&gt;"",$Z240=1)," ×","")&amp;IF($Y240=1," castles","")&amp;IF($Z240=1," e.p.","")&amp;IF($AA240=1," =" &amp;LOWER(INDEX($CV$2:$CV$13,MATCH($F240&amp;$AB240,$CU$2:$CU$13,0))),""),"X "&amp;$Q240))</f>
        <v/>
      </c>
      <c r="AG240" s="11"/>
      <c r="AH240" s="11" t="str">
        <f aca="false">IF($P240=0,AH239,IF(AH$3=$E240,IF($AA240=1,$F240&amp;$AB240,$G240),IF(OR(AH$3=$D240,AH$3=$AC240,AH$3=$AE240),"",IF(AH$3=$AD240,$F240&amp;"R",AH239))))</f>
        <v>wR</v>
      </c>
      <c r="AI240" s="11" t="str">
        <f aca="false">IF($P240=0,AI239,IF(AI$3=$E240,IF($AA240=1,$F240&amp;$AB240,$G240),IF(OR(AI$3=$D240,AI$3=$AC240,AI$3=$AE240),"",IF(AI$3=$AD240,$F240&amp;"R",AI239))))</f>
        <v>wN</v>
      </c>
      <c r="AJ240" s="11" t="str">
        <f aca="false">IF($P240=0,AJ239,IF(AJ$3=$E240,IF($AA240=1,$F240&amp;$AB240,$G240),IF(OR(AJ$3=$D240,AJ$3=$AC240,AJ$3=$AE240),"",IF(AJ$3=$AD240,$F240&amp;"R",AJ239))))</f>
        <v>wB</v>
      </c>
      <c r="AK240" s="11" t="str">
        <f aca="false">IF($P240=0,AK239,IF(AK$3=$E240,IF($AA240=1,$F240&amp;$AB240,$G240),IF(OR(AK$3=$D240,AK$3=$AC240,AK$3=$AE240),"",IF(AK$3=$AD240,$F240&amp;"R",AK239))))</f>
        <v>wQ</v>
      </c>
      <c r="AL240" s="11" t="str">
        <f aca="false">IF($P240=0,AL239,IF(AL$3=$E240,IF($AA240=1,$F240&amp;$AB240,$G240),IF(OR(AL$3=$D240,AL$3=$AC240,AL$3=$AE240),"",IF(AL$3=$AD240,$F240&amp;"R",AL239))))</f>
        <v>wK</v>
      </c>
      <c r="AM240" s="11" t="str">
        <f aca="false">IF($P240=0,AM239,IF(AM$3=$E240,IF($AA240=1,$F240&amp;$AB240,$G240),IF(OR(AM$3=$D240,AM$3=$AC240,AM$3=$AE240),"",IF(AM$3=$AD240,$F240&amp;"R",AM239))))</f>
        <v>wB</v>
      </c>
      <c r="AN240" s="11" t="str">
        <f aca="false">IF($P240=0,AN239,IF(AN$3=$E240,IF($AA240=1,$F240&amp;$AB240,$G240),IF(OR(AN$3=$D240,AN$3=$AC240,AN$3=$AE240),"",IF(AN$3=$AD240,$F240&amp;"R",AN239))))</f>
        <v>wN</v>
      </c>
      <c r="AO240" s="11" t="str">
        <f aca="false">IF($P240=0,AO239,IF(AO$3=$E240,IF($AA240=1,$F240&amp;$AB240,$G240),IF(OR(AO$3=$D240,AO$3=$AC240,AO$3=$AE240),"",IF(AO$3=$AD240,$F240&amp;"R",AO239))))</f>
        <v>wR</v>
      </c>
      <c r="AP240" s="11" t="str">
        <f aca="false">IF($P240=0,AP239,IF(AP$3=$E240,IF($AA240=1,$F240&amp;$AB240,$G240),IF(OR(AP$3=$D240,AP$3=$AC240,AP$3=$AE240),"",IF(AP$3=$AD240,$F240&amp;"R",AP239))))</f>
        <v>wP</v>
      </c>
      <c r="AQ240" s="11" t="str">
        <f aca="false">IF($P240=0,AQ239,IF(AQ$3=$E240,IF($AA240=1,$F240&amp;$AB240,$G240),IF(OR(AQ$3=$D240,AQ$3=$AC240,AQ$3=$AE240),"",IF(AQ$3=$AD240,$F240&amp;"R",AQ239))))</f>
        <v>wP</v>
      </c>
      <c r="AR240" s="11" t="str">
        <f aca="false">IF($P240=0,AR239,IF(AR$3=$E240,IF($AA240=1,$F240&amp;$AB240,$G240),IF(OR(AR$3=$D240,AR$3=$AC240,AR$3=$AE240),"",IF(AR$3=$AD240,$F240&amp;"R",AR239))))</f>
        <v>wP</v>
      </c>
      <c r="AS240" s="11" t="str">
        <f aca="false">IF($P240=0,AS239,IF(AS$3=$E240,IF($AA240=1,$F240&amp;$AB240,$G240),IF(OR(AS$3=$D240,AS$3=$AC240,AS$3=$AE240),"",IF(AS$3=$AD240,$F240&amp;"R",AS239))))</f>
        <v>wP</v>
      </c>
      <c r="AT240" s="11" t="str">
        <f aca="false">IF($P240=0,AT239,IF(AT$3=$E240,IF($AA240=1,$F240&amp;$AB240,$G240),IF(OR(AT$3=$D240,AT$3=$AC240,AT$3=$AE240),"",IF(AT$3=$AD240,$F240&amp;"R",AT239))))</f>
        <v>wP</v>
      </c>
      <c r="AU240" s="11" t="str">
        <f aca="false">IF($P240=0,AU239,IF(AU$3=$E240,IF($AA240=1,$F240&amp;$AB240,$G240),IF(OR(AU$3=$D240,AU$3=$AC240,AU$3=$AE240),"",IF(AU$3=$AD240,$F240&amp;"R",AU239))))</f>
        <v>wP</v>
      </c>
      <c r="AV240" s="11" t="str">
        <f aca="false">IF($P240=0,AV239,IF(AV$3=$E240,IF($AA240=1,$F240&amp;$AB240,$G240),IF(OR(AV$3=$D240,AV$3=$AC240,AV$3=$AE240),"",IF(AV$3=$AD240,$F240&amp;"R",AV239))))</f>
        <v>wP</v>
      </c>
      <c r="AW240" s="11" t="str">
        <f aca="false">IF($P240=0,AW239,IF(AW$3=$E240,IF($AA240=1,$F240&amp;$AB240,$G240),IF(OR(AW$3=$D240,AW$3=$AC240,AW$3=$AE240),"",IF(AW$3=$AD240,$F240&amp;"R",AW239))))</f>
        <v>wP</v>
      </c>
      <c r="AX240" s="11" t="str">
        <f aca="false">IF($P240=0,AX239,IF(AX$3=$E240,IF($AA240=1,$F240&amp;$AB240,$G240),IF(OR(AX$3=$D240,AX$3=$AC240,AX$3=$AE240),"",IF(AX$3=$AD240,$F240&amp;"R",AX239))))</f>
        <v/>
      </c>
      <c r="AY240" s="11" t="str">
        <f aca="false">IF($P240=0,AY239,IF(AY$3=$E240,IF($AA240=1,$F240&amp;$AB240,$G240),IF(OR(AY$3=$D240,AY$3=$AC240,AY$3=$AE240),"",IF(AY$3=$AD240,$F240&amp;"R",AY239))))</f>
        <v/>
      </c>
      <c r="AZ240" s="11" t="str">
        <f aca="false">IF($P240=0,AZ239,IF(AZ$3=$E240,IF($AA240=1,$F240&amp;$AB240,$G240),IF(OR(AZ$3=$D240,AZ$3=$AC240,AZ$3=$AE240),"",IF(AZ$3=$AD240,$F240&amp;"R",AZ239))))</f>
        <v/>
      </c>
      <c r="BA240" s="11" t="str">
        <f aca="false">IF($P240=0,BA239,IF(BA$3=$E240,IF($AA240=1,$F240&amp;$AB240,$G240),IF(OR(BA$3=$D240,BA$3=$AC240,BA$3=$AE240),"",IF(BA$3=$AD240,$F240&amp;"R",BA239))))</f>
        <v/>
      </c>
      <c r="BB240" s="11" t="str">
        <f aca="false">IF($P240=0,BB239,IF(BB$3=$E240,IF($AA240=1,$F240&amp;$AB240,$G240),IF(OR(BB$3=$D240,BB$3=$AC240,BB$3=$AE240),"",IF(BB$3=$AD240,$F240&amp;"R",BB239))))</f>
        <v/>
      </c>
      <c r="BC240" s="11" t="str">
        <f aca="false">IF($P240=0,BC239,IF(BC$3=$E240,IF($AA240=1,$F240&amp;$AB240,$G240),IF(OR(BC$3=$D240,BC$3=$AC240,BC$3=$AE240),"",IF(BC$3=$AD240,$F240&amp;"R",BC239))))</f>
        <v/>
      </c>
      <c r="BD240" s="11" t="str">
        <f aca="false">IF($P240=0,BD239,IF(BD$3=$E240,IF($AA240=1,$F240&amp;$AB240,$G240),IF(OR(BD$3=$D240,BD$3=$AC240,BD$3=$AE240),"",IF(BD$3=$AD240,$F240&amp;"R",BD239))))</f>
        <v/>
      </c>
      <c r="BE240" s="11" t="str">
        <f aca="false">IF($P240=0,BE239,IF(BE$3=$E240,IF($AA240=1,$F240&amp;$AB240,$G240),IF(OR(BE$3=$D240,BE$3=$AC240,BE$3=$AE240),"",IF(BE$3=$AD240,$F240&amp;"R",BE239))))</f>
        <v/>
      </c>
      <c r="BF240" s="11" t="str">
        <f aca="false">IF($P240=0,BF239,IF(BF$3=$E240,IF($AA240=1,$F240&amp;$AB240,$G240),IF(OR(BF$3=$D240,BF$3=$AC240,BF$3=$AE240),"",IF(BF$3=$AD240,$F240&amp;"R",BF239))))</f>
        <v/>
      </c>
      <c r="BG240" s="11" t="str">
        <f aca="false">IF($P240=0,BG239,IF(BG$3=$E240,IF($AA240=1,$F240&amp;$AB240,$G240),IF(OR(BG$3=$D240,BG$3=$AC240,BG$3=$AE240),"",IF(BG$3=$AD240,$F240&amp;"R",BG239))))</f>
        <v/>
      </c>
      <c r="BH240" s="11" t="str">
        <f aca="false">IF($P240=0,BH239,IF(BH$3=$E240,IF($AA240=1,$F240&amp;$AB240,$G240),IF(OR(BH$3=$D240,BH$3=$AC240,BH$3=$AE240),"",IF(BH$3=$AD240,$F240&amp;"R",BH239))))</f>
        <v/>
      </c>
      <c r="BI240" s="11" t="str">
        <f aca="false">IF($P240=0,BI239,IF(BI$3=$E240,IF($AA240=1,$F240&amp;$AB240,$G240),IF(OR(BI$3=$D240,BI$3=$AC240,BI$3=$AE240),"",IF(BI$3=$AD240,$F240&amp;"R",BI239))))</f>
        <v/>
      </c>
      <c r="BJ240" s="11" t="str">
        <f aca="false">IF($P240=0,BJ239,IF(BJ$3=$E240,IF($AA240=1,$F240&amp;$AB240,$G240),IF(OR(BJ$3=$D240,BJ$3=$AC240,BJ$3=$AE240),"",IF(BJ$3=$AD240,$F240&amp;"R",BJ239))))</f>
        <v/>
      </c>
      <c r="BK240" s="11" t="str">
        <f aca="false">IF($P240=0,BK239,IF(BK$3=$E240,IF($AA240=1,$F240&amp;$AB240,$G240),IF(OR(BK$3=$D240,BK$3=$AC240,BK$3=$AE240),"",IF(BK$3=$AD240,$F240&amp;"R",BK239))))</f>
        <v/>
      </c>
      <c r="BL240" s="11" t="str">
        <f aca="false">IF($P240=0,BL239,IF(BL$3=$E240,IF($AA240=1,$F240&amp;$AB240,$G240),IF(OR(BL$3=$D240,BL$3=$AC240,BL$3=$AE240),"",IF(BL$3=$AD240,$F240&amp;"R",BL239))))</f>
        <v/>
      </c>
      <c r="BM240" s="11" t="str">
        <f aca="false">IF($P240=0,BM239,IF(BM$3=$E240,IF($AA240=1,$F240&amp;$AB240,$G240),IF(OR(BM$3=$D240,BM$3=$AC240,BM$3=$AE240),"",IF(BM$3=$AD240,$F240&amp;"R",BM239))))</f>
        <v/>
      </c>
      <c r="BN240" s="11" t="str">
        <f aca="false">IF($P240=0,BN239,IF(BN$3=$E240,IF($AA240=1,$F240&amp;$AB240,$G240),IF(OR(BN$3=$D240,BN$3=$AC240,BN$3=$AE240),"",IF(BN$3=$AD240,$F240&amp;"R",BN239))))</f>
        <v/>
      </c>
      <c r="BO240" s="11" t="str">
        <f aca="false">IF($P240=0,BO239,IF(BO$3=$E240,IF($AA240=1,$F240&amp;$AB240,$G240),IF(OR(BO$3=$D240,BO$3=$AC240,BO$3=$AE240),"",IF(BO$3=$AD240,$F240&amp;"R",BO239))))</f>
        <v/>
      </c>
      <c r="BP240" s="11" t="str">
        <f aca="false">IF($P240=0,BP239,IF(BP$3=$E240,IF($AA240=1,$F240&amp;$AB240,$G240),IF(OR(BP$3=$D240,BP$3=$AC240,BP$3=$AE240),"",IF(BP$3=$AD240,$F240&amp;"R",BP239))))</f>
        <v/>
      </c>
      <c r="BQ240" s="11" t="str">
        <f aca="false">IF($P240=0,BQ239,IF(BQ$3=$E240,IF($AA240=1,$F240&amp;$AB240,$G240),IF(OR(BQ$3=$D240,BQ$3=$AC240,BQ$3=$AE240),"",IF(BQ$3=$AD240,$F240&amp;"R",BQ239))))</f>
        <v/>
      </c>
      <c r="BR240" s="11" t="str">
        <f aca="false">IF($P240=0,BR239,IF(BR$3=$E240,IF($AA240=1,$F240&amp;$AB240,$G240),IF(OR(BR$3=$D240,BR$3=$AC240,BR$3=$AE240),"",IF(BR$3=$AD240,$F240&amp;"R",BR239))))</f>
        <v/>
      </c>
      <c r="BS240" s="11" t="str">
        <f aca="false">IF($P240=0,BS239,IF(BS$3=$E240,IF($AA240=1,$F240&amp;$AB240,$G240),IF(OR(BS$3=$D240,BS$3=$AC240,BS$3=$AE240),"",IF(BS$3=$AD240,$F240&amp;"R",BS239))))</f>
        <v/>
      </c>
      <c r="BT240" s="11" t="str">
        <f aca="false">IF($P240=0,BT239,IF(BT$3=$E240,IF($AA240=1,$F240&amp;$AB240,$G240),IF(OR(BT$3=$D240,BT$3=$AC240,BT$3=$AE240),"",IF(BT$3=$AD240,$F240&amp;"R",BT239))))</f>
        <v/>
      </c>
      <c r="BU240" s="11" t="str">
        <f aca="false">IF($P240=0,BU239,IF(BU$3=$E240,IF($AA240=1,$F240&amp;$AB240,$G240),IF(OR(BU$3=$D240,BU$3=$AC240,BU$3=$AE240),"",IF(BU$3=$AD240,$F240&amp;"R",BU239))))</f>
        <v/>
      </c>
      <c r="BV240" s="11" t="str">
        <f aca="false">IF($P240=0,BV239,IF(BV$3=$E240,IF($AA240=1,$F240&amp;$AB240,$G240),IF(OR(BV$3=$D240,BV$3=$AC240,BV$3=$AE240),"",IF(BV$3=$AD240,$F240&amp;"R",BV239))))</f>
        <v/>
      </c>
      <c r="BW240" s="11" t="str">
        <f aca="false">IF($P240=0,BW239,IF(BW$3=$E240,IF($AA240=1,$F240&amp;$AB240,$G240),IF(OR(BW$3=$D240,BW$3=$AC240,BW$3=$AE240),"",IF(BW$3=$AD240,$F240&amp;"R",BW239))))</f>
        <v/>
      </c>
      <c r="BX240" s="11" t="str">
        <f aca="false">IF($P240=0,BX239,IF(BX$3=$E240,IF($AA240=1,$F240&amp;$AB240,$G240),IF(OR(BX$3=$D240,BX$3=$AC240,BX$3=$AE240),"",IF(BX$3=$AD240,$F240&amp;"R",BX239))))</f>
        <v/>
      </c>
      <c r="BY240" s="11" t="str">
        <f aca="false">IF($P240=0,BY239,IF(BY$3=$E240,IF($AA240=1,$F240&amp;$AB240,$G240),IF(OR(BY$3=$D240,BY$3=$AC240,BY$3=$AE240),"",IF(BY$3=$AD240,$F240&amp;"R",BY239))))</f>
        <v/>
      </c>
      <c r="BZ240" s="11" t="str">
        <f aca="false">IF($P240=0,BZ239,IF(BZ$3=$E240,IF($AA240=1,$F240&amp;$AB240,$G240),IF(OR(BZ$3=$D240,BZ$3=$AC240,BZ$3=$AE240),"",IF(BZ$3=$AD240,$F240&amp;"R",BZ239))))</f>
        <v/>
      </c>
      <c r="CA240" s="11" t="str">
        <f aca="false">IF($P240=0,CA239,IF(CA$3=$E240,IF($AA240=1,$F240&amp;$AB240,$G240),IF(OR(CA$3=$D240,CA$3=$AC240,CA$3=$AE240),"",IF(CA$3=$AD240,$F240&amp;"R",CA239))))</f>
        <v/>
      </c>
      <c r="CB240" s="11" t="str">
        <f aca="false">IF($P240=0,CB239,IF(CB$3=$E240,IF($AA240=1,$F240&amp;$AB240,$G240),IF(OR(CB$3=$D240,CB$3=$AC240,CB$3=$AE240),"",IF(CB$3=$AD240,$F240&amp;"R",CB239))))</f>
        <v/>
      </c>
      <c r="CC240" s="11" t="str">
        <f aca="false">IF($P240=0,CC239,IF(CC$3=$E240,IF($AA240=1,$F240&amp;$AB240,$G240),IF(OR(CC$3=$D240,CC$3=$AC240,CC$3=$AE240),"",IF(CC$3=$AD240,$F240&amp;"R",CC239))))</f>
        <v/>
      </c>
      <c r="CD240" s="11" t="str">
        <f aca="false">IF($P240=0,CD239,IF(CD$3=$E240,IF($AA240=1,$F240&amp;$AB240,$G240),IF(OR(CD$3=$D240,CD$3=$AC240,CD$3=$AE240),"",IF(CD$3=$AD240,$F240&amp;"R",CD239))))</f>
        <v>bP</v>
      </c>
      <c r="CE240" s="11" t="str">
        <f aca="false">IF($P240=0,CE239,IF(CE$3=$E240,IF($AA240=1,$F240&amp;$AB240,$G240),IF(OR(CE$3=$D240,CE$3=$AC240,CE$3=$AE240),"",IF(CE$3=$AD240,$F240&amp;"R",CE239))))</f>
        <v>bP</v>
      </c>
      <c r="CF240" s="11" t="str">
        <f aca="false">IF($P240=0,CF239,IF(CF$3=$E240,IF($AA240=1,$F240&amp;$AB240,$G240),IF(OR(CF$3=$D240,CF$3=$AC240,CF$3=$AE240),"",IF(CF$3=$AD240,$F240&amp;"R",CF239))))</f>
        <v>bP</v>
      </c>
      <c r="CG240" s="11" t="str">
        <f aca="false">IF($P240=0,CG239,IF(CG$3=$E240,IF($AA240=1,$F240&amp;$AB240,$G240),IF(OR(CG$3=$D240,CG$3=$AC240,CG$3=$AE240),"",IF(CG$3=$AD240,$F240&amp;"R",CG239))))</f>
        <v>bP</v>
      </c>
      <c r="CH240" s="11" t="str">
        <f aca="false">IF($P240=0,CH239,IF(CH$3=$E240,IF($AA240=1,$F240&amp;$AB240,$G240),IF(OR(CH$3=$D240,CH$3=$AC240,CH$3=$AE240),"",IF(CH$3=$AD240,$F240&amp;"R",CH239))))</f>
        <v>bP</v>
      </c>
      <c r="CI240" s="11" t="str">
        <f aca="false">IF($P240=0,CI239,IF(CI$3=$E240,IF($AA240=1,$F240&amp;$AB240,$G240),IF(OR(CI$3=$D240,CI$3=$AC240,CI$3=$AE240),"",IF(CI$3=$AD240,$F240&amp;"R",CI239))))</f>
        <v>bP</v>
      </c>
      <c r="CJ240" s="11" t="str">
        <f aca="false">IF($P240=0,CJ239,IF(CJ$3=$E240,IF($AA240=1,$F240&amp;$AB240,$G240),IF(OR(CJ$3=$D240,CJ$3=$AC240,CJ$3=$AE240),"",IF(CJ$3=$AD240,$F240&amp;"R",CJ239))))</f>
        <v>bP</v>
      </c>
      <c r="CK240" s="11" t="str">
        <f aca="false">IF($P240=0,CK239,IF(CK$3=$E240,IF($AA240=1,$F240&amp;$AB240,$G240),IF(OR(CK$3=$D240,CK$3=$AC240,CK$3=$AE240),"",IF(CK$3=$AD240,$F240&amp;"R",CK239))))</f>
        <v>bP</v>
      </c>
      <c r="CL240" s="11" t="str">
        <f aca="false">IF($P240=0,CL239,IF(CL$3=$E240,IF($AA240=1,$F240&amp;$AB240,$G240),IF(OR(CL$3=$D240,CL$3=$AC240,CL$3=$AE240),"",IF(CL$3=$AD240,$F240&amp;"R",CL239))))</f>
        <v>bR</v>
      </c>
      <c r="CM240" s="11" t="str">
        <f aca="false">IF($P240=0,CM239,IF(CM$3=$E240,IF($AA240=1,$F240&amp;$AB240,$G240),IF(OR(CM$3=$D240,CM$3=$AC240,CM$3=$AE240),"",IF(CM$3=$AD240,$F240&amp;"R",CM239))))</f>
        <v>bN</v>
      </c>
      <c r="CN240" s="11" t="str">
        <f aca="false">IF($P240=0,CN239,IF(CN$3=$E240,IF($AA240=1,$F240&amp;$AB240,$G240),IF(OR(CN$3=$D240,CN$3=$AC240,CN$3=$AE240),"",IF(CN$3=$AD240,$F240&amp;"R",CN239))))</f>
        <v>bB</v>
      </c>
      <c r="CO240" s="11" t="str">
        <f aca="false">IF($P240=0,CO239,IF(CO$3=$E240,IF($AA240=1,$F240&amp;$AB240,$G240),IF(OR(CO$3=$D240,CO$3=$AC240,CO$3=$AE240),"",IF(CO$3=$AD240,$F240&amp;"R",CO239))))</f>
        <v>bQ</v>
      </c>
      <c r="CP240" s="11" t="str">
        <f aca="false">IF($P240=0,CP239,IF(CP$3=$E240,IF($AA240=1,$F240&amp;$AB240,$G240),IF(OR(CP$3=$D240,CP$3=$AC240,CP$3=$AE240),"",IF(CP$3=$AD240,$F240&amp;"R",CP239))))</f>
        <v>bK</v>
      </c>
      <c r="CQ240" s="11" t="str">
        <f aca="false">IF($P240=0,CQ239,IF(CQ$3=$E240,IF($AA240=1,$F240&amp;$AB240,$G240),IF(OR(CQ$3=$D240,CQ$3=$AC240,CQ$3=$AE240),"",IF(CQ$3=$AD240,$F240&amp;"R",CQ239))))</f>
        <v>bB</v>
      </c>
      <c r="CR240" s="11" t="str">
        <f aca="false">IF($P240=0,CR239,IF(CR$3=$E240,IF($AA240=1,$F240&amp;$AB240,$G240),IF(OR(CR$3=$D240,CR$3=$AC240,CR$3=$AE240),"",IF(CR$3=$AD240,$F240&amp;"R",CR239))))</f>
        <v>bN</v>
      </c>
      <c r="CS240" s="11" t="str">
        <f aca="false">IF($P240=0,CS239,IF(CS$3=$E240,IF($AA240=1,$F240&amp;$AB240,$G240),IF(OR(CS$3=$D240,CS$3=$AC240,CS$3=$AE240),"",IF(CS$3=$AD240,$F240&amp;"R",CS239))))</f>
        <v>bR</v>
      </c>
      <c r="CT240" s="11"/>
      <c r="CU240" s="11"/>
      <c r="CV240" s="11"/>
    </row>
    <row r="241" customFormat="false" ht="15" hidden="false" customHeight="false" outlineLevel="0" collapsed="false">
      <c r="A241" s="11" t="n">
        <v>236</v>
      </c>
      <c r="B241" s="11" t="str">
        <f aca="false">IF(Chess!$L$245="","",Chess!$L$245&amp;"")</f>
        <v/>
      </c>
      <c r="C241" s="11" t="str">
        <f aca="false">LOWER(SUBSTITUTE(SUBSTITUTE(SUBSTITUTE(SUBSTITUTE(TRIM($B241),"-",""),"=","")," ",""),"x",""))</f>
        <v/>
      </c>
      <c r="D241" s="11" t="n">
        <f aca="false">IF(LEN($C241)&lt;4,0,IFERROR(IF(AND(CODE(MID($C241,1,1))&gt;=97,CODE(MID($C241,1,1))&lt;=104,VALUE(MID($C241,2,1))&gt;=1,VALUE(MID($C241,2,1))&lt;=8),(VALUE(MID($C241,2,1))-1)*8+CODE(MID($C241,1,1))-96,0),0))</f>
        <v>0</v>
      </c>
      <c r="E241" s="11" t="n">
        <f aca="false">IF(LEN($C241)&lt;4,0,IFERROR(IF(AND(CODE(MID($C241,3,1))&gt;=97,CODE(MID($C241,3,1))&lt;=104,VALUE(MID($C241,4,1))&gt;=1,VALUE(MID($C241,4,1))&lt;=8),(VALUE(MID($C241,4,1))-1)*8+CODE(MID($C241,3,1))-96,0),0))</f>
        <v>0</v>
      </c>
      <c r="F241" s="11" t="str">
        <f aca="false">IF(MOD(SUM($P$5:$P240),2)=0,"w","b")</f>
        <v>w</v>
      </c>
      <c r="G241" s="11" t="str">
        <f aca="false">IF($D241=0,"",INDEX($AH240:$CS240,1,$D241)&amp;"")</f>
        <v/>
      </c>
      <c r="H241" s="11" t="str">
        <f aca="false">IF($E241=0,"",INDEX($AH240:$CS240,1,$E241)&amp;"")</f>
        <v/>
      </c>
      <c r="I241" s="11" t="n">
        <f aca="false">IF(OR($D241=0,$E241=0),0,MOD($E241-1,8)-MOD($D241-1,8))</f>
        <v>0</v>
      </c>
      <c r="J241" s="11" t="n">
        <f aca="false">IF(OR($D241=0,$E241=0),0,INT(($E241-1)/8)-INT(($D241-1)/8))</f>
        <v>0</v>
      </c>
      <c r="K241" s="11" t="str">
        <f aca="false">IF($G241="","",RIGHT($G241,1))</f>
        <v/>
      </c>
      <c r="L241" s="11" t="n">
        <f aca="false">IF(OR($D241=0,$E241=0),0,SUMPRODUCT(($AH$3:$CS$3&gt;MIN($D241,$E241))*($AH$3:$CS$3&lt;MAX($D241,$E241))*(MOD($AH$3:$CS$3-MIN($D241,$E241),MAX(1,ABS(SIGN($J241)*8+SIGN($I241))))=0)*($AH240:$CS240&lt;&gt;"")))</f>
        <v>0</v>
      </c>
      <c r="M241" s="11" t="n">
        <f aca="false">IF($K241&lt;&gt;"K",0,IFERROR(--AND($J241=0,ABS($I241)=2,$D241=IF($F241="w",5,61),IF($F241="w",$S240,$V240)=0,IF($I241=2,AND(IF($F241="w",$U240,$X240)=0,INDEX($AH240:$CS240,1,$D241+1)&amp;""="",INDEX($AH240:$CS240,1,$D241+2)&amp;""=""),AND(IF($F241="w",$T240,$W240)=0,INDEX($AH240:$CS240,1,$D241-1)&amp;""="",INDEX($AH240:$CS240,1,$D241-2)&amp;""="",INDEX($AH240:$CS240,1,$D241-3)&amp;""=""))),0))</f>
        <v>0</v>
      </c>
      <c r="N241" s="11" t="n">
        <f aca="false">IF($K241&lt;&gt;"P",0,IFERROR(--OR(AND($I241=0,$J241=IF($F241="w",1,-1),$H241=""),AND($I241=0,$J241=2*IF($F241="w",1,-1),$H241="",INT(($D241-1)/8)=IF($F241="w",1,6),INDEX($AH240:$CS240,1,MAX(1,MIN(64,$D241+8*IF($F241="w",1,-1))))&amp;""=""),AND(ABS($I241)=1,$J241=IF($F241="w",1,-1),$H241&lt;&gt;""),AND(ABS($I241)=1,$J241=IF($F241="w",1,-1),$H241="",$R240&gt;0,$E241=$R240)),0))</f>
        <v>0</v>
      </c>
      <c r="O241" s="11" t="n">
        <f aca="false">IF(OR($D241=0,$E241=0,$G241=""),0,IF($K241="N",--OR(AND(ABS($I241)=1,ABS($J241)=2),AND(ABS($I241)=2,ABS($J241)=1)),IF($K241="B",--AND(ABS($I241)=ABS($J241),$I241&lt;&gt;0,$L241=0),IF($K241="R",--AND(OR($I241=0,$J241=0),OR($I241&lt;&gt;0,$J241&lt;&gt;0),$L241=0),IF($K241="Q",--AND(OR(AND(ABS($I241)=ABS($J241),$I241&lt;&gt;0),AND(OR($I241=0,$J241=0),OR($I241&lt;&gt;0,$J241&lt;&gt;0))),$L241=0),IF($K241="K",--OR(MAX(ABS($I241),ABS($J241))=1,$M241=1),$N241))))))</f>
        <v>0</v>
      </c>
      <c r="P241" s="11" t="n">
        <f aca="false">IF($Q241="OK",1,0)</f>
        <v>0</v>
      </c>
      <c r="Q241" s="11" t="str">
        <f aca="false">IF($B241="","",IF(OR(COUNTIF($AH240:$CS240,"wK")=0,COUNTIF($AH240:$CS240,"bK")=0),"Game is over",IF(OR($D241=0,$E241=0),"Use the format e2e4",IF($G241="","No piece on that square",IF(LEFT($G241,1)&lt;&gt;$F241,"Not your piece ("&amp;IF($F241="w","White","Black")&amp;" to move)",IF($D241=$E241,"Piece must move",IF(AND($H241&lt;&gt;"",LEFT($H241,1)=$F241),"Cannot capture your own piece",IF($O241=0,"Illegal move for that piece (or path blocked)","OK"))))))))</f>
        <v/>
      </c>
      <c r="R241" s="11" t="n">
        <f aca="false">IF($P241=1,IF(AND($K241="P",ABS($J241)=2),($D241+$E241)/2,0),$R240)</f>
        <v>0</v>
      </c>
      <c r="S241" s="12" t="b">
        <f aca="false">--OR($S240=1,AND($P241=1,OR($D241=5,$E241=5)))</f>
        <v>0</v>
      </c>
      <c r="T241" s="12" t="b">
        <f aca="false">--OR($T240=1,AND($P241=1,OR($D241=1,$E241=1)))</f>
        <v>0</v>
      </c>
      <c r="U241" s="12" t="b">
        <f aca="false">--OR($U240=1,AND($P241=1,OR($D241=8,$E241=8)))</f>
        <v>0</v>
      </c>
      <c r="V241" s="12" t="b">
        <f aca="false">--OR($V240=1,AND($P241=1,OR($D241=61,$E241=61)))</f>
        <v>0</v>
      </c>
      <c r="W241" s="12" t="b">
        <f aca="false">--OR($W240=1,AND($P241=1,OR($D241=57,$E241=57)))</f>
        <v>0</v>
      </c>
      <c r="X241" s="12" t="b">
        <f aca="false">--OR($X240=1,AND($P241=1,OR($D241=64,$E241=64)))</f>
        <v>0</v>
      </c>
      <c r="Y241" s="12" t="b">
        <f aca="false">--AND($P241=1,$K241="K",ABS($I241)=2)</f>
        <v>0</v>
      </c>
      <c r="Z241" s="12" t="b">
        <f aca="false">--AND($P241=1,$K241="P",ABS($I241)=1,$H241="")</f>
        <v>0</v>
      </c>
      <c r="AA241" s="12" t="b">
        <f aca="false">--AND($P241=1,$K241="P",INT(($E241-1)/8)=IF($F241="w",7,0))</f>
        <v>0</v>
      </c>
      <c r="AB241" s="11" t="str">
        <f aca="false">IF(LEN($C241)&gt;=5,IF(ISNUMBER(FIND(MID($C241,5,1),"qrbn")),UPPER(MID($C241,5,1)),"Q"),"Q")</f>
        <v>Q</v>
      </c>
      <c r="AC241" s="11" t="n">
        <f aca="false">IF($Y241=1,IF($I241=2,$D241+3,$D241-4),0)</f>
        <v>0</v>
      </c>
      <c r="AD241" s="11" t="n">
        <f aca="false">IF($Y241=1,IF($I241=2,$D241+1,$D241-1),0)</f>
        <v>0</v>
      </c>
      <c r="AE241" s="11" t="n">
        <f aca="false">IF($Z241=1,$E241-8*IF($F241="w",1,-1),0)</f>
        <v>0</v>
      </c>
      <c r="AF241" s="11" t="str">
        <f aca="false">IF($B241="","",IF($P241=1,LOWER(INDEX($CV$2:$CV$13,MATCH($G241,$CU$2:$CU$13,0)))&amp;" "&amp;MID("abcdefgh",MOD($D241-1,8)+1,1)&amp;(INT(($D241-1)/8)+1)&amp;"→"&amp;MID("abcdefgh",MOD($E241-1,8)+1,1)&amp;(INT(($E241-1)/8)+1)&amp;IF(OR($H241&lt;&gt;"",$Z241=1)," ×","")&amp;IF($Y241=1," castles","")&amp;IF($Z241=1," e.p.","")&amp;IF($AA241=1," =" &amp;LOWER(INDEX($CV$2:$CV$13,MATCH($F241&amp;$AB241,$CU$2:$CU$13,0))),""),"X "&amp;$Q241))</f>
        <v/>
      </c>
      <c r="AG241" s="11"/>
      <c r="AH241" s="11" t="str">
        <f aca="false">IF($P241=0,AH240,IF(AH$3=$E241,IF($AA241=1,$F241&amp;$AB241,$G241),IF(OR(AH$3=$D241,AH$3=$AC241,AH$3=$AE241),"",IF(AH$3=$AD241,$F241&amp;"R",AH240))))</f>
        <v>wR</v>
      </c>
      <c r="AI241" s="11" t="str">
        <f aca="false">IF($P241=0,AI240,IF(AI$3=$E241,IF($AA241=1,$F241&amp;$AB241,$G241),IF(OR(AI$3=$D241,AI$3=$AC241,AI$3=$AE241),"",IF(AI$3=$AD241,$F241&amp;"R",AI240))))</f>
        <v>wN</v>
      </c>
      <c r="AJ241" s="11" t="str">
        <f aca="false">IF($P241=0,AJ240,IF(AJ$3=$E241,IF($AA241=1,$F241&amp;$AB241,$G241),IF(OR(AJ$3=$D241,AJ$3=$AC241,AJ$3=$AE241),"",IF(AJ$3=$AD241,$F241&amp;"R",AJ240))))</f>
        <v>wB</v>
      </c>
      <c r="AK241" s="11" t="str">
        <f aca="false">IF($P241=0,AK240,IF(AK$3=$E241,IF($AA241=1,$F241&amp;$AB241,$G241),IF(OR(AK$3=$D241,AK$3=$AC241,AK$3=$AE241),"",IF(AK$3=$AD241,$F241&amp;"R",AK240))))</f>
        <v>wQ</v>
      </c>
      <c r="AL241" s="11" t="str">
        <f aca="false">IF($P241=0,AL240,IF(AL$3=$E241,IF($AA241=1,$F241&amp;$AB241,$G241),IF(OR(AL$3=$D241,AL$3=$AC241,AL$3=$AE241),"",IF(AL$3=$AD241,$F241&amp;"R",AL240))))</f>
        <v>wK</v>
      </c>
      <c r="AM241" s="11" t="str">
        <f aca="false">IF($P241=0,AM240,IF(AM$3=$E241,IF($AA241=1,$F241&amp;$AB241,$G241),IF(OR(AM$3=$D241,AM$3=$AC241,AM$3=$AE241),"",IF(AM$3=$AD241,$F241&amp;"R",AM240))))</f>
        <v>wB</v>
      </c>
      <c r="AN241" s="11" t="str">
        <f aca="false">IF($P241=0,AN240,IF(AN$3=$E241,IF($AA241=1,$F241&amp;$AB241,$G241),IF(OR(AN$3=$D241,AN$3=$AC241,AN$3=$AE241),"",IF(AN$3=$AD241,$F241&amp;"R",AN240))))</f>
        <v>wN</v>
      </c>
      <c r="AO241" s="11" t="str">
        <f aca="false">IF($P241=0,AO240,IF(AO$3=$E241,IF($AA241=1,$F241&amp;$AB241,$G241),IF(OR(AO$3=$D241,AO$3=$AC241,AO$3=$AE241),"",IF(AO$3=$AD241,$F241&amp;"R",AO240))))</f>
        <v>wR</v>
      </c>
      <c r="AP241" s="11" t="str">
        <f aca="false">IF($P241=0,AP240,IF(AP$3=$E241,IF($AA241=1,$F241&amp;$AB241,$G241),IF(OR(AP$3=$D241,AP$3=$AC241,AP$3=$AE241),"",IF(AP$3=$AD241,$F241&amp;"R",AP240))))</f>
        <v>wP</v>
      </c>
      <c r="AQ241" s="11" t="str">
        <f aca="false">IF($P241=0,AQ240,IF(AQ$3=$E241,IF($AA241=1,$F241&amp;$AB241,$G241),IF(OR(AQ$3=$D241,AQ$3=$AC241,AQ$3=$AE241),"",IF(AQ$3=$AD241,$F241&amp;"R",AQ240))))</f>
        <v>wP</v>
      </c>
      <c r="AR241" s="11" t="str">
        <f aca="false">IF($P241=0,AR240,IF(AR$3=$E241,IF($AA241=1,$F241&amp;$AB241,$G241),IF(OR(AR$3=$D241,AR$3=$AC241,AR$3=$AE241),"",IF(AR$3=$AD241,$F241&amp;"R",AR240))))</f>
        <v>wP</v>
      </c>
      <c r="AS241" s="11" t="str">
        <f aca="false">IF($P241=0,AS240,IF(AS$3=$E241,IF($AA241=1,$F241&amp;$AB241,$G241),IF(OR(AS$3=$D241,AS$3=$AC241,AS$3=$AE241),"",IF(AS$3=$AD241,$F241&amp;"R",AS240))))</f>
        <v>wP</v>
      </c>
      <c r="AT241" s="11" t="str">
        <f aca="false">IF($P241=0,AT240,IF(AT$3=$E241,IF($AA241=1,$F241&amp;$AB241,$G241),IF(OR(AT$3=$D241,AT$3=$AC241,AT$3=$AE241),"",IF(AT$3=$AD241,$F241&amp;"R",AT240))))</f>
        <v>wP</v>
      </c>
      <c r="AU241" s="11" t="str">
        <f aca="false">IF($P241=0,AU240,IF(AU$3=$E241,IF($AA241=1,$F241&amp;$AB241,$G241),IF(OR(AU$3=$D241,AU$3=$AC241,AU$3=$AE241),"",IF(AU$3=$AD241,$F241&amp;"R",AU240))))</f>
        <v>wP</v>
      </c>
      <c r="AV241" s="11" t="str">
        <f aca="false">IF($P241=0,AV240,IF(AV$3=$E241,IF($AA241=1,$F241&amp;$AB241,$G241),IF(OR(AV$3=$D241,AV$3=$AC241,AV$3=$AE241),"",IF(AV$3=$AD241,$F241&amp;"R",AV240))))</f>
        <v>wP</v>
      </c>
      <c r="AW241" s="11" t="str">
        <f aca="false">IF($P241=0,AW240,IF(AW$3=$E241,IF($AA241=1,$F241&amp;$AB241,$G241),IF(OR(AW$3=$D241,AW$3=$AC241,AW$3=$AE241),"",IF(AW$3=$AD241,$F241&amp;"R",AW240))))</f>
        <v>wP</v>
      </c>
      <c r="AX241" s="11" t="str">
        <f aca="false">IF($P241=0,AX240,IF(AX$3=$E241,IF($AA241=1,$F241&amp;$AB241,$G241),IF(OR(AX$3=$D241,AX$3=$AC241,AX$3=$AE241),"",IF(AX$3=$AD241,$F241&amp;"R",AX240))))</f>
        <v/>
      </c>
      <c r="AY241" s="11" t="str">
        <f aca="false">IF($P241=0,AY240,IF(AY$3=$E241,IF($AA241=1,$F241&amp;$AB241,$G241),IF(OR(AY$3=$D241,AY$3=$AC241,AY$3=$AE241),"",IF(AY$3=$AD241,$F241&amp;"R",AY240))))</f>
        <v/>
      </c>
      <c r="AZ241" s="11" t="str">
        <f aca="false">IF($P241=0,AZ240,IF(AZ$3=$E241,IF($AA241=1,$F241&amp;$AB241,$G241),IF(OR(AZ$3=$D241,AZ$3=$AC241,AZ$3=$AE241),"",IF(AZ$3=$AD241,$F241&amp;"R",AZ240))))</f>
        <v/>
      </c>
      <c r="BA241" s="11" t="str">
        <f aca="false">IF($P241=0,BA240,IF(BA$3=$E241,IF($AA241=1,$F241&amp;$AB241,$G241),IF(OR(BA$3=$D241,BA$3=$AC241,BA$3=$AE241),"",IF(BA$3=$AD241,$F241&amp;"R",BA240))))</f>
        <v/>
      </c>
      <c r="BB241" s="11" t="str">
        <f aca="false">IF($P241=0,BB240,IF(BB$3=$E241,IF($AA241=1,$F241&amp;$AB241,$G241),IF(OR(BB$3=$D241,BB$3=$AC241,BB$3=$AE241),"",IF(BB$3=$AD241,$F241&amp;"R",BB240))))</f>
        <v/>
      </c>
      <c r="BC241" s="11" t="str">
        <f aca="false">IF($P241=0,BC240,IF(BC$3=$E241,IF($AA241=1,$F241&amp;$AB241,$G241),IF(OR(BC$3=$D241,BC$3=$AC241,BC$3=$AE241),"",IF(BC$3=$AD241,$F241&amp;"R",BC240))))</f>
        <v/>
      </c>
      <c r="BD241" s="11" t="str">
        <f aca="false">IF($P241=0,BD240,IF(BD$3=$E241,IF($AA241=1,$F241&amp;$AB241,$G241),IF(OR(BD$3=$D241,BD$3=$AC241,BD$3=$AE241),"",IF(BD$3=$AD241,$F241&amp;"R",BD240))))</f>
        <v/>
      </c>
      <c r="BE241" s="11" t="str">
        <f aca="false">IF($P241=0,BE240,IF(BE$3=$E241,IF($AA241=1,$F241&amp;$AB241,$G241),IF(OR(BE$3=$D241,BE$3=$AC241,BE$3=$AE241),"",IF(BE$3=$AD241,$F241&amp;"R",BE240))))</f>
        <v/>
      </c>
      <c r="BF241" s="11" t="str">
        <f aca="false">IF($P241=0,BF240,IF(BF$3=$E241,IF($AA241=1,$F241&amp;$AB241,$G241),IF(OR(BF$3=$D241,BF$3=$AC241,BF$3=$AE241),"",IF(BF$3=$AD241,$F241&amp;"R",BF240))))</f>
        <v/>
      </c>
      <c r="BG241" s="11" t="str">
        <f aca="false">IF($P241=0,BG240,IF(BG$3=$E241,IF($AA241=1,$F241&amp;$AB241,$G241),IF(OR(BG$3=$D241,BG$3=$AC241,BG$3=$AE241),"",IF(BG$3=$AD241,$F241&amp;"R",BG240))))</f>
        <v/>
      </c>
      <c r="BH241" s="11" t="str">
        <f aca="false">IF($P241=0,BH240,IF(BH$3=$E241,IF($AA241=1,$F241&amp;$AB241,$G241),IF(OR(BH$3=$D241,BH$3=$AC241,BH$3=$AE241),"",IF(BH$3=$AD241,$F241&amp;"R",BH240))))</f>
        <v/>
      </c>
      <c r="BI241" s="11" t="str">
        <f aca="false">IF($P241=0,BI240,IF(BI$3=$E241,IF($AA241=1,$F241&amp;$AB241,$G241),IF(OR(BI$3=$D241,BI$3=$AC241,BI$3=$AE241),"",IF(BI$3=$AD241,$F241&amp;"R",BI240))))</f>
        <v/>
      </c>
      <c r="BJ241" s="11" t="str">
        <f aca="false">IF($P241=0,BJ240,IF(BJ$3=$E241,IF($AA241=1,$F241&amp;$AB241,$G241),IF(OR(BJ$3=$D241,BJ$3=$AC241,BJ$3=$AE241),"",IF(BJ$3=$AD241,$F241&amp;"R",BJ240))))</f>
        <v/>
      </c>
      <c r="BK241" s="11" t="str">
        <f aca="false">IF($P241=0,BK240,IF(BK$3=$E241,IF($AA241=1,$F241&amp;$AB241,$G241),IF(OR(BK$3=$D241,BK$3=$AC241,BK$3=$AE241),"",IF(BK$3=$AD241,$F241&amp;"R",BK240))))</f>
        <v/>
      </c>
      <c r="BL241" s="11" t="str">
        <f aca="false">IF($P241=0,BL240,IF(BL$3=$E241,IF($AA241=1,$F241&amp;$AB241,$G241),IF(OR(BL$3=$D241,BL$3=$AC241,BL$3=$AE241),"",IF(BL$3=$AD241,$F241&amp;"R",BL240))))</f>
        <v/>
      </c>
      <c r="BM241" s="11" t="str">
        <f aca="false">IF($P241=0,BM240,IF(BM$3=$E241,IF($AA241=1,$F241&amp;$AB241,$G241),IF(OR(BM$3=$D241,BM$3=$AC241,BM$3=$AE241),"",IF(BM$3=$AD241,$F241&amp;"R",BM240))))</f>
        <v/>
      </c>
      <c r="BN241" s="11" t="str">
        <f aca="false">IF($P241=0,BN240,IF(BN$3=$E241,IF($AA241=1,$F241&amp;$AB241,$G241),IF(OR(BN$3=$D241,BN$3=$AC241,BN$3=$AE241),"",IF(BN$3=$AD241,$F241&amp;"R",BN240))))</f>
        <v/>
      </c>
      <c r="BO241" s="11" t="str">
        <f aca="false">IF($P241=0,BO240,IF(BO$3=$E241,IF($AA241=1,$F241&amp;$AB241,$G241),IF(OR(BO$3=$D241,BO$3=$AC241,BO$3=$AE241),"",IF(BO$3=$AD241,$F241&amp;"R",BO240))))</f>
        <v/>
      </c>
      <c r="BP241" s="11" t="str">
        <f aca="false">IF($P241=0,BP240,IF(BP$3=$E241,IF($AA241=1,$F241&amp;$AB241,$G241),IF(OR(BP$3=$D241,BP$3=$AC241,BP$3=$AE241),"",IF(BP$3=$AD241,$F241&amp;"R",BP240))))</f>
        <v/>
      </c>
      <c r="BQ241" s="11" t="str">
        <f aca="false">IF($P241=0,BQ240,IF(BQ$3=$E241,IF($AA241=1,$F241&amp;$AB241,$G241),IF(OR(BQ$3=$D241,BQ$3=$AC241,BQ$3=$AE241),"",IF(BQ$3=$AD241,$F241&amp;"R",BQ240))))</f>
        <v/>
      </c>
      <c r="BR241" s="11" t="str">
        <f aca="false">IF($P241=0,BR240,IF(BR$3=$E241,IF($AA241=1,$F241&amp;$AB241,$G241),IF(OR(BR$3=$D241,BR$3=$AC241,BR$3=$AE241),"",IF(BR$3=$AD241,$F241&amp;"R",BR240))))</f>
        <v/>
      </c>
      <c r="BS241" s="11" t="str">
        <f aca="false">IF($P241=0,BS240,IF(BS$3=$E241,IF($AA241=1,$F241&amp;$AB241,$G241),IF(OR(BS$3=$D241,BS$3=$AC241,BS$3=$AE241),"",IF(BS$3=$AD241,$F241&amp;"R",BS240))))</f>
        <v/>
      </c>
      <c r="BT241" s="11" t="str">
        <f aca="false">IF($P241=0,BT240,IF(BT$3=$E241,IF($AA241=1,$F241&amp;$AB241,$G241),IF(OR(BT$3=$D241,BT$3=$AC241,BT$3=$AE241),"",IF(BT$3=$AD241,$F241&amp;"R",BT240))))</f>
        <v/>
      </c>
      <c r="BU241" s="11" t="str">
        <f aca="false">IF($P241=0,BU240,IF(BU$3=$E241,IF($AA241=1,$F241&amp;$AB241,$G241),IF(OR(BU$3=$D241,BU$3=$AC241,BU$3=$AE241),"",IF(BU$3=$AD241,$F241&amp;"R",BU240))))</f>
        <v/>
      </c>
      <c r="BV241" s="11" t="str">
        <f aca="false">IF($P241=0,BV240,IF(BV$3=$E241,IF($AA241=1,$F241&amp;$AB241,$G241),IF(OR(BV$3=$D241,BV$3=$AC241,BV$3=$AE241),"",IF(BV$3=$AD241,$F241&amp;"R",BV240))))</f>
        <v/>
      </c>
      <c r="BW241" s="11" t="str">
        <f aca="false">IF($P241=0,BW240,IF(BW$3=$E241,IF($AA241=1,$F241&amp;$AB241,$G241),IF(OR(BW$3=$D241,BW$3=$AC241,BW$3=$AE241),"",IF(BW$3=$AD241,$F241&amp;"R",BW240))))</f>
        <v/>
      </c>
      <c r="BX241" s="11" t="str">
        <f aca="false">IF($P241=0,BX240,IF(BX$3=$E241,IF($AA241=1,$F241&amp;$AB241,$G241),IF(OR(BX$3=$D241,BX$3=$AC241,BX$3=$AE241),"",IF(BX$3=$AD241,$F241&amp;"R",BX240))))</f>
        <v/>
      </c>
      <c r="BY241" s="11" t="str">
        <f aca="false">IF($P241=0,BY240,IF(BY$3=$E241,IF($AA241=1,$F241&amp;$AB241,$G241),IF(OR(BY$3=$D241,BY$3=$AC241,BY$3=$AE241),"",IF(BY$3=$AD241,$F241&amp;"R",BY240))))</f>
        <v/>
      </c>
      <c r="BZ241" s="11" t="str">
        <f aca="false">IF($P241=0,BZ240,IF(BZ$3=$E241,IF($AA241=1,$F241&amp;$AB241,$G241),IF(OR(BZ$3=$D241,BZ$3=$AC241,BZ$3=$AE241),"",IF(BZ$3=$AD241,$F241&amp;"R",BZ240))))</f>
        <v/>
      </c>
      <c r="CA241" s="11" t="str">
        <f aca="false">IF($P241=0,CA240,IF(CA$3=$E241,IF($AA241=1,$F241&amp;$AB241,$G241),IF(OR(CA$3=$D241,CA$3=$AC241,CA$3=$AE241),"",IF(CA$3=$AD241,$F241&amp;"R",CA240))))</f>
        <v/>
      </c>
      <c r="CB241" s="11" t="str">
        <f aca="false">IF($P241=0,CB240,IF(CB$3=$E241,IF($AA241=1,$F241&amp;$AB241,$G241),IF(OR(CB$3=$D241,CB$3=$AC241,CB$3=$AE241),"",IF(CB$3=$AD241,$F241&amp;"R",CB240))))</f>
        <v/>
      </c>
      <c r="CC241" s="11" t="str">
        <f aca="false">IF($P241=0,CC240,IF(CC$3=$E241,IF($AA241=1,$F241&amp;$AB241,$G241),IF(OR(CC$3=$D241,CC$3=$AC241,CC$3=$AE241),"",IF(CC$3=$AD241,$F241&amp;"R",CC240))))</f>
        <v/>
      </c>
      <c r="CD241" s="11" t="str">
        <f aca="false">IF($P241=0,CD240,IF(CD$3=$E241,IF($AA241=1,$F241&amp;$AB241,$G241),IF(OR(CD$3=$D241,CD$3=$AC241,CD$3=$AE241),"",IF(CD$3=$AD241,$F241&amp;"R",CD240))))</f>
        <v>bP</v>
      </c>
      <c r="CE241" s="11" t="str">
        <f aca="false">IF($P241=0,CE240,IF(CE$3=$E241,IF($AA241=1,$F241&amp;$AB241,$G241),IF(OR(CE$3=$D241,CE$3=$AC241,CE$3=$AE241),"",IF(CE$3=$AD241,$F241&amp;"R",CE240))))</f>
        <v>bP</v>
      </c>
      <c r="CF241" s="11" t="str">
        <f aca="false">IF($P241=0,CF240,IF(CF$3=$E241,IF($AA241=1,$F241&amp;$AB241,$G241),IF(OR(CF$3=$D241,CF$3=$AC241,CF$3=$AE241),"",IF(CF$3=$AD241,$F241&amp;"R",CF240))))</f>
        <v>bP</v>
      </c>
      <c r="CG241" s="11" t="str">
        <f aca="false">IF($P241=0,CG240,IF(CG$3=$E241,IF($AA241=1,$F241&amp;$AB241,$G241),IF(OR(CG$3=$D241,CG$3=$AC241,CG$3=$AE241),"",IF(CG$3=$AD241,$F241&amp;"R",CG240))))</f>
        <v>bP</v>
      </c>
      <c r="CH241" s="11" t="str">
        <f aca="false">IF($P241=0,CH240,IF(CH$3=$E241,IF($AA241=1,$F241&amp;$AB241,$G241),IF(OR(CH$3=$D241,CH$3=$AC241,CH$3=$AE241),"",IF(CH$3=$AD241,$F241&amp;"R",CH240))))</f>
        <v>bP</v>
      </c>
      <c r="CI241" s="11" t="str">
        <f aca="false">IF($P241=0,CI240,IF(CI$3=$E241,IF($AA241=1,$F241&amp;$AB241,$G241),IF(OR(CI$3=$D241,CI$3=$AC241,CI$3=$AE241),"",IF(CI$3=$AD241,$F241&amp;"R",CI240))))</f>
        <v>bP</v>
      </c>
      <c r="CJ241" s="11" t="str">
        <f aca="false">IF($P241=0,CJ240,IF(CJ$3=$E241,IF($AA241=1,$F241&amp;$AB241,$G241),IF(OR(CJ$3=$D241,CJ$3=$AC241,CJ$3=$AE241),"",IF(CJ$3=$AD241,$F241&amp;"R",CJ240))))</f>
        <v>bP</v>
      </c>
      <c r="CK241" s="11" t="str">
        <f aca="false">IF($P241=0,CK240,IF(CK$3=$E241,IF($AA241=1,$F241&amp;$AB241,$G241),IF(OR(CK$3=$D241,CK$3=$AC241,CK$3=$AE241),"",IF(CK$3=$AD241,$F241&amp;"R",CK240))))</f>
        <v>bP</v>
      </c>
      <c r="CL241" s="11" t="str">
        <f aca="false">IF($P241=0,CL240,IF(CL$3=$E241,IF($AA241=1,$F241&amp;$AB241,$G241),IF(OR(CL$3=$D241,CL$3=$AC241,CL$3=$AE241),"",IF(CL$3=$AD241,$F241&amp;"R",CL240))))</f>
        <v>bR</v>
      </c>
      <c r="CM241" s="11" t="str">
        <f aca="false">IF($P241=0,CM240,IF(CM$3=$E241,IF($AA241=1,$F241&amp;$AB241,$G241),IF(OR(CM$3=$D241,CM$3=$AC241,CM$3=$AE241),"",IF(CM$3=$AD241,$F241&amp;"R",CM240))))</f>
        <v>bN</v>
      </c>
      <c r="CN241" s="11" t="str">
        <f aca="false">IF($P241=0,CN240,IF(CN$3=$E241,IF($AA241=1,$F241&amp;$AB241,$G241),IF(OR(CN$3=$D241,CN$3=$AC241,CN$3=$AE241),"",IF(CN$3=$AD241,$F241&amp;"R",CN240))))</f>
        <v>bB</v>
      </c>
      <c r="CO241" s="11" t="str">
        <f aca="false">IF($P241=0,CO240,IF(CO$3=$E241,IF($AA241=1,$F241&amp;$AB241,$G241),IF(OR(CO$3=$D241,CO$3=$AC241,CO$3=$AE241),"",IF(CO$3=$AD241,$F241&amp;"R",CO240))))</f>
        <v>bQ</v>
      </c>
      <c r="CP241" s="11" t="str">
        <f aca="false">IF($P241=0,CP240,IF(CP$3=$E241,IF($AA241=1,$F241&amp;$AB241,$G241),IF(OR(CP$3=$D241,CP$3=$AC241,CP$3=$AE241),"",IF(CP$3=$AD241,$F241&amp;"R",CP240))))</f>
        <v>bK</v>
      </c>
      <c r="CQ241" s="11" t="str">
        <f aca="false">IF($P241=0,CQ240,IF(CQ$3=$E241,IF($AA241=1,$F241&amp;$AB241,$G241),IF(OR(CQ$3=$D241,CQ$3=$AC241,CQ$3=$AE241),"",IF(CQ$3=$AD241,$F241&amp;"R",CQ240))))</f>
        <v>bB</v>
      </c>
      <c r="CR241" s="11" t="str">
        <f aca="false">IF($P241=0,CR240,IF(CR$3=$E241,IF($AA241=1,$F241&amp;$AB241,$G241),IF(OR(CR$3=$D241,CR$3=$AC241,CR$3=$AE241),"",IF(CR$3=$AD241,$F241&amp;"R",CR240))))</f>
        <v>bN</v>
      </c>
      <c r="CS241" s="11" t="str">
        <f aca="false">IF($P241=0,CS240,IF(CS$3=$E241,IF($AA241=1,$F241&amp;$AB241,$G241),IF(OR(CS$3=$D241,CS$3=$AC241,CS$3=$AE241),"",IF(CS$3=$AD241,$F241&amp;"R",CS240))))</f>
        <v>bR</v>
      </c>
      <c r="CT241" s="11"/>
      <c r="CU241" s="11"/>
      <c r="CV241" s="11"/>
    </row>
    <row r="242" customFormat="false" ht="15" hidden="false" customHeight="false" outlineLevel="0" collapsed="false">
      <c r="A242" s="11" t="n">
        <v>237</v>
      </c>
      <c r="B242" s="11" t="str">
        <f aca="false">IF(Chess!$L$246="","",Chess!$L$246&amp;"")</f>
        <v/>
      </c>
      <c r="C242" s="11" t="str">
        <f aca="false">LOWER(SUBSTITUTE(SUBSTITUTE(SUBSTITUTE(SUBSTITUTE(TRIM($B242),"-",""),"=","")," ",""),"x",""))</f>
        <v/>
      </c>
      <c r="D242" s="11" t="n">
        <f aca="false">IF(LEN($C242)&lt;4,0,IFERROR(IF(AND(CODE(MID($C242,1,1))&gt;=97,CODE(MID($C242,1,1))&lt;=104,VALUE(MID($C242,2,1))&gt;=1,VALUE(MID($C242,2,1))&lt;=8),(VALUE(MID($C242,2,1))-1)*8+CODE(MID($C242,1,1))-96,0),0))</f>
        <v>0</v>
      </c>
      <c r="E242" s="11" t="n">
        <f aca="false">IF(LEN($C242)&lt;4,0,IFERROR(IF(AND(CODE(MID($C242,3,1))&gt;=97,CODE(MID($C242,3,1))&lt;=104,VALUE(MID($C242,4,1))&gt;=1,VALUE(MID($C242,4,1))&lt;=8),(VALUE(MID($C242,4,1))-1)*8+CODE(MID($C242,3,1))-96,0),0))</f>
        <v>0</v>
      </c>
      <c r="F242" s="11" t="str">
        <f aca="false">IF(MOD(SUM($P$5:$P241),2)=0,"w","b")</f>
        <v>w</v>
      </c>
      <c r="G242" s="11" t="str">
        <f aca="false">IF($D242=0,"",INDEX($AH241:$CS241,1,$D242)&amp;"")</f>
        <v/>
      </c>
      <c r="H242" s="11" t="str">
        <f aca="false">IF($E242=0,"",INDEX($AH241:$CS241,1,$E242)&amp;"")</f>
        <v/>
      </c>
      <c r="I242" s="11" t="n">
        <f aca="false">IF(OR($D242=0,$E242=0),0,MOD($E242-1,8)-MOD($D242-1,8))</f>
        <v>0</v>
      </c>
      <c r="J242" s="11" t="n">
        <f aca="false">IF(OR($D242=0,$E242=0),0,INT(($E242-1)/8)-INT(($D242-1)/8))</f>
        <v>0</v>
      </c>
      <c r="K242" s="11" t="str">
        <f aca="false">IF($G242="","",RIGHT($G242,1))</f>
        <v/>
      </c>
      <c r="L242" s="11" t="n">
        <f aca="false">IF(OR($D242=0,$E242=0),0,SUMPRODUCT(($AH$3:$CS$3&gt;MIN($D242,$E242))*($AH$3:$CS$3&lt;MAX($D242,$E242))*(MOD($AH$3:$CS$3-MIN($D242,$E242),MAX(1,ABS(SIGN($J242)*8+SIGN($I242))))=0)*($AH241:$CS241&lt;&gt;"")))</f>
        <v>0</v>
      </c>
      <c r="M242" s="11" t="n">
        <f aca="false">IF($K242&lt;&gt;"K",0,IFERROR(--AND($J242=0,ABS($I242)=2,$D242=IF($F242="w",5,61),IF($F242="w",$S241,$V241)=0,IF($I242=2,AND(IF($F242="w",$U241,$X241)=0,INDEX($AH241:$CS241,1,$D242+1)&amp;""="",INDEX($AH241:$CS241,1,$D242+2)&amp;""=""),AND(IF($F242="w",$T241,$W241)=0,INDEX($AH241:$CS241,1,$D242-1)&amp;""="",INDEX($AH241:$CS241,1,$D242-2)&amp;""="",INDEX($AH241:$CS241,1,$D242-3)&amp;""=""))),0))</f>
        <v>0</v>
      </c>
      <c r="N242" s="11" t="n">
        <f aca="false">IF($K242&lt;&gt;"P",0,IFERROR(--OR(AND($I242=0,$J242=IF($F242="w",1,-1),$H242=""),AND($I242=0,$J242=2*IF($F242="w",1,-1),$H242="",INT(($D242-1)/8)=IF($F242="w",1,6),INDEX($AH241:$CS241,1,MAX(1,MIN(64,$D242+8*IF($F242="w",1,-1))))&amp;""=""),AND(ABS($I242)=1,$J242=IF($F242="w",1,-1),$H242&lt;&gt;""),AND(ABS($I242)=1,$J242=IF($F242="w",1,-1),$H242="",$R241&gt;0,$E242=$R241)),0))</f>
        <v>0</v>
      </c>
      <c r="O242" s="11" t="n">
        <f aca="false">IF(OR($D242=0,$E242=0,$G242=""),0,IF($K242="N",--OR(AND(ABS($I242)=1,ABS($J242)=2),AND(ABS($I242)=2,ABS($J242)=1)),IF($K242="B",--AND(ABS($I242)=ABS($J242),$I242&lt;&gt;0,$L242=0),IF($K242="R",--AND(OR($I242=0,$J242=0),OR($I242&lt;&gt;0,$J242&lt;&gt;0),$L242=0),IF($K242="Q",--AND(OR(AND(ABS($I242)=ABS($J242),$I242&lt;&gt;0),AND(OR($I242=0,$J242=0),OR($I242&lt;&gt;0,$J242&lt;&gt;0))),$L242=0),IF($K242="K",--OR(MAX(ABS($I242),ABS($J242))=1,$M242=1),$N242))))))</f>
        <v>0</v>
      </c>
      <c r="P242" s="11" t="n">
        <f aca="false">IF($Q242="OK",1,0)</f>
        <v>0</v>
      </c>
      <c r="Q242" s="11" t="str">
        <f aca="false">IF($B242="","",IF(OR(COUNTIF($AH241:$CS241,"wK")=0,COUNTIF($AH241:$CS241,"bK")=0),"Game is over",IF(OR($D242=0,$E242=0),"Use the format e2e4",IF($G242="","No piece on that square",IF(LEFT($G242,1)&lt;&gt;$F242,"Not your piece ("&amp;IF($F242="w","White","Black")&amp;" to move)",IF($D242=$E242,"Piece must move",IF(AND($H242&lt;&gt;"",LEFT($H242,1)=$F242),"Cannot capture your own piece",IF($O242=0,"Illegal move for that piece (or path blocked)","OK"))))))))</f>
        <v/>
      </c>
      <c r="R242" s="11" t="n">
        <f aca="false">IF($P242=1,IF(AND($K242="P",ABS($J242)=2),($D242+$E242)/2,0),$R241)</f>
        <v>0</v>
      </c>
      <c r="S242" s="12" t="b">
        <f aca="false">--OR($S241=1,AND($P242=1,OR($D242=5,$E242=5)))</f>
        <v>0</v>
      </c>
      <c r="T242" s="12" t="b">
        <f aca="false">--OR($T241=1,AND($P242=1,OR($D242=1,$E242=1)))</f>
        <v>0</v>
      </c>
      <c r="U242" s="12" t="b">
        <f aca="false">--OR($U241=1,AND($P242=1,OR($D242=8,$E242=8)))</f>
        <v>0</v>
      </c>
      <c r="V242" s="12" t="b">
        <f aca="false">--OR($V241=1,AND($P242=1,OR($D242=61,$E242=61)))</f>
        <v>0</v>
      </c>
      <c r="W242" s="12" t="b">
        <f aca="false">--OR($W241=1,AND($P242=1,OR($D242=57,$E242=57)))</f>
        <v>0</v>
      </c>
      <c r="X242" s="12" t="b">
        <f aca="false">--OR($X241=1,AND($P242=1,OR($D242=64,$E242=64)))</f>
        <v>0</v>
      </c>
      <c r="Y242" s="12" t="b">
        <f aca="false">--AND($P242=1,$K242="K",ABS($I242)=2)</f>
        <v>0</v>
      </c>
      <c r="Z242" s="12" t="b">
        <f aca="false">--AND($P242=1,$K242="P",ABS($I242)=1,$H242="")</f>
        <v>0</v>
      </c>
      <c r="AA242" s="12" t="b">
        <f aca="false">--AND($P242=1,$K242="P",INT(($E242-1)/8)=IF($F242="w",7,0))</f>
        <v>0</v>
      </c>
      <c r="AB242" s="11" t="str">
        <f aca="false">IF(LEN($C242)&gt;=5,IF(ISNUMBER(FIND(MID($C242,5,1),"qrbn")),UPPER(MID($C242,5,1)),"Q"),"Q")</f>
        <v>Q</v>
      </c>
      <c r="AC242" s="11" t="n">
        <f aca="false">IF($Y242=1,IF($I242=2,$D242+3,$D242-4),0)</f>
        <v>0</v>
      </c>
      <c r="AD242" s="11" t="n">
        <f aca="false">IF($Y242=1,IF($I242=2,$D242+1,$D242-1),0)</f>
        <v>0</v>
      </c>
      <c r="AE242" s="11" t="n">
        <f aca="false">IF($Z242=1,$E242-8*IF($F242="w",1,-1),0)</f>
        <v>0</v>
      </c>
      <c r="AF242" s="11" t="str">
        <f aca="false">IF($B242="","",IF($P242=1,LOWER(INDEX($CV$2:$CV$13,MATCH($G242,$CU$2:$CU$13,0)))&amp;" "&amp;MID("abcdefgh",MOD($D242-1,8)+1,1)&amp;(INT(($D242-1)/8)+1)&amp;"→"&amp;MID("abcdefgh",MOD($E242-1,8)+1,1)&amp;(INT(($E242-1)/8)+1)&amp;IF(OR($H242&lt;&gt;"",$Z242=1)," ×","")&amp;IF($Y242=1," castles","")&amp;IF($Z242=1," e.p.","")&amp;IF($AA242=1," =" &amp;LOWER(INDEX($CV$2:$CV$13,MATCH($F242&amp;$AB242,$CU$2:$CU$13,0))),""),"X "&amp;$Q242))</f>
        <v/>
      </c>
      <c r="AG242" s="11"/>
      <c r="AH242" s="11" t="str">
        <f aca="false">IF($P242=0,AH241,IF(AH$3=$E242,IF($AA242=1,$F242&amp;$AB242,$G242),IF(OR(AH$3=$D242,AH$3=$AC242,AH$3=$AE242),"",IF(AH$3=$AD242,$F242&amp;"R",AH241))))</f>
        <v>wR</v>
      </c>
      <c r="AI242" s="11" t="str">
        <f aca="false">IF($P242=0,AI241,IF(AI$3=$E242,IF($AA242=1,$F242&amp;$AB242,$G242),IF(OR(AI$3=$D242,AI$3=$AC242,AI$3=$AE242),"",IF(AI$3=$AD242,$F242&amp;"R",AI241))))</f>
        <v>wN</v>
      </c>
      <c r="AJ242" s="11" t="str">
        <f aca="false">IF($P242=0,AJ241,IF(AJ$3=$E242,IF($AA242=1,$F242&amp;$AB242,$G242),IF(OR(AJ$3=$D242,AJ$3=$AC242,AJ$3=$AE242),"",IF(AJ$3=$AD242,$F242&amp;"R",AJ241))))</f>
        <v>wB</v>
      </c>
      <c r="AK242" s="11" t="str">
        <f aca="false">IF($P242=0,AK241,IF(AK$3=$E242,IF($AA242=1,$F242&amp;$AB242,$G242),IF(OR(AK$3=$D242,AK$3=$AC242,AK$3=$AE242),"",IF(AK$3=$AD242,$F242&amp;"R",AK241))))</f>
        <v>wQ</v>
      </c>
      <c r="AL242" s="11" t="str">
        <f aca="false">IF($P242=0,AL241,IF(AL$3=$E242,IF($AA242=1,$F242&amp;$AB242,$G242),IF(OR(AL$3=$D242,AL$3=$AC242,AL$3=$AE242),"",IF(AL$3=$AD242,$F242&amp;"R",AL241))))</f>
        <v>wK</v>
      </c>
      <c r="AM242" s="11" t="str">
        <f aca="false">IF($P242=0,AM241,IF(AM$3=$E242,IF($AA242=1,$F242&amp;$AB242,$G242),IF(OR(AM$3=$D242,AM$3=$AC242,AM$3=$AE242),"",IF(AM$3=$AD242,$F242&amp;"R",AM241))))</f>
        <v>wB</v>
      </c>
      <c r="AN242" s="11" t="str">
        <f aca="false">IF($P242=0,AN241,IF(AN$3=$E242,IF($AA242=1,$F242&amp;$AB242,$G242),IF(OR(AN$3=$D242,AN$3=$AC242,AN$3=$AE242),"",IF(AN$3=$AD242,$F242&amp;"R",AN241))))</f>
        <v>wN</v>
      </c>
      <c r="AO242" s="11" t="str">
        <f aca="false">IF($P242=0,AO241,IF(AO$3=$E242,IF($AA242=1,$F242&amp;$AB242,$G242),IF(OR(AO$3=$D242,AO$3=$AC242,AO$3=$AE242),"",IF(AO$3=$AD242,$F242&amp;"R",AO241))))</f>
        <v>wR</v>
      </c>
      <c r="AP242" s="11" t="str">
        <f aca="false">IF($P242=0,AP241,IF(AP$3=$E242,IF($AA242=1,$F242&amp;$AB242,$G242),IF(OR(AP$3=$D242,AP$3=$AC242,AP$3=$AE242),"",IF(AP$3=$AD242,$F242&amp;"R",AP241))))</f>
        <v>wP</v>
      </c>
      <c r="AQ242" s="11" t="str">
        <f aca="false">IF($P242=0,AQ241,IF(AQ$3=$E242,IF($AA242=1,$F242&amp;$AB242,$G242),IF(OR(AQ$3=$D242,AQ$3=$AC242,AQ$3=$AE242),"",IF(AQ$3=$AD242,$F242&amp;"R",AQ241))))</f>
        <v>wP</v>
      </c>
      <c r="AR242" s="11" t="str">
        <f aca="false">IF($P242=0,AR241,IF(AR$3=$E242,IF($AA242=1,$F242&amp;$AB242,$G242),IF(OR(AR$3=$D242,AR$3=$AC242,AR$3=$AE242),"",IF(AR$3=$AD242,$F242&amp;"R",AR241))))</f>
        <v>wP</v>
      </c>
      <c r="AS242" s="11" t="str">
        <f aca="false">IF($P242=0,AS241,IF(AS$3=$E242,IF($AA242=1,$F242&amp;$AB242,$G242),IF(OR(AS$3=$D242,AS$3=$AC242,AS$3=$AE242),"",IF(AS$3=$AD242,$F242&amp;"R",AS241))))</f>
        <v>wP</v>
      </c>
      <c r="AT242" s="11" t="str">
        <f aca="false">IF($P242=0,AT241,IF(AT$3=$E242,IF($AA242=1,$F242&amp;$AB242,$G242),IF(OR(AT$3=$D242,AT$3=$AC242,AT$3=$AE242),"",IF(AT$3=$AD242,$F242&amp;"R",AT241))))</f>
        <v>wP</v>
      </c>
      <c r="AU242" s="11" t="str">
        <f aca="false">IF($P242=0,AU241,IF(AU$3=$E242,IF($AA242=1,$F242&amp;$AB242,$G242),IF(OR(AU$3=$D242,AU$3=$AC242,AU$3=$AE242),"",IF(AU$3=$AD242,$F242&amp;"R",AU241))))</f>
        <v>wP</v>
      </c>
      <c r="AV242" s="11" t="str">
        <f aca="false">IF($P242=0,AV241,IF(AV$3=$E242,IF($AA242=1,$F242&amp;$AB242,$G242),IF(OR(AV$3=$D242,AV$3=$AC242,AV$3=$AE242),"",IF(AV$3=$AD242,$F242&amp;"R",AV241))))</f>
        <v>wP</v>
      </c>
      <c r="AW242" s="11" t="str">
        <f aca="false">IF($P242=0,AW241,IF(AW$3=$E242,IF($AA242=1,$F242&amp;$AB242,$G242),IF(OR(AW$3=$D242,AW$3=$AC242,AW$3=$AE242),"",IF(AW$3=$AD242,$F242&amp;"R",AW241))))</f>
        <v>wP</v>
      </c>
      <c r="AX242" s="11" t="str">
        <f aca="false">IF($P242=0,AX241,IF(AX$3=$E242,IF($AA242=1,$F242&amp;$AB242,$G242),IF(OR(AX$3=$D242,AX$3=$AC242,AX$3=$AE242),"",IF(AX$3=$AD242,$F242&amp;"R",AX241))))</f>
        <v/>
      </c>
      <c r="AY242" s="11" t="str">
        <f aca="false">IF($P242=0,AY241,IF(AY$3=$E242,IF($AA242=1,$F242&amp;$AB242,$G242),IF(OR(AY$3=$D242,AY$3=$AC242,AY$3=$AE242),"",IF(AY$3=$AD242,$F242&amp;"R",AY241))))</f>
        <v/>
      </c>
      <c r="AZ242" s="11" t="str">
        <f aca="false">IF($P242=0,AZ241,IF(AZ$3=$E242,IF($AA242=1,$F242&amp;$AB242,$G242),IF(OR(AZ$3=$D242,AZ$3=$AC242,AZ$3=$AE242),"",IF(AZ$3=$AD242,$F242&amp;"R",AZ241))))</f>
        <v/>
      </c>
      <c r="BA242" s="11" t="str">
        <f aca="false">IF($P242=0,BA241,IF(BA$3=$E242,IF($AA242=1,$F242&amp;$AB242,$G242),IF(OR(BA$3=$D242,BA$3=$AC242,BA$3=$AE242),"",IF(BA$3=$AD242,$F242&amp;"R",BA241))))</f>
        <v/>
      </c>
      <c r="BB242" s="11" t="str">
        <f aca="false">IF($P242=0,BB241,IF(BB$3=$E242,IF($AA242=1,$F242&amp;$AB242,$G242),IF(OR(BB$3=$D242,BB$3=$AC242,BB$3=$AE242),"",IF(BB$3=$AD242,$F242&amp;"R",BB241))))</f>
        <v/>
      </c>
      <c r="BC242" s="11" t="str">
        <f aca="false">IF($P242=0,BC241,IF(BC$3=$E242,IF($AA242=1,$F242&amp;$AB242,$G242),IF(OR(BC$3=$D242,BC$3=$AC242,BC$3=$AE242),"",IF(BC$3=$AD242,$F242&amp;"R",BC241))))</f>
        <v/>
      </c>
      <c r="BD242" s="11" t="str">
        <f aca="false">IF($P242=0,BD241,IF(BD$3=$E242,IF($AA242=1,$F242&amp;$AB242,$G242),IF(OR(BD$3=$D242,BD$3=$AC242,BD$3=$AE242),"",IF(BD$3=$AD242,$F242&amp;"R",BD241))))</f>
        <v/>
      </c>
      <c r="BE242" s="11" t="str">
        <f aca="false">IF($P242=0,BE241,IF(BE$3=$E242,IF($AA242=1,$F242&amp;$AB242,$G242),IF(OR(BE$3=$D242,BE$3=$AC242,BE$3=$AE242),"",IF(BE$3=$AD242,$F242&amp;"R",BE241))))</f>
        <v/>
      </c>
      <c r="BF242" s="11" t="str">
        <f aca="false">IF($P242=0,BF241,IF(BF$3=$E242,IF($AA242=1,$F242&amp;$AB242,$G242),IF(OR(BF$3=$D242,BF$3=$AC242,BF$3=$AE242),"",IF(BF$3=$AD242,$F242&amp;"R",BF241))))</f>
        <v/>
      </c>
      <c r="BG242" s="11" t="str">
        <f aca="false">IF($P242=0,BG241,IF(BG$3=$E242,IF($AA242=1,$F242&amp;$AB242,$G242),IF(OR(BG$3=$D242,BG$3=$AC242,BG$3=$AE242),"",IF(BG$3=$AD242,$F242&amp;"R",BG241))))</f>
        <v/>
      </c>
      <c r="BH242" s="11" t="str">
        <f aca="false">IF($P242=0,BH241,IF(BH$3=$E242,IF($AA242=1,$F242&amp;$AB242,$G242),IF(OR(BH$3=$D242,BH$3=$AC242,BH$3=$AE242),"",IF(BH$3=$AD242,$F242&amp;"R",BH241))))</f>
        <v/>
      </c>
      <c r="BI242" s="11" t="str">
        <f aca="false">IF($P242=0,BI241,IF(BI$3=$E242,IF($AA242=1,$F242&amp;$AB242,$G242),IF(OR(BI$3=$D242,BI$3=$AC242,BI$3=$AE242),"",IF(BI$3=$AD242,$F242&amp;"R",BI241))))</f>
        <v/>
      </c>
      <c r="BJ242" s="11" t="str">
        <f aca="false">IF($P242=0,BJ241,IF(BJ$3=$E242,IF($AA242=1,$F242&amp;$AB242,$G242),IF(OR(BJ$3=$D242,BJ$3=$AC242,BJ$3=$AE242),"",IF(BJ$3=$AD242,$F242&amp;"R",BJ241))))</f>
        <v/>
      </c>
      <c r="BK242" s="11" t="str">
        <f aca="false">IF($P242=0,BK241,IF(BK$3=$E242,IF($AA242=1,$F242&amp;$AB242,$G242),IF(OR(BK$3=$D242,BK$3=$AC242,BK$3=$AE242),"",IF(BK$3=$AD242,$F242&amp;"R",BK241))))</f>
        <v/>
      </c>
      <c r="BL242" s="11" t="str">
        <f aca="false">IF($P242=0,BL241,IF(BL$3=$E242,IF($AA242=1,$F242&amp;$AB242,$G242),IF(OR(BL$3=$D242,BL$3=$AC242,BL$3=$AE242),"",IF(BL$3=$AD242,$F242&amp;"R",BL241))))</f>
        <v/>
      </c>
      <c r="BM242" s="11" t="str">
        <f aca="false">IF($P242=0,BM241,IF(BM$3=$E242,IF($AA242=1,$F242&amp;$AB242,$G242),IF(OR(BM$3=$D242,BM$3=$AC242,BM$3=$AE242),"",IF(BM$3=$AD242,$F242&amp;"R",BM241))))</f>
        <v/>
      </c>
      <c r="BN242" s="11" t="str">
        <f aca="false">IF($P242=0,BN241,IF(BN$3=$E242,IF($AA242=1,$F242&amp;$AB242,$G242),IF(OR(BN$3=$D242,BN$3=$AC242,BN$3=$AE242),"",IF(BN$3=$AD242,$F242&amp;"R",BN241))))</f>
        <v/>
      </c>
      <c r="BO242" s="11" t="str">
        <f aca="false">IF($P242=0,BO241,IF(BO$3=$E242,IF($AA242=1,$F242&amp;$AB242,$G242),IF(OR(BO$3=$D242,BO$3=$AC242,BO$3=$AE242),"",IF(BO$3=$AD242,$F242&amp;"R",BO241))))</f>
        <v/>
      </c>
      <c r="BP242" s="11" t="str">
        <f aca="false">IF($P242=0,BP241,IF(BP$3=$E242,IF($AA242=1,$F242&amp;$AB242,$G242),IF(OR(BP$3=$D242,BP$3=$AC242,BP$3=$AE242),"",IF(BP$3=$AD242,$F242&amp;"R",BP241))))</f>
        <v/>
      </c>
      <c r="BQ242" s="11" t="str">
        <f aca="false">IF($P242=0,BQ241,IF(BQ$3=$E242,IF($AA242=1,$F242&amp;$AB242,$G242),IF(OR(BQ$3=$D242,BQ$3=$AC242,BQ$3=$AE242),"",IF(BQ$3=$AD242,$F242&amp;"R",BQ241))))</f>
        <v/>
      </c>
      <c r="BR242" s="11" t="str">
        <f aca="false">IF($P242=0,BR241,IF(BR$3=$E242,IF($AA242=1,$F242&amp;$AB242,$G242),IF(OR(BR$3=$D242,BR$3=$AC242,BR$3=$AE242),"",IF(BR$3=$AD242,$F242&amp;"R",BR241))))</f>
        <v/>
      </c>
      <c r="BS242" s="11" t="str">
        <f aca="false">IF($P242=0,BS241,IF(BS$3=$E242,IF($AA242=1,$F242&amp;$AB242,$G242),IF(OR(BS$3=$D242,BS$3=$AC242,BS$3=$AE242),"",IF(BS$3=$AD242,$F242&amp;"R",BS241))))</f>
        <v/>
      </c>
      <c r="BT242" s="11" t="str">
        <f aca="false">IF($P242=0,BT241,IF(BT$3=$E242,IF($AA242=1,$F242&amp;$AB242,$G242),IF(OR(BT$3=$D242,BT$3=$AC242,BT$3=$AE242),"",IF(BT$3=$AD242,$F242&amp;"R",BT241))))</f>
        <v/>
      </c>
      <c r="BU242" s="11" t="str">
        <f aca="false">IF($P242=0,BU241,IF(BU$3=$E242,IF($AA242=1,$F242&amp;$AB242,$G242),IF(OR(BU$3=$D242,BU$3=$AC242,BU$3=$AE242),"",IF(BU$3=$AD242,$F242&amp;"R",BU241))))</f>
        <v/>
      </c>
      <c r="BV242" s="11" t="str">
        <f aca="false">IF($P242=0,BV241,IF(BV$3=$E242,IF($AA242=1,$F242&amp;$AB242,$G242),IF(OR(BV$3=$D242,BV$3=$AC242,BV$3=$AE242),"",IF(BV$3=$AD242,$F242&amp;"R",BV241))))</f>
        <v/>
      </c>
      <c r="BW242" s="11" t="str">
        <f aca="false">IF($P242=0,BW241,IF(BW$3=$E242,IF($AA242=1,$F242&amp;$AB242,$G242),IF(OR(BW$3=$D242,BW$3=$AC242,BW$3=$AE242),"",IF(BW$3=$AD242,$F242&amp;"R",BW241))))</f>
        <v/>
      </c>
      <c r="BX242" s="11" t="str">
        <f aca="false">IF($P242=0,BX241,IF(BX$3=$E242,IF($AA242=1,$F242&amp;$AB242,$G242),IF(OR(BX$3=$D242,BX$3=$AC242,BX$3=$AE242),"",IF(BX$3=$AD242,$F242&amp;"R",BX241))))</f>
        <v/>
      </c>
      <c r="BY242" s="11" t="str">
        <f aca="false">IF($P242=0,BY241,IF(BY$3=$E242,IF($AA242=1,$F242&amp;$AB242,$G242),IF(OR(BY$3=$D242,BY$3=$AC242,BY$3=$AE242),"",IF(BY$3=$AD242,$F242&amp;"R",BY241))))</f>
        <v/>
      </c>
      <c r="BZ242" s="11" t="str">
        <f aca="false">IF($P242=0,BZ241,IF(BZ$3=$E242,IF($AA242=1,$F242&amp;$AB242,$G242),IF(OR(BZ$3=$D242,BZ$3=$AC242,BZ$3=$AE242),"",IF(BZ$3=$AD242,$F242&amp;"R",BZ241))))</f>
        <v/>
      </c>
      <c r="CA242" s="11" t="str">
        <f aca="false">IF($P242=0,CA241,IF(CA$3=$E242,IF($AA242=1,$F242&amp;$AB242,$G242),IF(OR(CA$3=$D242,CA$3=$AC242,CA$3=$AE242),"",IF(CA$3=$AD242,$F242&amp;"R",CA241))))</f>
        <v/>
      </c>
      <c r="CB242" s="11" t="str">
        <f aca="false">IF($P242=0,CB241,IF(CB$3=$E242,IF($AA242=1,$F242&amp;$AB242,$G242),IF(OR(CB$3=$D242,CB$3=$AC242,CB$3=$AE242),"",IF(CB$3=$AD242,$F242&amp;"R",CB241))))</f>
        <v/>
      </c>
      <c r="CC242" s="11" t="str">
        <f aca="false">IF($P242=0,CC241,IF(CC$3=$E242,IF($AA242=1,$F242&amp;$AB242,$G242),IF(OR(CC$3=$D242,CC$3=$AC242,CC$3=$AE242),"",IF(CC$3=$AD242,$F242&amp;"R",CC241))))</f>
        <v/>
      </c>
      <c r="CD242" s="11" t="str">
        <f aca="false">IF($P242=0,CD241,IF(CD$3=$E242,IF($AA242=1,$F242&amp;$AB242,$G242),IF(OR(CD$3=$D242,CD$3=$AC242,CD$3=$AE242),"",IF(CD$3=$AD242,$F242&amp;"R",CD241))))</f>
        <v>bP</v>
      </c>
      <c r="CE242" s="11" t="str">
        <f aca="false">IF($P242=0,CE241,IF(CE$3=$E242,IF($AA242=1,$F242&amp;$AB242,$G242),IF(OR(CE$3=$D242,CE$3=$AC242,CE$3=$AE242),"",IF(CE$3=$AD242,$F242&amp;"R",CE241))))</f>
        <v>bP</v>
      </c>
      <c r="CF242" s="11" t="str">
        <f aca="false">IF($P242=0,CF241,IF(CF$3=$E242,IF($AA242=1,$F242&amp;$AB242,$G242),IF(OR(CF$3=$D242,CF$3=$AC242,CF$3=$AE242),"",IF(CF$3=$AD242,$F242&amp;"R",CF241))))</f>
        <v>bP</v>
      </c>
      <c r="CG242" s="11" t="str">
        <f aca="false">IF($P242=0,CG241,IF(CG$3=$E242,IF($AA242=1,$F242&amp;$AB242,$G242),IF(OR(CG$3=$D242,CG$3=$AC242,CG$3=$AE242),"",IF(CG$3=$AD242,$F242&amp;"R",CG241))))</f>
        <v>bP</v>
      </c>
      <c r="CH242" s="11" t="str">
        <f aca="false">IF($P242=0,CH241,IF(CH$3=$E242,IF($AA242=1,$F242&amp;$AB242,$G242),IF(OR(CH$3=$D242,CH$3=$AC242,CH$3=$AE242),"",IF(CH$3=$AD242,$F242&amp;"R",CH241))))</f>
        <v>bP</v>
      </c>
      <c r="CI242" s="11" t="str">
        <f aca="false">IF($P242=0,CI241,IF(CI$3=$E242,IF($AA242=1,$F242&amp;$AB242,$G242),IF(OR(CI$3=$D242,CI$3=$AC242,CI$3=$AE242),"",IF(CI$3=$AD242,$F242&amp;"R",CI241))))</f>
        <v>bP</v>
      </c>
      <c r="CJ242" s="11" t="str">
        <f aca="false">IF($P242=0,CJ241,IF(CJ$3=$E242,IF($AA242=1,$F242&amp;$AB242,$G242),IF(OR(CJ$3=$D242,CJ$3=$AC242,CJ$3=$AE242),"",IF(CJ$3=$AD242,$F242&amp;"R",CJ241))))</f>
        <v>bP</v>
      </c>
      <c r="CK242" s="11" t="str">
        <f aca="false">IF($P242=0,CK241,IF(CK$3=$E242,IF($AA242=1,$F242&amp;$AB242,$G242),IF(OR(CK$3=$D242,CK$3=$AC242,CK$3=$AE242),"",IF(CK$3=$AD242,$F242&amp;"R",CK241))))</f>
        <v>bP</v>
      </c>
      <c r="CL242" s="11" t="str">
        <f aca="false">IF($P242=0,CL241,IF(CL$3=$E242,IF($AA242=1,$F242&amp;$AB242,$G242),IF(OR(CL$3=$D242,CL$3=$AC242,CL$3=$AE242),"",IF(CL$3=$AD242,$F242&amp;"R",CL241))))</f>
        <v>bR</v>
      </c>
      <c r="CM242" s="11" t="str">
        <f aca="false">IF($P242=0,CM241,IF(CM$3=$E242,IF($AA242=1,$F242&amp;$AB242,$G242),IF(OR(CM$3=$D242,CM$3=$AC242,CM$3=$AE242),"",IF(CM$3=$AD242,$F242&amp;"R",CM241))))</f>
        <v>bN</v>
      </c>
      <c r="CN242" s="11" t="str">
        <f aca="false">IF($P242=0,CN241,IF(CN$3=$E242,IF($AA242=1,$F242&amp;$AB242,$G242),IF(OR(CN$3=$D242,CN$3=$AC242,CN$3=$AE242),"",IF(CN$3=$AD242,$F242&amp;"R",CN241))))</f>
        <v>bB</v>
      </c>
      <c r="CO242" s="11" t="str">
        <f aca="false">IF($P242=0,CO241,IF(CO$3=$E242,IF($AA242=1,$F242&amp;$AB242,$G242),IF(OR(CO$3=$D242,CO$3=$AC242,CO$3=$AE242),"",IF(CO$3=$AD242,$F242&amp;"R",CO241))))</f>
        <v>bQ</v>
      </c>
      <c r="CP242" s="11" t="str">
        <f aca="false">IF($P242=0,CP241,IF(CP$3=$E242,IF($AA242=1,$F242&amp;$AB242,$G242),IF(OR(CP$3=$D242,CP$3=$AC242,CP$3=$AE242),"",IF(CP$3=$AD242,$F242&amp;"R",CP241))))</f>
        <v>bK</v>
      </c>
      <c r="CQ242" s="11" t="str">
        <f aca="false">IF($P242=0,CQ241,IF(CQ$3=$E242,IF($AA242=1,$F242&amp;$AB242,$G242),IF(OR(CQ$3=$D242,CQ$3=$AC242,CQ$3=$AE242),"",IF(CQ$3=$AD242,$F242&amp;"R",CQ241))))</f>
        <v>bB</v>
      </c>
      <c r="CR242" s="11" t="str">
        <f aca="false">IF($P242=0,CR241,IF(CR$3=$E242,IF($AA242=1,$F242&amp;$AB242,$G242),IF(OR(CR$3=$D242,CR$3=$AC242,CR$3=$AE242),"",IF(CR$3=$AD242,$F242&amp;"R",CR241))))</f>
        <v>bN</v>
      </c>
      <c r="CS242" s="11" t="str">
        <f aca="false">IF($P242=0,CS241,IF(CS$3=$E242,IF($AA242=1,$F242&amp;$AB242,$G242),IF(OR(CS$3=$D242,CS$3=$AC242,CS$3=$AE242),"",IF(CS$3=$AD242,$F242&amp;"R",CS241))))</f>
        <v>bR</v>
      </c>
      <c r="CT242" s="11"/>
      <c r="CU242" s="11"/>
      <c r="CV242" s="11"/>
    </row>
    <row r="243" customFormat="false" ht="15" hidden="false" customHeight="false" outlineLevel="0" collapsed="false">
      <c r="A243" s="11" t="n">
        <v>238</v>
      </c>
      <c r="B243" s="11" t="str">
        <f aca="false">IF(Chess!$L$247="","",Chess!$L$247&amp;"")</f>
        <v/>
      </c>
      <c r="C243" s="11" t="str">
        <f aca="false">LOWER(SUBSTITUTE(SUBSTITUTE(SUBSTITUTE(SUBSTITUTE(TRIM($B243),"-",""),"=","")," ",""),"x",""))</f>
        <v/>
      </c>
      <c r="D243" s="11" t="n">
        <f aca="false">IF(LEN($C243)&lt;4,0,IFERROR(IF(AND(CODE(MID($C243,1,1))&gt;=97,CODE(MID($C243,1,1))&lt;=104,VALUE(MID($C243,2,1))&gt;=1,VALUE(MID($C243,2,1))&lt;=8),(VALUE(MID($C243,2,1))-1)*8+CODE(MID($C243,1,1))-96,0),0))</f>
        <v>0</v>
      </c>
      <c r="E243" s="11" t="n">
        <f aca="false">IF(LEN($C243)&lt;4,0,IFERROR(IF(AND(CODE(MID($C243,3,1))&gt;=97,CODE(MID($C243,3,1))&lt;=104,VALUE(MID($C243,4,1))&gt;=1,VALUE(MID($C243,4,1))&lt;=8),(VALUE(MID($C243,4,1))-1)*8+CODE(MID($C243,3,1))-96,0),0))</f>
        <v>0</v>
      </c>
      <c r="F243" s="11" t="str">
        <f aca="false">IF(MOD(SUM($P$5:$P242),2)=0,"w","b")</f>
        <v>w</v>
      </c>
      <c r="G243" s="11" t="str">
        <f aca="false">IF($D243=0,"",INDEX($AH242:$CS242,1,$D243)&amp;"")</f>
        <v/>
      </c>
      <c r="H243" s="11" t="str">
        <f aca="false">IF($E243=0,"",INDEX($AH242:$CS242,1,$E243)&amp;"")</f>
        <v/>
      </c>
      <c r="I243" s="11" t="n">
        <f aca="false">IF(OR($D243=0,$E243=0),0,MOD($E243-1,8)-MOD($D243-1,8))</f>
        <v>0</v>
      </c>
      <c r="J243" s="11" t="n">
        <f aca="false">IF(OR($D243=0,$E243=0),0,INT(($E243-1)/8)-INT(($D243-1)/8))</f>
        <v>0</v>
      </c>
      <c r="K243" s="11" t="str">
        <f aca="false">IF($G243="","",RIGHT($G243,1))</f>
        <v/>
      </c>
      <c r="L243" s="11" t="n">
        <f aca="false">IF(OR($D243=0,$E243=0),0,SUMPRODUCT(($AH$3:$CS$3&gt;MIN($D243,$E243))*($AH$3:$CS$3&lt;MAX($D243,$E243))*(MOD($AH$3:$CS$3-MIN($D243,$E243),MAX(1,ABS(SIGN($J243)*8+SIGN($I243))))=0)*($AH242:$CS242&lt;&gt;"")))</f>
        <v>0</v>
      </c>
      <c r="M243" s="11" t="n">
        <f aca="false">IF($K243&lt;&gt;"K",0,IFERROR(--AND($J243=0,ABS($I243)=2,$D243=IF($F243="w",5,61),IF($F243="w",$S242,$V242)=0,IF($I243=2,AND(IF($F243="w",$U242,$X242)=0,INDEX($AH242:$CS242,1,$D243+1)&amp;""="",INDEX($AH242:$CS242,1,$D243+2)&amp;""=""),AND(IF($F243="w",$T242,$W242)=0,INDEX($AH242:$CS242,1,$D243-1)&amp;""="",INDEX($AH242:$CS242,1,$D243-2)&amp;""="",INDEX($AH242:$CS242,1,$D243-3)&amp;""=""))),0))</f>
        <v>0</v>
      </c>
      <c r="N243" s="11" t="n">
        <f aca="false">IF($K243&lt;&gt;"P",0,IFERROR(--OR(AND($I243=0,$J243=IF($F243="w",1,-1),$H243=""),AND($I243=0,$J243=2*IF($F243="w",1,-1),$H243="",INT(($D243-1)/8)=IF($F243="w",1,6),INDEX($AH242:$CS242,1,MAX(1,MIN(64,$D243+8*IF($F243="w",1,-1))))&amp;""=""),AND(ABS($I243)=1,$J243=IF($F243="w",1,-1),$H243&lt;&gt;""),AND(ABS($I243)=1,$J243=IF($F243="w",1,-1),$H243="",$R242&gt;0,$E243=$R242)),0))</f>
        <v>0</v>
      </c>
      <c r="O243" s="11" t="n">
        <f aca="false">IF(OR($D243=0,$E243=0,$G243=""),0,IF($K243="N",--OR(AND(ABS($I243)=1,ABS($J243)=2),AND(ABS($I243)=2,ABS($J243)=1)),IF($K243="B",--AND(ABS($I243)=ABS($J243),$I243&lt;&gt;0,$L243=0),IF($K243="R",--AND(OR($I243=0,$J243=0),OR($I243&lt;&gt;0,$J243&lt;&gt;0),$L243=0),IF($K243="Q",--AND(OR(AND(ABS($I243)=ABS($J243),$I243&lt;&gt;0),AND(OR($I243=0,$J243=0),OR($I243&lt;&gt;0,$J243&lt;&gt;0))),$L243=0),IF($K243="K",--OR(MAX(ABS($I243),ABS($J243))=1,$M243=1),$N243))))))</f>
        <v>0</v>
      </c>
      <c r="P243" s="11" t="n">
        <f aca="false">IF($Q243="OK",1,0)</f>
        <v>0</v>
      </c>
      <c r="Q243" s="11" t="str">
        <f aca="false">IF($B243="","",IF(OR(COUNTIF($AH242:$CS242,"wK")=0,COUNTIF($AH242:$CS242,"bK")=0),"Game is over",IF(OR($D243=0,$E243=0),"Use the format e2e4",IF($G243="","No piece on that square",IF(LEFT($G243,1)&lt;&gt;$F243,"Not your piece ("&amp;IF($F243="w","White","Black")&amp;" to move)",IF($D243=$E243,"Piece must move",IF(AND($H243&lt;&gt;"",LEFT($H243,1)=$F243),"Cannot capture your own piece",IF($O243=0,"Illegal move for that piece (or path blocked)","OK"))))))))</f>
        <v/>
      </c>
      <c r="R243" s="11" t="n">
        <f aca="false">IF($P243=1,IF(AND($K243="P",ABS($J243)=2),($D243+$E243)/2,0),$R242)</f>
        <v>0</v>
      </c>
      <c r="S243" s="12" t="b">
        <f aca="false">--OR($S242=1,AND($P243=1,OR($D243=5,$E243=5)))</f>
        <v>0</v>
      </c>
      <c r="T243" s="12" t="b">
        <f aca="false">--OR($T242=1,AND($P243=1,OR($D243=1,$E243=1)))</f>
        <v>0</v>
      </c>
      <c r="U243" s="12" t="b">
        <f aca="false">--OR($U242=1,AND($P243=1,OR($D243=8,$E243=8)))</f>
        <v>0</v>
      </c>
      <c r="V243" s="12" t="b">
        <f aca="false">--OR($V242=1,AND($P243=1,OR($D243=61,$E243=61)))</f>
        <v>0</v>
      </c>
      <c r="W243" s="12" t="b">
        <f aca="false">--OR($W242=1,AND($P243=1,OR($D243=57,$E243=57)))</f>
        <v>0</v>
      </c>
      <c r="X243" s="12" t="b">
        <f aca="false">--OR($X242=1,AND($P243=1,OR($D243=64,$E243=64)))</f>
        <v>0</v>
      </c>
      <c r="Y243" s="12" t="b">
        <f aca="false">--AND($P243=1,$K243="K",ABS($I243)=2)</f>
        <v>0</v>
      </c>
      <c r="Z243" s="12" t="b">
        <f aca="false">--AND($P243=1,$K243="P",ABS($I243)=1,$H243="")</f>
        <v>0</v>
      </c>
      <c r="AA243" s="12" t="b">
        <f aca="false">--AND($P243=1,$K243="P",INT(($E243-1)/8)=IF($F243="w",7,0))</f>
        <v>0</v>
      </c>
      <c r="AB243" s="11" t="str">
        <f aca="false">IF(LEN($C243)&gt;=5,IF(ISNUMBER(FIND(MID($C243,5,1),"qrbn")),UPPER(MID($C243,5,1)),"Q"),"Q")</f>
        <v>Q</v>
      </c>
      <c r="AC243" s="11" t="n">
        <f aca="false">IF($Y243=1,IF($I243=2,$D243+3,$D243-4),0)</f>
        <v>0</v>
      </c>
      <c r="AD243" s="11" t="n">
        <f aca="false">IF($Y243=1,IF($I243=2,$D243+1,$D243-1),0)</f>
        <v>0</v>
      </c>
      <c r="AE243" s="11" t="n">
        <f aca="false">IF($Z243=1,$E243-8*IF($F243="w",1,-1),0)</f>
        <v>0</v>
      </c>
      <c r="AF243" s="11" t="str">
        <f aca="false">IF($B243="","",IF($P243=1,LOWER(INDEX($CV$2:$CV$13,MATCH($G243,$CU$2:$CU$13,0)))&amp;" "&amp;MID("abcdefgh",MOD($D243-1,8)+1,1)&amp;(INT(($D243-1)/8)+1)&amp;"→"&amp;MID("abcdefgh",MOD($E243-1,8)+1,1)&amp;(INT(($E243-1)/8)+1)&amp;IF(OR($H243&lt;&gt;"",$Z243=1)," ×","")&amp;IF($Y243=1," castles","")&amp;IF($Z243=1," e.p.","")&amp;IF($AA243=1," =" &amp;LOWER(INDEX($CV$2:$CV$13,MATCH($F243&amp;$AB243,$CU$2:$CU$13,0))),""),"X "&amp;$Q243))</f>
        <v/>
      </c>
      <c r="AG243" s="11"/>
      <c r="AH243" s="11" t="str">
        <f aca="false">IF($P243=0,AH242,IF(AH$3=$E243,IF($AA243=1,$F243&amp;$AB243,$G243),IF(OR(AH$3=$D243,AH$3=$AC243,AH$3=$AE243),"",IF(AH$3=$AD243,$F243&amp;"R",AH242))))</f>
        <v>wR</v>
      </c>
      <c r="AI243" s="11" t="str">
        <f aca="false">IF($P243=0,AI242,IF(AI$3=$E243,IF($AA243=1,$F243&amp;$AB243,$G243),IF(OR(AI$3=$D243,AI$3=$AC243,AI$3=$AE243),"",IF(AI$3=$AD243,$F243&amp;"R",AI242))))</f>
        <v>wN</v>
      </c>
      <c r="AJ243" s="11" t="str">
        <f aca="false">IF($P243=0,AJ242,IF(AJ$3=$E243,IF($AA243=1,$F243&amp;$AB243,$G243),IF(OR(AJ$3=$D243,AJ$3=$AC243,AJ$3=$AE243),"",IF(AJ$3=$AD243,$F243&amp;"R",AJ242))))</f>
        <v>wB</v>
      </c>
      <c r="AK243" s="11" t="str">
        <f aca="false">IF($P243=0,AK242,IF(AK$3=$E243,IF($AA243=1,$F243&amp;$AB243,$G243),IF(OR(AK$3=$D243,AK$3=$AC243,AK$3=$AE243),"",IF(AK$3=$AD243,$F243&amp;"R",AK242))))</f>
        <v>wQ</v>
      </c>
      <c r="AL243" s="11" t="str">
        <f aca="false">IF($P243=0,AL242,IF(AL$3=$E243,IF($AA243=1,$F243&amp;$AB243,$G243),IF(OR(AL$3=$D243,AL$3=$AC243,AL$3=$AE243),"",IF(AL$3=$AD243,$F243&amp;"R",AL242))))</f>
        <v>wK</v>
      </c>
      <c r="AM243" s="11" t="str">
        <f aca="false">IF($P243=0,AM242,IF(AM$3=$E243,IF($AA243=1,$F243&amp;$AB243,$G243),IF(OR(AM$3=$D243,AM$3=$AC243,AM$3=$AE243),"",IF(AM$3=$AD243,$F243&amp;"R",AM242))))</f>
        <v>wB</v>
      </c>
      <c r="AN243" s="11" t="str">
        <f aca="false">IF($P243=0,AN242,IF(AN$3=$E243,IF($AA243=1,$F243&amp;$AB243,$G243),IF(OR(AN$3=$D243,AN$3=$AC243,AN$3=$AE243),"",IF(AN$3=$AD243,$F243&amp;"R",AN242))))</f>
        <v>wN</v>
      </c>
      <c r="AO243" s="11" t="str">
        <f aca="false">IF($P243=0,AO242,IF(AO$3=$E243,IF($AA243=1,$F243&amp;$AB243,$G243),IF(OR(AO$3=$D243,AO$3=$AC243,AO$3=$AE243),"",IF(AO$3=$AD243,$F243&amp;"R",AO242))))</f>
        <v>wR</v>
      </c>
      <c r="AP243" s="11" t="str">
        <f aca="false">IF($P243=0,AP242,IF(AP$3=$E243,IF($AA243=1,$F243&amp;$AB243,$G243),IF(OR(AP$3=$D243,AP$3=$AC243,AP$3=$AE243),"",IF(AP$3=$AD243,$F243&amp;"R",AP242))))</f>
        <v>wP</v>
      </c>
      <c r="AQ243" s="11" t="str">
        <f aca="false">IF($P243=0,AQ242,IF(AQ$3=$E243,IF($AA243=1,$F243&amp;$AB243,$G243),IF(OR(AQ$3=$D243,AQ$3=$AC243,AQ$3=$AE243),"",IF(AQ$3=$AD243,$F243&amp;"R",AQ242))))</f>
        <v>wP</v>
      </c>
      <c r="AR243" s="11" t="str">
        <f aca="false">IF($P243=0,AR242,IF(AR$3=$E243,IF($AA243=1,$F243&amp;$AB243,$G243),IF(OR(AR$3=$D243,AR$3=$AC243,AR$3=$AE243),"",IF(AR$3=$AD243,$F243&amp;"R",AR242))))</f>
        <v>wP</v>
      </c>
      <c r="AS243" s="11" t="str">
        <f aca="false">IF($P243=0,AS242,IF(AS$3=$E243,IF($AA243=1,$F243&amp;$AB243,$G243),IF(OR(AS$3=$D243,AS$3=$AC243,AS$3=$AE243),"",IF(AS$3=$AD243,$F243&amp;"R",AS242))))</f>
        <v>wP</v>
      </c>
      <c r="AT243" s="11" t="str">
        <f aca="false">IF($P243=0,AT242,IF(AT$3=$E243,IF($AA243=1,$F243&amp;$AB243,$G243),IF(OR(AT$3=$D243,AT$3=$AC243,AT$3=$AE243),"",IF(AT$3=$AD243,$F243&amp;"R",AT242))))</f>
        <v>wP</v>
      </c>
      <c r="AU243" s="11" t="str">
        <f aca="false">IF($P243=0,AU242,IF(AU$3=$E243,IF($AA243=1,$F243&amp;$AB243,$G243),IF(OR(AU$3=$D243,AU$3=$AC243,AU$3=$AE243),"",IF(AU$3=$AD243,$F243&amp;"R",AU242))))</f>
        <v>wP</v>
      </c>
      <c r="AV243" s="11" t="str">
        <f aca="false">IF($P243=0,AV242,IF(AV$3=$E243,IF($AA243=1,$F243&amp;$AB243,$G243),IF(OR(AV$3=$D243,AV$3=$AC243,AV$3=$AE243),"",IF(AV$3=$AD243,$F243&amp;"R",AV242))))</f>
        <v>wP</v>
      </c>
      <c r="AW243" s="11" t="str">
        <f aca="false">IF($P243=0,AW242,IF(AW$3=$E243,IF($AA243=1,$F243&amp;$AB243,$G243),IF(OR(AW$3=$D243,AW$3=$AC243,AW$3=$AE243),"",IF(AW$3=$AD243,$F243&amp;"R",AW242))))</f>
        <v>wP</v>
      </c>
      <c r="AX243" s="11" t="str">
        <f aca="false">IF($P243=0,AX242,IF(AX$3=$E243,IF($AA243=1,$F243&amp;$AB243,$G243),IF(OR(AX$3=$D243,AX$3=$AC243,AX$3=$AE243),"",IF(AX$3=$AD243,$F243&amp;"R",AX242))))</f>
        <v/>
      </c>
      <c r="AY243" s="11" t="str">
        <f aca="false">IF($P243=0,AY242,IF(AY$3=$E243,IF($AA243=1,$F243&amp;$AB243,$G243),IF(OR(AY$3=$D243,AY$3=$AC243,AY$3=$AE243),"",IF(AY$3=$AD243,$F243&amp;"R",AY242))))</f>
        <v/>
      </c>
      <c r="AZ243" s="11" t="str">
        <f aca="false">IF($P243=0,AZ242,IF(AZ$3=$E243,IF($AA243=1,$F243&amp;$AB243,$G243),IF(OR(AZ$3=$D243,AZ$3=$AC243,AZ$3=$AE243),"",IF(AZ$3=$AD243,$F243&amp;"R",AZ242))))</f>
        <v/>
      </c>
      <c r="BA243" s="11" t="str">
        <f aca="false">IF($P243=0,BA242,IF(BA$3=$E243,IF($AA243=1,$F243&amp;$AB243,$G243),IF(OR(BA$3=$D243,BA$3=$AC243,BA$3=$AE243),"",IF(BA$3=$AD243,$F243&amp;"R",BA242))))</f>
        <v/>
      </c>
      <c r="BB243" s="11" t="str">
        <f aca="false">IF($P243=0,BB242,IF(BB$3=$E243,IF($AA243=1,$F243&amp;$AB243,$G243),IF(OR(BB$3=$D243,BB$3=$AC243,BB$3=$AE243),"",IF(BB$3=$AD243,$F243&amp;"R",BB242))))</f>
        <v/>
      </c>
      <c r="BC243" s="11" t="str">
        <f aca="false">IF($P243=0,BC242,IF(BC$3=$E243,IF($AA243=1,$F243&amp;$AB243,$G243),IF(OR(BC$3=$D243,BC$3=$AC243,BC$3=$AE243),"",IF(BC$3=$AD243,$F243&amp;"R",BC242))))</f>
        <v/>
      </c>
      <c r="BD243" s="11" t="str">
        <f aca="false">IF($P243=0,BD242,IF(BD$3=$E243,IF($AA243=1,$F243&amp;$AB243,$G243),IF(OR(BD$3=$D243,BD$3=$AC243,BD$3=$AE243),"",IF(BD$3=$AD243,$F243&amp;"R",BD242))))</f>
        <v/>
      </c>
      <c r="BE243" s="11" t="str">
        <f aca="false">IF($P243=0,BE242,IF(BE$3=$E243,IF($AA243=1,$F243&amp;$AB243,$G243),IF(OR(BE$3=$D243,BE$3=$AC243,BE$3=$AE243),"",IF(BE$3=$AD243,$F243&amp;"R",BE242))))</f>
        <v/>
      </c>
      <c r="BF243" s="11" t="str">
        <f aca="false">IF($P243=0,BF242,IF(BF$3=$E243,IF($AA243=1,$F243&amp;$AB243,$G243),IF(OR(BF$3=$D243,BF$3=$AC243,BF$3=$AE243),"",IF(BF$3=$AD243,$F243&amp;"R",BF242))))</f>
        <v/>
      </c>
      <c r="BG243" s="11" t="str">
        <f aca="false">IF($P243=0,BG242,IF(BG$3=$E243,IF($AA243=1,$F243&amp;$AB243,$G243),IF(OR(BG$3=$D243,BG$3=$AC243,BG$3=$AE243),"",IF(BG$3=$AD243,$F243&amp;"R",BG242))))</f>
        <v/>
      </c>
      <c r="BH243" s="11" t="str">
        <f aca="false">IF($P243=0,BH242,IF(BH$3=$E243,IF($AA243=1,$F243&amp;$AB243,$G243),IF(OR(BH$3=$D243,BH$3=$AC243,BH$3=$AE243),"",IF(BH$3=$AD243,$F243&amp;"R",BH242))))</f>
        <v/>
      </c>
      <c r="BI243" s="11" t="str">
        <f aca="false">IF($P243=0,BI242,IF(BI$3=$E243,IF($AA243=1,$F243&amp;$AB243,$G243),IF(OR(BI$3=$D243,BI$3=$AC243,BI$3=$AE243),"",IF(BI$3=$AD243,$F243&amp;"R",BI242))))</f>
        <v/>
      </c>
      <c r="BJ243" s="11" t="str">
        <f aca="false">IF($P243=0,BJ242,IF(BJ$3=$E243,IF($AA243=1,$F243&amp;$AB243,$G243),IF(OR(BJ$3=$D243,BJ$3=$AC243,BJ$3=$AE243),"",IF(BJ$3=$AD243,$F243&amp;"R",BJ242))))</f>
        <v/>
      </c>
      <c r="BK243" s="11" t="str">
        <f aca="false">IF($P243=0,BK242,IF(BK$3=$E243,IF($AA243=1,$F243&amp;$AB243,$G243),IF(OR(BK$3=$D243,BK$3=$AC243,BK$3=$AE243),"",IF(BK$3=$AD243,$F243&amp;"R",BK242))))</f>
        <v/>
      </c>
      <c r="BL243" s="11" t="str">
        <f aca="false">IF($P243=0,BL242,IF(BL$3=$E243,IF($AA243=1,$F243&amp;$AB243,$G243),IF(OR(BL$3=$D243,BL$3=$AC243,BL$3=$AE243),"",IF(BL$3=$AD243,$F243&amp;"R",BL242))))</f>
        <v/>
      </c>
      <c r="BM243" s="11" t="str">
        <f aca="false">IF($P243=0,BM242,IF(BM$3=$E243,IF($AA243=1,$F243&amp;$AB243,$G243),IF(OR(BM$3=$D243,BM$3=$AC243,BM$3=$AE243),"",IF(BM$3=$AD243,$F243&amp;"R",BM242))))</f>
        <v/>
      </c>
      <c r="BN243" s="11" t="str">
        <f aca="false">IF($P243=0,BN242,IF(BN$3=$E243,IF($AA243=1,$F243&amp;$AB243,$G243),IF(OR(BN$3=$D243,BN$3=$AC243,BN$3=$AE243),"",IF(BN$3=$AD243,$F243&amp;"R",BN242))))</f>
        <v/>
      </c>
      <c r="BO243" s="11" t="str">
        <f aca="false">IF($P243=0,BO242,IF(BO$3=$E243,IF($AA243=1,$F243&amp;$AB243,$G243),IF(OR(BO$3=$D243,BO$3=$AC243,BO$3=$AE243),"",IF(BO$3=$AD243,$F243&amp;"R",BO242))))</f>
        <v/>
      </c>
      <c r="BP243" s="11" t="str">
        <f aca="false">IF($P243=0,BP242,IF(BP$3=$E243,IF($AA243=1,$F243&amp;$AB243,$G243),IF(OR(BP$3=$D243,BP$3=$AC243,BP$3=$AE243),"",IF(BP$3=$AD243,$F243&amp;"R",BP242))))</f>
        <v/>
      </c>
      <c r="BQ243" s="11" t="str">
        <f aca="false">IF($P243=0,BQ242,IF(BQ$3=$E243,IF($AA243=1,$F243&amp;$AB243,$G243),IF(OR(BQ$3=$D243,BQ$3=$AC243,BQ$3=$AE243),"",IF(BQ$3=$AD243,$F243&amp;"R",BQ242))))</f>
        <v/>
      </c>
      <c r="BR243" s="11" t="str">
        <f aca="false">IF($P243=0,BR242,IF(BR$3=$E243,IF($AA243=1,$F243&amp;$AB243,$G243),IF(OR(BR$3=$D243,BR$3=$AC243,BR$3=$AE243),"",IF(BR$3=$AD243,$F243&amp;"R",BR242))))</f>
        <v/>
      </c>
      <c r="BS243" s="11" t="str">
        <f aca="false">IF($P243=0,BS242,IF(BS$3=$E243,IF($AA243=1,$F243&amp;$AB243,$G243),IF(OR(BS$3=$D243,BS$3=$AC243,BS$3=$AE243),"",IF(BS$3=$AD243,$F243&amp;"R",BS242))))</f>
        <v/>
      </c>
      <c r="BT243" s="11" t="str">
        <f aca="false">IF($P243=0,BT242,IF(BT$3=$E243,IF($AA243=1,$F243&amp;$AB243,$G243),IF(OR(BT$3=$D243,BT$3=$AC243,BT$3=$AE243),"",IF(BT$3=$AD243,$F243&amp;"R",BT242))))</f>
        <v/>
      </c>
      <c r="BU243" s="11" t="str">
        <f aca="false">IF($P243=0,BU242,IF(BU$3=$E243,IF($AA243=1,$F243&amp;$AB243,$G243),IF(OR(BU$3=$D243,BU$3=$AC243,BU$3=$AE243),"",IF(BU$3=$AD243,$F243&amp;"R",BU242))))</f>
        <v/>
      </c>
      <c r="BV243" s="11" t="str">
        <f aca="false">IF($P243=0,BV242,IF(BV$3=$E243,IF($AA243=1,$F243&amp;$AB243,$G243),IF(OR(BV$3=$D243,BV$3=$AC243,BV$3=$AE243),"",IF(BV$3=$AD243,$F243&amp;"R",BV242))))</f>
        <v/>
      </c>
      <c r="BW243" s="11" t="str">
        <f aca="false">IF($P243=0,BW242,IF(BW$3=$E243,IF($AA243=1,$F243&amp;$AB243,$G243),IF(OR(BW$3=$D243,BW$3=$AC243,BW$3=$AE243),"",IF(BW$3=$AD243,$F243&amp;"R",BW242))))</f>
        <v/>
      </c>
      <c r="BX243" s="11" t="str">
        <f aca="false">IF($P243=0,BX242,IF(BX$3=$E243,IF($AA243=1,$F243&amp;$AB243,$G243),IF(OR(BX$3=$D243,BX$3=$AC243,BX$3=$AE243),"",IF(BX$3=$AD243,$F243&amp;"R",BX242))))</f>
        <v/>
      </c>
      <c r="BY243" s="11" t="str">
        <f aca="false">IF($P243=0,BY242,IF(BY$3=$E243,IF($AA243=1,$F243&amp;$AB243,$G243),IF(OR(BY$3=$D243,BY$3=$AC243,BY$3=$AE243),"",IF(BY$3=$AD243,$F243&amp;"R",BY242))))</f>
        <v/>
      </c>
      <c r="BZ243" s="11" t="str">
        <f aca="false">IF($P243=0,BZ242,IF(BZ$3=$E243,IF($AA243=1,$F243&amp;$AB243,$G243),IF(OR(BZ$3=$D243,BZ$3=$AC243,BZ$3=$AE243),"",IF(BZ$3=$AD243,$F243&amp;"R",BZ242))))</f>
        <v/>
      </c>
      <c r="CA243" s="11" t="str">
        <f aca="false">IF($P243=0,CA242,IF(CA$3=$E243,IF($AA243=1,$F243&amp;$AB243,$G243),IF(OR(CA$3=$D243,CA$3=$AC243,CA$3=$AE243),"",IF(CA$3=$AD243,$F243&amp;"R",CA242))))</f>
        <v/>
      </c>
      <c r="CB243" s="11" t="str">
        <f aca="false">IF($P243=0,CB242,IF(CB$3=$E243,IF($AA243=1,$F243&amp;$AB243,$G243),IF(OR(CB$3=$D243,CB$3=$AC243,CB$3=$AE243),"",IF(CB$3=$AD243,$F243&amp;"R",CB242))))</f>
        <v/>
      </c>
      <c r="CC243" s="11" t="str">
        <f aca="false">IF($P243=0,CC242,IF(CC$3=$E243,IF($AA243=1,$F243&amp;$AB243,$G243),IF(OR(CC$3=$D243,CC$3=$AC243,CC$3=$AE243),"",IF(CC$3=$AD243,$F243&amp;"R",CC242))))</f>
        <v/>
      </c>
      <c r="CD243" s="11" t="str">
        <f aca="false">IF($P243=0,CD242,IF(CD$3=$E243,IF($AA243=1,$F243&amp;$AB243,$G243),IF(OR(CD$3=$D243,CD$3=$AC243,CD$3=$AE243),"",IF(CD$3=$AD243,$F243&amp;"R",CD242))))</f>
        <v>bP</v>
      </c>
      <c r="CE243" s="11" t="str">
        <f aca="false">IF($P243=0,CE242,IF(CE$3=$E243,IF($AA243=1,$F243&amp;$AB243,$G243),IF(OR(CE$3=$D243,CE$3=$AC243,CE$3=$AE243),"",IF(CE$3=$AD243,$F243&amp;"R",CE242))))</f>
        <v>bP</v>
      </c>
      <c r="CF243" s="11" t="str">
        <f aca="false">IF($P243=0,CF242,IF(CF$3=$E243,IF($AA243=1,$F243&amp;$AB243,$G243),IF(OR(CF$3=$D243,CF$3=$AC243,CF$3=$AE243),"",IF(CF$3=$AD243,$F243&amp;"R",CF242))))</f>
        <v>bP</v>
      </c>
      <c r="CG243" s="11" t="str">
        <f aca="false">IF($P243=0,CG242,IF(CG$3=$E243,IF($AA243=1,$F243&amp;$AB243,$G243),IF(OR(CG$3=$D243,CG$3=$AC243,CG$3=$AE243),"",IF(CG$3=$AD243,$F243&amp;"R",CG242))))</f>
        <v>bP</v>
      </c>
      <c r="CH243" s="11" t="str">
        <f aca="false">IF($P243=0,CH242,IF(CH$3=$E243,IF($AA243=1,$F243&amp;$AB243,$G243),IF(OR(CH$3=$D243,CH$3=$AC243,CH$3=$AE243),"",IF(CH$3=$AD243,$F243&amp;"R",CH242))))</f>
        <v>bP</v>
      </c>
      <c r="CI243" s="11" t="str">
        <f aca="false">IF($P243=0,CI242,IF(CI$3=$E243,IF($AA243=1,$F243&amp;$AB243,$G243),IF(OR(CI$3=$D243,CI$3=$AC243,CI$3=$AE243),"",IF(CI$3=$AD243,$F243&amp;"R",CI242))))</f>
        <v>bP</v>
      </c>
      <c r="CJ243" s="11" t="str">
        <f aca="false">IF($P243=0,CJ242,IF(CJ$3=$E243,IF($AA243=1,$F243&amp;$AB243,$G243),IF(OR(CJ$3=$D243,CJ$3=$AC243,CJ$3=$AE243),"",IF(CJ$3=$AD243,$F243&amp;"R",CJ242))))</f>
        <v>bP</v>
      </c>
      <c r="CK243" s="11" t="str">
        <f aca="false">IF($P243=0,CK242,IF(CK$3=$E243,IF($AA243=1,$F243&amp;$AB243,$G243),IF(OR(CK$3=$D243,CK$3=$AC243,CK$3=$AE243),"",IF(CK$3=$AD243,$F243&amp;"R",CK242))))</f>
        <v>bP</v>
      </c>
      <c r="CL243" s="11" t="str">
        <f aca="false">IF($P243=0,CL242,IF(CL$3=$E243,IF($AA243=1,$F243&amp;$AB243,$G243),IF(OR(CL$3=$D243,CL$3=$AC243,CL$3=$AE243),"",IF(CL$3=$AD243,$F243&amp;"R",CL242))))</f>
        <v>bR</v>
      </c>
      <c r="CM243" s="11" t="str">
        <f aca="false">IF($P243=0,CM242,IF(CM$3=$E243,IF($AA243=1,$F243&amp;$AB243,$G243),IF(OR(CM$3=$D243,CM$3=$AC243,CM$3=$AE243),"",IF(CM$3=$AD243,$F243&amp;"R",CM242))))</f>
        <v>bN</v>
      </c>
      <c r="CN243" s="11" t="str">
        <f aca="false">IF($P243=0,CN242,IF(CN$3=$E243,IF($AA243=1,$F243&amp;$AB243,$G243),IF(OR(CN$3=$D243,CN$3=$AC243,CN$3=$AE243),"",IF(CN$3=$AD243,$F243&amp;"R",CN242))))</f>
        <v>bB</v>
      </c>
      <c r="CO243" s="11" t="str">
        <f aca="false">IF($P243=0,CO242,IF(CO$3=$E243,IF($AA243=1,$F243&amp;$AB243,$G243),IF(OR(CO$3=$D243,CO$3=$AC243,CO$3=$AE243),"",IF(CO$3=$AD243,$F243&amp;"R",CO242))))</f>
        <v>bQ</v>
      </c>
      <c r="CP243" s="11" t="str">
        <f aca="false">IF($P243=0,CP242,IF(CP$3=$E243,IF($AA243=1,$F243&amp;$AB243,$G243),IF(OR(CP$3=$D243,CP$3=$AC243,CP$3=$AE243),"",IF(CP$3=$AD243,$F243&amp;"R",CP242))))</f>
        <v>bK</v>
      </c>
      <c r="CQ243" s="11" t="str">
        <f aca="false">IF($P243=0,CQ242,IF(CQ$3=$E243,IF($AA243=1,$F243&amp;$AB243,$G243),IF(OR(CQ$3=$D243,CQ$3=$AC243,CQ$3=$AE243),"",IF(CQ$3=$AD243,$F243&amp;"R",CQ242))))</f>
        <v>bB</v>
      </c>
      <c r="CR243" s="11" t="str">
        <f aca="false">IF($P243=0,CR242,IF(CR$3=$E243,IF($AA243=1,$F243&amp;$AB243,$G243),IF(OR(CR$3=$D243,CR$3=$AC243,CR$3=$AE243),"",IF(CR$3=$AD243,$F243&amp;"R",CR242))))</f>
        <v>bN</v>
      </c>
      <c r="CS243" s="11" t="str">
        <f aca="false">IF($P243=0,CS242,IF(CS$3=$E243,IF($AA243=1,$F243&amp;$AB243,$G243),IF(OR(CS$3=$D243,CS$3=$AC243,CS$3=$AE243),"",IF(CS$3=$AD243,$F243&amp;"R",CS242))))</f>
        <v>bR</v>
      </c>
      <c r="CT243" s="11"/>
      <c r="CU243" s="11"/>
      <c r="CV243" s="11"/>
    </row>
    <row r="244" customFormat="false" ht="15" hidden="false" customHeight="false" outlineLevel="0" collapsed="false">
      <c r="A244" s="11" t="n">
        <v>239</v>
      </c>
      <c r="B244" s="11" t="str">
        <f aca="false">IF(Chess!$L$248="","",Chess!$L$248&amp;"")</f>
        <v/>
      </c>
      <c r="C244" s="11" t="str">
        <f aca="false">LOWER(SUBSTITUTE(SUBSTITUTE(SUBSTITUTE(SUBSTITUTE(TRIM($B244),"-",""),"=","")," ",""),"x",""))</f>
        <v/>
      </c>
      <c r="D244" s="11" t="n">
        <f aca="false">IF(LEN($C244)&lt;4,0,IFERROR(IF(AND(CODE(MID($C244,1,1))&gt;=97,CODE(MID($C244,1,1))&lt;=104,VALUE(MID($C244,2,1))&gt;=1,VALUE(MID($C244,2,1))&lt;=8),(VALUE(MID($C244,2,1))-1)*8+CODE(MID($C244,1,1))-96,0),0))</f>
        <v>0</v>
      </c>
      <c r="E244" s="11" t="n">
        <f aca="false">IF(LEN($C244)&lt;4,0,IFERROR(IF(AND(CODE(MID($C244,3,1))&gt;=97,CODE(MID($C244,3,1))&lt;=104,VALUE(MID($C244,4,1))&gt;=1,VALUE(MID($C244,4,1))&lt;=8),(VALUE(MID($C244,4,1))-1)*8+CODE(MID($C244,3,1))-96,0),0))</f>
        <v>0</v>
      </c>
      <c r="F244" s="11" t="str">
        <f aca="false">IF(MOD(SUM($P$5:$P243),2)=0,"w","b")</f>
        <v>w</v>
      </c>
      <c r="G244" s="11" t="str">
        <f aca="false">IF($D244=0,"",INDEX($AH243:$CS243,1,$D244)&amp;"")</f>
        <v/>
      </c>
      <c r="H244" s="11" t="str">
        <f aca="false">IF($E244=0,"",INDEX($AH243:$CS243,1,$E244)&amp;"")</f>
        <v/>
      </c>
      <c r="I244" s="11" t="n">
        <f aca="false">IF(OR($D244=0,$E244=0),0,MOD($E244-1,8)-MOD($D244-1,8))</f>
        <v>0</v>
      </c>
      <c r="J244" s="11" t="n">
        <f aca="false">IF(OR($D244=0,$E244=0),0,INT(($E244-1)/8)-INT(($D244-1)/8))</f>
        <v>0</v>
      </c>
      <c r="K244" s="11" t="str">
        <f aca="false">IF($G244="","",RIGHT($G244,1))</f>
        <v/>
      </c>
      <c r="L244" s="11" t="n">
        <f aca="false">IF(OR($D244=0,$E244=0),0,SUMPRODUCT(($AH$3:$CS$3&gt;MIN($D244,$E244))*($AH$3:$CS$3&lt;MAX($D244,$E244))*(MOD($AH$3:$CS$3-MIN($D244,$E244),MAX(1,ABS(SIGN($J244)*8+SIGN($I244))))=0)*($AH243:$CS243&lt;&gt;"")))</f>
        <v>0</v>
      </c>
      <c r="M244" s="11" t="n">
        <f aca="false">IF($K244&lt;&gt;"K",0,IFERROR(--AND($J244=0,ABS($I244)=2,$D244=IF($F244="w",5,61),IF($F244="w",$S243,$V243)=0,IF($I244=2,AND(IF($F244="w",$U243,$X243)=0,INDEX($AH243:$CS243,1,$D244+1)&amp;""="",INDEX($AH243:$CS243,1,$D244+2)&amp;""=""),AND(IF($F244="w",$T243,$W243)=0,INDEX($AH243:$CS243,1,$D244-1)&amp;""="",INDEX($AH243:$CS243,1,$D244-2)&amp;""="",INDEX($AH243:$CS243,1,$D244-3)&amp;""=""))),0))</f>
        <v>0</v>
      </c>
      <c r="N244" s="11" t="n">
        <f aca="false">IF($K244&lt;&gt;"P",0,IFERROR(--OR(AND($I244=0,$J244=IF($F244="w",1,-1),$H244=""),AND($I244=0,$J244=2*IF($F244="w",1,-1),$H244="",INT(($D244-1)/8)=IF($F244="w",1,6),INDEX($AH243:$CS243,1,MAX(1,MIN(64,$D244+8*IF($F244="w",1,-1))))&amp;""=""),AND(ABS($I244)=1,$J244=IF($F244="w",1,-1),$H244&lt;&gt;""),AND(ABS($I244)=1,$J244=IF($F244="w",1,-1),$H244="",$R243&gt;0,$E244=$R243)),0))</f>
        <v>0</v>
      </c>
      <c r="O244" s="11" t="n">
        <f aca="false">IF(OR($D244=0,$E244=0,$G244=""),0,IF($K244="N",--OR(AND(ABS($I244)=1,ABS($J244)=2),AND(ABS($I244)=2,ABS($J244)=1)),IF($K244="B",--AND(ABS($I244)=ABS($J244),$I244&lt;&gt;0,$L244=0),IF($K244="R",--AND(OR($I244=0,$J244=0),OR($I244&lt;&gt;0,$J244&lt;&gt;0),$L244=0),IF($K244="Q",--AND(OR(AND(ABS($I244)=ABS($J244),$I244&lt;&gt;0),AND(OR($I244=0,$J244=0),OR($I244&lt;&gt;0,$J244&lt;&gt;0))),$L244=0),IF($K244="K",--OR(MAX(ABS($I244),ABS($J244))=1,$M244=1),$N244))))))</f>
        <v>0</v>
      </c>
      <c r="P244" s="11" t="n">
        <f aca="false">IF($Q244="OK",1,0)</f>
        <v>0</v>
      </c>
      <c r="Q244" s="11" t="str">
        <f aca="false">IF($B244="","",IF(OR(COUNTIF($AH243:$CS243,"wK")=0,COUNTIF($AH243:$CS243,"bK")=0),"Game is over",IF(OR($D244=0,$E244=0),"Use the format e2e4",IF($G244="","No piece on that square",IF(LEFT($G244,1)&lt;&gt;$F244,"Not your piece ("&amp;IF($F244="w","White","Black")&amp;" to move)",IF($D244=$E244,"Piece must move",IF(AND($H244&lt;&gt;"",LEFT($H244,1)=$F244),"Cannot capture your own piece",IF($O244=0,"Illegal move for that piece (or path blocked)","OK"))))))))</f>
        <v/>
      </c>
      <c r="R244" s="11" t="n">
        <f aca="false">IF($P244=1,IF(AND($K244="P",ABS($J244)=2),($D244+$E244)/2,0),$R243)</f>
        <v>0</v>
      </c>
      <c r="S244" s="12" t="b">
        <f aca="false">--OR($S243=1,AND($P244=1,OR($D244=5,$E244=5)))</f>
        <v>0</v>
      </c>
      <c r="T244" s="12" t="b">
        <f aca="false">--OR($T243=1,AND($P244=1,OR($D244=1,$E244=1)))</f>
        <v>0</v>
      </c>
      <c r="U244" s="12" t="b">
        <f aca="false">--OR($U243=1,AND($P244=1,OR($D244=8,$E244=8)))</f>
        <v>0</v>
      </c>
      <c r="V244" s="12" t="b">
        <f aca="false">--OR($V243=1,AND($P244=1,OR($D244=61,$E244=61)))</f>
        <v>0</v>
      </c>
      <c r="W244" s="12" t="b">
        <f aca="false">--OR($W243=1,AND($P244=1,OR($D244=57,$E244=57)))</f>
        <v>0</v>
      </c>
      <c r="X244" s="12" t="b">
        <f aca="false">--OR($X243=1,AND($P244=1,OR($D244=64,$E244=64)))</f>
        <v>0</v>
      </c>
      <c r="Y244" s="12" t="b">
        <f aca="false">--AND($P244=1,$K244="K",ABS($I244)=2)</f>
        <v>0</v>
      </c>
      <c r="Z244" s="12" t="b">
        <f aca="false">--AND($P244=1,$K244="P",ABS($I244)=1,$H244="")</f>
        <v>0</v>
      </c>
      <c r="AA244" s="12" t="b">
        <f aca="false">--AND($P244=1,$K244="P",INT(($E244-1)/8)=IF($F244="w",7,0))</f>
        <v>0</v>
      </c>
      <c r="AB244" s="11" t="str">
        <f aca="false">IF(LEN($C244)&gt;=5,IF(ISNUMBER(FIND(MID($C244,5,1),"qrbn")),UPPER(MID($C244,5,1)),"Q"),"Q")</f>
        <v>Q</v>
      </c>
      <c r="AC244" s="11" t="n">
        <f aca="false">IF($Y244=1,IF($I244=2,$D244+3,$D244-4),0)</f>
        <v>0</v>
      </c>
      <c r="AD244" s="11" t="n">
        <f aca="false">IF($Y244=1,IF($I244=2,$D244+1,$D244-1),0)</f>
        <v>0</v>
      </c>
      <c r="AE244" s="11" t="n">
        <f aca="false">IF($Z244=1,$E244-8*IF($F244="w",1,-1),0)</f>
        <v>0</v>
      </c>
      <c r="AF244" s="11" t="str">
        <f aca="false">IF($B244="","",IF($P244=1,LOWER(INDEX($CV$2:$CV$13,MATCH($G244,$CU$2:$CU$13,0)))&amp;" "&amp;MID("abcdefgh",MOD($D244-1,8)+1,1)&amp;(INT(($D244-1)/8)+1)&amp;"→"&amp;MID("abcdefgh",MOD($E244-1,8)+1,1)&amp;(INT(($E244-1)/8)+1)&amp;IF(OR($H244&lt;&gt;"",$Z244=1)," ×","")&amp;IF($Y244=1," castles","")&amp;IF($Z244=1," e.p.","")&amp;IF($AA244=1," =" &amp;LOWER(INDEX($CV$2:$CV$13,MATCH($F244&amp;$AB244,$CU$2:$CU$13,0))),""),"X "&amp;$Q244))</f>
        <v/>
      </c>
      <c r="AG244" s="11"/>
      <c r="AH244" s="11" t="str">
        <f aca="false">IF($P244=0,AH243,IF(AH$3=$E244,IF($AA244=1,$F244&amp;$AB244,$G244),IF(OR(AH$3=$D244,AH$3=$AC244,AH$3=$AE244),"",IF(AH$3=$AD244,$F244&amp;"R",AH243))))</f>
        <v>wR</v>
      </c>
      <c r="AI244" s="11" t="str">
        <f aca="false">IF($P244=0,AI243,IF(AI$3=$E244,IF($AA244=1,$F244&amp;$AB244,$G244),IF(OR(AI$3=$D244,AI$3=$AC244,AI$3=$AE244),"",IF(AI$3=$AD244,$F244&amp;"R",AI243))))</f>
        <v>wN</v>
      </c>
      <c r="AJ244" s="11" t="str">
        <f aca="false">IF($P244=0,AJ243,IF(AJ$3=$E244,IF($AA244=1,$F244&amp;$AB244,$G244),IF(OR(AJ$3=$D244,AJ$3=$AC244,AJ$3=$AE244),"",IF(AJ$3=$AD244,$F244&amp;"R",AJ243))))</f>
        <v>wB</v>
      </c>
      <c r="AK244" s="11" t="str">
        <f aca="false">IF($P244=0,AK243,IF(AK$3=$E244,IF($AA244=1,$F244&amp;$AB244,$G244),IF(OR(AK$3=$D244,AK$3=$AC244,AK$3=$AE244),"",IF(AK$3=$AD244,$F244&amp;"R",AK243))))</f>
        <v>wQ</v>
      </c>
      <c r="AL244" s="11" t="str">
        <f aca="false">IF($P244=0,AL243,IF(AL$3=$E244,IF($AA244=1,$F244&amp;$AB244,$G244),IF(OR(AL$3=$D244,AL$3=$AC244,AL$3=$AE244),"",IF(AL$3=$AD244,$F244&amp;"R",AL243))))</f>
        <v>wK</v>
      </c>
      <c r="AM244" s="11" t="str">
        <f aca="false">IF($P244=0,AM243,IF(AM$3=$E244,IF($AA244=1,$F244&amp;$AB244,$G244),IF(OR(AM$3=$D244,AM$3=$AC244,AM$3=$AE244),"",IF(AM$3=$AD244,$F244&amp;"R",AM243))))</f>
        <v>wB</v>
      </c>
      <c r="AN244" s="11" t="str">
        <f aca="false">IF($P244=0,AN243,IF(AN$3=$E244,IF($AA244=1,$F244&amp;$AB244,$G244),IF(OR(AN$3=$D244,AN$3=$AC244,AN$3=$AE244),"",IF(AN$3=$AD244,$F244&amp;"R",AN243))))</f>
        <v>wN</v>
      </c>
      <c r="AO244" s="11" t="str">
        <f aca="false">IF($P244=0,AO243,IF(AO$3=$E244,IF($AA244=1,$F244&amp;$AB244,$G244),IF(OR(AO$3=$D244,AO$3=$AC244,AO$3=$AE244),"",IF(AO$3=$AD244,$F244&amp;"R",AO243))))</f>
        <v>wR</v>
      </c>
      <c r="AP244" s="11" t="str">
        <f aca="false">IF($P244=0,AP243,IF(AP$3=$E244,IF($AA244=1,$F244&amp;$AB244,$G244),IF(OR(AP$3=$D244,AP$3=$AC244,AP$3=$AE244),"",IF(AP$3=$AD244,$F244&amp;"R",AP243))))</f>
        <v>wP</v>
      </c>
      <c r="AQ244" s="11" t="str">
        <f aca="false">IF($P244=0,AQ243,IF(AQ$3=$E244,IF($AA244=1,$F244&amp;$AB244,$G244),IF(OR(AQ$3=$D244,AQ$3=$AC244,AQ$3=$AE244),"",IF(AQ$3=$AD244,$F244&amp;"R",AQ243))))</f>
        <v>wP</v>
      </c>
      <c r="AR244" s="11" t="str">
        <f aca="false">IF($P244=0,AR243,IF(AR$3=$E244,IF($AA244=1,$F244&amp;$AB244,$G244),IF(OR(AR$3=$D244,AR$3=$AC244,AR$3=$AE244),"",IF(AR$3=$AD244,$F244&amp;"R",AR243))))</f>
        <v>wP</v>
      </c>
      <c r="AS244" s="11" t="str">
        <f aca="false">IF($P244=0,AS243,IF(AS$3=$E244,IF($AA244=1,$F244&amp;$AB244,$G244),IF(OR(AS$3=$D244,AS$3=$AC244,AS$3=$AE244),"",IF(AS$3=$AD244,$F244&amp;"R",AS243))))</f>
        <v>wP</v>
      </c>
      <c r="AT244" s="11" t="str">
        <f aca="false">IF($P244=0,AT243,IF(AT$3=$E244,IF($AA244=1,$F244&amp;$AB244,$G244),IF(OR(AT$3=$D244,AT$3=$AC244,AT$3=$AE244),"",IF(AT$3=$AD244,$F244&amp;"R",AT243))))</f>
        <v>wP</v>
      </c>
      <c r="AU244" s="11" t="str">
        <f aca="false">IF($P244=0,AU243,IF(AU$3=$E244,IF($AA244=1,$F244&amp;$AB244,$G244),IF(OR(AU$3=$D244,AU$3=$AC244,AU$3=$AE244),"",IF(AU$3=$AD244,$F244&amp;"R",AU243))))</f>
        <v>wP</v>
      </c>
      <c r="AV244" s="11" t="str">
        <f aca="false">IF($P244=0,AV243,IF(AV$3=$E244,IF($AA244=1,$F244&amp;$AB244,$G244),IF(OR(AV$3=$D244,AV$3=$AC244,AV$3=$AE244),"",IF(AV$3=$AD244,$F244&amp;"R",AV243))))</f>
        <v>wP</v>
      </c>
      <c r="AW244" s="11" t="str">
        <f aca="false">IF($P244=0,AW243,IF(AW$3=$E244,IF($AA244=1,$F244&amp;$AB244,$G244),IF(OR(AW$3=$D244,AW$3=$AC244,AW$3=$AE244),"",IF(AW$3=$AD244,$F244&amp;"R",AW243))))</f>
        <v>wP</v>
      </c>
      <c r="AX244" s="11" t="str">
        <f aca="false">IF($P244=0,AX243,IF(AX$3=$E244,IF($AA244=1,$F244&amp;$AB244,$G244),IF(OR(AX$3=$D244,AX$3=$AC244,AX$3=$AE244),"",IF(AX$3=$AD244,$F244&amp;"R",AX243))))</f>
        <v/>
      </c>
      <c r="AY244" s="11" t="str">
        <f aca="false">IF($P244=0,AY243,IF(AY$3=$E244,IF($AA244=1,$F244&amp;$AB244,$G244),IF(OR(AY$3=$D244,AY$3=$AC244,AY$3=$AE244),"",IF(AY$3=$AD244,$F244&amp;"R",AY243))))</f>
        <v/>
      </c>
      <c r="AZ244" s="11" t="str">
        <f aca="false">IF($P244=0,AZ243,IF(AZ$3=$E244,IF($AA244=1,$F244&amp;$AB244,$G244),IF(OR(AZ$3=$D244,AZ$3=$AC244,AZ$3=$AE244),"",IF(AZ$3=$AD244,$F244&amp;"R",AZ243))))</f>
        <v/>
      </c>
      <c r="BA244" s="11" t="str">
        <f aca="false">IF($P244=0,BA243,IF(BA$3=$E244,IF($AA244=1,$F244&amp;$AB244,$G244),IF(OR(BA$3=$D244,BA$3=$AC244,BA$3=$AE244),"",IF(BA$3=$AD244,$F244&amp;"R",BA243))))</f>
        <v/>
      </c>
      <c r="BB244" s="11" t="str">
        <f aca="false">IF($P244=0,BB243,IF(BB$3=$E244,IF($AA244=1,$F244&amp;$AB244,$G244),IF(OR(BB$3=$D244,BB$3=$AC244,BB$3=$AE244),"",IF(BB$3=$AD244,$F244&amp;"R",BB243))))</f>
        <v/>
      </c>
      <c r="BC244" s="11" t="str">
        <f aca="false">IF($P244=0,BC243,IF(BC$3=$E244,IF($AA244=1,$F244&amp;$AB244,$G244),IF(OR(BC$3=$D244,BC$3=$AC244,BC$3=$AE244),"",IF(BC$3=$AD244,$F244&amp;"R",BC243))))</f>
        <v/>
      </c>
      <c r="BD244" s="11" t="str">
        <f aca="false">IF($P244=0,BD243,IF(BD$3=$E244,IF($AA244=1,$F244&amp;$AB244,$G244),IF(OR(BD$3=$D244,BD$3=$AC244,BD$3=$AE244),"",IF(BD$3=$AD244,$F244&amp;"R",BD243))))</f>
        <v/>
      </c>
      <c r="BE244" s="11" t="str">
        <f aca="false">IF($P244=0,BE243,IF(BE$3=$E244,IF($AA244=1,$F244&amp;$AB244,$G244),IF(OR(BE$3=$D244,BE$3=$AC244,BE$3=$AE244),"",IF(BE$3=$AD244,$F244&amp;"R",BE243))))</f>
        <v/>
      </c>
      <c r="BF244" s="11" t="str">
        <f aca="false">IF($P244=0,BF243,IF(BF$3=$E244,IF($AA244=1,$F244&amp;$AB244,$G244),IF(OR(BF$3=$D244,BF$3=$AC244,BF$3=$AE244),"",IF(BF$3=$AD244,$F244&amp;"R",BF243))))</f>
        <v/>
      </c>
      <c r="BG244" s="11" t="str">
        <f aca="false">IF($P244=0,BG243,IF(BG$3=$E244,IF($AA244=1,$F244&amp;$AB244,$G244),IF(OR(BG$3=$D244,BG$3=$AC244,BG$3=$AE244),"",IF(BG$3=$AD244,$F244&amp;"R",BG243))))</f>
        <v/>
      </c>
      <c r="BH244" s="11" t="str">
        <f aca="false">IF($P244=0,BH243,IF(BH$3=$E244,IF($AA244=1,$F244&amp;$AB244,$G244),IF(OR(BH$3=$D244,BH$3=$AC244,BH$3=$AE244),"",IF(BH$3=$AD244,$F244&amp;"R",BH243))))</f>
        <v/>
      </c>
      <c r="BI244" s="11" t="str">
        <f aca="false">IF($P244=0,BI243,IF(BI$3=$E244,IF($AA244=1,$F244&amp;$AB244,$G244),IF(OR(BI$3=$D244,BI$3=$AC244,BI$3=$AE244),"",IF(BI$3=$AD244,$F244&amp;"R",BI243))))</f>
        <v/>
      </c>
      <c r="BJ244" s="11" t="str">
        <f aca="false">IF($P244=0,BJ243,IF(BJ$3=$E244,IF($AA244=1,$F244&amp;$AB244,$G244),IF(OR(BJ$3=$D244,BJ$3=$AC244,BJ$3=$AE244),"",IF(BJ$3=$AD244,$F244&amp;"R",BJ243))))</f>
        <v/>
      </c>
      <c r="BK244" s="11" t="str">
        <f aca="false">IF($P244=0,BK243,IF(BK$3=$E244,IF($AA244=1,$F244&amp;$AB244,$G244),IF(OR(BK$3=$D244,BK$3=$AC244,BK$3=$AE244),"",IF(BK$3=$AD244,$F244&amp;"R",BK243))))</f>
        <v/>
      </c>
      <c r="BL244" s="11" t="str">
        <f aca="false">IF($P244=0,BL243,IF(BL$3=$E244,IF($AA244=1,$F244&amp;$AB244,$G244),IF(OR(BL$3=$D244,BL$3=$AC244,BL$3=$AE244),"",IF(BL$3=$AD244,$F244&amp;"R",BL243))))</f>
        <v/>
      </c>
      <c r="BM244" s="11" t="str">
        <f aca="false">IF($P244=0,BM243,IF(BM$3=$E244,IF($AA244=1,$F244&amp;$AB244,$G244),IF(OR(BM$3=$D244,BM$3=$AC244,BM$3=$AE244),"",IF(BM$3=$AD244,$F244&amp;"R",BM243))))</f>
        <v/>
      </c>
      <c r="BN244" s="11" t="str">
        <f aca="false">IF($P244=0,BN243,IF(BN$3=$E244,IF($AA244=1,$F244&amp;$AB244,$G244),IF(OR(BN$3=$D244,BN$3=$AC244,BN$3=$AE244),"",IF(BN$3=$AD244,$F244&amp;"R",BN243))))</f>
        <v/>
      </c>
      <c r="BO244" s="11" t="str">
        <f aca="false">IF($P244=0,BO243,IF(BO$3=$E244,IF($AA244=1,$F244&amp;$AB244,$G244),IF(OR(BO$3=$D244,BO$3=$AC244,BO$3=$AE244),"",IF(BO$3=$AD244,$F244&amp;"R",BO243))))</f>
        <v/>
      </c>
      <c r="BP244" s="11" t="str">
        <f aca="false">IF($P244=0,BP243,IF(BP$3=$E244,IF($AA244=1,$F244&amp;$AB244,$G244),IF(OR(BP$3=$D244,BP$3=$AC244,BP$3=$AE244),"",IF(BP$3=$AD244,$F244&amp;"R",BP243))))</f>
        <v/>
      </c>
      <c r="BQ244" s="11" t="str">
        <f aca="false">IF($P244=0,BQ243,IF(BQ$3=$E244,IF($AA244=1,$F244&amp;$AB244,$G244),IF(OR(BQ$3=$D244,BQ$3=$AC244,BQ$3=$AE244),"",IF(BQ$3=$AD244,$F244&amp;"R",BQ243))))</f>
        <v/>
      </c>
      <c r="BR244" s="11" t="str">
        <f aca="false">IF($P244=0,BR243,IF(BR$3=$E244,IF($AA244=1,$F244&amp;$AB244,$G244),IF(OR(BR$3=$D244,BR$3=$AC244,BR$3=$AE244),"",IF(BR$3=$AD244,$F244&amp;"R",BR243))))</f>
        <v/>
      </c>
      <c r="BS244" s="11" t="str">
        <f aca="false">IF($P244=0,BS243,IF(BS$3=$E244,IF($AA244=1,$F244&amp;$AB244,$G244),IF(OR(BS$3=$D244,BS$3=$AC244,BS$3=$AE244),"",IF(BS$3=$AD244,$F244&amp;"R",BS243))))</f>
        <v/>
      </c>
      <c r="BT244" s="11" t="str">
        <f aca="false">IF($P244=0,BT243,IF(BT$3=$E244,IF($AA244=1,$F244&amp;$AB244,$G244),IF(OR(BT$3=$D244,BT$3=$AC244,BT$3=$AE244),"",IF(BT$3=$AD244,$F244&amp;"R",BT243))))</f>
        <v/>
      </c>
      <c r="BU244" s="11" t="str">
        <f aca="false">IF($P244=0,BU243,IF(BU$3=$E244,IF($AA244=1,$F244&amp;$AB244,$G244),IF(OR(BU$3=$D244,BU$3=$AC244,BU$3=$AE244),"",IF(BU$3=$AD244,$F244&amp;"R",BU243))))</f>
        <v/>
      </c>
      <c r="BV244" s="11" t="str">
        <f aca="false">IF($P244=0,BV243,IF(BV$3=$E244,IF($AA244=1,$F244&amp;$AB244,$G244),IF(OR(BV$3=$D244,BV$3=$AC244,BV$3=$AE244),"",IF(BV$3=$AD244,$F244&amp;"R",BV243))))</f>
        <v/>
      </c>
      <c r="BW244" s="11" t="str">
        <f aca="false">IF($P244=0,BW243,IF(BW$3=$E244,IF($AA244=1,$F244&amp;$AB244,$G244),IF(OR(BW$3=$D244,BW$3=$AC244,BW$3=$AE244),"",IF(BW$3=$AD244,$F244&amp;"R",BW243))))</f>
        <v/>
      </c>
      <c r="BX244" s="11" t="str">
        <f aca="false">IF($P244=0,BX243,IF(BX$3=$E244,IF($AA244=1,$F244&amp;$AB244,$G244),IF(OR(BX$3=$D244,BX$3=$AC244,BX$3=$AE244),"",IF(BX$3=$AD244,$F244&amp;"R",BX243))))</f>
        <v/>
      </c>
      <c r="BY244" s="11" t="str">
        <f aca="false">IF($P244=0,BY243,IF(BY$3=$E244,IF($AA244=1,$F244&amp;$AB244,$G244),IF(OR(BY$3=$D244,BY$3=$AC244,BY$3=$AE244),"",IF(BY$3=$AD244,$F244&amp;"R",BY243))))</f>
        <v/>
      </c>
      <c r="BZ244" s="11" t="str">
        <f aca="false">IF($P244=0,BZ243,IF(BZ$3=$E244,IF($AA244=1,$F244&amp;$AB244,$G244),IF(OR(BZ$3=$D244,BZ$3=$AC244,BZ$3=$AE244),"",IF(BZ$3=$AD244,$F244&amp;"R",BZ243))))</f>
        <v/>
      </c>
      <c r="CA244" s="11" t="str">
        <f aca="false">IF($P244=0,CA243,IF(CA$3=$E244,IF($AA244=1,$F244&amp;$AB244,$G244),IF(OR(CA$3=$D244,CA$3=$AC244,CA$3=$AE244),"",IF(CA$3=$AD244,$F244&amp;"R",CA243))))</f>
        <v/>
      </c>
      <c r="CB244" s="11" t="str">
        <f aca="false">IF($P244=0,CB243,IF(CB$3=$E244,IF($AA244=1,$F244&amp;$AB244,$G244),IF(OR(CB$3=$D244,CB$3=$AC244,CB$3=$AE244),"",IF(CB$3=$AD244,$F244&amp;"R",CB243))))</f>
        <v/>
      </c>
      <c r="CC244" s="11" t="str">
        <f aca="false">IF($P244=0,CC243,IF(CC$3=$E244,IF($AA244=1,$F244&amp;$AB244,$G244),IF(OR(CC$3=$D244,CC$3=$AC244,CC$3=$AE244),"",IF(CC$3=$AD244,$F244&amp;"R",CC243))))</f>
        <v/>
      </c>
      <c r="CD244" s="11" t="str">
        <f aca="false">IF($P244=0,CD243,IF(CD$3=$E244,IF($AA244=1,$F244&amp;$AB244,$G244),IF(OR(CD$3=$D244,CD$3=$AC244,CD$3=$AE244),"",IF(CD$3=$AD244,$F244&amp;"R",CD243))))</f>
        <v>bP</v>
      </c>
      <c r="CE244" s="11" t="str">
        <f aca="false">IF($P244=0,CE243,IF(CE$3=$E244,IF($AA244=1,$F244&amp;$AB244,$G244),IF(OR(CE$3=$D244,CE$3=$AC244,CE$3=$AE244),"",IF(CE$3=$AD244,$F244&amp;"R",CE243))))</f>
        <v>bP</v>
      </c>
      <c r="CF244" s="11" t="str">
        <f aca="false">IF($P244=0,CF243,IF(CF$3=$E244,IF($AA244=1,$F244&amp;$AB244,$G244),IF(OR(CF$3=$D244,CF$3=$AC244,CF$3=$AE244),"",IF(CF$3=$AD244,$F244&amp;"R",CF243))))</f>
        <v>bP</v>
      </c>
      <c r="CG244" s="11" t="str">
        <f aca="false">IF($P244=0,CG243,IF(CG$3=$E244,IF($AA244=1,$F244&amp;$AB244,$G244),IF(OR(CG$3=$D244,CG$3=$AC244,CG$3=$AE244),"",IF(CG$3=$AD244,$F244&amp;"R",CG243))))</f>
        <v>bP</v>
      </c>
      <c r="CH244" s="11" t="str">
        <f aca="false">IF($P244=0,CH243,IF(CH$3=$E244,IF($AA244=1,$F244&amp;$AB244,$G244),IF(OR(CH$3=$D244,CH$3=$AC244,CH$3=$AE244),"",IF(CH$3=$AD244,$F244&amp;"R",CH243))))</f>
        <v>bP</v>
      </c>
      <c r="CI244" s="11" t="str">
        <f aca="false">IF($P244=0,CI243,IF(CI$3=$E244,IF($AA244=1,$F244&amp;$AB244,$G244),IF(OR(CI$3=$D244,CI$3=$AC244,CI$3=$AE244),"",IF(CI$3=$AD244,$F244&amp;"R",CI243))))</f>
        <v>bP</v>
      </c>
      <c r="CJ244" s="11" t="str">
        <f aca="false">IF($P244=0,CJ243,IF(CJ$3=$E244,IF($AA244=1,$F244&amp;$AB244,$G244),IF(OR(CJ$3=$D244,CJ$3=$AC244,CJ$3=$AE244),"",IF(CJ$3=$AD244,$F244&amp;"R",CJ243))))</f>
        <v>bP</v>
      </c>
      <c r="CK244" s="11" t="str">
        <f aca="false">IF($P244=0,CK243,IF(CK$3=$E244,IF($AA244=1,$F244&amp;$AB244,$G244),IF(OR(CK$3=$D244,CK$3=$AC244,CK$3=$AE244),"",IF(CK$3=$AD244,$F244&amp;"R",CK243))))</f>
        <v>bP</v>
      </c>
      <c r="CL244" s="11" t="str">
        <f aca="false">IF($P244=0,CL243,IF(CL$3=$E244,IF($AA244=1,$F244&amp;$AB244,$G244),IF(OR(CL$3=$D244,CL$3=$AC244,CL$3=$AE244),"",IF(CL$3=$AD244,$F244&amp;"R",CL243))))</f>
        <v>bR</v>
      </c>
      <c r="CM244" s="11" t="str">
        <f aca="false">IF($P244=0,CM243,IF(CM$3=$E244,IF($AA244=1,$F244&amp;$AB244,$G244),IF(OR(CM$3=$D244,CM$3=$AC244,CM$3=$AE244),"",IF(CM$3=$AD244,$F244&amp;"R",CM243))))</f>
        <v>bN</v>
      </c>
      <c r="CN244" s="11" t="str">
        <f aca="false">IF($P244=0,CN243,IF(CN$3=$E244,IF($AA244=1,$F244&amp;$AB244,$G244),IF(OR(CN$3=$D244,CN$3=$AC244,CN$3=$AE244),"",IF(CN$3=$AD244,$F244&amp;"R",CN243))))</f>
        <v>bB</v>
      </c>
      <c r="CO244" s="11" t="str">
        <f aca="false">IF($P244=0,CO243,IF(CO$3=$E244,IF($AA244=1,$F244&amp;$AB244,$G244),IF(OR(CO$3=$D244,CO$3=$AC244,CO$3=$AE244),"",IF(CO$3=$AD244,$F244&amp;"R",CO243))))</f>
        <v>bQ</v>
      </c>
      <c r="CP244" s="11" t="str">
        <f aca="false">IF($P244=0,CP243,IF(CP$3=$E244,IF($AA244=1,$F244&amp;$AB244,$G244),IF(OR(CP$3=$D244,CP$3=$AC244,CP$3=$AE244),"",IF(CP$3=$AD244,$F244&amp;"R",CP243))))</f>
        <v>bK</v>
      </c>
      <c r="CQ244" s="11" t="str">
        <f aca="false">IF($P244=0,CQ243,IF(CQ$3=$E244,IF($AA244=1,$F244&amp;$AB244,$G244),IF(OR(CQ$3=$D244,CQ$3=$AC244,CQ$3=$AE244),"",IF(CQ$3=$AD244,$F244&amp;"R",CQ243))))</f>
        <v>bB</v>
      </c>
      <c r="CR244" s="11" t="str">
        <f aca="false">IF($P244=0,CR243,IF(CR$3=$E244,IF($AA244=1,$F244&amp;$AB244,$G244),IF(OR(CR$3=$D244,CR$3=$AC244,CR$3=$AE244),"",IF(CR$3=$AD244,$F244&amp;"R",CR243))))</f>
        <v>bN</v>
      </c>
      <c r="CS244" s="11" t="str">
        <f aca="false">IF($P244=0,CS243,IF(CS$3=$E244,IF($AA244=1,$F244&amp;$AB244,$G244),IF(OR(CS$3=$D244,CS$3=$AC244,CS$3=$AE244),"",IF(CS$3=$AD244,$F244&amp;"R",CS243))))</f>
        <v>bR</v>
      </c>
      <c r="CT244" s="11"/>
      <c r="CU244" s="11"/>
      <c r="CV244" s="11"/>
    </row>
    <row r="245" customFormat="false" ht="15" hidden="false" customHeight="false" outlineLevel="0" collapsed="false">
      <c r="A245" s="11" t="n">
        <v>240</v>
      </c>
      <c r="B245" s="11" t="str">
        <f aca="false">IF(Chess!$L$249="","",Chess!$L$249&amp;"")</f>
        <v/>
      </c>
      <c r="C245" s="11" t="str">
        <f aca="false">LOWER(SUBSTITUTE(SUBSTITUTE(SUBSTITUTE(SUBSTITUTE(TRIM($B245),"-",""),"=","")," ",""),"x",""))</f>
        <v/>
      </c>
      <c r="D245" s="11" t="n">
        <f aca="false">IF(LEN($C245)&lt;4,0,IFERROR(IF(AND(CODE(MID($C245,1,1))&gt;=97,CODE(MID($C245,1,1))&lt;=104,VALUE(MID($C245,2,1))&gt;=1,VALUE(MID($C245,2,1))&lt;=8),(VALUE(MID($C245,2,1))-1)*8+CODE(MID($C245,1,1))-96,0),0))</f>
        <v>0</v>
      </c>
      <c r="E245" s="11" t="n">
        <f aca="false">IF(LEN($C245)&lt;4,0,IFERROR(IF(AND(CODE(MID($C245,3,1))&gt;=97,CODE(MID($C245,3,1))&lt;=104,VALUE(MID($C245,4,1))&gt;=1,VALUE(MID($C245,4,1))&lt;=8),(VALUE(MID($C245,4,1))-1)*8+CODE(MID($C245,3,1))-96,0),0))</f>
        <v>0</v>
      </c>
      <c r="F245" s="11" t="str">
        <f aca="false">IF(MOD(SUM($P$5:$P244),2)=0,"w","b")</f>
        <v>w</v>
      </c>
      <c r="G245" s="11" t="str">
        <f aca="false">IF($D245=0,"",INDEX($AH244:$CS244,1,$D245)&amp;"")</f>
        <v/>
      </c>
      <c r="H245" s="11" t="str">
        <f aca="false">IF($E245=0,"",INDEX($AH244:$CS244,1,$E245)&amp;"")</f>
        <v/>
      </c>
      <c r="I245" s="11" t="n">
        <f aca="false">IF(OR($D245=0,$E245=0),0,MOD($E245-1,8)-MOD($D245-1,8))</f>
        <v>0</v>
      </c>
      <c r="J245" s="11" t="n">
        <f aca="false">IF(OR($D245=0,$E245=0),0,INT(($E245-1)/8)-INT(($D245-1)/8))</f>
        <v>0</v>
      </c>
      <c r="K245" s="11" t="str">
        <f aca="false">IF($G245="","",RIGHT($G245,1))</f>
        <v/>
      </c>
      <c r="L245" s="11" t="n">
        <f aca="false">IF(OR($D245=0,$E245=0),0,SUMPRODUCT(($AH$3:$CS$3&gt;MIN($D245,$E245))*($AH$3:$CS$3&lt;MAX($D245,$E245))*(MOD($AH$3:$CS$3-MIN($D245,$E245),MAX(1,ABS(SIGN($J245)*8+SIGN($I245))))=0)*($AH244:$CS244&lt;&gt;"")))</f>
        <v>0</v>
      </c>
      <c r="M245" s="11" t="n">
        <f aca="false">IF($K245&lt;&gt;"K",0,IFERROR(--AND($J245=0,ABS($I245)=2,$D245=IF($F245="w",5,61),IF($F245="w",$S244,$V244)=0,IF($I245=2,AND(IF($F245="w",$U244,$X244)=0,INDEX($AH244:$CS244,1,$D245+1)&amp;""="",INDEX($AH244:$CS244,1,$D245+2)&amp;""=""),AND(IF($F245="w",$T244,$W244)=0,INDEX($AH244:$CS244,1,$D245-1)&amp;""="",INDEX($AH244:$CS244,1,$D245-2)&amp;""="",INDEX($AH244:$CS244,1,$D245-3)&amp;""=""))),0))</f>
        <v>0</v>
      </c>
      <c r="N245" s="11" t="n">
        <f aca="false">IF($K245&lt;&gt;"P",0,IFERROR(--OR(AND($I245=0,$J245=IF($F245="w",1,-1),$H245=""),AND($I245=0,$J245=2*IF($F245="w",1,-1),$H245="",INT(($D245-1)/8)=IF($F245="w",1,6),INDEX($AH244:$CS244,1,MAX(1,MIN(64,$D245+8*IF($F245="w",1,-1))))&amp;""=""),AND(ABS($I245)=1,$J245=IF($F245="w",1,-1),$H245&lt;&gt;""),AND(ABS($I245)=1,$J245=IF($F245="w",1,-1),$H245="",$R244&gt;0,$E245=$R244)),0))</f>
        <v>0</v>
      </c>
      <c r="O245" s="11" t="n">
        <f aca="false">IF(OR($D245=0,$E245=0,$G245=""),0,IF($K245="N",--OR(AND(ABS($I245)=1,ABS($J245)=2),AND(ABS($I245)=2,ABS($J245)=1)),IF($K245="B",--AND(ABS($I245)=ABS($J245),$I245&lt;&gt;0,$L245=0),IF($K245="R",--AND(OR($I245=0,$J245=0),OR($I245&lt;&gt;0,$J245&lt;&gt;0),$L245=0),IF($K245="Q",--AND(OR(AND(ABS($I245)=ABS($J245),$I245&lt;&gt;0),AND(OR($I245=0,$J245=0),OR($I245&lt;&gt;0,$J245&lt;&gt;0))),$L245=0),IF($K245="K",--OR(MAX(ABS($I245),ABS($J245))=1,$M245=1),$N245))))))</f>
        <v>0</v>
      </c>
      <c r="P245" s="11" t="n">
        <f aca="false">IF($Q245="OK",1,0)</f>
        <v>0</v>
      </c>
      <c r="Q245" s="11" t="str">
        <f aca="false">IF($B245="","",IF(OR(COUNTIF($AH244:$CS244,"wK")=0,COUNTIF($AH244:$CS244,"bK")=0),"Game is over",IF(OR($D245=0,$E245=0),"Use the format e2e4",IF($G245="","No piece on that square",IF(LEFT($G245,1)&lt;&gt;$F245,"Not your piece ("&amp;IF($F245="w","White","Black")&amp;" to move)",IF($D245=$E245,"Piece must move",IF(AND($H245&lt;&gt;"",LEFT($H245,1)=$F245),"Cannot capture your own piece",IF($O245=0,"Illegal move for that piece (or path blocked)","OK"))))))))</f>
        <v/>
      </c>
      <c r="R245" s="11" t="n">
        <f aca="false">IF($P245=1,IF(AND($K245="P",ABS($J245)=2),($D245+$E245)/2,0),$R244)</f>
        <v>0</v>
      </c>
      <c r="S245" s="12" t="b">
        <f aca="false">--OR($S244=1,AND($P245=1,OR($D245=5,$E245=5)))</f>
        <v>0</v>
      </c>
      <c r="T245" s="12" t="b">
        <f aca="false">--OR($T244=1,AND($P245=1,OR($D245=1,$E245=1)))</f>
        <v>0</v>
      </c>
      <c r="U245" s="12" t="b">
        <f aca="false">--OR($U244=1,AND($P245=1,OR($D245=8,$E245=8)))</f>
        <v>0</v>
      </c>
      <c r="V245" s="12" t="b">
        <f aca="false">--OR($V244=1,AND($P245=1,OR($D245=61,$E245=61)))</f>
        <v>0</v>
      </c>
      <c r="W245" s="12" t="b">
        <f aca="false">--OR($W244=1,AND($P245=1,OR($D245=57,$E245=57)))</f>
        <v>0</v>
      </c>
      <c r="X245" s="12" t="b">
        <f aca="false">--OR($X244=1,AND($P245=1,OR($D245=64,$E245=64)))</f>
        <v>0</v>
      </c>
      <c r="Y245" s="12" t="b">
        <f aca="false">--AND($P245=1,$K245="K",ABS($I245)=2)</f>
        <v>0</v>
      </c>
      <c r="Z245" s="12" t="b">
        <f aca="false">--AND($P245=1,$K245="P",ABS($I245)=1,$H245="")</f>
        <v>0</v>
      </c>
      <c r="AA245" s="12" t="b">
        <f aca="false">--AND($P245=1,$K245="P",INT(($E245-1)/8)=IF($F245="w",7,0))</f>
        <v>0</v>
      </c>
      <c r="AB245" s="11" t="str">
        <f aca="false">IF(LEN($C245)&gt;=5,IF(ISNUMBER(FIND(MID($C245,5,1),"qrbn")),UPPER(MID($C245,5,1)),"Q"),"Q")</f>
        <v>Q</v>
      </c>
      <c r="AC245" s="11" t="n">
        <f aca="false">IF($Y245=1,IF($I245=2,$D245+3,$D245-4),0)</f>
        <v>0</v>
      </c>
      <c r="AD245" s="11" t="n">
        <f aca="false">IF($Y245=1,IF($I245=2,$D245+1,$D245-1),0)</f>
        <v>0</v>
      </c>
      <c r="AE245" s="11" t="n">
        <f aca="false">IF($Z245=1,$E245-8*IF($F245="w",1,-1),0)</f>
        <v>0</v>
      </c>
      <c r="AF245" s="11" t="str">
        <f aca="false">IF($B245="","",IF($P245=1,LOWER(INDEX($CV$2:$CV$13,MATCH($G245,$CU$2:$CU$13,0)))&amp;" "&amp;MID("abcdefgh",MOD($D245-1,8)+1,1)&amp;(INT(($D245-1)/8)+1)&amp;"→"&amp;MID("abcdefgh",MOD($E245-1,8)+1,1)&amp;(INT(($E245-1)/8)+1)&amp;IF(OR($H245&lt;&gt;"",$Z245=1)," ×","")&amp;IF($Y245=1," castles","")&amp;IF($Z245=1," e.p.","")&amp;IF($AA245=1," =" &amp;LOWER(INDEX($CV$2:$CV$13,MATCH($F245&amp;$AB245,$CU$2:$CU$13,0))),""),"X "&amp;$Q245))</f>
        <v/>
      </c>
      <c r="AG245" s="11"/>
      <c r="AH245" s="11" t="str">
        <f aca="false">IF($P245=0,AH244,IF(AH$3=$E245,IF($AA245=1,$F245&amp;$AB245,$G245),IF(OR(AH$3=$D245,AH$3=$AC245,AH$3=$AE245),"",IF(AH$3=$AD245,$F245&amp;"R",AH244))))</f>
        <v>wR</v>
      </c>
      <c r="AI245" s="11" t="str">
        <f aca="false">IF($P245=0,AI244,IF(AI$3=$E245,IF($AA245=1,$F245&amp;$AB245,$G245),IF(OR(AI$3=$D245,AI$3=$AC245,AI$3=$AE245),"",IF(AI$3=$AD245,$F245&amp;"R",AI244))))</f>
        <v>wN</v>
      </c>
      <c r="AJ245" s="11" t="str">
        <f aca="false">IF($P245=0,AJ244,IF(AJ$3=$E245,IF($AA245=1,$F245&amp;$AB245,$G245),IF(OR(AJ$3=$D245,AJ$3=$AC245,AJ$3=$AE245),"",IF(AJ$3=$AD245,$F245&amp;"R",AJ244))))</f>
        <v>wB</v>
      </c>
      <c r="AK245" s="11" t="str">
        <f aca="false">IF($P245=0,AK244,IF(AK$3=$E245,IF($AA245=1,$F245&amp;$AB245,$G245),IF(OR(AK$3=$D245,AK$3=$AC245,AK$3=$AE245),"",IF(AK$3=$AD245,$F245&amp;"R",AK244))))</f>
        <v>wQ</v>
      </c>
      <c r="AL245" s="11" t="str">
        <f aca="false">IF($P245=0,AL244,IF(AL$3=$E245,IF($AA245=1,$F245&amp;$AB245,$G245),IF(OR(AL$3=$D245,AL$3=$AC245,AL$3=$AE245),"",IF(AL$3=$AD245,$F245&amp;"R",AL244))))</f>
        <v>wK</v>
      </c>
      <c r="AM245" s="11" t="str">
        <f aca="false">IF($P245=0,AM244,IF(AM$3=$E245,IF($AA245=1,$F245&amp;$AB245,$G245),IF(OR(AM$3=$D245,AM$3=$AC245,AM$3=$AE245),"",IF(AM$3=$AD245,$F245&amp;"R",AM244))))</f>
        <v>wB</v>
      </c>
      <c r="AN245" s="11" t="str">
        <f aca="false">IF($P245=0,AN244,IF(AN$3=$E245,IF($AA245=1,$F245&amp;$AB245,$G245),IF(OR(AN$3=$D245,AN$3=$AC245,AN$3=$AE245),"",IF(AN$3=$AD245,$F245&amp;"R",AN244))))</f>
        <v>wN</v>
      </c>
      <c r="AO245" s="11" t="str">
        <f aca="false">IF($P245=0,AO244,IF(AO$3=$E245,IF($AA245=1,$F245&amp;$AB245,$G245),IF(OR(AO$3=$D245,AO$3=$AC245,AO$3=$AE245),"",IF(AO$3=$AD245,$F245&amp;"R",AO244))))</f>
        <v>wR</v>
      </c>
      <c r="AP245" s="11" t="str">
        <f aca="false">IF($P245=0,AP244,IF(AP$3=$E245,IF($AA245=1,$F245&amp;$AB245,$G245),IF(OR(AP$3=$D245,AP$3=$AC245,AP$3=$AE245),"",IF(AP$3=$AD245,$F245&amp;"R",AP244))))</f>
        <v>wP</v>
      </c>
      <c r="AQ245" s="11" t="str">
        <f aca="false">IF($P245=0,AQ244,IF(AQ$3=$E245,IF($AA245=1,$F245&amp;$AB245,$G245),IF(OR(AQ$3=$D245,AQ$3=$AC245,AQ$3=$AE245),"",IF(AQ$3=$AD245,$F245&amp;"R",AQ244))))</f>
        <v>wP</v>
      </c>
      <c r="AR245" s="11" t="str">
        <f aca="false">IF($P245=0,AR244,IF(AR$3=$E245,IF($AA245=1,$F245&amp;$AB245,$G245),IF(OR(AR$3=$D245,AR$3=$AC245,AR$3=$AE245),"",IF(AR$3=$AD245,$F245&amp;"R",AR244))))</f>
        <v>wP</v>
      </c>
      <c r="AS245" s="11" t="str">
        <f aca="false">IF($P245=0,AS244,IF(AS$3=$E245,IF($AA245=1,$F245&amp;$AB245,$G245),IF(OR(AS$3=$D245,AS$3=$AC245,AS$3=$AE245),"",IF(AS$3=$AD245,$F245&amp;"R",AS244))))</f>
        <v>wP</v>
      </c>
      <c r="AT245" s="11" t="str">
        <f aca="false">IF($P245=0,AT244,IF(AT$3=$E245,IF($AA245=1,$F245&amp;$AB245,$G245),IF(OR(AT$3=$D245,AT$3=$AC245,AT$3=$AE245),"",IF(AT$3=$AD245,$F245&amp;"R",AT244))))</f>
        <v>wP</v>
      </c>
      <c r="AU245" s="11" t="str">
        <f aca="false">IF($P245=0,AU244,IF(AU$3=$E245,IF($AA245=1,$F245&amp;$AB245,$G245),IF(OR(AU$3=$D245,AU$3=$AC245,AU$3=$AE245),"",IF(AU$3=$AD245,$F245&amp;"R",AU244))))</f>
        <v>wP</v>
      </c>
      <c r="AV245" s="11" t="str">
        <f aca="false">IF($P245=0,AV244,IF(AV$3=$E245,IF($AA245=1,$F245&amp;$AB245,$G245),IF(OR(AV$3=$D245,AV$3=$AC245,AV$3=$AE245),"",IF(AV$3=$AD245,$F245&amp;"R",AV244))))</f>
        <v>wP</v>
      </c>
      <c r="AW245" s="11" t="str">
        <f aca="false">IF($P245=0,AW244,IF(AW$3=$E245,IF($AA245=1,$F245&amp;$AB245,$G245),IF(OR(AW$3=$D245,AW$3=$AC245,AW$3=$AE245),"",IF(AW$3=$AD245,$F245&amp;"R",AW244))))</f>
        <v>wP</v>
      </c>
      <c r="AX245" s="11" t="str">
        <f aca="false">IF($P245=0,AX244,IF(AX$3=$E245,IF($AA245=1,$F245&amp;$AB245,$G245),IF(OR(AX$3=$D245,AX$3=$AC245,AX$3=$AE245),"",IF(AX$3=$AD245,$F245&amp;"R",AX244))))</f>
        <v/>
      </c>
      <c r="AY245" s="11" t="str">
        <f aca="false">IF($P245=0,AY244,IF(AY$3=$E245,IF($AA245=1,$F245&amp;$AB245,$G245),IF(OR(AY$3=$D245,AY$3=$AC245,AY$3=$AE245),"",IF(AY$3=$AD245,$F245&amp;"R",AY244))))</f>
        <v/>
      </c>
      <c r="AZ245" s="11" t="str">
        <f aca="false">IF($P245=0,AZ244,IF(AZ$3=$E245,IF($AA245=1,$F245&amp;$AB245,$G245),IF(OR(AZ$3=$D245,AZ$3=$AC245,AZ$3=$AE245),"",IF(AZ$3=$AD245,$F245&amp;"R",AZ244))))</f>
        <v/>
      </c>
      <c r="BA245" s="11" t="str">
        <f aca="false">IF($P245=0,BA244,IF(BA$3=$E245,IF($AA245=1,$F245&amp;$AB245,$G245),IF(OR(BA$3=$D245,BA$3=$AC245,BA$3=$AE245),"",IF(BA$3=$AD245,$F245&amp;"R",BA244))))</f>
        <v/>
      </c>
      <c r="BB245" s="11" t="str">
        <f aca="false">IF($P245=0,BB244,IF(BB$3=$E245,IF($AA245=1,$F245&amp;$AB245,$G245),IF(OR(BB$3=$D245,BB$3=$AC245,BB$3=$AE245),"",IF(BB$3=$AD245,$F245&amp;"R",BB244))))</f>
        <v/>
      </c>
      <c r="BC245" s="11" t="str">
        <f aca="false">IF($P245=0,BC244,IF(BC$3=$E245,IF($AA245=1,$F245&amp;$AB245,$G245),IF(OR(BC$3=$D245,BC$3=$AC245,BC$3=$AE245),"",IF(BC$3=$AD245,$F245&amp;"R",BC244))))</f>
        <v/>
      </c>
      <c r="BD245" s="11" t="str">
        <f aca="false">IF($P245=0,BD244,IF(BD$3=$E245,IF($AA245=1,$F245&amp;$AB245,$G245),IF(OR(BD$3=$D245,BD$3=$AC245,BD$3=$AE245),"",IF(BD$3=$AD245,$F245&amp;"R",BD244))))</f>
        <v/>
      </c>
      <c r="BE245" s="11" t="str">
        <f aca="false">IF($P245=0,BE244,IF(BE$3=$E245,IF($AA245=1,$F245&amp;$AB245,$G245),IF(OR(BE$3=$D245,BE$3=$AC245,BE$3=$AE245),"",IF(BE$3=$AD245,$F245&amp;"R",BE244))))</f>
        <v/>
      </c>
      <c r="BF245" s="11" t="str">
        <f aca="false">IF($P245=0,BF244,IF(BF$3=$E245,IF($AA245=1,$F245&amp;$AB245,$G245),IF(OR(BF$3=$D245,BF$3=$AC245,BF$3=$AE245),"",IF(BF$3=$AD245,$F245&amp;"R",BF244))))</f>
        <v/>
      </c>
      <c r="BG245" s="11" t="str">
        <f aca="false">IF($P245=0,BG244,IF(BG$3=$E245,IF($AA245=1,$F245&amp;$AB245,$G245),IF(OR(BG$3=$D245,BG$3=$AC245,BG$3=$AE245),"",IF(BG$3=$AD245,$F245&amp;"R",BG244))))</f>
        <v/>
      </c>
      <c r="BH245" s="11" t="str">
        <f aca="false">IF($P245=0,BH244,IF(BH$3=$E245,IF($AA245=1,$F245&amp;$AB245,$G245),IF(OR(BH$3=$D245,BH$3=$AC245,BH$3=$AE245),"",IF(BH$3=$AD245,$F245&amp;"R",BH244))))</f>
        <v/>
      </c>
      <c r="BI245" s="11" t="str">
        <f aca="false">IF($P245=0,BI244,IF(BI$3=$E245,IF($AA245=1,$F245&amp;$AB245,$G245),IF(OR(BI$3=$D245,BI$3=$AC245,BI$3=$AE245),"",IF(BI$3=$AD245,$F245&amp;"R",BI244))))</f>
        <v/>
      </c>
      <c r="BJ245" s="11" t="str">
        <f aca="false">IF($P245=0,BJ244,IF(BJ$3=$E245,IF($AA245=1,$F245&amp;$AB245,$G245),IF(OR(BJ$3=$D245,BJ$3=$AC245,BJ$3=$AE245),"",IF(BJ$3=$AD245,$F245&amp;"R",BJ244))))</f>
        <v/>
      </c>
      <c r="BK245" s="11" t="str">
        <f aca="false">IF($P245=0,BK244,IF(BK$3=$E245,IF($AA245=1,$F245&amp;$AB245,$G245),IF(OR(BK$3=$D245,BK$3=$AC245,BK$3=$AE245),"",IF(BK$3=$AD245,$F245&amp;"R",BK244))))</f>
        <v/>
      </c>
      <c r="BL245" s="11" t="str">
        <f aca="false">IF($P245=0,BL244,IF(BL$3=$E245,IF($AA245=1,$F245&amp;$AB245,$G245),IF(OR(BL$3=$D245,BL$3=$AC245,BL$3=$AE245),"",IF(BL$3=$AD245,$F245&amp;"R",BL244))))</f>
        <v/>
      </c>
      <c r="BM245" s="11" t="str">
        <f aca="false">IF($P245=0,BM244,IF(BM$3=$E245,IF($AA245=1,$F245&amp;$AB245,$G245),IF(OR(BM$3=$D245,BM$3=$AC245,BM$3=$AE245),"",IF(BM$3=$AD245,$F245&amp;"R",BM244))))</f>
        <v/>
      </c>
      <c r="BN245" s="11" t="str">
        <f aca="false">IF($P245=0,BN244,IF(BN$3=$E245,IF($AA245=1,$F245&amp;$AB245,$G245),IF(OR(BN$3=$D245,BN$3=$AC245,BN$3=$AE245),"",IF(BN$3=$AD245,$F245&amp;"R",BN244))))</f>
        <v/>
      </c>
      <c r="BO245" s="11" t="str">
        <f aca="false">IF($P245=0,BO244,IF(BO$3=$E245,IF($AA245=1,$F245&amp;$AB245,$G245),IF(OR(BO$3=$D245,BO$3=$AC245,BO$3=$AE245),"",IF(BO$3=$AD245,$F245&amp;"R",BO244))))</f>
        <v/>
      </c>
      <c r="BP245" s="11" t="str">
        <f aca="false">IF($P245=0,BP244,IF(BP$3=$E245,IF($AA245=1,$F245&amp;$AB245,$G245),IF(OR(BP$3=$D245,BP$3=$AC245,BP$3=$AE245),"",IF(BP$3=$AD245,$F245&amp;"R",BP244))))</f>
        <v/>
      </c>
      <c r="BQ245" s="11" t="str">
        <f aca="false">IF($P245=0,BQ244,IF(BQ$3=$E245,IF($AA245=1,$F245&amp;$AB245,$G245),IF(OR(BQ$3=$D245,BQ$3=$AC245,BQ$3=$AE245),"",IF(BQ$3=$AD245,$F245&amp;"R",BQ244))))</f>
        <v/>
      </c>
      <c r="BR245" s="11" t="str">
        <f aca="false">IF($P245=0,BR244,IF(BR$3=$E245,IF($AA245=1,$F245&amp;$AB245,$G245),IF(OR(BR$3=$D245,BR$3=$AC245,BR$3=$AE245),"",IF(BR$3=$AD245,$F245&amp;"R",BR244))))</f>
        <v/>
      </c>
      <c r="BS245" s="11" t="str">
        <f aca="false">IF($P245=0,BS244,IF(BS$3=$E245,IF($AA245=1,$F245&amp;$AB245,$G245),IF(OR(BS$3=$D245,BS$3=$AC245,BS$3=$AE245),"",IF(BS$3=$AD245,$F245&amp;"R",BS244))))</f>
        <v/>
      </c>
      <c r="BT245" s="11" t="str">
        <f aca="false">IF($P245=0,BT244,IF(BT$3=$E245,IF($AA245=1,$F245&amp;$AB245,$G245),IF(OR(BT$3=$D245,BT$3=$AC245,BT$3=$AE245),"",IF(BT$3=$AD245,$F245&amp;"R",BT244))))</f>
        <v/>
      </c>
      <c r="BU245" s="11" t="str">
        <f aca="false">IF($P245=0,BU244,IF(BU$3=$E245,IF($AA245=1,$F245&amp;$AB245,$G245),IF(OR(BU$3=$D245,BU$3=$AC245,BU$3=$AE245),"",IF(BU$3=$AD245,$F245&amp;"R",BU244))))</f>
        <v/>
      </c>
      <c r="BV245" s="11" t="str">
        <f aca="false">IF($P245=0,BV244,IF(BV$3=$E245,IF($AA245=1,$F245&amp;$AB245,$G245),IF(OR(BV$3=$D245,BV$3=$AC245,BV$3=$AE245),"",IF(BV$3=$AD245,$F245&amp;"R",BV244))))</f>
        <v/>
      </c>
      <c r="BW245" s="11" t="str">
        <f aca="false">IF($P245=0,BW244,IF(BW$3=$E245,IF($AA245=1,$F245&amp;$AB245,$G245),IF(OR(BW$3=$D245,BW$3=$AC245,BW$3=$AE245),"",IF(BW$3=$AD245,$F245&amp;"R",BW244))))</f>
        <v/>
      </c>
      <c r="BX245" s="11" t="str">
        <f aca="false">IF($P245=0,BX244,IF(BX$3=$E245,IF($AA245=1,$F245&amp;$AB245,$G245),IF(OR(BX$3=$D245,BX$3=$AC245,BX$3=$AE245),"",IF(BX$3=$AD245,$F245&amp;"R",BX244))))</f>
        <v/>
      </c>
      <c r="BY245" s="11" t="str">
        <f aca="false">IF($P245=0,BY244,IF(BY$3=$E245,IF($AA245=1,$F245&amp;$AB245,$G245),IF(OR(BY$3=$D245,BY$3=$AC245,BY$3=$AE245),"",IF(BY$3=$AD245,$F245&amp;"R",BY244))))</f>
        <v/>
      </c>
      <c r="BZ245" s="11" t="str">
        <f aca="false">IF($P245=0,BZ244,IF(BZ$3=$E245,IF($AA245=1,$F245&amp;$AB245,$G245),IF(OR(BZ$3=$D245,BZ$3=$AC245,BZ$3=$AE245),"",IF(BZ$3=$AD245,$F245&amp;"R",BZ244))))</f>
        <v/>
      </c>
      <c r="CA245" s="11" t="str">
        <f aca="false">IF($P245=0,CA244,IF(CA$3=$E245,IF($AA245=1,$F245&amp;$AB245,$G245),IF(OR(CA$3=$D245,CA$3=$AC245,CA$3=$AE245),"",IF(CA$3=$AD245,$F245&amp;"R",CA244))))</f>
        <v/>
      </c>
      <c r="CB245" s="11" t="str">
        <f aca="false">IF($P245=0,CB244,IF(CB$3=$E245,IF($AA245=1,$F245&amp;$AB245,$G245),IF(OR(CB$3=$D245,CB$3=$AC245,CB$3=$AE245),"",IF(CB$3=$AD245,$F245&amp;"R",CB244))))</f>
        <v/>
      </c>
      <c r="CC245" s="11" t="str">
        <f aca="false">IF($P245=0,CC244,IF(CC$3=$E245,IF($AA245=1,$F245&amp;$AB245,$G245),IF(OR(CC$3=$D245,CC$3=$AC245,CC$3=$AE245),"",IF(CC$3=$AD245,$F245&amp;"R",CC244))))</f>
        <v/>
      </c>
      <c r="CD245" s="11" t="str">
        <f aca="false">IF($P245=0,CD244,IF(CD$3=$E245,IF($AA245=1,$F245&amp;$AB245,$G245),IF(OR(CD$3=$D245,CD$3=$AC245,CD$3=$AE245),"",IF(CD$3=$AD245,$F245&amp;"R",CD244))))</f>
        <v>bP</v>
      </c>
      <c r="CE245" s="11" t="str">
        <f aca="false">IF($P245=0,CE244,IF(CE$3=$E245,IF($AA245=1,$F245&amp;$AB245,$G245),IF(OR(CE$3=$D245,CE$3=$AC245,CE$3=$AE245),"",IF(CE$3=$AD245,$F245&amp;"R",CE244))))</f>
        <v>bP</v>
      </c>
      <c r="CF245" s="11" t="str">
        <f aca="false">IF($P245=0,CF244,IF(CF$3=$E245,IF($AA245=1,$F245&amp;$AB245,$G245),IF(OR(CF$3=$D245,CF$3=$AC245,CF$3=$AE245),"",IF(CF$3=$AD245,$F245&amp;"R",CF244))))</f>
        <v>bP</v>
      </c>
      <c r="CG245" s="11" t="str">
        <f aca="false">IF($P245=0,CG244,IF(CG$3=$E245,IF($AA245=1,$F245&amp;$AB245,$G245),IF(OR(CG$3=$D245,CG$3=$AC245,CG$3=$AE245),"",IF(CG$3=$AD245,$F245&amp;"R",CG244))))</f>
        <v>bP</v>
      </c>
      <c r="CH245" s="11" t="str">
        <f aca="false">IF($P245=0,CH244,IF(CH$3=$E245,IF($AA245=1,$F245&amp;$AB245,$G245),IF(OR(CH$3=$D245,CH$3=$AC245,CH$3=$AE245),"",IF(CH$3=$AD245,$F245&amp;"R",CH244))))</f>
        <v>bP</v>
      </c>
      <c r="CI245" s="11" t="str">
        <f aca="false">IF($P245=0,CI244,IF(CI$3=$E245,IF($AA245=1,$F245&amp;$AB245,$G245),IF(OR(CI$3=$D245,CI$3=$AC245,CI$3=$AE245),"",IF(CI$3=$AD245,$F245&amp;"R",CI244))))</f>
        <v>bP</v>
      </c>
      <c r="CJ245" s="11" t="str">
        <f aca="false">IF($P245=0,CJ244,IF(CJ$3=$E245,IF($AA245=1,$F245&amp;$AB245,$G245),IF(OR(CJ$3=$D245,CJ$3=$AC245,CJ$3=$AE245),"",IF(CJ$3=$AD245,$F245&amp;"R",CJ244))))</f>
        <v>bP</v>
      </c>
      <c r="CK245" s="11" t="str">
        <f aca="false">IF($P245=0,CK244,IF(CK$3=$E245,IF($AA245=1,$F245&amp;$AB245,$G245),IF(OR(CK$3=$D245,CK$3=$AC245,CK$3=$AE245),"",IF(CK$3=$AD245,$F245&amp;"R",CK244))))</f>
        <v>bP</v>
      </c>
      <c r="CL245" s="11" t="str">
        <f aca="false">IF($P245=0,CL244,IF(CL$3=$E245,IF($AA245=1,$F245&amp;$AB245,$G245),IF(OR(CL$3=$D245,CL$3=$AC245,CL$3=$AE245),"",IF(CL$3=$AD245,$F245&amp;"R",CL244))))</f>
        <v>bR</v>
      </c>
      <c r="CM245" s="11" t="str">
        <f aca="false">IF($P245=0,CM244,IF(CM$3=$E245,IF($AA245=1,$F245&amp;$AB245,$G245),IF(OR(CM$3=$D245,CM$3=$AC245,CM$3=$AE245),"",IF(CM$3=$AD245,$F245&amp;"R",CM244))))</f>
        <v>bN</v>
      </c>
      <c r="CN245" s="11" t="str">
        <f aca="false">IF($P245=0,CN244,IF(CN$3=$E245,IF($AA245=1,$F245&amp;$AB245,$G245),IF(OR(CN$3=$D245,CN$3=$AC245,CN$3=$AE245),"",IF(CN$3=$AD245,$F245&amp;"R",CN244))))</f>
        <v>bB</v>
      </c>
      <c r="CO245" s="11" t="str">
        <f aca="false">IF($P245=0,CO244,IF(CO$3=$E245,IF($AA245=1,$F245&amp;$AB245,$G245),IF(OR(CO$3=$D245,CO$3=$AC245,CO$3=$AE245),"",IF(CO$3=$AD245,$F245&amp;"R",CO244))))</f>
        <v>bQ</v>
      </c>
      <c r="CP245" s="11" t="str">
        <f aca="false">IF($P245=0,CP244,IF(CP$3=$E245,IF($AA245=1,$F245&amp;$AB245,$G245),IF(OR(CP$3=$D245,CP$3=$AC245,CP$3=$AE245),"",IF(CP$3=$AD245,$F245&amp;"R",CP244))))</f>
        <v>bK</v>
      </c>
      <c r="CQ245" s="11" t="str">
        <f aca="false">IF($P245=0,CQ244,IF(CQ$3=$E245,IF($AA245=1,$F245&amp;$AB245,$G245),IF(OR(CQ$3=$D245,CQ$3=$AC245,CQ$3=$AE245),"",IF(CQ$3=$AD245,$F245&amp;"R",CQ244))))</f>
        <v>bB</v>
      </c>
      <c r="CR245" s="11" t="str">
        <f aca="false">IF($P245=0,CR244,IF(CR$3=$E245,IF($AA245=1,$F245&amp;$AB245,$G245),IF(OR(CR$3=$D245,CR$3=$AC245,CR$3=$AE245),"",IF(CR$3=$AD245,$F245&amp;"R",CR244))))</f>
        <v>bN</v>
      </c>
      <c r="CS245" s="11" t="str">
        <f aca="false">IF($P245=0,CS244,IF(CS$3=$E245,IF($AA245=1,$F245&amp;$AB245,$G245),IF(OR(CS$3=$D245,CS$3=$AC245,CS$3=$AE245),"",IF(CS$3=$AD245,$F245&amp;"R",CS244))))</f>
        <v>bR</v>
      </c>
      <c r="CT245" s="11"/>
      <c r="CU245" s="11"/>
      <c r="CV245" s="11"/>
    </row>
    <row r="246" customFormat="false" ht="15" hidden="false" customHeight="false" outlineLevel="0" collapsed="false">
      <c r="A246" s="11" t="n">
        <v>241</v>
      </c>
      <c r="B246" s="11" t="str">
        <f aca="false">IF(Chess!$L$250="","",Chess!$L$250&amp;"")</f>
        <v/>
      </c>
      <c r="C246" s="11" t="str">
        <f aca="false">LOWER(SUBSTITUTE(SUBSTITUTE(SUBSTITUTE(SUBSTITUTE(TRIM($B246),"-",""),"=","")," ",""),"x",""))</f>
        <v/>
      </c>
      <c r="D246" s="11" t="n">
        <f aca="false">IF(LEN($C246)&lt;4,0,IFERROR(IF(AND(CODE(MID($C246,1,1))&gt;=97,CODE(MID($C246,1,1))&lt;=104,VALUE(MID($C246,2,1))&gt;=1,VALUE(MID($C246,2,1))&lt;=8),(VALUE(MID($C246,2,1))-1)*8+CODE(MID($C246,1,1))-96,0),0))</f>
        <v>0</v>
      </c>
      <c r="E246" s="11" t="n">
        <f aca="false">IF(LEN($C246)&lt;4,0,IFERROR(IF(AND(CODE(MID($C246,3,1))&gt;=97,CODE(MID($C246,3,1))&lt;=104,VALUE(MID($C246,4,1))&gt;=1,VALUE(MID($C246,4,1))&lt;=8),(VALUE(MID($C246,4,1))-1)*8+CODE(MID($C246,3,1))-96,0),0))</f>
        <v>0</v>
      </c>
      <c r="F246" s="11" t="str">
        <f aca="false">IF(MOD(SUM($P$5:$P245),2)=0,"w","b")</f>
        <v>w</v>
      </c>
      <c r="G246" s="11" t="str">
        <f aca="false">IF($D246=0,"",INDEX($AH245:$CS245,1,$D246)&amp;"")</f>
        <v/>
      </c>
      <c r="H246" s="11" t="str">
        <f aca="false">IF($E246=0,"",INDEX($AH245:$CS245,1,$E246)&amp;"")</f>
        <v/>
      </c>
      <c r="I246" s="11" t="n">
        <f aca="false">IF(OR($D246=0,$E246=0),0,MOD($E246-1,8)-MOD($D246-1,8))</f>
        <v>0</v>
      </c>
      <c r="J246" s="11" t="n">
        <f aca="false">IF(OR($D246=0,$E246=0),0,INT(($E246-1)/8)-INT(($D246-1)/8))</f>
        <v>0</v>
      </c>
      <c r="K246" s="11" t="str">
        <f aca="false">IF($G246="","",RIGHT($G246,1))</f>
        <v/>
      </c>
      <c r="L246" s="11" t="n">
        <f aca="false">IF(OR($D246=0,$E246=0),0,SUMPRODUCT(($AH$3:$CS$3&gt;MIN($D246,$E246))*($AH$3:$CS$3&lt;MAX($D246,$E246))*(MOD($AH$3:$CS$3-MIN($D246,$E246),MAX(1,ABS(SIGN($J246)*8+SIGN($I246))))=0)*($AH245:$CS245&lt;&gt;"")))</f>
        <v>0</v>
      </c>
      <c r="M246" s="11" t="n">
        <f aca="false">IF($K246&lt;&gt;"K",0,IFERROR(--AND($J246=0,ABS($I246)=2,$D246=IF($F246="w",5,61),IF($F246="w",$S245,$V245)=0,IF($I246=2,AND(IF($F246="w",$U245,$X245)=0,INDEX($AH245:$CS245,1,$D246+1)&amp;""="",INDEX($AH245:$CS245,1,$D246+2)&amp;""=""),AND(IF($F246="w",$T245,$W245)=0,INDEX($AH245:$CS245,1,$D246-1)&amp;""="",INDEX($AH245:$CS245,1,$D246-2)&amp;""="",INDEX($AH245:$CS245,1,$D246-3)&amp;""=""))),0))</f>
        <v>0</v>
      </c>
      <c r="N246" s="11" t="n">
        <f aca="false">IF($K246&lt;&gt;"P",0,IFERROR(--OR(AND($I246=0,$J246=IF($F246="w",1,-1),$H246=""),AND($I246=0,$J246=2*IF($F246="w",1,-1),$H246="",INT(($D246-1)/8)=IF($F246="w",1,6),INDEX($AH245:$CS245,1,MAX(1,MIN(64,$D246+8*IF($F246="w",1,-1))))&amp;""=""),AND(ABS($I246)=1,$J246=IF($F246="w",1,-1),$H246&lt;&gt;""),AND(ABS($I246)=1,$J246=IF($F246="w",1,-1),$H246="",$R245&gt;0,$E246=$R245)),0))</f>
        <v>0</v>
      </c>
      <c r="O246" s="11" t="n">
        <f aca="false">IF(OR($D246=0,$E246=0,$G246=""),0,IF($K246="N",--OR(AND(ABS($I246)=1,ABS($J246)=2),AND(ABS($I246)=2,ABS($J246)=1)),IF($K246="B",--AND(ABS($I246)=ABS($J246),$I246&lt;&gt;0,$L246=0),IF($K246="R",--AND(OR($I246=0,$J246=0),OR($I246&lt;&gt;0,$J246&lt;&gt;0),$L246=0),IF($K246="Q",--AND(OR(AND(ABS($I246)=ABS($J246),$I246&lt;&gt;0),AND(OR($I246=0,$J246=0),OR($I246&lt;&gt;0,$J246&lt;&gt;0))),$L246=0),IF($K246="K",--OR(MAX(ABS($I246),ABS($J246))=1,$M246=1),$N246))))))</f>
        <v>0</v>
      </c>
      <c r="P246" s="11" t="n">
        <f aca="false">IF($Q246="OK",1,0)</f>
        <v>0</v>
      </c>
      <c r="Q246" s="11" t="str">
        <f aca="false">IF($B246="","",IF(OR(COUNTIF($AH245:$CS245,"wK")=0,COUNTIF($AH245:$CS245,"bK")=0),"Game is over",IF(OR($D246=0,$E246=0),"Use the format e2e4",IF($G246="","No piece on that square",IF(LEFT($G246,1)&lt;&gt;$F246,"Not your piece ("&amp;IF($F246="w","White","Black")&amp;" to move)",IF($D246=$E246,"Piece must move",IF(AND($H246&lt;&gt;"",LEFT($H246,1)=$F246),"Cannot capture your own piece",IF($O246=0,"Illegal move for that piece (or path blocked)","OK"))))))))</f>
        <v/>
      </c>
      <c r="R246" s="11" t="n">
        <f aca="false">IF($P246=1,IF(AND($K246="P",ABS($J246)=2),($D246+$E246)/2,0),$R245)</f>
        <v>0</v>
      </c>
      <c r="S246" s="12" t="b">
        <f aca="false">--OR($S245=1,AND($P246=1,OR($D246=5,$E246=5)))</f>
        <v>0</v>
      </c>
      <c r="T246" s="12" t="b">
        <f aca="false">--OR($T245=1,AND($P246=1,OR($D246=1,$E246=1)))</f>
        <v>0</v>
      </c>
      <c r="U246" s="12" t="b">
        <f aca="false">--OR($U245=1,AND($P246=1,OR($D246=8,$E246=8)))</f>
        <v>0</v>
      </c>
      <c r="V246" s="12" t="b">
        <f aca="false">--OR($V245=1,AND($P246=1,OR($D246=61,$E246=61)))</f>
        <v>0</v>
      </c>
      <c r="W246" s="12" t="b">
        <f aca="false">--OR($W245=1,AND($P246=1,OR($D246=57,$E246=57)))</f>
        <v>0</v>
      </c>
      <c r="X246" s="12" t="b">
        <f aca="false">--OR($X245=1,AND($P246=1,OR($D246=64,$E246=64)))</f>
        <v>0</v>
      </c>
      <c r="Y246" s="12" t="b">
        <f aca="false">--AND($P246=1,$K246="K",ABS($I246)=2)</f>
        <v>0</v>
      </c>
      <c r="Z246" s="12" t="b">
        <f aca="false">--AND($P246=1,$K246="P",ABS($I246)=1,$H246="")</f>
        <v>0</v>
      </c>
      <c r="AA246" s="12" t="b">
        <f aca="false">--AND($P246=1,$K246="P",INT(($E246-1)/8)=IF($F246="w",7,0))</f>
        <v>0</v>
      </c>
      <c r="AB246" s="11" t="str">
        <f aca="false">IF(LEN($C246)&gt;=5,IF(ISNUMBER(FIND(MID($C246,5,1),"qrbn")),UPPER(MID($C246,5,1)),"Q"),"Q")</f>
        <v>Q</v>
      </c>
      <c r="AC246" s="11" t="n">
        <f aca="false">IF($Y246=1,IF($I246=2,$D246+3,$D246-4),0)</f>
        <v>0</v>
      </c>
      <c r="AD246" s="11" t="n">
        <f aca="false">IF($Y246=1,IF($I246=2,$D246+1,$D246-1),0)</f>
        <v>0</v>
      </c>
      <c r="AE246" s="11" t="n">
        <f aca="false">IF($Z246=1,$E246-8*IF($F246="w",1,-1),0)</f>
        <v>0</v>
      </c>
      <c r="AF246" s="11" t="str">
        <f aca="false">IF($B246="","",IF($P246=1,LOWER(INDEX($CV$2:$CV$13,MATCH($G246,$CU$2:$CU$13,0)))&amp;" "&amp;MID("abcdefgh",MOD($D246-1,8)+1,1)&amp;(INT(($D246-1)/8)+1)&amp;"→"&amp;MID("abcdefgh",MOD($E246-1,8)+1,1)&amp;(INT(($E246-1)/8)+1)&amp;IF(OR($H246&lt;&gt;"",$Z246=1)," ×","")&amp;IF($Y246=1," castles","")&amp;IF($Z246=1," e.p.","")&amp;IF($AA246=1," =" &amp;LOWER(INDEX($CV$2:$CV$13,MATCH($F246&amp;$AB246,$CU$2:$CU$13,0))),""),"X "&amp;$Q246))</f>
        <v/>
      </c>
      <c r="AG246" s="11"/>
      <c r="AH246" s="11" t="str">
        <f aca="false">IF($P246=0,AH245,IF(AH$3=$E246,IF($AA246=1,$F246&amp;$AB246,$G246),IF(OR(AH$3=$D246,AH$3=$AC246,AH$3=$AE246),"",IF(AH$3=$AD246,$F246&amp;"R",AH245))))</f>
        <v>wR</v>
      </c>
      <c r="AI246" s="11" t="str">
        <f aca="false">IF($P246=0,AI245,IF(AI$3=$E246,IF($AA246=1,$F246&amp;$AB246,$G246),IF(OR(AI$3=$D246,AI$3=$AC246,AI$3=$AE246),"",IF(AI$3=$AD246,$F246&amp;"R",AI245))))</f>
        <v>wN</v>
      </c>
      <c r="AJ246" s="11" t="str">
        <f aca="false">IF($P246=0,AJ245,IF(AJ$3=$E246,IF($AA246=1,$F246&amp;$AB246,$G246),IF(OR(AJ$3=$D246,AJ$3=$AC246,AJ$3=$AE246),"",IF(AJ$3=$AD246,$F246&amp;"R",AJ245))))</f>
        <v>wB</v>
      </c>
      <c r="AK246" s="11" t="str">
        <f aca="false">IF($P246=0,AK245,IF(AK$3=$E246,IF($AA246=1,$F246&amp;$AB246,$G246),IF(OR(AK$3=$D246,AK$3=$AC246,AK$3=$AE246),"",IF(AK$3=$AD246,$F246&amp;"R",AK245))))</f>
        <v>wQ</v>
      </c>
      <c r="AL246" s="11" t="str">
        <f aca="false">IF($P246=0,AL245,IF(AL$3=$E246,IF($AA246=1,$F246&amp;$AB246,$G246),IF(OR(AL$3=$D246,AL$3=$AC246,AL$3=$AE246),"",IF(AL$3=$AD246,$F246&amp;"R",AL245))))</f>
        <v>wK</v>
      </c>
      <c r="AM246" s="11" t="str">
        <f aca="false">IF($P246=0,AM245,IF(AM$3=$E246,IF($AA246=1,$F246&amp;$AB246,$G246),IF(OR(AM$3=$D246,AM$3=$AC246,AM$3=$AE246),"",IF(AM$3=$AD246,$F246&amp;"R",AM245))))</f>
        <v>wB</v>
      </c>
      <c r="AN246" s="11" t="str">
        <f aca="false">IF($P246=0,AN245,IF(AN$3=$E246,IF($AA246=1,$F246&amp;$AB246,$G246),IF(OR(AN$3=$D246,AN$3=$AC246,AN$3=$AE246),"",IF(AN$3=$AD246,$F246&amp;"R",AN245))))</f>
        <v>wN</v>
      </c>
      <c r="AO246" s="11" t="str">
        <f aca="false">IF($P246=0,AO245,IF(AO$3=$E246,IF($AA246=1,$F246&amp;$AB246,$G246),IF(OR(AO$3=$D246,AO$3=$AC246,AO$3=$AE246),"",IF(AO$3=$AD246,$F246&amp;"R",AO245))))</f>
        <v>wR</v>
      </c>
      <c r="AP246" s="11" t="str">
        <f aca="false">IF($P246=0,AP245,IF(AP$3=$E246,IF($AA246=1,$F246&amp;$AB246,$G246),IF(OR(AP$3=$D246,AP$3=$AC246,AP$3=$AE246),"",IF(AP$3=$AD246,$F246&amp;"R",AP245))))</f>
        <v>wP</v>
      </c>
      <c r="AQ246" s="11" t="str">
        <f aca="false">IF($P246=0,AQ245,IF(AQ$3=$E246,IF($AA246=1,$F246&amp;$AB246,$G246),IF(OR(AQ$3=$D246,AQ$3=$AC246,AQ$3=$AE246),"",IF(AQ$3=$AD246,$F246&amp;"R",AQ245))))</f>
        <v>wP</v>
      </c>
      <c r="AR246" s="11" t="str">
        <f aca="false">IF($P246=0,AR245,IF(AR$3=$E246,IF($AA246=1,$F246&amp;$AB246,$G246),IF(OR(AR$3=$D246,AR$3=$AC246,AR$3=$AE246),"",IF(AR$3=$AD246,$F246&amp;"R",AR245))))</f>
        <v>wP</v>
      </c>
      <c r="AS246" s="11" t="str">
        <f aca="false">IF($P246=0,AS245,IF(AS$3=$E246,IF($AA246=1,$F246&amp;$AB246,$G246),IF(OR(AS$3=$D246,AS$3=$AC246,AS$3=$AE246),"",IF(AS$3=$AD246,$F246&amp;"R",AS245))))</f>
        <v>wP</v>
      </c>
      <c r="AT246" s="11" t="str">
        <f aca="false">IF($P246=0,AT245,IF(AT$3=$E246,IF($AA246=1,$F246&amp;$AB246,$G246),IF(OR(AT$3=$D246,AT$3=$AC246,AT$3=$AE246),"",IF(AT$3=$AD246,$F246&amp;"R",AT245))))</f>
        <v>wP</v>
      </c>
      <c r="AU246" s="11" t="str">
        <f aca="false">IF($P246=0,AU245,IF(AU$3=$E246,IF($AA246=1,$F246&amp;$AB246,$G246),IF(OR(AU$3=$D246,AU$3=$AC246,AU$3=$AE246),"",IF(AU$3=$AD246,$F246&amp;"R",AU245))))</f>
        <v>wP</v>
      </c>
      <c r="AV246" s="11" t="str">
        <f aca="false">IF($P246=0,AV245,IF(AV$3=$E246,IF($AA246=1,$F246&amp;$AB246,$G246),IF(OR(AV$3=$D246,AV$3=$AC246,AV$3=$AE246),"",IF(AV$3=$AD246,$F246&amp;"R",AV245))))</f>
        <v>wP</v>
      </c>
      <c r="AW246" s="11" t="str">
        <f aca="false">IF($P246=0,AW245,IF(AW$3=$E246,IF($AA246=1,$F246&amp;$AB246,$G246),IF(OR(AW$3=$D246,AW$3=$AC246,AW$3=$AE246),"",IF(AW$3=$AD246,$F246&amp;"R",AW245))))</f>
        <v>wP</v>
      </c>
      <c r="AX246" s="11" t="str">
        <f aca="false">IF($P246=0,AX245,IF(AX$3=$E246,IF($AA246=1,$F246&amp;$AB246,$G246),IF(OR(AX$3=$D246,AX$3=$AC246,AX$3=$AE246),"",IF(AX$3=$AD246,$F246&amp;"R",AX245))))</f>
        <v/>
      </c>
      <c r="AY246" s="11" t="str">
        <f aca="false">IF($P246=0,AY245,IF(AY$3=$E246,IF($AA246=1,$F246&amp;$AB246,$G246),IF(OR(AY$3=$D246,AY$3=$AC246,AY$3=$AE246),"",IF(AY$3=$AD246,$F246&amp;"R",AY245))))</f>
        <v/>
      </c>
      <c r="AZ246" s="11" t="str">
        <f aca="false">IF($P246=0,AZ245,IF(AZ$3=$E246,IF($AA246=1,$F246&amp;$AB246,$G246),IF(OR(AZ$3=$D246,AZ$3=$AC246,AZ$3=$AE246),"",IF(AZ$3=$AD246,$F246&amp;"R",AZ245))))</f>
        <v/>
      </c>
      <c r="BA246" s="11" t="str">
        <f aca="false">IF($P246=0,BA245,IF(BA$3=$E246,IF($AA246=1,$F246&amp;$AB246,$G246),IF(OR(BA$3=$D246,BA$3=$AC246,BA$3=$AE246),"",IF(BA$3=$AD246,$F246&amp;"R",BA245))))</f>
        <v/>
      </c>
      <c r="BB246" s="11" t="str">
        <f aca="false">IF($P246=0,BB245,IF(BB$3=$E246,IF($AA246=1,$F246&amp;$AB246,$G246),IF(OR(BB$3=$D246,BB$3=$AC246,BB$3=$AE246),"",IF(BB$3=$AD246,$F246&amp;"R",BB245))))</f>
        <v/>
      </c>
      <c r="BC246" s="11" t="str">
        <f aca="false">IF($P246=0,BC245,IF(BC$3=$E246,IF($AA246=1,$F246&amp;$AB246,$G246),IF(OR(BC$3=$D246,BC$3=$AC246,BC$3=$AE246),"",IF(BC$3=$AD246,$F246&amp;"R",BC245))))</f>
        <v/>
      </c>
      <c r="BD246" s="11" t="str">
        <f aca="false">IF($P246=0,BD245,IF(BD$3=$E246,IF($AA246=1,$F246&amp;$AB246,$G246),IF(OR(BD$3=$D246,BD$3=$AC246,BD$3=$AE246),"",IF(BD$3=$AD246,$F246&amp;"R",BD245))))</f>
        <v/>
      </c>
      <c r="BE246" s="11" t="str">
        <f aca="false">IF($P246=0,BE245,IF(BE$3=$E246,IF($AA246=1,$F246&amp;$AB246,$G246),IF(OR(BE$3=$D246,BE$3=$AC246,BE$3=$AE246),"",IF(BE$3=$AD246,$F246&amp;"R",BE245))))</f>
        <v/>
      </c>
      <c r="BF246" s="11" t="str">
        <f aca="false">IF($P246=0,BF245,IF(BF$3=$E246,IF($AA246=1,$F246&amp;$AB246,$G246),IF(OR(BF$3=$D246,BF$3=$AC246,BF$3=$AE246),"",IF(BF$3=$AD246,$F246&amp;"R",BF245))))</f>
        <v/>
      </c>
      <c r="BG246" s="11" t="str">
        <f aca="false">IF($P246=0,BG245,IF(BG$3=$E246,IF($AA246=1,$F246&amp;$AB246,$G246),IF(OR(BG$3=$D246,BG$3=$AC246,BG$3=$AE246),"",IF(BG$3=$AD246,$F246&amp;"R",BG245))))</f>
        <v/>
      </c>
      <c r="BH246" s="11" t="str">
        <f aca="false">IF($P246=0,BH245,IF(BH$3=$E246,IF($AA246=1,$F246&amp;$AB246,$G246),IF(OR(BH$3=$D246,BH$3=$AC246,BH$3=$AE246),"",IF(BH$3=$AD246,$F246&amp;"R",BH245))))</f>
        <v/>
      </c>
      <c r="BI246" s="11" t="str">
        <f aca="false">IF($P246=0,BI245,IF(BI$3=$E246,IF($AA246=1,$F246&amp;$AB246,$G246),IF(OR(BI$3=$D246,BI$3=$AC246,BI$3=$AE246),"",IF(BI$3=$AD246,$F246&amp;"R",BI245))))</f>
        <v/>
      </c>
      <c r="BJ246" s="11" t="str">
        <f aca="false">IF($P246=0,BJ245,IF(BJ$3=$E246,IF($AA246=1,$F246&amp;$AB246,$G246),IF(OR(BJ$3=$D246,BJ$3=$AC246,BJ$3=$AE246),"",IF(BJ$3=$AD246,$F246&amp;"R",BJ245))))</f>
        <v/>
      </c>
      <c r="BK246" s="11" t="str">
        <f aca="false">IF($P246=0,BK245,IF(BK$3=$E246,IF($AA246=1,$F246&amp;$AB246,$G246),IF(OR(BK$3=$D246,BK$3=$AC246,BK$3=$AE246),"",IF(BK$3=$AD246,$F246&amp;"R",BK245))))</f>
        <v/>
      </c>
      <c r="BL246" s="11" t="str">
        <f aca="false">IF($P246=0,BL245,IF(BL$3=$E246,IF($AA246=1,$F246&amp;$AB246,$G246),IF(OR(BL$3=$D246,BL$3=$AC246,BL$3=$AE246),"",IF(BL$3=$AD246,$F246&amp;"R",BL245))))</f>
        <v/>
      </c>
      <c r="BM246" s="11" t="str">
        <f aca="false">IF($P246=0,BM245,IF(BM$3=$E246,IF($AA246=1,$F246&amp;$AB246,$G246),IF(OR(BM$3=$D246,BM$3=$AC246,BM$3=$AE246),"",IF(BM$3=$AD246,$F246&amp;"R",BM245))))</f>
        <v/>
      </c>
      <c r="BN246" s="11" t="str">
        <f aca="false">IF($P246=0,BN245,IF(BN$3=$E246,IF($AA246=1,$F246&amp;$AB246,$G246),IF(OR(BN$3=$D246,BN$3=$AC246,BN$3=$AE246),"",IF(BN$3=$AD246,$F246&amp;"R",BN245))))</f>
        <v/>
      </c>
      <c r="BO246" s="11" t="str">
        <f aca="false">IF($P246=0,BO245,IF(BO$3=$E246,IF($AA246=1,$F246&amp;$AB246,$G246),IF(OR(BO$3=$D246,BO$3=$AC246,BO$3=$AE246),"",IF(BO$3=$AD246,$F246&amp;"R",BO245))))</f>
        <v/>
      </c>
      <c r="BP246" s="11" t="str">
        <f aca="false">IF($P246=0,BP245,IF(BP$3=$E246,IF($AA246=1,$F246&amp;$AB246,$G246),IF(OR(BP$3=$D246,BP$3=$AC246,BP$3=$AE246),"",IF(BP$3=$AD246,$F246&amp;"R",BP245))))</f>
        <v/>
      </c>
      <c r="BQ246" s="11" t="str">
        <f aca="false">IF($P246=0,BQ245,IF(BQ$3=$E246,IF($AA246=1,$F246&amp;$AB246,$G246),IF(OR(BQ$3=$D246,BQ$3=$AC246,BQ$3=$AE246),"",IF(BQ$3=$AD246,$F246&amp;"R",BQ245))))</f>
        <v/>
      </c>
      <c r="BR246" s="11" t="str">
        <f aca="false">IF($P246=0,BR245,IF(BR$3=$E246,IF($AA246=1,$F246&amp;$AB246,$G246),IF(OR(BR$3=$D246,BR$3=$AC246,BR$3=$AE246),"",IF(BR$3=$AD246,$F246&amp;"R",BR245))))</f>
        <v/>
      </c>
      <c r="BS246" s="11" t="str">
        <f aca="false">IF($P246=0,BS245,IF(BS$3=$E246,IF($AA246=1,$F246&amp;$AB246,$G246),IF(OR(BS$3=$D246,BS$3=$AC246,BS$3=$AE246),"",IF(BS$3=$AD246,$F246&amp;"R",BS245))))</f>
        <v/>
      </c>
      <c r="BT246" s="11" t="str">
        <f aca="false">IF($P246=0,BT245,IF(BT$3=$E246,IF($AA246=1,$F246&amp;$AB246,$G246),IF(OR(BT$3=$D246,BT$3=$AC246,BT$3=$AE246),"",IF(BT$3=$AD246,$F246&amp;"R",BT245))))</f>
        <v/>
      </c>
      <c r="BU246" s="11" t="str">
        <f aca="false">IF($P246=0,BU245,IF(BU$3=$E246,IF($AA246=1,$F246&amp;$AB246,$G246),IF(OR(BU$3=$D246,BU$3=$AC246,BU$3=$AE246),"",IF(BU$3=$AD246,$F246&amp;"R",BU245))))</f>
        <v/>
      </c>
      <c r="BV246" s="11" t="str">
        <f aca="false">IF($P246=0,BV245,IF(BV$3=$E246,IF($AA246=1,$F246&amp;$AB246,$G246),IF(OR(BV$3=$D246,BV$3=$AC246,BV$3=$AE246),"",IF(BV$3=$AD246,$F246&amp;"R",BV245))))</f>
        <v/>
      </c>
      <c r="BW246" s="11" t="str">
        <f aca="false">IF($P246=0,BW245,IF(BW$3=$E246,IF($AA246=1,$F246&amp;$AB246,$G246),IF(OR(BW$3=$D246,BW$3=$AC246,BW$3=$AE246),"",IF(BW$3=$AD246,$F246&amp;"R",BW245))))</f>
        <v/>
      </c>
      <c r="BX246" s="11" t="str">
        <f aca="false">IF($P246=0,BX245,IF(BX$3=$E246,IF($AA246=1,$F246&amp;$AB246,$G246),IF(OR(BX$3=$D246,BX$3=$AC246,BX$3=$AE246),"",IF(BX$3=$AD246,$F246&amp;"R",BX245))))</f>
        <v/>
      </c>
      <c r="BY246" s="11" t="str">
        <f aca="false">IF($P246=0,BY245,IF(BY$3=$E246,IF($AA246=1,$F246&amp;$AB246,$G246),IF(OR(BY$3=$D246,BY$3=$AC246,BY$3=$AE246),"",IF(BY$3=$AD246,$F246&amp;"R",BY245))))</f>
        <v/>
      </c>
      <c r="BZ246" s="11" t="str">
        <f aca="false">IF($P246=0,BZ245,IF(BZ$3=$E246,IF($AA246=1,$F246&amp;$AB246,$G246),IF(OR(BZ$3=$D246,BZ$3=$AC246,BZ$3=$AE246),"",IF(BZ$3=$AD246,$F246&amp;"R",BZ245))))</f>
        <v/>
      </c>
      <c r="CA246" s="11" t="str">
        <f aca="false">IF($P246=0,CA245,IF(CA$3=$E246,IF($AA246=1,$F246&amp;$AB246,$G246),IF(OR(CA$3=$D246,CA$3=$AC246,CA$3=$AE246),"",IF(CA$3=$AD246,$F246&amp;"R",CA245))))</f>
        <v/>
      </c>
      <c r="CB246" s="11" t="str">
        <f aca="false">IF($P246=0,CB245,IF(CB$3=$E246,IF($AA246=1,$F246&amp;$AB246,$G246),IF(OR(CB$3=$D246,CB$3=$AC246,CB$3=$AE246),"",IF(CB$3=$AD246,$F246&amp;"R",CB245))))</f>
        <v/>
      </c>
      <c r="CC246" s="11" t="str">
        <f aca="false">IF($P246=0,CC245,IF(CC$3=$E246,IF($AA246=1,$F246&amp;$AB246,$G246),IF(OR(CC$3=$D246,CC$3=$AC246,CC$3=$AE246),"",IF(CC$3=$AD246,$F246&amp;"R",CC245))))</f>
        <v/>
      </c>
      <c r="CD246" s="11" t="str">
        <f aca="false">IF($P246=0,CD245,IF(CD$3=$E246,IF($AA246=1,$F246&amp;$AB246,$G246),IF(OR(CD$3=$D246,CD$3=$AC246,CD$3=$AE246),"",IF(CD$3=$AD246,$F246&amp;"R",CD245))))</f>
        <v>bP</v>
      </c>
      <c r="CE246" s="11" t="str">
        <f aca="false">IF($P246=0,CE245,IF(CE$3=$E246,IF($AA246=1,$F246&amp;$AB246,$G246),IF(OR(CE$3=$D246,CE$3=$AC246,CE$3=$AE246),"",IF(CE$3=$AD246,$F246&amp;"R",CE245))))</f>
        <v>bP</v>
      </c>
      <c r="CF246" s="11" t="str">
        <f aca="false">IF($P246=0,CF245,IF(CF$3=$E246,IF($AA246=1,$F246&amp;$AB246,$G246),IF(OR(CF$3=$D246,CF$3=$AC246,CF$3=$AE246),"",IF(CF$3=$AD246,$F246&amp;"R",CF245))))</f>
        <v>bP</v>
      </c>
      <c r="CG246" s="11" t="str">
        <f aca="false">IF($P246=0,CG245,IF(CG$3=$E246,IF($AA246=1,$F246&amp;$AB246,$G246),IF(OR(CG$3=$D246,CG$3=$AC246,CG$3=$AE246),"",IF(CG$3=$AD246,$F246&amp;"R",CG245))))</f>
        <v>bP</v>
      </c>
      <c r="CH246" s="11" t="str">
        <f aca="false">IF($P246=0,CH245,IF(CH$3=$E246,IF($AA246=1,$F246&amp;$AB246,$G246),IF(OR(CH$3=$D246,CH$3=$AC246,CH$3=$AE246),"",IF(CH$3=$AD246,$F246&amp;"R",CH245))))</f>
        <v>bP</v>
      </c>
      <c r="CI246" s="11" t="str">
        <f aca="false">IF($P246=0,CI245,IF(CI$3=$E246,IF($AA246=1,$F246&amp;$AB246,$G246),IF(OR(CI$3=$D246,CI$3=$AC246,CI$3=$AE246),"",IF(CI$3=$AD246,$F246&amp;"R",CI245))))</f>
        <v>bP</v>
      </c>
      <c r="CJ246" s="11" t="str">
        <f aca="false">IF($P246=0,CJ245,IF(CJ$3=$E246,IF($AA246=1,$F246&amp;$AB246,$G246),IF(OR(CJ$3=$D246,CJ$3=$AC246,CJ$3=$AE246),"",IF(CJ$3=$AD246,$F246&amp;"R",CJ245))))</f>
        <v>bP</v>
      </c>
      <c r="CK246" s="11" t="str">
        <f aca="false">IF($P246=0,CK245,IF(CK$3=$E246,IF($AA246=1,$F246&amp;$AB246,$G246),IF(OR(CK$3=$D246,CK$3=$AC246,CK$3=$AE246),"",IF(CK$3=$AD246,$F246&amp;"R",CK245))))</f>
        <v>bP</v>
      </c>
      <c r="CL246" s="11" t="str">
        <f aca="false">IF($P246=0,CL245,IF(CL$3=$E246,IF($AA246=1,$F246&amp;$AB246,$G246),IF(OR(CL$3=$D246,CL$3=$AC246,CL$3=$AE246),"",IF(CL$3=$AD246,$F246&amp;"R",CL245))))</f>
        <v>bR</v>
      </c>
      <c r="CM246" s="11" t="str">
        <f aca="false">IF($P246=0,CM245,IF(CM$3=$E246,IF($AA246=1,$F246&amp;$AB246,$G246),IF(OR(CM$3=$D246,CM$3=$AC246,CM$3=$AE246),"",IF(CM$3=$AD246,$F246&amp;"R",CM245))))</f>
        <v>bN</v>
      </c>
      <c r="CN246" s="11" t="str">
        <f aca="false">IF($P246=0,CN245,IF(CN$3=$E246,IF($AA246=1,$F246&amp;$AB246,$G246),IF(OR(CN$3=$D246,CN$3=$AC246,CN$3=$AE246),"",IF(CN$3=$AD246,$F246&amp;"R",CN245))))</f>
        <v>bB</v>
      </c>
      <c r="CO246" s="11" t="str">
        <f aca="false">IF($P246=0,CO245,IF(CO$3=$E246,IF($AA246=1,$F246&amp;$AB246,$G246),IF(OR(CO$3=$D246,CO$3=$AC246,CO$3=$AE246),"",IF(CO$3=$AD246,$F246&amp;"R",CO245))))</f>
        <v>bQ</v>
      </c>
      <c r="CP246" s="11" t="str">
        <f aca="false">IF($P246=0,CP245,IF(CP$3=$E246,IF($AA246=1,$F246&amp;$AB246,$G246),IF(OR(CP$3=$D246,CP$3=$AC246,CP$3=$AE246),"",IF(CP$3=$AD246,$F246&amp;"R",CP245))))</f>
        <v>bK</v>
      </c>
      <c r="CQ246" s="11" t="str">
        <f aca="false">IF($P246=0,CQ245,IF(CQ$3=$E246,IF($AA246=1,$F246&amp;$AB246,$G246),IF(OR(CQ$3=$D246,CQ$3=$AC246,CQ$3=$AE246),"",IF(CQ$3=$AD246,$F246&amp;"R",CQ245))))</f>
        <v>bB</v>
      </c>
      <c r="CR246" s="11" t="str">
        <f aca="false">IF($P246=0,CR245,IF(CR$3=$E246,IF($AA246=1,$F246&amp;$AB246,$G246),IF(OR(CR$3=$D246,CR$3=$AC246,CR$3=$AE246),"",IF(CR$3=$AD246,$F246&amp;"R",CR245))))</f>
        <v>bN</v>
      </c>
      <c r="CS246" s="11" t="str">
        <f aca="false">IF($P246=0,CS245,IF(CS$3=$E246,IF($AA246=1,$F246&amp;$AB246,$G246),IF(OR(CS$3=$D246,CS$3=$AC246,CS$3=$AE246),"",IF(CS$3=$AD246,$F246&amp;"R",CS245))))</f>
        <v>bR</v>
      </c>
      <c r="CT246" s="11"/>
      <c r="CU246" s="11"/>
      <c r="CV246" s="11"/>
    </row>
    <row r="247" customFormat="false" ht="15" hidden="false" customHeight="false" outlineLevel="0" collapsed="false">
      <c r="A247" s="11" t="n">
        <v>242</v>
      </c>
      <c r="B247" s="11" t="str">
        <f aca="false">IF(Chess!$L$251="","",Chess!$L$251&amp;"")</f>
        <v/>
      </c>
      <c r="C247" s="11" t="str">
        <f aca="false">LOWER(SUBSTITUTE(SUBSTITUTE(SUBSTITUTE(SUBSTITUTE(TRIM($B247),"-",""),"=","")," ",""),"x",""))</f>
        <v/>
      </c>
      <c r="D247" s="11" t="n">
        <f aca="false">IF(LEN($C247)&lt;4,0,IFERROR(IF(AND(CODE(MID($C247,1,1))&gt;=97,CODE(MID($C247,1,1))&lt;=104,VALUE(MID($C247,2,1))&gt;=1,VALUE(MID($C247,2,1))&lt;=8),(VALUE(MID($C247,2,1))-1)*8+CODE(MID($C247,1,1))-96,0),0))</f>
        <v>0</v>
      </c>
      <c r="E247" s="11" t="n">
        <f aca="false">IF(LEN($C247)&lt;4,0,IFERROR(IF(AND(CODE(MID($C247,3,1))&gt;=97,CODE(MID($C247,3,1))&lt;=104,VALUE(MID($C247,4,1))&gt;=1,VALUE(MID($C247,4,1))&lt;=8),(VALUE(MID($C247,4,1))-1)*8+CODE(MID($C247,3,1))-96,0),0))</f>
        <v>0</v>
      </c>
      <c r="F247" s="11" t="str">
        <f aca="false">IF(MOD(SUM($P$5:$P246),2)=0,"w","b")</f>
        <v>w</v>
      </c>
      <c r="G247" s="11" t="str">
        <f aca="false">IF($D247=0,"",INDEX($AH246:$CS246,1,$D247)&amp;"")</f>
        <v/>
      </c>
      <c r="H247" s="11" t="str">
        <f aca="false">IF($E247=0,"",INDEX($AH246:$CS246,1,$E247)&amp;"")</f>
        <v/>
      </c>
      <c r="I247" s="11" t="n">
        <f aca="false">IF(OR($D247=0,$E247=0),0,MOD($E247-1,8)-MOD($D247-1,8))</f>
        <v>0</v>
      </c>
      <c r="J247" s="11" t="n">
        <f aca="false">IF(OR($D247=0,$E247=0),0,INT(($E247-1)/8)-INT(($D247-1)/8))</f>
        <v>0</v>
      </c>
      <c r="K247" s="11" t="str">
        <f aca="false">IF($G247="","",RIGHT($G247,1))</f>
        <v/>
      </c>
      <c r="L247" s="11" t="n">
        <f aca="false">IF(OR($D247=0,$E247=0),0,SUMPRODUCT(($AH$3:$CS$3&gt;MIN($D247,$E247))*($AH$3:$CS$3&lt;MAX($D247,$E247))*(MOD($AH$3:$CS$3-MIN($D247,$E247),MAX(1,ABS(SIGN($J247)*8+SIGN($I247))))=0)*($AH246:$CS246&lt;&gt;"")))</f>
        <v>0</v>
      </c>
      <c r="M247" s="11" t="n">
        <f aca="false">IF($K247&lt;&gt;"K",0,IFERROR(--AND($J247=0,ABS($I247)=2,$D247=IF($F247="w",5,61),IF($F247="w",$S246,$V246)=0,IF($I247=2,AND(IF($F247="w",$U246,$X246)=0,INDEX($AH246:$CS246,1,$D247+1)&amp;""="",INDEX($AH246:$CS246,1,$D247+2)&amp;""=""),AND(IF($F247="w",$T246,$W246)=0,INDEX($AH246:$CS246,1,$D247-1)&amp;""="",INDEX($AH246:$CS246,1,$D247-2)&amp;""="",INDEX($AH246:$CS246,1,$D247-3)&amp;""=""))),0))</f>
        <v>0</v>
      </c>
      <c r="N247" s="11" t="n">
        <f aca="false">IF($K247&lt;&gt;"P",0,IFERROR(--OR(AND($I247=0,$J247=IF($F247="w",1,-1),$H247=""),AND($I247=0,$J247=2*IF($F247="w",1,-1),$H247="",INT(($D247-1)/8)=IF($F247="w",1,6),INDEX($AH246:$CS246,1,MAX(1,MIN(64,$D247+8*IF($F247="w",1,-1))))&amp;""=""),AND(ABS($I247)=1,$J247=IF($F247="w",1,-1),$H247&lt;&gt;""),AND(ABS($I247)=1,$J247=IF($F247="w",1,-1),$H247="",$R246&gt;0,$E247=$R246)),0))</f>
        <v>0</v>
      </c>
      <c r="O247" s="11" t="n">
        <f aca="false">IF(OR($D247=0,$E247=0,$G247=""),0,IF($K247="N",--OR(AND(ABS($I247)=1,ABS($J247)=2),AND(ABS($I247)=2,ABS($J247)=1)),IF($K247="B",--AND(ABS($I247)=ABS($J247),$I247&lt;&gt;0,$L247=0),IF($K247="R",--AND(OR($I247=0,$J247=0),OR($I247&lt;&gt;0,$J247&lt;&gt;0),$L247=0),IF($K247="Q",--AND(OR(AND(ABS($I247)=ABS($J247),$I247&lt;&gt;0),AND(OR($I247=0,$J247=0),OR($I247&lt;&gt;0,$J247&lt;&gt;0))),$L247=0),IF($K247="K",--OR(MAX(ABS($I247),ABS($J247))=1,$M247=1),$N247))))))</f>
        <v>0</v>
      </c>
      <c r="P247" s="11" t="n">
        <f aca="false">IF($Q247="OK",1,0)</f>
        <v>0</v>
      </c>
      <c r="Q247" s="11" t="str">
        <f aca="false">IF($B247="","",IF(OR(COUNTIF($AH246:$CS246,"wK")=0,COUNTIF($AH246:$CS246,"bK")=0),"Game is over",IF(OR($D247=0,$E247=0),"Use the format e2e4",IF($G247="","No piece on that square",IF(LEFT($G247,1)&lt;&gt;$F247,"Not your piece ("&amp;IF($F247="w","White","Black")&amp;" to move)",IF($D247=$E247,"Piece must move",IF(AND($H247&lt;&gt;"",LEFT($H247,1)=$F247),"Cannot capture your own piece",IF($O247=0,"Illegal move for that piece (or path blocked)","OK"))))))))</f>
        <v/>
      </c>
      <c r="R247" s="11" t="n">
        <f aca="false">IF($P247=1,IF(AND($K247="P",ABS($J247)=2),($D247+$E247)/2,0),$R246)</f>
        <v>0</v>
      </c>
      <c r="S247" s="12" t="b">
        <f aca="false">--OR($S246=1,AND($P247=1,OR($D247=5,$E247=5)))</f>
        <v>0</v>
      </c>
      <c r="T247" s="12" t="b">
        <f aca="false">--OR($T246=1,AND($P247=1,OR($D247=1,$E247=1)))</f>
        <v>0</v>
      </c>
      <c r="U247" s="12" t="b">
        <f aca="false">--OR($U246=1,AND($P247=1,OR($D247=8,$E247=8)))</f>
        <v>0</v>
      </c>
      <c r="V247" s="12" t="b">
        <f aca="false">--OR($V246=1,AND($P247=1,OR($D247=61,$E247=61)))</f>
        <v>0</v>
      </c>
      <c r="W247" s="12" t="b">
        <f aca="false">--OR($W246=1,AND($P247=1,OR($D247=57,$E247=57)))</f>
        <v>0</v>
      </c>
      <c r="X247" s="12" t="b">
        <f aca="false">--OR($X246=1,AND($P247=1,OR($D247=64,$E247=64)))</f>
        <v>0</v>
      </c>
      <c r="Y247" s="12" t="b">
        <f aca="false">--AND($P247=1,$K247="K",ABS($I247)=2)</f>
        <v>0</v>
      </c>
      <c r="Z247" s="12" t="b">
        <f aca="false">--AND($P247=1,$K247="P",ABS($I247)=1,$H247="")</f>
        <v>0</v>
      </c>
      <c r="AA247" s="12" t="b">
        <f aca="false">--AND($P247=1,$K247="P",INT(($E247-1)/8)=IF($F247="w",7,0))</f>
        <v>0</v>
      </c>
      <c r="AB247" s="11" t="str">
        <f aca="false">IF(LEN($C247)&gt;=5,IF(ISNUMBER(FIND(MID($C247,5,1),"qrbn")),UPPER(MID($C247,5,1)),"Q"),"Q")</f>
        <v>Q</v>
      </c>
      <c r="AC247" s="11" t="n">
        <f aca="false">IF($Y247=1,IF($I247=2,$D247+3,$D247-4),0)</f>
        <v>0</v>
      </c>
      <c r="AD247" s="11" t="n">
        <f aca="false">IF($Y247=1,IF($I247=2,$D247+1,$D247-1),0)</f>
        <v>0</v>
      </c>
      <c r="AE247" s="11" t="n">
        <f aca="false">IF($Z247=1,$E247-8*IF($F247="w",1,-1),0)</f>
        <v>0</v>
      </c>
      <c r="AF247" s="11" t="str">
        <f aca="false">IF($B247="","",IF($P247=1,LOWER(INDEX($CV$2:$CV$13,MATCH($G247,$CU$2:$CU$13,0)))&amp;" "&amp;MID("abcdefgh",MOD($D247-1,8)+1,1)&amp;(INT(($D247-1)/8)+1)&amp;"→"&amp;MID("abcdefgh",MOD($E247-1,8)+1,1)&amp;(INT(($E247-1)/8)+1)&amp;IF(OR($H247&lt;&gt;"",$Z247=1)," ×","")&amp;IF($Y247=1," castles","")&amp;IF($Z247=1," e.p.","")&amp;IF($AA247=1," =" &amp;LOWER(INDEX($CV$2:$CV$13,MATCH($F247&amp;$AB247,$CU$2:$CU$13,0))),""),"X "&amp;$Q247))</f>
        <v/>
      </c>
      <c r="AG247" s="11"/>
      <c r="AH247" s="11" t="str">
        <f aca="false">IF($P247=0,AH246,IF(AH$3=$E247,IF($AA247=1,$F247&amp;$AB247,$G247),IF(OR(AH$3=$D247,AH$3=$AC247,AH$3=$AE247),"",IF(AH$3=$AD247,$F247&amp;"R",AH246))))</f>
        <v>wR</v>
      </c>
      <c r="AI247" s="11" t="str">
        <f aca="false">IF($P247=0,AI246,IF(AI$3=$E247,IF($AA247=1,$F247&amp;$AB247,$G247),IF(OR(AI$3=$D247,AI$3=$AC247,AI$3=$AE247),"",IF(AI$3=$AD247,$F247&amp;"R",AI246))))</f>
        <v>wN</v>
      </c>
      <c r="AJ247" s="11" t="str">
        <f aca="false">IF($P247=0,AJ246,IF(AJ$3=$E247,IF($AA247=1,$F247&amp;$AB247,$G247),IF(OR(AJ$3=$D247,AJ$3=$AC247,AJ$3=$AE247),"",IF(AJ$3=$AD247,$F247&amp;"R",AJ246))))</f>
        <v>wB</v>
      </c>
      <c r="AK247" s="11" t="str">
        <f aca="false">IF($P247=0,AK246,IF(AK$3=$E247,IF($AA247=1,$F247&amp;$AB247,$G247),IF(OR(AK$3=$D247,AK$3=$AC247,AK$3=$AE247),"",IF(AK$3=$AD247,$F247&amp;"R",AK246))))</f>
        <v>wQ</v>
      </c>
      <c r="AL247" s="11" t="str">
        <f aca="false">IF($P247=0,AL246,IF(AL$3=$E247,IF($AA247=1,$F247&amp;$AB247,$G247),IF(OR(AL$3=$D247,AL$3=$AC247,AL$3=$AE247),"",IF(AL$3=$AD247,$F247&amp;"R",AL246))))</f>
        <v>wK</v>
      </c>
      <c r="AM247" s="11" t="str">
        <f aca="false">IF($P247=0,AM246,IF(AM$3=$E247,IF($AA247=1,$F247&amp;$AB247,$G247),IF(OR(AM$3=$D247,AM$3=$AC247,AM$3=$AE247),"",IF(AM$3=$AD247,$F247&amp;"R",AM246))))</f>
        <v>wB</v>
      </c>
      <c r="AN247" s="11" t="str">
        <f aca="false">IF($P247=0,AN246,IF(AN$3=$E247,IF($AA247=1,$F247&amp;$AB247,$G247),IF(OR(AN$3=$D247,AN$3=$AC247,AN$3=$AE247),"",IF(AN$3=$AD247,$F247&amp;"R",AN246))))</f>
        <v>wN</v>
      </c>
      <c r="AO247" s="11" t="str">
        <f aca="false">IF($P247=0,AO246,IF(AO$3=$E247,IF($AA247=1,$F247&amp;$AB247,$G247),IF(OR(AO$3=$D247,AO$3=$AC247,AO$3=$AE247),"",IF(AO$3=$AD247,$F247&amp;"R",AO246))))</f>
        <v>wR</v>
      </c>
      <c r="AP247" s="11" t="str">
        <f aca="false">IF($P247=0,AP246,IF(AP$3=$E247,IF($AA247=1,$F247&amp;$AB247,$G247),IF(OR(AP$3=$D247,AP$3=$AC247,AP$3=$AE247),"",IF(AP$3=$AD247,$F247&amp;"R",AP246))))</f>
        <v>wP</v>
      </c>
      <c r="AQ247" s="11" t="str">
        <f aca="false">IF($P247=0,AQ246,IF(AQ$3=$E247,IF($AA247=1,$F247&amp;$AB247,$G247),IF(OR(AQ$3=$D247,AQ$3=$AC247,AQ$3=$AE247),"",IF(AQ$3=$AD247,$F247&amp;"R",AQ246))))</f>
        <v>wP</v>
      </c>
      <c r="AR247" s="11" t="str">
        <f aca="false">IF($P247=0,AR246,IF(AR$3=$E247,IF($AA247=1,$F247&amp;$AB247,$G247),IF(OR(AR$3=$D247,AR$3=$AC247,AR$3=$AE247),"",IF(AR$3=$AD247,$F247&amp;"R",AR246))))</f>
        <v>wP</v>
      </c>
      <c r="AS247" s="11" t="str">
        <f aca="false">IF($P247=0,AS246,IF(AS$3=$E247,IF($AA247=1,$F247&amp;$AB247,$G247),IF(OR(AS$3=$D247,AS$3=$AC247,AS$3=$AE247),"",IF(AS$3=$AD247,$F247&amp;"R",AS246))))</f>
        <v>wP</v>
      </c>
      <c r="AT247" s="11" t="str">
        <f aca="false">IF($P247=0,AT246,IF(AT$3=$E247,IF($AA247=1,$F247&amp;$AB247,$G247),IF(OR(AT$3=$D247,AT$3=$AC247,AT$3=$AE247),"",IF(AT$3=$AD247,$F247&amp;"R",AT246))))</f>
        <v>wP</v>
      </c>
      <c r="AU247" s="11" t="str">
        <f aca="false">IF($P247=0,AU246,IF(AU$3=$E247,IF($AA247=1,$F247&amp;$AB247,$G247),IF(OR(AU$3=$D247,AU$3=$AC247,AU$3=$AE247),"",IF(AU$3=$AD247,$F247&amp;"R",AU246))))</f>
        <v>wP</v>
      </c>
      <c r="AV247" s="11" t="str">
        <f aca="false">IF($P247=0,AV246,IF(AV$3=$E247,IF($AA247=1,$F247&amp;$AB247,$G247),IF(OR(AV$3=$D247,AV$3=$AC247,AV$3=$AE247),"",IF(AV$3=$AD247,$F247&amp;"R",AV246))))</f>
        <v>wP</v>
      </c>
      <c r="AW247" s="11" t="str">
        <f aca="false">IF($P247=0,AW246,IF(AW$3=$E247,IF($AA247=1,$F247&amp;$AB247,$G247),IF(OR(AW$3=$D247,AW$3=$AC247,AW$3=$AE247),"",IF(AW$3=$AD247,$F247&amp;"R",AW246))))</f>
        <v>wP</v>
      </c>
      <c r="AX247" s="11" t="str">
        <f aca="false">IF($P247=0,AX246,IF(AX$3=$E247,IF($AA247=1,$F247&amp;$AB247,$G247),IF(OR(AX$3=$D247,AX$3=$AC247,AX$3=$AE247),"",IF(AX$3=$AD247,$F247&amp;"R",AX246))))</f>
        <v/>
      </c>
      <c r="AY247" s="11" t="str">
        <f aca="false">IF($P247=0,AY246,IF(AY$3=$E247,IF($AA247=1,$F247&amp;$AB247,$G247),IF(OR(AY$3=$D247,AY$3=$AC247,AY$3=$AE247),"",IF(AY$3=$AD247,$F247&amp;"R",AY246))))</f>
        <v/>
      </c>
      <c r="AZ247" s="11" t="str">
        <f aca="false">IF($P247=0,AZ246,IF(AZ$3=$E247,IF($AA247=1,$F247&amp;$AB247,$G247),IF(OR(AZ$3=$D247,AZ$3=$AC247,AZ$3=$AE247),"",IF(AZ$3=$AD247,$F247&amp;"R",AZ246))))</f>
        <v/>
      </c>
      <c r="BA247" s="11" t="str">
        <f aca="false">IF($P247=0,BA246,IF(BA$3=$E247,IF($AA247=1,$F247&amp;$AB247,$G247),IF(OR(BA$3=$D247,BA$3=$AC247,BA$3=$AE247),"",IF(BA$3=$AD247,$F247&amp;"R",BA246))))</f>
        <v/>
      </c>
      <c r="BB247" s="11" t="str">
        <f aca="false">IF($P247=0,BB246,IF(BB$3=$E247,IF($AA247=1,$F247&amp;$AB247,$G247),IF(OR(BB$3=$D247,BB$3=$AC247,BB$3=$AE247),"",IF(BB$3=$AD247,$F247&amp;"R",BB246))))</f>
        <v/>
      </c>
      <c r="BC247" s="11" t="str">
        <f aca="false">IF($P247=0,BC246,IF(BC$3=$E247,IF($AA247=1,$F247&amp;$AB247,$G247),IF(OR(BC$3=$D247,BC$3=$AC247,BC$3=$AE247),"",IF(BC$3=$AD247,$F247&amp;"R",BC246))))</f>
        <v/>
      </c>
      <c r="BD247" s="11" t="str">
        <f aca="false">IF($P247=0,BD246,IF(BD$3=$E247,IF($AA247=1,$F247&amp;$AB247,$G247),IF(OR(BD$3=$D247,BD$3=$AC247,BD$3=$AE247),"",IF(BD$3=$AD247,$F247&amp;"R",BD246))))</f>
        <v/>
      </c>
      <c r="BE247" s="11" t="str">
        <f aca="false">IF($P247=0,BE246,IF(BE$3=$E247,IF($AA247=1,$F247&amp;$AB247,$G247),IF(OR(BE$3=$D247,BE$3=$AC247,BE$3=$AE247),"",IF(BE$3=$AD247,$F247&amp;"R",BE246))))</f>
        <v/>
      </c>
      <c r="BF247" s="11" t="str">
        <f aca="false">IF($P247=0,BF246,IF(BF$3=$E247,IF($AA247=1,$F247&amp;$AB247,$G247),IF(OR(BF$3=$D247,BF$3=$AC247,BF$3=$AE247),"",IF(BF$3=$AD247,$F247&amp;"R",BF246))))</f>
        <v/>
      </c>
      <c r="BG247" s="11" t="str">
        <f aca="false">IF($P247=0,BG246,IF(BG$3=$E247,IF($AA247=1,$F247&amp;$AB247,$G247),IF(OR(BG$3=$D247,BG$3=$AC247,BG$3=$AE247),"",IF(BG$3=$AD247,$F247&amp;"R",BG246))))</f>
        <v/>
      </c>
      <c r="BH247" s="11" t="str">
        <f aca="false">IF($P247=0,BH246,IF(BH$3=$E247,IF($AA247=1,$F247&amp;$AB247,$G247),IF(OR(BH$3=$D247,BH$3=$AC247,BH$3=$AE247),"",IF(BH$3=$AD247,$F247&amp;"R",BH246))))</f>
        <v/>
      </c>
      <c r="BI247" s="11" t="str">
        <f aca="false">IF($P247=0,BI246,IF(BI$3=$E247,IF($AA247=1,$F247&amp;$AB247,$G247),IF(OR(BI$3=$D247,BI$3=$AC247,BI$3=$AE247),"",IF(BI$3=$AD247,$F247&amp;"R",BI246))))</f>
        <v/>
      </c>
      <c r="BJ247" s="11" t="str">
        <f aca="false">IF($P247=0,BJ246,IF(BJ$3=$E247,IF($AA247=1,$F247&amp;$AB247,$G247),IF(OR(BJ$3=$D247,BJ$3=$AC247,BJ$3=$AE247),"",IF(BJ$3=$AD247,$F247&amp;"R",BJ246))))</f>
        <v/>
      </c>
      <c r="BK247" s="11" t="str">
        <f aca="false">IF($P247=0,BK246,IF(BK$3=$E247,IF($AA247=1,$F247&amp;$AB247,$G247),IF(OR(BK$3=$D247,BK$3=$AC247,BK$3=$AE247),"",IF(BK$3=$AD247,$F247&amp;"R",BK246))))</f>
        <v/>
      </c>
      <c r="BL247" s="11" t="str">
        <f aca="false">IF($P247=0,BL246,IF(BL$3=$E247,IF($AA247=1,$F247&amp;$AB247,$G247),IF(OR(BL$3=$D247,BL$3=$AC247,BL$3=$AE247),"",IF(BL$3=$AD247,$F247&amp;"R",BL246))))</f>
        <v/>
      </c>
      <c r="BM247" s="11" t="str">
        <f aca="false">IF($P247=0,BM246,IF(BM$3=$E247,IF($AA247=1,$F247&amp;$AB247,$G247),IF(OR(BM$3=$D247,BM$3=$AC247,BM$3=$AE247),"",IF(BM$3=$AD247,$F247&amp;"R",BM246))))</f>
        <v/>
      </c>
      <c r="BN247" s="11" t="str">
        <f aca="false">IF($P247=0,BN246,IF(BN$3=$E247,IF($AA247=1,$F247&amp;$AB247,$G247),IF(OR(BN$3=$D247,BN$3=$AC247,BN$3=$AE247),"",IF(BN$3=$AD247,$F247&amp;"R",BN246))))</f>
        <v/>
      </c>
      <c r="BO247" s="11" t="str">
        <f aca="false">IF($P247=0,BO246,IF(BO$3=$E247,IF($AA247=1,$F247&amp;$AB247,$G247),IF(OR(BO$3=$D247,BO$3=$AC247,BO$3=$AE247),"",IF(BO$3=$AD247,$F247&amp;"R",BO246))))</f>
        <v/>
      </c>
      <c r="BP247" s="11" t="str">
        <f aca="false">IF($P247=0,BP246,IF(BP$3=$E247,IF($AA247=1,$F247&amp;$AB247,$G247),IF(OR(BP$3=$D247,BP$3=$AC247,BP$3=$AE247),"",IF(BP$3=$AD247,$F247&amp;"R",BP246))))</f>
        <v/>
      </c>
      <c r="BQ247" s="11" t="str">
        <f aca="false">IF($P247=0,BQ246,IF(BQ$3=$E247,IF($AA247=1,$F247&amp;$AB247,$G247),IF(OR(BQ$3=$D247,BQ$3=$AC247,BQ$3=$AE247),"",IF(BQ$3=$AD247,$F247&amp;"R",BQ246))))</f>
        <v/>
      </c>
      <c r="BR247" s="11" t="str">
        <f aca="false">IF($P247=0,BR246,IF(BR$3=$E247,IF($AA247=1,$F247&amp;$AB247,$G247),IF(OR(BR$3=$D247,BR$3=$AC247,BR$3=$AE247),"",IF(BR$3=$AD247,$F247&amp;"R",BR246))))</f>
        <v/>
      </c>
      <c r="BS247" s="11" t="str">
        <f aca="false">IF($P247=0,BS246,IF(BS$3=$E247,IF($AA247=1,$F247&amp;$AB247,$G247),IF(OR(BS$3=$D247,BS$3=$AC247,BS$3=$AE247),"",IF(BS$3=$AD247,$F247&amp;"R",BS246))))</f>
        <v/>
      </c>
      <c r="BT247" s="11" t="str">
        <f aca="false">IF($P247=0,BT246,IF(BT$3=$E247,IF($AA247=1,$F247&amp;$AB247,$G247),IF(OR(BT$3=$D247,BT$3=$AC247,BT$3=$AE247),"",IF(BT$3=$AD247,$F247&amp;"R",BT246))))</f>
        <v/>
      </c>
      <c r="BU247" s="11" t="str">
        <f aca="false">IF($P247=0,BU246,IF(BU$3=$E247,IF($AA247=1,$F247&amp;$AB247,$G247),IF(OR(BU$3=$D247,BU$3=$AC247,BU$3=$AE247),"",IF(BU$3=$AD247,$F247&amp;"R",BU246))))</f>
        <v/>
      </c>
      <c r="BV247" s="11" t="str">
        <f aca="false">IF($P247=0,BV246,IF(BV$3=$E247,IF($AA247=1,$F247&amp;$AB247,$G247),IF(OR(BV$3=$D247,BV$3=$AC247,BV$3=$AE247),"",IF(BV$3=$AD247,$F247&amp;"R",BV246))))</f>
        <v/>
      </c>
      <c r="BW247" s="11" t="str">
        <f aca="false">IF($P247=0,BW246,IF(BW$3=$E247,IF($AA247=1,$F247&amp;$AB247,$G247),IF(OR(BW$3=$D247,BW$3=$AC247,BW$3=$AE247),"",IF(BW$3=$AD247,$F247&amp;"R",BW246))))</f>
        <v/>
      </c>
      <c r="BX247" s="11" t="str">
        <f aca="false">IF($P247=0,BX246,IF(BX$3=$E247,IF($AA247=1,$F247&amp;$AB247,$G247),IF(OR(BX$3=$D247,BX$3=$AC247,BX$3=$AE247),"",IF(BX$3=$AD247,$F247&amp;"R",BX246))))</f>
        <v/>
      </c>
      <c r="BY247" s="11" t="str">
        <f aca="false">IF($P247=0,BY246,IF(BY$3=$E247,IF($AA247=1,$F247&amp;$AB247,$G247),IF(OR(BY$3=$D247,BY$3=$AC247,BY$3=$AE247),"",IF(BY$3=$AD247,$F247&amp;"R",BY246))))</f>
        <v/>
      </c>
      <c r="BZ247" s="11" t="str">
        <f aca="false">IF($P247=0,BZ246,IF(BZ$3=$E247,IF($AA247=1,$F247&amp;$AB247,$G247),IF(OR(BZ$3=$D247,BZ$3=$AC247,BZ$3=$AE247),"",IF(BZ$3=$AD247,$F247&amp;"R",BZ246))))</f>
        <v/>
      </c>
      <c r="CA247" s="11" t="str">
        <f aca="false">IF($P247=0,CA246,IF(CA$3=$E247,IF($AA247=1,$F247&amp;$AB247,$G247),IF(OR(CA$3=$D247,CA$3=$AC247,CA$3=$AE247),"",IF(CA$3=$AD247,$F247&amp;"R",CA246))))</f>
        <v/>
      </c>
      <c r="CB247" s="11" t="str">
        <f aca="false">IF($P247=0,CB246,IF(CB$3=$E247,IF($AA247=1,$F247&amp;$AB247,$G247),IF(OR(CB$3=$D247,CB$3=$AC247,CB$3=$AE247),"",IF(CB$3=$AD247,$F247&amp;"R",CB246))))</f>
        <v/>
      </c>
      <c r="CC247" s="11" t="str">
        <f aca="false">IF($P247=0,CC246,IF(CC$3=$E247,IF($AA247=1,$F247&amp;$AB247,$G247),IF(OR(CC$3=$D247,CC$3=$AC247,CC$3=$AE247),"",IF(CC$3=$AD247,$F247&amp;"R",CC246))))</f>
        <v/>
      </c>
      <c r="CD247" s="11" t="str">
        <f aca="false">IF($P247=0,CD246,IF(CD$3=$E247,IF($AA247=1,$F247&amp;$AB247,$G247),IF(OR(CD$3=$D247,CD$3=$AC247,CD$3=$AE247),"",IF(CD$3=$AD247,$F247&amp;"R",CD246))))</f>
        <v>bP</v>
      </c>
      <c r="CE247" s="11" t="str">
        <f aca="false">IF($P247=0,CE246,IF(CE$3=$E247,IF($AA247=1,$F247&amp;$AB247,$G247),IF(OR(CE$3=$D247,CE$3=$AC247,CE$3=$AE247),"",IF(CE$3=$AD247,$F247&amp;"R",CE246))))</f>
        <v>bP</v>
      </c>
      <c r="CF247" s="11" t="str">
        <f aca="false">IF($P247=0,CF246,IF(CF$3=$E247,IF($AA247=1,$F247&amp;$AB247,$G247),IF(OR(CF$3=$D247,CF$3=$AC247,CF$3=$AE247),"",IF(CF$3=$AD247,$F247&amp;"R",CF246))))</f>
        <v>bP</v>
      </c>
      <c r="CG247" s="11" t="str">
        <f aca="false">IF($P247=0,CG246,IF(CG$3=$E247,IF($AA247=1,$F247&amp;$AB247,$G247),IF(OR(CG$3=$D247,CG$3=$AC247,CG$3=$AE247),"",IF(CG$3=$AD247,$F247&amp;"R",CG246))))</f>
        <v>bP</v>
      </c>
      <c r="CH247" s="11" t="str">
        <f aca="false">IF($P247=0,CH246,IF(CH$3=$E247,IF($AA247=1,$F247&amp;$AB247,$G247),IF(OR(CH$3=$D247,CH$3=$AC247,CH$3=$AE247),"",IF(CH$3=$AD247,$F247&amp;"R",CH246))))</f>
        <v>bP</v>
      </c>
      <c r="CI247" s="11" t="str">
        <f aca="false">IF($P247=0,CI246,IF(CI$3=$E247,IF($AA247=1,$F247&amp;$AB247,$G247),IF(OR(CI$3=$D247,CI$3=$AC247,CI$3=$AE247),"",IF(CI$3=$AD247,$F247&amp;"R",CI246))))</f>
        <v>bP</v>
      </c>
      <c r="CJ247" s="11" t="str">
        <f aca="false">IF($P247=0,CJ246,IF(CJ$3=$E247,IF($AA247=1,$F247&amp;$AB247,$G247),IF(OR(CJ$3=$D247,CJ$3=$AC247,CJ$3=$AE247),"",IF(CJ$3=$AD247,$F247&amp;"R",CJ246))))</f>
        <v>bP</v>
      </c>
      <c r="CK247" s="11" t="str">
        <f aca="false">IF($P247=0,CK246,IF(CK$3=$E247,IF($AA247=1,$F247&amp;$AB247,$G247),IF(OR(CK$3=$D247,CK$3=$AC247,CK$3=$AE247),"",IF(CK$3=$AD247,$F247&amp;"R",CK246))))</f>
        <v>bP</v>
      </c>
      <c r="CL247" s="11" t="str">
        <f aca="false">IF($P247=0,CL246,IF(CL$3=$E247,IF($AA247=1,$F247&amp;$AB247,$G247),IF(OR(CL$3=$D247,CL$3=$AC247,CL$3=$AE247),"",IF(CL$3=$AD247,$F247&amp;"R",CL246))))</f>
        <v>bR</v>
      </c>
      <c r="CM247" s="11" t="str">
        <f aca="false">IF($P247=0,CM246,IF(CM$3=$E247,IF($AA247=1,$F247&amp;$AB247,$G247),IF(OR(CM$3=$D247,CM$3=$AC247,CM$3=$AE247),"",IF(CM$3=$AD247,$F247&amp;"R",CM246))))</f>
        <v>bN</v>
      </c>
      <c r="CN247" s="11" t="str">
        <f aca="false">IF($P247=0,CN246,IF(CN$3=$E247,IF($AA247=1,$F247&amp;$AB247,$G247),IF(OR(CN$3=$D247,CN$3=$AC247,CN$3=$AE247),"",IF(CN$3=$AD247,$F247&amp;"R",CN246))))</f>
        <v>bB</v>
      </c>
      <c r="CO247" s="11" t="str">
        <f aca="false">IF($P247=0,CO246,IF(CO$3=$E247,IF($AA247=1,$F247&amp;$AB247,$G247),IF(OR(CO$3=$D247,CO$3=$AC247,CO$3=$AE247),"",IF(CO$3=$AD247,$F247&amp;"R",CO246))))</f>
        <v>bQ</v>
      </c>
      <c r="CP247" s="11" t="str">
        <f aca="false">IF($P247=0,CP246,IF(CP$3=$E247,IF($AA247=1,$F247&amp;$AB247,$G247),IF(OR(CP$3=$D247,CP$3=$AC247,CP$3=$AE247),"",IF(CP$3=$AD247,$F247&amp;"R",CP246))))</f>
        <v>bK</v>
      </c>
      <c r="CQ247" s="11" t="str">
        <f aca="false">IF($P247=0,CQ246,IF(CQ$3=$E247,IF($AA247=1,$F247&amp;$AB247,$G247),IF(OR(CQ$3=$D247,CQ$3=$AC247,CQ$3=$AE247),"",IF(CQ$3=$AD247,$F247&amp;"R",CQ246))))</f>
        <v>bB</v>
      </c>
      <c r="CR247" s="11" t="str">
        <f aca="false">IF($P247=0,CR246,IF(CR$3=$E247,IF($AA247=1,$F247&amp;$AB247,$G247),IF(OR(CR$3=$D247,CR$3=$AC247,CR$3=$AE247),"",IF(CR$3=$AD247,$F247&amp;"R",CR246))))</f>
        <v>bN</v>
      </c>
      <c r="CS247" s="11" t="str">
        <f aca="false">IF($P247=0,CS246,IF(CS$3=$E247,IF($AA247=1,$F247&amp;$AB247,$G247),IF(OR(CS$3=$D247,CS$3=$AC247,CS$3=$AE247),"",IF(CS$3=$AD247,$F247&amp;"R",CS246))))</f>
        <v>bR</v>
      </c>
      <c r="CT247" s="11"/>
      <c r="CU247" s="11"/>
      <c r="CV247" s="11"/>
    </row>
    <row r="248" customFormat="false" ht="15" hidden="false" customHeight="false" outlineLevel="0" collapsed="false">
      <c r="A248" s="11" t="n">
        <v>243</v>
      </c>
      <c r="B248" s="11" t="str">
        <f aca="false">IF(Chess!$L$252="","",Chess!$L$252&amp;"")</f>
        <v/>
      </c>
      <c r="C248" s="11" t="str">
        <f aca="false">LOWER(SUBSTITUTE(SUBSTITUTE(SUBSTITUTE(SUBSTITUTE(TRIM($B248),"-",""),"=","")," ",""),"x",""))</f>
        <v/>
      </c>
      <c r="D248" s="11" t="n">
        <f aca="false">IF(LEN($C248)&lt;4,0,IFERROR(IF(AND(CODE(MID($C248,1,1))&gt;=97,CODE(MID($C248,1,1))&lt;=104,VALUE(MID($C248,2,1))&gt;=1,VALUE(MID($C248,2,1))&lt;=8),(VALUE(MID($C248,2,1))-1)*8+CODE(MID($C248,1,1))-96,0),0))</f>
        <v>0</v>
      </c>
      <c r="E248" s="11" t="n">
        <f aca="false">IF(LEN($C248)&lt;4,0,IFERROR(IF(AND(CODE(MID($C248,3,1))&gt;=97,CODE(MID($C248,3,1))&lt;=104,VALUE(MID($C248,4,1))&gt;=1,VALUE(MID($C248,4,1))&lt;=8),(VALUE(MID($C248,4,1))-1)*8+CODE(MID($C248,3,1))-96,0),0))</f>
        <v>0</v>
      </c>
      <c r="F248" s="11" t="str">
        <f aca="false">IF(MOD(SUM($P$5:$P247),2)=0,"w","b")</f>
        <v>w</v>
      </c>
      <c r="G248" s="11" t="str">
        <f aca="false">IF($D248=0,"",INDEX($AH247:$CS247,1,$D248)&amp;"")</f>
        <v/>
      </c>
      <c r="H248" s="11" t="str">
        <f aca="false">IF($E248=0,"",INDEX($AH247:$CS247,1,$E248)&amp;"")</f>
        <v/>
      </c>
      <c r="I248" s="11" t="n">
        <f aca="false">IF(OR($D248=0,$E248=0),0,MOD($E248-1,8)-MOD($D248-1,8))</f>
        <v>0</v>
      </c>
      <c r="J248" s="11" t="n">
        <f aca="false">IF(OR($D248=0,$E248=0),0,INT(($E248-1)/8)-INT(($D248-1)/8))</f>
        <v>0</v>
      </c>
      <c r="K248" s="11" t="str">
        <f aca="false">IF($G248="","",RIGHT($G248,1))</f>
        <v/>
      </c>
      <c r="L248" s="11" t="n">
        <f aca="false">IF(OR($D248=0,$E248=0),0,SUMPRODUCT(($AH$3:$CS$3&gt;MIN($D248,$E248))*($AH$3:$CS$3&lt;MAX($D248,$E248))*(MOD($AH$3:$CS$3-MIN($D248,$E248),MAX(1,ABS(SIGN($J248)*8+SIGN($I248))))=0)*($AH247:$CS247&lt;&gt;"")))</f>
        <v>0</v>
      </c>
      <c r="M248" s="11" t="n">
        <f aca="false">IF($K248&lt;&gt;"K",0,IFERROR(--AND($J248=0,ABS($I248)=2,$D248=IF($F248="w",5,61),IF($F248="w",$S247,$V247)=0,IF($I248=2,AND(IF($F248="w",$U247,$X247)=0,INDEX($AH247:$CS247,1,$D248+1)&amp;""="",INDEX($AH247:$CS247,1,$D248+2)&amp;""=""),AND(IF($F248="w",$T247,$W247)=0,INDEX($AH247:$CS247,1,$D248-1)&amp;""="",INDEX($AH247:$CS247,1,$D248-2)&amp;""="",INDEX($AH247:$CS247,1,$D248-3)&amp;""=""))),0))</f>
        <v>0</v>
      </c>
      <c r="N248" s="11" t="n">
        <f aca="false">IF($K248&lt;&gt;"P",0,IFERROR(--OR(AND($I248=0,$J248=IF($F248="w",1,-1),$H248=""),AND($I248=0,$J248=2*IF($F248="w",1,-1),$H248="",INT(($D248-1)/8)=IF($F248="w",1,6),INDEX($AH247:$CS247,1,MAX(1,MIN(64,$D248+8*IF($F248="w",1,-1))))&amp;""=""),AND(ABS($I248)=1,$J248=IF($F248="w",1,-1),$H248&lt;&gt;""),AND(ABS($I248)=1,$J248=IF($F248="w",1,-1),$H248="",$R247&gt;0,$E248=$R247)),0))</f>
        <v>0</v>
      </c>
      <c r="O248" s="11" t="n">
        <f aca="false">IF(OR($D248=0,$E248=0,$G248=""),0,IF($K248="N",--OR(AND(ABS($I248)=1,ABS($J248)=2),AND(ABS($I248)=2,ABS($J248)=1)),IF($K248="B",--AND(ABS($I248)=ABS($J248),$I248&lt;&gt;0,$L248=0),IF($K248="R",--AND(OR($I248=0,$J248=0),OR($I248&lt;&gt;0,$J248&lt;&gt;0),$L248=0),IF($K248="Q",--AND(OR(AND(ABS($I248)=ABS($J248),$I248&lt;&gt;0),AND(OR($I248=0,$J248=0),OR($I248&lt;&gt;0,$J248&lt;&gt;0))),$L248=0),IF($K248="K",--OR(MAX(ABS($I248),ABS($J248))=1,$M248=1),$N248))))))</f>
        <v>0</v>
      </c>
      <c r="P248" s="11" t="n">
        <f aca="false">IF($Q248="OK",1,0)</f>
        <v>0</v>
      </c>
      <c r="Q248" s="11" t="str">
        <f aca="false">IF($B248="","",IF(OR(COUNTIF($AH247:$CS247,"wK")=0,COUNTIF($AH247:$CS247,"bK")=0),"Game is over",IF(OR($D248=0,$E248=0),"Use the format e2e4",IF($G248="","No piece on that square",IF(LEFT($G248,1)&lt;&gt;$F248,"Not your piece ("&amp;IF($F248="w","White","Black")&amp;" to move)",IF($D248=$E248,"Piece must move",IF(AND($H248&lt;&gt;"",LEFT($H248,1)=$F248),"Cannot capture your own piece",IF($O248=0,"Illegal move for that piece (or path blocked)","OK"))))))))</f>
        <v/>
      </c>
      <c r="R248" s="11" t="n">
        <f aca="false">IF($P248=1,IF(AND($K248="P",ABS($J248)=2),($D248+$E248)/2,0),$R247)</f>
        <v>0</v>
      </c>
      <c r="S248" s="12" t="b">
        <f aca="false">--OR($S247=1,AND($P248=1,OR($D248=5,$E248=5)))</f>
        <v>0</v>
      </c>
      <c r="T248" s="12" t="b">
        <f aca="false">--OR($T247=1,AND($P248=1,OR($D248=1,$E248=1)))</f>
        <v>0</v>
      </c>
      <c r="U248" s="12" t="b">
        <f aca="false">--OR($U247=1,AND($P248=1,OR($D248=8,$E248=8)))</f>
        <v>0</v>
      </c>
      <c r="V248" s="12" t="b">
        <f aca="false">--OR($V247=1,AND($P248=1,OR($D248=61,$E248=61)))</f>
        <v>0</v>
      </c>
      <c r="W248" s="12" t="b">
        <f aca="false">--OR($W247=1,AND($P248=1,OR($D248=57,$E248=57)))</f>
        <v>0</v>
      </c>
      <c r="X248" s="12" t="b">
        <f aca="false">--OR($X247=1,AND($P248=1,OR($D248=64,$E248=64)))</f>
        <v>0</v>
      </c>
      <c r="Y248" s="12" t="b">
        <f aca="false">--AND($P248=1,$K248="K",ABS($I248)=2)</f>
        <v>0</v>
      </c>
      <c r="Z248" s="12" t="b">
        <f aca="false">--AND($P248=1,$K248="P",ABS($I248)=1,$H248="")</f>
        <v>0</v>
      </c>
      <c r="AA248" s="12" t="b">
        <f aca="false">--AND($P248=1,$K248="P",INT(($E248-1)/8)=IF($F248="w",7,0))</f>
        <v>0</v>
      </c>
      <c r="AB248" s="11" t="str">
        <f aca="false">IF(LEN($C248)&gt;=5,IF(ISNUMBER(FIND(MID($C248,5,1),"qrbn")),UPPER(MID($C248,5,1)),"Q"),"Q")</f>
        <v>Q</v>
      </c>
      <c r="AC248" s="11" t="n">
        <f aca="false">IF($Y248=1,IF($I248=2,$D248+3,$D248-4),0)</f>
        <v>0</v>
      </c>
      <c r="AD248" s="11" t="n">
        <f aca="false">IF($Y248=1,IF($I248=2,$D248+1,$D248-1),0)</f>
        <v>0</v>
      </c>
      <c r="AE248" s="11" t="n">
        <f aca="false">IF($Z248=1,$E248-8*IF($F248="w",1,-1),0)</f>
        <v>0</v>
      </c>
      <c r="AF248" s="11" t="str">
        <f aca="false">IF($B248="","",IF($P248=1,LOWER(INDEX($CV$2:$CV$13,MATCH($G248,$CU$2:$CU$13,0)))&amp;" "&amp;MID("abcdefgh",MOD($D248-1,8)+1,1)&amp;(INT(($D248-1)/8)+1)&amp;"→"&amp;MID("abcdefgh",MOD($E248-1,8)+1,1)&amp;(INT(($E248-1)/8)+1)&amp;IF(OR($H248&lt;&gt;"",$Z248=1)," ×","")&amp;IF($Y248=1," castles","")&amp;IF($Z248=1," e.p.","")&amp;IF($AA248=1," =" &amp;LOWER(INDEX($CV$2:$CV$13,MATCH($F248&amp;$AB248,$CU$2:$CU$13,0))),""),"X "&amp;$Q248))</f>
        <v/>
      </c>
      <c r="AG248" s="11"/>
      <c r="AH248" s="11" t="str">
        <f aca="false">IF($P248=0,AH247,IF(AH$3=$E248,IF($AA248=1,$F248&amp;$AB248,$G248),IF(OR(AH$3=$D248,AH$3=$AC248,AH$3=$AE248),"",IF(AH$3=$AD248,$F248&amp;"R",AH247))))</f>
        <v>wR</v>
      </c>
      <c r="AI248" s="11" t="str">
        <f aca="false">IF($P248=0,AI247,IF(AI$3=$E248,IF($AA248=1,$F248&amp;$AB248,$G248),IF(OR(AI$3=$D248,AI$3=$AC248,AI$3=$AE248),"",IF(AI$3=$AD248,$F248&amp;"R",AI247))))</f>
        <v>wN</v>
      </c>
      <c r="AJ248" s="11" t="str">
        <f aca="false">IF($P248=0,AJ247,IF(AJ$3=$E248,IF($AA248=1,$F248&amp;$AB248,$G248),IF(OR(AJ$3=$D248,AJ$3=$AC248,AJ$3=$AE248),"",IF(AJ$3=$AD248,$F248&amp;"R",AJ247))))</f>
        <v>wB</v>
      </c>
      <c r="AK248" s="11" t="str">
        <f aca="false">IF($P248=0,AK247,IF(AK$3=$E248,IF($AA248=1,$F248&amp;$AB248,$G248),IF(OR(AK$3=$D248,AK$3=$AC248,AK$3=$AE248),"",IF(AK$3=$AD248,$F248&amp;"R",AK247))))</f>
        <v>wQ</v>
      </c>
      <c r="AL248" s="11" t="str">
        <f aca="false">IF($P248=0,AL247,IF(AL$3=$E248,IF($AA248=1,$F248&amp;$AB248,$G248),IF(OR(AL$3=$D248,AL$3=$AC248,AL$3=$AE248),"",IF(AL$3=$AD248,$F248&amp;"R",AL247))))</f>
        <v>wK</v>
      </c>
      <c r="AM248" s="11" t="str">
        <f aca="false">IF($P248=0,AM247,IF(AM$3=$E248,IF($AA248=1,$F248&amp;$AB248,$G248),IF(OR(AM$3=$D248,AM$3=$AC248,AM$3=$AE248),"",IF(AM$3=$AD248,$F248&amp;"R",AM247))))</f>
        <v>wB</v>
      </c>
      <c r="AN248" s="11" t="str">
        <f aca="false">IF($P248=0,AN247,IF(AN$3=$E248,IF($AA248=1,$F248&amp;$AB248,$G248),IF(OR(AN$3=$D248,AN$3=$AC248,AN$3=$AE248),"",IF(AN$3=$AD248,$F248&amp;"R",AN247))))</f>
        <v>wN</v>
      </c>
      <c r="AO248" s="11" t="str">
        <f aca="false">IF($P248=0,AO247,IF(AO$3=$E248,IF($AA248=1,$F248&amp;$AB248,$G248),IF(OR(AO$3=$D248,AO$3=$AC248,AO$3=$AE248),"",IF(AO$3=$AD248,$F248&amp;"R",AO247))))</f>
        <v>wR</v>
      </c>
      <c r="AP248" s="11" t="str">
        <f aca="false">IF($P248=0,AP247,IF(AP$3=$E248,IF($AA248=1,$F248&amp;$AB248,$G248),IF(OR(AP$3=$D248,AP$3=$AC248,AP$3=$AE248),"",IF(AP$3=$AD248,$F248&amp;"R",AP247))))</f>
        <v>wP</v>
      </c>
      <c r="AQ248" s="11" t="str">
        <f aca="false">IF($P248=0,AQ247,IF(AQ$3=$E248,IF($AA248=1,$F248&amp;$AB248,$G248),IF(OR(AQ$3=$D248,AQ$3=$AC248,AQ$3=$AE248),"",IF(AQ$3=$AD248,$F248&amp;"R",AQ247))))</f>
        <v>wP</v>
      </c>
      <c r="AR248" s="11" t="str">
        <f aca="false">IF($P248=0,AR247,IF(AR$3=$E248,IF($AA248=1,$F248&amp;$AB248,$G248),IF(OR(AR$3=$D248,AR$3=$AC248,AR$3=$AE248),"",IF(AR$3=$AD248,$F248&amp;"R",AR247))))</f>
        <v>wP</v>
      </c>
      <c r="AS248" s="11" t="str">
        <f aca="false">IF($P248=0,AS247,IF(AS$3=$E248,IF($AA248=1,$F248&amp;$AB248,$G248),IF(OR(AS$3=$D248,AS$3=$AC248,AS$3=$AE248),"",IF(AS$3=$AD248,$F248&amp;"R",AS247))))</f>
        <v>wP</v>
      </c>
      <c r="AT248" s="11" t="str">
        <f aca="false">IF($P248=0,AT247,IF(AT$3=$E248,IF($AA248=1,$F248&amp;$AB248,$G248),IF(OR(AT$3=$D248,AT$3=$AC248,AT$3=$AE248),"",IF(AT$3=$AD248,$F248&amp;"R",AT247))))</f>
        <v>wP</v>
      </c>
      <c r="AU248" s="11" t="str">
        <f aca="false">IF($P248=0,AU247,IF(AU$3=$E248,IF($AA248=1,$F248&amp;$AB248,$G248),IF(OR(AU$3=$D248,AU$3=$AC248,AU$3=$AE248),"",IF(AU$3=$AD248,$F248&amp;"R",AU247))))</f>
        <v>wP</v>
      </c>
      <c r="AV248" s="11" t="str">
        <f aca="false">IF($P248=0,AV247,IF(AV$3=$E248,IF($AA248=1,$F248&amp;$AB248,$G248),IF(OR(AV$3=$D248,AV$3=$AC248,AV$3=$AE248),"",IF(AV$3=$AD248,$F248&amp;"R",AV247))))</f>
        <v>wP</v>
      </c>
      <c r="AW248" s="11" t="str">
        <f aca="false">IF($P248=0,AW247,IF(AW$3=$E248,IF($AA248=1,$F248&amp;$AB248,$G248),IF(OR(AW$3=$D248,AW$3=$AC248,AW$3=$AE248),"",IF(AW$3=$AD248,$F248&amp;"R",AW247))))</f>
        <v>wP</v>
      </c>
      <c r="AX248" s="11" t="str">
        <f aca="false">IF($P248=0,AX247,IF(AX$3=$E248,IF($AA248=1,$F248&amp;$AB248,$G248),IF(OR(AX$3=$D248,AX$3=$AC248,AX$3=$AE248),"",IF(AX$3=$AD248,$F248&amp;"R",AX247))))</f>
        <v/>
      </c>
      <c r="AY248" s="11" t="str">
        <f aca="false">IF($P248=0,AY247,IF(AY$3=$E248,IF($AA248=1,$F248&amp;$AB248,$G248),IF(OR(AY$3=$D248,AY$3=$AC248,AY$3=$AE248),"",IF(AY$3=$AD248,$F248&amp;"R",AY247))))</f>
        <v/>
      </c>
      <c r="AZ248" s="11" t="str">
        <f aca="false">IF($P248=0,AZ247,IF(AZ$3=$E248,IF($AA248=1,$F248&amp;$AB248,$G248),IF(OR(AZ$3=$D248,AZ$3=$AC248,AZ$3=$AE248),"",IF(AZ$3=$AD248,$F248&amp;"R",AZ247))))</f>
        <v/>
      </c>
      <c r="BA248" s="11" t="str">
        <f aca="false">IF($P248=0,BA247,IF(BA$3=$E248,IF($AA248=1,$F248&amp;$AB248,$G248),IF(OR(BA$3=$D248,BA$3=$AC248,BA$3=$AE248),"",IF(BA$3=$AD248,$F248&amp;"R",BA247))))</f>
        <v/>
      </c>
      <c r="BB248" s="11" t="str">
        <f aca="false">IF($P248=0,BB247,IF(BB$3=$E248,IF($AA248=1,$F248&amp;$AB248,$G248),IF(OR(BB$3=$D248,BB$3=$AC248,BB$3=$AE248),"",IF(BB$3=$AD248,$F248&amp;"R",BB247))))</f>
        <v/>
      </c>
      <c r="BC248" s="11" t="str">
        <f aca="false">IF($P248=0,BC247,IF(BC$3=$E248,IF($AA248=1,$F248&amp;$AB248,$G248),IF(OR(BC$3=$D248,BC$3=$AC248,BC$3=$AE248),"",IF(BC$3=$AD248,$F248&amp;"R",BC247))))</f>
        <v/>
      </c>
      <c r="BD248" s="11" t="str">
        <f aca="false">IF($P248=0,BD247,IF(BD$3=$E248,IF($AA248=1,$F248&amp;$AB248,$G248),IF(OR(BD$3=$D248,BD$3=$AC248,BD$3=$AE248),"",IF(BD$3=$AD248,$F248&amp;"R",BD247))))</f>
        <v/>
      </c>
      <c r="BE248" s="11" t="str">
        <f aca="false">IF($P248=0,BE247,IF(BE$3=$E248,IF($AA248=1,$F248&amp;$AB248,$G248),IF(OR(BE$3=$D248,BE$3=$AC248,BE$3=$AE248),"",IF(BE$3=$AD248,$F248&amp;"R",BE247))))</f>
        <v/>
      </c>
      <c r="BF248" s="11" t="str">
        <f aca="false">IF($P248=0,BF247,IF(BF$3=$E248,IF($AA248=1,$F248&amp;$AB248,$G248),IF(OR(BF$3=$D248,BF$3=$AC248,BF$3=$AE248),"",IF(BF$3=$AD248,$F248&amp;"R",BF247))))</f>
        <v/>
      </c>
      <c r="BG248" s="11" t="str">
        <f aca="false">IF($P248=0,BG247,IF(BG$3=$E248,IF($AA248=1,$F248&amp;$AB248,$G248),IF(OR(BG$3=$D248,BG$3=$AC248,BG$3=$AE248),"",IF(BG$3=$AD248,$F248&amp;"R",BG247))))</f>
        <v/>
      </c>
      <c r="BH248" s="11" t="str">
        <f aca="false">IF($P248=0,BH247,IF(BH$3=$E248,IF($AA248=1,$F248&amp;$AB248,$G248),IF(OR(BH$3=$D248,BH$3=$AC248,BH$3=$AE248),"",IF(BH$3=$AD248,$F248&amp;"R",BH247))))</f>
        <v/>
      </c>
      <c r="BI248" s="11" t="str">
        <f aca="false">IF($P248=0,BI247,IF(BI$3=$E248,IF($AA248=1,$F248&amp;$AB248,$G248),IF(OR(BI$3=$D248,BI$3=$AC248,BI$3=$AE248),"",IF(BI$3=$AD248,$F248&amp;"R",BI247))))</f>
        <v/>
      </c>
      <c r="BJ248" s="11" t="str">
        <f aca="false">IF($P248=0,BJ247,IF(BJ$3=$E248,IF($AA248=1,$F248&amp;$AB248,$G248),IF(OR(BJ$3=$D248,BJ$3=$AC248,BJ$3=$AE248),"",IF(BJ$3=$AD248,$F248&amp;"R",BJ247))))</f>
        <v/>
      </c>
      <c r="BK248" s="11" t="str">
        <f aca="false">IF($P248=0,BK247,IF(BK$3=$E248,IF($AA248=1,$F248&amp;$AB248,$G248),IF(OR(BK$3=$D248,BK$3=$AC248,BK$3=$AE248),"",IF(BK$3=$AD248,$F248&amp;"R",BK247))))</f>
        <v/>
      </c>
      <c r="BL248" s="11" t="str">
        <f aca="false">IF($P248=0,BL247,IF(BL$3=$E248,IF($AA248=1,$F248&amp;$AB248,$G248),IF(OR(BL$3=$D248,BL$3=$AC248,BL$3=$AE248),"",IF(BL$3=$AD248,$F248&amp;"R",BL247))))</f>
        <v/>
      </c>
      <c r="BM248" s="11" t="str">
        <f aca="false">IF($P248=0,BM247,IF(BM$3=$E248,IF($AA248=1,$F248&amp;$AB248,$G248),IF(OR(BM$3=$D248,BM$3=$AC248,BM$3=$AE248),"",IF(BM$3=$AD248,$F248&amp;"R",BM247))))</f>
        <v/>
      </c>
      <c r="BN248" s="11" t="str">
        <f aca="false">IF($P248=0,BN247,IF(BN$3=$E248,IF($AA248=1,$F248&amp;$AB248,$G248),IF(OR(BN$3=$D248,BN$3=$AC248,BN$3=$AE248),"",IF(BN$3=$AD248,$F248&amp;"R",BN247))))</f>
        <v/>
      </c>
      <c r="BO248" s="11" t="str">
        <f aca="false">IF($P248=0,BO247,IF(BO$3=$E248,IF($AA248=1,$F248&amp;$AB248,$G248),IF(OR(BO$3=$D248,BO$3=$AC248,BO$3=$AE248),"",IF(BO$3=$AD248,$F248&amp;"R",BO247))))</f>
        <v/>
      </c>
      <c r="BP248" s="11" t="str">
        <f aca="false">IF($P248=0,BP247,IF(BP$3=$E248,IF($AA248=1,$F248&amp;$AB248,$G248),IF(OR(BP$3=$D248,BP$3=$AC248,BP$3=$AE248),"",IF(BP$3=$AD248,$F248&amp;"R",BP247))))</f>
        <v/>
      </c>
      <c r="BQ248" s="11" t="str">
        <f aca="false">IF($P248=0,BQ247,IF(BQ$3=$E248,IF($AA248=1,$F248&amp;$AB248,$G248),IF(OR(BQ$3=$D248,BQ$3=$AC248,BQ$3=$AE248),"",IF(BQ$3=$AD248,$F248&amp;"R",BQ247))))</f>
        <v/>
      </c>
      <c r="BR248" s="11" t="str">
        <f aca="false">IF($P248=0,BR247,IF(BR$3=$E248,IF($AA248=1,$F248&amp;$AB248,$G248),IF(OR(BR$3=$D248,BR$3=$AC248,BR$3=$AE248),"",IF(BR$3=$AD248,$F248&amp;"R",BR247))))</f>
        <v/>
      </c>
      <c r="BS248" s="11" t="str">
        <f aca="false">IF($P248=0,BS247,IF(BS$3=$E248,IF($AA248=1,$F248&amp;$AB248,$G248),IF(OR(BS$3=$D248,BS$3=$AC248,BS$3=$AE248),"",IF(BS$3=$AD248,$F248&amp;"R",BS247))))</f>
        <v/>
      </c>
      <c r="BT248" s="11" t="str">
        <f aca="false">IF($P248=0,BT247,IF(BT$3=$E248,IF($AA248=1,$F248&amp;$AB248,$G248),IF(OR(BT$3=$D248,BT$3=$AC248,BT$3=$AE248),"",IF(BT$3=$AD248,$F248&amp;"R",BT247))))</f>
        <v/>
      </c>
      <c r="BU248" s="11" t="str">
        <f aca="false">IF($P248=0,BU247,IF(BU$3=$E248,IF($AA248=1,$F248&amp;$AB248,$G248),IF(OR(BU$3=$D248,BU$3=$AC248,BU$3=$AE248),"",IF(BU$3=$AD248,$F248&amp;"R",BU247))))</f>
        <v/>
      </c>
      <c r="BV248" s="11" t="str">
        <f aca="false">IF($P248=0,BV247,IF(BV$3=$E248,IF($AA248=1,$F248&amp;$AB248,$G248),IF(OR(BV$3=$D248,BV$3=$AC248,BV$3=$AE248),"",IF(BV$3=$AD248,$F248&amp;"R",BV247))))</f>
        <v/>
      </c>
      <c r="BW248" s="11" t="str">
        <f aca="false">IF($P248=0,BW247,IF(BW$3=$E248,IF($AA248=1,$F248&amp;$AB248,$G248),IF(OR(BW$3=$D248,BW$3=$AC248,BW$3=$AE248),"",IF(BW$3=$AD248,$F248&amp;"R",BW247))))</f>
        <v/>
      </c>
      <c r="BX248" s="11" t="str">
        <f aca="false">IF($P248=0,BX247,IF(BX$3=$E248,IF($AA248=1,$F248&amp;$AB248,$G248),IF(OR(BX$3=$D248,BX$3=$AC248,BX$3=$AE248),"",IF(BX$3=$AD248,$F248&amp;"R",BX247))))</f>
        <v/>
      </c>
      <c r="BY248" s="11" t="str">
        <f aca="false">IF($P248=0,BY247,IF(BY$3=$E248,IF($AA248=1,$F248&amp;$AB248,$G248),IF(OR(BY$3=$D248,BY$3=$AC248,BY$3=$AE248),"",IF(BY$3=$AD248,$F248&amp;"R",BY247))))</f>
        <v/>
      </c>
      <c r="BZ248" s="11" t="str">
        <f aca="false">IF($P248=0,BZ247,IF(BZ$3=$E248,IF($AA248=1,$F248&amp;$AB248,$G248),IF(OR(BZ$3=$D248,BZ$3=$AC248,BZ$3=$AE248),"",IF(BZ$3=$AD248,$F248&amp;"R",BZ247))))</f>
        <v/>
      </c>
      <c r="CA248" s="11" t="str">
        <f aca="false">IF($P248=0,CA247,IF(CA$3=$E248,IF($AA248=1,$F248&amp;$AB248,$G248),IF(OR(CA$3=$D248,CA$3=$AC248,CA$3=$AE248),"",IF(CA$3=$AD248,$F248&amp;"R",CA247))))</f>
        <v/>
      </c>
      <c r="CB248" s="11" t="str">
        <f aca="false">IF($P248=0,CB247,IF(CB$3=$E248,IF($AA248=1,$F248&amp;$AB248,$G248),IF(OR(CB$3=$D248,CB$3=$AC248,CB$3=$AE248),"",IF(CB$3=$AD248,$F248&amp;"R",CB247))))</f>
        <v/>
      </c>
      <c r="CC248" s="11" t="str">
        <f aca="false">IF($P248=0,CC247,IF(CC$3=$E248,IF($AA248=1,$F248&amp;$AB248,$G248),IF(OR(CC$3=$D248,CC$3=$AC248,CC$3=$AE248),"",IF(CC$3=$AD248,$F248&amp;"R",CC247))))</f>
        <v/>
      </c>
      <c r="CD248" s="11" t="str">
        <f aca="false">IF($P248=0,CD247,IF(CD$3=$E248,IF($AA248=1,$F248&amp;$AB248,$G248),IF(OR(CD$3=$D248,CD$3=$AC248,CD$3=$AE248),"",IF(CD$3=$AD248,$F248&amp;"R",CD247))))</f>
        <v>bP</v>
      </c>
      <c r="CE248" s="11" t="str">
        <f aca="false">IF($P248=0,CE247,IF(CE$3=$E248,IF($AA248=1,$F248&amp;$AB248,$G248),IF(OR(CE$3=$D248,CE$3=$AC248,CE$3=$AE248),"",IF(CE$3=$AD248,$F248&amp;"R",CE247))))</f>
        <v>bP</v>
      </c>
      <c r="CF248" s="11" t="str">
        <f aca="false">IF($P248=0,CF247,IF(CF$3=$E248,IF($AA248=1,$F248&amp;$AB248,$G248),IF(OR(CF$3=$D248,CF$3=$AC248,CF$3=$AE248),"",IF(CF$3=$AD248,$F248&amp;"R",CF247))))</f>
        <v>bP</v>
      </c>
      <c r="CG248" s="11" t="str">
        <f aca="false">IF($P248=0,CG247,IF(CG$3=$E248,IF($AA248=1,$F248&amp;$AB248,$G248),IF(OR(CG$3=$D248,CG$3=$AC248,CG$3=$AE248),"",IF(CG$3=$AD248,$F248&amp;"R",CG247))))</f>
        <v>bP</v>
      </c>
      <c r="CH248" s="11" t="str">
        <f aca="false">IF($P248=0,CH247,IF(CH$3=$E248,IF($AA248=1,$F248&amp;$AB248,$G248),IF(OR(CH$3=$D248,CH$3=$AC248,CH$3=$AE248),"",IF(CH$3=$AD248,$F248&amp;"R",CH247))))</f>
        <v>bP</v>
      </c>
      <c r="CI248" s="11" t="str">
        <f aca="false">IF($P248=0,CI247,IF(CI$3=$E248,IF($AA248=1,$F248&amp;$AB248,$G248),IF(OR(CI$3=$D248,CI$3=$AC248,CI$3=$AE248),"",IF(CI$3=$AD248,$F248&amp;"R",CI247))))</f>
        <v>bP</v>
      </c>
      <c r="CJ248" s="11" t="str">
        <f aca="false">IF($P248=0,CJ247,IF(CJ$3=$E248,IF($AA248=1,$F248&amp;$AB248,$G248),IF(OR(CJ$3=$D248,CJ$3=$AC248,CJ$3=$AE248),"",IF(CJ$3=$AD248,$F248&amp;"R",CJ247))))</f>
        <v>bP</v>
      </c>
      <c r="CK248" s="11" t="str">
        <f aca="false">IF($P248=0,CK247,IF(CK$3=$E248,IF($AA248=1,$F248&amp;$AB248,$G248),IF(OR(CK$3=$D248,CK$3=$AC248,CK$3=$AE248),"",IF(CK$3=$AD248,$F248&amp;"R",CK247))))</f>
        <v>bP</v>
      </c>
      <c r="CL248" s="11" t="str">
        <f aca="false">IF($P248=0,CL247,IF(CL$3=$E248,IF($AA248=1,$F248&amp;$AB248,$G248),IF(OR(CL$3=$D248,CL$3=$AC248,CL$3=$AE248),"",IF(CL$3=$AD248,$F248&amp;"R",CL247))))</f>
        <v>bR</v>
      </c>
      <c r="CM248" s="11" t="str">
        <f aca="false">IF($P248=0,CM247,IF(CM$3=$E248,IF($AA248=1,$F248&amp;$AB248,$G248),IF(OR(CM$3=$D248,CM$3=$AC248,CM$3=$AE248),"",IF(CM$3=$AD248,$F248&amp;"R",CM247))))</f>
        <v>bN</v>
      </c>
      <c r="CN248" s="11" t="str">
        <f aca="false">IF($P248=0,CN247,IF(CN$3=$E248,IF($AA248=1,$F248&amp;$AB248,$G248),IF(OR(CN$3=$D248,CN$3=$AC248,CN$3=$AE248),"",IF(CN$3=$AD248,$F248&amp;"R",CN247))))</f>
        <v>bB</v>
      </c>
      <c r="CO248" s="11" t="str">
        <f aca="false">IF($P248=0,CO247,IF(CO$3=$E248,IF($AA248=1,$F248&amp;$AB248,$G248),IF(OR(CO$3=$D248,CO$3=$AC248,CO$3=$AE248),"",IF(CO$3=$AD248,$F248&amp;"R",CO247))))</f>
        <v>bQ</v>
      </c>
      <c r="CP248" s="11" t="str">
        <f aca="false">IF($P248=0,CP247,IF(CP$3=$E248,IF($AA248=1,$F248&amp;$AB248,$G248),IF(OR(CP$3=$D248,CP$3=$AC248,CP$3=$AE248),"",IF(CP$3=$AD248,$F248&amp;"R",CP247))))</f>
        <v>bK</v>
      </c>
      <c r="CQ248" s="11" t="str">
        <f aca="false">IF($P248=0,CQ247,IF(CQ$3=$E248,IF($AA248=1,$F248&amp;$AB248,$G248),IF(OR(CQ$3=$D248,CQ$3=$AC248,CQ$3=$AE248),"",IF(CQ$3=$AD248,$F248&amp;"R",CQ247))))</f>
        <v>bB</v>
      </c>
      <c r="CR248" s="11" t="str">
        <f aca="false">IF($P248=0,CR247,IF(CR$3=$E248,IF($AA248=1,$F248&amp;$AB248,$G248),IF(OR(CR$3=$D248,CR$3=$AC248,CR$3=$AE248),"",IF(CR$3=$AD248,$F248&amp;"R",CR247))))</f>
        <v>bN</v>
      </c>
      <c r="CS248" s="11" t="str">
        <f aca="false">IF($P248=0,CS247,IF(CS$3=$E248,IF($AA248=1,$F248&amp;$AB248,$G248),IF(OR(CS$3=$D248,CS$3=$AC248,CS$3=$AE248),"",IF(CS$3=$AD248,$F248&amp;"R",CS247))))</f>
        <v>bR</v>
      </c>
      <c r="CT248" s="11"/>
      <c r="CU248" s="11"/>
      <c r="CV248" s="11"/>
    </row>
    <row r="249" customFormat="false" ht="15" hidden="false" customHeight="false" outlineLevel="0" collapsed="false">
      <c r="A249" s="11" t="n">
        <v>244</v>
      </c>
      <c r="B249" s="11" t="str">
        <f aca="false">IF(Chess!$L$253="","",Chess!$L$253&amp;"")</f>
        <v/>
      </c>
      <c r="C249" s="11" t="str">
        <f aca="false">LOWER(SUBSTITUTE(SUBSTITUTE(SUBSTITUTE(SUBSTITUTE(TRIM($B249),"-",""),"=","")," ",""),"x",""))</f>
        <v/>
      </c>
      <c r="D249" s="11" t="n">
        <f aca="false">IF(LEN($C249)&lt;4,0,IFERROR(IF(AND(CODE(MID($C249,1,1))&gt;=97,CODE(MID($C249,1,1))&lt;=104,VALUE(MID($C249,2,1))&gt;=1,VALUE(MID($C249,2,1))&lt;=8),(VALUE(MID($C249,2,1))-1)*8+CODE(MID($C249,1,1))-96,0),0))</f>
        <v>0</v>
      </c>
      <c r="E249" s="11" t="n">
        <f aca="false">IF(LEN($C249)&lt;4,0,IFERROR(IF(AND(CODE(MID($C249,3,1))&gt;=97,CODE(MID($C249,3,1))&lt;=104,VALUE(MID($C249,4,1))&gt;=1,VALUE(MID($C249,4,1))&lt;=8),(VALUE(MID($C249,4,1))-1)*8+CODE(MID($C249,3,1))-96,0),0))</f>
        <v>0</v>
      </c>
      <c r="F249" s="11" t="str">
        <f aca="false">IF(MOD(SUM($P$5:$P248),2)=0,"w","b")</f>
        <v>w</v>
      </c>
      <c r="G249" s="11" t="str">
        <f aca="false">IF($D249=0,"",INDEX($AH248:$CS248,1,$D249)&amp;"")</f>
        <v/>
      </c>
      <c r="H249" s="11" t="str">
        <f aca="false">IF($E249=0,"",INDEX($AH248:$CS248,1,$E249)&amp;"")</f>
        <v/>
      </c>
      <c r="I249" s="11" t="n">
        <f aca="false">IF(OR($D249=0,$E249=0),0,MOD($E249-1,8)-MOD($D249-1,8))</f>
        <v>0</v>
      </c>
      <c r="J249" s="11" t="n">
        <f aca="false">IF(OR($D249=0,$E249=0),0,INT(($E249-1)/8)-INT(($D249-1)/8))</f>
        <v>0</v>
      </c>
      <c r="K249" s="11" t="str">
        <f aca="false">IF($G249="","",RIGHT($G249,1))</f>
        <v/>
      </c>
      <c r="L249" s="11" t="n">
        <f aca="false">IF(OR($D249=0,$E249=0),0,SUMPRODUCT(($AH$3:$CS$3&gt;MIN($D249,$E249))*($AH$3:$CS$3&lt;MAX($D249,$E249))*(MOD($AH$3:$CS$3-MIN($D249,$E249),MAX(1,ABS(SIGN($J249)*8+SIGN($I249))))=0)*($AH248:$CS248&lt;&gt;"")))</f>
        <v>0</v>
      </c>
      <c r="M249" s="11" t="n">
        <f aca="false">IF($K249&lt;&gt;"K",0,IFERROR(--AND($J249=0,ABS($I249)=2,$D249=IF($F249="w",5,61),IF($F249="w",$S248,$V248)=0,IF($I249=2,AND(IF($F249="w",$U248,$X248)=0,INDEX($AH248:$CS248,1,$D249+1)&amp;""="",INDEX($AH248:$CS248,1,$D249+2)&amp;""=""),AND(IF($F249="w",$T248,$W248)=0,INDEX($AH248:$CS248,1,$D249-1)&amp;""="",INDEX($AH248:$CS248,1,$D249-2)&amp;""="",INDEX($AH248:$CS248,1,$D249-3)&amp;""=""))),0))</f>
        <v>0</v>
      </c>
      <c r="N249" s="11" t="n">
        <f aca="false">IF($K249&lt;&gt;"P",0,IFERROR(--OR(AND($I249=0,$J249=IF($F249="w",1,-1),$H249=""),AND($I249=0,$J249=2*IF($F249="w",1,-1),$H249="",INT(($D249-1)/8)=IF($F249="w",1,6),INDEX($AH248:$CS248,1,MAX(1,MIN(64,$D249+8*IF($F249="w",1,-1))))&amp;""=""),AND(ABS($I249)=1,$J249=IF($F249="w",1,-1),$H249&lt;&gt;""),AND(ABS($I249)=1,$J249=IF($F249="w",1,-1),$H249="",$R248&gt;0,$E249=$R248)),0))</f>
        <v>0</v>
      </c>
      <c r="O249" s="11" t="n">
        <f aca="false">IF(OR($D249=0,$E249=0,$G249=""),0,IF($K249="N",--OR(AND(ABS($I249)=1,ABS($J249)=2),AND(ABS($I249)=2,ABS($J249)=1)),IF($K249="B",--AND(ABS($I249)=ABS($J249),$I249&lt;&gt;0,$L249=0),IF($K249="R",--AND(OR($I249=0,$J249=0),OR($I249&lt;&gt;0,$J249&lt;&gt;0),$L249=0),IF($K249="Q",--AND(OR(AND(ABS($I249)=ABS($J249),$I249&lt;&gt;0),AND(OR($I249=0,$J249=0),OR($I249&lt;&gt;0,$J249&lt;&gt;0))),$L249=0),IF($K249="K",--OR(MAX(ABS($I249),ABS($J249))=1,$M249=1),$N249))))))</f>
        <v>0</v>
      </c>
      <c r="P249" s="11" t="n">
        <f aca="false">IF($Q249="OK",1,0)</f>
        <v>0</v>
      </c>
      <c r="Q249" s="11" t="str">
        <f aca="false">IF($B249="","",IF(OR(COUNTIF($AH248:$CS248,"wK")=0,COUNTIF($AH248:$CS248,"bK")=0),"Game is over",IF(OR($D249=0,$E249=0),"Use the format e2e4",IF($G249="","No piece on that square",IF(LEFT($G249,1)&lt;&gt;$F249,"Not your piece ("&amp;IF($F249="w","White","Black")&amp;" to move)",IF($D249=$E249,"Piece must move",IF(AND($H249&lt;&gt;"",LEFT($H249,1)=$F249),"Cannot capture your own piece",IF($O249=0,"Illegal move for that piece (or path blocked)","OK"))))))))</f>
        <v/>
      </c>
      <c r="R249" s="11" t="n">
        <f aca="false">IF($P249=1,IF(AND($K249="P",ABS($J249)=2),($D249+$E249)/2,0),$R248)</f>
        <v>0</v>
      </c>
      <c r="S249" s="12" t="b">
        <f aca="false">--OR($S248=1,AND($P249=1,OR($D249=5,$E249=5)))</f>
        <v>0</v>
      </c>
      <c r="T249" s="12" t="b">
        <f aca="false">--OR($T248=1,AND($P249=1,OR($D249=1,$E249=1)))</f>
        <v>0</v>
      </c>
      <c r="U249" s="12" t="b">
        <f aca="false">--OR($U248=1,AND($P249=1,OR($D249=8,$E249=8)))</f>
        <v>0</v>
      </c>
      <c r="V249" s="12" t="b">
        <f aca="false">--OR($V248=1,AND($P249=1,OR($D249=61,$E249=61)))</f>
        <v>0</v>
      </c>
      <c r="W249" s="12" t="b">
        <f aca="false">--OR($W248=1,AND($P249=1,OR($D249=57,$E249=57)))</f>
        <v>0</v>
      </c>
      <c r="X249" s="12" t="b">
        <f aca="false">--OR($X248=1,AND($P249=1,OR($D249=64,$E249=64)))</f>
        <v>0</v>
      </c>
      <c r="Y249" s="12" t="b">
        <f aca="false">--AND($P249=1,$K249="K",ABS($I249)=2)</f>
        <v>0</v>
      </c>
      <c r="Z249" s="12" t="b">
        <f aca="false">--AND($P249=1,$K249="P",ABS($I249)=1,$H249="")</f>
        <v>0</v>
      </c>
      <c r="AA249" s="12" t="b">
        <f aca="false">--AND($P249=1,$K249="P",INT(($E249-1)/8)=IF($F249="w",7,0))</f>
        <v>0</v>
      </c>
      <c r="AB249" s="11" t="str">
        <f aca="false">IF(LEN($C249)&gt;=5,IF(ISNUMBER(FIND(MID($C249,5,1),"qrbn")),UPPER(MID($C249,5,1)),"Q"),"Q")</f>
        <v>Q</v>
      </c>
      <c r="AC249" s="11" t="n">
        <f aca="false">IF($Y249=1,IF($I249=2,$D249+3,$D249-4),0)</f>
        <v>0</v>
      </c>
      <c r="AD249" s="11" t="n">
        <f aca="false">IF($Y249=1,IF($I249=2,$D249+1,$D249-1),0)</f>
        <v>0</v>
      </c>
      <c r="AE249" s="11" t="n">
        <f aca="false">IF($Z249=1,$E249-8*IF($F249="w",1,-1),0)</f>
        <v>0</v>
      </c>
      <c r="AF249" s="11" t="str">
        <f aca="false">IF($B249="","",IF($P249=1,LOWER(INDEX($CV$2:$CV$13,MATCH($G249,$CU$2:$CU$13,0)))&amp;" "&amp;MID("abcdefgh",MOD($D249-1,8)+1,1)&amp;(INT(($D249-1)/8)+1)&amp;"→"&amp;MID("abcdefgh",MOD($E249-1,8)+1,1)&amp;(INT(($E249-1)/8)+1)&amp;IF(OR($H249&lt;&gt;"",$Z249=1)," ×","")&amp;IF($Y249=1," castles","")&amp;IF($Z249=1," e.p.","")&amp;IF($AA249=1," =" &amp;LOWER(INDEX($CV$2:$CV$13,MATCH($F249&amp;$AB249,$CU$2:$CU$13,0))),""),"X "&amp;$Q249))</f>
        <v/>
      </c>
      <c r="AG249" s="11"/>
      <c r="AH249" s="11" t="str">
        <f aca="false">IF($P249=0,AH248,IF(AH$3=$E249,IF($AA249=1,$F249&amp;$AB249,$G249),IF(OR(AH$3=$D249,AH$3=$AC249,AH$3=$AE249),"",IF(AH$3=$AD249,$F249&amp;"R",AH248))))</f>
        <v>wR</v>
      </c>
      <c r="AI249" s="11" t="str">
        <f aca="false">IF($P249=0,AI248,IF(AI$3=$E249,IF($AA249=1,$F249&amp;$AB249,$G249),IF(OR(AI$3=$D249,AI$3=$AC249,AI$3=$AE249),"",IF(AI$3=$AD249,$F249&amp;"R",AI248))))</f>
        <v>wN</v>
      </c>
      <c r="AJ249" s="11" t="str">
        <f aca="false">IF($P249=0,AJ248,IF(AJ$3=$E249,IF($AA249=1,$F249&amp;$AB249,$G249),IF(OR(AJ$3=$D249,AJ$3=$AC249,AJ$3=$AE249),"",IF(AJ$3=$AD249,$F249&amp;"R",AJ248))))</f>
        <v>wB</v>
      </c>
      <c r="AK249" s="11" t="str">
        <f aca="false">IF($P249=0,AK248,IF(AK$3=$E249,IF($AA249=1,$F249&amp;$AB249,$G249),IF(OR(AK$3=$D249,AK$3=$AC249,AK$3=$AE249),"",IF(AK$3=$AD249,$F249&amp;"R",AK248))))</f>
        <v>wQ</v>
      </c>
      <c r="AL249" s="11" t="str">
        <f aca="false">IF($P249=0,AL248,IF(AL$3=$E249,IF($AA249=1,$F249&amp;$AB249,$G249),IF(OR(AL$3=$D249,AL$3=$AC249,AL$3=$AE249),"",IF(AL$3=$AD249,$F249&amp;"R",AL248))))</f>
        <v>wK</v>
      </c>
      <c r="AM249" s="11" t="str">
        <f aca="false">IF($P249=0,AM248,IF(AM$3=$E249,IF($AA249=1,$F249&amp;$AB249,$G249),IF(OR(AM$3=$D249,AM$3=$AC249,AM$3=$AE249),"",IF(AM$3=$AD249,$F249&amp;"R",AM248))))</f>
        <v>wB</v>
      </c>
      <c r="AN249" s="11" t="str">
        <f aca="false">IF($P249=0,AN248,IF(AN$3=$E249,IF($AA249=1,$F249&amp;$AB249,$G249),IF(OR(AN$3=$D249,AN$3=$AC249,AN$3=$AE249),"",IF(AN$3=$AD249,$F249&amp;"R",AN248))))</f>
        <v>wN</v>
      </c>
      <c r="AO249" s="11" t="str">
        <f aca="false">IF($P249=0,AO248,IF(AO$3=$E249,IF($AA249=1,$F249&amp;$AB249,$G249),IF(OR(AO$3=$D249,AO$3=$AC249,AO$3=$AE249),"",IF(AO$3=$AD249,$F249&amp;"R",AO248))))</f>
        <v>wR</v>
      </c>
      <c r="AP249" s="11" t="str">
        <f aca="false">IF($P249=0,AP248,IF(AP$3=$E249,IF($AA249=1,$F249&amp;$AB249,$G249),IF(OR(AP$3=$D249,AP$3=$AC249,AP$3=$AE249),"",IF(AP$3=$AD249,$F249&amp;"R",AP248))))</f>
        <v>wP</v>
      </c>
      <c r="AQ249" s="11" t="str">
        <f aca="false">IF($P249=0,AQ248,IF(AQ$3=$E249,IF($AA249=1,$F249&amp;$AB249,$G249),IF(OR(AQ$3=$D249,AQ$3=$AC249,AQ$3=$AE249),"",IF(AQ$3=$AD249,$F249&amp;"R",AQ248))))</f>
        <v>wP</v>
      </c>
      <c r="AR249" s="11" t="str">
        <f aca="false">IF($P249=0,AR248,IF(AR$3=$E249,IF($AA249=1,$F249&amp;$AB249,$G249),IF(OR(AR$3=$D249,AR$3=$AC249,AR$3=$AE249),"",IF(AR$3=$AD249,$F249&amp;"R",AR248))))</f>
        <v>wP</v>
      </c>
      <c r="AS249" s="11" t="str">
        <f aca="false">IF($P249=0,AS248,IF(AS$3=$E249,IF($AA249=1,$F249&amp;$AB249,$G249),IF(OR(AS$3=$D249,AS$3=$AC249,AS$3=$AE249),"",IF(AS$3=$AD249,$F249&amp;"R",AS248))))</f>
        <v>wP</v>
      </c>
      <c r="AT249" s="11" t="str">
        <f aca="false">IF($P249=0,AT248,IF(AT$3=$E249,IF($AA249=1,$F249&amp;$AB249,$G249),IF(OR(AT$3=$D249,AT$3=$AC249,AT$3=$AE249),"",IF(AT$3=$AD249,$F249&amp;"R",AT248))))</f>
        <v>wP</v>
      </c>
      <c r="AU249" s="11" t="str">
        <f aca="false">IF($P249=0,AU248,IF(AU$3=$E249,IF($AA249=1,$F249&amp;$AB249,$G249),IF(OR(AU$3=$D249,AU$3=$AC249,AU$3=$AE249),"",IF(AU$3=$AD249,$F249&amp;"R",AU248))))</f>
        <v>wP</v>
      </c>
      <c r="AV249" s="11" t="str">
        <f aca="false">IF($P249=0,AV248,IF(AV$3=$E249,IF($AA249=1,$F249&amp;$AB249,$G249),IF(OR(AV$3=$D249,AV$3=$AC249,AV$3=$AE249),"",IF(AV$3=$AD249,$F249&amp;"R",AV248))))</f>
        <v>wP</v>
      </c>
      <c r="AW249" s="11" t="str">
        <f aca="false">IF($P249=0,AW248,IF(AW$3=$E249,IF($AA249=1,$F249&amp;$AB249,$G249),IF(OR(AW$3=$D249,AW$3=$AC249,AW$3=$AE249),"",IF(AW$3=$AD249,$F249&amp;"R",AW248))))</f>
        <v>wP</v>
      </c>
      <c r="AX249" s="11" t="str">
        <f aca="false">IF($P249=0,AX248,IF(AX$3=$E249,IF($AA249=1,$F249&amp;$AB249,$G249),IF(OR(AX$3=$D249,AX$3=$AC249,AX$3=$AE249),"",IF(AX$3=$AD249,$F249&amp;"R",AX248))))</f>
        <v/>
      </c>
      <c r="AY249" s="11" t="str">
        <f aca="false">IF($P249=0,AY248,IF(AY$3=$E249,IF($AA249=1,$F249&amp;$AB249,$G249),IF(OR(AY$3=$D249,AY$3=$AC249,AY$3=$AE249),"",IF(AY$3=$AD249,$F249&amp;"R",AY248))))</f>
        <v/>
      </c>
      <c r="AZ249" s="11" t="str">
        <f aca="false">IF($P249=0,AZ248,IF(AZ$3=$E249,IF($AA249=1,$F249&amp;$AB249,$G249),IF(OR(AZ$3=$D249,AZ$3=$AC249,AZ$3=$AE249),"",IF(AZ$3=$AD249,$F249&amp;"R",AZ248))))</f>
        <v/>
      </c>
      <c r="BA249" s="11" t="str">
        <f aca="false">IF($P249=0,BA248,IF(BA$3=$E249,IF($AA249=1,$F249&amp;$AB249,$G249),IF(OR(BA$3=$D249,BA$3=$AC249,BA$3=$AE249),"",IF(BA$3=$AD249,$F249&amp;"R",BA248))))</f>
        <v/>
      </c>
      <c r="BB249" s="11" t="str">
        <f aca="false">IF($P249=0,BB248,IF(BB$3=$E249,IF($AA249=1,$F249&amp;$AB249,$G249),IF(OR(BB$3=$D249,BB$3=$AC249,BB$3=$AE249),"",IF(BB$3=$AD249,$F249&amp;"R",BB248))))</f>
        <v/>
      </c>
      <c r="BC249" s="11" t="str">
        <f aca="false">IF($P249=0,BC248,IF(BC$3=$E249,IF($AA249=1,$F249&amp;$AB249,$G249),IF(OR(BC$3=$D249,BC$3=$AC249,BC$3=$AE249),"",IF(BC$3=$AD249,$F249&amp;"R",BC248))))</f>
        <v/>
      </c>
      <c r="BD249" s="11" t="str">
        <f aca="false">IF($P249=0,BD248,IF(BD$3=$E249,IF($AA249=1,$F249&amp;$AB249,$G249),IF(OR(BD$3=$D249,BD$3=$AC249,BD$3=$AE249),"",IF(BD$3=$AD249,$F249&amp;"R",BD248))))</f>
        <v/>
      </c>
      <c r="BE249" s="11" t="str">
        <f aca="false">IF($P249=0,BE248,IF(BE$3=$E249,IF($AA249=1,$F249&amp;$AB249,$G249),IF(OR(BE$3=$D249,BE$3=$AC249,BE$3=$AE249),"",IF(BE$3=$AD249,$F249&amp;"R",BE248))))</f>
        <v/>
      </c>
      <c r="BF249" s="11" t="str">
        <f aca="false">IF($P249=0,BF248,IF(BF$3=$E249,IF($AA249=1,$F249&amp;$AB249,$G249),IF(OR(BF$3=$D249,BF$3=$AC249,BF$3=$AE249),"",IF(BF$3=$AD249,$F249&amp;"R",BF248))))</f>
        <v/>
      </c>
      <c r="BG249" s="11" t="str">
        <f aca="false">IF($P249=0,BG248,IF(BG$3=$E249,IF($AA249=1,$F249&amp;$AB249,$G249),IF(OR(BG$3=$D249,BG$3=$AC249,BG$3=$AE249),"",IF(BG$3=$AD249,$F249&amp;"R",BG248))))</f>
        <v/>
      </c>
      <c r="BH249" s="11" t="str">
        <f aca="false">IF($P249=0,BH248,IF(BH$3=$E249,IF($AA249=1,$F249&amp;$AB249,$G249),IF(OR(BH$3=$D249,BH$3=$AC249,BH$3=$AE249),"",IF(BH$3=$AD249,$F249&amp;"R",BH248))))</f>
        <v/>
      </c>
      <c r="BI249" s="11" t="str">
        <f aca="false">IF($P249=0,BI248,IF(BI$3=$E249,IF($AA249=1,$F249&amp;$AB249,$G249),IF(OR(BI$3=$D249,BI$3=$AC249,BI$3=$AE249),"",IF(BI$3=$AD249,$F249&amp;"R",BI248))))</f>
        <v/>
      </c>
      <c r="BJ249" s="11" t="str">
        <f aca="false">IF($P249=0,BJ248,IF(BJ$3=$E249,IF($AA249=1,$F249&amp;$AB249,$G249),IF(OR(BJ$3=$D249,BJ$3=$AC249,BJ$3=$AE249),"",IF(BJ$3=$AD249,$F249&amp;"R",BJ248))))</f>
        <v/>
      </c>
      <c r="BK249" s="11" t="str">
        <f aca="false">IF($P249=0,BK248,IF(BK$3=$E249,IF($AA249=1,$F249&amp;$AB249,$G249),IF(OR(BK$3=$D249,BK$3=$AC249,BK$3=$AE249),"",IF(BK$3=$AD249,$F249&amp;"R",BK248))))</f>
        <v/>
      </c>
      <c r="BL249" s="11" t="str">
        <f aca="false">IF($P249=0,BL248,IF(BL$3=$E249,IF($AA249=1,$F249&amp;$AB249,$G249),IF(OR(BL$3=$D249,BL$3=$AC249,BL$3=$AE249),"",IF(BL$3=$AD249,$F249&amp;"R",BL248))))</f>
        <v/>
      </c>
      <c r="BM249" s="11" t="str">
        <f aca="false">IF($P249=0,BM248,IF(BM$3=$E249,IF($AA249=1,$F249&amp;$AB249,$G249),IF(OR(BM$3=$D249,BM$3=$AC249,BM$3=$AE249),"",IF(BM$3=$AD249,$F249&amp;"R",BM248))))</f>
        <v/>
      </c>
      <c r="BN249" s="11" t="str">
        <f aca="false">IF($P249=0,BN248,IF(BN$3=$E249,IF($AA249=1,$F249&amp;$AB249,$G249),IF(OR(BN$3=$D249,BN$3=$AC249,BN$3=$AE249),"",IF(BN$3=$AD249,$F249&amp;"R",BN248))))</f>
        <v/>
      </c>
      <c r="BO249" s="11" t="str">
        <f aca="false">IF($P249=0,BO248,IF(BO$3=$E249,IF($AA249=1,$F249&amp;$AB249,$G249),IF(OR(BO$3=$D249,BO$3=$AC249,BO$3=$AE249),"",IF(BO$3=$AD249,$F249&amp;"R",BO248))))</f>
        <v/>
      </c>
      <c r="BP249" s="11" t="str">
        <f aca="false">IF($P249=0,BP248,IF(BP$3=$E249,IF($AA249=1,$F249&amp;$AB249,$G249),IF(OR(BP$3=$D249,BP$3=$AC249,BP$3=$AE249),"",IF(BP$3=$AD249,$F249&amp;"R",BP248))))</f>
        <v/>
      </c>
      <c r="BQ249" s="11" t="str">
        <f aca="false">IF($P249=0,BQ248,IF(BQ$3=$E249,IF($AA249=1,$F249&amp;$AB249,$G249),IF(OR(BQ$3=$D249,BQ$3=$AC249,BQ$3=$AE249),"",IF(BQ$3=$AD249,$F249&amp;"R",BQ248))))</f>
        <v/>
      </c>
      <c r="BR249" s="11" t="str">
        <f aca="false">IF($P249=0,BR248,IF(BR$3=$E249,IF($AA249=1,$F249&amp;$AB249,$G249),IF(OR(BR$3=$D249,BR$3=$AC249,BR$3=$AE249),"",IF(BR$3=$AD249,$F249&amp;"R",BR248))))</f>
        <v/>
      </c>
      <c r="BS249" s="11" t="str">
        <f aca="false">IF($P249=0,BS248,IF(BS$3=$E249,IF($AA249=1,$F249&amp;$AB249,$G249),IF(OR(BS$3=$D249,BS$3=$AC249,BS$3=$AE249),"",IF(BS$3=$AD249,$F249&amp;"R",BS248))))</f>
        <v/>
      </c>
      <c r="BT249" s="11" t="str">
        <f aca="false">IF($P249=0,BT248,IF(BT$3=$E249,IF($AA249=1,$F249&amp;$AB249,$G249),IF(OR(BT$3=$D249,BT$3=$AC249,BT$3=$AE249),"",IF(BT$3=$AD249,$F249&amp;"R",BT248))))</f>
        <v/>
      </c>
      <c r="BU249" s="11" t="str">
        <f aca="false">IF($P249=0,BU248,IF(BU$3=$E249,IF($AA249=1,$F249&amp;$AB249,$G249),IF(OR(BU$3=$D249,BU$3=$AC249,BU$3=$AE249),"",IF(BU$3=$AD249,$F249&amp;"R",BU248))))</f>
        <v/>
      </c>
      <c r="BV249" s="11" t="str">
        <f aca="false">IF($P249=0,BV248,IF(BV$3=$E249,IF($AA249=1,$F249&amp;$AB249,$G249),IF(OR(BV$3=$D249,BV$3=$AC249,BV$3=$AE249),"",IF(BV$3=$AD249,$F249&amp;"R",BV248))))</f>
        <v/>
      </c>
      <c r="BW249" s="11" t="str">
        <f aca="false">IF($P249=0,BW248,IF(BW$3=$E249,IF($AA249=1,$F249&amp;$AB249,$G249),IF(OR(BW$3=$D249,BW$3=$AC249,BW$3=$AE249),"",IF(BW$3=$AD249,$F249&amp;"R",BW248))))</f>
        <v/>
      </c>
      <c r="BX249" s="11" t="str">
        <f aca="false">IF($P249=0,BX248,IF(BX$3=$E249,IF($AA249=1,$F249&amp;$AB249,$G249),IF(OR(BX$3=$D249,BX$3=$AC249,BX$3=$AE249),"",IF(BX$3=$AD249,$F249&amp;"R",BX248))))</f>
        <v/>
      </c>
      <c r="BY249" s="11" t="str">
        <f aca="false">IF($P249=0,BY248,IF(BY$3=$E249,IF($AA249=1,$F249&amp;$AB249,$G249),IF(OR(BY$3=$D249,BY$3=$AC249,BY$3=$AE249),"",IF(BY$3=$AD249,$F249&amp;"R",BY248))))</f>
        <v/>
      </c>
      <c r="BZ249" s="11" t="str">
        <f aca="false">IF($P249=0,BZ248,IF(BZ$3=$E249,IF($AA249=1,$F249&amp;$AB249,$G249),IF(OR(BZ$3=$D249,BZ$3=$AC249,BZ$3=$AE249),"",IF(BZ$3=$AD249,$F249&amp;"R",BZ248))))</f>
        <v/>
      </c>
      <c r="CA249" s="11" t="str">
        <f aca="false">IF($P249=0,CA248,IF(CA$3=$E249,IF($AA249=1,$F249&amp;$AB249,$G249),IF(OR(CA$3=$D249,CA$3=$AC249,CA$3=$AE249),"",IF(CA$3=$AD249,$F249&amp;"R",CA248))))</f>
        <v/>
      </c>
      <c r="CB249" s="11" t="str">
        <f aca="false">IF($P249=0,CB248,IF(CB$3=$E249,IF($AA249=1,$F249&amp;$AB249,$G249),IF(OR(CB$3=$D249,CB$3=$AC249,CB$3=$AE249),"",IF(CB$3=$AD249,$F249&amp;"R",CB248))))</f>
        <v/>
      </c>
      <c r="CC249" s="11" t="str">
        <f aca="false">IF($P249=0,CC248,IF(CC$3=$E249,IF($AA249=1,$F249&amp;$AB249,$G249),IF(OR(CC$3=$D249,CC$3=$AC249,CC$3=$AE249),"",IF(CC$3=$AD249,$F249&amp;"R",CC248))))</f>
        <v/>
      </c>
      <c r="CD249" s="11" t="str">
        <f aca="false">IF($P249=0,CD248,IF(CD$3=$E249,IF($AA249=1,$F249&amp;$AB249,$G249),IF(OR(CD$3=$D249,CD$3=$AC249,CD$3=$AE249),"",IF(CD$3=$AD249,$F249&amp;"R",CD248))))</f>
        <v>bP</v>
      </c>
      <c r="CE249" s="11" t="str">
        <f aca="false">IF($P249=0,CE248,IF(CE$3=$E249,IF($AA249=1,$F249&amp;$AB249,$G249),IF(OR(CE$3=$D249,CE$3=$AC249,CE$3=$AE249),"",IF(CE$3=$AD249,$F249&amp;"R",CE248))))</f>
        <v>bP</v>
      </c>
      <c r="CF249" s="11" t="str">
        <f aca="false">IF($P249=0,CF248,IF(CF$3=$E249,IF($AA249=1,$F249&amp;$AB249,$G249),IF(OR(CF$3=$D249,CF$3=$AC249,CF$3=$AE249),"",IF(CF$3=$AD249,$F249&amp;"R",CF248))))</f>
        <v>bP</v>
      </c>
      <c r="CG249" s="11" t="str">
        <f aca="false">IF($P249=0,CG248,IF(CG$3=$E249,IF($AA249=1,$F249&amp;$AB249,$G249),IF(OR(CG$3=$D249,CG$3=$AC249,CG$3=$AE249),"",IF(CG$3=$AD249,$F249&amp;"R",CG248))))</f>
        <v>bP</v>
      </c>
      <c r="CH249" s="11" t="str">
        <f aca="false">IF($P249=0,CH248,IF(CH$3=$E249,IF($AA249=1,$F249&amp;$AB249,$G249),IF(OR(CH$3=$D249,CH$3=$AC249,CH$3=$AE249),"",IF(CH$3=$AD249,$F249&amp;"R",CH248))))</f>
        <v>bP</v>
      </c>
      <c r="CI249" s="11" t="str">
        <f aca="false">IF($P249=0,CI248,IF(CI$3=$E249,IF($AA249=1,$F249&amp;$AB249,$G249),IF(OR(CI$3=$D249,CI$3=$AC249,CI$3=$AE249),"",IF(CI$3=$AD249,$F249&amp;"R",CI248))))</f>
        <v>bP</v>
      </c>
      <c r="CJ249" s="11" t="str">
        <f aca="false">IF($P249=0,CJ248,IF(CJ$3=$E249,IF($AA249=1,$F249&amp;$AB249,$G249),IF(OR(CJ$3=$D249,CJ$3=$AC249,CJ$3=$AE249),"",IF(CJ$3=$AD249,$F249&amp;"R",CJ248))))</f>
        <v>bP</v>
      </c>
      <c r="CK249" s="11" t="str">
        <f aca="false">IF($P249=0,CK248,IF(CK$3=$E249,IF($AA249=1,$F249&amp;$AB249,$G249),IF(OR(CK$3=$D249,CK$3=$AC249,CK$3=$AE249),"",IF(CK$3=$AD249,$F249&amp;"R",CK248))))</f>
        <v>bP</v>
      </c>
      <c r="CL249" s="11" t="str">
        <f aca="false">IF($P249=0,CL248,IF(CL$3=$E249,IF($AA249=1,$F249&amp;$AB249,$G249),IF(OR(CL$3=$D249,CL$3=$AC249,CL$3=$AE249),"",IF(CL$3=$AD249,$F249&amp;"R",CL248))))</f>
        <v>bR</v>
      </c>
      <c r="CM249" s="11" t="str">
        <f aca="false">IF($P249=0,CM248,IF(CM$3=$E249,IF($AA249=1,$F249&amp;$AB249,$G249),IF(OR(CM$3=$D249,CM$3=$AC249,CM$3=$AE249),"",IF(CM$3=$AD249,$F249&amp;"R",CM248))))</f>
        <v>bN</v>
      </c>
      <c r="CN249" s="11" t="str">
        <f aca="false">IF($P249=0,CN248,IF(CN$3=$E249,IF($AA249=1,$F249&amp;$AB249,$G249),IF(OR(CN$3=$D249,CN$3=$AC249,CN$3=$AE249),"",IF(CN$3=$AD249,$F249&amp;"R",CN248))))</f>
        <v>bB</v>
      </c>
      <c r="CO249" s="11" t="str">
        <f aca="false">IF($P249=0,CO248,IF(CO$3=$E249,IF($AA249=1,$F249&amp;$AB249,$G249),IF(OR(CO$3=$D249,CO$3=$AC249,CO$3=$AE249),"",IF(CO$3=$AD249,$F249&amp;"R",CO248))))</f>
        <v>bQ</v>
      </c>
      <c r="CP249" s="11" t="str">
        <f aca="false">IF($P249=0,CP248,IF(CP$3=$E249,IF($AA249=1,$F249&amp;$AB249,$G249),IF(OR(CP$3=$D249,CP$3=$AC249,CP$3=$AE249),"",IF(CP$3=$AD249,$F249&amp;"R",CP248))))</f>
        <v>bK</v>
      </c>
      <c r="CQ249" s="11" t="str">
        <f aca="false">IF($P249=0,CQ248,IF(CQ$3=$E249,IF($AA249=1,$F249&amp;$AB249,$G249),IF(OR(CQ$3=$D249,CQ$3=$AC249,CQ$3=$AE249),"",IF(CQ$3=$AD249,$F249&amp;"R",CQ248))))</f>
        <v>bB</v>
      </c>
      <c r="CR249" s="11" t="str">
        <f aca="false">IF($P249=0,CR248,IF(CR$3=$E249,IF($AA249=1,$F249&amp;$AB249,$G249),IF(OR(CR$3=$D249,CR$3=$AC249,CR$3=$AE249),"",IF(CR$3=$AD249,$F249&amp;"R",CR248))))</f>
        <v>bN</v>
      </c>
      <c r="CS249" s="11" t="str">
        <f aca="false">IF($P249=0,CS248,IF(CS$3=$E249,IF($AA249=1,$F249&amp;$AB249,$G249),IF(OR(CS$3=$D249,CS$3=$AC249,CS$3=$AE249),"",IF(CS$3=$AD249,$F249&amp;"R",CS248))))</f>
        <v>bR</v>
      </c>
      <c r="CT249" s="11"/>
      <c r="CU249" s="11"/>
      <c r="CV249" s="11"/>
    </row>
    <row r="250" customFormat="false" ht="15" hidden="false" customHeight="false" outlineLevel="0" collapsed="false">
      <c r="A250" s="11" t="n">
        <v>245</v>
      </c>
      <c r="B250" s="11" t="str">
        <f aca="false">IF(Chess!$L$254="","",Chess!$L$254&amp;"")</f>
        <v/>
      </c>
      <c r="C250" s="11" t="str">
        <f aca="false">LOWER(SUBSTITUTE(SUBSTITUTE(SUBSTITUTE(SUBSTITUTE(TRIM($B250),"-",""),"=","")," ",""),"x",""))</f>
        <v/>
      </c>
      <c r="D250" s="11" t="n">
        <f aca="false">IF(LEN($C250)&lt;4,0,IFERROR(IF(AND(CODE(MID($C250,1,1))&gt;=97,CODE(MID($C250,1,1))&lt;=104,VALUE(MID($C250,2,1))&gt;=1,VALUE(MID($C250,2,1))&lt;=8),(VALUE(MID($C250,2,1))-1)*8+CODE(MID($C250,1,1))-96,0),0))</f>
        <v>0</v>
      </c>
      <c r="E250" s="11" t="n">
        <f aca="false">IF(LEN($C250)&lt;4,0,IFERROR(IF(AND(CODE(MID($C250,3,1))&gt;=97,CODE(MID($C250,3,1))&lt;=104,VALUE(MID($C250,4,1))&gt;=1,VALUE(MID($C250,4,1))&lt;=8),(VALUE(MID($C250,4,1))-1)*8+CODE(MID($C250,3,1))-96,0),0))</f>
        <v>0</v>
      </c>
      <c r="F250" s="11" t="str">
        <f aca="false">IF(MOD(SUM($P$5:$P249),2)=0,"w","b")</f>
        <v>w</v>
      </c>
      <c r="G250" s="11" t="str">
        <f aca="false">IF($D250=0,"",INDEX($AH249:$CS249,1,$D250)&amp;"")</f>
        <v/>
      </c>
      <c r="H250" s="11" t="str">
        <f aca="false">IF($E250=0,"",INDEX($AH249:$CS249,1,$E250)&amp;"")</f>
        <v/>
      </c>
      <c r="I250" s="11" t="n">
        <f aca="false">IF(OR($D250=0,$E250=0),0,MOD($E250-1,8)-MOD($D250-1,8))</f>
        <v>0</v>
      </c>
      <c r="J250" s="11" t="n">
        <f aca="false">IF(OR($D250=0,$E250=0),0,INT(($E250-1)/8)-INT(($D250-1)/8))</f>
        <v>0</v>
      </c>
      <c r="K250" s="11" t="str">
        <f aca="false">IF($G250="","",RIGHT($G250,1))</f>
        <v/>
      </c>
      <c r="L250" s="11" t="n">
        <f aca="false">IF(OR($D250=0,$E250=0),0,SUMPRODUCT(($AH$3:$CS$3&gt;MIN($D250,$E250))*($AH$3:$CS$3&lt;MAX($D250,$E250))*(MOD($AH$3:$CS$3-MIN($D250,$E250),MAX(1,ABS(SIGN($J250)*8+SIGN($I250))))=0)*($AH249:$CS249&lt;&gt;"")))</f>
        <v>0</v>
      </c>
      <c r="M250" s="11" t="n">
        <f aca="false">IF($K250&lt;&gt;"K",0,IFERROR(--AND($J250=0,ABS($I250)=2,$D250=IF($F250="w",5,61),IF($F250="w",$S249,$V249)=0,IF($I250=2,AND(IF($F250="w",$U249,$X249)=0,INDEX($AH249:$CS249,1,$D250+1)&amp;""="",INDEX($AH249:$CS249,1,$D250+2)&amp;""=""),AND(IF($F250="w",$T249,$W249)=0,INDEX($AH249:$CS249,1,$D250-1)&amp;""="",INDEX($AH249:$CS249,1,$D250-2)&amp;""="",INDEX($AH249:$CS249,1,$D250-3)&amp;""=""))),0))</f>
        <v>0</v>
      </c>
      <c r="N250" s="11" t="n">
        <f aca="false">IF($K250&lt;&gt;"P",0,IFERROR(--OR(AND($I250=0,$J250=IF($F250="w",1,-1),$H250=""),AND($I250=0,$J250=2*IF($F250="w",1,-1),$H250="",INT(($D250-1)/8)=IF($F250="w",1,6),INDEX($AH249:$CS249,1,MAX(1,MIN(64,$D250+8*IF($F250="w",1,-1))))&amp;""=""),AND(ABS($I250)=1,$J250=IF($F250="w",1,-1),$H250&lt;&gt;""),AND(ABS($I250)=1,$J250=IF($F250="w",1,-1),$H250="",$R249&gt;0,$E250=$R249)),0))</f>
        <v>0</v>
      </c>
      <c r="O250" s="11" t="n">
        <f aca="false">IF(OR($D250=0,$E250=0,$G250=""),0,IF($K250="N",--OR(AND(ABS($I250)=1,ABS($J250)=2),AND(ABS($I250)=2,ABS($J250)=1)),IF($K250="B",--AND(ABS($I250)=ABS($J250),$I250&lt;&gt;0,$L250=0),IF($K250="R",--AND(OR($I250=0,$J250=0),OR($I250&lt;&gt;0,$J250&lt;&gt;0),$L250=0),IF($K250="Q",--AND(OR(AND(ABS($I250)=ABS($J250),$I250&lt;&gt;0),AND(OR($I250=0,$J250=0),OR($I250&lt;&gt;0,$J250&lt;&gt;0))),$L250=0),IF($K250="K",--OR(MAX(ABS($I250),ABS($J250))=1,$M250=1),$N250))))))</f>
        <v>0</v>
      </c>
      <c r="P250" s="11" t="n">
        <f aca="false">IF($Q250="OK",1,0)</f>
        <v>0</v>
      </c>
      <c r="Q250" s="11" t="str">
        <f aca="false">IF($B250="","",IF(OR(COUNTIF($AH249:$CS249,"wK")=0,COUNTIF($AH249:$CS249,"bK")=0),"Game is over",IF(OR($D250=0,$E250=0),"Use the format e2e4",IF($G250="","No piece on that square",IF(LEFT($G250,1)&lt;&gt;$F250,"Not your piece ("&amp;IF($F250="w","White","Black")&amp;" to move)",IF($D250=$E250,"Piece must move",IF(AND($H250&lt;&gt;"",LEFT($H250,1)=$F250),"Cannot capture your own piece",IF($O250=0,"Illegal move for that piece (or path blocked)","OK"))))))))</f>
        <v/>
      </c>
      <c r="R250" s="11" t="n">
        <f aca="false">IF($P250=1,IF(AND($K250="P",ABS($J250)=2),($D250+$E250)/2,0),$R249)</f>
        <v>0</v>
      </c>
      <c r="S250" s="12" t="b">
        <f aca="false">--OR($S249=1,AND($P250=1,OR($D250=5,$E250=5)))</f>
        <v>0</v>
      </c>
      <c r="T250" s="12" t="b">
        <f aca="false">--OR($T249=1,AND($P250=1,OR($D250=1,$E250=1)))</f>
        <v>0</v>
      </c>
      <c r="U250" s="12" t="b">
        <f aca="false">--OR($U249=1,AND($P250=1,OR($D250=8,$E250=8)))</f>
        <v>0</v>
      </c>
      <c r="V250" s="12" t="b">
        <f aca="false">--OR($V249=1,AND($P250=1,OR($D250=61,$E250=61)))</f>
        <v>0</v>
      </c>
      <c r="W250" s="12" t="b">
        <f aca="false">--OR($W249=1,AND($P250=1,OR($D250=57,$E250=57)))</f>
        <v>0</v>
      </c>
      <c r="X250" s="12" t="b">
        <f aca="false">--OR($X249=1,AND($P250=1,OR($D250=64,$E250=64)))</f>
        <v>0</v>
      </c>
      <c r="Y250" s="12" t="b">
        <f aca="false">--AND($P250=1,$K250="K",ABS($I250)=2)</f>
        <v>0</v>
      </c>
      <c r="Z250" s="12" t="b">
        <f aca="false">--AND($P250=1,$K250="P",ABS($I250)=1,$H250="")</f>
        <v>0</v>
      </c>
      <c r="AA250" s="12" t="b">
        <f aca="false">--AND($P250=1,$K250="P",INT(($E250-1)/8)=IF($F250="w",7,0))</f>
        <v>0</v>
      </c>
      <c r="AB250" s="11" t="str">
        <f aca="false">IF(LEN($C250)&gt;=5,IF(ISNUMBER(FIND(MID($C250,5,1),"qrbn")),UPPER(MID($C250,5,1)),"Q"),"Q")</f>
        <v>Q</v>
      </c>
      <c r="AC250" s="11" t="n">
        <f aca="false">IF($Y250=1,IF($I250=2,$D250+3,$D250-4),0)</f>
        <v>0</v>
      </c>
      <c r="AD250" s="11" t="n">
        <f aca="false">IF($Y250=1,IF($I250=2,$D250+1,$D250-1),0)</f>
        <v>0</v>
      </c>
      <c r="AE250" s="11" t="n">
        <f aca="false">IF($Z250=1,$E250-8*IF($F250="w",1,-1),0)</f>
        <v>0</v>
      </c>
      <c r="AF250" s="11" t="str">
        <f aca="false">IF($B250="","",IF($P250=1,LOWER(INDEX($CV$2:$CV$13,MATCH($G250,$CU$2:$CU$13,0)))&amp;" "&amp;MID("abcdefgh",MOD($D250-1,8)+1,1)&amp;(INT(($D250-1)/8)+1)&amp;"→"&amp;MID("abcdefgh",MOD($E250-1,8)+1,1)&amp;(INT(($E250-1)/8)+1)&amp;IF(OR($H250&lt;&gt;"",$Z250=1)," ×","")&amp;IF($Y250=1," castles","")&amp;IF($Z250=1," e.p.","")&amp;IF($AA250=1," =" &amp;LOWER(INDEX($CV$2:$CV$13,MATCH($F250&amp;$AB250,$CU$2:$CU$13,0))),""),"X "&amp;$Q250))</f>
        <v/>
      </c>
      <c r="AG250" s="11"/>
      <c r="AH250" s="11" t="str">
        <f aca="false">IF($P250=0,AH249,IF(AH$3=$E250,IF($AA250=1,$F250&amp;$AB250,$G250),IF(OR(AH$3=$D250,AH$3=$AC250,AH$3=$AE250),"",IF(AH$3=$AD250,$F250&amp;"R",AH249))))</f>
        <v>wR</v>
      </c>
      <c r="AI250" s="11" t="str">
        <f aca="false">IF($P250=0,AI249,IF(AI$3=$E250,IF($AA250=1,$F250&amp;$AB250,$G250),IF(OR(AI$3=$D250,AI$3=$AC250,AI$3=$AE250),"",IF(AI$3=$AD250,$F250&amp;"R",AI249))))</f>
        <v>wN</v>
      </c>
      <c r="AJ250" s="11" t="str">
        <f aca="false">IF($P250=0,AJ249,IF(AJ$3=$E250,IF($AA250=1,$F250&amp;$AB250,$G250),IF(OR(AJ$3=$D250,AJ$3=$AC250,AJ$3=$AE250),"",IF(AJ$3=$AD250,$F250&amp;"R",AJ249))))</f>
        <v>wB</v>
      </c>
      <c r="AK250" s="11" t="str">
        <f aca="false">IF($P250=0,AK249,IF(AK$3=$E250,IF($AA250=1,$F250&amp;$AB250,$G250),IF(OR(AK$3=$D250,AK$3=$AC250,AK$3=$AE250),"",IF(AK$3=$AD250,$F250&amp;"R",AK249))))</f>
        <v>wQ</v>
      </c>
      <c r="AL250" s="11" t="str">
        <f aca="false">IF($P250=0,AL249,IF(AL$3=$E250,IF($AA250=1,$F250&amp;$AB250,$G250),IF(OR(AL$3=$D250,AL$3=$AC250,AL$3=$AE250),"",IF(AL$3=$AD250,$F250&amp;"R",AL249))))</f>
        <v>wK</v>
      </c>
      <c r="AM250" s="11" t="str">
        <f aca="false">IF($P250=0,AM249,IF(AM$3=$E250,IF($AA250=1,$F250&amp;$AB250,$G250),IF(OR(AM$3=$D250,AM$3=$AC250,AM$3=$AE250),"",IF(AM$3=$AD250,$F250&amp;"R",AM249))))</f>
        <v>wB</v>
      </c>
      <c r="AN250" s="11" t="str">
        <f aca="false">IF($P250=0,AN249,IF(AN$3=$E250,IF($AA250=1,$F250&amp;$AB250,$G250),IF(OR(AN$3=$D250,AN$3=$AC250,AN$3=$AE250),"",IF(AN$3=$AD250,$F250&amp;"R",AN249))))</f>
        <v>wN</v>
      </c>
      <c r="AO250" s="11" t="str">
        <f aca="false">IF($P250=0,AO249,IF(AO$3=$E250,IF($AA250=1,$F250&amp;$AB250,$G250),IF(OR(AO$3=$D250,AO$3=$AC250,AO$3=$AE250),"",IF(AO$3=$AD250,$F250&amp;"R",AO249))))</f>
        <v>wR</v>
      </c>
      <c r="AP250" s="11" t="str">
        <f aca="false">IF($P250=0,AP249,IF(AP$3=$E250,IF($AA250=1,$F250&amp;$AB250,$G250),IF(OR(AP$3=$D250,AP$3=$AC250,AP$3=$AE250),"",IF(AP$3=$AD250,$F250&amp;"R",AP249))))</f>
        <v>wP</v>
      </c>
      <c r="AQ250" s="11" t="str">
        <f aca="false">IF($P250=0,AQ249,IF(AQ$3=$E250,IF($AA250=1,$F250&amp;$AB250,$G250),IF(OR(AQ$3=$D250,AQ$3=$AC250,AQ$3=$AE250),"",IF(AQ$3=$AD250,$F250&amp;"R",AQ249))))</f>
        <v>wP</v>
      </c>
      <c r="AR250" s="11" t="str">
        <f aca="false">IF($P250=0,AR249,IF(AR$3=$E250,IF($AA250=1,$F250&amp;$AB250,$G250),IF(OR(AR$3=$D250,AR$3=$AC250,AR$3=$AE250),"",IF(AR$3=$AD250,$F250&amp;"R",AR249))))</f>
        <v>wP</v>
      </c>
      <c r="AS250" s="11" t="str">
        <f aca="false">IF($P250=0,AS249,IF(AS$3=$E250,IF($AA250=1,$F250&amp;$AB250,$G250),IF(OR(AS$3=$D250,AS$3=$AC250,AS$3=$AE250),"",IF(AS$3=$AD250,$F250&amp;"R",AS249))))</f>
        <v>wP</v>
      </c>
      <c r="AT250" s="11" t="str">
        <f aca="false">IF($P250=0,AT249,IF(AT$3=$E250,IF($AA250=1,$F250&amp;$AB250,$G250),IF(OR(AT$3=$D250,AT$3=$AC250,AT$3=$AE250),"",IF(AT$3=$AD250,$F250&amp;"R",AT249))))</f>
        <v>wP</v>
      </c>
      <c r="AU250" s="11" t="str">
        <f aca="false">IF($P250=0,AU249,IF(AU$3=$E250,IF($AA250=1,$F250&amp;$AB250,$G250),IF(OR(AU$3=$D250,AU$3=$AC250,AU$3=$AE250),"",IF(AU$3=$AD250,$F250&amp;"R",AU249))))</f>
        <v>wP</v>
      </c>
      <c r="AV250" s="11" t="str">
        <f aca="false">IF($P250=0,AV249,IF(AV$3=$E250,IF($AA250=1,$F250&amp;$AB250,$G250),IF(OR(AV$3=$D250,AV$3=$AC250,AV$3=$AE250),"",IF(AV$3=$AD250,$F250&amp;"R",AV249))))</f>
        <v>wP</v>
      </c>
      <c r="AW250" s="11" t="str">
        <f aca="false">IF($P250=0,AW249,IF(AW$3=$E250,IF($AA250=1,$F250&amp;$AB250,$G250),IF(OR(AW$3=$D250,AW$3=$AC250,AW$3=$AE250),"",IF(AW$3=$AD250,$F250&amp;"R",AW249))))</f>
        <v>wP</v>
      </c>
      <c r="AX250" s="11" t="str">
        <f aca="false">IF($P250=0,AX249,IF(AX$3=$E250,IF($AA250=1,$F250&amp;$AB250,$G250),IF(OR(AX$3=$D250,AX$3=$AC250,AX$3=$AE250),"",IF(AX$3=$AD250,$F250&amp;"R",AX249))))</f>
        <v/>
      </c>
      <c r="AY250" s="11" t="str">
        <f aca="false">IF($P250=0,AY249,IF(AY$3=$E250,IF($AA250=1,$F250&amp;$AB250,$G250),IF(OR(AY$3=$D250,AY$3=$AC250,AY$3=$AE250),"",IF(AY$3=$AD250,$F250&amp;"R",AY249))))</f>
        <v/>
      </c>
      <c r="AZ250" s="11" t="str">
        <f aca="false">IF($P250=0,AZ249,IF(AZ$3=$E250,IF($AA250=1,$F250&amp;$AB250,$G250),IF(OR(AZ$3=$D250,AZ$3=$AC250,AZ$3=$AE250),"",IF(AZ$3=$AD250,$F250&amp;"R",AZ249))))</f>
        <v/>
      </c>
      <c r="BA250" s="11" t="str">
        <f aca="false">IF($P250=0,BA249,IF(BA$3=$E250,IF($AA250=1,$F250&amp;$AB250,$G250),IF(OR(BA$3=$D250,BA$3=$AC250,BA$3=$AE250),"",IF(BA$3=$AD250,$F250&amp;"R",BA249))))</f>
        <v/>
      </c>
      <c r="BB250" s="11" t="str">
        <f aca="false">IF($P250=0,BB249,IF(BB$3=$E250,IF($AA250=1,$F250&amp;$AB250,$G250),IF(OR(BB$3=$D250,BB$3=$AC250,BB$3=$AE250),"",IF(BB$3=$AD250,$F250&amp;"R",BB249))))</f>
        <v/>
      </c>
      <c r="BC250" s="11" t="str">
        <f aca="false">IF($P250=0,BC249,IF(BC$3=$E250,IF($AA250=1,$F250&amp;$AB250,$G250),IF(OR(BC$3=$D250,BC$3=$AC250,BC$3=$AE250),"",IF(BC$3=$AD250,$F250&amp;"R",BC249))))</f>
        <v/>
      </c>
      <c r="BD250" s="11" t="str">
        <f aca="false">IF($P250=0,BD249,IF(BD$3=$E250,IF($AA250=1,$F250&amp;$AB250,$G250),IF(OR(BD$3=$D250,BD$3=$AC250,BD$3=$AE250),"",IF(BD$3=$AD250,$F250&amp;"R",BD249))))</f>
        <v/>
      </c>
      <c r="BE250" s="11" t="str">
        <f aca="false">IF($P250=0,BE249,IF(BE$3=$E250,IF($AA250=1,$F250&amp;$AB250,$G250),IF(OR(BE$3=$D250,BE$3=$AC250,BE$3=$AE250),"",IF(BE$3=$AD250,$F250&amp;"R",BE249))))</f>
        <v/>
      </c>
      <c r="BF250" s="11" t="str">
        <f aca="false">IF($P250=0,BF249,IF(BF$3=$E250,IF($AA250=1,$F250&amp;$AB250,$G250),IF(OR(BF$3=$D250,BF$3=$AC250,BF$3=$AE250),"",IF(BF$3=$AD250,$F250&amp;"R",BF249))))</f>
        <v/>
      </c>
      <c r="BG250" s="11" t="str">
        <f aca="false">IF($P250=0,BG249,IF(BG$3=$E250,IF($AA250=1,$F250&amp;$AB250,$G250),IF(OR(BG$3=$D250,BG$3=$AC250,BG$3=$AE250),"",IF(BG$3=$AD250,$F250&amp;"R",BG249))))</f>
        <v/>
      </c>
      <c r="BH250" s="11" t="str">
        <f aca="false">IF($P250=0,BH249,IF(BH$3=$E250,IF($AA250=1,$F250&amp;$AB250,$G250),IF(OR(BH$3=$D250,BH$3=$AC250,BH$3=$AE250),"",IF(BH$3=$AD250,$F250&amp;"R",BH249))))</f>
        <v/>
      </c>
      <c r="BI250" s="11" t="str">
        <f aca="false">IF($P250=0,BI249,IF(BI$3=$E250,IF($AA250=1,$F250&amp;$AB250,$G250),IF(OR(BI$3=$D250,BI$3=$AC250,BI$3=$AE250),"",IF(BI$3=$AD250,$F250&amp;"R",BI249))))</f>
        <v/>
      </c>
      <c r="BJ250" s="11" t="str">
        <f aca="false">IF($P250=0,BJ249,IF(BJ$3=$E250,IF($AA250=1,$F250&amp;$AB250,$G250),IF(OR(BJ$3=$D250,BJ$3=$AC250,BJ$3=$AE250),"",IF(BJ$3=$AD250,$F250&amp;"R",BJ249))))</f>
        <v/>
      </c>
      <c r="BK250" s="11" t="str">
        <f aca="false">IF($P250=0,BK249,IF(BK$3=$E250,IF($AA250=1,$F250&amp;$AB250,$G250),IF(OR(BK$3=$D250,BK$3=$AC250,BK$3=$AE250),"",IF(BK$3=$AD250,$F250&amp;"R",BK249))))</f>
        <v/>
      </c>
      <c r="BL250" s="11" t="str">
        <f aca="false">IF($P250=0,BL249,IF(BL$3=$E250,IF($AA250=1,$F250&amp;$AB250,$G250),IF(OR(BL$3=$D250,BL$3=$AC250,BL$3=$AE250),"",IF(BL$3=$AD250,$F250&amp;"R",BL249))))</f>
        <v/>
      </c>
      <c r="BM250" s="11" t="str">
        <f aca="false">IF($P250=0,BM249,IF(BM$3=$E250,IF($AA250=1,$F250&amp;$AB250,$G250),IF(OR(BM$3=$D250,BM$3=$AC250,BM$3=$AE250),"",IF(BM$3=$AD250,$F250&amp;"R",BM249))))</f>
        <v/>
      </c>
      <c r="BN250" s="11" t="str">
        <f aca="false">IF($P250=0,BN249,IF(BN$3=$E250,IF($AA250=1,$F250&amp;$AB250,$G250),IF(OR(BN$3=$D250,BN$3=$AC250,BN$3=$AE250),"",IF(BN$3=$AD250,$F250&amp;"R",BN249))))</f>
        <v/>
      </c>
      <c r="BO250" s="11" t="str">
        <f aca="false">IF($P250=0,BO249,IF(BO$3=$E250,IF($AA250=1,$F250&amp;$AB250,$G250),IF(OR(BO$3=$D250,BO$3=$AC250,BO$3=$AE250),"",IF(BO$3=$AD250,$F250&amp;"R",BO249))))</f>
        <v/>
      </c>
      <c r="BP250" s="11" t="str">
        <f aca="false">IF($P250=0,BP249,IF(BP$3=$E250,IF($AA250=1,$F250&amp;$AB250,$G250),IF(OR(BP$3=$D250,BP$3=$AC250,BP$3=$AE250),"",IF(BP$3=$AD250,$F250&amp;"R",BP249))))</f>
        <v/>
      </c>
      <c r="BQ250" s="11" t="str">
        <f aca="false">IF($P250=0,BQ249,IF(BQ$3=$E250,IF($AA250=1,$F250&amp;$AB250,$G250),IF(OR(BQ$3=$D250,BQ$3=$AC250,BQ$3=$AE250),"",IF(BQ$3=$AD250,$F250&amp;"R",BQ249))))</f>
        <v/>
      </c>
      <c r="BR250" s="11" t="str">
        <f aca="false">IF($P250=0,BR249,IF(BR$3=$E250,IF($AA250=1,$F250&amp;$AB250,$G250),IF(OR(BR$3=$D250,BR$3=$AC250,BR$3=$AE250),"",IF(BR$3=$AD250,$F250&amp;"R",BR249))))</f>
        <v/>
      </c>
      <c r="BS250" s="11" t="str">
        <f aca="false">IF($P250=0,BS249,IF(BS$3=$E250,IF($AA250=1,$F250&amp;$AB250,$G250),IF(OR(BS$3=$D250,BS$3=$AC250,BS$3=$AE250),"",IF(BS$3=$AD250,$F250&amp;"R",BS249))))</f>
        <v/>
      </c>
      <c r="BT250" s="11" t="str">
        <f aca="false">IF($P250=0,BT249,IF(BT$3=$E250,IF($AA250=1,$F250&amp;$AB250,$G250),IF(OR(BT$3=$D250,BT$3=$AC250,BT$3=$AE250),"",IF(BT$3=$AD250,$F250&amp;"R",BT249))))</f>
        <v/>
      </c>
      <c r="BU250" s="11" t="str">
        <f aca="false">IF($P250=0,BU249,IF(BU$3=$E250,IF($AA250=1,$F250&amp;$AB250,$G250),IF(OR(BU$3=$D250,BU$3=$AC250,BU$3=$AE250),"",IF(BU$3=$AD250,$F250&amp;"R",BU249))))</f>
        <v/>
      </c>
      <c r="BV250" s="11" t="str">
        <f aca="false">IF($P250=0,BV249,IF(BV$3=$E250,IF($AA250=1,$F250&amp;$AB250,$G250),IF(OR(BV$3=$D250,BV$3=$AC250,BV$3=$AE250),"",IF(BV$3=$AD250,$F250&amp;"R",BV249))))</f>
        <v/>
      </c>
      <c r="BW250" s="11" t="str">
        <f aca="false">IF($P250=0,BW249,IF(BW$3=$E250,IF($AA250=1,$F250&amp;$AB250,$G250),IF(OR(BW$3=$D250,BW$3=$AC250,BW$3=$AE250),"",IF(BW$3=$AD250,$F250&amp;"R",BW249))))</f>
        <v/>
      </c>
      <c r="BX250" s="11" t="str">
        <f aca="false">IF($P250=0,BX249,IF(BX$3=$E250,IF($AA250=1,$F250&amp;$AB250,$G250),IF(OR(BX$3=$D250,BX$3=$AC250,BX$3=$AE250),"",IF(BX$3=$AD250,$F250&amp;"R",BX249))))</f>
        <v/>
      </c>
      <c r="BY250" s="11" t="str">
        <f aca="false">IF($P250=0,BY249,IF(BY$3=$E250,IF($AA250=1,$F250&amp;$AB250,$G250),IF(OR(BY$3=$D250,BY$3=$AC250,BY$3=$AE250),"",IF(BY$3=$AD250,$F250&amp;"R",BY249))))</f>
        <v/>
      </c>
      <c r="BZ250" s="11" t="str">
        <f aca="false">IF($P250=0,BZ249,IF(BZ$3=$E250,IF($AA250=1,$F250&amp;$AB250,$G250),IF(OR(BZ$3=$D250,BZ$3=$AC250,BZ$3=$AE250),"",IF(BZ$3=$AD250,$F250&amp;"R",BZ249))))</f>
        <v/>
      </c>
      <c r="CA250" s="11" t="str">
        <f aca="false">IF($P250=0,CA249,IF(CA$3=$E250,IF($AA250=1,$F250&amp;$AB250,$G250),IF(OR(CA$3=$D250,CA$3=$AC250,CA$3=$AE250),"",IF(CA$3=$AD250,$F250&amp;"R",CA249))))</f>
        <v/>
      </c>
      <c r="CB250" s="11" t="str">
        <f aca="false">IF($P250=0,CB249,IF(CB$3=$E250,IF($AA250=1,$F250&amp;$AB250,$G250),IF(OR(CB$3=$D250,CB$3=$AC250,CB$3=$AE250),"",IF(CB$3=$AD250,$F250&amp;"R",CB249))))</f>
        <v/>
      </c>
      <c r="CC250" s="11" t="str">
        <f aca="false">IF($P250=0,CC249,IF(CC$3=$E250,IF($AA250=1,$F250&amp;$AB250,$G250),IF(OR(CC$3=$D250,CC$3=$AC250,CC$3=$AE250),"",IF(CC$3=$AD250,$F250&amp;"R",CC249))))</f>
        <v/>
      </c>
      <c r="CD250" s="11" t="str">
        <f aca="false">IF($P250=0,CD249,IF(CD$3=$E250,IF($AA250=1,$F250&amp;$AB250,$G250),IF(OR(CD$3=$D250,CD$3=$AC250,CD$3=$AE250),"",IF(CD$3=$AD250,$F250&amp;"R",CD249))))</f>
        <v>bP</v>
      </c>
      <c r="CE250" s="11" t="str">
        <f aca="false">IF($P250=0,CE249,IF(CE$3=$E250,IF($AA250=1,$F250&amp;$AB250,$G250),IF(OR(CE$3=$D250,CE$3=$AC250,CE$3=$AE250),"",IF(CE$3=$AD250,$F250&amp;"R",CE249))))</f>
        <v>bP</v>
      </c>
      <c r="CF250" s="11" t="str">
        <f aca="false">IF($P250=0,CF249,IF(CF$3=$E250,IF($AA250=1,$F250&amp;$AB250,$G250),IF(OR(CF$3=$D250,CF$3=$AC250,CF$3=$AE250),"",IF(CF$3=$AD250,$F250&amp;"R",CF249))))</f>
        <v>bP</v>
      </c>
      <c r="CG250" s="11" t="str">
        <f aca="false">IF($P250=0,CG249,IF(CG$3=$E250,IF($AA250=1,$F250&amp;$AB250,$G250),IF(OR(CG$3=$D250,CG$3=$AC250,CG$3=$AE250),"",IF(CG$3=$AD250,$F250&amp;"R",CG249))))</f>
        <v>bP</v>
      </c>
      <c r="CH250" s="11" t="str">
        <f aca="false">IF($P250=0,CH249,IF(CH$3=$E250,IF($AA250=1,$F250&amp;$AB250,$G250),IF(OR(CH$3=$D250,CH$3=$AC250,CH$3=$AE250),"",IF(CH$3=$AD250,$F250&amp;"R",CH249))))</f>
        <v>bP</v>
      </c>
      <c r="CI250" s="11" t="str">
        <f aca="false">IF($P250=0,CI249,IF(CI$3=$E250,IF($AA250=1,$F250&amp;$AB250,$G250),IF(OR(CI$3=$D250,CI$3=$AC250,CI$3=$AE250),"",IF(CI$3=$AD250,$F250&amp;"R",CI249))))</f>
        <v>bP</v>
      </c>
      <c r="CJ250" s="11" t="str">
        <f aca="false">IF($P250=0,CJ249,IF(CJ$3=$E250,IF($AA250=1,$F250&amp;$AB250,$G250),IF(OR(CJ$3=$D250,CJ$3=$AC250,CJ$3=$AE250),"",IF(CJ$3=$AD250,$F250&amp;"R",CJ249))))</f>
        <v>bP</v>
      </c>
      <c r="CK250" s="11" t="str">
        <f aca="false">IF($P250=0,CK249,IF(CK$3=$E250,IF($AA250=1,$F250&amp;$AB250,$G250),IF(OR(CK$3=$D250,CK$3=$AC250,CK$3=$AE250),"",IF(CK$3=$AD250,$F250&amp;"R",CK249))))</f>
        <v>bP</v>
      </c>
      <c r="CL250" s="11" t="str">
        <f aca="false">IF($P250=0,CL249,IF(CL$3=$E250,IF($AA250=1,$F250&amp;$AB250,$G250),IF(OR(CL$3=$D250,CL$3=$AC250,CL$3=$AE250),"",IF(CL$3=$AD250,$F250&amp;"R",CL249))))</f>
        <v>bR</v>
      </c>
      <c r="CM250" s="11" t="str">
        <f aca="false">IF($P250=0,CM249,IF(CM$3=$E250,IF($AA250=1,$F250&amp;$AB250,$G250),IF(OR(CM$3=$D250,CM$3=$AC250,CM$3=$AE250),"",IF(CM$3=$AD250,$F250&amp;"R",CM249))))</f>
        <v>bN</v>
      </c>
      <c r="CN250" s="11" t="str">
        <f aca="false">IF($P250=0,CN249,IF(CN$3=$E250,IF($AA250=1,$F250&amp;$AB250,$G250),IF(OR(CN$3=$D250,CN$3=$AC250,CN$3=$AE250),"",IF(CN$3=$AD250,$F250&amp;"R",CN249))))</f>
        <v>bB</v>
      </c>
      <c r="CO250" s="11" t="str">
        <f aca="false">IF($P250=0,CO249,IF(CO$3=$E250,IF($AA250=1,$F250&amp;$AB250,$G250),IF(OR(CO$3=$D250,CO$3=$AC250,CO$3=$AE250),"",IF(CO$3=$AD250,$F250&amp;"R",CO249))))</f>
        <v>bQ</v>
      </c>
      <c r="CP250" s="11" t="str">
        <f aca="false">IF($P250=0,CP249,IF(CP$3=$E250,IF($AA250=1,$F250&amp;$AB250,$G250),IF(OR(CP$3=$D250,CP$3=$AC250,CP$3=$AE250),"",IF(CP$3=$AD250,$F250&amp;"R",CP249))))</f>
        <v>bK</v>
      </c>
      <c r="CQ250" s="11" t="str">
        <f aca="false">IF($P250=0,CQ249,IF(CQ$3=$E250,IF($AA250=1,$F250&amp;$AB250,$G250),IF(OR(CQ$3=$D250,CQ$3=$AC250,CQ$3=$AE250),"",IF(CQ$3=$AD250,$F250&amp;"R",CQ249))))</f>
        <v>bB</v>
      </c>
      <c r="CR250" s="11" t="str">
        <f aca="false">IF($P250=0,CR249,IF(CR$3=$E250,IF($AA250=1,$F250&amp;$AB250,$G250),IF(OR(CR$3=$D250,CR$3=$AC250,CR$3=$AE250),"",IF(CR$3=$AD250,$F250&amp;"R",CR249))))</f>
        <v>bN</v>
      </c>
      <c r="CS250" s="11" t="str">
        <f aca="false">IF($P250=0,CS249,IF(CS$3=$E250,IF($AA250=1,$F250&amp;$AB250,$G250),IF(OR(CS$3=$D250,CS$3=$AC250,CS$3=$AE250),"",IF(CS$3=$AD250,$F250&amp;"R",CS249))))</f>
        <v>bR</v>
      </c>
      <c r="CT250" s="11"/>
      <c r="CU250" s="11"/>
      <c r="CV250" s="11"/>
    </row>
    <row r="251" customFormat="false" ht="15" hidden="false" customHeight="false" outlineLevel="0" collapsed="false">
      <c r="A251" s="11" t="n">
        <v>246</v>
      </c>
      <c r="B251" s="11" t="str">
        <f aca="false">IF(Chess!$L$255="","",Chess!$L$255&amp;"")</f>
        <v/>
      </c>
      <c r="C251" s="11" t="str">
        <f aca="false">LOWER(SUBSTITUTE(SUBSTITUTE(SUBSTITUTE(SUBSTITUTE(TRIM($B251),"-",""),"=","")," ",""),"x",""))</f>
        <v/>
      </c>
      <c r="D251" s="11" t="n">
        <f aca="false">IF(LEN($C251)&lt;4,0,IFERROR(IF(AND(CODE(MID($C251,1,1))&gt;=97,CODE(MID($C251,1,1))&lt;=104,VALUE(MID($C251,2,1))&gt;=1,VALUE(MID($C251,2,1))&lt;=8),(VALUE(MID($C251,2,1))-1)*8+CODE(MID($C251,1,1))-96,0),0))</f>
        <v>0</v>
      </c>
      <c r="E251" s="11" t="n">
        <f aca="false">IF(LEN($C251)&lt;4,0,IFERROR(IF(AND(CODE(MID($C251,3,1))&gt;=97,CODE(MID($C251,3,1))&lt;=104,VALUE(MID($C251,4,1))&gt;=1,VALUE(MID($C251,4,1))&lt;=8),(VALUE(MID($C251,4,1))-1)*8+CODE(MID($C251,3,1))-96,0),0))</f>
        <v>0</v>
      </c>
      <c r="F251" s="11" t="str">
        <f aca="false">IF(MOD(SUM($P$5:$P250),2)=0,"w","b")</f>
        <v>w</v>
      </c>
      <c r="G251" s="11" t="str">
        <f aca="false">IF($D251=0,"",INDEX($AH250:$CS250,1,$D251)&amp;"")</f>
        <v/>
      </c>
      <c r="H251" s="11" t="str">
        <f aca="false">IF($E251=0,"",INDEX($AH250:$CS250,1,$E251)&amp;"")</f>
        <v/>
      </c>
      <c r="I251" s="11" t="n">
        <f aca="false">IF(OR($D251=0,$E251=0),0,MOD($E251-1,8)-MOD($D251-1,8))</f>
        <v>0</v>
      </c>
      <c r="J251" s="11" t="n">
        <f aca="false">IF(OR($D251=0,$E251=0),0,INT(($E251-1)/8)-INT(($D251-1)/8))</f>
        <v>0</v>
      </c>
      <c r="K251" s="11" t="str">
        <f aca="false">IF($G251="","",RIGHT($G251,1))</f>
        <v/>
      </c>
      <c r="L251" s="11" t="n">
        <f aca="false">IF(OR($D251=0,$E251=0),0,SUMPRODUCT(($AH$3:$CS$3&gt;MIN($D251,$E251))*($AH$3:$CS$3&lt;MAX($D251,$E251))*(MOD($AH$3:$CS$3-MIN($D251,$E251),MAX(1,ABS(SIGN($J251)*8+SIGN($I251))))=0)*($AH250:$CS250&lt;&gt;"")))</f>
        <v>0</v>
      </c>
      <c r="M251" s="11" t="n">
        <f aca="false">IF($K251&lt;&gt;"K",0,IFERROR(--AND($J251=0,ABS($I251)=2,$D251=IF($F251="w",5,61),IF($F251="w",$S250,$V250)=0,IF($I251=2,AND(IF($F251="w",$U250,$X250)=0,INDEX($AH250:$CS250,1,$D251+1)&amp;""="",INDEX($AH250:$CS250,1,$D251+2)&amp;""=""),AND(IF($F251="w",$T250,$W250)=0,INDEX($AH250:$CS250,1,$D251-1)&amp;""="",INDEX($AH250:$CS250,1,$D251-2)&amp;""="",INDEX($AH250:$CS250,1,$D251-3)&amp;""=""))),0))</f>
        <v>0</v>
      </c>
      <c r="N251" s="11" t="n">
        <f aca="false">IF($K251&lt;&gt;"P",0,IFERROR(--OR(AND($I251=0,$J251=IF($F251="w",1,-1),$H251=""),AND($I251=0,$J251=2*IF($F251="w",1,-1),$H251="",INT(($D251-1)/8)=IF($F251="w",1,6),INDEX($AH250:$CS250,1,MAX(1,MIN(64,$D251+8*IF($F251="w",1,-1))))&amp;""=""),AND(ABS($I251)=1,$J251=IF($F251="w",1,-1),$H251&lt;&gt;""),AND(ABS($I251)=1,$J251=IF($F251="w",1,-1),$H251="",$R250&gt;0,$E251=$R250)),0))</f>
        <v>0</v>
      </c>
      <c r="O251" s="11" t="n">
        <f aca="false">IF(OR($D251=0,$E251=0,$G251=""),0,IF($K251="N",--OR(AND(ABS($I251)=1,ABS($J251)=2),AND(ABS($I251)=2,ABS($J251)=1)),IF($K251="B",--AND(ABS($I251)=ABS($J251),$I251&lt;&gt;0,$L251=0),IF($K251="R",--AND(OR($I251=0,$J251=0),OR($I251&lt;&gt;0,$J251&lt;&gt;0),$L251=0),IF($K251="Q",--AND(OR(AND(ABS($I251)=ABS($J251),$I251&lt;&gt;0),AND(OR($I251=0,$J251=0),OR($I251&lt;&gt;0,$J251&lt;&gt;0))),$L251=0),IF($K251="K",--OR(MAX(ABS($I251),ABS($J251))=1,$M251=1),$N251))))))</f>
        <v>0</v>
      </c>
      <c r="P251" s="11" t="n">
        <f aca="false">IF($Q251="OK",1,0)</f>
        <v>0</v>
      </c>
      <c r="Q251" s="11" t="str">
        <f aca="false">IF($B251="","",IF(OR(COUNTIF($AH250:$CS250,"wK")=0,COUNTIF($AH250:$CS250,"bK")=0),"Game is over",IF(OR($D251=0,$E251=0),"Use the format e2e4",IF($G251="","No piece on that square",IF(LEFT($G251,1)&lt;&gt;$F251,"Not your piece ("&amp;IF($F251="w","White","Black")&amp;" to move)",IF($D251=$E251,"Piece must move",IF(AND($H251&lt;&gt;"",LEFT($H251,1)=$F251),"Cannot capture your own piece",IF($O251=0,"Illegal move for that piece (or path blocked)","OK"))))))))</f>
        <v/>
      </c>
      <c r="R251" s="11" t="n">
        <f aca="false">IF($P251=1,IF(AND($K251="P",ABS($J251)=2),($D251+$E251)/2,0),$R250)</f>
        <v>0</v>
      </c>
      <c r="S251" s="12" t="b">
        <f aca="false">--OR($S250=1,AND($P251=1,OR($D251=5,$E251=5)))</f>
        <v>0</v>
      </c>
      <c r="T251" s="12" t="b">
        <f aca="false">--OR($T250=1,AND($P251=1,OR($D251=1,$E251=1)))</f>
        <v>0</v>
      </c>
      <c r="U251" s="12" t="b">
        <f aca="false">--OR($U250=1,AND($P251=1,OR($D251=8,$E251=8)))</f>
        <v>0</v>
      </c>
      <c r="V251" s="12" t="b">
        <f aca="false">--OR($V250=1,AND($P251=1,OR($D251=61,$E251=61)))</f>
        <v>0</v>
      </c>
      <c r="W251" s="12" t="b">
        <f aca="false">--OR($W250=1,AND($P251=1,OR($D251=57,$E251=57)))</f>
        <v>0</v>
      </c>
      <c r="X251" s="12" t="b">
        <f aca="false">--OR($X250=1,AND($P251=1,OR($D251=64,$E251=64)))</f>
        <v>0</v>
      </c>
      <c r="Y251" s="12" t="b">
        <f aca="false">--AND($P251=1,$K251="K",ABS($I251)=2)</f>
        <v>0</v>
      </c>
      <c r="Z251" s="12" t="b">
        <f aca="false">--AND($P251=1,$K251="P",ABS($I251)=1,$H251="")</f>
        <v>0</v>
      </c>
      <c r="AA251" s="12" t="b">
        <f aca="false">--AND($P251=1,$K251="P",INT(($E251-1)/8)=IF($F251="w",7,0))</f>
        <v>0</v>
      </c>
      <c r="AB251" s="11" t="str">
        <f aca="false">IF(LEN($C251)&gt;=5,IF(ISNUMBER(FIND(MID($C251,5,1),"qrbn")),UPPER(MID($C251,5,1)),"Q"),"Q")</f>
        <v>Q</v>
      </c>
      <c r="AC251" s="11" t="n">
        <f aca="false">IF($Y251=1,IF($I251=2,$D251+3,$D251-4),0)</f>
        <v>0</v>
      </c>
      <c r="AD251" s="11" t="n">
        <f aca="false">IF($Y251=1,IF($I251=2,$D251+1,$D251-1),0)</f>
        <v>0</v>
      </c>
      <c r="AE251" s="11" t="n">
        <f aca="false">IF($Z251=1,$E251-8*IF($F251="w",1,-1),0)</f>
        <v>0</v>
      </c>
      <c r="AF251" s="11" t="str">
        <f aca="false">IF($B251="","",IF($P251=1,LOWER(INDEX($CV$2:$CV$13,MATCH($G251,$CU$2:$CU$13,0)))&amp;" "&amp;MID("abcdefgh",MOD($D251-1,8)+1,1)&amp;(INT(($D251-1)/8)+1)&amp;"→"&amp;MID("abcdefgh",MOD($E251-1,8)+1,1)&amp;(INT(($E251-1)/8)+1)&amp;IF(OR($H251&lt;&gt;"",$Z251=1)," ×","")&amp;IF($Y251=1," castles","")&amp;IF($Z251=1," e.p.","")&amp;IF($AA251=1," =" &amp;LOWER(INDEX($CV$2:$CV$13,MATCH($F251&amp;$AB251,$CU$2:$CU$13,0))),""),"X "&amp;$Q251))</f>
        <v/>
      </c>
      <c r="AG251" s="11"/>
      <c r="AH251" s="11" t="str">
        <f aca="false">IF($P251=0,AH250,IF(AH$3=$E251,IF($AA251=1,$F251&amp;$AB251,$G251),IF(OR(AH$3=$D251,AH$3=$AC251,AH$3=$AE251),"",IF(AH$3=$AD251,$F251&amp;"R",AH250))))</f>
        <v>wR</v>
      </c>
      <c r="AI251" s="11" t="str">
        <f aca="false">IF($P251=0,AI250,IF(AI$3=$E251,IF($AA251=1,$F251&amp;$AB251,$G251),IF(OR(AI$3=$D251,AI$3=$AC251,AI$3=$AE251),"",IF(AI$3=$AD251,$F251&amp;"R",AI250))))</f>
        <v>wN</v>
      </c>
      <c r="AJ251" s="11" t="str">
        <f aca="false">IF($P251=0,AJ250,IF(AJ$3=$E251,IF($AA251=1,$F251&amp;$AB251,$G251),IF(OR(AJ$3=$D251,AJ$3=$AC251,AJ$3=$AE251),"",IF(AJ$3=$AD251,$F251&amp;"R",AJ250))))</f>
        <v>wB</v>
      </c>
      <c r="AK251" s="11" t="str">
        <f aca="false">IF($P251=0,AK250,IF(AK$3=$E251,IF($AA251=1,$F251&amp;$AB251,$G251),IF(OR(AK$3=$D251,AK$3=$AC251,AK$3=$AE251),"",IF(AK$3=$AD251,$F251&amp;"R",AK250))))</f>
        <v>wQ</v>
      </c>
      <c r="AL251" s="11" t="str">
        <f aca="false">IF($P251=0,AL250,IF(AL$3=$E251,IF($AA251=1,$F251&amp;$AB251,$G251),IF(OR(AL$3=$D251,AL$3=$AC251,AL$3=$AE251),"",IF(AL$3=$AD251,$F251&amp;"R",AL250))))</f>
        <v>wK</v>
      </c>
      <c r="AM251" s="11" t="str">
        <f aca="false">IF($P251=0,AM250,IF(AM$3=$E251,IF($AA251=1,$F251&amp;$AB251,$G251),IF(OR(AM$3=$D251,AM$3=$AC251,AM$3=$AE251),"",IF(AM$3=$AD251,$F251&amp;"R",AM250))))</f>
        <v>wB</v>
      </c>
      <c r="AN251" s="11" t="str">
        <f aca="false">IF($P251=0,AN250,IF(AN$3=$E251,IF($AA251=1,$F251&amp;$AB251,$G251),IF(OR(AN$3=$D251,AN$3=$AC251,AN$3=$AE251),"",IF(AN$3=$AD251,$F251&amp;"R",AN250))))</f>
        <v>wN</v>
      </c>
      <c r="AO251" s="11" t="str">
        <f aca="false">IF($P251=0,AO250,IF(AO$3=$E251,IF($AA251=1,$F251&amp;$AB251,$G251),IF(OR(AO$3=$D251,AO$3=$AC251,AO$3=$AE251),"",IF(AO$3=$AD251,$F251&amp;"R",AO250))))</f>
        <v>wR</v>
      </c>
      <c r="AP251" s="11" t="str">
        <f aca="false">IF($P251=0,AP250,IF(AP$3=$E251,IF($AA251=1,$F251&amp;$AB251,$G251),IF(OR(AP$3=$D251,AP$3=$AC251,AP$3=$AE251),"",IF(AP$3=$AD251,$F251&amp;"R",AP250))))</f>
        <v>wP</v>
      </c>
      <c r="AQ251" s="11" t="str">
        <f aca="false">IF($P251=0,AQ250,IF(AQ$3=$E251,IF($AA251=1,$F251&amp;$AB251,$G251),IF(OR(AQ$3=$D251,AQ$3=$AC251,AQ$3=$AE251),"",IF(AQ$3=$AD251,$F251&amp;"R",AQ250))))</f>
        <v>wP</v>
      </c>
      <c r="AR251" s="11" t="str">
        <f aca="false">IF($P251=0,AR250,IF(AR$3=$E251,IF($AA251=1,$F251&amp;$AB251,$G251),IF(OR(AR$3=$D251,AR$3=$AC251,AR$3=$AE251),"",IF(AR$3=$AD251,$F251&amp;"R",AR250))))</f>
        <v>wP</v>
      </c>
      <c r="AS251" s="11" t="str">
        <f aca="false">IF($P251=0,AS250,IF(AS$3=$E251,IF($AA251=1,$F251&amp;$AB251,$G251),IF(OR(AS$3=$D251,AS$3=$AC251,AS$3=$AE251),"",IF(AS$3=$AD251,$F251&amp;"R",AS250))))</f>
        <v>wP</v>
      </c>
      <c r="AT251" s="11" t="str">
        <f aca="false">IF($P251=0,AT250,IF(AT$3=$E251,IF($AA251=1,$F251&amp;$AB251,$G251),IF(OR(AT$3=$D251,AT$3=$AC251,AT$3=$AE251),"",IF(AT$3=$AD251,$F251&amp;"R",AT250))))</f>
        <v>wP</v>
      </c>
      <c r="AU251" s="11" t="str">
        <f aca="false">IF($P251=0,AU250,IF(AU$3=$E251,IF($AA251=1,$F251&amp;$AB251,$G251),IF(OR(AU$3=$D251,AU$3=$AC251,AU$3=$AE251),"",IF(AU$3=$AD251,$F251&amp;"R",AU250))))</f>
        <v>wP</v>
      </c>
      <c r="AV251" s="11" t="str">
        <f aca="false">IF($P251=0,AV250,IF(AV$3=$E251,IF($AA251=1,$F251&amp;$AB251,$G251),IF(OR(AV$3=$D251,AV$3=$AC251,AV$3=$AE251),"",IF(AV$3=$AD251,$F251&amp;"R",AV250))))</f>
        <v>wP</v>
      </c>
      <c r="AW251" s="11" t="str">
        <f aca="false">IF($P251=0,AW250,IF(AW$3=$E251,IF($AA251=1,$F251&amp;$AB251,$G251),IF(OR(AW$3=$D251,AW$3=$AC251,AW$3=$AE251),"",IF(AW$3=$AD251,$F251&amp;"R",AW250))))</f>
        <v>wP</v>
      </c>
      <c r="AX251" s="11" t="str">
        <f aca="false">IF($P251=0,AX250,IF(AX$3=$E251,IF($AA251=1,$F251&amp;$AB251,$G251),IF(OR(AX$3=$D251,AX$3=$AC251,AX$3=$AE251),"",IF(AX$3=$AD251,$F251&amp;"R",AX250))))</f>
        <v/>
      </c>
      <c r="AY251" s="11" t="str">
        <f aca="false">IF($P251=0,AY250,IF(AY$3=$E251,IF($AA251=1,$F251&amp;$AB251,$G251),IF(OR(AY$3=$D251,AY$3=$AC251,AY$3=$AE251),"",IF(AY$3=$AD251,$F251&amp;"R",AY250))))</f>
        <v/>
      </c>
      <c r="AZ251" s="11" t="str">
        <f aca="false">IF($P251=0,AZ250,IF(AZ$3=$E251,IF($AA251=1,$F251&amp;$AB251,$G251),IF(OR(AZ$3=$D251,AZ$3=$AC251,AZ$3=$AE251),"",IF(AZ$3=$AD251,$F251&amp;"R",AZ250))))</f>
        <v/>
      </c>
      <c r="BA251" s="11" t="str">
        <f aca="false">IF($P251=0,BA250,IF(BA$3=$E251,IF($AA251=1,$F251&amp;$AB251,$G251),IF(OR(BA$3=$D251,BA$3=$AC251,BA$3=$AE251),"",IF(BA$3=$AD251,$F251&amp;"R",BA250))))</f>
        <v/>
      </c>
      <c r="BB251" s="11" t="str">
        <f aca="false">IF($P251=0,BB250,IF(BB$3=$E251,IF($AA251=1,$F251&amp;$AB251,$G251),IF(OR(BB$3=$D251,BB$3=$AC251,BB$3=$AE251),"",IF(BB$3=$AD251,$F251&amp;"R",BB250))))</f>
        <v/>
      </c>
      <c r="BC251" s="11" t="str">
        <f aca="false">IF($P251=0,BC250,IF(BC$3=$E251,IF($AA251=1,$F251&amp;$AB251,$G251),IF(OR(BC$3=$D251,BC$3=$AC251,BC$3=$AE251),"",IF(BC$3=$AD251,$F251&amp;"R",BC250))))</f>
        <v/>
      </c>
      <c r="BD251" s="11" t="str">
        <f aca="false">IF($P251=0,BD250,IF(BD$3=$E251,IF($AA251=1,$F251&amp;$AB251,$G251),IF(OR(BD$3=$D251,BD$3=$AC251,BD$3=$AE251),"",IF(BD$3=$AD251,$F251&amp;"R",BD250))))</f>
        <v/>
      </c>
      <c r="BE251" s="11" t="str">
        <f aca="false">IF($P251=0,BE250,IF(BE$3=$E251,IF($AA251=1,$F251&amp;$AB251,$G251),IF(OR(BE$3=$D251,BE$3=$AC251,BE$3=$AE251),"",IF(BE$3=$AD251,$F251&amp;"R",BE250))))</f>
        <v/>
      </c>
      <c r="BF251" s="11" t="str">
        <f aca="false">IF($P251=0,BF250,IF(BF$3=$E251,IF($AA251=1,$F251&amp;$AB251,$G251),IF(OR(BF$3=$D251,BF$3=$AC251,BF$3=$AE251),"",IF(BF$3=$AD251,$F251&amp;"R",BF250))))</f>
        <v/>
      </c>
      <c r="BG251" s="11" t="str">
        <f aca="false">IF($P251=0,BG250,IF(BG$3=$E251,IF($AA251=1,$F251&amp;$AB251,$G251),IF(OR(BG$3=$D251,BG$3=$AC251,BG$3=$AE251),"",IF(BG$3=$AD251,$F251&amp;"R",BG250))))</f>
        <v/>
      </c>
      <c r="BH251" s="11" t="str">
        <f aca="false">IF($P251=0,BH250,IF(BH$3=$E251,IF($AA251=1,$F251&amp;$AB251,$G251),IF(OR(BH$3=$D251,BH$3=$AC251,BH$3=$AE251),"",IF(BH$3=$AD251,$F251&amp;"R",BH250))))</f>
        <v/>
      </c>
      <c r="BI251" s="11" t="str">
        <f aca="false">IF($P251=0,BI250,IF(BI$3=$E251,IF($AA251=1,$F251&amp;$AB251,$G251),IF(OR(BI$3=$D251,BI$3=$AC251,BI$3=$AE251),"",IF(BI$3=$AD251,$F251&amp;"R",BI250))))</f>
        <v/>
      </c>
      <c r="BJ251" s="11" t="str">
        <f aca="false">IF($P251=0,BJ250,IF(BJ$3=$E251,IF($AA251=1,$F251&amp;$AB251,$G251),IF(OR(BJ$3=$D251,BJ$3=$AC251,BJ$3=$AE251),"",IF(BJ$3=$AD251,$F251&amp;"R",BJ250))))</f>
        <v/>
      </c>
      <c r="BK251" s="11" t="str">
        <f aca="false">IF($P251=0,BK250,IF(BK$3=$E251,IF($AA251=1,$F251&amp;$AB251,$G251),IF(OR(BK$3=$D251,BK$3=$AC251,BK$3=$AE251),"",IF(BK$3=$AD251,$F251&amp;"R",BK250))))</f>
        <v/>
      </c>
      <c r="BL251" s="11" t="str">
        <f aca="false">IF($P251=0,BL250,IF(BL$3=$E251,IF($AA251=1,$F251&amp;$AB251,$G251),IF(OR(BL$3=$D251,BL$3=$AC251,BL$3=$AE251),"",IF(BL$3=$AD251,$F251&amp;"R",BL250))))</f>
        <v/>
      </c>
      <c r="BM251" s="11" t="str">
        <f aca="false">IF($P251=0,BM250,IF(BM$3=$E251,IF($AA251=1,$F251&amp;$AB251,$G251),IF(OR(BM$3=$D251,BM$3=$AC251,BM$3=$AE251),"",IF(BM$3=$AD251,$F251&amp;"R",BM250))))</f>
        <v/>
      </c>
      <c r="BN251" s="11" t="str">
        <f aca="false">IF($P251=0,BN250,IF(BN$3=$E251,IF($AA251=1,$F251&amp;$AB251,$G251),IF(OR(BN$3=$D251,BN$3=$AC251,BN$3=$AE251),"",IF(BN$3=$AD251,$F251&amp;"R",BN250))))</f>
        <v/>
      </c>
      <c r="BO251" s="11" t="str">
        <f aca="false">IF($P251=0,BO250,IF(BO$3=$E251,IF($AA251=1,$F251&amp;$AB251,$G251),IF(OR(BO$3=$D251,BO$3=$AC251,BO$3=$AE251),"",IF(BO$3=$AD251,$F251&amp;"R",BO250))))</f>
        <v/>
      </c>
      <c r="BP251" s="11" t="str">
        <f aca="false">IF($P251=0,BP250,IF(BP$3=$E251,IF($AA251=1,$F251&amp;$AB251,$G251),IF(OR(BP$3=$D251,BP$3=$AC251,BP$3=$AE251),"",IF(BP$3=$AD251,$F251&amp;"R",BP250))))</f>
        <v/>
      </c>
      <c r="BQ251" s="11" t="str">
        <f aca="false">IF($P251=0,BQ250,IF(BQ$3=$E251,IF($AA251=1,$F251&amp;$AB251,$G251),IF(OR(BQ$3=$D251,BQ$3=$AC251,BQ$3=$AE251),"",IF(BQ$3=$AD251,$F251&amp;"R",BQ250))))</f>
        <v/>
      </c>
      <c r="BR251" s="11" t="str">
        <f aca="false">IF($P251=0,BR250,IF(BR$3=$E251,IF($AA251=1,$F251&amp;$AB251,$G251),IF(OR(BR$3=$D251,BR$3=$AC251,BR$3=$AE251),"",IF(BR$3=$AD251,$F251&amp;"R",BR250))))</f>
        <v/>
      </c>
      <c r="BS251" s="11" t="str">
        <f aca="false">IF($P251=0,BS250,IF(BS$3=$E251,IF($AA251=1,$F251&amp;$AB251,$G251),IF(OR(BS$3=$D251,BS$3=$AC251,BS$3=$AE251),"",IF(BS$3=$AD251,$F251&amp;"R",BS250))))</f>
        <v/>
      </c>
      <c r="BT251" s="11" t="str">
        <f aca="false">IF($P251=0,BT250,IF(BT$3=$E251,IF($AA251=1,$F251&amp;$AB251,$G251),IF(OR(BT$3=$D251,BT$3=$AC251,BT$3=$AE251),"",IF(BT$3=$AD251,$F251&amp;"R",BT250))))</f>
        <v/>
      </c>
      <c r="BU251" s="11" t="str">
        <f aca="false">IF($P251=0,BU250,IF(BU$3=$E251,IF($AA251=1,$F251&amp;$AB251,$G251),IF(OR(BU$3=$D251,BU$3=$AC251,BU$3=$AE251),"",IF(BU$3=$AD251,$F251&amp;"R",BU250))))</f>
        <v/>
      </c>
      <c r="BV251" s="11" t="str">
        <f aca="false">IF($P251=0,BV250,IF(BV$3=$E251,IF($AA251=1,$F251&amp;$AB251,$G251),IF(OR(BV$3=$D251,BV$3=$AC251,BV$3=$AE251),"",IF(BV$3=$AD251,$F251&amp;"R",BV250))))</f>
        <v/>
      </c>
      <c r="BW251" s="11" t="str">
        <f aca="false">IF($P251=0,BW250,IF(BW$3=$E251,IF($AA251=1,$F251&amp;$AB251,$G251),IF(OR(BW$3=$D251,BW$3=$AC251,BW$3=$AE251),"",IF(BW$3=$AD251,$F251&amp;"R",BW250))))</f>
        <v/>
      </c>
      <c r="BX251" s="11" t="str">
        <f aca="false">IF($P251=0,BX250,IF(BX$3=$E251,IF($AA251=1,$F251&amp;$AB251,$G251),IF(OR(BX$3=$D251,BX$3=$AC251,BX$3=$AE251),"",IF(BX$3=$AD251,$F251&amp;"R",BX250))))</f>
        <v/>
      </c>
      <c r="BY251" s="11" t="str">
        <f aca="false">IF($P251=0,BY250,IF(BY$3=$E251,IF($AA251=1,$F251&amp;$AB251,$G251),IF(OR(BY$3=$D251,BY$3=$AC251,BY$3=$AE251),"",IF(BY$3=$AD251,$F251&amp;"R",BY250))))</f>
        <v/>
      </c>
      <c r="BZ251" s="11" t="str">
        <f aca="false">IF($P251=0,BZ250,IF(BZ$3=$E251,IF($AA251=1,$F251&amp;$AB251,$G251),IF(OR(BZ$3=$D251,BZ$3=$AC251,BZ$3=$AE251),"",IF(BZ$3=$AD251,$F251&amp;"R",BZ250))))</f>
        <v/>
      </c>
      <c r="CA251" s="11" t="str">
        <f aca="false">IF($P251=0,CA250,IF(CA$3=$E251,IF($AA251=1,$F251&amp;$AB251,$G251),IF(OR(CA$3=$D251,CA$3=$AC251,CA$3=$AE251),"",IF(CA$3=$AD251,$F251&amp;"R",CA250))))</f>
        <v/>
      </c>
      <c r="CB251" s="11" t="str">
        <f aca="false">IF($P251=0,CB250,IF(CB$3=$E251,IF($AA251=1,$F251&amp;$AB251,$G251),IF(OR(CB$3=$D251,CB$3=$AC251,CB$3=$AE251),"",IF(CB$3=$AD251,$F251&amp;"R",CB250))))</f>
        <v/>
      </c>
      <c r="CC251" s="11" t="str">
        <f aca="false">IF($P251=0,CC250,IF(CC$3=$E251,IF($AA251=1,$F251&amp;$AB251,$G251),IF(OR(CC$3=$D251,CC$3=$AC251,CC$3=$AE251),"",IF(CC$3=$AD251,$F251&amp;"R",CC250))))</f>
        <v/>
      </c>
      <c r="CD251" s="11" t="str">
        <f aca="false">IF($P251=0,CD250,IF(CD$3=$E251,IF($AA251=1,$F251&amp;$AB251,$G251),IF(OR(CD$3=$D251,CD$3=$AC251,CD$3=$AE251),"",IF(CD$3=$AD251,$F251&amp;"R",CD250))))</f>
        <v>bP</v>
      </c>
      <c r="CE251" s="11" t="str">
        <f aca="false">IF($P251=0,CE250,IF(CE$3=$E251,IF($AA251=1,$F251&amp;$AB251,$G251),IF(OR(CE$3=$D251,CE$3=$AC251,CE$3=$AE251),"",IF(CE$3=$AD251,$F251&amp;"R",CE250))))</f>
        <v>bP</v>
      </c>
      <c r="CF251" s="11" t="str">
        <f aca="false">IF($P251=0,CF250,IF(CF$3=$E251,IF($AA251=1,$F251&amp;$AB251,$G251),IF(OR(CF$3=$D251,CF$3=$AC251,CF$3=$AE251),"",IF(CF$3=$AD251,$F251&amp;"R",CF250))))</f>
        <v>bP</v>
      </c>
      <c r="CG251" s="11" t="str">
        <f aca="false">IF($P251=0,CG250,IF(CG$3=$E251,IF($AA251=1,$F251&amp;$AB251,$G251),IF(OR(CG$3=$D251,CG$3=$AC251,CG$3=$AE251),"",IF(CG$3=$AD251,$F251&amp;"R",CG250))))</f>
        <v>bP</v>
      </c>
      <c r="CH251" s="11" t="str">
        <f aca="false">IF($P251=0,CH250,IF(CH$3=$E251,IF($AA251=1,$F251&amp;$AB251,$G251),IF(OR(CH$3=$D251,CH$3=$AC251,CH$3=$AE251),"",IF(CH$3=$AD251,$F251&amp;"R",CH250))))</f>
        <v>bP</v>
      </c>
      <c r="CI251" s="11" t="str">
        <f aca="false">IF($P251=0,CI250,IF(CI$3=$E251,IF($AA251=1,$F251&amp;$AB251,$G251),IF(OR(CI$3=$D251,CI$3=$AC251,CI$3=$AE251),"",IF(CI$3=$AD251,$F251&amp;"R",CI250))))</f>
        <v>bP</v>
      </c>
      <c r="CJ251" s="11" t="str">
        <f aca="false">IF($P251=0,CJ250,IF(CJ$3=$E251,IF($AA251=1,$F251&amp;$AB251,$G251),IF(OR(CJ$3=$D251,CJ$3=$AC251,CJ$3=$AE251),"",IF(CJ$3=$AD251,$F251&amp;"R",CJ250))))</f>
        <v>bP</v>
      </c>
      <c r="CK251" s="11" t="str">
        <f aca="false">IF($P251=0,CK250,IF(CK$3=$E251,IF($AA251=1,$F251&amp;$AB251,$G251),IF(OR(CK$3=$D251,CK$3=$AC251,CK$3=$AE251),"",IF(CK$3=$AD251,$F251&amp;"R",CK250))))</f>
        <v>bP</v>
      </c>
      <c r="CL251" s="11" t="str">
        <f aca="false">IF($P251=0,CL250,IF(CL$3=$E251,IF($AA251=1,$F251&amp;$AB251,$G251),IF(OR(CL$3=$D251,CL$3=$AC251,CL$3=$AE251),"",IF(CL$3=$AD251,$F251&amp;"R",CL250))))</f>
        <v>bR</v>
      </c>
      <c r="CM251" s="11" t="str">
        <f aca="false">IF($P251=0,CM250,IF(CM$3=$E251,IF($AA251=1,$F251&amp;$AB251,$G251),IF(OR(CM$3=$D251,CM$3=$AC251,CM$3=$AE251),"",IF(CM$3=$AD251,$F251&amp;"R",CM250))))</f>
        <v>bN</v>
      </c>
      <c r="CN251" s="11" t="str">
        <f aca="false">IF($P251=0,CN250,IF(CN$3=$E251,IF($AA251=1,$F251&amp;$AB251,$G251),IF(OR(CN$3=$D251,CN$3=$AC251,CN$3=$AE251),"",IF(CN$3=$AD251,$F251&amp;"R",CN250))))</f>
        <v>bB</v>
      </c>
      <c r="CO251" s="11" t="str">
        <f aca="false">IF($P251=0,CO250,IF(CO$3=$E251,IF($AA251=1,$F251&amp;$AB251,$G251),IF(OR(CO$3=$D251,CO$3=$AC251,CO$3=$AE251),"",IF(CO$3=$AD251,$F251&amp;"R",CO250))))</f>
        <v>bQ</v>
      </c>
      <c r="CP251" s="11" t="str">
        <f aca="false">IF($P251=0,CP250,IF(CP$3=$E251,IF($AA251=1,$F251&amp;$AB251,$G251),IF(OR(CP$3=$D251,CP$3=$AC251,CP$3=$AE251),"",IF(CP$3=$AD251,$F251&amp;"R",CP250))))</f>
        <v>bK</v>
      </c>
      <c r="CQ251" s="11" t="str">
        <f aca="false">IF($P251=0,CQ250,IF(CQ$3=$E251,IF($AA251=1,$F251&amp;$AB251,$G251),IF(OR(CQ$3=$D251,CQ$3=$AC251,CQ$3=$AE251),"",IF(CQ$3=$AD251,$F251&amp;"R",CQ250))))</f>
        <v>bB</v>
      </c>
      <c r="CR251" s="11" t="str">
        <f aca="false">IF($P251=0,CR250,IF(CR$3=$E251,IF($AA251=1,$F251&amp;$AB251,$G251),IF(OR(CR$3=$D251,CR$3=$AC251,CR$3=$AE251),"",IF(CR$3=$AD251,$F251&amp;"R",CR250))))</f>
        <v>bN</v>
      </c>
      <c r="CS251" s="11" t="str">
        <f aca="false">IF($P251=0,CS250,IF(CS$3=$E251,IF($AA251=1,$F251&amp;$AB251,$G251),IF(OR(CS$3=$D251,CS$3=$AC251,CS$3=$AE251),"",IF(CS$3=$AD251,$F251&amp;"R",CS250))))</f>
        <v>bR</v>
      </c>
      <c r="CT251" s="11"/>
      <c r="CU251" s="11"/>
      <c r="CV251" s="11"/>
    </row>
    <row r="252" customFormat="false" ht="15" hidden="false" customHeight="false" outlineLevel="0" collapsed="false">
      <c r="A252" s="11" t="n">
        <v>247</v>
      </c>
      <c r="B252" s="11" t="str">
        <f aca="false">IF(Chess!$L$256="","",Chess!$L$256&amp;"")</f>
        <v/>
      </c>
      <c r="C252" s="11" t="str">
        <f aca="false">LOWER(SUBSTITUTE(SUBSTITUTE(SUBSTITUTE(SUBSTITUTE(TRIM($B252),"-",""),"=","")," ",""),"x",""))</f>
        <v/>
      </c>
      <c r="D252" s="11" t="n">
        <f aca="false">IF(LEN($C252)&lt;4,0,IFERROR(IF(AND(CODE(MID($C252,1,1))&gt;=97,CODE(MID($C252,1,1))&lt;=104,VALUE(MID($C252,2,1))&gt;=1,VALUE(MID($C252,2,1))&lt;=8),(VALUE(MID($C252,2,1))-1)*8+CODE(MID($C252,1,1))-96,0),0))</f>
        <v>0</v>
      </c>
      <c r="E252" s="11" t="n">
        <f aca="false">IF(LEN($C252)&lt;4,0,IFERROR(IF(AND(CODE(MID($C252,3,1))&gt;=97,CODE(MID($C252,3,1))&lt;=104,VALUE(MID($C252,4,1))&gt;=1,VALUE(MID($C252,4,1))&lt;=8),(VALUE(MID($C252,4,1))-1)*8+CODE(MID($C252,3,1))-96,0),0))</f>
        <v>0</v>
      </c>
      <c r="F252" s="11" t="str">
        <f aca="false">IF(MOD(SUM($P$5:$P251),2)=0,"w","b")</f>
        <v>w</v>
      </c>
      <c r="G252" s="11" t="str">
        <f aca="false">IF($D252=0,"",INDEX($AH251:$CS251,1,$D252)&amp;"")</f>
        <v/>
      </c>
      <c r="H252" s="11" t="str">
        <f aca="false">IF($E252=0,"",INDEX($AH251:$CS251,1,$E252)&amp;"")</f>
        <v/>
      </c>
      <c r="I252" s="11" t="n">
        <f aca="false">IF(OR($D252=0,$E252=0),0,MOD($E252-1,8)-MOD($D252-1,8))</f>
        <v>0</v>
      </c>
      <c r="J252" s="11" t="n">
        <f aca="false">IF(OR($D252=0,$E252=0),0,INT(($E252-1)/8)-INT(($D252-1)/8))</f>
        <v>0</v>
      </c>
      <c r="K252" s="11" t="str">
        <f aca="false">IF($G252="","",RIGHT($G252,1))</f>
        <v/>
      </c>
      <c r="L252" s="11" t="n">
        <f aca="false">IF(OR($D252=0,$E252=0),0,SUMPRODUCT(($AH$3:$CS$3&gt;MIN($D252,$E252))*($AH$3:$CS$3&lt;MAX($D252,$E252))*(MOD($AH$3:$CS$3-MIN($D252,$E252),MAX(1,ABS(SIGN($J252)*8+SIGN($I252))))=0)*($AH251:$CS251&lt;&gt;"")))</f>
        <v>0</v>
      </c>
      <c r="M252" s="11" t="n">
        <f aca="false">IF($K252&lt;&gt;"K",0,IFERROR(--AND($J252=0,ABS($I252)=2,$D252=IF($F252="w",5,61),IF($F252="w",$S251,$V251)=0,IF($I252=2,AND(IF($F252="w",$U251,$X251)=0,INDEX($AH251:$CS251,1,$D252+1)&amp;""="",INDEX($AH251:$CS251,1,$D252+2)&amp;""=""),AND(IF($F252="w",$T251,$W251)=0,INDEX($AH251:$CS251,1,$D252-1)&amp;""="",INDEX($AH251:$CS251,1,$D252-2)&amp;""="",INDEX($AH251:$CS251,1,$D252-3)&amp;""=""))),0))</f>
        <v>0</v>
      </c>
      <c r="N252" s="11" t="n">
        <f aca="false">IF($K252&lt;&gt;"P",0,IFERROR(--OR(AND($I252=0,$J252=IF($F252="w",1,-1),$H252=""),AND($I252=0,$J252=2*IF($F252="w",1,-1),$H252="",INT(($D252-1)/8)=IF($F252="w",1,6),INDEX($AH251:$CS251,1,MAX(1,MIN(64,$D252+8*IF($F252="w",1,-1))))&amp;""=""),AND(ABS($I252)=1,$J252=IF($F252="w",1,-1),$H252&lt;&gt;""),AND(ABS($I252)=1,$J252=IF($F252="w",1,-1),$H252="",$R251&gt;0,$E252=$R251)),0))</f>
        <v>0</v>
      </c>
      <c r="O252" s="11" t="n">
        <f aca="false">IF(OR($D252=0,$E252=0,$G252=""),0,IF($K252="N",--OR(AND(ABS($I252)=1,ABS($J252)=2),AND(ABS($I252)=2,ABS($J252)=1)),IF($K252="B",--AND(ABS($I252)=ABS($J252),$I252&lt;&gt;0,$L252=0),IF($K252="R",--AND(OR($I252=0,$J252=0),OR($I252&lt;&gt;0,$J252&lt;&gt;0),$L252=0),IF($K252="Q",--AND(OR(AND(ABS($I252)=ABS($J252),$I252&lt;&gt;0),AND(OR($I252=0,$J252=0),OR($I252&lt;&gt;0,$J252&lt;&gt;0))),$L252=0),IF($K252="K",--OR(MAX(ABS($I252),ABS($J252))=1,$M252=1),$N252))))))</f>
        <v>0</v>
      </c>
      <c r="P252" s="11" t="n">
        <f aca="false">IF($Q252="OK",1,0)</f>
        <v>0</v>
      </c>
      <c r="Q252" s="11" t="str">
        <f aca="false">IF($B252="","",IF(OR(COUNTIF($AH251:$CS251,"wK")=0,COUNTIF($AH251:$CS251,"bK")=0),"Game is over",IF(OR($D252=0,$E252=0),"Use the format e2e4",IF($G252="","No piece on that square",IF(LEFT($G252,1)&lt;&gt;$F252,"Not your piece ("&amp;IF($F252="w","White","Black")&amp;" to move)",IF($D252=$E252,"Piece must move",IF(AND($H252&lt;&gt;"",LEFT($H252,1)=$F252),"Cannot capture your own piece",IF($O252=0,"Illegal move for that piece (or path blocked)","OK"))))))))</f>
        <v/>
      </c>
      <c r="R252" s="11" t="n">
        <f aca="false">IF($P252=1,IF(AND($K252="P",ABS($J252)=2),($D252+$E252)/2,0),$R251)</f>
        <v>0</v>
      </c>
      <c r="S252" s="12" t="b">
        <f aca="false">--OR($S251=1,AND($P252=1,OR($D252=5,$E252=5)))</f>
        <v>0</v>
      </c>
      <c r="T252" s="12" t="b">
        <f aca="false">--OR($T251=1,AND($P252=1,OR($D252=1,$E252=1)))</f>
        <v>0</v>
      </c>
      <c r="U252" s="12" t="b">
        <f aca="false">--OR($U251=1,AND($P252=1,OR($D252=8,$E252=8)))</f>
        <v>0</v>
      </c>
      <c r="V252" s="12" t="b">
        <f aca="false">--OR($V251=1,AND($P252=1,OR($D252=61,$E252=61)))</f>
        <v>0</v>
      </c>
      <c r="W252" s="12" t="b">
        <f aca="false">--OR($W251=1,AND($P252=1,OR($D252=57,$E252=57)))</f>
        <v>0</v>
      </c>
      <c r="X252" s="12" t="b">
        <f aca="false">--OR($X251=1,AND($P252=1,OR($D252=64,$E252=64)))</f>
        <v>0</v>
      </c>
      <c r="Y252" s="12" t="b">
        <f aca="false">--AND($P252=1,$K252="K",ABS($I252)=2)</f>
        <v>0</v>
      </c>
      <c r="Z252" s="12" t="b">
        <f aca="false">--AND($P252=1,$K252="P",ABS($I252)=1,$H252="")</f>
        <v>0</v>
      </c>
      <c r="AA252" s="12" t="b">
        <f aca="false">--AND($P252=1,$K252="P",INT(($E252-1)/8)=IF($F252="w",7,0))</f>
        <v>0</v>
      </c>
      <c r="AB252" s="11" t="str">
        <f aca="false">IF(LEN($C252)&gt;=5,IF(ISNUMBER(FIND(MID($C252,5,1),"qrbn")),UPPER(MID($C252,5,1)),"Q"),"Q")</f>
        <v>Q</v>
      </c>
      <c r="AC252" s="11" t="n">
        <f aca="false">IF($Y252=1,IF($I252=2,$D252+3,$D252-4),0)</f>
        <v>0</v>
      </c>
      <c r="AD252" s="11" t="n">
        <f aca="false">IF($Y252=1,IF($I252=2,$D252+1,$D252-1),0)</f>
        <v>0</v>
      </c>
      <c r="AE252" s="11" t="n">
        <f aca="false">IF($Z252=1,$E252-8*IF($F252="w",1,-1),0)</f>
        <v>0</v>
      </c>
      <c r="AF252" s="11" t="str">
        <f aca="false">IF($B252="","",IF($P252=1,LOWER(INDEX($CV$2:$CV$13,MATCH($G252,$CU$2:$CU$13,0)))&amp;" "&amp;MID("abcdefgh",MOD($D252-1,8)+1,1)&amp;(INT(($D252-1)/8)+1)&amp;"→"&amp;MID("abcdefgh",MOD($E252-1,8)+1,1)&amp;(INT(($E252-1)/8)+1)&amp;IF(OR($H252&lt;&gt;"",$Z252=1)," ×","")&amp;IF($Y252=1," castles","")&amp;IF($Z252=1," e.p.","")&amp;IF($AA252=1," =" &amp;LOWER(INDEX($CV$2:$CV$13,MATCH($F252&amp;$AB252,$CU$2:$CU$13,0))),""),"X "&amp;$Q252))</f>
        <v/>
      </c>
      <c r="AG252" s="11"/>
      <c r="AH252" s="11" t="str">
        <f aca="false">IF($P252=0,AH251,IF(AH$3=$E252,IF($AA252=1,$F252&amp;$AB252,$G252),IF(OR(AH$3=$D252,AH$3=$AC252,AH$3=$AE252),"",IF(AH$3=$AD252,$F252&amp;"R",AH251))))</f>
        <v>wR</v>
      </c>
      <c r="AI252" s="11" t="str">
        <f aca="false">IF($P252=0,AI251,IF(AI$3=$E252,IF($AA252=1,$F252&amp;$AB252,$G252),IF(OR(AI$3=$D252,AI$3=$AC252,AI$3=$AE252),"",IF(AI$3=$AD252,$F252&amp;"R",AI251))))</f>
        <v>wN</v>
      </c>
      <c r="AJ252" s="11" t="str">
        <f aca="false">IF($P252=0,AJ251,IF(AJ$3=$E252,IF($AA252=1,$F252&amp;$AB252,$G252),IF(OR(AJ$3=$D252,AJ$3=$AC252,AJ$3=$AE252),"",IF(AJ$3=$AD252,$F252&amp;"R",AJ251))))</f>
        <v>wB</v>
      </c>
      <c r="AK252" s="11" t="str">
        <f aca="false">IF($P252=0,AK251,IF(AK$3=$E252,IF($AA252=1,$F252&amp;$AB252,$G252),IF(OR(AK$3=$D252,AK$3=$AC252,AK$3=$AE252),"",IF(AK$3=$AD252,$F252&amp;"R",AK251))))</f>
        <v>wQ</v>
      </c>
      <c r="AL252" s="11" t="str">
        <f aca="false">IF($P252=0,AL251,IF(AL$3=$E252,IF($AA252=1,$F252&amp;$AB252,$G252),IF(OR(AL$3=$D252,AL$3=$AC252,AL$3=$AE252),"",IF(AL$3=$AD252,$F252&amp;"R",AL251))))</f>
        <v>wK</v>
      </c>
      <c r="AM252" s="11" t="str">
        <f aca="false">IF($P252=0,AM251,IF(AM$3=$E252,IF($AA252=1,$F252&amp;$AB252,$G252),IF(OR(AM$3=$D252,AM$3=$AC252,AM$3=$AE252),"",IF(AM$3=$AD252,$F252&amp;"R",AM251))))</f>
        <v>wB</v>
      </c>
      <c r="AN252" s="11" t="str">
        <f aca="false">IF($P252=0,AN251,IF(AN$3=$E252,IF($AA252=1,$F252&amp;$AB252,$G252),IF(OR(AN$3=$D252,AN$3=$AC252,AN$3=$AE252),"",IF(AN$3=$AD252,$F252&amp;"R",AN251))))</f>
        <v>wN</v>
      </c>
      <c r="AO252" s="11" t="str">
        <f aca="false">IF($P252=0,AO251,IF(AO$3=$E252,IF($AA252=1,$F252&amp;$AB252,$G252),IF(OR(AO$3=$D252,AO$3=$AC252,AO$3=$AE252),"",IF(AO$3=$AD252,$F252&amp;"R",AO251))))</f>
        <v>wR</v>
      </c>
      <c r="AP252" s="11" t="str">
        <f aca="false">IF($P252=0,AP251,IF(AP$3=$E252,IF($AA252=1,$F252&amp;$AB252,$G252),IF(OR(AP$3=$D252,AP$3=$AC252,AP$3=$AE252),"",IF(AP$3=$AD252,$F252&amp;"R",AP251))))</f>
        <v>wP</v>
      </c>
      <c r="AQ252" s="11" t="str">
        <f aca="false">IF($P252=0,AQ251,IF(AQ$3=$E252,IF($AA252=1,$F252&amp;$AB252,$G252),IF(OR(AQ$3=$D252,AQ$3=$AC252,AQ$3=$AE252),"",IF(AQ$3=$AD252,$F252&amp;"R",AQ251))))</f>
        <v>wP</v>
      </c>
      <c r="AR252" s="11" t="str">
        <f aca="false">IF($P252=0,AR251,IF(AR$3=$E252,IF($AA252=1,$F252&amp;$AB252,$G252),IF(OR(AR$3=$D252,AR$3=$AC252,AR$3=$AE252),"",IF(AR$3=$AD252,$F252&amp;"R",AR251))))</f>
        <v>wP</v>
      </c>
      <c r="AS252" s="11" t="str">
        <f aca="false">IF($P252=0,AS251,IF(AS$3=$E252,IF($AA252=1,$F252&amp;$AB252,$G252),IF(OR(AS$3=$D252,AS$3=$AC252,AS$3=$AE252),"",IF(AS$3=$AD252,$F252&amp;"R",AS251))))</f>
        <v>wP</v>
      </c>
      <c r="AT252" s="11" t="str">
        <f aca="false">IF($P252=0,AT251,IF(AT$3=$E252,IF($AA252=1,$F252&amp;$AB252,$G252),IF(OR(AT$3=$D252,AT$3=$AC252,AT$3=$AE252),"",IF(AT$3=$AD252,$F252&amp;"R",AT251))))</f>
        <v>wP</v>
      </c>
      <c r="AU252" s="11" t="str">
        <f aca="false">IF($P252=0,AU251,IF(AU$3=$E252,IF($AA252=1,$F252&amp;$AB252,$G252),IF(OR(AU$3=$D252,AU$3=$AC252,AU$3=$AE252),"",IF(AU$3=$AD252,$F252&amp;"R",AU251))))</f>
        <v>wP</v>
      </c>
      <c r="AV252" s="11" t="str">
        <f aca="false">IF($P252=0,AV251,IF(AV$3=$E252,IF($AA252=1,$F252&amp;$AB252,$G252),IF(OR(AV$3=$D252,AV$3=$AC252,AV$3=$AE252),"",IF(AV$3=$AD252,$F252&amp;"R",AV251))))</f>
        <v>wP</v>
      </c>
      <c r="AW252" s="11" t="str">
        <f aca="false">IF($P252=0,AW251,IF(AW$3=$E252,IF($AA252=1,$F252&amp;$AB252,$G252),IF(OR(AW$3=$D252,AW$3=$AC252,AW$3=$AE252),"",IF(AW$3=$AD252,$F252&amp;"R",AW251))))</f>
        <v>wP</v>
      </c>
      <c r="AX252" s="11" t="str">
        <f aca="false">IF($P252=0,AX251,IF(AX$3=$E252,IF($AA252=1,$F252&amp;$AB252,$G252),IF(OR(AX$3=$D252,AX$3=$AC252,AX$3=$AE252),"",IF(AX$3=$AD252,$F252&amp;"R",AX251))))</f>
        <v/>
      </c>
      <c r="AY252" s="11" t="str">
        <f aca="false">IF($P252=0,AY251,IF(AY$3=$E252,IF($AA252=1,$F252&amp;$AB252,$G252),IF(OR(AY$3=$D252,AY$3=$AC252,AY$3=$AE252),"",IF(AY$3=$AD252,$F252&amp;"R",AY251))))</f>
        <v/>
      </c>
      <c r="AZ252" s="11" t="str">
        <f aca="false">IF($P252=0,AZ251,IF(AZ$3=$E252,IF($AA252=1,$F252&amp;$AB252,$G252),IF(OR(AZ$3=$D252,AZ$3=$AC252,AZ$3=$AE252),"",IF(AZ$3=$AD252,$F252&amp;"R",AZ251))))</f>
        <v/>
      </c>
      <c r="BA252" s="11" t="str">
        <f aca="false">IF($P252=0,BA251,IF(BA$3=$E252,IF($AA252=1,$F252&amp;$AB252,$G252),IF(OR(BA$3=$D252,BA$3=$AC252,BA$3=$AE252),"",IF(BA$3=$AD252,$F252&amp;"R",BA251))))</f>
        <v/>
      </c>
      <c r="BB252" s="11" t="str">
        <f aca="false">IF($P252=0,BB251,IF(BB$3=$E252,IF($AA252=1,$F252&amp;$AB252,$G252),IF(OR(BB$3=$D252,BB$3=$AC252,BB$3=$AE252),"",IF(BB$3=$AD252,$F252&amp;"R",BB251))))</f>
        <v/>
      </c>
      <c r="BC252" s="11" t="str">
        <f aca="false">IF($P252=0,BC251,IF(BC$3=$E252,IF($AA252=1,$F252&amp;$AB252,$G252),IF(OR(BC$3=$D252,BC$3=$AC252,BC$3=$AE252),"",IF(BC$3=$AD252,$F252&amp;"R",BC251))))</f>
        <v/>
      </c>
      <c r="BD252" s="11" t="str">
        <f aca="false">IF($P252=0,BD251,IF(BD$3=$E252,IF($AA252=1,$F252&amp;$AB252,$G252),IF(OR(BD$3=$D252,BD$3=$AC252,BD$3=$AE252),"",IF(BD$3=$AD252,$F252&amp;"R",BD251))))</f>
        <v/>
      </c>
      <c r="BE252" s="11" t="str">
        <f aca="false">IF($P252=0,BE251,IF(BE$3=$E252,IF($AA252=1,$F252&amp;$AB252,$G252),IF(OR(BE$3=$D252,BE$3=$AC252,BE$3=$AE252),"",IF(BE$3=$AD252,$F252&amp;"R",BE251))))</f>
        <v/>
      </c>
      <c r="BF252" s="11" t="str">
        <f aca="false">IF($P252=0,BF251,IF(BF$3=$E252,IF($AA252=1,$F252&amp;$AB252,$G252),IF(OR(BF$3=$D252,BF$3=$AC252,BF$3=$AE252),"",IF(BF$3=$AD252,$F252&amp;"R",BF251))))</f>
        <v/>
      </c>
      <c r="BG252" s="11" t="str">
        <f aca="false">IF($P252=0,BG251,IF(BG$3=$E252,IF($AA252=1,$F252&amp;$AB252,$G252),IF(OR(BG$3=$D252,BG$3=$AC252,BG$3=$AE252),"",IF(BG$3=$AD252,$F252&amp;"R",BG251))))</f>
        <v/>
      </c>
      <c r="BH252" s="11" t="str">
        <f aca="false">IF($P252=0,BH251,IF(BH$3=$E252,IF($AA252=1,$F252&amp;$AB252,$G252),IF(OR(BH$3=$D252,BH$3=$AC252,BH$3=$AE252),"",IF(BH$3=$AD252,$F252&amp;"R",BH251))))</f>
        <v/>
      </c>
      <c r="BI252" s="11" t="str">
        <f aca="false">IF($P252=0,BI251,IF(BI$3=$E252,IF($AA252=1,$F252&amp;$AB252,$G252),IF(OR(BI$3=$D252,BI$3=$AC252,BI$3=$AE252),"",IF(BI$3=$AD252,$F252&amp;"R",BI251))))</f>
        <v/>
      </c>
      <c r="BJ252" s="11" t="str">
        <f aca="false">IF($P252=0,BJ251,IF(BJ$3=$E252,IF($AA252=1,$F252&amp;$AB252,$G252),IF(OR(BJ$3=$D252,BJ$3=$AC252,BJ$3=$AE252),"",IF(BJ$3=$AD252,$F252&amp;"R",BJ251))))</f>
        <v/>
      </c>
      <c r="BK252" s="11" t="str">
        <f aca="false">IF($P252=0,BK251,IF(BK$3=$E252,IF($AA252=1,$F252&amp;$AB252,$G252),IF(OR(BK$3=$D252,BK$3=$AC252,BK$3=$AE252),"",IF(BK$3=$AD252,$F252&amp;"R",BK251))))</f>
        <v/>
      </c>
      <c r="BL252" s="11" t="str">
        <f aca="false">IF($P252=0,BL251,IF(BL$3=$E252,IF($AA252=1,$F252&amp;$AB252,$G252),IF(OR(BL$3=$D252,BL$3=$AC252,BL$3=$AE252),"",IF(BL$3=$AD252,$F252&amp;"R",BL251))))</f>
        <v/>
      </c>
      <c r="BM252" s="11" t="str">
        <f aca="false">IF($P252=0,BM251,IF(BM$3=$E252,IF($AA252=1,$F252&amp;$AB252,$G252),IF(OR(BM$3=$D252,BM$3=$AC252,BM$3=$AE252),"",IF(BM$3=$AD252,$F252&amp;"R",BM251))))</f>
        <v/>
      </c>
      <c r="BN252" s="11" t="str">
        <f aca="false">IF($P252=0,BN251,IF(BN$3=$E252,IF($AA252=1,$F252&amp;$AB252,$G252),IF(OR(BN$3=$D252,BN$3=$AC252,BN$3=$AE252),"",IF(BN$3=$AD252,$F252&amp;"R",BN251))))</f>
        <v/>
      </c>
      <c r="BO252" s="11" t="str">
        <f aca="false">IF($P252=0,BO251,IF(BO$3=$E252,IF($AA252=1,$F252&amp;$AB252,$G252),IF(OR(BO$3=$D252,BO$3=$AC252,BO$3=$AE252),"",IF(BO$3=$AD252,$F252&amp;"R",BO251))))</f>
        <v/>
      </c>
      <c r="BP252" s="11" t="str">
        <f aca="false">IF($P252=0,BP251,IF(BP$3=$E252,IF($AA252=1,$F252&amp;$AB252,$G252),IF(OR(BP$3=$D252,BP$3=$AC252,BP$3=$AE252),"",IF(BP$3=$AD252,$F252&amp;"R",BP251))))</f>
        <v/>
      </c>
      <c r="BQ252" s="11" t="str">
        <f aca="false">IF($P252=0,BQ251,IF(BQ$3=$E252,IF($AA252=1,$F252&amp;$AB252,$G252),IF(OR(BQ$3=$D252,BQ$3=$AC252,BQ$3=$AE252),"",IF(BQ$3=$AD252,$F252&amp;"R",BQ251))))</f>
        <v/>
      </c>
      <c r="BR252" s="11" t="str">
        <f aca="false">IF($P252=0,BR251,IF(BR$3=$E252,IF($AA252=1,$F252&amp;$AB252,$G252),IF(OR(BR$3=$D252,BR$3=$AC252,BR$3=$AE252),"",IF(BR$3=$AD252,$F252&amp;"R",BR251))))</f>
        <v/>
      </c>
      <c r="BS252" s="11" t="str">
        <f aca="false">IF($P252=0,BS251,IF(BS$3=$E252,IF($AA252=1,$F252&amp;$AB252,$G252),IF(OR(BS$3=$D252,BS$3=$AC252,BS$3=$AE252),"",IF(BS$3=$AD252,$F252&amp;"R",BS251))))</f>
        <v/>
      </c>
      <c r="BT252" s="11" t="str">
        <f aca="false">IF($P252=0,BT251,IF(BT$3=$E252,IF($AA252=1,$F252&amp;$AB252,$G252),IF(OR(BT$3=$D252,BT$3=$AC252,BT$3=$AE252),"",IF(BT$3=$AD252,$F252&amp;"R",BT251))))</f>
        <v/>
      </c>
      <c r="BU252" s="11" t="str">
        <f aca="false">IF($P252=0,BU251,IF(BU$3=$E252,IF($AA252=1,$F252&amp;$AB252,$G252),IF(OR(BU$3=$D252,BU$3=$AC252,BU$3=$AE252),"",IF(BU$3=$AD252,$F252&amp;"R",BU251))))</f>
        <v/>
      </c>
      <c r="BV252" s="11" t="str">
        <f aca="false">IF($P252=0,BV251,IF(BV$3=$E252,IF($AA252=1,$F252&amp;$AB252,$G252),IF(OR(BV$3=$D252,BV$3=$AC252,BV$3=$AE252),"",IF(BV$3=$AD252,$F252&amp;"R",BV251))))</f>
        <v/>
      </c>
      <c r="BW252" s="11" t="str">
        <f aca="false">IF($P252=0,BW251,IF(BW$3=$E252,IF($AA252=1,$F252&amp;$AB252,$G252),IF(OR(BW$3=$D252,BW$3=$AC252,BW$3=$AE252),"",IF(BW$3=$AD252,$F252&amp;"R",BW251))))</f>
        <v/>
      </c>
      <c r="BX252" s="11" t="str">
        <f aca="false">IF($P252=0,BX251,IF(BX$3=$E252,IF($AA252=1,$F252&amp;$AB252,$G252),IF(OR(BX$3=$D252,BX$3=$AC252,BX$3=$AE252),"",IF(BX$3=$AD252,$F252&amp;"R",BX251))))</f>
        <v/>
      </c>
      <c r="BY252" s="11" t="str">
        <f aca="false">IF($P252=0,BY251,IF(BY$3=$E252,IF($AA252=1,$F252&amp;$AB252,$G252),IF(OR(BY$3=$D252,BY$3=$AC252,BY$3=$AE252),"",IF(BY$3=$AD252,$F252&amp;"R",BY251))))</f>
        <v/>
      </c>
      <c r="BZ252" s="11" t="str">
        <f aca="false">IF($P252=0,BZ251,IF(BZ$3=$E252,IF($AA252=1,$F252&amp;$AB252,$G252),IF(OR(BZ$3=$D252,BZ$3=$AC252,BZ$3=$AE252),"",IF(BZ$3=$AD252,$F252&amp;"R",BZ251))))</f>
        <v/>
      </c>
      <c r="CA252" s="11" t="str">
        <f aca="false">IF($P252=0,CA251,IF(CA$3=$E252,IF($AA252=1,$F252&amp;$AB252,$G252),IF(OR(CA$3=$D252,CA$3=$AC252,CA$3=$AE252),"",IF(CA$3=$AD252,$F252&amp;"R",CA251))))</f>
        <v/>
      </c>
      <c r="CB252" s="11" t="str">
        <f aca="false">IF($P252=0,CB251,IF(CB$3=$E252,IF($AA252=1,$F252&amp;$AB252,$G252),IF(OR(CB$3=$D252,CB$3=$AC252,CB$3=$AE252),"",IF(CB$3=$AD252,$F252&amp;"R",CB251))))</f>
        <v/>
      </c>
      <c r="CC252" s="11" t="str">
        <f aca="false">IF($P252=0,CC251,IF(CC$3=$E252,IF($AA252=1,$F252&amp;$AB252,$G252),IF(OR(CC$3=$D252,CC$3=$AC252,CC$3=$AE252),"",IF(CC$3=$AD252,$F252&amp;"R",CC251))))</f>
        <v/>
      </c>
      <c r="CD252" s="11" t="str">
        <f aca="false">IF($P252=0,CD251,IF(CD$3=$E252,IF($AA252=1,$F252&amp;$AB252,$G252),IF(OR(CD$3=$D252,CD$3=$AC252,CD$3=$AE252),"",IF(CD$3=$AD252,$F252&amp;"R",CD251))))</f>
        <v>bP</v>
      </c>
      <c r="CE252" s="11" t="str">
        <f aca="false">IF($P252=0,CE251,IF(CE$3=$E252,IF($AA252=1,$F252&amp;$AB252,$G252),IF(OR(CE$3=$D252,CE$3=$AC252,CE$3=$AE252),"",IF(CE$3=$AD252,$F252&amp;"R",CE251))))</f>
        <v>bP</v>
      </c>
      <c r="CF252" s="11" t="str">
        <f aca="false">IF($P252=0,CF251,IF(CF$3=$E252,IF($AA252=1,$F252&amp;$AB252,$G252),IF(OR(CF$3=$D252,CF$3=$AC252,CF$3=$AE252),"",IF(CF$3=$AD252,$F252&amp;"R",CF251))))</f>
        <v>bP</v>
      </c>
      <c r="CG252" s="11" t="str">
        <f aca="false">IF($P252=0,CG251,IF(CG$3=$E252,IF($AA252=1,$F252&amp;$AB252,$G252),IF(OR(CG$3=$D252,CG$3=$AC252,CG$3=$AE252),"",IF(CG$3=$AD252,$F252&amp;"R",CG251))))</f>
        <v>bP</v>
      </c>
      <c r="CH252" s="11" t="str">
        <f aca="false">IF($P252=0,CH251,IF(CH$3=$E252,IF($AA252=1,$F252&amp;$AB252,$G252),IF(OR(CH$3=$D252,CH$3=$AC252,CH$3=$AE252),"",IF(CH$3=$AD252,$F252&amp;"R",CH251))))</f>
        <v>bP</v>
      </c>
      <c r="CI252" s="11" t="str">
        <f aca="false">IF($P252=0,CI251,IF(CI$3=$E252,IF($AA252=1,$F252&amp;$AB252,$G252),IF(OR(CI$3=$D252,CI$3=$AC252,CI$3=$AE252),"",IF(CI$3=$AD252,$F252&amp;"R",CI251))))</f>
        <v>bP</v>
      </c>
      <c r="CJ252" s="11" t="str">
        <f aca="false">IF($P252=0,CJ251,IF(CJ$3=$E252,IF($AA252=1,$F252&amp;$AB252,$G252),IF(OR(CJ$3=$D252,CJ$3=$AC252,CJ$3=$AE252),"",IF(CJ$3=$AD252,$F252&amp;"R",CJ251))))</f>
        <v>bP</v>
      </c>
      <c r="CK252" s="11" t="str">
        <f aca="false">IF($P252=0,CK251,IF(CK$3=$E252,IF($AA252=1,$F252&amp;$AB252,$G252),IF(OR(CK$3=$D252,CK$3=$AC252,CK$3=$AE252),"",IF(CK$3=$AD252,$F252&amp;"R",CK251))))</f>
        <v>bP</v>
      </c>
      <c r="CL252" s="11" t="str">
        <f aca="false">IF($P252=0,CL251,IF(CL$3=$E252,IF($AA252=1,$F252&amp;$AB252,$G252),IF(OR(CL$3=$D252,CL$3=$AC252,CL$3=$AE252),"",IF(CL$3=$AD252,$F252&amp;"R",CL251))))</f>
        <v>bR</v>
      </c>
      <c r="CM252" s="11" t="str">
        <f aca="false">IF($P252=0,CM251,IF(CM$3=$E252,IF($AA252=1,$F252&amp;$AB252,$G252),IF(OR(CM$3=$D252,CM$3=$AC252,CM$3=$AE252),"",IF(CM$3=$AD252,$F252&amp;"R",CM251))))</f>
        <v>bN</v>
      </c>
      <c r="CN252" s="11" t="str">
        <f aca="false">IF($P252=0,CN251,IF(CN$3=$E252,IF($AA252=1,$F252&amp;$AB252,$G252),IF(OR(CN$3=$D252,CN$3=$AC252,CN$3=$AE252),"",IF(CN$3=$AD252,$F252&amp;"R",CN251))))</f>
        <v>bB</v>
      </c>
      <c r="CO252" s="11" t="str">
        <f aca="false">IF($P252=0,CO251,IF(CO$3=$E252,IF($AA252=1,$F252&amp;$AB252,$G252),IF(OR(CO$3=$D252,CO$3=$AC252,CO$3=$AE252),"",IF(CO$3=$AD252,$F252&amp;"R",CO251))))</f>
        <v>bQ</v>
      </c>
      <c r="CP252" s="11" t="str">
        <f aca="false">IF($P252=0,CP251,IF(CP$3=$E252,IF($AA252=1,$F252&amp;$AB252,$G252),IF(OR(CP$3=$D252,CP$3=$AC252,CP$3=$AE252),"",IF(CP$3=$AD252,$F252&amp;"R",CP251))))</f>
        <v>bK</v>
      </c>
      <c r="CQ252" s="11" t="str">
        <f aca="false">IF($P252=0,CQ251,IF(CQ$3=$E252,IF($AA252=1,$F252&amp;$AB252,$G252),IF(OR(CQ$3=$D252,CQ$3=$AC252,CQ$3=$AE252),"",IF(CQ$3=$AD252,$F252&amp;"R",CQ251))))</f>
        <v>bB</v>
      </c>
      <c r="CR252" s="11" t="str">
        <f aca="false">IF($P252=0,CR251,IF(CR$3=$E252,IF($AA252=1,$F252&amp;$AB252,$G252),IF(OR(CR$3=$D252,CR$3=$AC252,CR$3=$AE252),"",IF(CR$3=$AD252,$F252&amp;"R",CR251))))</f>
        <v>bN</v>
      </c>
      <c r="CS252" s="11" t="str">
        <f aca="false">IF($P252=0,CS251,IF(CS$3=$E252,IF($AA252=1,$F252&amp;$AB252,$G252),IF(OR(CS$3=$D252,CS$3=$AC252,CS$3=$AE252),"",IF(CS$3=$AD252,$F252&amp;"R",CS251))))</f>
        <v>bR</v>
      </c>
      <c r="CT252" s="11"/>
      <c r="CU252" s="11"/>
      <c r="CV252" s="11"/>
    </row>
    <row r="253" customFormat="false" ht="15" hidden="false" customHeight="false" outlineLevel="0" collapsed="false">
      <c r="A253" s="11" t="n">
        <v>248</v>
      </c>
      <c r="B253" s="11" t="str">
        <f aca="false">IF(Chess!$L$257="","",Chess!$L$257&amp;"")</f>
        <v/>
      </c>
      <c r="C253" s="11" t="str">
        <f aca="false">LOWER(SUBSTITUTE(SUBSTITUTE(SUBSTITUTE(SUBSTITUTE(TRIM($B253),"-",""),"=","")," ",""),"x",""))</f>
        <v/>
      </c>
      <c r="D253" s="11" t="n">
        <f aca="false">IF(LEN($C253)&lt;4,0,IFERROR(IF(AND(CODE(MID($C253,1,1))&gt;=97,CODE(MID($C253,1,1))&lt;=104,VALUE(MID($C253,2,1))&gt;=1,VALUE(MID($C253,2,1))&lt;=8),(VALUE(MID($C253,2,1))-1)*8+CODE(MID($C253,1,1))-96,0),0))</f>
        <v>0</v>
      </c>
      <c r="E253" s="11" t="n">
        <f aca="false">IF(LEN($C253)&lt;4,0,IFERROR(IF(AND(CODE(MID($C253,3,1))&gt;=97,CODE(MID($C253,3,1))&lt;=104,VALUE(MID($C253,4,1))&gt;=1,VALUE(MID($C253,4,1))&lt;=8),(VALUE(MID($C253,4,1))-1)*8+CODE(MID($C253,3,1))-96,0),0))</f>
        <v>0</v>
      </c>
      <c r="F253" s="11" t="str">
        <f aca="false">IF(MOD(SUM($P$5:$P252),2)=0,"w","b")</f>
        <v>w</v>
      </c>
      <c r="G253" s="11" t="str">
        <f aca="false">IF($D253=0,"",INDEX($AH252:$CS252,1,$D253)&amp;"")</f>
        <v/>
      </c>
      <c r="H253" s="11" t="str">
        <f aca="false">IF($E253=0,"",INDEX($AH252:$CS252,1,$E253)&amp;"")</f>
        <v/>
      </c>
      <c r="I253" s="11" t="n">
        <f aca="false">IF(OR($D253=0,$E253=0),0,MOD($E253-1,8)-MOD($D253-1,8))</f>
        <v>0</v>
      </c>
      <c r="J253" s="11" t="n">
        <f aca="false">IF(OR($D253=0,$E253=0),0,INT(($E253-1)/8)-INT(($D253-1)/8))</f>
        <v>0</v>
      </c>
      <c r="K253" s="11" t="str">
        <f aca="false">IF($G253="","",RIGHT($G253,1))</f>
        <v/>
      </c>
      <c r="L253" s="11" t="n">
        <f aca="false">IF(OR($D253=0,$E253=0),0,SUMPRODUCT(($AH$3:$CS$3&gt;MIN($D253,$E253))*($AH$3:$CS$3&lt;MAX($D253,$E253))*(MOD($AH$3:$CS$3-MIN($D253,$E253),MAX(1,ABS(SIGN($J253)*8+SIGN($I253))))=0)*($AH252:$CS252&lt;&gt;"")))</f>
        <v>0</v>
      </c>
      <c r="M253" s="11" t="n">
        <f aca="false">IF($K253&lt;&gt;"K",0,IFERROR(--AND($J253=0,ABS($I253)=2,$D253=IF($F253="w",5,61),IF($F253="w",$S252,$V252)=0,IF($I253=2,AND(IF($F253="w",$U252,$X252)=0,INDEX($AH252:$CS252,1,$D253+1)&amp;""="",INDEX($AH252:$CS252,1,$D253+2)&amp;""=""),AND(IF($F253="w",$T252,$W252)=0,INDEX($AH252:$CS252,1,$D253-1)&amp;""="",INDEX($AH252:$CS252,1,$D253-2)&amp;""="",INDEX($AH252:$CS252,1,$D253-3)&amp;""=""))),0))</f>
        <v>0</v>
      </c>
      <c r="N253" s="11" t="n">
        <f aca="false">IF($K253&lt;&gt;"P",0,IFERROR(--OR(AND($I253=0,$J253=IF($F253="w",1,-1),$H253=""),AND($I253=0,$J253=2*IF($F253="w",1,-1),$H253="",INT(($D253-1)/8)=IF($F253="w",1,6),INDEX($AH252:$CS252,1,MAX(1,MIN(64,$D253+8*IF($F253="w",1,-1))))&amp;""=""),AND(ABS($I253)=1,$J253=IF($F253="w",1,-1),$H253&lt;&gt;""),AND(ABS($I253)=1,$J253=IF($F253="w",1,-1),$H253="",$R252&gt;0,$E253=$R252)),0))</f>
        <v>0</v>
      </c>
      <c r="O253" s="11" t="n">
        <f aca="false">IF(OR($D253=0,$E253=0,$G253=""),0,IF($K253="N",--OR(AND(ABS($I253)=1,ABS($J253)=2),AND(ABS($I253)=2,ABS($J253)=1)),IF($K253="B",--AND(ABS($I253)=ABS($J253),$I253&lt;&gt;0,$L253=0),IF($K253="R",--AND(OR($I253=0,$J253=0),OR($I253&lt;&gt;0,$J253&lt;&gt;0),$L253=0),IF($K253="Q",--AND(OR(AND(ABS($I253)=ABS($J253),$I253&lt;&gt;0),AND(OR($I253=0,$J253=0),OR($I253&lt;&gt;0,$J253&lt;&gt;0))),$L253=0),IF($K253="K",--OR(MAX(ABS($I253),ABS($J253))=1,$M253=1),$N253))))))</f>
        <v>0</v>
      </c>
      <c r="P253" s="11" t="n">
        <f aca="false">IF($Q253="OK",1,0)</f>
        <v>0</v>
      </c>
      <c r="Q253" s="11" t="str">
        <f aca="false">IF($B253="","",IF(OR(COUNTIF($AH252:$CS252,"wK")=0,COUNTIF($AH252:$CS252,"bK")=0),"Game is over",IF(OR($D253=0,$E253=0),"Use the format e2e4",IF($G253="","No piece on that square",IF(LEFT($G253,1)&lt;&gt;$F253,"Not your piece ("&amp;IF($F253="w","White","Black")&amp;" to move)",IF($D253=$E253,"Piece must move",IF(AND($H253&lt;&gt;"",LEFT($H253,1)=$F253),"Cannot capture your own piece",IF($O253=0,"Illegal move for that piece (or path blocked)","OK"))))))))</f>
        <v/>
      </c>
      <c r="R253" s="11" t="n">
        <f aca="false">IF($P253=1,IF(AND($K253="P",ABS($J253)=2),($D253+$E253)/2,0),$R252)</f>
        <v>0</v>
      </c>
      <c r="S253" s="12" t="b">
        <f aca="false">--OR($S252=1,AND($P253=1,OR($D253=5,$E253=5)))</f>
        <v>0</v>
      </c>
      <c r="T253" s="12" t="b">
        <f aca="false">--OR($T252=1,AND($P253=1,OR($D253=1,$E253=1)))</f>
        <v>0</v>
      </c>
      <c r="U253" s="12" t="b">
        <f aca="false">--OR($U252=1,AND($P253=1,OR($D253=8,$E253=8)))</f>
        <v>0</v>
      </c>
      <c r="V253" s="12" t="b">
        <f aca="false">--OR($V252=1,AND($P253=1,OR($D253=61,$E253=61)))</f>
        <v>0</v>
      </c>
      <c r="W253" s="12" t="b">
        <f aca="false">--OR($W252=1,AND($P253=1,OR($D253=57,$E253=57)))</f>
        <v>0</v>
      </c>
      <c r="X253" s="12" t="b">
        <f aca="false">--OR($X252=1,AND($P253=1,OR($D253=64,$E253=64)))</f>
        <v>0</v>
      </c>
      <c r="Y253" s="12" t="b">
        <f aca="false">--AND($P253=1,$K253="K",ABS($I253)=2)</f>
        <v>0</v>
      </c>
      <c r="Z253" s="12" t="b">
        <f aca="false">--AND($P253=1,$K253="P",ABS($I253)=1,$H253="")</f>
        <v>0</v>
      </c>
      <c r="AA253" s="12" t="b">
        <f aca="false">--AND($P253=1,$K253="P",INT(($E253-1)/8)=IF($F253="w",7,0))</f>
        <v>0</v>
      </c>
      <c r="AB253" s="11" t="str">
        <f aca="false">IF(LEN($C253)&gt;=5,IF(ISNUMBER(FIND(MID($C253,5,1),"qrbn")),UPPER(MID($C253,5,1)),"Q"),"Q")</f>
        <v>Q</v>
      </c>
      <c r="AC253" s="11" t="n">
        <f aca="false">IF($Y253=1,IF($I253=2,$D253+3,$D253-4),0)</f>
        <v>0</v>
      </c>
      <c r="AD253" s="11" t="n">
        <f aca="false">IF($Y253=1,IF($I253=2,$D253+1,$D253-1),0)</f>
        <v>0</v>
      </c>
      <c r="AE253" s="11" t="n">
        <f aca="false">IF($Z253=1,$E253-8*IF($F253="w",1,-1),0)</f>
        <v>0</v>
      </c>
      <c r="AF253" s="11" t="str">
        <f aca="false">IF($B253="","",IF($P253=1,LOWER(INDEX($CV$2:$CV$13,MATCH($G253,$CU$2:$CU$13,0)))&amp;" "&amp;MID("abcdefgh",MOD($D253-1,8)+1,1)&amp;(INT(($D253-1)/8)+1)&amp;"→"&amp;MID("abcdefgh",MOD($E253-1,8)+1,1)&amp;(INT(($E253-1)/8)+1)&amp;IF(OR($H253&lt;&gt;"",$Z253=1)," ×","")&amp;IF($Y253=1," castles","")&amp;IF($Z253=1," e.p.","")&amp;IF($AA253=1," =" &amp;LOWER(INDEX($CV$2:$CV$13,MATCH($F253&amp;$AB253,$CU$2:$CU$13,0))),""),"X "&amp;$Q253))</f>
        <v/>
      </c>
      <c r="AG253" s="11"/>
      <c r="AH253" s="11" t="str">
        <f aca="false">IF($P253=0,AH252,IF(AH$3=$E253,IF($AA253=1,$F253&amp;$AB253,$G253),IF(OR(AH$3=$D253,AH$3=$AC253,AH$3=$AE253),"",IF(AH$3=$AD253,$F253&amp;"R",AH252))))</f>
        <v>wR</v>
      </c>
      <c r="AI253" s="11" t="str">
        <f aca="false">IF($P253=0,AI252,IF(AI$3=$E253,IF($AA253=1,$F253&amp;$AB253,$G253),IF(OR(AI$3=$D253,AI$3=$AC253,AI$3=$AE253),"",IF(AI$3=$AD253,$F253&amp;"R",AI252))))</f>
        <v>wN</v>
      </c>
      <c r="AJ253" s="11" t="str">
        <f aca="false">IF($P253=0,AJ252,IF(AJ$3=$E253,IF($AA253=1,$F253&amp;$AB253,$G253),IF(OR(AJ$3=$D253,AJ$3=$AC253,AJ$3=$AE253),"",IF(AJ$3=$AD253,$F253&amp;"R",AJ252))))</f>
        <v>wB</v>
      </c>
      <c r="AK253" s="11" t="str">
        <f aca="false">IF($P253=0,AK252,IF(AK$3=$E253,IF($AA253=1,$F253&amp;$AB253,$G253),IF(OR(AK$3=$D253,AK$3=$AC253,AK$3=$AE253),"",IF(AK$3=$AD253,$F253&amp;"R",AK252))))</f>
        <v>wQ</v>
      </c>
      <c r="AL253" s="11" t="str">
        <f aca="false">IF($P253=0,AL252,IF(AL$3=$E253,IF($AA253=1,$F253&amp;$AB253,$G253),IF(OR(AL$3=$D253,AL$3=$AC253,AL$3=$AE253),"",IF(AL$3=$AD253,$F253&amp;"R",AL252))))</f>
        <v>wK</v>
      </c>
      <c r="AM253" s="11" t="str">
        <f aca="false">IF($P253=0,AM252,IF(AM$3=$E253,IF($AA253=1,$F253&amp;$AB253,$G253),IF(OR(AM$3=$D253,AM$3=$AC253,AM$3=$AE253),"",IF(AM$3=$AD253,$F253&amp;"R",AM252))))</f>
        <v>wB</v>
      </c>
      <c r="AN253" s="11" t="str">
        <f aca="false">IF($P253=0,AN252,IF(AN$3=$E253,IF($AA253=1,$F253&amp;$AB253,$G253),IF(OR(AN$3=$D253,AN$3=$AC253,AN$3=$AE253),"",IF(AN$3=$AD253,$F253&amp;"R",AN252))))</f>
        <v>wN</v>
      </c>
      <c r="AO253" s="11" t="str">
        <f aca="false">IF($P253=0,AO252,IF(AO$3=$E253,IF($AA253=1,$F253&amp;$AB253,$G253),IF(OR(AO$3=$D253,AO$3=$AC253,AO$3=$AE253),"",IF(AO$3=$AD253,$F253&amp;"R",AO252))))</f>
        <v>wR</v>
      </c>
      <c r="AP253" s="11" t="str">
        <f aca="false">IF($P253=0,AP252,IF(AP$3=$E253,IF($AA253=1,$F253&amp;$AB253,$G253),IF(OR(AP$3=$D253,AP$3=$AC253,AP$3=$AE253),"",IF(AP$3=$AD253,$F253&amp;"R",AP252))))</f>
        <v>wP</v>
      </c>
      <c r="AQ253" s="11" t="str">
        <f aca="false">IF($P253=0,AQ252,IF(AQ$3=$E253,IF($AA253=1,$F253&amp;$AB253,$G253),IF(OR(AQ$3=$D253,AQ$3=$AC253,AQ$3=$AE253),"",IF(AQ$3=$AD253,$F253&amp;"R",AQ252))))</f>
        <v>wP</v>
      </c>
      <c r="AR253" s="11" t="str">
        <f aca="false">IF($P253=0,AR252,IF(AR$3=$E253,IF($AA253=1,$F253&amp;$AB253,$G253),IF(OR(AR$3=$D253,AR$3=$AC253,AR$3=$AE253),"",IF(AR$3=$AD253,$F253&amp;"R",AR252))))</f>
        <v>wP</v>
      </c>
      <c r="AS253" s="11" t="str">
        <f aca="false">IF($P253=0,AS252,IF(AS$3=$E253,IF($AA253=1,$F253&amp;$AB253,$G253),IF(OR(AS$3=$D253,AS$3=$AC253,AS$3=$AE253),"",IF(AS$3=$AD253,$F253&amp;"R",AS252))))</f>
        <v>wP</v>
      </c>
      <c r="AT253" s="11" t="str">
        <f aca="false">IF($P253=0,AT252,IF(AT$3=$E253,IF($AA253=1,$F253&amp;$AB253,$G253),IF(OR(AT$3=$D253,AT$3=$AC253,AT$3=$AE253),"",IF(AT$3=$AD253,$F253&amp;"R",AT252))))</f>
        <v>wP</v>
      </c>
      <c r="AU253" s="11" t="str">
        <f aca="false">IF($P253=0,AU252,IF(AU$3=$E253,IF($AA253=1,$F253&amp;$AB253,$G253),IF(OR(AU$3=$D253,AU$3=$AC253,AU$3=$AE253),"",IF(AU$3=$AD253,$F253&amp;"R",AU252))))</f>
        <v>wP</v>
      </c>
      <c r="AV253" s="11" t="str">
        <f aca="false">IF($P253=0,AV252,IF(AV$3=$E253,IF($AA253=1,$F253&amp;$AB253,$G253),IF(OR(AV$3=$D253,AV$3=$AC253,AV$3=$AE253),"",IF(AV$3=$AD253,$F253&amp;"R",AV252))))</f>
        <v>wP</v>
      </c>
      <c r="AW253" s="11" t="str">
        <f aca="false">IF($P253=0,AW252,IF(AW$3=$E253,IF($AA253=1,$F253&amp;$AB253,$G253),IF(OR(AW$3=$D253,AW$3=$AC253,AW$3=$AE253),"",IF(AW$3=$AD253,$F253&amp;"R",AW252))))</f>
        <v>wP</v>
      </c>
      <c r="AX253" s="11" t="str">
        <f aca="false">IF($P253=0,AX252,IF(AX$3=$E253,IF($AA253=1,$F253&amp;$AB253,$G253),IF(OR(AX$3=$D253,AX$3=$AC253,AX$3=$AE253),"",IF(AX$3=$AD253,$F253&amp;"R",AX252))))</f>
        <v/>
      </c>
      <c r="AY253" s="11" t="str">
        <f aca="false">IF($P253=0,AY252,IF(AY$3=$E253,IF($AA253=1,$F253&amp;$AB253,$G253),IF(OR(AY$3=$D253,AY$3=$AC253,AY$3=$AE253),"",IF(AY$3=$AD253,$F253&amp;"R",AY252))))</f>
        <v/>
      </c>
      <c r="AZ253" s="11" t="str">
        <f aca="false">IF($P253=0,AZ252,IF(AZ$3=$E253,IF($AA253=1,$F253&amp;$AB253,$G253),IF(OR(AZ$3=$D253,AZ$3=$AC253,AZ$3=$AE253),"",IF(AZ$3=$AD253,$F253&amp;"R",AZ252))))</f>
        <v/>
      </c>
      <c r="BA253" s="11" t="str">
        <f aca="false">IF($P253=0,BA252,IF(BA$3=$E253,IF($AA253=1,$F253&amp;$AB253,$G253),IF(OR(BA$3=$D253,BA$3=$AC253,BA$3=$AE253),"",IF(BA$3=$AD253,$F253&amp;"R",BA252))))</f>
        <v/>
      </c>
      <c r="BB253" s="11" t="str">
        <f aca="false">IF($P253=0,BB252,IF(BB$3=$E253,IF($AA253=1,$F253&amp;$AB253,$G253),IF(OR(BB$3=$D253,BB$3=$AC253,BB$3=$AE253),"",IF(BB$3=$AD253,$F253&amp;"R",BB252))))</f>
        <v/>
      </c>
      <c r="BC253" s="11" t="str">
        <f aca="false">IF($P253=0,BC252,IF(BC$3=$E253,IF($AA253=1,$F253&amp;$AB253,$G253),IF(OR(BC$3=$D253,BC$3=$AC253,BC$3=$AE253),"",IF(BC$3=$AD253,$F253&amp;"R",BC252))))</f>
        <v/>
      </c>
      <c r="BD253" s="11" t="str">
        <f aca="false">IF($P253=0,BD252,IF(BD$3=$E253,IF($AA253=1,$F253&amp;$AB253,$G253),IF(OR(BD$3=$D253,BD$3=$AC253,BD$3=$AE253),"",IF(BD$3=$AD253,$F253&amp;"R",BD252))))</f>
        <v/>
      </c>
      <c r="BE253" s="11" t="str">
        <f aca="false">IF($P253=0,BE252,IF(BE$3=$E253,IF($AA253=1,$F253&amp;$AB253,$G253),IF(OR(BE$3=$D253,BE$3=$AC253,BE$3=$AE253),"",IF(BE$3=$AD253,$F253&amp;"R",BE252))))</f>
        <v/>
      </c>
      <c r="BF253" s="11" t="str">
        <f aca="false">IF($P253=0,BF252,IF(BF$3=$E253,IF($AA253=1,$F253&amp;$AB253,$G253),IF(OR(BF$3=$D253,BF$3=$AC253,BF$3=$AE253),"",IF(BF$3=$AD253,$F253&amp;"R",BF252))))</f>
        <v/>
      </c>
      <c r="BG253" s="11" t="str">
        <f aca="false">IF($P253=0,BG252,IF(BG$3=$E253,IF($AA253=1,$F253&amp;$AB253,$G253),IF(OR(BG$3=$D253,BG$3=$AC253,BG$3=$AE253),"",IF(BG$3=$AD253,$F253&amp;"R",BG252))))</f>
        <v/>
      </c>
      <c r="BH253" s="11" t="str">
        <f aca="false">IF($P253=0,BH252,IF(BH$3=$E253,IF($AA253=1,$F253&amp;$AB253,$G253),IF(OR(BH$3=$D253,BH$3=$AC253,BH$3=$AE253),"",IF(BH$3=$AD253,$F253&amp;"R",BH252))))</f>
        <v/>
      </c>
      <c r="BI253" s="11" t="str">
        <f aca="false">IF($P253=0,BI252,IF(BI$3=$E253,IF($AA253=1,$F253&amp;$AB253,$G253),IF(OR(BI$3=$D253,BI$3=$AC253,BI$3=$AE253),"",IF(BI$3=$AD253,$F253&amp;"R",BI252))))</f>
        <v/>
      </c>
      <c r="BJ253" s="11" t="str">
        <f aca="false">IF($P253=0,BJ252,IF(BJ$3=$E253,IF($AA253=1,$F253&amp;$AB253,$G253),IF(OR(BJ$3=$D253,BJ$3=$AC253,BJ$3=$AE253),"",IF(BJ$3=$AD253,$F253&amp;"R",BJ252))))</f>
        <v/>
      </c>
      <c r="BK253" s="11" t="str">
        <f aca="false">IF($P253=0,BK252,IF(BK$3=$E253,IF($AA253=1,$F253&amp;$AB253,$G253),IF(OR(BK$3=$D253,BK$3=$AC253,BK$3=$AE253),"",IF(BK$3=$AD253,$F253&amp;"R",BK252))))</f>
        <v/>
      </c>
      <c r="BL253" s="11" t="str">
        <f aca="false">IF($P253=0,BL252,IF(BL$3=$E253,IF($AA253=1,$F253&amp;$AB253,$G253),IF(OR(BL$3=$D253,BL$3=$AC253,BL$3=$AE253),"",IF(BL$3=$AD253,$F253&amp;"R",BL252))))</f>
        <v/>
      </c>
      <c r="BM253" s="11" t="str">
        <f aca="false">IF($P253=0,BM252,IF(BM$3=$E253,IF($AA253=1,$F253&amp;$AB253,$G253),IF(OR(BM$3=$D253,BM$3=$AC253,BM$3=$AE253),"",IF(BM$3=$AD253,$F253&amp;"R",BM252))))</f>
        <v/>
      </c>
      <c r="BN253" s="11" t="str">
        <f aca="false">IF($P253=0,BN252,IF(BN$3=$E253,IF($AA253=1,$F253&amp;$AB253,$G253),IF(OR(BN$3=$D253,BN$3=$AC253,BN$3=$AE253),"",IF(BN$3=$AD253,$F253&amp;"R",BN252))))</f>
        <v/>
      </c>
      <c r="BO253" s="11" t="str">
        <f aca="false">IF($P253=0,BO252,IF(BO$3=$E253,IF($AA253=1,$F253&amp;$AB253,$G253),IF(OR(BO$3=$D253,BO$3=$AC253,BO$3=$AE253),"",IF(BO$3=$AD253,$F253&amp;"R",BO252))))</f>
        <v/>
      </c>
      <c r="BP253" s="11" t="str">
        <f aca="false">IF($P253=0,BP252,IF(BP$3=$E253,IF($AA253=1,$F253&amp;$AB253,$G253),IF(OR(BP$3=$D253,BP$3=$AC253,BP$3=$AE253),"",IF(BP$3=$AD253,$F253&amp;"R",BP252))))</f>
        <v/>
      </c>
      <c r="BQ253" s="11" t="str">
        <f aca="false">IF($P253=0,BQ252,IF(BQ$3=$E253,IF($AA253=1,$F253&amp;$AB253,$G253),IF(OR(BQ$3=$D253,BQ$3=$AC253,BQ$3=$AE253),"",IF(BQ$3=$AD253,$F253&amp;"R",BQ252))))</f>
        <v/>
      </c>
      <c r="BR253" s="11" t="str">
        <f aca="false">IF($P253=0,BR252,IF(BR$3=$E253,IF($AA253=1,$F253&amp;$AB253,$G253),IF(OR(BR$3=$D253,BR$3=$AC253,BR$3=$AE253),"",IF(BR$3=$AD253,$F253&amp;"R",BR252))))</f>
        <v/>
      </c>
      <c r="BS253" s="11" t="str">
        <f aca="false">IF($P253=0,BS252,IF(BS$3=$E253,IF($AA253=1,$F253&amp;$AB253,$G253),IF(OR(BS$3=$D253,BS$3=$AC253,BS$3=$AE253),"",IF(BS$3=$AD253,$F253&amp;"R",BS252))))</f>
        <v/>
      </c>
      <c r="BT253" s="11" t="str">
        <f aca="false">IF($P253=0,BT252,IF(BT$3=$E253,IF($AA253=1,$F253&amp;$AB253,$G253),IF(OR(BT$3=$D253,BT$3=$AC253,BT$3=$AE253),"",IF(BT$3=$AD253,$F253&amp;"R",BT252))))</f>
        <v/>
      </c>
      <c r="BU253" s="11" t="str">
        <f aca="false">IF($P253=0,BU252,IF(BU$3=$E253,IF($AA253=1,$F253&amp;$AB253,$G253),IF(OR(BU$3=$D253,BU$3=$AC253,BU$3=$AE253),"",IF(BU$3=$AD253,$F253&amp;"R",BU252))))</f>
        <v/>
      </c>
      <c r="BV253" s="11" t="str">
        <f aca="false">IF($P253=0,BV252,IF(BV$3=$E253,IF($AA253=1,$F253&amp;$AB253,$G253),IF(OR(BV$3=$D253,BV$3=$AC253,BV$3=$AE253),"",IF(BV$3=$AD253,$F253&amp;"R",BV252))))</f>
        <v/>
      </c>
      <c r="BW253" s="11" t="str">
        <f aca="false">IF($P253=0,BW252,IF(BW$3=$E253,IF($AA253=1,$F253&amp;$AB253,$G253),IF(OR(BW$3=$D253,BW$3=$AC253,BW$3=$AE253),"",IF(BW$3=$AD253,$F253&amp;"R",BW252))))</f>
        <v/>
      </c>
      <c r="BX253" s="11" t="str">
        <f aca="false">IF($P253=0,BX252,IF(BX$3=$E253,IF($AA253=1,$F253&amp;$AB253,$G253),IF(OR(BX$3=$D253,BX$3=$AC253,BX$3=$AE253),"",IF(BX$3=$AD253,$F253&amp;"R",BX252))))</f>
        <v/>
      </c>
      <c r="BY253" s="11" t="str">
        <f aca="false">IF($P253=0,BY252,IF(BY$3=$E253,IF($AA253=1,$F253&amp;$AB253,$G253),IF(OR(BY$3=$D253,BY$3=$AC253,BY$3=$AE253),"",IF(BY$3=$AD253,$F253&amp;"R",BY252))))</f>
        <v/>
      </c>
      <c r="BZ253" s="11" t="str">
        <f aca="false">IF($P253=0,BZ252,IF(BZ$3=$E253,IF($AA253=1,$F253&amp;$AB253,$G253),IF(OR(BZ$3=$D253,BZ$3=$AC253,BZ$3=$AE253),"",IF(BZ$3=$AD253,$F253&amp;"R",BZ252))))</f>
        <v/>
      </c>
      <c r="CA253" s="11" t="str">
        <f aca="false">IF($P253=0,CA252,IF(CA$3=$E253,IF($AA253=1,$F253&amp;$AB253,$G253),IF(OR(CA$3=$D253,CA$3=$AC253,CA$3=$AE253),"",IF(CA$3=$AD253,$F253&amp;"R",CA252))))</f>
        <v/>
      </c>
      <c r="CB253" s="11" t="str">
        <f aca="false">IF($P253=0,CB252,IF(CB$3=$E253,IF($AA253=1,$F253&amp;$AB253,$G253),IF(OR(CB$3=$D253,CB$3=$AC253,CB$3=$AE253),"",IF(CB$3=$AD253,$F253&amp;"R",CB252))))</f>
        <v/>
      </c>
      <c r="CC253" s="11" t="str">
        <f aca="false">IF($P253=0,CC252,IF(CC$3=$E253,IF($AA253=1,$F253&amp;$AB253,$G253),IF(OR(CC$3=$D253,CC$3=$AC253,CC$3=$AE253),"",IF(CC$3=$AD253,$F253&amp;"R",CC252))))</f>
        <v/>
      </c>
      <c r="CD253" s="11" t="str">
        <f aca="false">IF($P253=0,CD252,IF(CD$3=$E253,IF($AA253=1,$F253&amp;$AB253,$G253),IF(OR(CD$3=$D253,CD$3=$AC253,CD$3=$AE253),"",IF(CD$3=$AD253,$F253&amp;"R",CD252))))</f>
        <v>bP</v>
      </c>
      <c r="CE253" s="11" t="str">
        <f aca="false">IF($P253=0,CE252,IF(CE$3=$E253,IF($AA253=1,$F253&amp;$AB253,$G253),IF(OR(CE$3=$D253,CE$3=$AC253,CE$3=$AE253),"",IF(CE$3=$AD253,$F253&amp;"R",CE252))))</f>
        <v>bP</v>
      </c>
      <c r="CF253" s="11" t="str">
        <f aca="false">IF($P253=0,CF252,IF(CF$3=$E253,IF($AA253=1,$F253&amp;$AB253,$G253),IF(OR(CF$3=$D253,CF$3=$AC253,CF$3=$AE253),"",IF(CF$3=$AD253,$F253&amp;"R",CF252))))</f>
        <v>bP</v>
      </c>
      <c r="CG253" s="11" t="str">
        <f aca="false">IF($P253=0,CG252,IF(CG$3=$E253,IF($AA253=1,$F253&amp;$AB253,$G253),IF(OR(CG$3=$D253,CG$3=$AC253,CG$3=$AE253),"",IF(CG$3=$AD253,$F253&amp;"R",CG252))))</f>
        <v>bP</v>
      </c>
      <c r="CH253" s="11" t="str">
        <f aca="false">IF($P253=0,CH252,IF(CH$3=$E253,IF($AA253=1,$F253&amp;$AB253,$G253),IF(OR(CH$3=$D253,CH$3=$AC253,CH$3=$AE253),"",IF(CH$3=$AD253,$F253&amp;"R",CH252))))</f>
        <v>bP</v>
      </c>
      <c r="CI253" s="11" t="str">
        <f aca="false">IF($P253=0,CI252,IF(CI$3=$E253,IF($AA253=1,$F253&amp;$AB253,$G253),IF(OR(CI$3=$D253,CI$3=$AC253,CI$3=$AE253),"",IF(CI$3=$AD253,$F253&amp;"R",CI252))))</f>
        <v>bP</v>
      </c>
      <c r="CJ253" s="11" t="str">
        <f aca="false">IF($P253=0,CJ252,IF(CJ$3=$E253,IF($AA253=1,$F253&amp;$AB253,$G253),IF(OR(CJ$3=$D253,CJ$3=$AC253,CJ$3=$AE253),"",IF(CJ$3=$AD253,$F253&amp;"R",CJ252))))</f>
        <v>bP</v>
      </c>
      <c r="CK253" s="11" t="str">
        <f aca="false">IF($P253=0,CK252,IF(CK$3=$E253,IF($AA253=1,$F253&amp;$AB253,$G253),IF(OR(CK$3=$D253,CK$3=$AC253,CK$3=$AE253),"",IF(CK$3=$AD253,$F253&amp;"R",CK252))))</f>
        <v>bP</v>
      </c>
      <c r="CL253" s="11" t="str">
        <f aca="false">IF($P253=0,CL252,IF(CL$3=$E253,IF($AA253=1,$F253&amp;$AB253,$G253),IF(OR(CL$3=$D253,CL$3=$AC253,CL$3=$AE253),"",IF(CL$3=$AD253,$F253&amp;"R",CL252))))</f>
        <v>bR</v>
      </c>
      <c r="CM253" s="11" t="str">
        <f aca="false">IF($P253=0,CM252,IF(CM$3=$E253,IF($AA253=1,$F253&amp;$AB253,$G253),IF(OR(CM$3=$D253,CM$3=$AC253,CM$3=$AE253),"",IF(CM$3=$AD253,$F253&amp;"R",CM252))))</f>
        <v>bN</v>
      </c>
      <c r="CN253" s="11" t="str">
        <f aca="false">IF($P253=0,CN252,IF(CN$3=$E253,IF($AA253=1,$F253&amp;$AB253,$G253),IF(OR(CN$3=$D253,CN$3=$AC253,CN$3=$AE253),"",IF(CN$3=$AD253,$F253&amp;"R",CN252))))</f>
        <v>bB</v>
      </c>
      <c r="CO253" s="11" t="str">
        <f aca="false">IF($P253=0,CO252,IF(CO$3=$E253,IF($AA253=1,$F253&amp;$AB253,$G253),IF(OR(CO$3=$D253,CO$3=$AC253,CO$3=$AE253),"",IF(CO$3=$AD253,$F253&amp;"R",CO252))))</f>
        <v>bQ</v>
      </c>
      <c r="CP253" s="11" t="str">
        <f aca="false">IF($P253=0,CP252,IF(CP$3=$E253,IF($AA253=1,$F253&amp;$AB253,$G253),IF(OR(CP$3=$D253,CP$3=$AC253,CP$3=$AE253),"",IF(CP$3=$AD253,$F253&amp;"R",CP252))))</f>
        <v>bK</v>
      </c>
      <c r="CQ253" s="11" t="str">
        <f aca="false">IF($P253=0,CQ252,IF(CQ$3=$E253,IF($AA253=1,$F253&amp;$AB253,$G253),IF(OR(CQ$3=$D253,CQ$3=$AC253,CQ$3=$AE253),"",IF(CQ$3=$AD253,$F253&amp;"R",CQ252))))</f>
        <v>bB</v>
      </c>
      <c r="CR253" s="11" t="str">
        <f aca="false">IF($P253=0,CR252,IF(CR$3=$E253,IF($AA253=1,$F253&amp;$AB253,$G253),IF(OR(CR$3=$D253,CR$3=$AC253,CR$3=$AE253),"",IF(CR$3=$AD253,$F253&amp;"R",CR252))))</f>
        <v>bN</v>
      </c>
      <c r="CS253" s="11" t="str">
        <f aca="false">IF($P253=0,CS252,IF(CS$3=$E253,IF($AA253=1,$F253&amp;$AB253,$G253),IF(OR(CS$3=$D253,CS$3=$AC253,CS$3=$AE253),"",IF(CS$3=$AD253,$F253&amp;"R",CS252))))</f>
        <v>bR</v>
      </c>
      <c r="CT253" s="11"/>
      <c r="CU253" s="11"/>
      <c r="CV253" s="11"/>
    </row>
    <row r="254" customFormat="false" ht="15" hidden="false" customHeight="false" outlineLevel="0" collapsed="false">
      <c r="A254" s="11" t="n">
        <v>249</v>
      </c>
      <c r="B254" s="11" t="str">
        <f aca="false">IF(Chess!$L$258="","",Chess!$L$258&amp;"")</f>
        <v/>
      </c>
      <c r="C254" s="11" t="str">
        <f aca="false">LOWER(SUBSTITUTE(SUBSTITUTE(SUBSTITUTE(SUBSTITUTE(TRIM($B254),"-",""),"=","")," ",""),"x",""))</f>
        <v/>
      </c>
      <c r="D254" s="11" t="n">
        <f aca="false">IF(LEN($C254)&lt;4,0,IFERROR(IF(AND(CODE(MID($C254,1,1))&gt;=97,CODE(MID($C254,1,1))&lt;=104,VALUE(MID($C254,2,1))&gt;=1,VALUE(MID($C254,2,1))&lt;=8),(VALUE(MID($C254,2,1))-1)*8+CODE(MID($C254,1,1))-96,0),0))</f>
        <v>0</v>
      </c>
      <c r="E254" s="11" t="n">
        <f aca="false">IF(LEN($C254)&lt;4,0,IFERROR(IF(AND(CODE(MID($C254,3,1))&gt;=97,CODE(MID($C254,3,1))&lt;=104,VALUE(MID($C254,4,1))&gt;=1,VALUE(MID($C254,4,1))&lt;=8),(VALUE(MID($C254,4,1))-1)*8+CODE(MID($C254,3,1))-96,0),0))</f>
        <v>0</v>
      </c>
      <c r="F254" s="11" t="str">
        <f aca="false">IF(MOD(SUM($P$5:$P253),2)=0,"w","b")</f>
        <v>w</v>
      </c>
      <c r="G254" s="11" t="str">
        <f aca="false">IF($D254=0,"",INDEX($AH253:$CS253,1,$D254)&amp;"")</f>
        <v/>
      </c>
      <c r="H254" s="11" t="str">
        <f aca="false">IF($E254=0,"",INDEX($AH253:$CS253,1,$E254)&amp;"")</f>
        <v/>
      </c>
      <c r="I254" s="11" t="n">
        <f aca="false">IF(OR($D254=0,$E254=0),0,MOD($E254-1,8)-MOD($D254-1,8))</f>
        <v>0</v>
      </c>
      <c r="J254" s="11" t="n">
        <f aca="false">IF(OR($D254=0,$E254=0),0,INT(($E254-1)/8)-INT(($D254-1)/8))</f>
        <v>0</v>
      </c>
      <c r="K254" s="11" t="str">
        <f aca="false">IF($G254="","",RIGHT($G254,1))</f>
        <v/>
      </c>
      <c r="L254" s="11" t="n">
        <f aca="false">IF(OR($D254=0,$E254=0),0,SUMPRODUCT(($AH$3:$CS$3&gt;MIN($D254,$E254))*($AH$3:$CS$3&lt;MAX($D254,$E254))*(MOD($AH$3:$CS$3-MIN($D254,$E254),MAX(1,ABS(SIGN($J254)*8+SIGN($I254))))=0)*($AH253:$CS253&lt;&gt;"")))</f>
        <v>0</v>
      </c>
      <c r="M254" s="11" t="n">
        <f aca="false">IF($K254&lt;&gt;"K",0,IFERROR(--AND($J254=0,ABS($I254)=2,$D254=IF($F254="w",5,61),IF($F254="w",$S253,$V253)=0,IF($I254=2,AND(IF($F254="w",$U253,$X253)=0,INDEX($AH253:$CS253,1,$D254+1)&amp;""="",INDEX($AH253:$CS253,1,$D254+2)&amp;""=""),AND(IF($F254="w",$T253,$W253)=0,INDEX($AH253:$CS253,1,$D254-1)&amp;""="",INDEX($AH253:$CS253,1,$D254-2)&amp;""="",INDEX($AH253:$CS253,1,$D254-3)&amp;""=""))),0))</f>
        <v>0</v>
      </c>
      <c r="N254" s="11" t="n">
        <f aca="false">IF($K254&lt;&gt;"P",0,IFERROR(--OR(AND($I254=0,$J254=IF($F254="w",1,-1),$H254=""),AND($I254=0,$J254=2*IF($F254="w",1,-1),$H254="",INT(($D254-1)/8)=IF($F254="w",1,6),INDEX($AH253:$CS253,1,MAX(1,MIN(64,$D254+8*IF($F254="w",1,-1))))&amp;""=""),AND(ABS($I254)=1,$J254=IF($F254="w",1,-1),$H254&lt;&gt;""),AND(ABS($I254)=1,$J254=IF($F254="w",1,-1),$H254="",$R253&gt;0,$E254=$R253)),0))</f>
        <v>0</v>
      </c>
      <c r="O254" s="11" t="n">
        <f aca="false">IF(OR($D254=0,$E254=0,$G254=""),0,IF($K254="N",--OR(AND(ABS($I254)=1,ABS($J254)=2),AND(ABS($I254)=2,ABS($J254)=1)),IF($K254="B",--AND(ABS($I254)=ABS($J254),$I254&lt;&gt;0,$L254=0),IF($K254="R",--AND(OR($I254=0,$J254=0),OR($I254&lt;&gt;0,$J254&lt;&gt;0),$L254=0),IF($K254="Q",--AND(OR(AND(ABS($I254)=ABS($J254),$I254&lt;&gt;0),AND(OR($I254=0,$J254=0),OR($I254&lt;&gt;0,$J254&lt;&gt;0))),$L254=0),IF($K254="K",--OR(MAX(ABS($I254),ABS($J254))=1,$M254=1),$N254))))))</f>
        <v>0</v>
      </c>
      <c r="P254" s="11" t="n">
        <f aca="false">IF($Q254="OK",1,0)</f>
        <v>0</v>
      </c>
      <c r="Q254" s="11" t="str">
        <f aca="false">IF($B254="","",IF(OR(COUNTIF($AH253:$CS253,"wK")=0,COUNTIF($AH253:$CS253,"bK")=0),"Game is over",IF(OR($D254=0,$E254=0),"Use the format e2e4",IF($G254="","No piece on that square",IF(LEFT($G254,1)&lt;&gt;$F254,"Not your piece ("&amp;IF($F254="w","White","Black")&amp;" to move)",IF($D254=$E254,"Piece must move",IF(AND($H254&lt;&gt;"",LEFT($H254,1)=$F254),"Cannot capture your own piece",IF($O254=0,"Illegal move for that piece (or path blocked)","OK"))))))))</f>
        <v/>
      </c>
      <c r="R254" s="11" t="n">
        <f aca="false">IF($P254=1,IF(AND($K254="P",ABS($J254)=2),($D254+$E254)/2,0),$R253)</f>
        <v>0</v>
      </c>
      <c r="S254" s="12" t="b">
        <f aca="false">--OR($S253=1,AND($P254=1,OR($D254=5,$E254=5)))</f>
        <v>0</v>
      </c>
      <c r="T254" s="12" t="b">
        <f aca="false">--OR($T253=1,AND($P254=1,OR($D254=1,$E254=1)))</f>
        <v>0</v>
      </c>
      <c r="U254" s="12" t="b">
        <f aca="false">--OR($U253=1,AND($P254=1,OR($D254=8,$E254=8)))</f>
        <v>0</v>
      </c>
      <c r="V254" s="12" t="b">
        <f aca="false">--OR($V253=1,AND($P254=1,OR($D254=61,$E254=61)))</f>
        <v>0</v>
      </c>
      <c r="W254" s="12" t="b">
        <f aca="false">--OR($W253=1,AND($P254=1,OR($D254=57,$E254=57)))</f>
        <v>0</v>
      </c>
      <c r="X254" s="12" t="b">
        <f aca="false">--OR($X253=1,AND($P254=1,OR($D254=64,$E254=64)))</f>
        <v>0</v>
      </c>
      <c r="Y254" s="12" t="b">
        <f aca="false">--AND($P254=1,$K254="K",ABS($I254)=2)</f>
        <v>0</v>
      </c>
      <c r="Z254" s="12" t="b">
        <f aca="false">--AND($P254=1,$K254="P",ABS($I254)=1,$H254="")</f>
        <v>0</v>
      </c>
      <c r="AA254" s="12" t="b">
        <f aca="false">--AND($P254=1,$K254="P",INT(($E254-1)/8)=IF($F254="w",7,0))</f>
        <v>0</v>
      </c>
      <c r="AB254" s="11" t="str">
        <f aca="false">IF(LEN($C254)&gt;=5,IF(ISNUMBER(FIND(MID($C254,5,1),"qrbn")),UPPER(MID($C254,5,1)),"Q"),"Q")</f>
        <v>Q</v>
      </c>
      <c r="AC254" s="11" t="n">
        <f aca="false">IF($Y254=1,IF($I254=2,$D254+3,$D254-4),0)</f>
        <v>0</v>
      </c>
      <c r="AD254" s="11" t="n">
        <f aca="false">IF($Y254=1,IF($I254=2,$D254+1,$D254-1),0)</f>
        <v>0</v>
      </c>
      <c r="AE254" s="11" t="n">
        <f aca="false">IF($Z254=1,$E254-8*IF($F254="w",1,-1),0)</f>
        <v>0</v>
      </c>
      <c r="AF254" s="11" t="str">
        <f aca="false">IF($B254="","",IF($P254=1,LOWER(INDEX($CV$2:$CV$13,MATCH($G254,$CU$2:$CU$13,0)))&amp;" "&amp;MID("abcdefgh",MOD($D254-1,8)+1,1)&amp;(INT(($D254-1)/8)+1)&amp;"→"&amp;MID("abcdefgh",MOD($E254-1,8)+1,1)&amp;(INT(($E254-1)/8)+1)&amp;IF(OR($H254&lt;&gt;"",$Z254=1)," ×","")&amp;IF($Y254=1," castles","")&amp;IF($Z254=1," e.p.","")&amp;IF($AA254=1," =" &amp;LOWER(INDEX($CV$2:$CV$13,MATCH($F254&amp;$AB254,$CU$2:$CU$13,0))),""),"X "&amp;$Q254))</f>
        <v/>
      </c>
      <c r="AG254" s="11"/>
      <c r="AH254" s="11" t="str">
        <f aca="false">IF($P254=0,AH253,IF(AH$3=$E254,IF($AA254=1,$F254&amp;$AB254,$G254),IF(OR(AH$3=$D254,AH$3=$AC254,AH$3=$AE254),"",IF(AH$3=$AD254,$F254&amp;"R",AH253))))</f>
        <v>wR</v>
      </c>
      <c r="AI254" s="11" t="str">
        <f aca="false">IF($P254=0,AI253,IF(AI$3=$E254,IF($AA254=1,$F254&amp;$AB254,$G254),IF(OR(AI$3=$D254,AI$3=$AC254,AI$3=$AE254),"",IF(AI$3=$AD254,$F254&amp;"R",AI253))))</f>
        <v>wN</v>
      </c>
      <c r="AJ254" s="11" t="str">
        <f aca="false">IF($P254=0,AJ253,IF(AJ$3=$E254,IF($AA254=1,$F254&amp;$AB254,$G254),IF(OR(AJ$3=$D254,AJ$3=$AC254,AJ$3=$AE254),"",IF(AJ$3=$AD254,$F254&amp;"R",AJ253))))</f>
        <v>wB</v>
      </c>
      <c r="AK254" s="11" t="str">
        <f aca="false">IF($P254=0,AK253,IF(AK$3=$E254,IF($AA254=1,$F254&amp;$AB254,$G254),IF(OR(AK$3=$D254,AK$3=$AC254,AK$3=$AE254),"",IF(AK$3=$AD254,$F254&amp;"R",AK253))))</f>
        <v>wQ</v>
      </c>
      <c r="AL254" s="11" t="str">
        <f aca="false">IF($P254=0,AL253,IF(AL$3=$E254,IF($AA254=1,$F254&amp;$AB254,$G254),IF(OR(AL$3=$D254,AL$3=$AC254,AL$3=$AE254),"",IF(AL$3=$AD254,$F254&amp;"R",AL253))))</f>
        <v>wK</v>
      </c>
      <c r="AM254" s="11" t="str">
        <f aca="false">IF($P254=0,AM253,IF(AM$3=$E254,IF($AA254=1,$F254&amp;$AB254,$G254),IF(OR(AM$3=$D254,AM$3=$AC254,AM$3=$AE254),"",IF(AM$3=$AD254,$F254&amp;"R",AM253))))</f>
        <v>wB</v>
      </c>
      <c r="AN254" s="11" t="str">
        <f aca="false">IF($P254=0,AN253,IF(AN$3=$E254,IF($AA254=1,$F254&amp;$AB254,$G254),IF(OR(AN$3=$D254,AN$3=$AC254,AN$3=$AE254),"",IF(AN$3=$AD254,$F254&amp;"R",AN253))))</f>
        <v>wN</v>
      </c>
      <c r="AO254" s="11" t="str">
        <f aca="false">IF($P254=0,AO253,IF(AO$3=$E254,IF($AA254=1,$F254&amp;$AB254,$G254),IF(OR(AO$3=$D254,AO$3=$AC254,AO$3=$AE254),"",IF(AO$3=$AD254,$F254&amp;"R",AO253))))</f>
        <v>wR</v>
      </c>
      <c r="AP254" s="11" t="str">
        <f aca="false">IF($P254=0,AP253,IF(AP$3=$E254,IF($AA254=1,$F254&amp;$AB254,$G254),IF(OR(AP$3=$D254,AP$3=$AC254,AP$3=$AE254),"",IF(AP$3=$AD254,$F254&amp;"R",AP253))))</f>
        <v>wP</v>
      </c>
      <c r="AQ254" s="11" t="str">
        <f aca="false">IF($P254=0,AQ253,IF(AQ$3=$E254,IF($AA254=1,$F254&amp;$AB254,$G254),IF(OR(AQ$3=$D254,AQ$3=$AC254,AQ$3=$AE254),"",IF(AQ$3=$AD254,$F254&amp;"R",AQ253))))</f>
        <v>wP</v>
      </c>
      <c r="AR254" s="11" t="str">
        <f aca="false">IF($P254=0,AR253,IF(AR$3=$E254,IF($AA254=1,$F254&amp;$AB254,$G254),IF(OR(AR$3=$D254,AR$3=$AC254,AR$3=$AE254),"",IF(AR$3=$AD254,$F254&amp;"R",AR253))))</f>
        <v>wP</v>
      </c>
      <c r="AS254" s="11" t="str">
        <f aca="false">IF($P254=0,AS253,IF(AS$3=$E254,IF($AA254=1,$F254&amp;$AB254,$G254),IF(OR(AS$3=$D254,AS$3=$AC254,AS$3=$AE254),"",IF(AS$3=$AD254,$F254&amp;"R",AS253))))</f>
        <v>wP</v>
      </c>
      <c r="AT254" s="11" t="str">
        <f aca="false">IF($P254=0,AT253,IF(AT$3=$E254,IF($AA254=1,$F254&amp;$AB254,$G254),IF(OR(AT$3=$D254,AT$3=$AC254,AT$3=$AE254),"",IF(AT$3=$AD254,$F254&amp;"R",AT253))))</f>
        <v>wP</v>
      </c>
      <c r="AU254" s="11" t="str">
        <f aca="false">IF($P254=0,AU253,IF(AU$3=$E254,IF($AA254=1,$F254&amp;$AB254,$G254),IF(OR(AU$3=$D254,AU$3=$AC254,AU$3=$AE254),"",IF(AU$3=$AD254,$F254&amp;"R",AU253))))</f>
        <v>wP</v>
      </c>
      <c r="AV254" s="11" t="str">
        <f aca="false">IF($P254=0,AV253,IF(AV$3=$E254,IF($AA254=1,$F254&amp;$AB254,$G254),IF(OR(AV$3=$D254,AV$3=$AC254,AV$3=$AE254),"",IF(AV$3=$AD254,$F254&amp;"R",AV253))))</f>
        <v>wP</v>
      </c>
      <c r="AW254" s="11" t="str">
        <f aca="false">IF($P254=0,AW253,IF(AW$3=$E254,IF($AA254=1,$F254&amp;$AB254,$G254),IF(OR(AW$3=$D254,AW$3=$AC254,AW$3=$AE254),"",IF(AW$3=$AD254,$F254&amp;"R",AW253))))</f>
        <v>wP</v>
      </c>
      <c r="AX254" s="11" t="str">
        <f aca="false">IF($P254=0,AX253,IF(AX$3=$E254,IF($AA254=1,$F254&amp;$AB254,$G254),IF(OR(AX$3=$D254,AX$3=$AC254,AX$3=$AE254),"",IF(AX$3=$AD254,$F254&amp;"R",AX253))))</f>
        <v/>
      </c>
      <c r="AY254" s="11" t="str">
        <f aca="false">IF($P254=0,AY253,IF(AY$3=$E254,IF($AA254=1,$F254&amp;$AB254,$G254),IF(OR(AY$3=$D254,AY$3=$AC254,AY$3=$AE254),"",IF(AY$3=$AD254,$F254&amp;"R",AY253))))</f>
        <v/>
      </c>
      <c r="AZ254" s="11" t="str">
        <f aca="false">IF($P254=0,AZ253,IF(AZ$3=$E254,IF($AA254=1,$F254&amp;$AB254,$G254),IF(OR(AZ$3=$D254,AZ$3=$AC254,AZ$3=$AE254),"",IF(AZ$3=$AD254,$F254&amp;"R",AZ253))))</f>
        <v/>
      </c>
      <c r="BA254" s="11" t="str">
        <f aca="false">IF($P254=0,BA253,IF(BA$3=$E254,IF($AA254=1,$F254&amp;$AB254,$G254),IF(OR(BA$3=$D254,BA$3=$AC254,BA$3=$AE254),"",IF(BA$3=$AD254,$F254&amp;"R",BA253))))</f>
        <v/>
      </c>
      <c r="BB254" s="11" t="str">
        <f aca="false">IF($P254=0,BB253,IF(BB$3=$E254,IF($AA254=1,$F254&amp;$AB254,$G254),IF(OR(BB$3=$D254,BB$3=$AC254,BB$3=$AE254),"",IF(BB$3=$AD254,$F254&amp;"R",BB253))))</f>
        <v/>
      </c>
      <c r="BC254" s="11" t="str">
        <f aca="false">IF($P254=0,BC253,IF(BC$3=$E254,IF($AA254=1,$F254&amp;$AB254,$G254),IF(OR(BC$3=$D254,BC$3=$AC254,BC$3=$AE254),"",IF(BC$3=$AD254,$F254&amp;"R",BC253))))</f>
        <v/>
      </c>
      <c r="BD254" s="11" t="str">
        <f aca="false">IF($P254=0,BD253,IF(BD$3=$E254,IF($AA254=1,$F254&amp;$AB254,$G254),IF(OR(BD$3=$D254,BD$3=$AC254,BD$3=$AE254),"",IF(BD$3=$AD254,$F254&amp;"R",BD253))))</f>
        <v/>
      </c>
      <c r="BE254" s="11" t="str">
        <f aca="false">IF($P254=0,BE253,IF(BE$3=$E254,IF($AA254=1,$F254&amp;$AB254,$G254),IF(OR(BE$3=$D254,BE$3=$AC254,BE$3=$AE254),"",IF(BE$3=$AD254,$F254&amp;"R",BE253))))</f>
        <v/>
      </c>
      <c r="BF254" s="11" t="str">
        <f aca="false">IF($P254=0,BF253,IF(BF$3=$E254,IF($AA254=1,$F254&amp;$AB254,$G254),IF(OR(BF$3=$D254,BF$3=$AC254,BF$3=$AE254),"",IF(BF$3=$AD254,$F254&amp;"R",BF253))))</f>
        <v/>
      </c>
      <c r="BG254" s="11" t="str">
        <f aca="false">IF($P254=0,BG253,IF(BG$3=$E254,IF($AA254=1,$F254&amp;$AB254,$G254),IF(OR(BG$3=$D254,BG$3=$AC254,BG$3=$AE254),"",IF(BG$3=$AD254,$F254&amp;"R",BG253))))</f>
        <v/>
      </c>
      <c r="BH254" s="11" t="str">
        <f aca="false">IF($P254=0,BH253,IF(BH$3=$E254,IF($AA254=1,$F254&amp;$AB254,$G254),IF(OR(BH$3=$D254,BH$3=$AC254,BH$3=$AE254),"",IF(BH$3=$AD254,$F254&amp;"R",BH253))))</f>
        <v/>
      </c>
      <c r="BI254" s="11" t="str">
        <f aca="false">IF($P254=0,BI253,IF(BI$3=$E254,IF($AA254=1,$F254&amp;$AB254,$G254),IF(OR(BI$3=$D254,BI$3=$AC254,BI$3=$AE254),"",IF(BI$3=$AD254,$F254&amp;"R",BI253))))</f>
        <v/>
      </c>
      <c r="BJ254" s="11" t="str">
        <f aca="false">IF($P254=0,BJ253,IF(BJ$3=$E254,IF($AA254=1,$F254&amp;$AB254,$G254),IF(OR(BJ$3=$D254,BJ$3=$AC254,BJ$3=$AE254),"",IF(BJ$3=$AD254,$F254&amp;"R",BJ253))))</f>
        <v/>
      </c>
      <c r="BK254" s="11" t="str">
        <f aca="false">IF($P254=0,BK253,IF(BK$3=$E254,IF($AA254=1,$F254&amp;$AB254,$G254),IF(OR(BK$3=$D254,BK$3=$AC254,BK$3=$AE254),"",IF(BK$3=$AD254,$F254&amp;"R",BK253))))</f>
        <v/>
      </c>
      <c r="BL254" s="11" t="str">
        <f aca="false">IF($P254=0,BL253,IF(BL$3=$E254,IF($AA254=1,$F254&amp;$AB254,$G254),IF(OR(BL$3=$D254,BL$3=$AC254,BL$3=$AE254),"",IF(BL$3=$AD254,$F254&amp;"R",BL253))))</f>
        <v/>
      </c>
      <c r="BM254" s="11" t="str">
        <f aca="false">IF($P254=0,BM253,IF(BM$3=$E254,IF($AA254=1,$F254&amp;$AB254,$G254),IF(OR(BM$3=$D254,BM$3=$AC254,BM$3=$AE254),"",IF(BM$3=$AD254,$F254&amp;"R",BM253))))</f>
        <v/>
      </c>
      <c r="BN254" s="11" t="str">
        <f aca="false">IF($P254=0,BN253,IF(BN$3=$E254,IF($AA254=1,$F254&amp;$AB254,$G254),IF(OR(BN$3=$D254,BN$3=$AC254,BN$3=$AE254),"",IF(BN$3=$AD254,$F254&amp;"R",BN253))))</f>
        <v/>
      </c>
      <c r="BO254" s="11" t="str">
        <f aca="false">IF($P254=0,BO253,IF(BO$3=$E254,IF($AA254=1,$F254&amp;$AB254,$G254),IF(OR(BO$3=$D254,BO$3=$AC254,BO$3=$AE254),"",IF(BO$3=$AD254,$F254&amp;"R",BO253))))</f>
        <v/>
      </c>
      <c r="BP254" s="11" t="str">
        <f aca="false">IF($P254=0,BP253,IF(BP$3=$E254,IF($AA254=1,$F254&amp;$AB254,$G254),IF(OR(BP$3=$D254,BP$3=$AC254,BP$3=$AE254),"",IF(BP$3=$AD254,$F254&amp;"R",BP253))))</f>
        <v/>
      </c>
      <c r="BQ254" s="11" t="str">
        <f aca="false">IF($P254=0,BQ253,IF(BQ$3=$E254,IF($AA254=1,$F254&amp;$AB254,$G254),IF(OR(BQ$3=$D254,BQ$3=$AC254,BQ$3=$AE254),"",IF(BQ$3=$AD254,$F254&amp;"R",BQ253))))</f>
        <v/>
      </c>
      <c r="BR254" s="11" t="str">
        <f aca="false">IF($P254=0,BR253,IF(BR$3=$E254,IF($AA254=1,$F254&amp;$AB254,$G254),IF(OR(BR$3=$D254,BR$3=$AC254,BR$3=$AE254),"",IF(BR$3=$AD254,$F254&amp;"R",BR253))))</f>
        <v/>
      </c>
      <c r="BS254" s="11" t="str">
        <f aca="false">IF($P254=0,BS253,IF(BS$3=$E254,IF($AA254=1,$F254&amp;$AB254,$G254),IF(OR(BS$3=$D254,BS$3=$AC254,BS$3=$AE254),"",IF(BS$3=$AD254,$F254&amp;"R",BS253))))</f>
        <v/>
      </c>
      <c r="BT254" s="11" t="str">
        <f aca="false">IF($P254=0,BT253,IF(BT$3=$E254,IF($AA254=1,$F254&amp;$AB254,$G254),IF(OR(BT$3=$D254,BT$3=$AC254,BT$3=$AE254),"",IF(BT$3=$AD254,$F254&amp;"R",BT253))))</f>
        <v/>
      </c>
      <c r="BU254" s="11" t="str">
        <f aca="false">IF($P254=0,BU253,IF(BU$3=$E254,IF($AA254=1,$F254&amp;$AB254,$G254),IF(OR(BU$3=$D254,BU$3=$AC254,BU$3=$AE254),"",IF(BU$3=$AD254,$F254&amp;"R",BU253))))</f>
        <v/>
      </c>
      <c r="BV254" s="11" t="str">
        <f aca="false">IF($P254=0,BV253,IF(BV$3=$E254,IF($AA254=1,$F254&amp;$AB254,$G254),IF(OR(BV$3=$D254,BV$3=$AC254,BV$3=$AE254),"",IF(BV$3=$AD254,$F254&amp;"R",BV253))))</f>
        <v/>
      </c>
      <c r="BW254" s="11" t="str">
        <f aca="false">IF($P254=0,BW253,IF(BW$3=$E254,IF($AA254=1,$F254&amp;$AB254,$G254),IF(OR(BW$3=$D254,BW$3=$AC254,BW$3=$AE254),"",IF(BW$3=$AD254,$F254&amp;"R",BW253))))</f>
        <v/>
      </c>
      <c r="BX254" s="11" t="str">
        <f aca="false">IF($P254=0,BX253,IF(BX$3=$E254,IF($AA254=1,$F254&amp;$AB254,$G254),IF(OR(BX$3=$D254,BX$3=$AC254,BX$3=$AE254),"",IF(BX$3=$AD254,$F254&amp;"R",BX253))))</f>
        <v/>
      </c>
      <c r="BY254" s="11" t="str">
        <f aca="false">IF($P254=0,BY253,IF(BY$3=$E254,IF($AA254=1,$F254&amp;$AB254,$G254),IF(OR(BY$3=$D254,BY$3=$AC254,BY$3=$AE254),"",IF(BY$3=$AD254,$F254&amp;"R",BY253))))</f>
        <v/>
      </c>
      <c r="BZ254" s="11" t="str">
        <f aca="false">IF($P254=0,BZ253,IF(BZ$3=$E254,IF($AA254=1,$F254&amp;$AB254,$G254),IF(OR(BZ$3=$D254,BZ$3=$AC254,BZ$3=$AE254),"",IF(BZ$3=$AD254,$F254&amp;"R",BZ253))))</f>
        <v/>
      </c>
      <c r="CA254" s="11" t="str">
        <f aca="false">IF($P254=0,CA253,IF(CA$3=$E254,IF($AA254=1,$F254&amp;$AB254,$G254),IF(OR(CA$3=$D254,CA$3=$AC254,CA$3=$AE254),"",IF(CA$3=$AD254,$F254&amp;"R",CA253))))</f>
        <v/>
      </c>
      <c r="CB254" s="11" t="str">
        <f aca="false">IF($P254=0,CB253,IF(CB$3=$E254,IF($AA254=1,$F254&amp;$AB254,$G254),IF(OR(CB$3=$D254,CB$3=$AC254,CB$3=$AE254),"",IF(CB$3=$AD254,$F254&amp;"R",CB253))))</f>
        <v/>
      </c>
      <c r="CC254" s="11" t="str">
        <f aca="false">IF($P254=0,CC253,IF(CC$3=$E254,IF($AA254=1,$F254&amp;$AB254,$G254),IF(OR(CC$3=$D254,CC$3=$AC254,CC$3=$AE254),"",IF(CC$3=$AD254,$F254&amp;"R",CC253))))</f>
        <v/>
      </c>
      <c r="CD254" s="11" t="str">
        <f aca="false">IF($P254=0,CD253,IF(CD$3=$E254,IF($AA254=1,$F254&amp;$AB254,$G254),IF(OR(CD$3=$D254,CD$3=$AC254,CD$3=$AE254),"",IF(CD$3=$AD254,$F254&amp;"R",CD253))))</f>
        <v>bP</v>
      </c>
      <c r="CE254" s="11" t="str">
        <f aca="false">IF($P254=0,CE253,IF(CE$3=$E254,IF($AA254=1,$F254&amp;$AB254,$G254),IF(OR(CE$3=$D254,CE$3=$AC254,CE$3=$AE254),"",IF(CE$3=$AD254,$F254&amp;"R",CE253))))</f>
        <v>bP</v>
      </c>
      <c r="CF254" s="11" t="str">
        <f aca="false">IF($P254=0,CF253,IF(CF$3=$E254,IF($AA254=1,$F254&amp;$AB254,$G254),IF(OR(CF$3=$D254,CF$3=$AC254,CF$3=$AE254),"",IF(CF$3=$AD254,$F254&amp;"R",CF253))))</f>
        <v>bP</v>
      </c>
      <c r="CG254" s="11" t="str">
        <f aca="false">IF($P254=0,CG253,IF(CG$3=$E254,IF($AA254=1,$F254&amp;$AB254,$G254),IF(OR(CG$3=$D254,CG$3=$AC254,CG$3=$AE254),"",IF(CG$3=$AD254,$F254&amp;"R",CG253))))</f>
        <v>bP</v>
      </c>
      <c r="CH254" s="11" t="str">
        <f aca="false">IF($P254=0,CH253,IF(CH$3=$E254,IF($AA254=1,$F254&amp;$AB254,$G254),IF(OR(CH$3=$D254,CH$3=$AC254,CH$3=$AE254),"",IF(CH$3=$AD254,$F254&amp;"R",CH253))))</f>
        <v>bP</v>
      </c>
      <c r="CI254" s="11" t="str">
        <f aca="false">IF($P254=0,CI253,IF(CI$3=$E254,IF($AA254=1,$F254&amp;$AB254,$G254),IF(OR(CI$3=$D254,CI$3=$AC254,CI$3=$AE254),"",IF(CI$3=$AD254,$F254&amp;"R",CI253))))</f>
        <v>bP</v>
      </c>
      <c r="CJ254" s="11" t="str">
        <f aca="false">IF($P254=0,CJ253,IF(CJ$3=$E254,IF($AA254=1,$F254&amp;$AB254,$G254),IF(OR(CJ$3=$D254,CJ$3=$AC254,CJ$3=$AE254),"",IF(CJ$3=$AD254,$F254&amp;"R",CJ253))))</f>
        <v>bP</v>
      </c>
      <c r="CK254" s="11" t="str">
        <f aca="false">IF($P254=0,CK253,IF(CK$3=$E254,IF($AA254=1,$F254&amp;$AB254,$G254),IF(OR(CK$3=$D254,CK$3=$AC254,CK$3=$AE254),"",IF(CK$3=$AD254,$F254&amp;"R",CK253))))</f>
        <v>bP</v>
      </c>
      <c r="CL254" s="11" t="str">
        <f aca="false">IF($P254=0,CL253,IF(CL$3=$E254,IF($AA254=1,$F254&amp;$AB254,$G254),IF(OR(CL$3=$D254,CL$3=$AC254,CL$3=$AE254),"",IF(CL$3=$AD254,$F254&amp;"R",CL253))))</f>
        <v>bR</v>
      </c>
      <c r="CM254" s="11" t="str">
        <f aca="false">IF($P254=0,CM253,IF(CM$3=$E254,IF($AA254=1,$F254&amp;$AB254,$G254),IF(OR(CM$3=$D254,CM$3=$AC254,CM$3=$AE254),"",IF(CM$3=$AD254,$F254&amp;"R",CM253))))</f>
        <v>bN</v>
      </c>
      <c r="CN254" s="11" t="str">
        <f aca="false">IF($P254=0,CN253,IF(CN$3=$E254,IF($AA254=1,$F254&amp;$AB254,$G254),IF(OR(CN$3=$D254,CN$3=$AC254,CN$3=$AE254),"",IF(CN$3=$AD254,$F254&amp;"R",CN253))))</f>
        <v>bB</v>
      </c>
      <c r="CO254" s="11" t="str">
        <f aca="false">IF($P254=0,CO253,IF(CO$3=$E254,IF($AA254=1,$F254&amp;$AB254,$G254),IF(OR(CO$3=$D254,CO$3=$AC254,CO$3=$AE254),"",IF(CO$3=$AD254,$F254&amp;"R",CO253))))</f>
        <v>bQ</v>
      </c>
      <c r="CP254" s="11" t="str">
        <f aca="false">IF($P254=0,CP253,IF(CP$3=$E254,IF($AA254=1,$F254&amp;$AB254,$G254),IF(OR(CP$3=$D254,CP$3=$AC254,CP$3=$AE254),"",IF(CP$3=$AD254,$F254&amp;"R",CP253))))</f>
        <v>bK</v>
      </c>
      <c r="CQ254" s="11" t="str">
        <f aca="false">IF($P254=0,CQ253,IF(CQ$3=$E254,IF($AA254=1,$F254&amp;$AB254,$G254),IF(OR(CQ$3=$D254,CQ$3=$AC254,CQ$3=$AE254),"",IF(CQ$3=$AD254,$F254&amp;"R",CQ253))))</f>
        <v>bB</v>
      </c>
      <c r="CR254" s="11" t="str">
        <f aca="false">IF($P254=0,CR253,IF(CR$3=$E254,IF($AA254=1,$F254&amp;$AB254,$G254),IF(OR(CR$3=$D254,CR$3=$AC254,CR$3=$AE254),"",IF(CR$3=$AD254,$F254&amp;"R",CR253))))</f>
        <v>bN</v>
      </c>
      <c r="CS254" s="11" t="str">
        <f aca="false">IF($P254=0,CS253,IF(CS$3=$E254,IF($AA254=1,$F254&amp;$AB254,$G254),IF(OR(CS$3=$D254,CS$3=$AC254,CS$3=$AE254),"",IF(CS$3=$AD254,$F254&amp;"R",CS253))))</f>
        <v>bR</v>
      </c>
      <c r="CT254" s="11"/>
      <c r="CU254" s="11"/>
      <c r="CV254" s="11"/>
    </row>
    <row r="255" customFormat="false" ht="15" hidden="false" customHeight="false" outlineLevel="0" collapsed="false">
      <c r="A255" s="11" t="n">
        <v>250</v>
      </c>
      <c r="B255" s="11" t="str">
        <f aca="false">IF(Chess!$L$259="","",Chess!$L$259&amp;"")</f>
        <v/>
      </c>
      <c r="C255" s="11" t="str">
        <f aca="false">LOWER(SUBSTITUTE(SUBSTITUTE(SUBSTITUTE(SUBSTITUTE(TRIM($B255),"-",""),"=","")," ",""),"x",""))</f>
        <v/>
      </c>
      <c r="D255" s="11" t="n">
        <f aca="false">IF(LEN($C255)&lt;4,0,IFERROR(IF(AND(CODE(MID($C255,1,1))&gt;=97,CODE(MID($C255,1,1))&lt;=104,VALUE(MID($C255,2,1))&gt;=1,VALUE(MID($C255,2,1))&lt;=8),(VALUE(MID($C255,2,1))-1)*8+CODE(MID($C255,1,1))-96,0),0))</f>
        <v>0</v>
      </c>
      <c r="E255" s="11" t="n">
        <f aca="false">IF(LEN($C255)&lt;4,0,IFERROR(IF(AND(CODE(MID($C255,3,1))&gt;=97,CODE(MID($C255,3,1))&lt;=104,VALUE(MID($C255,4,1))&gt;=1,VALUE(MID($C255,4,1))&lt;=8),(VALUE(MID($C255,4,1))-1)*8+CODE(MID($C255,3,1))-96,0),0))</f>
        <v>0</v>
      </c>
      <c r="F255" s="11" t="str">
        <f aca="false">IF(MOD(SUM($P$5:$P254),2)=0,"w","b")</f>
        <v>w</v>
      </c>
      <c r="G255" s="11" t="str">
        <f aca="false">IF($D255=0,"",INDEX($AH254:$CS254,1,$D255)&amp;"")</f>
        <v/>
      </c>
      <c r="H255" s="11" t="str">
        <f aca="false">IF($E255=0,"",INDEX($AH254:$CS254,1,$E255)&amp;"")</f>
        <v/>
      </c>
      <c r="I255" s="11" t="n">
        <f aca="false">IF(OR($D255=0,$E255=0),0,MOD($E255-1,8)-MOD($D255-1,8))</f>
        <v>0</v>
      </c>
      <c r="J255" s="11" t="n">
        <f aca="false">IF(OR($D255=0,$E255=0),0,INT(($E255-1)/8)-INT(($D255-1)/8))</f>
        <v>0</v>
      </c>
      <c r="K255" s="11" t="str">
        <f aca="false">IF($G255="","",RIGHT($G255,1))</f>
        <v/>
      </c>
      <c r="L255" s="11" t="n">
        <f aca="false">IF(OR($D255=0,$E255=0),0,SUMPRODUCT(($AH$3:$CS$3&gt;MIN($D255,$E255))*($AH$3:$CS$3&lt;MAX($D255,$E255))*(MOD($AH$3:$CS$3-MIN($D255,$E255),MAX(1,ABS(SIGN($J255)*8+SIGN($I255))))=0)*($AH254:$CS254&lt;&gt;"")))</f>
        <v>0</v>
      </c>
      <c r="M255" s="11" t="n">
        <f aca="false">IF($K255&lt;&gt;"K",0,IFERROR(--AND($J255=0,ABS($I255)=2,$D255=IF($F255="w",5,61),IF($F255="w",$S254,$V254)=0,IF($I255=2,AND(IF($F255="w",$U254,$X254)=0,INDEX($AH254:$CS254,1,$D255+1)&amp;""="",INDEX($AH254:$CS254,1,$D255+2)&amp;""=""),AND(IF($F255="w",$T254,$W254)=0,INDEX($AH254:$CS254,1,$D255-1)&amp;""="",INDEX($AH254:$CS254,1,$D255-2)&amp;""="",INDEX($AH254:$CS254,1,$D255-3)&amp;""=""))),0))</f>
        <v>0</v>
      </c>
      <c r="N255" s="11" t="n">
        <f aca="false">IF($K255&lt;&gt;"P",0,IFERROR(--OR(AND($I255=0,$J255=IF($F255="w",1,-1),$H255=""),AND($I255=0,$J255=2*IF($F255="w",1,-1),$H255="",INT(($D255-1)/8)=IF($F255="w",1,6),INDEX($AH254:$CS254,1,MAX(1,MIN(64,$D255+8*IF($F255="w",1,-1))))&amp;""=""),AND(ABS($I255)=1,$J255=IF($F255="w",1,-1),$H255&lt;&gt;""),AND(ABS($I255)=1,$J255=IF($F255="w",1,-1),$H255="",$R254&gt;0,$E255=$R254)),0))</f>
        <v>0</v>
      </c>
      <c r="O255" s="11" t="n">
        <f aca="false">IF(OR($D255=0,$E255=0,$G255=""),0,IF($K255="N",--OR(AND(ABS($I255)=1,ABS($J255)=2),AND(ABS($I255)=2,ABS($J255)=1)),IF($K255="B",--AND(ABS($I255)=ABS($J255),$I255&lt;&gt;0,$L255=0),IF($K255="R",--AND(OR($I255=0,$J255=0),OR($I255&lt;&gt;0,$J255&lt;&gt;0),$L255=0),IF($K255="Q",--AND(OR(AND(ABS($I255)=ABS($J255),$I255&lt;&gt;0),AND(OR($I255=0,$J255=0),OR($I255&lt;&gt;0,$J255&lt;&gt;0))),$L255=0),IF($K255="K",--OR(MAX(ABS($I255),ABS($J255))=1,$M255=1),$N255))))))</f>
        <v>0</v>
      </c>
      <c r="P255" s="11" t="n">
        <f aca="false">IF($Q255="OK",1,0)</f>
        <v>0</v>
      </c>
      <c r="Q255" s="11" t="str">
        <f aca="false">IF($B255="","",IF(OR(COUNTIF($AH254:$CS254,"wK")=0,COUNTIF($AH254:$CS254,"bK")=0),"Game is over",IF(OR($D255=0,$E255=0),"Use the format e2e4",IF($G255="","No piece on that square",IF(LEFT($G255,1)&lt;&gt;$F255,"Not your piece ("&amp;IF($F255="w","White","Black")&amp;" to move)",IF($D255=$E255,"Piece must move",IF(AND($H255&lt;&gt;"",LEFT($H255,1)=$F255),"Cannot capture your own piece",IF($O255=0,"Illegal move for that piece (or path blocked)","OK"))))))))</f>
        <v/>
      </c>
      <c r="R255" s="11" t="n">
        <f aca="false">IF($P255=1,IF(AND($K255="P",ABS($J255)=2),($D255+$E255)/2,0),$R254)</f>
        <v>0</v>
      </c>
      <c r="S255" s="12" t="b">
        <f aca="false">--OR($S254=1,AND($P255=1,OR($D255=5,$E255=5)))</f>
        <v>0</v>
      </c>
      <c r="T255" s="12" t="b">
        <f aca="false">--OR($T254=1,AND($P255=1,OR($D255=1,$E255=1)))</f>
        <v>0</v>
      </c>
      <c r="U255" s="12" t="b">
        <f aca="false">--OR($U254=1,AND($P255=1,OR($D255=8,$E255=8)))</f>
        <v>0</v>
      </c>
      <c r="V255" s="12" t="b">
        <f aca="false">--OR($V254=1,AND($P255=1,OR($D255=61,$E255=61)))</f>
        <v>0</v>
      </c>
      <c r="W255" s="12" t="b">
        <f aca="false">--OR($W254=1,AND($P255=1,OR($D255=57,$E255=57)))</f>
        <v>0</v>
      </c>
      <c r="X255" s="12" t="b">
        <f aca="false">--OR($X254=1,AND($P255=1,OR($D255=64,$E255=64)))</f>
        <v>0</v>
      </c>
      <c r="Y255" s="12" t="b">
        <f aca="false">--AND($P255=1,$K255="K",ABS($I255)=2)</f>
        <v>0</v>
      </c>
      <c r="Z255" s="12" t="b">
        <f aca="false">--AND($P255=1,$K255="P",ABS($I255)=1,$H255="")</f>
        <v>0</v>
      </c>
      <c r="AA255" s="12" t="b">
        <f aca="false">--AND($P255=1,$K255="P",INT(($E255-1)/8)=IF($F255="w",7,0))</f>
        <v>0</v>
      </c>
      <c r="AB255" s="11" t="str">
        <f aca="false">IF(LEN($C255)&gt;=5,IF(ISNUMBER(FIND(MID($C255,5,1),"qrbn")),UPPER(MID($C255,5,1)),"Q"),"Q")</f>
        <v>Q</v>
      </c>
      <c r="AC255" s="11" t="n">
        <f aca="false">IF($Y255=1,IF($I255=2,$D255+3,$D255-4),0)</f>
        <v>0</v>
      </c>
      <c r="AD255" s="11" t="n">
        <f aca="false">IF($Y255=1,IF($I255=2,$D255+1,$D255-1),0)</f>
        <v>0</v>
      </c>
      <c r="AE255" s="11" t="n">
        <f aca="false">IF($Z255=1,$E255-8*IF($F255="w",1,-1),0)</f>
        <v>0</v>
      </c>
      <c r="AF255" s="11" t="str">
        <f aca="false">IF($B255="","",IF($P255=1,LOWER(INDEX($CV$2:$CV$13,MATCH($G255,$CU$2:$CU$13,0)))&amp;" "&amp;MID("abcdefgh",MOD($D255-1,8)+1,1)&amp;(INT(($D255-1)/8)+1)&amp;"→"&amp;MID("abcdefgh",MOD($E255-1,8)+1,1)&amp;(INT(($E255-1)/8)+1)&amp;IF(OR($H255&lt;&gt;"",$Z255=1)," ×","")&amp;IF($Y255=1," castles","")&amp;IF($Z255=1," e.p.","")&amp;IF($AA255=1," =" &amp;LOWER(INDEX($CV$2:$CV$13,MATCH($F255&amp;$AB255,$CU$2:$CU$13,0))),""),"X "&amp;$Q255))</f>
        <v/>
      </c>
      <c r="AG255" s="11"/>
      <c r="AH255" s="11" t="str">
        <f aca="false">IF($P255=0,AH254,IF(AH$3=$E255,IF($AA255=1,$F255&amp;$AB255,$G255),IF(OR(AH$3=$D255,AH$3=$AC255,AH$3=$AE255),"",IF(AH$3=$AD255,$F255&amp;"R",AH254))))</f>
        <v>wR</v>
      </c>
      <c r="AI255" s="11" t="str">
        <f aca="false">IF($P255=0,AI254,IF(AI$3=$E255,IF($AA255=1,$F255&amp;$AB255,$G255),IF(OR(AI$3=$D255,AI$3=$AC255,AI$3=$AE255),"",IF(AI$3=$AD255,$F255&amp;"R",AI254))))</f>
        <v>wN</v>
      </c>
      <c r="AJ255" s="11" t="str">
        <f aca="false">IF($P255=0,AJ254,IF(AJ$3=$E255,IF($AA255=1,$F255&amp;$AB255,$G255),IF(OR(AJ$3=$D255,AJ$3=$AC255,AJ$3=$AE255),"",IF(AJ$3=$AD255,$F255&amp;"R",AJ254))))</f>
        <v>wB</v>
      </c>
      <c r="AK255" s="11" t="str">
        <f aca="false">IF($P255=0,AK254,IF(AK$3=$E255,IF($AA255=1,$F255&amp;$AB255,$G255),IF(OR(AK$3=$D255,AK$3=$AC255,AK$3=$AE255),"",IF(AK$3=$AD255,$F255&amp;"R",AK254))))</f>
        <v>wQ</v>
      </c>
      <c r="AL255" s="11" t="str">
        <f aca="false">IF($P255=0,AL254,IF(AL$3=$E255,IF($AA255=1,$F255&amp;$AB255,$G255),IF(OR(AL$3=$D255,AL$3=$AC255,AL$3=$AE255),"",IF(AL$3=$AD255,$F255&amp;"R",AL254))))</f>
        <v>wK</v>
      </c>
      <c r="AM255" s="11" t="str">
        <f aca="false">IF($P255=0,AM254,IF(AM$3=$E255,IF($AA255=1,$F255&amp;$AB255,$G255),IF(OR(AM$3=$D255,AM$3=$AC255,AM$3=$AE255),"",IF(AM$3=$AD255,$F255&amp;"R",AM254))))</f>
        <v>wB</v>
      </c>
      <c r="AN255" s="11" t="str">
        <f aca="false">IF($P255=0,AN254,IF(AN$3=$E255,IF($AA255=1,$F255&amp;$AB255,$G255),IF(OR(AN$3=$D255,AN$3=$AC255,AN$3=$AE255),"",IF(AN$3=$AD255,$F255&amp;"R",AN254))))</f>
        <v>wN</v>
      </c>
      <c r="AO255" s="11" t="str">
        <f aca="false">IF($P255=0,AO254,IF(AO$3=$E255,IF($AA255=1,$F255&amp;$AB255,$G255),IF(OR(AO$3=$D255,AO$3=$AC255,AO$3=$AE255),"",IF(AO$3=$AD255,$F255&amp;"R",AO254))))</f>
        <v>wR</v>
      </c>
      <c r="AP255" s="11" t="str">
        <f aca="false">IF($P255=0,AP254,IF(AP$3=$E255,IF($AA255=1,$F255&amp;$AB255,$G255),IF(OR(AP$3=$D255,AP$3=$AC255,AP$3=$AE255),"",IF(AP$3=$AD255,$F255&amp;"R",AP254))))</f>
        <v>wP</v>
      </c>
      <c r="AQ255" s="11" t="str">
        <f aca="false">IF($P255=0,AQ254,IF(AQ$3=$E255,IF($AA255=1,$F255&amp;$AB255,$G255),IF(OR(AQ$3=$D255,AQ$3=$AC255,AQ$3=$AE255),"",IF(AQ$3=$AD255,$F255&amp;"R",AQ254))))</f>
        <v>wP</v>
      </c>
      <c r="AR255" s="11" t="str">
        <f aca="false">IF($P255=0,AR254,IF(AR$3=$E255,IF($AA255=1,$F255&amp;$AB255,$G255),IF(OR(AR$3=$D255,AR$3=$AC255,AR$3=$AE255),"",IF(AR$3=$AD255,$F255&amp;"R",AR254))))</f>
        <v>wP</v>
      </c>
      <c r="AS255" s="11" t="str">
        <f aca="false">IF($P255=0,AS254,IF(AS$3=$E255,IF($AA255=1,$F255&amp;$AB255,$G255),IF(OR(AS$3=$D255,AS$3=$AC255,AS$3=$AE255),"",IF(AS$3=$AD255,$F255&amp;"R",AS254))))</f>
        <v>wP</v>
      </c>
      <c r="AT255" s="11" t="str">
        <f aca="false">IF($P255=0,AT254,IF(AT$3=$E255,IF($AA255=1,$F255&amp;$AB255,$G255),IF(OR(AT$3=$D255,AT$3=$AC255,AT$3=$AE255),"",IF(AT$3=$AD255,$F255&amp;"R",AT254))))</f>
        <v>wP</v>
      </c>
      <c r="AU255" s="11" t="str">
        <f aca="false">IF($P255=0,AU254,IF(AU$3=$E255,IF($AA255=1,$F255&amp;$AB255,$G255),IF(OR(AU$3=$D255,AU$3=$AC255,AU$3=$AE255),"",IF(AU$3=$AD255,$F255&amp;"R",AU254))))</f>
        <v>wP</v>
      </c>
      <c r="AV255" s="11" t="str">
        <f aca="false">IF($P255=0,AV254,IF(AV$3=$E255,IF($AA255=1,$F255&amp;$AB255,$G255),IF(OR(AV$3=$D255,AV$3=$AC255,AV$3=$AE255),"",IF(AV$3=$AD255,$F255&amp;"R",AV254))))</f>
        <v>wP</v>
      </c>
      <c r="AW255" s="11" t="str">
        <f aca="false">IF($P255=0,AW254,IF(AW$3=$E255,IF($AA255=1,$F255&amp;$AB255,$G255),IF(OR(AW$3=$D255,AW$3=$AC255,AW$3=$AE255),"",IF(AW$3=$AD255,$F255&amp;"R",AW254))))</f>
        <v>wP</v>
      </c>
      <c r="AX255" s="11" t="str">
        <f aca="false">IF($P255=0,AX254,IF(AX$3=$E255,IF($AA255=1,$F255&amp;$AB255,$G255),IF(OR(AX$3=$D255,AX$3=$AC255,AX$3=$AE255),"",IF(AX$3=$AD255,$F255&amp;"R",AX254))))</f>
        <v/>
      </c>
      <c r="AY255" s="11" t="str">
        <f aca="false">IF($P255=0,AY254,IF(AY$3=$E255,IF($AA255=1,$F255&amp;$AB255,$G255),IF(OR(AY$3=$D255,AY$3=$AC255,AY$3=$AE255),"",IF(AY$3=$AD255,$F255&amp;"R",AY254))))</f>
        <v/>
      </c>
      <c r="AZ255" s="11" t="str">
        <f aca="false">IF($P255=0,AZ254,IF(AZ$3=$E255,IF($AA255=1,$F255&amp;$AB255,$G255),IF(OR(AZ$3=$D255,AZ$3=$AC255,AZ$3=$AE255),"",IF(AZ$3=$AD255,$F255&amp;"R",AZ254))))</f>
        <v/>
      </c>
      <c r="BA255" s="11" t="str">
        <f aca="false">IF($P255=0,BA254,IF(BA$3=$E255,IF($AA255=1,$F255&amp;$AB255,$G255),IF(OR(BA$3=$D255,BA$3=$AC255,BA$3=$AE255),"",IF(BA$3=$AD255,$F255&amp;"R",BA254))))</f>
        <v/>
      </c>
      <c r="BB255" s="11" t="str">
        <f aca="false">IF($P255=0,BB254,IF(BB$3=$E255,IF($AA255=1,$F255&amp;$AB255,$G255),IF(OR(BB$3=$D255,BB$3=$AC255,BB$3=$AE255),"",IF(BB$3=$AD255,$F255&amp;"R",BB254))))</f>
        <v/>
      </c>
      <c r="BC255" s="11" t="str">
        <f aca="false">IF($P255=0,BC254,IF(BC$3=$E255,IF($AA255=1,$F255&amp;$AB255,$G255),IF(OR(BC$3=$D255,BC$3=$AC255,BC$3=$AE255),"",IF(BC$3=$AD255,$F255&amp;"R",BC254))))</f>
        <v/>
      </c>
      <c r="BD255" s="11" t="str">
        <f aca="false">IF($P255=0,BD254,IF(BD$3=$E255,IF($AA255=1,$F255&amp;$AB255,$G255),IF(OR(BD$3=$D255,BD$3=$AC255,BD$3=$AE255),"",IF(BD$3=$AD255,$F255&amp;"R",BD254))))</f>
        <v/>
      </c>
      <c r="BE255" s="11" t="str">
        <f aca="false">IF($P255=0,BE254,IF(BE$3=$E255,IF($AA255=1,$F255&amp;$AB255,$G255),IF(OR(BE$3=$D255,BE$3=$AC255,BE$3=$AE255),"",IF(BE$3=$AD255,$F255&amp;"R",BE254))))</f>
        <v/>
      </c>
      <c r="BF255" s="11" t="str">
        <f aca="false">IF($P255=0,BF254,IF(BF$3=$E255,IF($AA255=1,$F255&amp;$AB255,$G255),IF(OR(BF$3=$D255,BF$3=$AC255,BF$3=$AE255),"",IF(BF$3=$AD255,$F255&amp;"R",BF254))))</f>
        <v/>
      </c>
      <c r="BG255" s="11" t="str">
        <f aca="false">IF($P255=0,BG254,IF(BG$3=$E255,IF($AA255=1,$F255&amp;$AB255,$G255),IF(OR(BG$3=$D255,BG$3=$AC255,BG$3=$AE255),"",IF(BG$3=$AD255,$F255&amp;"R",BG254))))</f>
        <v/>
      </c>
      <c r="BH255" s="11" t="str">
        <f aca="false">IF($P255=0,BH254,IF(BH$3=$E255,IF($AA255=1,$F255&amp;$AB255,$G255),IF(OR(BH$3=$D255,BH$3=$AC255,BH$3=$AE255),"",IF(BH$3=$AD255,$F255&amp;"R",BH254))))</f>
        <v/>
      </c>
      <c r="BI255" s="11" t="str">
        <f aca="false">IF($P255=0,BI254,IF(BI$3=$E255,IF($AA255=1,$F255&amp;$AB255,$G255),IF(OR(BI$3=$D255,BI$3=$AC255,BI$3=$AE255),"",IF(BI$3=$AD255,$F255&amp;"R",BI254))))</f>
        <v/>
      </c>
      <c r="BJ255" s="11" t="str">
        <f aca="false">IF($P255=0,BJ254,IF(BJ$3=$E255,IF($AA255=1,$F255&amp;$AB255,$G255),IF(OR(BJ$3=$D255,BJ$3=$AC255,BJ$3=$AE255),"",IF(BJ$3=$AD255,$F255&amp;"R",BJ254))))</f>
        <v/>
      </c>
      <c r="BK255" s="11" t="str">
        <f aca="false">IF($P255=0,BK254,IF(BK$3=$E255,IF($AA255=1,$F255&amp;$AB255,$G255),IF(OR(BK$3=$D255,BK$3=$AC255,BK$3=$AE255),"",IF(BK$3=$AD255,$F255&amp;"R",BK254))))</f>
        <v/>
      </c>
      <c r="BL255" s="11" t="str">
        <f aca="false">IF($P255=0,BL254,IF(BL$3=$E255,IF($AA255=1,$F255&amp;$AB255,$G255),IF(OR(BL$3=$D255,BL$3=$AC255,BL$3=$AE255),"",IF(BL$3=$AD255,$F255&amp;"R",BL254))))</f>
        <v/>
      </c>
      <c r="BM255" s="11" t="str">
        <f aca="false">IF($P255=0,BM254,IF(BM$3=$E255,IF($AA255=1,$F255&amp;$AB255,$G255),IF(OR(BM$3=$D255,BM$3=$AC255,BM$3=$AE255),"",IF(BM$3=$AD255,$F255&amp;"R",BM254))))</f>
        <v/>
      </c>
      <c r="BN255" s="11" t="str">
        <f aca="false">IF($P255=0,BN254,IF(BN$3=$E255,IF($AA255=1,$F255&amp;$AB255,$G255),IF(OR(BN$3=$D255,BN$3=$AC255,BN$3=$AE255),"",IF(BN$3=$AD255,$F255&amp;"R",BN254))))</f>
        <v/>
      </c>
      <c r="BO255" s="11" t="str">
        <f aca="false">IF($P255=0,BO254,IF(BO$3=$E255,IF($AA255=1,$F255&amp;$AB255,$G255),IF(OR(BO$3=$D255,BO$3=$AC255,BO$3=$AE255),"",IF(BO$3=$AD255,$F255&amp;"R",BO254))))</f>
        <v/>
      </c>
      <c r="BP255" s="11" t="str">
        <f aca="false">IF($P255=0,BP254,IF(BP$3=$E255,IF($AA255=1,$F255&amp;$AB255,$G255),IF(OR(BP$3=$D255,BP$3=$AC255,BP$3=$AE255),"",IF(BP$3=$AD255,$F255&amp;"R",BP254))))</f>
        <v/>
      </c>
      <c r="BQ255" s="11" t="str">
        <f aca="false">IF($P255=0,BQ254,IF(BQ$3=$E255,IF($AA255=1,$F255&amp;$AB255,$G255),IF(OR(BQ$3=$D255,BQ$3=$AC255,BQ$3=$AE255),"",IF(BQ$3=$AD255,$F255&amp;"R",BQ254))))</f>
        <v/>
      </c>
      <c r="BR255" s="11" t="str">
        <f aca="false">IF($P255=0,BR254,IF(BR$3=$E255,IF($AA255=1,$F255&amp;$AB255,$G255),IF(OR(BR$3=$D255,BR$3=$AC255,BR$3=$AE255),"",IF(BR$3=$AD255,$F255&amp;"R",BR254))))</f>
        <v/>
      </c>
      <c r="BS255" s="11" t="str">
        <f aca="false">IF($P255=0,BS254,IF(BS$3=$E255,IF($AA255=1,$F255&amp;$AB255,$G255),IF(OR(BS$3=$D255,BS$3=$AC255,BS$3=$AE255),"",IF(BS$3=$AD255,$F255&amp;"R",BS254))))</f>
        <v/>
      </c>
      <c r="BT255" s="11" t="str">
        <f aca="false">IF($P255=0,BT254,IF(BT$3=$E255,IF($AA255=1,$F255&amp;$AB255,$G255),IF(OR(BT$3=$D255,BT$3=$AC255,BT$3=$AE255),"",IF(BT$3=$AD255,$F255&amp;"R",BT254))))</f>
        <v/>
      </c>
      <c r="BU255" s="11" t="str">
        <f aca="false">IF($P255=0,BU254,IF(BU$3=$E255,IF($AA255=1,$F255&amp;$AB255,$G255),IF(OR(BU$3=$D255,BU$3=$AC255,BU$3=$AE255),"",IF(BU$3=$AD255,$F255&amp;"R",BU254))))</f>
        <v/>
      </c>
      <c r="BV255" s="11" t="str">
        <f aca="false">IF($P255=0,BV254,IF(BV$3=$E255,IF($AA255=1,$F255&amp;$AB255,$G255),IF(OR(BV$3=$D255,BV$3=$AC255,BV$3=$AE255),"",IF(BV$3=$AD255,$F255&amp;"R",BV254))))</f>
        <v/>
      </c>
      <c r="BW255" s="11" t="str">
        <f aca="false">IF($P255=0,BW254,IF(BW$3=$E255,IF($AA255=1,$F255&amp;$AB255,$G255),IF(OR(BW$3=$D255,BW$3=$AC255,BW$3=$AE255),"",IF(BW$3=$AD255,$F255&amp;"R",BW254))))</f>
        <v/>
      </c>
      <c r="BX255" s="11" t="str">
        <f aca="false">IF($P255=0,BX254,IF(BX$3=$E255,IF($AA255=1,$F255&amp;$AB255,$G255),IF(OR(BX$3=$D255,BX$3=$AC255,BX$3=$AE255),"",IF(BX$3=$AD255,$F255&amp;"R",BX254))))</f>
        <v/>
      </c>
      <c r="BY255" s="11" t="str">
        <f aca="false">IF($P255=0,BY254,IF(BY$3=$E255,IF($AA255=1,$F255&amp;$AB255,$G255),IF(OR(BY$3=$D255,BY$3=$AC255,BY$3=$AE255),"",IF(BY$3=$AD255,$F255&amp;"R",BY254))))</f>
        <v/>
      </c>
      <c r="BZ255" s="11" t="str">
        <f aca="false">IF($P255=0,BZ254,IF(BZ$3=$E255,IF($AA255=1,$F255&amp;$AB255,$G255),IF(OR(BZ$3=$D255,BZ$3=$AC255,BZ$3=$AE255),"",IF(BZ$3=$AD255,$F255&amp;"R",BZ254))))</f>
        <v/>
      </c>
      <c r="CA255" s="11" t="str">
        <f aca="false">IF($P255=0,CA254,IF(CA$3=$E255,IF($AA255=1,$F255&amp;$AB255,$G255),IF(OR(CA$3=$D255,CA$3=$AC255,CA$3=$AE255),"",IF(CA$3=$AD255,$F255&amp;"R",CA254))))</f>
        <v/>
      </c>
      <c r="CB255" s="11" t="str">
        <f aca="false">IF($P255=0,CB254,IF(CB$3=$E255,IF($AA255=1,$F255&amp;$AB255,$G255),IF(OR(CB$3=$D255,CB$3=$AC255,CB$3=$AE255),"",IF(CB$3=$AD255,$F255&amp;"R",CB254))))</f>
        <v/>
      </c>
      <c r="CC255" s="11" t="str">
        <f aca="false">IF($P255=0,CC254,IF(CC$3=$E255,IF($AA255=1,$F255&amp;$AB255,$G255),IF(OR(CC$3=$D255,CC$3=$AC255,CC$3=$AE255),"",IF(CC$3=$AD255,$F255&amp;"R",CC254))))</f>
        <v/>
      </c>
      <c r="CD255" s="11" t="str">
        <f aca="false">IF($P255=0,CD254,IF(CD$3=$E255,IF($AA255=1,$F255&amp;$AB255,$G255),IF(OR(CD$3=$D255,CD$3=$AC255,CD$3=$AE255),"",IF(CD$3=$AD255,$F255&amp;"R",CD254))))</f>
        <v>bP</v>
      </c>
      <c r="CE255" s="11" t="str">
        <f aca="false">IF($P255=0,CE254,IF(CE$3=$E255,IF($AA255=1,$F255&amp;$AB255,$G255),IF(OR(CE$3=$D255,CE$3=$AC255,CE$3=$AE255),"",IF(CE$3=$AD255,$F255&amp;"R",CE254))))</f>
        <v>bP</v>
      </c>
      <c r="CF255" s="11" t="str">
        <f aca="false">IF($P255=0,CF254,IF(CF$3=$E255,IF($AA255=1,$F255&amp;$AB255,$G255),IF(OR(CF$3=$D255,CF$3=$AC255,CF$3=$AE255),"",IF(CF$3=$AD255,$F255&amp;"R",CF254))))</f>
        <v>bP</v>
      </c>
      <c r="CG255" s="11" t="str">
        <f aca="false">IF($P255=0,CG254,IF(CG$3=$E255,IF($AA255=1,$F255&amp;$AB255,$G255),IF(OR(CG$3=$D255,CG$3=$AC255,CG$3=$AE255),"",IF(CG$3=$AD255,$F255&amp;"R",CG254))))</f>
        <v>bP</v>
      </c>
      <c r="CH255" s="11" t="str">
        <f aca="false">IF($P255=0,CH254,IF(CH$3=$E255,IF($AA255=1,$F255&amp;$AB255,$G255),IF(OR(CH$3=$D255,CH$3=$AC255,CH$3=$AE255),"",IF(CH$3=$AD255,$F255&amp;"R",CH254))))</f>
        <v>bP</v>
      </c>
      <c r="CI255" s="11" t="str">
        <f aca="false">IF($P255=0,CI254,IF(CI$3=$E255,IF($AA255=1,$F255&amp;$AB255,$G255),IF(OR(CI$3=$D255,CI$3=$AC255,CI$3=$AE255),"",IF(CI$3=$AD255,$F255&amp;"R",CI254))))</f>
        <v>bP</v>
      </c>
      <c r="CJ255" s="11" t="str">
        <f aca="false">IF($P255=0,CJ254,IF(CJ$3=$E255,IF($AA255=1,$F255&amp;$AB255,$G255),IF(OR(CJ$3=$D255,CJ$3=$AC255,CJ$3=$AE255),"",IF(CJ$3=$AD255,$F255&amp;"R",CJ254))))</f>
        <v>bP</v>
      </c>
      <c r="CK255" s="11" t="str">
        <f aca="false">IF($P255=0,CK254,IF(CK$3=$E255,IF($AA255=1,$F255&amp;$AB255,$G255),IF(OR(CK$3=$D255,CK$3=$AC255,CK$3=$AE255),"",IF(CK$3=$AD255,$F255&amp;"R",CK254))))</f>
        <v>bP</v>
      </c>
      <c r="CL255" s="11" t="str">
        <f aca="false">IF($P255=0,CL254,IF(CL$3=$E255,IF($AA255=1,$F255&amp;$AB255,$G255),IF(OR(CL$3=$D255,CL$3=$AC255,CL$3=$AE255),"",IF(CL$3=$AD255,$F255&amp;"R",CL254))))</f>
        <v>bR</v>
      </c>
      <c r="CM255" s="11" t="str">
        <f aca="false">IF($P255=0,CM254,IF(CM$3=$E255,IF($AA255=1,$F255&amp;$AB255,$G255),IF(OR(CM$3=$D255,CM$3=$AC255,CM$3=$AE255),"",IF(CM$3=$AD255,$F255&amp;"R",CM254))))</f>
        <v>bN</v>
      </c>
      <c r="CN255" s="11" t="str">
        <f aca="false">IF($P255=0,CN254,IF(CN$3=$E255,IF($AA255=1,$F255&amp;$AB255,$G255),IF(OR(CN$3=$D255,CN$3=$AC255,CN$3=$AE255),"",IF(CN$3=$AD255,$F255&amp;"R",CN254))))</f>
        <v>bB</v>
      </c>
      <c r="CO255" s="11" t="str">
        <f aca="false">IF($P255=0,CO254,IF(CO$3=$E255,IF($AA255=1,$F255&amp;$AB255,$G255),IF(OR(CO$3=$D255,CO$3=$AC255,CO$3=$AE255),"",IF(CO$3=$AD255,$F255&amp;"R",CO254))))</f>
        <v>bQ</v>
      </c>
      <c r="CP255" s="11" t="str">
        <f aca="false">IF($P255=0,CP254,IF(CP$3=$E255,IF($AA255=1,$F255&amp;$AB255,$G255),IF(OR(CP$3=$D255,CP$3=$AC255,CP$3=$AE255),"",IF(CP$3=$AD255,$F255&amp;"R",CP254))))</f>
        <v>bK</v>
      </c>
      <c r="CQ255" s="11" t="str">
        <f aca="false">IF($P255=0,CQ254,IF(CQ$3=$E255,IF($AA255=1,$F255&amp;$AB255,$G255),IF(OR(CQ$3=$D255,CQ$3=$AC255,CQ$3=$AE255),"",IF(CQ$3=$AD255,$F255&amp;"R",CQ254))))</f>
        <v>bB</v>
      </c>
      <c r="CR255" s="11" t="str">
        <f aca="false">IF($P255=0,CR254,IF(CR$3=$E255,IF($AA255=1,$F255&amp;$AB255,$G255),IF(OR(CR$3=$D255,CR$3=$AC255,CR$3=$AE255),"",IF(CR$3=$AD255,$F255&amp;"R",CR254))))</f>
        <v>bN</v>
      </c>
      <c r="CS255" s="11" t="str">
        <f aca="false">IF($P255=0,CS254,IF(CS$3=$E255,IF($AA255=1,$F255&amp;$AB255,$G255),IF(OR(CS$3=$D255,CS$3=$AC255,CS$3=$AE255),"",IF(CS$3=$AD255,$F255&amp;"R",CS254))))</f>
        <v>bR</v>
      </c>
      <c r="CT255" s="11"/>
      <c r="CU255" s="11"/>
      <c r="CV255" s="11"/>
    </row>
    <row r="256" customFormat="false" ht="15" hidden="false" customHeight="false" outlineLevel="0" collapsed="false">
      <c r="A256" s="11" t="n">
        <v>251</v>
      </c>
      <c r="B256" s="11" t="str">
        <f aca="false">IF(Chess!$L$260="","",Chess!$L$260&amp;"")</f>
        <v/>
      </c>
      <c r="C256" s="11" t="str">
        <f aca="false">LOWER(SUBSTITUTE(SUBSTITUTE(SUBSTITUTE(SUBSTITUTE(TRIM($B256),"-",""),"=","")," ",""),"x",""))</f>
        <v/>
      </c>
      <c r="D256" s="11" t="n">
        <f aca="false">IF(LEN($C256)&lt;4,0,IFERROR(IF(AND(CODE(MID($C256,1,1))&gt;=97,CODE(MID($C256,1,1))&lt;=104,VALUE(MID($C256,2,1))&gt;=1,VALUE(MID($C256,2,1))&lt;=8),(VALUE(MID($C256,2,1))-1)*8+CODE(MID($C256,1,1))-96,0),0))</f>
        <v>0</v>
      </c>
      <c r="E256" s="11" t="n">
        <f aca="false">IF(LEN($C256)&lt;4,0,IFERROR(IF(AND(CODE(MID($C256,3,1))&gt;=97,CODE(MID($C256,3,1))&lt;=104,VALUE(MID($C256,4,1))&gt;=1,VALUE(MID($C256,4,1))&lt;=8),(VALUE(MID($C256,4,1))-1)*8+CODE(MID($C256,3,1))-96,0),0))</f>
        <v>0</v>
      </c>
      <c r="F256" s="11" t="str">
        <f aca="false">IF(MOD(SUM($P$5:$P255),2)=0,"w","b")</f>
        <v>w</v>
      </c>
      <c r="G256" s="11" t="str">
        <f aca="false">IF($D256=0,"",INDEX($AH255:$CS255,1,$D256)&amp;"")</f>
        <v/>
      </c>
      <c r="H256" s="11" t="str">
        <f aca="false">IF($E256=0,"",INDEX($AH255:$CS255,1,$E256)&amp;"")</f>
        <v/>
      </c>
      <c r="I256" s="11" t="n">
        <f aca="false">IF(OR($D256=0,$E256=0),0,MOD($E256-1,8)-MOD($D256-1,8))</f>
        <v>0</v>
      </c>
      <c r="J256" s="11" t="n">
        <f aca="false">IF(OR($D256=0,$E256=0),0,INT(($E256-1)/8)-INT(($D256-1)/8))</f>
        <v>0</v>
      </c>
      <c r="K256" s="11" t="str">
        <f aca="false">IF($G256="","",RIGHT($G256,1))</f>
        <v/>
      </c>
      <c r="L256" s="11" t="n">
        <f aca="false">IF(OR($D256=0,$E256=0),0,SUMPRODUCT(($AH$3:$CS$3&gt;MIN($D256,$E256))*($AH$3:$CS$3&lt;MAX($D256,$E256))*(MOD($AH$3:$CS$3-MIN($D256,$E256),MAX(1,ABS(SIGN($J256)*8+SIGN($I256))))=0)*($AH255:$CS255&lt;&gt;"")))</f>
        <v>0</v>
      </c>
      <c r="M256" s="11" t="n">
        <f aca="false">IF($K256&lt;&gt;"K",0,IFERROR(--AND($J256=0,ABS($I256)=2,$D256=IF($F256="w",5,61),IF($F256="w",$S255,$V255)=0,IF($I256=2,AND(IF($F256="w",$U255,$X255)=0,INDEX($AH255:$CS255,1,$D256+1)&amp;""="",INDEX($AH255:$CS255,1,$D256+2)&amp;""=""),AND(IF($F256="w",$T255,$W255)=0,INDEX($AH255:$CS255,1,$D256-1)&amp;""="",INDEX($AH255:$CS255,1,$D256-2)&amp;""="",INDEX($AH255:$CS255,1,$D256-3)&amp;""=""))),0))</f>
        <v>0</v>
      </c>
      <c r="N256" s="11" t="n">
        <f aca="false">IF($K256&lt;&gt;"P",0,IFERROR(--OR(AND($I256=0,$J256=IF($F256="w",1,-1),$H256=""),AND($I256=0,$J256=2*IF($F256="w",1,-1),$H256="",INT(($D256-1)/8)=IF($F256="w",1,6),INDEX($AH255:$CS255,1,MAX(1,MIN(64,$D256+8*IF($F256="w",1,-1))))&amp;""=""),AND(ABS($I256)=1,$J256=IF($F256="w",1,-1),$H256&lt;&gt;""),AND(ABS($I256)=1,$J256=IF($F256="w",1,-1),$H256="",$R255&gt;0,$E256=$R255)),0))</f>
        <v>0</v>
      </c>
      <c r="O256" s="11" t="n">
        <f aca="false">IF(OR($D256=0,$E256=0,$G256=""),0,IF($K256="N",--OR(AND(ABS($I256)=1,ABS($J256)=2),AND(ABS($I256)=2,ABS($J256)=1)),IF($K256="B",--AND(ABS($I256)=ABS($J256),$I256&lt;&gt;0,$L256=0),IF($K256="R",--AND(OR($I256=0,$J256=0),OR($I256&lt;&gt;0,$J256&lt;&gt;0),$L256=0),IF($K256="Q",--AND(OR(AND(ABS($I256)=ABS($J256),$I256&lt;&gt;0),AND(OR($I256=0,$J256=0),OR($I256&lt;&gt;0,$J256&lt;&gt;0))),$L256=0),IF($K256="K",--OR(MAX(ABS($I256),ABS($J256))=1,$M256=1),$N256))))))</f>
        <v>0</v>
      </c>
      <c r="P256" s="11" t="n">
        <f aca="false">IF($Q256="OK",1,0)</f>
        <v>0</v>
      </c>
      <c r="Q256" s="11" t="str">
        <f aca="false">IF($B256="","",IF(OR(COUNTIF($AH255:$CS255,"wK")=0,COUNTIF($AH255:$CS255,"bK")=0),"Game is over",IF(OR($D256=0,$E256=0),"Use the format e2e4",IF($G256="","No piece on that square",IF(LEFT($G256,1)&lt;&gt;$F256,"Not your piece ("&amp;IF($F256="w","White","Black")&amp;" to move)",IF($D256=$E256,"Piece must move",IF(AND($H256&lt;&gt;"",LEFT($H256,1)=$F256),"Cannot capture your own piece",IF($O256=0,"Illegal move for that piece (or path blocked)","OK"))))))))</f>
        <v/>
      </c>
      <c r="R256" s="11" t="n">
        <f aca="false">IF($P256=1,IF(AND($K256="P",ABS($J256)=2),($D256+$E256)/2,0),$R255)</f>
        <v>0</v>
      </c>
      <c r="S256" s="12" t="b">
        <f aca="false">--OR($S255=1,AND($P256=1,OR($D256=5,$E256=5)))</f>
        <v>0</v>
      </c>
      <c r="T256" s="12" t="b">
        <f aca="false">--OR($T255=1,AND($P256=1,OR($D256=1,$E256=1)))</f>
        <v>0</v>
      </c>
      <c r="U256" s="12" t="b">
        <f aca="false">--OR($U255=1,AND($P256=1,OR($D256=8,$E256=8)))</f>
        <v>0</v>
      </c>
      <c r="V256" s="12" t="b">
        <f aca="false">--OR($V255=1,AND($P256=1,OR($D256=61,$E256=61)))</f>
        <v>0</v>
      </c>
      <c r="W256" s="12" t="b">
        <f aca="false">--OR($W255=1,AND($P256=1,OR($D256=57,$E256=57)))</f>
        <v>0</v>
      </c>
      <c r="X256" s="12" t="b">
        <f aca="false">--OR($X255=1,AND($P256=1,OR($D256=64,$E256=64)))</f>
        <v>0</v>
      </c>
      <c r="Y256" s="12" t="b">
        <f aca="false">--AND($P256=1,$K256="K",ABS($I256)=2)</f>
        <v>0</v>
      </c>
      <c r="Z256" s="12" t="b">
        <f aca="false">--AND($P256=1,$K256="P",ABS($I256)=1,$H256="")</f>
        <v>0</v>
      </c>
      <c r="AA256" s="12" t="b">
        <f aca="false">--AND($P256=1,$K256="P",INT(($E256-1)/8)=IF($F256="w",7,0))</f>
        <v>0</v>
      </c>
      <c r="AB256" s="11" t="str">
        <f aca="false">IF(LEN($C256)&gt;=5,IF(ISNUMBER(FIND(MID($C256,5,1),"qrbn")),UPPER(MID($C256,5,1)),"Q"),"Q")</f>
        <v>Q</v>
      </c>
      <c r="AC256" s="11" t="n">
        <f aca="false">IF($Y256=1,IF($I256=2,$D256+3,$D256-4),0)</f>
        <v>0</v>
      </c>
      <c r="AD256" s="11" t="n">
        <f aca="false">IF($Y256=1,IF($I256=2,$D256+1,$D256-1),0)</f>
        <v>0</v>
      </c>
      <c r="AE256" s="11" t="n">
        <f aca="false">IF($Z256=1,$E256-8*IF($F256="w",1,-1),0)</f>
        <v>0</v>
      </c>
      <c r="AF256" s="11" t="str">
        <f aca="false">IF($B256="","",IF($P256=1,LOWER(INDEX($CV$2:$CV$13,MATCH($G256,$CU$2:$CU$13,0)))&amp;" "&amp;MID("abcdefgh",MOD($D256-1,8)+1,1)&amp;(INT(($D256-1)/8)+1)&amp;"→"&amp;MID("abcdefgh",MOD($E256-1,8)+1,1)&amp;(INT(($E256-1)/8)+1)&amp;IF(OR($H256&lt;&gt;"",$Z256=1)," ×","")&amp;IF($Y256=1," castles","")&amp;IF($Z256=1," e.p.","")&amp;IF($AA256=1," =" &amp;LOWER(INDEX($CV$2:$CV$13,MATCH($F256&amp;$AB256,$CU$2:$CU$13,0))),""),"X "&amp;$Q256))</f>
        <v/>
      </c>
      <c r="AG256" s="11"/>
      <c r="AH256" s="11" t="str">
        <f aca="false">IF($P256=0,AH255,IF(AH$3=$E256,IF($AA256=1,$F256&amp;$AB256,$G256),IF(OR(AH$3=$D256,AH$3=$AC256,AH$3=$AE256),"",IF(AH$3=$AD256,$F256&amp;"R",AH255))))</f>
        <v>wR</v>
      </c>
      <c r="AI256" s="11" t="str">
        <f aca="false">IF($P256=0,AI255,IF(AI$3=$E256,IF($AA256=1,$F256&amp;$AB256,$G256),IF(OR(AI$3=$D256,AI$3=$AC256,AI$3=$AE256),"",IF(AI$3=$AD256,$F256&amp;"R",AI255))))</f>
        <v>wN</v>
      </c>
      <c r="AJ256" s="11" t="str">
        <f aca="false">IF($P256=0,AJ255,IF(AJ$3=$E256,IF($AA256=1,$F256&amp;$AB256,$G256),IF(OR(AJ$3=$D256,AJ$3=$AC256,AJ$3=$AE256),"",IF(AJ$3=$AD256,$F256&amp;"R",AJ255))))</f>
        <v>wB</v>
      </c>
      <c r="AK256" s="11" t="str">
        <f aca="false">IF($P256=0,AK255,IF(AK$3=$E256,IF($AA256=1,$F256&amp;$AB256,$G256),IF(OR(AK$3=$D256,AK$3=$AC256,AK$3=$AE256),"",IF(AK$3=$AD256,$F256&amp;"R",AK255))))</f>
        <v>wQ</v>
      </c>
      <c r="AL256" s="11" t="str">
        <f aca="false">IF($P256=0,AL255,IF(AL$3=$E256,IF($AA256=1,$F256&amp;$AB256,$G256),IF(OR(AL$3=$D256,AL$3=$AC256,AL$3=$AE256),"",IF(AL$3=$AD256,$F256&amp;"R",AL255))))</f>
        <v>wK</v>
      </c>
      <c r="AM256" s="11" t="str">
        <f aca="false">IF($P256=0,AM255,IF(AM$3=$E256,IF($AA256=1,$F256&amp;$AB256,$G256),IF(OR(AM$3=$D256,AM$3=$AC256,AM$3=$AE256),"",IF(AM$3=$AD256,$F256&amp;"R",AM255))))</f>
        <v>wB</v>
      </c>
      <c r="AN256" s="11" t="str">
        <f aca="false">IF($P256=0,AN255,IF(AN$3=$E256,IF($AA256=1,$F256&amp;$AB256,$G256),IF(OR(AN$3=$D256,AN$3=$AC256,AN$3=$AE256),"",IF(AN$3=$AD256,$F256&amp;"R",AN255))))</f>
        <v>wN</v>
      </c>
      <c r="AO256" s="11" t="str">
        <f aca="false">IF($P256=0,AO255,IF(AO$3=$E256,IF($AA256=1,$F256&amp;$AB256,$G256),IF(OR(AO$3=$D256,AO$3=$AC256,AO$3=$AE256),"",IF(AO$3=$AD256,$F256&amp;"R",AO255))))</f>
        <v>wR</v>
      </c>
      <c r="AP256" s="11" t="str">
        <f aca="false">IF($P256=0,AP255,IF(AP$3=$E256,IF($AA256=1,$F256&amp;$AB256,$G256),IF(OR(AP$3=$D256,AP$3=$AC256,AP$3=$AE256),"",IF(AP$3=$AD256,$F256&amp;"R",AP255))))</f>
        <v>wP</v>
      </c>
      <c r="AQ256" s="11" t="str">
        <f aca="false">IF($P256=0,AQ255,IF(AQ$3=$E256,IF($AA256=1,$F256&amp;$AB256,$G256),IF(OR(AQ$3=$D256,AQ$3=$AC256,AQ$3=$AE256),"",IF(AQ$3=$AD256,$F256&amp;"R",AQ255))))</f>
        <v>wP</v>
      </c>
      <c r="AR256" s="11" t="str">
        <f aca="false">IF($P256=0,AR255,IF(AR$3=$E256,IF($AA256=1,$F256&amp;$AB256,$G256),IF(OR(AR$3=$D256,AR$3=$AC256,AR$3=$AE256),"",IF(AR$3=$AD256,$F256&amp;"R",AR255))))</f>
        <v>wP</v>
      </c>
      <c r="AS256" s="11" t="str">
        <f aca="false">IF($P256=0,AS255,IF(AS$3=$E256,IF($AA256=1,$F256&amp;$AB256,$G256),IF(OR(AS$3=$D256,AS$3=$AC256,AS$3=$AE256),"",IF(AS$3=$AD256,$F256&amp;"R",AS255))))</f>
        <v>wP</v>
      </c>
      <c r="AT256" s="11" t="str">
        <f aca="false">IF($P256=0,AT255,IF(AT$3=$E256,IF($AA256=1,$F256&amp;$AB256,$G256),IF(OR(AT$3=$D256,AT$3=$AC256,AT$3=$AE256),"",IF(AT$3=$AD256,$F256&amp;"R",AT255))))</f>
        <v>wP</v>
      </c>
      <c r="AU256" s="11" t="str">
        <f aca="false">IF($P256=0,AU255,IF(AU$3=$E256,IF($AA256=1,$F256&amp;$AB256,$G256),IF(OR(AU$3=$D256,AU$3=$AC256,AU$3=$AE256),"",IF(AU$3=$AD256,$F256&amp;"R",AU255))))</f>
        <v>wP</v>
      </c>
      <c r="AV256" s="11" t="str">
        <f aca="false">IF($P256=0,AV255,IF(AV$3=$E256,IF($AA256=1,$F256&amp;$AB256,$G256),IF(OR(AV$3=$D256,AV$3=$AC256,AV$3=$AE256),"",IF(AV$3=$AD256,$F256&amp;"R",AV255))))</f>
        <v>wP</v>
      </c>
      <c r="AW256" s="11" t="str">
        <f aca="false">IF($P256=0,AW255,IF(AW$3=$E256,IF($AA256=1,$F256&amp;$AB256,$G256),IF(OR(AW$3=$D256,AW$3=$AC256,AW$3=$AE256),"",IF(AW$3=$AD256,$F256&amp;"R",AW255))))</f>
        <v>wP</v>
      </c>
      <c r="AX256" s="11" t="str">
        <f aca="false">IF($P256=0,AX255,IF(AX$3=$E256,IF($AA256=1,$F256&amp;$AB256,$G256),IF(OR(AX$3=$D256,AX$3=$AC256,AX$3=$AE256),"",IF(AX$3=$AD256,$F256&amp;"R",AX255))))</f>
        <v/>
      </c>
      <c r="AY256" s="11" t="str">
        <f aca="false">IF($P256=0,AY255,IF(AY$3=$E256,IF($AA256=1,$F256&amp;$AB256,$G256),IF(OR(AY$3=$D256,AY$3=$AC256,AY$3=$AE256),"",IF(AY$3=$AD256,$F256&amp;"R",AY255))))</f>
        <v/>
      </c>
      <c r="AZ256" s="11" t="str">
        <f aca="false">IF($P256=0,AZ255,IF(AZ$3=$E256,IF($AA256=1,$F256&amp;$AB256,$G256),IF(OR(AZ$3=$D256,AZ$3=$AC256,AZ$3=$AE256),"",IF(AZ$3=$AD256,$F256&amp;"R",AZ255))))</f>
        <v/>
      </c>
      <c r="BA256" s="11" t="str">
        <f aca="false">IF($P256=0,BA255,IF(BA$3=$E256,IF($AA256=1,$F256&amp;$AB256,$G256),IF(OR(BA$3=$D256,BA$3=$AC256,BA$3=$AE256),"",IF(BA$3=$AD256,$F256&amp;"R",BA255))))</f>
        <v/>
      </c>
      <c r="BB256" s="11" t="str">
        <f aca="false">IF($P256=0,BB255,IF(BB$3=$E256,IF($AA256=1,$F256&amp;$AB256,$G256),IF(OR(BB$3=$D256,BB$3=$AC256,BB$3=$AE256),"",IF(BB$3=$AD256,$F256&amp;"R",BB255))))</f>
        <v/>
      </c>
      <c r="BC256" s="11" t="str">
        <f aca="false">IF($P256=0,BC255,IF(BC$3=$E256,IF($AA256=1,$F256&amp;$AB256,$G256),IF(OR(BC$3=$D256,BC$3=$AC256,BC$3=$AE256),"",IF(BC$3=$AD256,$F256&amp;"R",BC255))))</f>
        <v/>
      </c>
      <c r="BD256" s="11" t="str">
        <f aca="false">IF($P256=0,BD255,IF(BD$3=$E256,IF($AA256=1,$F256&amp;$AB256,$G256),IF(OR(BD$3=$D256,BD$3=$AC256,BD$3=$AE256),"",IF(BD$3=$AD256,$F256&amp;"R",BD255))))</f>
        <v/>
      </c>
      <c r="BE256" s="11" t="str">
        <f aca="false">IF($P256=0,BE255,IF(BE$3=$E256,IF($AA256=1,$F256&amp;$AB256,$G256),IF(OR(BE$3=$D256,BE$3=$AC256,BE$3=$AE256),"",IF(BE$3=$AD256,$F256&amp;"R",BE255))))</f>
        <v/>
      </c>
      <c r="BF256" s="11" t="str">
        <f aca="false">IF($P256=0,BF255,IF(BF$3=$E256,IF($AA256=1,$F256&amp;$AB256,$G256),IF(OR(BF$3=$D256,BF$3=$AC256,BF$3=$AE256),"",IF(BF$3=$AD256,$F256&amp;"R",BF255))))</f>
        <v/>
      </c>
      <c r="BG256" s="11" t="str">
        <f aca="false">IF($P256=0,BG255,IF(BG$3=$E256,IF($AA256=1,$F256&amp;$AB256,$G256),IF(OR(BG$3=$D256,BG$3=$AC256,BG$3=$AE256),"",IF(BG$3=$AD256,$F256&amp;"R",BG255))))</f>
        <v/>
      </c>
      <c r="BH256" s="11" t="str">
        <f aca="false">IF($P256=0,BH255,IF(BH$3=$E256,IF($AA256=1,$F256&amp;$AB256,$G256),IF(OR(BH$3=$D256,BH$3=$AC256,BH$3=$AE256),"",IF(BH$3=$AD256,$F256&amp;"R",BH255))))</f>
        <v/>
      </c>
      <c r="BI256" s="11" t="str">
        <f aca="false">IF($P256=0,BI255,IF(BI$3=$E256,IF($AA256=1,$F256&amp;$AB256,$G256),IF(OR(BI$3=$D256,BI$3=$AC256,BI$3=$AE256),"",IF(BI$3=$AD256,$F256&amp;"R",BI255))))</f>
        <v/>
      </c>
      <c r="BJ256" s="11" t="str">
        <f aca="false">IF($P256=0,BJ255,IF(BJ$3=$E256,IF($AA256=1,$F256&amp;$AB256,$G256),IF(OR(BJ$3=$D256,BJ$3=$AC256,BJ$3=$AE256),"",IF(BJ$3=$AD256,$F256&amp;"R",BJ255))))</f>
        <v/>
      </c>
      <c r="BK256" s="11" t="str">
        <f aca="false">IF($P256=0,BK255,IF(BK$3=$E256,IF($AA256=1,$F256&amp;$AB256,$G256),IF(OR(BK$3=$D256,BK$3=$AC256,BK$3=$AE256),"",IF(BK$3=$AD256,$F256&amp;"R",BK255))))</f>
        <v/>
      </c>
      <c r="BL256" s="11" t="str">
        <f aca="false">IF($P256=0,BL255,IF(BL$3=$E256,IF($AA256=1,$F256&amp;$AB256,$G256),IF(OR(BL$3=$D256,BL$3=$AC256,BL$3=$AE256),"",IF(BL$3=$AD256,$F256&amp;"R",BL255))))</f>
        <v/>
      </c>
      <c r="BM256" s="11" t="str">
        <f aca="false">IF($P256=0,BM255,IF(BM$3=$E256,IF($AA256=1,$F256&amp;$AB256,$G256),IF(OR(BM$3=$D256,BM$3=$AC256,BM$3=$AE256),"",IF(BM$3=$AD256,$F256&amp;"R",BM255))))</f>
        <v/>
      </c>
      <c r="BN256" s="11" t="str">
        <f aca="false">IF($P256=0,BN255,IF(BN$3=$E256,IF($AA256=1,$F256&amp;$AB256,$G256),IF(OR(BN$3=$D256,BN$3=$AC256,BN$3=$AE256),"",IF(BN$3=$AD256,$F256&amp;"R",BN255))))</f>
        <v/>
      </c>
      <c r="BO256" s="11" t="str">
        <f aca="false">IF($P256=0,BO255,IF(BO$3=$E256,IF($AA256=1,$F256&amp;$AB256,$G256),IF(OR(BO$3=$D256,BO$3=$AC256,BO$3=$AE256),"",IF(BO$3=$AD256,$F256&amp;"R",BO255))))</f>
        <v/>
      </c>
      <c r="BP256" s="11" t="str">
        <f aca="false">IF($P256=0,BP255,IF(BP$3=$E256,IF($AA256=1,$F256&amp;$AB256,$G256),IF(OR(BP$3=$D256,BP$3=$AC256,BP$3=$AE256),"",IF(BP$3=$AD256,$F256&amp;"R",BP255))))</f>
        <v/>
      </c>
      <c r="BQ256" s="11" t="str">
        <f aca="false">IF($P256=0,BQ255,IF(BQ$3=$E256,IF($AA256=1,$F256&amp;$AB256,$G256),IF(OR(BQ$3=$D256,BQ$3=$AC256,BQ$3=$AE256),"",IF(BQ$3=$AD256,$F256&amp;"R",BQ255))))</f>
        <v/>
      </c>
      <c r="BR256" s="11" t="str">
        <f aca="false">IF($P256=0,BR255,IF(BR$3=$E256,IF($AA256=1,$F256&amp;$AB256,$G256),IF(OR(BR$3=$D256,BR$3=$AC256,BR$3=$AE256),"",IF(BR$3=$AD256,$F256&amp;"R",BR255))))</f>
        <v/>
      </c>
      <c r="BS256" s="11" t="str">
        <f aca="false">IF($P256=0,BS255,IF(BS$3=$E256,IF($AA256=1,$F256&amp;$AB256,$G256),IF(OR(BS$3=$D256,BS$3=$AC256,BS$3=$AE256),"",IF(BS$3=$AD256,$F256&amp;"R",BS255))))</f>
        <v/>
      </c>
      <c r="BT256" s="11" t="str">
        <f aca="false">IF($P256=0,BT255,IF(BT$3=$E256,IF($AA256=1,$F256&amp;$AB256,$G256),IF(OR(BT$3=$D256,BT$3=$AC256,BT$3=$AE256),"",IF(BT$3=$AD256,$F256&amp;"R",BT255))))</f>
        <v/>
      </c>
      <c r="BU256" s="11" t="str">
        <f aca="false">IF($P256=0,BU255,IF(BU$3=$E256,IF($AA256=1,$F256&amp;$AB256,$G256),IF(OR(BU$3=$D256,BU$3=$AC256,BU$3=$AE256),"",IF(BU$3=$AD256,$F256&amp;"R",BU255))))</f>
        <v/>
      </c>
      <c r="BV256" s="11" t="str">
        <f aca="false">IF($P256=0,BV255,IF(BV$3=$E256,IF($AA256=1,$F256&amp;$AB256,$G256),IF(OR(BV$3=$D256,BV$3=$AC256,BV$3=$AE256),"",IF(BV$3=$AD256,$F256&amp;"R",BV255))))</f>
        <v/>
      </c>
      <c r="BW256" s="11" t="str">
        <f aca="false">IF($P256=0,BW255,IF(BW$3=$E256,IF($AA256=1,$F256&amp;$AB256,$G256),IF(OR(BW$3=$D256,BW$3=$AC256,BW$3=$AE256),"",IF(BW$3=$AD256,$F256&amp;"R",BW255))))</f>
        <v/>
      </c>
      <c r="BX256" s="11" t="str">
        <f aca="false">IF($P256=0,BX255,IF(BX$3=$E256,IF($AA256=1,$F256&amp;$AB256,$G256),IF(OR(BX$3=$D256,BX$3=$AC256,BX$3=$AE256),"",IF(BX$3=$AD256,$F256&amp;"R",BX255))))</f>
        <v/>
      </c>
      <c r="BY256" s="11" t="str">
        <f aca="false">IF($P256=0,BY255,IF(BY$3=$E256,IF($AA256=1,$F256&amp;$AB256,$G256),IF(OR(BY$3=$D256,BY$3=$AC256,BY$3=$AE256),"",IF(BY$3=$AD256,$F256&amp;"R",BY255))))</f>
        <v/>
      </c>
      <c r="BZ256" s="11" t="str">
        <f aca="false">IF($P256=0,BZ255,IF(BZ$3=$E256,IF($AA256=1,$F256&amp;$AB256,$G256),IF(OR(BZ$3=$D256,BZ$3=$AC256,BZ$3=$AE256),"",IF(BZ$3=$AD256,$F256&amp;"R",BZ255))))</f>
        <v/>
      </c>
      <c r="CA256" s="11" t="str">
        <f aca="false">IF($P256=0,CA255,IF(CA$3=$E256,IF($AA256=1,$F256&amp;$AB256,$G256),IF(OR(CA$3=$D256,CA$3=$AC256,CA$3=$AE256),"",IF(CA$3=$AD256,$F256&amp;"R",CA255))))</f>
        <v/>
      </c>
      <c r="CB256" s="11" t="str">
        <f aca="false">IF($P256=0,CB255,IF(CB$3=$E256,IF($AA256=1,$F256&amp;$AB256,$G256),IF(OR(CB$3=$D256,CB$3=$AC256,CB$3=$AE256),"",IF(CB$3=$AD256,$F256&amp;"R",CB255))))</f>
        <v/>
      </c>
      <c r="CC256" s="11" t="str">
        <f aca="false">IF($P256=0,CC255,IF(CC$3=$E256,IF($AA256=1,$F256&amp;$AB256,$G256),IF(OR(CC$3=$D256,CC$3=$AC256,CC$3=$AE256),"",IF(CC$3=$AD256,$F256&amp;"R",CC255))))</f>
        <v/>
      </c>
      <c r="CD256" s="11" t="str">
        <f aca="false">IF($P256=0,CD255,IF(CD$3=$E256,IF($AA256=1,$F256&amp;$AB256,$G256),IF(OR(CD$3=$D256,CD$3=$AC256,CD$3=$AE256),"",IF(CD$3=$AD256,$F256&amp;"R",CD255))))</f>
        <v>bP</v>
      </c>
      <c r="CE256" s="11" t="str">
        <f aca="false">IF($P256=0,CE255,IF(CE$3=$E256,IF($AA256=1,$F256&amp;$AB256,$G256),IF(OR(CE$3=$D256,CE$3=$AC256,CE$3=$AE256),"",IF(CE$3=$AD256,$F256&amp;"R",CE255))))</f>
        <v>bP</v>
      </c>
      <c r="CF256" s="11" t="str">
        <f aca="false">IF($P256=0,CF255,IF(CF$3=$E256,IF($AA256=1,$F256&amp;$AB256,$G256),IF(OR(CF$3=$D256,CF$3=$AC256,CF$3=$AE256),"",IF(CF$3=$AD256,$F256&amp;"R",CF255))))</f>
        <v>bP</v>
      </c>
      <c r="CG256" s="11" t="str">
        <f aca="false">IF($P256=0,CG255,IF(CG$3=$E256,IF($AA256=1,$F256&amp;$AB256,$G256),IF(OR(CG$3=$D256,CG$3=$AC256,CG$3=$AE256),"",IF(CG$3=$AD256,$F256&amp;"R",CG255))))</f>
        <v>bP</v>
      </c>
      <c r="CH256" s="11" t="str">
        <f aca="false">IF($P256=0,CH255,IF(CH$3=$E256,IF($AA256=1,$F256&amp;$AB256,$G256),IF(OR(CH$3=$D256,CH$3=$AC256,CH$3=$AE256),"",IF(CH$3=$AD256,$F256&amp;"R",CH255))))</f>
        <v>bP</v>
      </c>
      <c r="CI256" s="11" t="str">
        <f aca="false">IF($P256=0,CI255,IF(CI$3=$E256,IF($AA256=1,$F256&amp;$AB256,$G256),IF(OR(CI$3=$D256,CI$3=$AC256,CI$3=$AE256),"",IF(CI$3=$AD256,$F256&amp;"R",CI255))))</f>
        <v>bP</v>
      </c>
      <c r="CJ256" s="11" t="str">
        <f aca="false">IF($P256=0,CJ255,IF(CJ$3=$E256,IF($AA256=1,$F256&amp;$AB256,$G256),IF(OR(CJ$3=$D256,CJ$3=$AC256,CJ$3=$AE256),"",IF(CJ$3=$AD256,$F256&amp;"R",CJ255))))</f>
        <v>bP</v>
      </c>
      <c r="CK256" s="11" t="str">
        <f aca="false">IF($P256=0,CK255,IF(CK$3=$E256,IF($AA256=1,$F256&amp;$AB256,$G256),IF(OR(CK$3=$D256,CK$3=$AC256,CK$3=$AE256),"",IF(CK$3=$AD256,$F256&amp;"R",CK255))))</f>
        <v>bP</v>
      </c>
      <c r="CL256" s="11" t="str">
        <f aca="false">IF($P256=0,CL255,IF(CL$3=$E256,IF($AA256=1,$F256&amp;$AB256,$G256),IF(OR(CL$3=$D256,CL$3=$AC256,CL$3=$AE256),"",IF(CL$3=$AD256,$F256&amp;"R",CL255))))</f>
        <v>bR</v>
      </c>
      <c r="CM256" s="11" t="str">
        <f aca="false">IF($P256=0,CM255,IF(CM$3=$E256,IF($AA256=1,$F256&amp;$AB256,$G256),IF(OR(CM$3=$D256,CM$3=$AC256,CM$3=$AE256),"",IF(CM$3=$AD256,$F256&amp;"R",CM255))))</f>
        <v>bN</v>
      </c>
      <c r="CN256" s="11" t="str">
        <f aca="false">IF($P256=0,CN255,IF(CN$3=$E256,IF($AA256=1,$F256&amp;$AB256,$G256),IF(OR(CN$3=$D256,CN$3=$AC256,CN$3=$AE256),"",IF(CN$3=$AD256,$F256&amp;"R",CN255))))</f>
        <v>bB</v>
      </c>
      <c r="CO256" s="11" t="str">
        <f aca="false">IF($P256=0,CO255,IF(CO$3=$E256,IF($AA256=1,$F256&amp;$AB256,$G256),IF(OR(CO$3=$D256,CO$3=$AC256,CO$3=$AE256),"",IF(CO$3=$AD256,$F256&amp;"R",CO255))))</f>
        <v>bQ</v>
      </c>
      <c r="CP256" s="11" t="str">
        <f aca="false">IF($P256=0,CP255,IF(CP$3=$E256,IF($AA256=1,$F256&amp;$AB256,$G256),IF(OR(CP$3=$D256,CP$3=$AC256,CP$3=$AE256),"",IF(CP$3=$AD256,$F256&amp;"R",CP255))))</f>
        <v>bK</v>
      </c>
      <c r="CQ256" s="11" t="str">
        <f aca="false">IF($P256=0,CQ255,IF(CQ$3=$E256,IF($AA256=1,$F256&amp;$AB256,$G256),IF(OR(CQ$3=$D256,CQ$3=$AC256,CQ$3=$AE256),"",IF(CQ$3=$AD256,$F256&amp;"R",CQ255))))</f>
        <v>bB</v>
      </c>
      <c r="CR256" s="11" t="str">
        <f aca="false">IF($P256=0,CR255,IF(CR$3=$E256,IF($AA256=1,$F256&amp;$AB256,$G256),IF(OR(CR$3=$D256,CR$3=$AC256,CR$3=$AE256),"",IF(CR$3=$AD256,$F256&amp;"R",CR255))))</f>
        <v>bN</v>
      </c>
      <c r="CS256" s="11" t="str">
        <f aca="false">IF($P256=0,CS255,IF(CS$3=$E256,IF($AA256=1,$F256&amp;$AB256,$G256),IF(OR(CS$3=$D256,CS$3=$AC256,CS$3=$AE256),"",IF(CS$3=$AD256,$F256&amp;"R",CS255))))</f>
        <v>bR</v>
      </c>
      <c r="CT256" s="11"/>
      <c r="CU256" s="11"/>
      <c r="CV256" s="11"/>
    </row>
    <row r="257" customFormat="false" ht="15" hidden="false" customHeight="false" outlineLevel="0" collapsed="false">
      <c r="A257" s="11" t="n">
        <v>252</v>
      </c>
      <c r="B257" s="11" t="str">
        <f aca="false">IF(Chess!$L$261="","",Chess!$L$261&amp;"")</f>
        <v/>
      </c>
      <c r="C257" s="11" t="str">
        <f aca="false">LOWER(SUBSTITUTE(SUBSTITUTE(SUBSTITUTE(SUBSTITUTE(TRIM($B257),"-",""),"=","")," ",""),"x",""))</f>
        <v/>
      </c>
      <c r="D257" s="11" t="n">
        <f aca="false">IF(LEN($C257)&lt;4,0,IFERROR(IF(AND(CODE(MID($C257,1,1))&gt;=97,CODE(MID($C257,1,1))&lt;=104,VALUE(MID($C257,2,1))&gt;=1,VALUE(MID($C257,2,1))&lt;=8),(VALUE(MID($C257,2,1))-1)*8+CODE(MID($C257,1,1))-96,0),0))</f>
        <v>0</v>
      </c>
      <c r="E257" s="11" t="n">
        <f aca="false">IF(LEN($C257)&lt;4,0,IFERROR(IF(AND(CODE(MID($C257,3,1))&gt;=97,CODE(MID($C257,3,1))&lt;=104,VALUE(MID($C257,4,1))&gt;=1,VALUE(MID($C257,4,1))&lt;=8),(VALUE(MID($C257,4,1))-1)*8+CODE(MID($C257,3,1))-96,0),0))</f>
        <v>0</v>
      </c>
      <c r="F257" s="11" t="str">
        <f aca="false">IF(MOD(SUM($P$5:$P256),2)=0,"w","b")</f>
        <v>w</v>
      </c>
      <c r="G257" s="11" t="str">
        <f aca="false">IF($D257=0,"",INDEX($AH256:$CS256,1,$D257)&amp;"")</f>
        <v/>
      </c>
      <c r="H257" s="11" t="str">
        <f aca="false">IF($E257=0,"",INDEX($AH256:$CS256,1,$E257)&amp;"")</f>
        <v/>
      </c>
      <c r="I257" s="11" t="n">
        <f aca="false">IF(OR($D257=0,$E257=0),0,MOD($E257-1,8)-MOD($D257-1,8))</f>
        <v>0</v>
      </c>
      <c r="J257" s="11" t="n">
        <f aca="false">IF(OR($D257=0,$E257=0),0,INT(($E257-1)/8)-INT(($D257-1)/8))</f>
        <v>0</v>
      </c>
      <c r="K257" s="11" t="str">
        <f aca="false">IF($G257="","",RIGHT($G257,1))</f>
        <v/>
      </c>
      <c r="L257" s="11" t="n">
        <f aca="false">IF(OR($D257=0,$E257=0),0,SUMPRODUCT(($AH$3:$CS$3&gt;MIN($D257,$E257))*($AH$3:$CS$3&lt;MAX($D257,$E257))*(MOD($AH$3:$CS$3-MIN($D257,$E257),MAX(1,ABS(SIGN($J257)*8+SIGN($I257))))=0)*($AH256:$CS256&lt;&gt;"")))</f>
        <v>0</v>
      </c>
      <c r="M257" s="11" t="n">
        <f aca="false">IF($K257&lt;&gt;"K",0,IFERROR(--AND($J257=0,ABS($I257)=2,$D257=IF($F257="w",5,61),IF($F257="w",$S256,$V256)=0,IF($I257=2,AND(IF($F257="w",$U256,$X256)=0,INDEX($AH256:$CS256,1,$D257+1)&amp;""="",INDEX($AH256:$CS256,1,$D257+2)&amp;""=""),AND(IF($F257="w",$T256,$W256)=0,INDEX($AH256:$CS256,1,$D257-1)&amp;""="",INDEX($AH256:$CS256,1,$D257-2)&amp;""="",INDEX($AH256:$CS256,1,$D257-3)&amp;""=""))),0))</f>
        <v>0</v>
      </c>
      <c r="N257" s="11" t="n">
        <f aca="false">IF($K257&lt;&gt;"P",0,IFERROR(--OR(AND($I257=0,$J257=IF($F257="w",1,-1),$H257=""),AND($I257=0,$J257=2*IF($F257="w",1,-1),$H257="",INT(($D257-1)/8)=IF($F257="w",1,6),INDEX($AH256:$CS256,1,MAX(1,MIN(64,$D257+8*IF($F257="w",1,-1))))&amp;""=""),AND(ABS($I257)=1,$J257=IF($F257="w",1,-1),$H257&lt;&gt;""),AND(ABS($I257)=1,$J257=IF($F257="w",1,-1),$H257="",$R256&gt;0,$E257=$R256)),0))</f>
        <v>0</v>
      </c>
      <c r="O257" s="11" t="n">
        <f aca="false">IF(OR($D257=0,$E257=0,$G257=""),0,IF($K257="N",--OR(AND(ABS($I257)=1,ABS($J257)=2),AND(ABS($I257)=2,ABS($J257)=1)),IF($K257="B",--AND(ABS($I257)=ABS($J257),$I257&lt;&gt;0,$L257=0),IF($K257="R",--AND(OR($I257=0,$J257=0),OR($I257&lt;&gt;0,$J257&lt;&gt;0),$L257=0),IF($K257="Q",--AND(OR(AND(ABS($I257)=ABS($J257),$I257&lt;&gt;0),AND(OR($I257=0,$J257=0),OR($I257&lt;&gt;0,$J257&lt;&gt;0))),$L257=0),IF($K257="K",--OR(MAX(ABS($I257),ABS($J257))=1,$M257=1),$N257))))))</f>
        <v>0</v>
      </c>
      <c r="P257" s="11" t="n">
        <f aca="false">IF($Q257="OK",1,0)</f>
        <v>0</v>
      </c>
      <c r="Q257" s="11" t="str">
        <f aca="false">IF($B257="","",IF(OR(COUNTIF($AH256:$CS256,"wK")=0,COUNTIF($AH256:$CS256,"bK")=0),"Game is over",IF(OR($D257=0,$E257=0),"Use the format e2e4",IF($G257="","No piece on that square",IF(LEFT($G257,1)&lt;&gt;$F257,"Not your piece ("&amp;IF($F257="w","White","Black")&amp;" to move)",IF($D257=$E257,"Piece must move",IF(AND($H257&lt;&gt;"",LEFT($H257,1)=$F257),"Cannot capture your own piece",IF($O257=0,"Illegal move for that piece (or path blocked)","OK"))))))))</f>
        <v/>
      </c>
      <c r="R257" s="11" t="n">
        <f aca="false">IF($P257=1,IF(AND($K257="P",ABS($J257)=2),($D257+$E257)/2,0),$R256)</f>
        <v>0</v>
      </c>
      <c r="S257" s="12" t="b">
        <f aca="false">--OR($S256=1,AND($P257=1,OR($D257=5,$E257=5)))</f>
        <v>0</v>
      </c>
      <c r="T257" s="12" t="b">
        <f aca="false">--OR($T256=1,AND($P257=1,OR($D257=1,$E257=1)))</f>
        <v>0</v>
      </c>
      <c r="U257" s="12" t="b">
        <f aca="false">--OR($U256=1,AND($P257=1,OR($D257=8,$E257=8)))</f>
        <v>0</v>
      </c>
      <c r="V257" s="12" t="b">
        <f aca="false">--OR($V256=1,AND($P257=1,OR($D257=61,$E257=61)))</f>
        <v>0</v>
      </c>
      <c r="W257" s="12" t="b">
        <f aca="false">--OR($W256=1,AND($P257=1,OR($D257=57,$E257=57)))</f>
        <v>0</v>
      </c>
      <c r="X257" s="12" t="b">
        <f aca="false">--OR($X256=1,AND($P257=1,OR($D257=64,$E257=64)))</f>
        <v>0</v>
      </c>
      <c r="Y257" s="12" t="b">
        <f aca="false">--AND($P257=1,$K257="K",ABS($I257)=2)</f>
        <v>0</v>
      </c>
      <c r="Z257" s="12" t="b">
        <f aca="false">--AND($P257=1,$K257="P",ABS($I257)=1,$H257="")</f>
        <v>0</v>
      </c>
      <c r="AA257" s="12" t="b">
        <f aca="false">--AND($P257=1,$K257="P",INT(($E257-1)/8)=IF($F257="w",7,0))</f>
        <v>0</v>
      </c>
      <c r="AB257" s="11" t="str">
        <f aca="false">IF(LEN($C257)&gt;=5,IF(ISNUMBER(FIND(MID($C257,5,1),"qrbn")),UPPER(MID($C257,5,1)),"Q"),"Q")</f>
        <v>Q</v>
      </c>
      <c r="AC257" s="11" t="n">
        <f aca="false">IF($Y257=1,IF($I257=2,$D257+3,$D257-4),0)</f>
        <v>0</v>
      </c>
      <c r="AD257" s="11" t="n">
        <f aca="false">IF($Y257=1,IF($I257=2,$D257+1,$D257-1),0)</f>
        <v>0</v>
      </c>
      <c r="AE257" s="11" t="n">
        <f aca="false">IF($Z257=1,$E257-8*IF($F257="w",1,-1),0)</f>
        <v>0</v>
      </c>
      <c r="AF257" s="11" t="str">
        <f aca="false">IF($B257="","",IF($P257=1,LOWER(INDEX($CV$2:$CV$13,MATCH($G257,$CU$2:$CU$13,0)))&amp;" "&amp;MID("abcdefgh",MOD($D257-1,8)+1,1)&amp;(INT(($D257-1)/8)+1)&amp;"→"&amp;MID("abcdefgh",MOD($E257-1,8)+1,1)&amp;(INT(($E257-1)/8)+1)&amp;IF(OR($H257&lt;&gt;"",$Z257=1)," ×","")&amp;IF($Y257=1," castles","")&amp;IF($Z257=1," e.p.","")&amp;IF($AA257=1," =" &amp;LOWER(INDEX($CV$2:$CV$13,MATCH($F257&amp;$AB257,$CU$2:$CU$13,0))),""),"X "&amp;$Q257))</f>
        <v/>
      </c>
      <c r="AG257" s="11"/>
      <c r="AH257" s="11" t="str">
        <f aca="false">IF($P257=0,AH256,IF(AH$3=$E257,IF($AA257=1,$F257&amp;$AB257,$G257),IF(OR(AH$3=$D257,AH$3=$AC257,AH$3=$AE257),"",IF(AH$3=$AD257,$F257&amp;"R",AH256))))</f>
        <v>wR</v>
      </c>
      <c r="AI257" s="11" t="str">
        <f aca="false">IF($P257=0,AI256,IF(AI$3=$E257,IF($AA257=1,$F257&amp;$AB257,$G257),IF(OR(AI$3=$D257,AI$3=$AC257,AI$3=$AE257),"",IF(AI$3=$AD257,$F257&amp;"R",AI256))))</f>
        <v>wN</v>
      </c>
      <c r="AJ257" s="11" t="str">
        <f aca="false">IF($P257=0,AJ256,IF(AJ$3=$E257,IF($AA257=1,$F257&amp;$AB257,$G257),IF(OR(AJ$3=$D257,AJ$3=$AC257,AJ$3=$AE257),"",IF(AJ$3=$AD257,$F257&amp;"R",AJ256))))</f>
        <v>wB</v>
      </c>
      <c r="AK257" s="11" t="str">
        <f aca="false">IF($P257=0,AK256,IF(AK$3=$E257,IF($AA257=1,$F257&amp;$AB257,$G257),IF(OR(AK$3=$D257,AK$3=$AC257,AK$3=$AE257),"",IF(AK$3=$AD257,$F257&amp;"R",AK256))))</f>
        <v>wQ</v>
      </c>
      <c r="AL257" s="11" t="str">
        <f aca="false">IF($P257=0,AL256,IF(AL$3=$E257,IF($AA257=1,$F257&amp;$AB257,$G257),IF(OR(AL$3=$D257,AL$3=$AC257,AL$3=$AE257),"",IF(AL$3=$AD257,$F257&amp;"R",AL256))))</f>
        <v>wK</v>
      </c>
      <c r="AM257" s="11" t="str">
        <f aca="false">IF($P257=0,AM256,IF(AM$3=$E257,IF($AA257=1,$F257&amp;$AB257,$G257),IF(OR(AM$3=$D257,AM$3=$AC257,AM$3=$AE257),"",IF(AM$3=$AD257,$F257&amp;"R",AM256))))</f>
        <v>wB</v>
      </c>
      <c r="AN257" s="11" t="str">
        <f aca="false">IF($P257=0,AN256,IF(AN$3=$E257,IF($AA257=1,$F257&amp;$AB257,$G257),IF(OR(AN$3=$D257,AN$3=$AC257,AN$3=$AE257),"",IF(AN$3=$AD257,$F257&amp;"R",AN256))))</f>
        <v>wN</v>
      </c>
      <c r="AO257" s="11" t="str">
        <f aca="false">IF($P257=0,AO256,IF(AO$3=$E257,IF($AA257=1,$F257&amp;$AB257,$G257),IF(OR(AO$3=$D257,AO$3=$AC257,AO$3=$AE257),"",IF(AO$3=$AD257,$F257&amp;"R",AO256))))</f>
        <v>wR</v>
      </c>
      <c r="AP257" s="11" t="str">
        <f aca="false">IF($P257=0,AP256,IF(AP$3=$E257,IF($AA257=1,$F257&amp;$AB257,$G257),IF(OR(AP$3=$D257,AP$3=$AC257,AP$3=$AE257),"",IF(AP$3=$AD257,$F257&amp;"R",AP256))))</f>
        <v>wP</v>
      </c>
      <c r="AQ257" s="11" t="str">
        <f aca="false">IF($P257=0,AQ256,IF(AQ$3=$E257,IF($AA257=1,$F257&amp;$AB257,$G257),IF(OR(AQ$3=$D257,AQ$3=$AC257,AQ$3=$AE257),"",IF(AQ$3=$AD257,$F257&amp;"R",AQ256))))</f>
        <v>wP</v>
      </c>
      <c r="AR257" s="11" t="str">
        <f aca="false">IF($P257=0,AR256,IF(AR$3=$E257,IF($AA257=1,$F257&amp;$AB257,$G257),IF(OR(AR$3=$D257,AR$3=$AC257,AR$3=$AE257),"",IF(AR$3=$AD257,$F257&amp;"R",AR256))))</f>
        <v>wP</v>
      </c>
      <c r="AS257" s="11" t="str">
        <f aca="false">IF($P257=0,AS256,IF(AS$3=$E257,IF($AA257=1,$F257&amp;$AB257,$G257),IF(OR(AS$3=$D257,AS$3=$AC257,AS$3=$AE257),"",IF(AS$3=$AD257,$F257&amp;"R",AS256))))</f>
        <v>wP</v>
      </c>
      <c r="AT257" s="11" t="str">
        <f aca="false">IF($P257=0,AT256,IF(AT$3=$E257,IF($AA257=1,$F257&amp;$AB257,$G257),IF(OR(AT$3=$D257,AT$3=$AC257,AT$3=$AE257),"",IF(AT$3=$AD257,$F257&amp;"R",AT256))))</f>
        <v>wP</v>
      </c>
      <c r="AU257" s="11" t="str">
        <f aca="false">IF($P257=0,AU256,IF(AU$3=$E257,IF($AA257=1,$F257&amp;$AB257,$G257),IF(OR(AU$3=$D257,AU$3=$AC257,AU$3=$AE257),"",IF(AU$3=$AD257,$F257&amp;"R",AU256))))</f>
        <v>wP</v>
      </c>
      <c r="AV257" s="11" t="str">
        <f aca="false">IF($P257=0,AV256,IF(AV$3=$E257,IF($AA257=1,$F257&amp;$AB257,$G257),IF(OR(AV$3=$D257,AV$3=$AC257,AV$3=$AE257),"",IF(AV$3=$AD257,$F257&amp;"R",AV256))))</f>
        <v>wP</v>
      </c>
      <c r="AW257" s="11" t="str">
        <f aca="false">IF($P257=0,AW256,IF(AW$3=$E257,IF($AA257=1,$F257&amp;$AB257,$G257),IF(OR(AW$3=$D257,AW$3=$AC257,AW$3=$AE257),"",IF(AW$3=$AD257,$F257&amp;"R",AW256))))</f>
        <v>wP</v>
      </c>
      <c r="AX257" s="11" t="str">
        <f aca="false">IF($P257=0,AX256,IF(AX$3=$E257,IF($AA257=1,$F257&amp;$AB257,$G257),IF(OR(AX$3=$D257,AX$3=$AC257,AX$3=$AE257),"",IF(AX$3=$AD257,$F257&amp;"R",AX256))))</f>
        <v/>
      </c>
      <c r="AY257" s="11" t="str">
        <f aca="false">IF($P257=0,AY256,IF(AY$3=$E257,IF($AA257=1,$F257&amp;$AB257,$G257),IF(OR(AY$3=$D257,AY$3=$AC257,AY$3=$AE257),"",IF(AY$3=$AD257,$F257&amp;"R",AY256))))</f>
        <v/>
      </c>
      <c r="AZ257" s="11" t="str">
        <f aca="false">IF($P257=0,AZ256,IF(AZ$3=$E257,IF($AA257=1,$F257&amp;$AB257,$G257),IF(OR(AZ$3=$D257,AZ$3=$AC257,AZ$3=$AE257),"",IF(AZ$3=$AD257,$F257&amp;"R",AZ256))))</f>
        <v/>
      </c>
      <c r="BA257" s="11" t="str">
        <f aca="false">IF($P257=0,BA256,IF(BA$3=$E257,IF($AA257=1,$F257&amp;$AB257,$G257),IF(OR(BA$3=$D257,BA$3=$AC257,BA$3=$AE257),"",IF(BA$3=$AD257,$F257&amp;"R",BA256))))</f>
        <v/>
      </c>
      <c r="BB257" s="11" t="str">
        <f aca="false">IF($P257=0,BB256,IF(BB$3=$E257,IF($AA257=1,$F257&amp;$AB257,$G257),IF(OR(BB$3=$D257,BB$3=$AC257,BB$3=$AE257),"",IF(BB$3=$AD257,$F257&amp;"R",BB256))))</f>
        <v/>
      </c>
      <c r="BC257" s="11" t="str">
        <f aca="false">IF($P257=0,BC256,IF(BC$3=$E257,IF($AA257=1,$F257&amp;$AB257,$G257),IF(OR(BC$3=$D257,BC$3=$AC257,BC$3=$AE257),"",IF(BC$3=$AD257,$F257&amp;"R",BC256))))</f>
        <v/>
      </c>
      <c r="BD257" s="11" t="str">
        <f aca="false">IF($P257=0,BD256,IF(BD$3=$E257,IF($AA257=1,$F257&amp;$AB257,$G257),IF(OR(BD$3=$D257,BD$3=$AC257,BD$3=$AE257),"",IF(BD$3=$AD257,$F257&amp;"R",BD256))))</f>
        <v/>
      </c>
      <c r="BE257" s="11" t="str">
        <f aca="false">IF($P257=0,BE256,IF(BE$3=$E257,IF($AA257=1,$F257&amp;$AB257,$G257),IF(OR(BE$3=$D257,BE$3=$AC257,BE$3=$AE257),"",IF(BE$3=$AD257,$F257&amp;"R",BE256))))</f>
        <v/>
      </c>
      <c r="BF257" s="11" t="str">
        <f aca="false">IF($P257=0,BF256,IF(BF$3=$E257,IF($AA257=1,$F257&amp;$AB257,$G257),IF(OR(BF$3=$D257,BF$3=$AC257,BF$3=$AE257),"",IF(BF$3=$AD257,$F257&amp;"R",BF256))))</f>
        <v/>
      </c>
      <c r="BG257" s="11" t="str">
        <f aca="false">IF($P257=0,BG256,IF(BG$3=$E257,IF($AA257=1,$F257&amp;$AB257,$G257),IF(OR(BG$3=$D257,BG$3=$AC257,BG$3=$AE257),"",IF(BG$3=$AD257,$F257&amp;"R",BG256))))</f>
        <v/>
      </c>
      <c r="BH257" s="11" t="str">
        <f aca="false">IF($P257=0,BH256,IF(BH$3=$E257,IF($AA257=1,$F257&amp;$AB257,$G257),IF(OR(BH$3=$D257,BH$3=$AC257,BH$3=$AE257),"",IF(BH$3=$AD257,$F257&amp;"R",BH256))))</f>
        <v/>
      </c>
      <c r="BI257" s="11" t="str">
        <f aca="false">IF($P257=0,BI256,IF(BI$3=$E257,IF($AA257=1,$F257&amp;$AB257,$G257),IF(OR(BI$3=$D257,BI$3=$AC257,BI$3=$AE257),"",IF(BI$3=$AD257,$F257&amp;"R",BI256))))</f>
        <v/>
      </c>
      <c r="BJ257" s="11" t="str">
        <f aca="false">IF($P257=0,BJ256,IF(BJ$3=$E257,IF($AA257=1,$F257&amp;$AB257,$G257),IF(OR(BJ$3=$D257,BJ$3=$AC257,BJ$3=$AE257),"",IF(BJ$3=$AD257,$F257&amp;"R",BJ256))))</f>
        <v/>
      </c>
      <c r="BK257" s="11" t="str">
        <f aca="false">IF($P257=0,BK256,IF(BK$3=$E257,IF($AA257=1,$F257&amp;$AB257,$G257),IF(OR(BK$3=$D257,BK$3=$AC257,BK$3=$AE257),"",IF(BK$3=$AD257,$F257&amp;"R",BK256))))</f>
        <v/>
      </c>
      <c r="BL257" s="11" t="str">
        <f aca="false">IF($P257=0,BL256,IF(BL$3=$E257,IF($AA257=1,$F257&amp;$AB257,$G257),IF(OR(BL$3=$D257,BL$3=$AC257,BL$3=$AE257),"",IF(BL$3=$AD257,$F257&amp;"R",BL256))))</f>
        <v/>
      </c>
      <c r="BM257" s="11" t="str">
        <f aca="false">IF($P257=0,BM256,IF(BM$3=$E257,IF($AA257=1,$F257&amp;$AB257,$G257),IF(OR(BM$3=$D257,BM$3=$AC257,BM$3=$AE257),"",IF(BM$3=$AD257,$F257&amp;"R",BM256))))</f>
        <v/>
      </c>
      <c r="BN257" s="11" t="str">
        <f aca="false">IF($P257=0,BN256,IF(BN$3=$E257,IF($AA257=1,$F257&amp;$AB257,$G257),IF(OR(BN$3=$D257,BN$3=$AC257,BN$3=$AE257),"",IF(BN$3=$AD257,$F257&amp;"R",BN256))))</f>
        <v/>
      </c>
      <c r="BO257" s="11" t="str">
        <f aca="false">IF($P257=0,BO256,IF(BO$3=$E257,IF($AA257=1,$F257&amp;$AB257,$G257),IF(OR(BO$3=$D257,BO$3=$AC257,BO$3=$AE257),"",IF(BO$3=$AD257,$F257&amp;"R",BO256))))</f>
        <v/>
      </c>
      <c r="BP257" s="11" t="str">
        <f aca="false">IF($P257=0,BP256,IF(BP$3=$E257,IF($AA257=1,$F257&amp;$AB257,$G257),IF(OR(BP$3=$D257,BP$3=$AC257,BP$3=$AE257),"",IF(BP$3=$AD257,$F257&amp;"R",BP256))))</f>
        <v/>
      </c>
      <c r="BQ257" s="11" t="str">
        <f aca="false">IF($P257=0,BQ256,IF(BQ$3=$E257,IF($AA257=1,$F257&amp;$AB257,$G257),IF(OR(BQ$3=$D257,BQ$3=$AC257,BQ$3=$AE257),"",IF(BQ$3=$AD257,$F257&amp;"R",BQ256))))</f>
        <v/>
      </c>
      <c r="BR257" s="11" t="str">
        <f aca="false">IF($P257=0,BR256,IF(BR$3=$E257,IF($AA257=1,$F257&amp;$AB257,$G257),IF(OR(BR$3=$D257,BR$3=$AC257,BR$3=$AE257),"",IF(BR$3=$AD257,$F257&amp;"R",BR256))))</f>
        <v/>
      </c>
      <c r="BS257" s="11" t="str">
        <f aca="false">IF($P257=0,BS256,IF(BS$3=$E257,IF($AA257=1,$F257&amp;$AB257,$G257),IF(OR(BS$3=$D257,BS$3=$AC257,BS$3=$AE257),"",IF(BS$3=$AD257,$F257&amp;"R",BS256))))</f>
        <v/>
      </c>
      <c r="BT257" s="11" t="str">
        <f aca="false">IF($P257=0,BT256,IF(BT$3=$E257,IF($AA257=1,$F257&amp;$AB257,$G257),IF(OR(BT$3=$D257,BT$3=$AC257,BT$3=$AE257),"",IF(BT$3=$AD257,$F257&amp;"R",BT256))))</f>
        <v/>
      </c>
      <c r="BU257" s="11" t="str">
        <f aca="false">IF($P257=0,BU256,IF(BU$3=$E257,IF($AA257=1,$F257&amp;$AB257,$G257),IF(OR(BU$3=$D257,BU$3=$AC257,BU$3=$AE257),"",IF(BU$3=$AD257,$F257&amp;"R",BU256))))</f>
        <v/>
      </c>
      <c r="BV257" s="11" t="str">
        <f aca="false">IF($P257=0,BV256,IF(BV$3=$E257,IF($AA257=1,$F257&amp;$AB257,$G257),IF(OR(BV$3=$D257,BV$3=$AC257,BV$3=$AE257),"",IF(BV$3=$AD257,$F257&amp;"R",BV256))))</f>
        <v/>
      </c>
      <c r="BW257" s="11" t="str">
        <f aca="false">IF($P257=0,BW256,IF(BW$3=$E257,IF($AA257=1,$F257&amp;$AB257,$G257),IF(OR(BW$3=$D257,BW$3=$AC257,BW$3=$AE257),"",IF(BW$3=$AD257,$F257&amp;"R",BW256))))</f>
        <v/>
      </c>
      <c r="BX257" s="11" t="str">
        <f aca="false">IF($P257=0,BX256,IF(BX$3=$E257,IF($AA257=1,$F257&amp;$AB257,$G257),IF(OR(BX$3=$D257,BX$3=$AC257,BX$3=$AE257),"",IF(BX$3=$AD257,$F257&amp;"R",BX256))))</f>
        <v/>
      </c>
      <c r="BY257" s="11" t="str">
        <f aca="false">IF($P257=0,BY256,IF(BY$3=$E257,IF($AA257=1,$F257&amp;$AB257,$G257),IF(OR(BY$3=$D257,BY$3=$AC257,BY$3=$AE257),"",IF(BY$3=$AD257,$F257&amp;"R",BY256))))</f>
        <v/>
      </c>
      <c r="BZ257" s="11" t="str">
        <f aca="false">IF($P257=0,BZ256,IF(BZ$3=$E257,IF($AA257=1,$F257&amp;$AB257,$G257),IF(OR(BZ$3=$D257,BZ$3=$AC257,BZ$3=$AE257),"",IF(BZ$3=$AD257,$F257&amp;"R",BZ256))))</f>
        <v/>
      </c>
      <c r="CA257" s="11" t="str">
        <f aca="false">IF($P257=0,CA256,IF(CA$3=$E257,IF($AA257=1,$F257&amp;$AB257,$G257),IF(OR(CA$3=$D257,CA$3=$AC257,CA$3=$AE257),"",IF(CA$3=$AD257,$F257&amp;"R",CA256))))</f>
        <v/>
      </c>
      <c r="CB257" s="11" t="str">
        <f aca="false">IF($P257=0,CB256,IF(CB$3=$E257,IF($AA257=1,$F257&amp;$AB257,$G257),IF(OR(CB$3=$D257,CB$3=$AC257,CB$3=$AE257),"",IF(CB$3=$AD257,$F257&amp;"R",CB256))))</f>
        <v/>
      </c>
      <c r="CC257" s="11" t="str">
        <f aca="false">IF($P257=0,CC256,IF(CC$3=$E257,IF($AA257=1,$F257&amp;$AB257,$G257),IF(OR(CC$3=$D257,CC$3=$AC257,CC$3=$AE257),"",IF(CC$3=$AD257,$F257&amp;"R",CC256))))</f>
        <v/>
      </c>
      <c r="CD257" s="11" t="str">
        <f aca="false">IF($P257=0,CD256,IF(CD$3=$E257,IF($AA257=1,$F257&amp;$AB257,$G257),IF(OR(CD$3=$D257,CD$3=$AC257,CD$3=$AE257),"",IF(CD$3=$AD257,$F257&amp;"R",CD256))))</f>
        <v>bP</v>
      </c>
      <c r="CE257" s="11" t="str">
        <f aca="false">IF($P257=0,CE256,IF(CE$3=$E257,IF($AA257=1,$F257&amp;$AB257,$G257),IF(OR(CE$3=$D257,CE$3=$AC257,CE$3=$AE257),"",IF(CE$3=$AD257,$F257&amp;"R",CE256))))</f>
        <v>bP</v>
      </c>
      <c r="CF257" s="11" t="str">
        <f aca="false">IF($P257=0,CF256,IF(CF$3=$E257,IF($AA257=1,$F257&amp;$AB257,$G257),IF(OR(CF$3=$D257,CF$3=$AC257,CF$3=$AE257),"",IF(CF$3=$AD257,$F257&amp;"R",CF256))))</f>
        <v>bP</v>
      </c>
      <c r="CG257" s="11" t="str">
        <f aca="false">IF($P257=0,CG256,IF(CG$3=$E257,IF($AA257=1,$F257&amp;$AB257,$G257),IF(OR(CG$3=$D257,CG$3=$AC257,CG$3=$AE257),"",IF(CG$3=$AD257,$F257&amp;"R",CG256))))</f>
        <v>bP</v>
      </c>
      <c r="CH257" s="11" t="str">
        <f aca="false">IF($P257=0,CH256,IF(CH$3=$E257,IF($AA257=1,$F257&amp;$AB257,$G257),IF(OR(CH$3=$D257,CH$3=$AC257,CH$3=$AE257),"",IF(CH$3=$AD257,$F257&amp;"R",CH256))))</f>
        <v>bP</v>
      </c>
      <c r="CI257" s="11" t="str">
        <f aca="false">IF($P257=0,CI256,IF(CI$3=$E257,IF($AA257=1,$F257&amp;$AB257,$G257),IF(OR(CI$3=$D257,CI$3=$AC257,CI$3=$AE257),"",IF(CI$3=$AD257,$F257&amp;"R",CI256))))</f>
        <v>bP</v>
      </c>
      <c r="CJ257" s="11" t="str">
        <f aca="false">IF($P257=0,CJ256,IF(CJ$3=$E257,IF($AA257=1,$F257&amp;$AB257,$G257),IF(OR(CJ$3=$D257,CJ$3=$AC257,CJ$3=$AE257),"",IF(CJ$3=$AD257,$F257&amp;"R",CJ256))))</f>
        <v>bP</v>
      </c>
      <c r="CK257" s="11" t="str">
        <f aca="false">IF($P257=0,CK256,IF(CK$3=$E257,IF($AA257=1,$F257&amp;$AB257,$G257),IF(OR(CK$3=$D257,CK$3=$AC257,CK$3=$AE257),"",IF(CK$3=$AD257,$F257&amp;"R",CK256))))</f>
        <v>bP</v>
      </c>
      <c r="CL257" s="11" t="str">
        <f aca="false">IF($P257=0,CL256,IF(CL$3=$E257,IF($AA257=1,$F257&amp;$AB257,$G257),IF(OR(CL$3=$D257,CL$3=$AC257,CL$3=$AE257),"",IF(CL$3=$AD257,$F257&amp;"R",CL256))))</f>
        <v>bR</v>
      </c>
      <c r="CM257" s="11" t="str">
        <f aca="false">IF($P257=0,CM256,IF(CM$3=$E257,IF($AA257=1,$F257&amp;$AB257,$G257),IF(OR(CM$3=$D257,CM$3=$AC257,CM$3=$AE257),"",IF(CM$3=$AD257,$F257&amp;"R",CM256))))</f>
        <v>bN</v>
      </c>
      <c r="CN257" s="11" t="str">
        <f aca="false">IF($P257=0,CN256,IF(CN$3=$E257,IF($AA257=1,$F257&amp;$AB257,$G257),IF(OR(CN$3=$D257,CN$3=$AC257,CN$3=$AE257),"",IF(CN$3=$AD257,$F257&amp;"R",CN256))))</f>
        <v>bB</v>
      </c>
      <c r="CO257" s="11" t="str">
        <f aca="false">IF($P257=0,CO256,IF(CO$3=$E257,IF($AA257=1,$F257&amp;$AB257,$G257),IF(OR(CO$3=$D257,CO$3=$AC257,CO$3=$AE257),"",IF(CO$3=$AD257,$F257&amp;"R",CO256))))</f>
        <v>bQ</v>
      </c>
      <c r="CP257" s="11" t="str">
        <f aca="false">IF($P257=0,CP256,IF(CP$3=$E257,IF($AA257=1,$F257&amp;$AB257,$G257),IF(OR(CP$3=$D257,CP$3=$AC257,CP$3=$AE257),"",IF(CP$3=$AD257,$F257&amp;"R",CP256))))</f>
        <v>bK</v>
      </c>
      <c r="CQ257" s="11" t="str">
        <f aca="false">IF($P257=0,CQ256,IF(CQ$3=$E257,IF($AA257=1,$F257&amp;$AB257,$G257),IF(OR(CQ$3=$D257,CQ$3=$AC257,CQ$3=$AE257),"",IF(CQ$3=$AD257,$F257&amp;"R",CQ256))))</f>
        <v>bB</v>
      </c>
      <c r="CR257" s="11" t="str">
        <f aca="false">IF($P257=0,CR256,IF(CR$3=$E257,IF($AA257=1,$F257&amp;$AB257,$G257),IF(OR(CR$3=$D257,CR$3=$AC257,CR$3=$AE257),"",IF(CR$3=$AD257,$F257&amp;"R",CR256))))</f>
        <v>bN</v>
      </c>
      <c r="CS257" s="11" t="str">
        <f aca="false">IF($P257=0,CS256,IF(CS$3=$E257,IF($AA257=1,$F257&amp;$AB257,$G257),IF(OR(CS$3=$D257,CS$3=$AC257,CS$3=$AE257),"",IF(CS$3=$AD257,$F257&amp;"R",CS256))))</f>
        <v>bR</v>
      </c>
      <c r="CT257" s="11"/>
      <c r="CU257" s="11"/>
      <c r="CV257" s="11"/>
    </row>
    <row r="258" customFormat="false" ht="15" hidden="false" customHeight="false" outlineLevel="0" collapsed="false">
      <c r="A258" s="11" t="n">
        <v>253</v>
      </c>
      <c r="B258" s="11" t="str">
        <f aca="false">IF(Chess!$L$262="","",Chess!$L$262&amp;"")</f>
        <v/>
      </c>
      <c r="C258" s="11" t="str">
        <f aca="false">LOWER(SUBSTITUTE(SUBSTITUTE(SUBSTITUTE(SUBSTITUTE(TRIM($B258),"-",""),"=","")," ",""),"x",""))</f>
        <v/>
      </c>
      <c r="D258" s="11" t="n">
        <f aca="false">IF(LEN($C258)&lt;4,0,IFERROR(IF(AND(CODE(MID($C258,1,1))&gt;=97,CODE(MID($C258,1,1))&lt;=104,VALUE(MID($C258,2,1))&gt;=1,VALUE(MID($C258,2,1))&lt;=8),(VALUE(MID($C258,2,1))-1)*8+CODE(MID($C258,1,1))-96,0),0))</f>
        <v>0</v>
      </c>
      <c r="E258" s="11" t="n">
        <f aca="false">IF(LEN($C258)&lt;4,0,IFERROR(IF(AND(CODE(MID($C258,3,1))&gt;=97,CODE(MID($C258,3,1))&lt;=104,VALUE(MID($C258,4,1))&gt;=1,VALUE(MID($C258,4,1))&lt;=8),(VALUE(MID($C258,4,1))-1)*8+CODE(MID($C258,3,1))-96,0),0))</f>
        <v>0</v>
      </c>
      <c r="F258" s="11" t="str">
        <f aca="false">IF(MOD(SUM($P$5:$P257),2)=0,"w","b")</f>
        <v>w</v>
      </c>
      <c r="G258" s="11" t="str">
        <f aca="false">IF($D258=0,"",INDEX($AH257:$CS257,1,$D258)&amp;"")</f>
        <v/>
      </c>
      <c r="H258" s="11" t="str">
        <f aca="false">IF($E258=0,"",INDEX($AH257:$CS257,1,$E258)&amp;"")</f>
        <v/>
      </c>
      <c r="I258" s="11" t="n">
        <f aca="false">IF(OR($D258=0,$E258=0),0,MOD($E258-1,8)-MOD($D258-1,8))</f>
        <v>0</v>
      </c>
      <c r="J258" s="11" t="n">
        <f aca="false">IF(OR($D258=0,$E258=0),0,INT(($E258-1)/8)-INT(($D258-1)/8))</f>
        <v>0</v>
      </c>
      <c r="K258" s="11" t="str">
        <f aca="false">IF($G258="","",RIGHT($G258,1))</f>
        <v/>
      </c>
      <c r="L258" s="11" t="n">
        <f aca="false">IF(OR($D258=0,$E258=0),0,SUMPRODUCT(($AH$3:$CS$3&gt;MIN($D258,$E258))*($AH$3:$CS$3&lt;MAX($D258,$E258))*(MOD($AH$3:$CS$3-MIN($D258,$E258),MAX(1,ABS(SIGN($J258)*8+SIGN($I258))))=0)*($AH257:$CS257&lt;&gt;"")))</f>
        <v>0</v>
      </c>
      <c r="M258" s="11" t="n">
        <f aca="false">IF($K258&lt;&gt;"K",0,IFERROR(--AND($J258=0,ABS($I258)=2,$D258=IF($F258="w",5,61),IF($F258="w",$S257,$V257)=0,IF($I258=2,AND(IF($F258="w",$U257,$X257)=0,INDEX($AH257:$CS257,1,$D258+1)&amp;""="",INDEX($AH257:$CS257,1,$D258+2)&amp;""=""),AND(IF($F258="w",$T257,$W257)=0,INDEX($AH257:$CS257,1,$D258-1)&amp;""="",INDEX($AH257:$CS257,1,$D258-2)&amp;""="",INDEX($AH257:$CS257,1,$D258-3)&amp;""=""))),0))</f>
        <v>0</v>
      </c>
      <c r="N258" s="11" t="n">
        <f aca="false">IF($K258&lt;&gt;"P",0,IFERROR(--OR(AND($I258=0,$J258=IF($F258="w",1,-1),$H258=""),AND($I258=0,$J258=2*IF($F258="w",1,-1),$H258="",INT(($D258-1)/8)=IF($F258="w",1,6),INDEX($AH257:$CS257,1,MAX(1,MIN(64,$D258+8*IF($F258="w",1,-1))))&amp;""=""),AND(ABS($I258)=1,$J258=IF($F258="w",1,-1),$H258&lt;&gt;""),AND(ABS($I258)=1,$J258=IF($F258="w",1,-1),$H258="",$R257&gt;0,$E258=$R257)),0))</f>
        <v>0</v>
      </c>
      <c r="O258" s="11" t="n">
        <f aca="false">IF(OR($D258=0,$E258=0,$G258=""),0,IF($K258="N",--OR(AND(ABS($I258)=1,ABS($J258)=2),AND(ABS($I258)=2,ABS($J258)=1)),IF($K258="B",--AND(ABS($I258)=ABS($J258),$I258&lt;&gt;0,$L258=0),IF($K258="R",--AND(OR($I258=0,$J258=0),OR($I258&lt;&gt;0,$J258&lt;&gt;0),$L258=0),IF($K258="Q",--AND(OR(AND(ABS($I258)=ABS($J258),$I258&lt;&gt;0),AND(OR($I258=0,$J258=0),OR($I258&lt;&gt;0,$J258&lt;&gt;0))),$L258=0),IF($K258="K",--OR(MAX(ABS($I258),ABS($J258))=1,$M258=1),$N258))))))</f>
        <v>0</v>
      </c>
      <c r="P258" s="11" t="n">
        <f aca="false">IF($Q258="OK",1,0)</f>
        <v>0</v>
      </c>
      <c r="Q258" s="11" t="str">
        <f aca="false">IF($B258="","",IF(OR(COUNTIF($AH257:$CS257,"wK")=0,COUNTIF($AH257:$CS257,"bK")=0),"Game is over",IF(OR($D258=0,$E258=0),"Use the format e2e4",IF($G258="","No piece on that square",IF(LEFT($G258,1)&lt;&gt;$F258,"Not your piece ("&amp;IF($F258="w","White","Black")&amp;" to move)",IF($D258=$E258,"Piece must move",IF(AND($H258&lt;&gt;"",LEFT($H258,1)=$F258),"Cannot capture your own piece",IF($O258=0,"Illegal move for that piece (or path blocked)","OK"))))))))</f>
        <v/>
      </c>
      <c r="R258" s="11" t="n">
        <f aca="false">IF($P258=1,IF(AND($K258="P",ABS($J258)=2),($D258+$E258)/2,0),$R257)</f>
        <v>0</v>
      </c>
      <c r="S258" s="12" t="b">
        <f aca="false">--OR($S257=1,AND($P258=1,OR($D258=5,$E258=5)))</f>
        <v>0</v>
      </c>
      <c r="T258" s="12" t="b">
        <f aca="false">--OR($T257=1,AND($P258=1,OR($D258=1,$E258=1)))</f>
        <v>0</v>
      </c>
      <c r="U258" s="12" t="b">
        <f aca="false">--OR($U257=1,AND($P258=1,OR($D258=8,$E258=8)))</f>
        <v>0</v>
      </c>
      <c r="V258" s="12" t="b">
        <f aca="false">--OR($V257=1,AND($P258=1,OR($D258=61,$E258=61)))</f>
        <v>0</v>
      </c>
      <c r="W258" s="12" t="b">
        <f aca="false">--OR($W257=1,AND($P258=1,OR($D258=57,$E258=57)))</f>
        <v>0</v>
      </c>
      <c r="X258" s="12" t="b">
        <f aca="false">--OR($X257=1,AND($P258=1,OR($D258=64,$E258=64)))</f>
        <v>0</v>
      </c>
      <c r="Y258" s="12" t="b">
        <f aca="false">--AND($P258=1,$K258="K",ABS($I258)=2)</f>
        <v>0</v>
      </c>
      <c r="Z258" s="12" t="b">
        <f aca="false">--AND($P258=1,$K258="P",ABS($I258)=1,$H258="")</f>
        <v>0</v>
      </c>
      <c r="AA258" s="12" t="b">
        <f aca="false">--AND($P258=1,$K258="P",INT(($E258-1)/8)=IF($F258="w",7,0))</f>
        <v>0</v>
      </c>
      <c r="AB258" s="11" t="str">
        <f aca="false">IF(LEN($C258)&gt;=5,IF(ISNUMBER(FIND(MID($C258,5,1),"qrbn")),UPPER(MID($C258,5,1)),"Q"),"Q")</f>
        <v>Q</v>
      </c>
      <c r="AC258" s="11" t="n">
        <f aca="false">IF($Y258=1,IF($I258=2,$D258+3,$D258-4),0)</f>
        <v>0</v>
      </c>
      <c r="AD258" s="11" t="n">
        <f aca="false">IF($Y258=1,IF($I258=2,$D258+1,$D258-1),0)</f>
        <v>0</v>
      </c>
      <c r="AE258" s="11" t="n">
        <f aca="false">IF($Z258=1,$E258-8*IF($F258="w",1,-1),0)</f>
        <v>0</v>
      </c>
      <c r="AF258" s="11" t="str">
        <f aca="false">IF($B258="","",IF($P258=1,LOWER(INDEX($CV$2:$CV$13,MATCH($G258,$CU$2:$CU$13,0)))&amp;" "&amp;MID("abcdefgh",MOD($D258-1,8)+1,1)&amp;(INT(($D258-1)/8)+1)&amp;"→"&amp;MID("abcdefgh",MOD($E258-1,8)+1,1)&amp;(INT(($E258-1)/8)+1)&amp;IF(OR($H258&lt;&gt;"",$Z258=1)," ×","")&amp;IF($Y258=1," castles","")&amp;IF($Z258=1," e.p.","")&amp;IF($AA258=1," =" &amp;LOWER(INDEX($CV$2:$CV$13,MATCH($F258&amp;$AB258,$CU$2:$CU$13,0))),""),"X "&amp;$Q258))</f>
        <v/>
      </c>
      <c r="AG258" s="11"/>
      <c r="AH258" s="11" t="str">
        <f aca="false">IF($P258=0,AH257,IF(AH$3=$E258,IF($AA258=1,$F258&amp;$AB258,$G258),IF(OR(AH$3=$D258,AH$3=$AC258,AH$3=$AE258),"",IF(AH$3=$AD258,$F258&amp;"R",AH257))))</f>
        <v>wR</v>
      </c>
      <c r="AI258" s="11" t="str">
        <f aca="false">IF($P258=0,AI257,IF(AI$3=$E258,IF($AA258=1,$F258&amp;$AB258,$G258),IF(OR(AI$3=$D258,AI$3=$AC258,AI$3=$AE258),"",IF(AI$3=$AD258,$F258&amp;"R",AI257))))</f>
        <v>wN</v>
      </c>
      <c r="AJ258" s="11" t="str">
        <f aca="false">IF($P258=0,AJ257,IF(AJ$3=$E258,IF($AA258=1,$F258&amp;$AB258,$G258),IF(OR(AJ$3=$D258,AJ$3=$AC258,AJ$3=$AE258),"",IF(AJ$3=$AD258,$F258&amp;"R",AJ257))))</f>
        <v>wB</v>
      </c>
      <c r="AK258" s="11" t="str">
        <f aca="false">IF($P258=0,AK257,IF(AK$3=$E258,IF($AA258=1,$F258&amp;$AB258,$G258),IF(OR(AK$3=$D258,AK$3=$AC258,AK$3=$AE258),"",IF(AK$3=$AD258,$F258&amp;"R",AK257))))</f>
        <v>wQ</v>
      </c>
      <c r="AL258" s="11" t="str">
        <f aca="false">IF($P258=0,AL257,IF(AL$3=$E258,IF($AA258=1,$F258&amp;$AB258,$G258),IF(OR(AL$3=$D258,AL$3=$AC258,AL$3=$AE258),"",IF(AL$3=$AD258,$F258&amp;"R",AL257))))</f>
        <v>wK</v>
      </c>
      <c r="AM258" s="11" t="str">
        <f aca="false">IF($P258=0,AM257,IF(AM$3=$E258,IF($AA258=1,$F258&amp;$AB258,$G258),IF(OR(AM$3=$D258,AM$3=$AC258,AM$3=$AE258),"",IF(AM$3=$AD258,$F258&amp;"R",AM257))))</f>
        <v>wB</v>
      </c>
      <c r="AN258" s="11" t="str">
        <f aca="false">IF($P258=0,AN257,IF(AN$3=$E258,IF($AA258=1,$F258&amp;$AB258,$G258),IF(OR(AN$3=$D258,AN$3=$AC258,AN$3=$AE258),"",IF(AN$3=$AD258,$F258&amp;"R",AN257))))</f>
        <v>wN</v>
      </c>
      <c r="AO258" s="11" t="str">
        <f aca="false">IF($P258=0,AO257,IF(AO$3=$E258,IF($AA258=1,$F258&amp;$AB258,$G258),IF(OR(AO$3=$D258,AO$3=$AC258,AO$3=$AE258),"",IF(AO$3=$AD258,$F258&amp;"R",AO257))))</f>
        <v>wR</v>
      </c>
      <c r="AP258" s="11" t="str">
        <f aca="false">IF($P258=0,AP257,IF(AP$3=$E258,IF($AA258=1,$F258&amp;$AB258,$G258),IF(OR(AP$3=$D258,AP$3=$AC258,AP$3=$AE258),"",IF(AP$3=$AD258,$F258&amp;"R",AP257))))</f>
        <v>wP</v>
      </c>
      <c r="AQ258" s="11" t="str">
        <f aca="false">IF($P258=0,AQ257,IF(AQ$3=$E258,IF($AA258=1,$F258&amp;$AB258,$G258),IF(OR(AQ$3=$D258,AQ$3=$AC258,AQ$3=$AE258),"",IF(AQ$3=$AD258,$F258&amp;"R",AQ257))))</f>
        <v>wP</v>
      </c>
      <c r="AR258" s="11" t="str">
        <f aca="false">IF($P258=0,AR257,IF(AR$3=$E258,IF($AA258=1,$F258&amp;$AB258,$G258),IF(OR(AR$3=$D258,AR$3=$AC258,AR$3=$AE258),"",IF(AR$3=$AD258,$F258&amp;"R",AR257))))</f>
        <v>wP</v>
      </c>
      <c r="AS258" s="11" t="str">
        <f aca="false">IF($P258=0,AS257,IF(AS$3=$E258,IF($AA258=1,$F258&amp;$AB258,$G258),IF(OR(AS$3=$D258,AS$3=$AC258,AS$3=$AE258),"",IF(AS$3=$AD258,$F258&amp;"R",AS257))))</f>
        <v>wP</v>
      </c>
      <c r="AT258" s="11" t="str">
        <f aca="false">IF($P258=0,AT257,IF(AT$3=$E258,IF($AA258=1,$F258&amp;$AB258,$G258),IF(OR(AT$3=$D258,AT$3=$AC258,AT$3=$AE258),"",IF(AT$3=$AD258,$F258&amp;"R",AT257))))</f>
        <v>wP</v>
      </c>
      <c r="AU258" s="11" t="str">
        <f aca="false">IF($P258=0,AU257,IF(AU$3=$E258,IF($AA258=1,$F258&amp;$AB258,$G258),IF(OR(AU$3=$D258,AU$3=$AC258,AU$3=$AE258),"",IF(AU$3=$AD258,$F258&amp;"R",AU257))))</f>
        <v>wP</v>
      </c>
      <c r="AV258" s="11" t="str">
        <f aca="false">IF($P258=0,AV257,IF(AV$3=$E258,IF($AA258=1,$F258&amp;$AB258,$G258),IF(OR(AV$3=$D258,AV$3=$AC258,AV$3=$AE258),"",IF(AV$3=$AD258,$F258&amp;"R",AV257))))</f>
        <v>wP</v>
      </c>
      <c r="AW258" s="11" t="str">
        <f aca="false">IF($P258=0,AW257,IF(AW$3=$E258,IF($AA258=1,$F258&amp;$AB258,$G258),IF(OR(AW$3=$D258,AW$3=$AC258,AW$3=$AE258),"",IF(AW$3=$AD258,$F258&amp;"R",AW257))))</f>
        <v>wP</v>
      </c>
      <c r="AX258" s="11" t="str">
        <f aca="false">IF($P258=0,AX257,IF(AX$3=$E258,IF($AA258=1,$F258&amp;$AB258,$G258),IF(OR(AX$3=$D258,AX$3=$AC258,AX$3=$AE258),"",IF(AX$3=$AD258,$F258&amp;"R",AX257))))</f>
        <v/>
      </c>
      <c r="AY258" s="11" t="str">
        <f aca="false">IF($P258=0,AY257,IF(AY$3=$E258,IF($AA258=1,$F258&amp;$AB258,$G258),IF(OR(AY$3=$D258,AY$3=$AC258,AY$3=$AE258),"",IF(AY$3=$AD258,$F258&amp;"R",AY257))))</f>
        <v/>
      </c>
      <c r="AZ258" s="11" t="str">
        <f aca="false">IF($P258=0,AZ257,IF(AZ$3=$E258,IF($AA258=1,$F258&amp;$AB258,$G258),IF(OR(AZ$3=$D258,AZ$3=$AC258,AZ$3=$AE258),"",IF(AZ$3=$AD258,$F258&amp;"R",AZ257))))</f>
        <v/>
      </c>
      <c r="BA258" s="11" t="str">
        <f aca="false">IF($P258=0,BA257,IF(BA$3=$E258,IF($AA258=1,$F258&amp;$AB258,$G258),IF(OR(BA$3=$D258,BA$3=$AC258,BA$3=$AE258),"",IF(BA$3=$AD258,$F258&amp;"R",BA257))))</f>
        <v/>
      </c>
      <c r="BB258" s="11" t="str">
        <f aca="false">IF($P258=0,BB257,IF(BB$3=$E258,IF($AA258=1,$F258&amp;$AB258,$G258),IF(OR(BB$3=$D258,BB$3=$AC258,BB$3=$AE258),"",IF(BB$3=$AD258,$F258&amp;"R",BB257))))</f>
        <v/>
      </c>
      <c r="BC258" s="11" t="str">
        <f aca="false">IF($P258=0,BC257,IF(BC$3=$E258,IF($AA258=1,$F258&amp;$AB258,$G258),IF(OR(BC$3=$D258,BC$3=$AC258,BC$3=$AE258),"",IF(BC$3=$AD258,$F258&amp;"R",BC257))))</f>
        <v/>
      </c>
      <c r="BD258" s="11" t="str">
        <f aca="false">IF($P258=0,BD257,IF(BD$3=$E258,IF($AA258=1,$F258&amp;$AB258,$G258),IF(OR(BD$3=$D258,BD$3=$AC258,BD$3=$AE258),"",IF(BD$3=$AD258,$F258&amp;"R",BD257))))</f>
        <v/>
      </c>
      <c r="BE258" s="11" t="str">
        <f aca="false">IF($P258=0,BE257,IF(BE$3=$E258,IF($AA258=1,$F258&amp;$AB258,$G258),IF(OR(BE$3=$D258,BE$3=$AC258,BE$3=$AE258),"",IF(BE$3=$AD258,$F258&amp;"R",BE257))))</f>
        <v/>
      </c>
      <c r="BF258" s="11" t="str">
        <f aca="false">IF($P258=0,BF257,IF(BF$3=$E258,IF($AA258=1,$F258&amp;$AB258,$G258),IF(OR(BF$3=$D258,BF$3=$AC258,BF$3=$AE258),"",IF(BF$3=$AD258,$F258&amp;"R",BF257))))</f>
        <v/>
      </c>
      <c r="BG258" s="11" t="str">
        <f aca="false">IF($P258=0,BG257,IF(BG$3=$E258,IF($AA258=1,$F258&amp;$AB258,$G258),IF(OR(BG$3=$D258,BG$3=$AC258,BG$3=$AE258),"",IF(BG$3=$AD258,$F258&amp;"R",BG257))))</f>
        <v/>
      </c>
      <c r="BH258" s="11" t="str">
        <f aca="false">IF($P258=0,BH257,IF(BH$3=$E258,IF($AA258=1,$F258&amp;$AB258,$G258),IF(OR(BH$3=$D258,BH$3=$AC258,BH$3=$AE258),"",IF(BH$3=$AD258,$F258&amp;"R",BH257))))</f>
        <v/>
      </c>
      <c r="BI258" s="11" t="str">
        <f aca="false">IF($P258=0,BI257,IF(BI$3=$E258,IF($AA258=1,$F258&amp;$AB258,$G258),IF(OR(BI$3=$D258,BI$3=$AC258,BI$3=$AE258),"",IF(BI$3=$AD258,$F258&amp;"R",BI257))))</f>
        <v/>
      </c>
      <c r="BJ258" s="11" t="str">
        <f aca="false">IF($P258=0,BJ257,IF(BJ$3=$E258,IF($AA258=1,$F258&amp;$AB258,$G258),IF(OR(BJ$3=$D258,BJ$3=$AC258,BJ$3=$AE258),"",IF(BJ$3=$AD258,$F258&amp;"R",BJ257))))</f>
        <v/>
      </c>
      <c r="BK258" s="11" t="str">
        <f aca="false">IF($P258=0,BK257,IF(BK$3=$E258,IF($AA258=1,$F258&amp;$AB258,$G258),IF(OR(BK$3=$D258,BK$3=$AC258,BK$3=$AE258),"",IF(BK$3=$AD258,$F258&amp;"R",BK257))))</f>
        <v/>
      </c>
      <c r="BL258" s="11" t="str">
        <f aca="false">IF($P258=0,BL257,IF(BL$3=$E258,IF($AA258=1,$F258&amp;$AB258,$G258),IF(OR(BL$3=$D258,BL$3=$AC258,BL$3=$AE258),"",IF(BL$3=$AD258,$F258&amp;"R",BL257))))</f>
        <v/>
      </c>
      <c r="BM258" s="11" t="str">
        <f aca="false">IF($P258=0,BM257,IF(BM$3=$E258,IF($AA258=1,$F258&amp;$AB258,$G258),IF(OR(BM$3=$D258,BM$3=$AC258,BM$3=$AE258),"",IF(BM$3=$AD258,$F258&amp;"R",BM257))))</f>
        <v/>
      </c>
      <c r="BN258" s="11" t="str">
        <f aca="false">IF($P258=0,BN257,IF(BN$3=$E258,IF($AA258=1,$F258&amp;$AB258,$G258),IF(OR(BN$3=$D258,BN$3=$AC258,BN$3=$AE258),"",IF(BN$3=$AD258,$F258&amp;"R",BN257))))</f>
        <v/>
      </c>
      <c r="BO258" s="11" t="str">
        <f aca="false">IF($P258=0,BO257,IF(BO$3=$E258,IF($AA258=1,$F258&amp;$AB258,$G258),IF(OR(BO$3=$D258,BO$3=$AC258,BO$3=$AE258),"",IF(BO$3=$AD258,$F258&amp;"R",BO257))))</f>
        <v/>
      </c>
      <c r="BP258" s="11" t="str">
        <f aca="false">IF($P258=0,BP257,IF(BP$3=$E258,IF($AA258=1,$F258&amp;$AB258,$G258),IF(OR(BP$3=$D258,BP$3=$AC258,BP$3=$AE258),"",IF(BP$3=$AD258,$F258&amp;"R",BP257))))</f>
        <v/>
      </c>
      <c r="BQ258" s="11" t="str">
        <f aca="false">IF($P258=0,BQ257,IF(BQ$3=$E258,IF($AA258=1,$F258&amp;$AB258,$G258),IF(OR(BQ$3=$D258,BQ$3=$AC258,BQ$3=$AE258),"",IF(BQ$3=$AD258,$F258&amp;"R",BQ257))))</f>
        <v/>
      </c>
      <c r="BR258" s="11" t="str">
        <f aca="false">IF($P258=0,BR257,IF(BR$3=$E258,IF($AA258=1,$F258&amp;$AB258,$G258),IF(OR(BR$3=$D258,BR$3=$AC258,BR$3=$AE258),"",IF(BR$3=$AD258,$F258&amp;"R",BR257))))</f>
        <v/>
      </c>
      <c r="BS258" s="11" t="str">
        <f aca="false">IF($P258=0,BS257,IF(BS$3=$E258,IF($AA258=1,$F258&amp;$AB258,$G258),IF(OR(BS$3=$D258,BS$3=$AC258,BS$3=$AE258),"",IF(BS$3=$AD258,$F258&amp;"R",BS257))))</f>
        <v/>
      </c>
      <c r="BT258" s="11" t="str">
        <f aca="false">IF($P258=0,BT257,IF(BT$3=$E258,IF($AA258=1,$F258&amp;$AB258,$G258),IF(OR(BT$3=$D258,BT$3=$AC258,BT$3=$AE258),"",IF(BT$3=$AD258,$F258&amp;"R",BT257))))</f>
        <v/>
      </c>
      <c r="BU258" s="11" t="str">
        <f aca="false">IF($P258=0,BU257,IF(BU$3=$E258,IF($AA258=1,$F258&amp;$AB258,$G258),IF(OR(BU$3=$D258,BU$3=$AC258,BU$3=$AE258),"",IF(BU$3=$AD258,$F258&amp;"R",BU257))))</f>
        <v/>
      </c>
      <c r="BV258" s="11" t="str">
        <f aca="false">IF($P258=0,BV257,IF(BV$3=$E258,IF($AA258=1,$F258&amp;$AB258,$G258),IF(OR(BV$3=$D258,BV$3=$AC258,BV$3=$AE258),"",IF(BV$3=$AD258,$F258&amp;"R",BV257))))</f>
        <v/>
      </c>
      <c r="BW258" s="11" t="str">
        <f aca="false">IF($P258=0,BW257,IF(BW$3=$E258,IF($AA258=1,$F258&amp;$AB258,$G258),IF(OR(BW$3=$D258,BW$3=$AC258,BW$3=$AE258),"",IF(BW$3=$AD258,$F258&amp;"R",BW257))))</f>
        <v/>
      </c>
      <c r="BX258" s="11" t="str">
        <f aca="false">IF($P258=0,BX257,IF(BX$3=$E258,IF($AA258=1,$F258&amp;$AB258,$G258),IF(OR(BX$3=$D258,BX$3=$AC258,BX$3=$AE258),"",IF(BX$3=$AD258,$F258&amp;"R",BX257))))</f>
        <v/>
      </c>
      <c r="BY258" s="11" t="str">
        <f aca="false">IF($P258=0,BY257,IF(BY$3=$E258,IF($AA258=1,$F258&amp;$AB258,$G258),IF(OR(BY$3=$D258,BY$3=$AC258,BY$3=$AE258),"",IF(BY$3=$AD258,$F258&amp;"R",BY257))))</f>
        <v/>
      </c>
      <c r="BZ258" s="11" t="str">
        <f aca="false">IF($P258=0,BZ257,IF(BZ$3=$E258,IF($AA258=1,$F258&amp;$AB258,$G258),IF(OR(BZ$3=$D258,BZ$3=$AC258,BZ$3=$AE258),"",IF(BZ$3=$AD258,$F258&amp;"R",BZ257))))</f>
        <v/>
      </c>
      <c r="CA258" s="11" t="str">
        <f aca="false">IF($P258=0,CA257,IF(CA$3=$E258,IF($AA258=1,$F258&amp;$AB258,$G258),IF(OR(CA$3=$D258,CA$3=$AC258,CA$3=$AE258),"",IF(CA$3=$AD258,$F258&amp;"R",CA257))))</f>
        <v/>
      </c>
      <c r="CB258" s="11" t="str">
        <f aca="false">IF($P258=0,CB257,IF(CB$3=$E258,IF($AA258=1,$F258&amp;$AB258,$G258),IF(OR(CB$3=$D258,CB$3=$AC258,CB$3=$AE258),"",IF(CB$3=$AD258,$F258&amp;"R",CB257))))</f>
        <v/>
      </c>
      <c r="CC258" s="11" t="str">
        <f aca="false">IF($P258=0,CC257,IF(CC$3=$E258,IF($AA258=1,$F258&amp;$AB258,$G258),IF(OR(CC$3=$D258,CC$3=$AC258,CC$3=$AE258),"",IF(CC$3=$AD258,$F258&amp;"R",CC257))))</f>
        <v/>
      </c>
      <c r="CD258" s="11" t="str">
        <f aca="false">IF($P258=0,CD257,IF(CD$3=$E258,IF($AA258=1,$F258&amp;$AB258,$G258),IF(OR(CD$3=$D258,CD$3=$AC258,CD$3=$AE258),"",IF(CD$3=$AD258,$F258&amp;"R",CD257))))</f>
        <v>bP</v>
      </c>
      <c r="CE258" s="11" t="str">
        <f aca="false">IF($P258=0,CE257,IF(CE$3=$E258,IF($AA258=1,$F258&amp;$AB258,$G258),IF(OR(CE$3=$D258,CE$3=$AC258,CE$3=$AE258),"",IF(CE$3=$AD258,$F258&amp;"R",CE257))))</f>
        <v>bP</v>
      </c>
      <c r="CF258" s="11" t="str">
        <f aca="false">IF($P258=0,CF257,IF(CF$3=$E258,IF($AA258=1,$F258&amp;$AB258,$G258),IF(OR(CF$3=$D258,CF$3=$AC258,CF$3=$AE258),"",IF(CF$3=$AD258,$F258&amp;"R",CF257))))</f>
        <v>bP</v>
      </c>
      <c r="CG258" s="11" t="str">
        <f aca="false">IF($P258=0,CG257,IF(CG$3=$E258,IF($AA258=1,$F258&amp;$AB258,$G258),IF(OR(CG$3=$D258,CG$3=$AC258,CG$3=$AE258),"",IF(CG$3=$AD258,$F258&amp;"R",CG257))))</f>
        <v>bP</v>
      </c>
      <c r="CH258" s="11" t="str">
        <f aca="false">IF($P258=0,CH257,IF(CH$3=$E258,IF($AA258=1,$F258&amp;$AB258,$G258),IF(OR(CH$3=$D258,CH$3=$AC258,CH$3=$AE258),"",IF(CH$3=$AD258,$F258&amp;"R",CH257))))</f>
        <v>bP</v>
      </c>
      <c r="CI258" s="11" t="str">
        <f aca="false">IF($P258=0,CI257,IF(CI$3=$E258,IF($AA258=1,$F258&amp;$AB258,$G258),IF(OR(CI$3=$D258,CI$3=$AC258,CI$3=$AE258),"",IF(CI$3=$AD258,$F258&amp;"R",CI257))))</f>
        <v>bP</v>
      </c>
      <c r="CJ258" s="11" t="str">
        <f aca="false">IF($P258=0,CJ257,IF(CJ$3=$E258,IF($AA258=1,$F258&amp;$AB258,$G258),IF(OR(CJ$3=$D258,CJ$3=$AC258,CJ$3=$AE258),"",IF(CJ$3=$AD258,$F258&amp;"R",CJ257))))</f>
        <v>bP</v>
      </c>
      <c r="CK258" s="11" t="str">
        <f aca="false">IF($P258=0,CK257,IF(CK$3=$E258,IF($AA258=1,$F258&amp;$AB258,$G258),IF(OR(CK$3=$D258,CK$3=$AC258,CK$3=$AE258),"",IF(CK$3=$AD258,$F258&amp;"R",CK257))))</f>
        <v>bP</v>
      </c>
      <c r="CL258" s="11" t="str">
        <f aca="false">IF($P258=0,CL257,IF(CL$3=$E258,IF($AA258=1,$F258&amp;$AB258,$G258),IF(OR(CL$3=$D258,CL$3=$AC258,CL$3=$AE258),"",IF(CL$3=$AD258,$F258&amp;"R",CL257))))</f>
        <v>bR</v>
      </c>
      <c r="CM258" s="11" t="str">
        <f aca="false">IF($P258=0,CM257,IF(CM$3=$E258,IF($AA258=1,$F258&amp;$AB258,$G258),IF(OR(CM$3=$D258,CM$3=$AC258,CM$3=$AE258),"",IF(CM$3=$AD258,$F258&amp;"R",CM257))))</f>
        <v>bN</v>
      </c>
      <c r="CN258" s="11" t="str">
        <f aca="false">IF($P258=0,CN257,IF(CN$3=$E258,IF($AA258=1,$F258&amp;$AB258,$G258),IF(OR(CN$3=$D258,CN$3=$AC258,CN$3=$AE258),"",IF(CN$3=$AD258,$F258&amp;"R",CN257))))</f>
        <v>bB</v>
      </c>
      <c r="CO258" s="11" t="str">
        <f aca="false">IF($P258=0,CO257,IF(CO$3=$E258,IF($AA258=1,$F258&amp;$AB258,$G258),IF(OR(CO$3=$D258,CO$3=$AC258,CO$3=$AE258),"",IF(CO$3=$AD258,$F258&amp;"R",CO257))))</f>
        <v>bQ</v>
      </c>
      <c r="CP258" s="11" t="str">
        <f aca="false">IF($P258=0,CP257,IF(CP$3=$E258,IF($AA258=1,$F258&amp;$AB258,$G258),IF(OR(CP$3=$D258,CP$3=$AC258,CP$3=$AE258),"",IF(CP$3=$AD258,$F258&amp;"R",CP257))))</f>
        <v>bK</v>
      </c>
      <c r="CQ258" s="11" t="str">
        <f aca="false">IF($P258=0,CQ257,IF(CQ$3=$E258,IF($AA258=1,$F258&amp;$AB258,$G258),IF(OR(CQ$3=$D258,CQ$3=$AC258,CQ$3=$AE258),"",IF(CQ$3=$AD258,$F258&amp;"R",CQ257))))</f>
        <v>bB</v>
      </c>
      <c r="CR258" s="11" t="str">
        <f aca="false">IF($P258=0,CR257,IF(CR$3=$E258,IF($AA258=1,$F258&amp;$AB258,$G258),IF(OR(CR$3=$D258,CR$3=$AC258,CR$3=$AE258),"",IF(CR$3=$AD258,$F258&amp;"R",CR257))))</f>
        <v>bN</v>
      </c>
      <c r="CS258" s="11" t="str">
        <f aca="false">IF($P258=0,CS257,IF(CS$3=$E258,IF($AA258=1,$F258&amp;$AB258,$G258),IF(OR(CS$3=$D258,CS$3=$AC258,CS$3=$AE258),"",IF(CS$3=$AD258,$F258&amp;"R",CS257))))</f>
        <v>bR</v>
      </c>
      <c r="CT258" s="11"/>
      <c r="CU258" s="11"/>
      <c r="CV258" s="11"/>
    </row>
    <row r="259" customFormat="false" ht="15" hidden="false" customHeight="false" outlineLevel="0" collapsed="false">
      <c r="A259" s="11" t="n">
        <v>254</v>
      </c>
      <c r="B259" s="11" t="str">
        <f aca="false">IF(Chess!$L$263="","",Chess!$L$263&amp;"")</f>
        <v/>
      </c>
      <c r="C259" s="11" t="str">
        <f aca="false">LOWER(SUBSTITUTE(SUBSTITUTE(SUBSTITUTE(SUBSTITUTE(TRIM($B259),"-",""),"=","")," ",""),"x",""))</f>
        <v/>
      </c>
      <c r="D259" s="11" t="n">
        <f aca="false">IF(LEN($C259)&lt;4,0,IFERROR(IF(AND(CODE(MID($C259,1,1))&gt;=97,CODE(MID($C259,1,1))&lt;=104,VALUE(MID($C259,2,1))&gt;=1,VALUE(MID($C259,2,1))&lt;=8),(VALUE(MID($C259,2,1))-1)*8+CODE(MID($C259,1,1))-96,0),0))</f>
        <v>0</v>
      </c>
      <c r="E259" s="11" t="n">
        <f aca="false">IF(LEN($C259)&lt;4,0,IFERROR(IF(AND(CODE(MID($C259,3,1))&gt;=97,CODE(MID($C259,3,1))&lt;=104,VALUE(MID($C259,4,1))&gt;=1,VALUE(MID($C259,4,1))&lt;=8),(VALUE(MID($C259,4,1))-1)*8+CODE(MID($C259,3,1))-96,0),0))</f>
        <v>0</v>
      </c>
      <c r="F259" s="11" t="str">
        <f aca="false">IF(MOD(SUM($P$5:$P258),2)=0,"w","b")</f>
        <v>w</v>
      </c>
      <c r="G259" s="11" t="str">
        <f aca="false">IF($D259=0,"",INDEX($AH258:$CS258,1,$D259)&amp;"")</f>
        <v/>
      </c>
      <c r="H259" s="11" t="str">
        <f aca="false">IF($E259=0,"",INDEX($AH258:$CS258,1,$E259)&amp;"")</f>
        <v/>
      </c>
      <c r="I259" s="11" t="n">
        <f aca="false">IF(OR($D259=0,$E259=0),0,MOD($E259-1,8)-MOD($D259-1,8))</f>
        <v>0</v>
      </c>
      <c r="J259" s="11" t="n">
        <f aca="false">IF(OR($D259=0,$E259=0),0,INT(($E259-1)/8)-INT(($D259-1)/8))</f>
        <v>0</v>
      </c>
      <c r="K259" s="11" t="str">
        <f aca="false">IF($G259="","",RIGHT($G259,1))</f>
        <v/>
      </c>
      <c r="L259" s="11" t="n">
        <f aca="false">IF(OR($D259=0,$E259=0),0,SUMPRODUCT(($AH$3:$CS$3&gt;MIN($D259,$E259))*($AH$3:$CS$3&lt;MAX($D259,$E259))*(MOD($AH$3:$CS$3-MIN($D259,$E259),MAX(1,ABS(SIGN($J259)*8+SIGN($I259))))=0)*($AH258:$CS258&lt;&gt;"")))</f>
        <v>0</v>
      </c>
      <c r="M259" s="11" t="n">
        <f aca="false">IF($K259&lt;&gt;"K",0,IFERROR(--AND($J259=0,ABS($I259)=2,$D259=IF($F259="w",5,61),IF($F259="w",$S258,$V258)=0,IF($I259=2,AND(IF($F259="w",$U258,$X258)=0,INDEX($AH258:$CS258,1,$D259+1)&amp;""="",INDEX($AH258:$CS258,1,$D259+2)&amp;""=""),AND(IF($F259="w",$T258,$W258)=0,INDEX($AH258:$CS258,1,$D259-1)&amp;""="",INDEX($AH258:$CS258,1,$D259-2)&amp;""="",INDEX($AH258:$CS258,1,$D259-3)&amp;""=""))),0))</f>
        <v>0</v>
      </c>
      <c r="N259" s="11" t="n">
        <f aca="false">IF($K259&lt;&gt;"P",0,IFERROR(--OR(AND($I259=0,$J259=IF($F259="w",1,-1),$H259=""),AND($I259=0,$J259=2*IF($F259="w",1,-1),$H259="",INT(($D259-1)/8)=IF($F259="w",1,6),INDEX($AH258:$CS258,1,MAX(1,MIN(64,$D259+8*IF($F259="w",1,-1))))&amp;""=""),AND(ABS($I259)=1,$J259=IF($F259="w",1,-1),$H259&lt;&gt;""),AND(ABS($I259)=1,$J259=IF($F259="w",1,-1),$H259="",$R258&gt;0,$E259=$R258)),0))</f>
        <v>0</v>
      </c>
      <c r="O259" s="11" t="n">
        <f aca="false">IF(OR($D259=0,$E259=0,$G259=""),0,IF($K259="N",--OR(AND(ABS($I259)=1,ABS($J259)=2),AND(ABS($I259)=2,ABS($J259)=1)),IF($K259="B",--AND(ABS($I259)=ABS($J259),$I259&lt;&gt;0,$L259=0),IF($K259="R",--AND(OR($I259=0,$J259=0),OR($I259&lt;&gt;0,$J259&lt;&gt;0),$L259=0),IF($K259="Q",--AND(OR(AND(ABS($I259)=ABS($J259),$I259&lt;&gt;0),AND(OR($I259=0,$J259=0),OR($I259&lt;&gt;0,$J259&lt;&gt;0))),$L259=0),IF($K259="K",--OR(MAX(ABS($I259),ABS($J259))=1,$M259=1),$N259))))))</f>
        <v>0</v>
      </c>
      <c r="P259" s="11" t="n">
        <f aca="false">IF($Q259="OK",1,0)</f>
        <v>0</v>
      </c>
      <c r="Q259" s="11" t="str">
        <f aca="false">IF($B259="","",IF(OR(COUNTIF($AH258:$CS258,"wK")=0,COUNTIF($AH258:$CS258,"bK")=0),"Game is over",IF(OR($D259=0,$E259=0),"Use the format e2e4",IF($G259="","No piece on that square",IF(LEFT($G259,1)&lt;&gt;$F259,"Not your piece ("&amp;IF($F259="w","White","Black")&amp;" to move)",IF($D259=$E259,"Piece must move",IF(AND($H259&lt;&gt;"",LEFT($H259,1)=$F259),"Cannot capture your own piece",IF($O259=0,"Illegal move for that piece (or path blocked)","OK"))))))))</f>
        <v/>
      </c>
      <c r="R259" s="11" t="n">
        <f aca="false">IF($P259=1,IF(AND($K259="P",ABS($J259)=2),($D259+$E259)/2,0),$R258)</f>
        <v>0</v>
      </c>
      <c r="S259" s="12" t="b">
        <f aca="false">--OR($S258=1,AND($P259=1,OR($D259=5,$E259=5)))</f>
        <v>0</v>
      </c>
      <c r="T259" s="12" t="b">
        <f aca="false">--OR($T258=1,AND($P259=1,OR($D259=1,$E259=1)))</f>
        <v>0</v>
      </c>
      <c r="U259" s="12" t="b">
        <f aca="false">--OR($U258=1,AND($P259=1,OR($D259=8,$E259=8)))</f>
        <v>0</v>
      </c>
      <c r="V259" s="12" t="b">
        <f aca="false">--OR($V258=1,AND($P259=1,OR($D259=61,$E259=61)))</f>
        <v>0</v>
      </c>
      <c r="W259" s="12" t="b">
        <f aca="false">--OR($W258=1,AND($P259=1,OR($D259=57,$E259=57)))</f>
        <v>0</v>
      </c>
      <c r="X259" s="12" t="b">
        <f aca="false">--OR($X258=1,AND($P259=1,OR($D259=64,$E259=64)))</f>
        <v>0</v>
      </c>
      <c r="Y259" s="12" t="b">
        <f aca="false">--AND($P259=1,$K259="K",ABS($I259)=2)</f>
        <v>0</v>
      </c>
      <c r="Z259" s="12" t="b">
        <f aca="false">--AND($P259=1,$K259="P",ABS($I259)=1,$H259="")</f>
        <v>0</v>
      </c>
      <c r="AA259" s="12" t="b">
        <f aca="false">--AND($P259=1,$K259="P",INT(($E259-1)/8)=IF($F259="w",7,0))</f>
        <v>0</v>
      </c>
      <c r="AB259" s="11" t="str">
        <f aca="false">IF(LEN($C259)&gt;=5,IF(ISNUMBER(FIND(MID($C259,5,1),"qrbn")),UPPER(MID($C259,5,1)),"Q"),"Q")</f>
        <v>Q</v>
      </c>
      <c r="AC259" s="11" t="n">
        <f aca="false">IF($Y259=1,IF($I259=2,$D259+3,$D259-4),0)</f>
        <v>0</v>
      </c>
      <c r="AD259" s="11" t="n">
        <f aca="false">IF($Y259=1,IF($I259=2,$D259+1,$D259-1),0)</f>
        <v>0</v>
      </c>
      <c r="AE259" s="11" t="n">
        <f aca="false">IF($Z259=1,$E259-8*IF($F259="w",1,-1),0)</f>
        <v>0</v>
      </c>
      <c r="AF259" s="11" t="str">
        <f aca="false">IF($B259="","",IF($P259=1,LOWER(INDEX($CV$2:$CV$13,MATCH($G259,$CU$2:$CU$13,0)))&amp;" "&amp;MID("abcdefgh",MOD($D259-1,8)+1,1)&amp;(INT(($D259-1)/8)+1)&amp;"→"&amp;MID("abcdefgh",MOD($E259-1,8)+1,1)&amp;(INT(($E259-1)/8)+1)&amp;IF(OR($H259&lt;&gt;"",$Z259=1)," ×","")&amp;IF($Y259=1," castles","")&amp;IF($Z259=1," e.p.","")&amp;IF($AA259=1," =" &amp;LOWER(INDEX($CV$2:$CV$13,MATCH($F259&amp;$AB259,$CU$2:$CU$13,0))),""),"X "&amp;$Q259))</f>
        <v/>
      </c>
      <c r="AG259" s="11"/>
      <c r="AH259" s="11" t="str">
        <f aca="false">IF($P259=0,AH258,IF(AH$3=$E259,IF($AA259=1,$F259&amp;$AB259,$G259),IF(OR(AH$3=$D259,AH$3=$AC259,AH$3=$AE259),"",IF(AH$3=$AD259,$F259&amp;"R",AH258))))</f>
        <v>wR</v>
      </c>
      <c r="AI259" s="11" t="str">
        <f aca="false">IF($P259=0,AI258,IF(AI$3=$E259,IF($AA259=1,$F259&amp;$AB259,$G259),IF(OR(AI$3=$D259,AI$3=$AC259,AI$3=$AE259),"",IF(AI$3=$AD259,$F259&amp;"R",AI258))))</f>
        <v>wN</v>
      </c>
      <c r="AJ259" s="11" t="str">
        <f aca="false">IF($P259=0,AJ258,IF(AJ$3=$E259,IF($AA259=1,$F259&amp;$AB259,$G259),IF(OR(AJ$3=$D259,AJ$3=$AC259,AJ$3=$AE259),"",IF(AJ$3=$AD259,$F259&amp;"R",AJ258))))</f>
        <v>wB</v>
      </c>
      <c r="AK259" s="11" t="str">
        <f aca="false">IF($P259=0,AK258,IF(AK$3=$E259,IF($AA259=1,$F259&amp;$AB259,$G259),IF(OR(AK$3=$D259,AK$3=$AC259,AK$3=$AE259),"",IF(AK$3=$AD259,$F259&amp;"R",AK258))))</f>
        <v>wQ</v>
      </c>
      <c r="AL259" s="11" t="str">
        <f aca="false">IF($P259=0,AL258,IF(AL$3=$E259,IF($AA259=1,$F259&amp;$AB259,$G259),IF(OR(AL$3=$D259,AL$3=$AC259,AL$3=$AE259),"",IF(AL$3=$AD259,$F259&amp;"R",AL258))))</f>
        <v>wK</v>
      </c>
      <c r="AM259" s="11" t="str">
        <f aca="false">IF($P259=0,AM258,IF(AM$3=$E259,IF($AA259=1,$F259&amp;$AB259,$G259),IF(OR(AM$3=$D259,AM$3=$AC259,AM$3=$AE259),"",IF(AM$3=$AD259,$F259&amp;"R",AM258))))</f>
        <v>wB</v>
      </c>
      <c r="AN259" s="11" t="str">
        <f aca="false">IF($P259=0,AN258,IF(AN$3=$E259,IF($AA259=1,$F259&amp;$AB259,$G259),IF(OR(AN$3=$D259,AN$3=$AC259,AN$3=$AE259),"",IF(AN$3=$AD259,$F259&amp;"R",AN258))))</f>
        <v>wN</v>
      </c>
      <c r="AO259" s="11" t="str">
        <f aca="false">IF($P259=0,AO258,IF(AO$3=$E259,IF($AA259=1,$F259&amp;$AB259,$G259),IF(OR(AO$3=$D259,AO$3=$AC259,AO$3=$AE259),"",IF(AO$3=$AD259,$F259&amp;"R",AO258))))</f>
        <v>wR</v>
      </c>
      <c r="AP259" s="11" t="str">
        <f aca="false">IF($P259=0,AP258,IF(AP$3=$E259,IF($AA259=1,$F259&amp;$AB259,$G259),IF(OR(AP$3=$D259,AP$3=$AC259,AP$3=$AE259),"",IF(AP$3=$AD259,$F259&amp;"R",AP258))))</f>
        <v>wP</v>
      </c>
      <c r="AQ259" s="11" t="str">
        <f aca="false">IF($P259=0,AQ258,IF(AQ$3=$E259,IF($AA259=1,$F259&amp;$AB259,$G259),IF(OR(AQ$3=$D259,AQ$3=$AC259,AQ$3=$AE259),"",IF(AQ$3=$AD259,$F259&amp;"R",AQ258))))</f>
        <v>wP</v>
      </c>
      <c r="AR259" s="11" t="str">
        <f aca="false">IF($P259=0,AR258,IF(AR$3=$E259,IF($AA259=1,$F259&amp;$AB259,$G259),IF(OR(AR$3=$D259,AR$3=$AC259,AR$3=$AE259),"",IF(AR$3=$AD259,$F259&amp;"R",AR258))))</f>
        <v>wP</v>
      </c>
      <c r="AS259" s="11" t="str">
        <f aca="false">IF($P259=0,AS258,IF(AS$3=$E259,IF($AA259=1,$F259&amp;$AB259,$G259),IF(OR(AS$3=$D259,AS$3=$AC259,AS$3=$AE259),"",IF(AS$3=$AD259,$F259&amp;"R",AS258))))</f>
        <v>wP</v>
      </c>
      <c r="AT259" s="11" t="str">
        <f aca="false">IF($P259=0,AT258,IF(AT$3=$E259,IF($AA259=1,$F259&amp;$AB259,$G259),IF(OR(AT$3=$D259,AT$3=$AC259,AT$3=$AE259),"",IF(AT$3=$AD259,$F259&amp;"R",AT258))))</f>
        <v>wP</v>
      </c>
      <c r="AU259" s="11" t="str">
        <f aca="false">IF($P259=0,AU258,IF(AU$3=$E259,IF($AA259=1,$F259&amp;$AB259,$G259),IF(OR(AU$3=$D259,AU$3=$AC259,AU$3=$AE259),"",IF(AU$3=$AD259,$F259&amp;"R",AU258))))</f>
        <v>wP</v>
      </c>
      <c r="AV259" s="11" t="str">
        <f aca="false">IF($P259=0,AV258,IF(AV$3=$E259,IF($AA259=1,$F259&amp;$AB259,$G259),IF(OR(AV$3=$D259,AV$3=$AC259,AV$3=$AE259),"",IF(AV$3=$AD259,$F259&amp;"R",AV258))))</f>
        <v>wP</v>
      </c>
      <c r="AW259" s="11" t="str">
        <f aca="false">IF($P259=0,AW258,IF(AW$3=$E259,IF($AA259=1,$F259&amp;$AB259,$G259),IF(OR(AW$3=$D259,AW$3=$AC259,AW$3=$AE259),"",IF(AW$3=$AD259,$F259&amp;"R",AW258))))</f>
        <v>wP</v>
      </c>
      <c r="AX259" s="11" t="str">
        <f aca="false">IF($P259=0,AX258,IF(AX$3=$E259,IF($AA259=1,$F259&amp;$AB259,$G259),IF(OR(AX$3=$D259,AX$3=$AC259,AX$3=$AE259),"",IF(AX$3=$AD259,$F259&amp;"R",AX258))))</f>
        <v/>
      </c>
      <c r="AY259" s="11" t="str">
        <f aca="false">IF($P259=0,AY258,IF(AY$3=$E259,IF($AA259=1,$F259&amp;$AB259,$G259),IF(OR(AY$3=$D259,AY$3=$AC259,AY$3=$AE259),"",IF(AY$3=$AD259,$F259&amp;"R",AY258))))</f>
        <v/>
      </c>
      <c r="AZ259" s="11" t="str">
        <f aca="false">IF($P259=0,AZ258,IF(AZ$3=$E259,IF($AA259=1,$F259&amp;$AB259,$G259),IF(OR(AZ$3=$D259,AZ$3=$AC259,AZ$3=$AE259),"",IF(AZ$3=$AD259,$F259&amp;"R",AZ258))))</f>
        <v/>
      </c>
      <c r="BA259" s="11" t="str">
        <f aca="false">IF($P259=0,BA258,IF(BA$3=$E259,IF($AA259=1,$F259&amp;$AB259,$G259),IF(OR(BA$3=$D259,BA$3=$AC259,BA$3=$AE259),"",IF(BA$3=$AD259,$F259&amp;"R",BA258))))</f>
        <v/>
      </c>
      <c r="BB259" s="11" t="str">
        <f aca="false">IF($P259=0,BB258,IF(BB$3=$E259,IF($AA259=1,$F259&amp;$AB259,$G259),IF(OR(BB$3=$D259,BB$3=$AC259,BB$3=$AE259),"",IF(BB$3=$AD259,$F259&amp;"R",BB258))))</f>
        <v/>
      </c>
      <c r="BC259" s="11" t="str">
        <f aca="false">IF($P259=0,BC258,IF(BC$3=$E259,IF($AA259=1,$F259&amp;$AB259,$G259),IF(OR(BC$3=$D259,BC$3=$AC259,BC$3=$AE259),"",IF(BC$3=$AD259,$F259&amp;"R",BC258))))</f>
        <v/>
      </c>
      <c r="BD259" s="11" t="str">
        <f aca="false">IF($P259=0,BD258,IF(BD$3=$E259,IF($AA259=1,$F259&amp;$AB259,$G259),IF(OR(BD$3=$D259,BD$3=$AC259,BD$3=$AE259),"",IF(BD$3=$AD259,$F259&amp;"R",BD258))))</f>
        <v/>
      </c>
      <c r="BE259" s="11" t="str">
        <f aca="false">IF($P259=0,BE258,IF(BE$3=$E259,IF($AA259=1,$F259&amp;$AB259,$G259),IF(OR(BE$3=$D259,BE$3=$AC259,BE$3=$AE259),"",IF(BE$3=$AD259,$F259&amp;"R",BE258))))</f>
        <v/>
      </c>
      <c r="BF259" s="11" t="str">
        <f aca="false">IF($P259=0,BF258,IF(BF$3=$E259,IF($AA259=1,$F259&amp;$AB259,$G259),IF(OR(BF$3=$D259,BF$3=$AC259,BF$3=$AE259),"",IF(BF$3=$AD259,$F259&amp;"R",BF258))))</f>
        <v/>
      </c>
      <c r="BG259" s="11" t="str">
        <f aca="false">IF($P259=0,BG258,IF(BG$3=$E259,IF($AA259=1,$F259&amp;$AB259,$G259),IF(OR(BG$3=$D259,BG$3=$AC259,BG$3=$AE259),"",IF(BG$3=$AD259,$F259&amp;"R",BG258))))</f>
        <v/>
      </c>
      <c r="BH259" s="11" t="str">
        <f aca="false">IF($P259=0,BH258,IF(BH$3=$E259,IF($AA259=1,$F259&amp;$AB259,$G259),IF(OR(BH$3=$D259,BH$3=$AC259,BH$3=$AE259),"",IF(BH$3=$AD259,$F259&amp;"R",BH258))))</f>
        <v/>
      </c>
      <c r="BI259" s="11" t="str">
        <f aca="false">IF($P259=0,BI258,IF(BI$3=$E259,IF($AA259=1,$F259&amp;$AB259,$G259),IF(OR(BI$3=$D259,BI$3=$AC259,BI$3=$AE259),"",IF(BI$3=$AD259,$F259&amp;"R",BI258))))</f>
        <v/>
      </c>
      <c r="BJ259" s="11" t="str">
        <f aca="false">IF($P259=0,BJ258,IF(BJ$3=$E259,IF($AA259=1,$F259&amp;$AB259,$G259),IF(OR(BJ$3=$D259,BJ$3=$AC259,BJ$3=$AE259),"",IF(BJ$3=$AD259,$F259&amp;"R",BJ258))))</f>
        <v/>
      </c>
      <c r="BK259" s="11" t="str">
        <f aca="false">IF($P259=0,BK258,IF(BK$3=$E259,IF($AA259=1,$F259&amp;$AB259,$G259),IF(OR(BK$3=$D259,BK$3=$AC259,BK$3=$AE259),"",IF(BK$3=$AD259,$F259&amp;"R",BK258))))</f>
        <v/>
      </c>
      <c r="BL259" s="11" t="str">
        <f aca="false">IF($P259=0,BL258,IF(BL$3=$E259,IF($AA259=1,$F259&amp;$AB259,$G259),IF(OR(BL$3=$D259,BL$3=$AC259,BL$3=$AE259),"",IF(BL$3=$AD259,$F259&amp;"R",BL258))))</f>
        <v/>
      </c>
      <c r="BM259" s="11" t="str">
        <f aca="false">IF($P259=0,BM258,IF(BM$3=$E259,IF($AA259=1,$F259&amp;$AB259,$G259),IF(OR(BM$3=$D259,BM$3=$AC259,BM$3=$AE259),"",IF(BM$3=$AD259,$F259&amp;"R",BM258))))</f>
        <v/>
      </c>
      <c r="BN259" s="11" t="str">
        <f aca="false">IF($P259=0,BN258,IF(BN$3=$E259,IF($AA259=1,$F259&amp;$AB259,$G259),IF(OR(BN$3=$D259,BN$3=$AC259,BN$3=$AE259),"",IF(BN$3=$AD259,$F259&amp;"R",BN258))))</f>
        <v/>
      </c>
      <c r="BO259" s="11" t="str">
        <f aca="false">IF($P259=0,BO258,IF(BO$3=$E259,IF($AA259=1,$F259&amp;$AB259,$G259),IF(OR(BO$3=$D259,BO$3=$AC259,BO$3=$AE259),"",IF(BO$3=$AD259,$F259&amp;"R",BO258))))</f>
        <v/>
      </c>
      <c r="BP259" s="11" t="str">
        <f aca="false">IF($P259=0,BP258,IF(BP$3=$E259,IF($AA259=1,$F259&amp;$AB259,$G259),IF(OR(BP$3=$D259,BP$3=$AC259,BP$3=$AE259),"",IF(BP$3=$AD259,$F259&amp;"R",BP258))))</f>
        <v/>
      </c>
      <c r="BQ259" s="11" t="str">
        <f aca="false">IF($P259=0,BQ258,IF(BQ$3=$E259,IF($AA259=1,$F259&amp;$AB259,$G259),IF(OR(BQ$3=$D259,BQ$3=$AC259,BQ$3=$AE259),"",IF(BQ$3=$AD259,$F259&amp;"R",BQ258))))</f>
        <v/>
      </c>
      <c r="BR259" s="11" t="str">
        <f aca="false">IF($P259=0,BR258,IF(BR$3=$E259,IF($AA259=1,$F259&amp;$AB259,$G259),IF(OR(BR$3=$D259,BR$3=$AC259,BR$3=$AE259),"",IF(BR$3=$AD259,$F259&amp;"R",BR258))))</f>
        <v/>
      </c>
      <c r="BS259" s="11" t="str">
        <f aca="false">IF($P259=0,BS258,IF(BS$3=$E259,IF($AA259=1,$F259&amp;$AB259,$G259),IF(OR(BS$3=$D259,BS$3=$AC259,BS$3=$AE259),"",IF(BS$3=$AD259,$F259&amp;"R",BS258))))</f>
        <v/>
      </c>
      <c r="BT259" s="11" t="str">
        <f aca="false">IF($P259=0,BT258,IF(BT$3=$E259,IF($AA259=1,$F259&amp;$AB259,$G259),IF(OR(BT$3=$D259,BT$3=$AC259,BT$3=$AE259),"",IF(BT$3=$AD259,$F259&amp;"R",BT258))))</f>
        <v/>
      </c>
      <c r="BU259" s="11" t="str">
        <f aca="false">IF($P259=0,BU258,IF(BU$3=$E259,IF($AA259=1,$F259&amp;$AB259,$G259),IF(OR(BU$3=$D259,BU$3=$AC259,BU$3=$AE259),"",IF(BU$3=$AD259,$F259&amp;"R",BU258))))</f>
        <v/>
      </c>
      <c r="BV259" s="11" t="str">
        <f aca="false">IF($P259=0,BV258,IF(BV$3=$E259,IF($AA259=1,$F259&amp;$AB259,$G259),IF(OR(BV$3=$D259,BV$3=$AC259,BV$3=$AE259),"",IF(BV$3=$AD259,$F259&amp;"R",BV258))))</f>
        <v/>
      </c>
      <c r="BW259" s="11" t="str">
        <f aca="false">IF($P259=0,BW258,IF(BW$3=$E259,IF($AA259=1,$F259&amp;$AB259,$G259),IF(OR(BW$3=$D259,BW$3=$AC259,BW$3=$AE259),"",IF(BW$3=$AD259,$F259&amp;"R",BW258))))</f>
        <v/>
      </c>
      <c r="BX259" s="11" t="str">
        <f aca="false">IF($P259=0,BX258,IF(BX$3=$E259,IF($AA259=1,$F259&amp;$AB259,$G259),IF(OR(BX$3=$D259,BX$3=$AC259,BX$3=$AE259),"",IF(BX$3=$AD259,$F259&amp;"R",BX258))))</f>
        <v/>
      </c>
      <c r="BY259" s="11" t="str">
        <f aca="false">IF($P259=0,BY258,IF(BY$3=$E259,IF($AA259=1,$F259&amp;$AB259,$G259),IF(OR(BY$3=$D259,BY$3=$AC259,BY$3=$AE259),"",IF(BY$3=$AD259,$F259&amp;"R",BY258))))</f>
        <v/>
      </c>
      <c r="BZ259" s="11" t="str">
        <f aca="false">IF($P259=0,BZ258,IF(BZ$3=$E259,IF($AA259=1,$F259&amp;$AB259,$G259),IF(OR(BZ$3=$D259,BZ$3=$AC259,BZ$3=$AE259),"",IF(BZ$3=$AD259,$F259&amp;"R",BZ258))))</f>
        <v/>
      </c>
      <c r="CA259" s="11" t="str">
        <f aca="false">IF($P259=0,CA258,IF(CA$3=$E259,IF($AA259=1,$F259&amp;$AB259,$G259),IF(OR(CA$3=$D259,CA$3=$AC259,CA$3=$AE259),"",IF(CA$3=$AD259,$F259&amp;"R",CA258))))</f>
        <v/>
      </c>
      <c r="CB259" s="11" t="str">
        <f aca="false">IF($P259=0,CB258,IF(CB$3=$E259,IF($AA259=1,$F259&amp;$AB259,$G259),IF(OR(CB$3=$D259,CB$3=$AC259,CB$3=$AE259),"",IF(CB$3=$AD259,$F259&amp;"R",CB258))))</f>
        <v/>
      </c>
      <c r="CC259" s="11" t="str">
        <f aca="false">IF($P259=0,CC258,IF(CC$3=$E259,IF($AA259=1,$F259&amp;$AB259,$G259),IF(OR(CC$3=$D259,CC$3=$AC259,CC$3=$AE259),"",IF(CC$3=$AD259,$F259&amp;"R",CC258))))</f>
        <v/>
      </c>
      <c r="CD259" s="11" t="str">
        <f aca="false">IF($P259=0,CD258,IF(CD$3=$E259,IF($AA259=1,$F259&amp;$AB259,$G259),IF(OR(CD$3=$D259,CD$3=$AC259,CD$3=$AE259),"",IF(CD$3=$AD259,$F259&amp;"R",CD258))))</f>
        <v>bP</v>
      </c>
      <c r="CE259" s="11" t="str">
        <f aca="false">IF($P259=0,CE258,IF(CE$3=$E259,IF($AA259=1,$F259&amp;$AB259,$G259),IF(OR(CE$3=$D259,CE$3=$AC259,CE$3=$AE259),"",IF(CE$3=$AD259,$F259&amp;"R",CE258))))</f>
        <v>bP</v>
      </c>
      <c r="CF259" s="11" t="str">
        <f aca="false">IF($P259=0,CF258,IF(CF$3=$E259,IF($AA259=1,$F259&amp;$AB259,$G259),IF(OR(CF$3=$D259,CF$3=$AC259,CF$3=$AE259),"",IF(CF$3=$AD259,$F259&amp;"R",CF258))))</f>
        <v>bP</v>
      </c>
      <c r="CG259" s="11" t="str">
        <f aca="false">IF($P259=0,CG258,IF(CG$3=$E259,IF($AA259=1,$F259&amp;$AB259,$G259),IF(OR(CG$3=$D259,CG$3=$AC259,CG$3=$AE259),"",IF(CG$3=$AD259,$F259&amp;"R",CG258))))</f>
        <v>bP</v>
      </c>
      <c r="CH259" s="11" t="str">
        <f aca="false">IF($P259=0,CH258,IF(CH$3=$E259,IF($AA259=1,$F259&amp;$AB259,$G259),IF(OR(CH$3=$D259,CH$3=$AC259,CH$3=$AE259),"",IF(CH$3=$AD259,$F259&amp;"R",CH258))))</f>
        <v>bP</v>
      </c>
      <c r="CI259" s="11" t="str">
        <f aca="false">IF($P259=0,CI258,IF(CI$3=$E259,IF($AA259=1,$F259&amp;$AB259,$G259),IF(OR(CI$3=$D259,CI$3=$AC259,CI$3=$AE259),"",IF(CI$3=$AD259,$F259&amp;"R",CI258))))</f>
        <v>bP</v>
      </c>
      <c r="CJ259" s="11" t="str">
        <f aca="false">IF($P259=0,CJ258,IF(CJ$3=$E259,IF($AA259=1,$F259&amp;$AB259,$G259),IF(OR(CJ$3=$D259,CJ$3=$AC259,CJ$3=$AE259),"",IF(CJ$3=$AD259,$F259&amp;"R",CJ258))))</f>
        <v>bP</v>
      </c>
      <c r="CK259" s="11" t="str">
        <f aca="false">IF($P259=0,CK258,IF(CK$3=$E259,IF($AA259=1,$F259&amp;$AB259,$G259),IF(OR(CK$3=$D259,CK$3=$AC259,CK$3=$AE259),"",IF(CK$3=$AD259,$F259&amp;"R",CK258))))</f>
        <v>bP</v>
      </c>
      <c r="CL259" s="11" t="str">
        <f aca="false">IF($P259=0,CL258,IF(CL$3=$E259,IF($AA259=1,$F259&amp;$AB259,$G259),IF(OR(CL$3=$D259,CL$3=$AC259,CL$3=$AE259),"",IF(CL$3=$AD259,$F259&amp;"R",CL258))))</f>
        <v>bR</v>
      </c>
      <c r="CM259" s="11" t="str">
        <f aca="false">IF($P259=0,CM258,IF(CM$3=$E259,IF($AA259=1,$F259&amp;$AB259,$G259),IF(OR(CM$3=$D259,CM$3=$AC259,CM$3=$AE259),"",IF(CM$3=$AD259,$F259&amp;"R",CM258))))</f>
        <v>bN</v>
      </c>
      <c r="CN259" s="11" t="str">
        <f aca="false">IF($P259=0,CN258,IF(CN$3=$E259,IF($AA259=1,$F259&amp;$AB259,$G259),IF(OR(CN$3=$D259,CN$3=$AC259,CN$3=$AE259),"",IF(CN$3=$AD259,$F259&amp;"R",CN258))))</f>
        <v>bB</v>
      </c>
      <c r="CO259" s="11" t="str">
        <f aca="false">IF($P259=0,CO258,IF(CO$3=$E259,IF($AA259=1,$F259&amp;$AB259,$G259),IF(OR(CO$3=$D259,CO$3=$AC259,CO$3=$AE259),"",IF(CO$3=$AD259,$F259&amp;"R",CO258))))</f>
        <v>bQ</v>
      </c>
      <c r="CP259" s="11" t="str">
        <f aca="false">IF($P259=0,CP258,IF(CP$3=$E259,IF($AA259=1,$F259&amp;$AB259,$G259),IF(OR(CP$3=$D259,CP$3=$AC259,CP$3=$AE259),"",IF(CP$3=$AD259,$F259&amp;"R",CP258))))</f>
        <v>bK</v>
      </c>
      <c r="CQ259" s="11" t="str">
        <f aca="false">IF($P259=0,CQ258,IF(CQ$3=$E259,IF($AA259=1,$F259&amp;$AB259,$G259),IF(OR(CQ$3=$D259,CQ$3=$AC259,CQ$3=$AE259),"",IF(CQ$3=$AD259,$F259&amp;"R",CQ258))))</f>
        <v>bB</v>
      </c>
      <c r="CR259" s="11" t="str">
        <f aca="false">IF($P259=0,CR258,IF(CR$3=$E259,IF($AA259=1,$F259&amp;$AB259,$G259),IF(OR(CR$3=$D259,CR$3=$AC259,CR$3=$AE259),"",IF(CR$3=$AD259,$F259&amp;"R",CR258))))</f>
        <v>bN</v>
      </c>
      <c r="CS259" s="11" t="str">
        <f aca="false">IF($P259=0,CS258,IF(CS$3=$E259,IF($AA259=1,$F259&amp;$AB259,$G259),IF(OR(CS$3=$D259,CS$3=$AC259,CS$3=$AE259),"",IF(CS$3=$AD259,$F259&amp;"R",CS258))))</f>
        <v>bR</v>
      </c>
      <c r="CT259" s="11"/>
      <c r="CU259" s="11"/>
      <c r="CV259" s="11"/>
    </row>
    <row r="260" customFormat="false" ht="15" hidden="false" customHeight="false" outlineLevel="0" collapsed="false">
      <c r="A260" s="11" t="n">
        <v>255</v>
      </c>
      <c r="B260" s="11" t="str">
        <f aca="false">IF(Chess!$L$264="","",Chess!$L$264&amp;"")</f>
        <v/>
      </c>
      <c r="C260" s="11" t="str">
        <f aca="false">LOWER(SUBSTITUTE(SUBSTITUTE(SUBSTITUTE(SUBSTITUTE(TRIM($B260),"-",""),"=","")," ",""),"x",""))</f>
        <v/>
      </c>
      <c r="D260" s="11" t="n">
        <f aca="false">IF(LEN($C260)&lt;4,0,IFERROR(IF(AND(CODE(MID($C260,1,1))&gt;=97,CODE(MID($C260,1,1))&lt;=104,VALUE(MID($C260,2,1))&gt;=1,VALUE(MID($C260,2,1))&lt;=8),(VALUE(MID($C260,2,1))-1)*8+CODE(MID($C260,1,1))-96,0),0))</f>
        <v>0</v>
      </c>
      <c r="E260" s="11" t="n">
        <f aca="false">IF(LEN($C260)&lt;4,0,IFERROR(IF(AND(CODE(MID($C260,3,1))&gt;=97,CODE(MID($C260,3,1))&lt;=104,VALUE(MID($C260,4,1))&gt;=1,VALUE(MID($C260,4,1))&lt;=8),(VALUE(MID($C260,4,1))-1)*8+CODE(MID($C260,3,1))-96,0),0))</f>
        <v>0</v>
      </c>
      <c r="F260" s="11" t="str">
        <f aca="false">IF(MOD(SUM($P$5:$P259),2)=0,"w","b")</f>
        <v>w</v>
      </c>
      <c r="G260" s="11" t="str">
        <f aca="false">IF($D260=0,"",INDEX($AH259:$CS259,1,$D260)&amp;"")</f>
        <v/>
      </c>
      <c r="H260" s="11" t="str">
        <f aca="false">IF($E260=0,"",INDEX($AH259:$CS259,1,$E260)&amp;"")</f>
        <v/>
      </c>
      <c r="I260" s="11" t="n">
        <f aca="false">IF(OR($D260=0,$E260=0),0,MOD($E260-1,8)-MOD($D260-1,8))</f>
        <v>0</v>
      </c>
      <c r="J260" s="11" t="n">
        <f aca="false">IF(OR($D260=0,$E260=0),0,INT(($E260-1)/8)-INT(($D260-1)/8))</f>
        <v>0</v>
      </c>
      <c r="K260" s="11" t="str">
        <f aca="false">IF($G260="","",RIGHT($G260,1))</f>
        <v/>
      </c>
      <c r="L260" s="11" t="n">
        <f aca="false">IF(OR($D260=0,$E260=0),0,SUMPRODUCT(($AH$3:$CS$3&gt;MIN($D260,$E260))*($AH$3:$CS$3&lt;MAX($D260,$E260))*(MOD($AH$3:$CS$3-MIN($D260,$E260),MAX(1,ABS(SIGN($J260)*8+SIGN($I260))))=0)*($AH259:$CS259&lt;&gt;"")))</f>
        <v>0</v>
      </c>
      <c r="M260" s="11" t="n">
        <f aca="false">IF($K260&lt;&gt;"K",0,IFERROR(--AND($J260=0,ABS($I260)=2,$D260=IF($F260="w",5,61),IF($F260="w",$S259,$V259)=0,IF($I260=2,AND(IF($F260="w",$U259,$X259)=0,INDEX($AH259:$CS259,1,$D260+1)&amp;""="",INDEX($AH259:$CS259,1,$D260+2)&amp;""=""),AND(IF($F260="w",$T259,$W259)=0,INDEX($AH259:$CS259,1,$D260-1)&amp;""="",INDEX($AH259:$CS259,1,$D260-2)&amp;""="",INDEX($AH259:$CS259,1,$D260-3)&amp;""=""))),0))</f>
        <v>0</v>
      </c>
      <c r="N260" s="11" t="n">
        <f aca="false">IF($K260&lt;&gt;"P",0,IFERROR(--OR(AND($I260=0,$J260=IF($F260="w",1,-1),$H260=""),AND($I260=0,$J260=2*IF($F260="w",1,-1),$H260="",INT(($D260-1)/8)=IF($F260="w",1,6),INDEX($AH259:$CS259,1,MAX(1,MIN(64,$D260+8*IF($F260="w",1,-1))))&amp;""=""),AND(ABS($I260)=1,$J260=IF($F260="w",1,-1),$H260&lt;&gt;""),AND(ABS($I260)=1,$J260=IF($F260="w",1,-1),$H260="",$R259&gt;0,$E260=$R259)),0))</f>
        <v>0</v>
      </c>
      <c r="O260" s="11" t="n">
        <f aca="false">IF(OR($D260=0,$E260=0,$G260=""),0,IF($K260="N",--OR(AND(ABS($I260)=1,ABS($J260)=2),AND(ABS($I260)=2,ABS($J260)=1)),IF($K260="B",--AND(ABS($I260)=ABS($J260),$I260&lt;&gt;0,$L260=0),IF($K260="R",--AND(OR($I260=0,$J260=0),OR($I260&lt;&gt;0,$J260&lt;&gt;0),$L260=0),IF($K260="Q",--AND(OR(AND(ABS($I260)=ABS($J260),$I260&lt;&gt;0),AND(OR($I260=0,$J260=0),OR($I260&lt;&gt;0,$J260&lt;&gt;0))),$L260=0),IF($K260="K",--OR(MAX(ABS($I260),ABS($J260))=1,$M260=1),$N260))))))</f>
        <v>0</v>
      </c>
      <c r="P260" s="11" t="n">
        <f aca="false">IF($Q260="OK",1,0)</f>
        <v>0</v>
      </c>
      <c r="Q260" s="11" t="str">
        <f aca="false">IF($B260="","",IF(OR(COUNTIF($AH259:$CS259,"wK")=0,COUNTIF($AH259:$CS259,"bK")=0),"Game is over",IF(OR($D260=0,$E260=0),"Use the format e2e4",IF($G260="","No piece on that square",IF(LEFT($G260,1)&lt;&gt;$F260,"Not your piece ("&amp;IF($F260="w","White","Black")&amp;" to move)",IF($D260=$E260,"Piece must move",IF(AND($H260&lt;&gt;"",LEFT($H260,1)=$F260),"Cannot capture your own piece",IF($O260=0,"Illegal move for that piece (or path blocked)","OK"))))))))</f>
        <v/>
      </c>
      <c r="R260" s="11" t="n">
        <f aca="false">IF($P260=1,IF(AND($K260="P",ABS($J260)=2),($D260+$E260)/2,0),$R259)</f>
        <v>0</v>
      </c>
      <c r="S260" s="12" t="b">
        <f aca="false">--OR($S259=1,AND($P260=1,OR($D260=5,$E260=5)))</f>
        <v>0</v>
      </c>
      <c r="T260" s="12" t="b">
        <f aca="false">--OR($T259=1,AND($P260=1,OR($D260=1,$E260=1)))</f>
        <v>0</v>
      </c>
      <c r="U260" s="12" t="b">
        <f aca="false">--OR($U259=1,AND($P260=1,OR($D260=8,$E260=8)))</f>
        <v>0</v>
      </c>
      <c r="V260" s="12" t="b">
        <f aca="false">--OR($V259=1,AND($P260=1,OR($D260=61,$E260=61)))</f>
        <v>0</v>
      </c>
      <c r="W260" s="12" t="b">
        <f aca="false">--OR($W259=1,AND($P260=1,OR($D260=57,$E260=57)))</f>
        <v>0</v>
      </c>
      <c r="X260" s="12" t="b">
        <f aca="false">--OR($X259=1,AND($P260=1,OR($D260=64,$E260=64)))</f>
        <v>0</v>
      </c>
      <c r="Y260" s="12" t="b">
        <f aca="false">--AND($P260=1,$K260="K",ABS($I260)=2)</f>
        <v>0</v>
      </c>
      <c r="Z260" s="12" t="b">
        <f aca="false">--AND($P260=1,$K260="P",ABS($I260)=1,$H260="")</f>
        <v>0</v>
      </c>
      <c r="AA260" s="12" t="b">
        <f aca="false">--AND($P260=1,$K260="P",INT(($E260-1)/8)=IF($F260="w",7,0))</f>
        <v>0</v>
      </c>
      <c r="AB260" s="11" t="str">
        <f aca="false">IF(LEN($C260)&gt;=5,IF(ISNUMBER(FIND(MID($C260,5,1),"qrbn")),UPPER(MID($C260,5,1)),"Q"),"Q")</f>
        <v>Q</v>
      </c>
      <c r="AC260" s="11" t="n">
        <f aca="false">IF($Y260=1,IF($I260=2,$D260+3,$D260-4),0)</f>
        <v>0</v>
      </c>
      <c r="AD260" s="11" t="n">
        <f aca="false">IF($Y260=1,IF($I260=2,$D260+1,$D260-1),0)</f>
        <v>0</v>
      </c>
      <c r="AE260" s="11" t="n">
        <f aca="false">IF($Z260=1,$E260-8*IF($F260="w",1,-1),0)</f>
        <v>0</v>
      </c>
      <c r="AF260" s="11" t="str">
        <f aca="false">IF($B260="","",IF($P260=1,LOWER(INDEX($CV$2:$CV$13,MATCH($G260,$CU$2:$CU$13,0)))&amp;" "&amp;MID("abcdefgh",MOD($D260-1,8)+1,1)&amp;(INT(($D260-1)/8)+1)&amp;"→"&amp;MID("abcdefgh",MOD($E260-1,8)+1,1)&amp;(INT(($E260-1)/8)+1)&amp;IF(OR($H260&lt;&gt;"",$Z260=1)," ×","")&amp;IF($Y260=1," castles","")&amp;IF($Z260=1," e.p.","")&amp;IF($AA260=1," =" &amp;LOWER(INDEX($CV$2:$CV$13,MATCH($F260&amp;$AB260,$CU$2:$CU$13,0))),""),"X "&amp;$Q260))</f>
        <v/>
      </c>
      <c r="AG260" s="11"/>
      <c r="AH260" s="11" t="str">
        <f aca="false">IF($P260=0,AH259,IF(AH$3=$E260,IF($AA260=1,$F260&amp;$AB260,$G260),IF(OR(AH$3=$D260,AH$3=$AC260,AH$3=$AE260),"",IF(AH$3=$AD260,$F260&amp;"R",AH259))))</f>
        <v>wR</v>
      </c>
      <c r="AI260" s="11" t="str">
        <f aca="false">IF($P260=0,AI259,IF(AI$3=$E260,IF($AA260=1,$F260&amp;$AB260,$G260),IF(OR(AI$3=$D260,AI$3=$AC260,AI$3=$AE260),"",IF(AI$3=$AD260,$F260&amp;"R",AI259))))</f>
        <v>wN</v>
      </c>
      <c r="AJ260" s="11" t="str">
        <f aca="false">IF($P260=0,AJ259,IF(AJ$3=$E260,IF($AA260=1,$F260&amp;$AB260,$G260),IF(OR(AJ$3=$D260,AJ$3=$AC260,AJ$3=$AE260),"",IF(AJ$3=$AD260,$F260&amp;"R",AJ259))))</f>
        <v>wB</v>
      </c>
      <c r="AK260" s="11" t="str">
        <f aca="false">IF($P260=0,AK259,IF(AK$3=$E260,IF($AA260=1,$F260&amp;$AB260,$G260),IF(OR(AK$3=$D260,AK$3=$AC260,AK$3=$AE260),"",IF(AK$3=$AD260,$F260&amp;"R",AK259))))</f>
        <v>wQ</v>
      </c>
      <c r="AL260" s="11" t="str">
        <f aca="false">IF($P260=0,AL259,IF(AL$3=$E260,IF($AA260=1,$F260&amp;$AB260,$G260),IF(OR(AL$3=$D260,AL$3=$AC260,AL$3=$AE260),"",IF(AL$3=$AD260,$F260&amp;"R",AL259))))</f>
        <v>wK</v>
      </c>
      <c r="AM260" s="11" t="str">
        <f aca="false">IF($P260=0,AM259,IF(AM$3=$E260,IF($AA260=1,$F260&amp;$AB260,$G260),IF(OR(AM$3=$D260,AM$3=$AC260,AM$3=$AE260),"",IF(AM$3=$AD260,$F260&amp;"R",AM259))))</f>
        <v>wB</v>
      </c>
      <c r="AN260" s="11" t="str">
        <f aca="false">IF($P260=0,AN259,IF(AN$3=$E260,IF($AA260=1,$F260&amp;$AB260,$G260),IF(OR(AN$3=$D260,AN$3=$AC260,AN$3=$AE260),"",IF(AN$3=$AD260,$F260&amp;"R",AN259))))</f>
        <v>wN</v>
      </c>
      <c r="AO260" s="11" t="str">
        <f aca="false">IF($P260=0,AO259,IF(AO$3=$E260,IF($AA260=1,$F260&amp;$AB260,$G260),IF(OR(AO$3=$D260,AO$3=$AC260,AO$3=$AE260),"",IF(AO$3=$AD260,$F260&amp;"R",AO259))))</f>
        <v>wR</v>
      </c>
      <c r="AP260" s="11" t="str">
        <f aca="false">IF($P260=0,AP259,IF(AP$3=$E260,IF($AA260=1,$F260&amp;$AB260,$G260),IF(OR(AP$3=$D260,AP$3=$AC260,AP$3=$AE260),"",IF(AP$3=$AD260,$F260&amp;"R",AP259))))</f>
        <v>wP</v>
      </c>
      <c r="AQ260" s="11" t="str">
        <f aca="false">IF($P260=0,AQ259,IF(AQ$3=$E260,IF($AA260=1,$F260&amp;$AB260,$G260),IF(OR(AQ$3=$D260,AQ$3=$AC260,AQ$3=$AE260),"",IF(AQ$3=$AD260,$F260&amp;"R",AQ259))))</f>
        <v>wP</v>
      </c>
      <c r="AR260" s="11" t="str">
        <f aca="false">IF($P260=0,AR259,IF(AR$3=$E260,IF($AA260=1,$F260&amp;$AB260,$G260),IF(OR(AR$3=$D260,AR$3=$AC260,AR$3=$AE260),"",IF(AR$3=$AD260,$F260&amp;"R",AR259))))</f>
        <v>wP</v>
      </c>
      <c r="AS260" s="11" t="str">
        <f aca="false">IF($P260=0,AS259,IF(AS$3=$E260,IF($AA260=1,$F260&amp;$AB260,$G260),IF(OR(AS$3=$D260,AS$3=$AC260,AS$3=$AE260),"",IF(AS$3=$AD260,$F260&amp;"R",AS259))))</f>
        <v>wP</v>
      </c>
      <c r="AT260" s="11" t="str">
        <f aca="false">IF($P260=0,AT259,IF(AT$3=$E260,IF($AA260=1,$F260&amp;$AB260,$G260),IF(OR(AT$3=$D260,AT$3=$AC260,AT$3=$AE260),"",IF(AT$3=$AD260,$F260&amp;"R",AT259))))</f>
        <v>wP</v>
      </c>
      <c r="AU260" s="11" t="str">
        <f aca="false">IF($P260=0,AU259,IF(AU$3=$E260,IF($AA260=1,$F260&amp;$AB260,$G260),IF(OR(AU$3=$D260,AU$3=$AC260,AU$3=$AE260),"",IF(AU$3=$AD260,$F260&amp;"R",AU259))))</f>
        <v>wP</v>
      </c>
      <c r="AV260" s="11" t="str">
        <f aca="false">IF($P260=0,AV259,IF(AV$3=$E260,IF($AA260=1,$F260&amp;$AB260,$G260),IF(OR(AV$3=$D260,AV$3=$AC260,AV$3=$AE260),"",IF(AV$3=$AD260,$F260&amp;"R",AV259))))</f>
        <v>wP</v>
      </c>
      <c r="AW260" s="11" t="str">
        <f aca="false">IF($P260=0,AW259,IF(AW$3=$E260,IF($AA260=1,$F260&amp;$AB260,$G260),IF(OR(AW$3=$D260,AW$3=$AC260,AW$3=$AE260),"",IF(AW$3=$AD260,$F260&amp;"R",AW259))))</f>
        <v>wP</v>
      </c>
      <c r="AX260" s="11" t="str">
        <f aca="false">IF($P260=0,AX259,IF(AX$3=$E260,IF($AA260=1,$F260&amp;$AB260,$G260),IF(OR(AX$3=$D260,AX$3=$AC260,AX$3=$AE260),"",IF(AX$3=$AD260,$F260&amp;"R",AX259))))</f>
        <v/>
      </c>
      <c r="AY260" s="11" t="str">
        <f aca="false">IF($P260=0,AY259,IF(AY$3=$E260,IF($AA260=1,$F260&amp;$AB260,$G260),IF(OR(AY$3=$D260,AY$3=$AC260,AY$3=$AE260),"",IF(AY$3=$AD260,$F260&amp;"R",AY259))))</f>
        <v/>
      </c>
      <c r="AZ260" s="11" t="str">
        <f aca="false">IF($P260=0,AZ259,IF(AZ$3=$E260,IF($AA260=1,$F260&amp;$AB260,$G260),IF(OR(AZ$3=$D260,AZ$3=$AC260,AZ$3=$AE260),"",IF(AZ$3=$AD260,$F260&amp;"R",AZ259))))</f>
        <v/>
      </c>
      <c r="BA260" s="11" t="str">
        <f aca="false">IF($P260=0,BA259,IF(BA$3=$E260,IF($AA260=1,$F260&amp;$AB260,$G260),IF(OR(BA$3=$D260,BA$3=$AC260,BA$3=$AE260),"",IF(BA$3=$AD260,$F260&amp;"R",BA259))))</f>
        <v/>
      </c>
      <c r="BB260" s="11" t="str">
        <f aca="false">IF($P260=0,BB259,IF(BB$3=$E260,IF($AA260=1,$F260&amp;$AB260,$G260),IF(OR(BB$3=$D260,BB$3=$AC260,BB$3=$AE260),"",IF(BB$3=$AD260,$F260&amp;"R",BB259))))</f>
        <v/>
      </c>
      <c r="BC260" s="11" t="str">
        <f aca="false">IF($P260=0,BC259,IF(BC$3=$E260,IF($AA260=1,$F260&amp;$AB260,$G260),IF(OR(BC$3=$D260,BC$3=$AC260,BC$3=$AE260),"",IF(BC$3=$AD260,$F260&amp;"R",BC259))))</f>
        <v/>
      </c>
      <c r="BD260" s="11" t="str">
        <f aca="false">IF($P260=0,BD259,IF(BD$3=$E260,IF($AA260=1,$F260&amp;$AB260,$G260),IF(OR(BD$3=$D260,BD$3=$AC260,BD$3=$AE260),"",IF(BD$3=$AD260,$F260&amp;"R",BD259))))</f>
        <v/>
      </c>
      <c r="BE260" s="11" t="str">
        <f aca="false">IF($P260=0,BE259,IF(BE$3=$E260,IF($AA260=1,$F260&amp;$AB260,$G260),IF(OR(BE$3=$D260,BE$3=$AC260,BE$3=$AE260),"",IF(BE$3=$AD260,$F260&amp;"R",BE259))))</f>
        <v/>
      </c>
      <c r="BF260" s="11" t="str">
        <f aca="false">IF($P260=0,BF259,IF(BF$3=$E260,IF($AA260=1,$F260&amp;$AB260,$G260),IF(OR(BF$3=$D260,BF$3=$AC260,BF$3=$AE260),"",IF(BF$3=$AD260,$F260&amp;"R",BF259))))</f>
        <v/>
      </c>
      <c r="BG260" s="11" t="str">
        <f aca="false">IF($P260=0,BG259,IF(BG$3=$E260,IF($AA260=1,$F260&amp;$AB260,$G260),IF(OR(BG$3=$D260,BG$3=$AC260,BG$3=$AE260),"",IF(BG$3=$AD260,$F260&amp;"R",BG259))))</f>
        <v/>
      </c>
      <c r="BH260" s="11" t="str">
        <f aca="false">IF($P260=0,BH259,IF(BH$3=$E260,IF($AA260=1,$F260&amp;$AB260,$G260),IF(OR(BH$3=$D260,BH$3=$AC260,BH$3=$AE260),"",IF(BH$3=$AD260,$F260&amp;"R",BH259))))</f>
        <v/>
      </c>
      <c r="BI260" s="11" t="str">
        <f aca="false">IF($P260=0,BI259,IF(BI$3=$E260,IF($AA260=1,$F260&amp;$AB260,$G260),IF(OR(BI$3=$D260,BI$3=$AC260,BI$3=$AE260),"",IF(BI$3=$AD260,$F260&amp;"R",BI259))))</f>
        <v/>
      </c>
      <c r="BJ260" s="11" t="str">
        <f aca="false">IF($P260=0,BJ259,IF(BJ$3=$E260,IF($AA260=1,$F260&amp;$AB260,$G260),IF(OR(BJ$3=$D260,BJ$3=$AC260,BJ$3=$AE260),"",IF(BJ$3=$AD260,$F260&amp;"R",BJ259))))</f>
        <v/>
      </c>
      <c r="BK260" s="11" t="str">
        <f aca="false">IF($P260=0,BK259,IF(BK$3=$E260,IF($AA260=1,$F260&amp;$AB260,$G260),IF(OR(BK$3=$D260,BK$3=$AC260,BK$3=$AE260),"",IF(BK$3=$AD260,$F260&amp;"R",BK259))))</f>
        <v/>
      </c>
      <c r="BL260" s="11" t="str">
        <f aca="false">IF($P260=0,BL259,IF(BL$3=$E260,IF($AA260=1,$F260&amp;$AB260,$G260),IF(OR(BL$3=$D260,BL$3=$AC260,BL$3=$AE260),"",IF(BL$3=$AD260,$F260&amp;"R",BL259))))</f>
        <v/>
      </c>
      <c r="BM260" s="11" t="str">
        <f aca="false">IF($P260=0,BM259,IF(BM$3=$E260,IF($AA260=1,$F260&amp;$AB260,$G260),IF(OR(BM$3=$D260,BM$3=$AC260,BM$3=$AE260),"",IF(BM$3=$AD260,$F260&amp;"R",BM259))))</f>
        <v/>
      </c>
      <c r="BN260" s="11" t="str">
        <f aca="false">IF($P260=0,BN259,IF(BN$3=$E260,IF($AA260=1,$F260&amp;$AB260,$G260),IF(OR(BN$3=$D260,BN$3=$AC260,BN$3=$AE260),"",IF(BN$3=$AD260,$F260&amp;"R",BN259))))</f>
        <v/>
      </c>
      <c r="BO260" s="11" t="str">
        <f aca="false">IF($P260=0,BO259,IF(BO$3=$E260,IF($AA260=1,$F260&amp;$AB260,$G260),IF(OR(BO$3=$D260,BO$3=$AC260,BO$3=$AE260),"",IF(BO$3=$AD260,$F260&amp;"R",BO259))))</f>
        <v/>
      </c>
      <c r="BP260" s="11" t="str">
        <f aca="false">IF($P260=0,BP259,IF(BP$3=$E260,IF($AA260=1,$F260&amp;$AB260,$G260),IF(OR(BP$3=$D260,BP$3=$AC260,BP$3=$AE260),"",IF(BP$3=$AD260,$F260&amp;"R",BP259))))</f>
        <v/>
      </c>
      <c r="BQ260" s="11" t="str">
        <f aca="false">IF($P260=0,BQ259,IF(BQ$3=$E260,IF($AA260=1,$F260&amp;$AB260,$G260),IF(OR(BQ$3=$D260,BQ$3=$AC260,BQ$3=$AE260),"",IF(BQ$3=$AD260,$F260&amp;"R",BQ259))))</f>
        <v/>
      </c>
      <c r="BR260" s="11" t="str">
        <f aca="false">IF($P260=0,BR259,IF(BR$3=$E260,IF($AA260=1,$F260&amp;$AB260,$G260),IF(OR(BR$3=$D260,BR$3=$AC260,BR$3=$AE260),"",IF(BR$3=$AD260,$F260&amp;"R",BR259))))</f>
        <v/>
      </c>
      <c r="BS260" s="11" t="str">
        <f aca="false">IF($P260=0,BS259,IF(BS$3=$E260,IF($AA260=1,$F260&amp;$AB260,$G260),IF(OR(BS$3=$D260,BS$3=$AC260,BS$3=$AE260),"",IF(BS$3=$AD260,$F260&amp;"R",BS259))))</f>
        <v/>
      </c>
      <c r="BT260" s="11" t="str">
        <f aca="false">IF($P260=0,BT259,IF(BT$3=$E260,IF($AA260=1,$F260&amp;$AB260,$G260),IF(OR(BT$3=$D260,BT$3=$AC260,BT$3=$AE260),"",IF(BT$3=$AD260,$F260&amp;"R",BT259))))</f>
        <v/>
      </c>
      <c r="BU260" s="11" t="str">
        <f aca="false">IF($P260=0,BU259,IF(BU$3=$E260,IF($AA260=1,$F260&amp;$AB260,$G260),IF(OR(BU$3=$D260,BU$3=$AC260,BU$3=$AE260),"",IF(BU$3=$AD260,$F260&amp;"R",BU259))))</f>
        <v/>
      </c>
      <c r="BV260" s="11" t="str">
        <f aca="false">IF($P260=0,BV259,IF(BV$3=$E260,IF($AA260=1,$F260&amp;$AB260,$G260),IF(OR(BV$3=$D260,BV$3=$AC260,BV$3=$AE260),"",IF(BV$3=$AD260,$F260&amp;"R",BV259))))</f>
        <v/>
      </c>
      <c r="BW260" s="11" t="str">
        <f aca="false">IF($P260=0,BW259,IF(BW$3=$E260,IF($AA260=1,$F260&amp;$AB260,$G260),IF(OR(BW$3=$D260,BW$3=$AC260,BW$3=$AE260),"",IF(BW$3=$AD260,$F260&amp;"R",BW259))))</f>
        <v/>
      </c>
      <c r="BX260" s="11" t="str">
        <f aca="false">IF($P260=0,BX259,IF(BX$3=$E260,IF($AA260=1,$F260&amp;$AB260,$G260),IF(OR(BX$3=$D260,BX$3=$AC260,BX$3=$AE260),"",IF(BX$3=$AD260,$F260&amp;"R",BX259))))</f>
        <v/>
      </c>
      <c r="BY260" s="11" t="str">
        <f aca="false">IF($P260=0,BY259,IF(BY$3=$E260,IF($AA260=1,$F260&amp;$AB260,$G260),IF(OR(BY$3=$D260,BY$3=$AC260,BY$3=$AE260),"",IF(BY$3=$AD260,$F260&amp;"R",BY259))))</f>
        <v/>
      </c>
      <c r="BZ260" s="11" t="str">
        <f aca="false">IF($P260=0,BZ259,IF(BZ$3=$E260,IF($AA260=1,$F260&amp;$AB260,$G260),IF(OR(BZ$3=$D260,BZ$3=$AC260,BZ$3=$AE260),"",IF(BZ$3=$AD260,$F260&amp;"R",BZ259))))</f>
        <v/>
      </c>
      <c r="CA260" s="11" t="str">
        <f aca="false">IF($P260=0,CA259,IF(CA$3=$E260,IF($AA260=1,$F260&amp;$AB260,$G260),IF(OR(CA$3=$D260,CA$3=$AC260,CA$3=$AE260),"",IF(CA$3=$AD260,$F260&amp;"R",CA259))))</f>
        <v/>
      </c>
      <c r="CB260" s="11" t="str">
        <f aca="false">IF($P260=0,CB259,IF(CB$3=$E260,IF($AA260=1,$F260&amp;$AB260,$G260),IF(OR(CB$3=$D260,CB$3=$AC260,CB$3=$AE260),"",IF(CB$3=$AD260,$F260&amp;"R",CB259))))</f>
        <v/>
      </c>
      <c r="CC260" s="11" t="str">
        <f aca="false">IF($P260=0,CC259,IF(CC$3=$E260,IF($AA260=1,$F260&amp;$AB260,$G260),IF(OR(CC$3=$D260,CC$3=$AC260,CC$3=$AE260),"",IF(CC$3=$AD260,$F260&amp;"R",CC259))))</f>
        <v/>
      </c>
      <c r="CD260" s="11" t="str">
        <f aca="false">IF($P260=0,CD259,IF(CD$3=$E260,IF($AA260=1,$F260&amp;$AB260,$G260),IF(OR(CD$3=$D260,CD$3=$AC260,CD$3=$AE260),"",IF(CD$3=$AD260,$F260&amp;"R",CD259))))</f>
        <v>bP</v>
      </c>
      <c r="CE260" s="11" t="str">
        <f aca="false">IF($P260=0,CE259,IF(CE$3=$E260,IF($AA260=1,$F260&amp;$AB260,$G260),IF(OR(CE$3=$D260,CE$3=$AC260,CE$3=$AE260),"",IF(CE$3=$AD260,$F260&amp;"R",CE259))))</f>
        <v>bP</v>
      </c>
      <c r="CF260" s="11" t="str">
        <f aca="false">IF($P260=0,CF259,IF(CF$3=$E260,IF($AA260=1,$F260&amp;$AB260,$G260),IF(OR(CF$3=$D260,CF$3=$AC260,CF$3=$AE260),"",IF(CF$3=$AD260,$F260&amp;"R",CF259))))</f>
        <v>bP</v>
      </c>
      <c r="CG260" s="11" t="str">
        <f aca="false">IF($P260=0,CG259,IF(CG$3=$E260,IF($AA260=1,$F260&amp;$AB260,$G260),IF(OR(CG$3=$D260,CG$3=$AC260,CG$3=$AE260),"",IF(CG$3=$AD260,$F260&amp;"R",CG259))))</f>
        <v>bP</v>
      </c>
      <c r="CH260" s="11" t="str">
        <f aca="false">IF($P260=0,CH259,IF(CH$3=$E260,IF($AA260=1,$F260&amp;$AB260,$G260),IF(OR(CH$3=$D260,CH$3=$AC260,CH$3=$AE260),"",IF(CH$3=$AD260,$F260&amp;"R",CH259))))</f>
        <v>bP</v>
      </c>
      <c r="CI260" s="11" t="str">
        <f aca="false">IF($P260=0,CI259,IF(CI$3=$E260,IF($AA260=1,$F260&amp;$AB260,$G260),IF(OR(CI$3=$D260,CI$3=$AC260,CI$3=$AE260),"",IF(CI$3=$AD260,$F260&amp;"R",CI259))))</f>
        <v>bP</v>
      </c>
      <c r="CJ260" s="11" t="str">
        <f aca="false">IF($P260=0,CJ259,IF(CJ$3=$E260,IF($AA260=1,$F260&amp;$AB260,$G260),IF(OR(CJ$3=$D260,CJ$3=$AC260,CJ$3=$AE260),"",IF(CJ$3=$AD260,$F260&amp;"R",CJ259))))</f>
        <v>bP</v>
      </c>
      <c r="CK260" s="11" t="str">
        <f aca="false">IF($P260=0,CK259,IF(CK$3=$E260,IF($AA260=1,$F260&amp;$AB260,$G260),IF(OR(CK$3=$D260,CK$3=$AC260,CK$3=$AE260),"",IF(CK$3=$AD260,$F260&amp;"R",CK259))))</f>
        <v>bP</v>
      </c>
      <c r="CL260" s="11" t="str">
        <f aca="false">IF($P260=0,CL259,IF(CL$3=$E260,IF($AA260=1,$F260&amp;$AB260,$G260),IF(OR(CL$3=$D260,CL$3=$AC260,CL$3=$AE260),"",IF(CL$3=$AD260,$F260&amp;"R",CL259))))</f>
        <v>bR</v>
      </c>
      <c r="CM260" s="11" t="str">
        <f aca="false">IF($P260=0,CM259,IF(CM$3=$E260,IF($AA260=1,$F260&amp;$AB260,$G260),IF(OR(CM$3=$D260,CM$3=$AC260,CM$3=$AE260),"",IF(CM$3=$AD260,$F260&amp;"R",CM259))))</f>
        <v>bN</v>
      </c>
      <c r="CN260" s="11" t="str">
        <f aca="false">IF($P260=0,CN259,IF(CN$3=$E260,IF($AA260=1,$F260&amp;$AB260,$G260),IF(OR(CN$3=$D260,CN$3=$AC260,CN$3=$AE260),"",IF(CN$3=$AD260,$F260&amp;"R",CN259))))</f>
        <v>bB</v>
      </c>
      <c r="CO260" s="11" t="str">
        <f aca="false">IF($P260=0,CO259,IF(CO$3=$E260,IF($AA260=1,$F260&amp;$AB260,$G260),IF(OR(CO$3=$D260,CO$3=$AC260,CO$3=$AE260),"",IF(CO$3=$AD260,$F260&amp;"R",CO259))))</f>
        <v>bQ</v>
      </c>
      <c r="CP260" s="11" t="str">
        <f aca="false">IF($P260=0,CP259,IF(CP$3=$E260,IF($AA260=1,$F260&amp;$AB260,$G260),IF(OR(CP$3=$D260,CP$3=$AC260,CP$3=$AE260),"",IF(CP$3=$AD260,$F260&amp;"R",CP259))))</f>
        <v>bK</v>
      </c>
      <c r="CQ260" s="11" t="str">
        <f aca="false">IF($P260=0,CQ259,IF(CQ$3=$E260,IF($AA260=1,$F260&amp;$AB260,$G260),IF(OR(CQ$3=$D260,CQ$3=$AC260,CQ$3=$AE260),"",IF(CQ$3=$AD260,$F260&amp;"R",CQ259))))</f>
        <v>bB</v>
      </c>
      <c r="CR260" s="11" t="str">
        <f aca="false">IF($P260=0,CR259,IF(CR$3=$E260,IF($AA260=1,$F260&amp;$AB260,$G260),IF(OR(CR$3=$D260,CR$3=$AC260,CR$3=$AE260),"",IF(CR$3=$AD260,$F260&amp;"R",CR259))))</f>
        <v>bN</v>
      </c>
      <c r="CS260" s="11" t="str">
        <f aca="false">IF($P260=0,CS259,IF(CS$3=$E260,IF($AA260=1,$F260&amp;$AB260,$G260),IF(OR(CS$3=$D260,CS$3=$AC260,CS$3=$AE260),"",IF(CS$3=$AD260,$F260&amp;"R",CS259))))</f>
        <v>bR</v>
      </c>
      <c r="CT260" s="11"/>
      <c r="CU260" s="11"/>
      <c r="CV260" s="11"/>
    </row>
    <row r="261" customFormat="false" ht="15" hidden="false" customHeight="false" outlineLevel="0" collapsed="false">
      <c r="A261" s="11" t="n">
        <v>256</v>
      </c>
      <c r="B261" s="11" t="str">
        <f aca="false">IF(Chess!$L$265="","",Chess!$L$265&amp;"")</f>
        <v/>
      </c>
      <c r="C261" s="11" t="str">
        <f aca="false">LOWER(SUBSTITUTE(SUBSTITUTE(SUBSTITUTE(SUBSTITUTE(TRIM($B261),"-",""),"=","")," ",""),"x",""))</f>
        <v/>
      </c>
      <c r="D261" s="11" t="n">
        <f aca="false">IF(LEN($C261)&lt;4,0,IFERROR(IF(AND(CODE(MID($C261,1,1))&gt;=97,CODE(MID($C261,1,1))&lt;=104,VALUE(MID($C261,2,1))&gt;=1,VALUE(MID($C261,2,1))&lt;=8),(VALUE(MID($C261,2,1))-1)*8+CODE(MID($C261,1,1))-96,0),0))</f>
        <v>0</v>
      </c>
      <c r="E261" s="11" t="n">
        <f aca="false">IF(LEN($C261)&lt;4,0,IFERROR(IF(AND(CODE(MID($C261,3,1))&gt;=97,CODE(MID($C261,3,1))&lt;=104,VALUE(MID($C261,4,1))&gt;=1,VALUE(MID($C261,4,1))&lt;=8),(VALUE(MID($C261,4,1))-1)*8+CODE(MID($C261,3,1))-96,0),0))</f>
        <v>0</v>
      </c>
      <c r="F261" s="11" t="str">
        <f aca="false">IF(MOD(SUM($P$5:$P260),2)=0,"w","b")</f>
        <v>w</v>
      </c>
      <c r="G261" s="11" t="str">
        <f aca="false">IF($D261=0,"",INDEX($AH260:$CS260,1,$D261)&amp;"")</f>
        <v/>
      </c>
      <c r="H261" s="11" t="str">
        <f aca="false">IF($E261=0,"",INDEX($AH260:$CS260,1,$E261)&amp;"")</f>
        <v/>
      </c>
      <c r="I261" s="11" t="n">
        <f aca="false">IF(OR($D261=0,$E261=0),0,MOD($E261-1,8)-MOD($D261-1,8))</f>
        <v>0</v>
      </c>
      <c r="J261" s="11" t="n">
        <f aca="false">IF(OR($D261=0,$E261=0),0,INT(($E261-1)/8)-INT(($D261-1)/8))</f>
        <v>0</v>
      </c>
      <c r="K261" s="11" t="str">
        <f aca="false">IF($G261="","",RIGHT($G261,1))</f>
        <v/>
      </c>
      <c r="L261" s="11" t="n">
        <f aca="false">IF(OR($D261=0,$E261=0),0,SUMPRODUCT(($AH$3:$CS$3&gt;MIN($D261,$E261))*($AH$3:$CS$3&lt;MAX($D261,$E261))*(MOD($AH$3:$CS$3-MIN($D261,$E261),MAX(1,ABS(SIGN($J261)*8+SIGN($I261))))=0)*($AH260:$CS260&lt;&gt;"")))</f>
        <v>0</v>
      </c>
      <c r="M261" s="11" t="n">
        <f aca="false">IF($K261&lt;&gt;"K",0,IFERROR(--AND($J261=0,ABS($I261)=2,$D261=IF($F261="w",5,61),IF($F261="w",$S260,$V260)=0,IF($I261=2,AND(IF($F261="w",$U260,$X260)=0,INDEX($AH260:$CS260,1,$D261+1)&amp;""="",INDEX($AH260:$CS260,1,$D261+2)&amp;""=""),AND(IF($F261="w",$T260,$W260)=0,INDEX($AH260:$CS260,1,$D261-1)&amp;""="",INDEX($AH260:$CS260,1,$D261-2)&amp;""="",INDEX($AH260:$CS260,1,$D261-3)&amp;""=""))),0))</f>
        <v>0</v>
      </c>
      <c r="N261" s="11" t="n">
        <f aca="false">IF($K261&lt;&gt;"P",0,IFERROR(--OR(AND($I261=0,$J261=IF($F261="w",1,-1),$H261=""),AND($I261=0,$J261=2*IF($F261="w",1,-1),$H261="",INT(($D261-1)/8)=IF($F261="w",1,6),INDEX($AH260:$CS260,1,MAX(1,MIN(64,$D261+8*IF($F261="w",1,-1))))&amp;""=""),AND(ABS($I261)=1,$J261=IF($F261="w",1,-1),$H261&lt;&gt;""),AND(ABS($I261)=1,$J261=IF($F261="w",1,-1),$H261="",$R260&gt;0,$E261=$R260)),0))</f>
        <v>0</v>
      </c>
      <c r="O261" s="11" t="n">
        <f aca="false">IF(OR($D261=0,$E261=0,$G261=""),0,IF($K261="N",--OR(AND(ABS($I261)=1,ABS($J261)=2),AND(ABS($I261)=2,ABS($J261)=1)),IF($K261="B",--AND(ABS($I261)=ABS($J261),$I261&lt;&gt;0,$L261=0),IF($K261="R",--AND(OR($I261=0,$J261=0),OR($I261&lt;&gt;0,$J261&lt;&gt;0),$L261=0),IF($K261="Q",--AND(OR(AND(ABS($I261)=ABS($J261),$I261&lt;&gt;0),AND(OR($I261=0,$J261=0),OR($I261&lt;&gt;0,$J261&lt;&gt;0))),$L261=0),IF($K261="K",--OR(MAX(ABS($I261),ABS($J261))=1,$M261=1),$N261))))))</f>
        <v>0</v>
      </c>
      <c r="P261" s="11" t="n">
        <f aca="false">IF($Q261="OK",1,0)</f>
        <v>0</v>
      </c>
      <c r="Q261" s="11" t="str">
        <f aca="false">IF($B261="","",IF(OR(COUNTIF($AH260:$CS260,"wK")=0,COUNTIF($AH260:$CS260,"bK")=0),"Game is over",IF(OR($D261=0,$E261=0),"Use the format e2e4",IF($G261="","No piece on that square",IF(LEFT($G261,1)&lt;&gt;$F261,"Not your piece ("&amp;IF($F261="w","White","Black")&amp;" to move)",IF($D261=$E261,"Piece must move",IF(AND($H261&lt;&gt;"",LEFT($H261,1)=$F261),"Cannot capture your own piece",IF($O261=0,"Illegal move for that piece (or path blocked)","OK"))))))))</f>
        <v/>
      </c>
      <c r="R261" s="11" t="n">
        <f aca="false">IF($P261=1,IF(AND($K261="P",ABS($J261)=2),($D261+$E261)/2,0),$R260)</f>
        <v>0</v>
      </c>
      <c r="S261" s="12" t="b">
        <f aca="false">--OR($S260=1,AND($P261=1,OR($D261=5,$E261=5)))</f>
        <v>0</v>
      </c>
      <c r="T261" s="12" t="b">
        <f aca="false">--OR($T260=1,AND($P261=1,OR($D261=1,$E261=1)))</f>
        <v>0</v>
      </c>
      <c r="U261" s="12" t="b">
        <f aca="false">--OR($U260=1,AND($P261=1,OR($D261=8,$E261=8)))</f>
        <v>0</v>
      </c>
      <c r="V261" s="12" t="b">
        <f aca="false">--OR($V260=1,AND($P261=1,OR($D261=61,$E261=61)))</f>
        <v>0</v>
      </c>
      <c r="W261" s="12" t="b">
        <f aca="false">--OR($W260=1,AND($P261=1,OR($D261=57,$E261=57)))</f>
        <v>0</v>
      </c>
      <c r="X261" s="12" t="b">
        <f aca="false">--OR($X260=1,AND($P261=1,OR($D261=64,$E261=64)))</f>
        <v>0</v>
      </c>
      <c r="Y261" s="12" t="b">
        <f aca="false">--AND($P261=1,$K261="K",ABS($I261)=2)</f>
        <v>0</v>
      </c>
      <c r="Z261" s="12" t="b">
        <f aca="false">--AND($P261=1,$K261="P",ABS($I261)=1,$H261="")</f>
        <v>0</v>
      </c>
      <c r="AA261" s="12" t="b">
        <f aca="false">--AND($P261=1,$K261="P",INT(($E261-1)/8)=IF($F261="w",7,0))</f>
        <v>0</v>
      </c>
      <c r="AB261" s="11" t="str">
        <f aca="false">IF(LEN($C261)&gt;=5,IF(ISNUMBER(FIND(MID($C261,5,1),"qrbn")),UPPER(MID($C261,5,1)),"Q"),"Q")</f>
        <v>Q</v>
      </c>
      <c r="AC261" s="11" t="n">
        <f aca="false">IF($Y261=1,IF($I261=2,$D261+3,$D261-4),0)</f>
        <v>0</v>
      </c>
      <c r="AD261" s="11" t="n">
        <f aca="false">IF($Y261=1,IF($I261=2,$D261+1,$D261-1),0)</f>
        <v>0</v>
      </c>
      <c r="AE261" s="11" t="n">
        <f aca="false">IF($Z261=1,$E261-8*IF($F261="w",1,-1),0)</f>
        <v>0</v>
      </c>
      <c r="AF261" s="11" t="str">
        <f aca="false">IF($B261="","",IF($P261=1,LOWER(INDEX($CV$2:$CV$13,MATCH($G261,$CU$2:$CU$13,0)))&amp;" "&amp;MID("abcdefgh",MOD($D261-1,8)+1,1)&amp;(INT(($D261-1)/8)+1)&amp;"→"&amp;MID("abcdefgh",MOD($E261-1,8)+1,1)&amp;(INT(($E261-1)/8)+1)&amp;IF(OR($H261&lt;&gt;"",$Z261=1)," ×","")&amp;IF($Y261=1," castles","")&amp;IF($Z261=1," e.p.","")&amp;IF($AA261=1," =" &amp;LOWER(INDEX($CV$2:$CV$13,MATCH($F261&amp;$AB261,$CU$2:$CU$13,0))),""),"X "&amp;$Q261))</f>
        <v/>
      </c>
      <c r="AG261" s="11"/>
      <c r="AH261" s="11" t="str">
        <f aca="false">IF($P261=0,AH260,IF(AH$3=$E261,IF($AA261=1,$F261&amp;$AB261,$G261),IF(OR(AH$3=$D261,AH$3=$AC261,AH$3=$AE261),"",IF(AH$3=$AD261,$F261&amp;"R",AH260))))</f>
        <v>wR</v>
      </c>
      <c r="AI261" s="11" t="str">
        <f aca="false">IF($P261=0,AI260,IF(AI$3=$E261,IF($AA261=1,$F261&amp;$AB261,$G261),IF(OR(AI$3=$D261,AI$3=$AC261,AI$3=$AE261),"",IF(AI$3=$AD261,$F261&amp;"R",AI260))))</f>
        <v>wN</v>
      </c>
      <c r="AJ261" s="11" t="str">
        <f aca="false">IF($P261=0,AJ260,IF(AJ$3=$E261,IF($AA261=1,$F261&amp;$AB261,$G261),IF(OR(AJ$3=$D261,AJ$3=$AC261,AJ$3=$AE261),"",IF(AJ$3=$AD261,$F261&amp;"R",AJ260))))</f>
        <v>wB</v>
      </c>
      <c r="AK261" s="11" t="str">
        <f aca="false">IF($P261=0,AK260,IF(AK$3=$E261,IF($AA261=1,$F261&amp;$AB261,$G261),IF(OR(AK$3=$D261,AK$3=$AC261,AK$3=$AE261),"",IF(AK$3=$AD261,$F261&amp;"R",AK260))))</f>
        <v>wQ</v>
      </c>
      <c r="AL261" s="11" t="str">
        <f aca="false">IF($P261=0,AL260,IF(AL$3=$E261,IF($AA261=1,$F261&amp;$AB261,$G261),IF(OR(AL$3=$D261,AL$3=$AC261,AL$3=$AE261),"",IF(AL$3=$AD261,$F261&amp;"R",AL260))))</f>
        <v>wK</v>
      </c>
      <c r="AM261" s="11" t="str">
        <f aca="false">IF($P261=0,AM260,IF(AM$3=$E261,IF($AA261=1,$F261&amp;$AB261,$G261),IF(OR(AM$3=$D261,AM$3=$AC261,AM$3=$AE261),"",IF(AM$3=$AD261,$F261&amp;"R",AM260))))</f>
        <v>wB</v>
      </c>
      <c r="AN261" s="11" t="str">
        <f aca="false">IF($P261=0,AN260,IF(AN$3=$E261,IF($AA261=1,$F261&amp;$AB261,$G261),IF(OR(AN$3=$D261,AN$3=$AC261,AN$3=$AE261),"",IF(AN$3=$AD261,$F261&amp;"R",AN260))))</f>
        <v>wN</v>
      </c>
      <c r="AO261" s="11" t="str">
        <f aca="false">IF($P261=0,AO260,IF(AO$3=$E261,IF($AA261=1,$F261&amp;$AB261,$G261),IF(OR(AO$3=$D261,AO$3=$AC261,AO$3=$AE261),"",IF(AO$3=$AD261,$F261&amp;"R",AO260))))</f>
        <v>wR</v>
      </c>
      <c r="AP261" s="11" t="str">
        <f aca="false">IF($P261=0,AP260,IF(AP$3=$E261,IF($AA261=1,$F261&amp;$AB261,$G261),IF(OR(AP$3=$D261,AP$3=$AC261,AP$3=$AE261),"",IF(AP$3=$AD261,$F261&amp;"R",AP260))))</f>
        <v>wP</v>
      </c>
      <c r="AQ261" s="11" t="str">
        <f aca="false">IF($P261=0,AQ260,IF(AQ$3=$E261,IF($AA261=1,$F261&amp;$AB261,$G261),IF(OR(AQ$3=$D261,AQ$3=$AC261,AQ$3=$AE261),"",IF(AQ$3=$AD261,$F261&amp;"R",AQ260))))</f>
        <v>wP</v>
      </c>
      <c r="AR261" s="11" t="str">
        <f aca="false">IF($P261=0,AR260,IF(AR$3=$E261,IF($AA261=1,$F261&amp;$AB261,$G261),IF(OR(AR$3=$D261,AR$3=$AC261,AR$3=$AE261),"",IF(AR$3=$AD261,$F261&amp;"R",AR260))))</f>
        <v>wP</v>
      </c>
      <c r="AS261" s="11" t="str">
        <f aca="false">IF($P261=0,AS260,IF(AS$3=$E261,IF($AA261=1,$F261&amp;$AB261,$G261),IF(OR(AS$3=$D261,AS$3=$AC261,AS$3=$AE261),"",IF(AS$3=$AD261,$F261&amp;"R",AS260))))</f>
        <v>wP</v>
      </c>
      <c r="AT261" s="11" t="str">
        <f aca="false">IF($P261=0,AT260,IF(AT$3=$E261,IF($AA261=1,$F261&amp;$AB261,$G261),IF(OR(AT$3=$D261,AT$3=$AC261,AT$3=$AE261),"",IF(AT$3=$AD261,$F261&amp;"R",AT260))))</f>
        <v>wP</v>
      </c>
      <c r="AU261" s="11" t="str">
        <f aca="false">IF($P261=0,AU260,IF(AU$3=$E261,IF($AA261=1,$F261&amp;$AB261,$G261),IF(OR(AU$3=$D261,AU$3=$AC261,AU$3=$AE261),"",IF(AU$3=$AD261,$F261&amp;"R",AU260))))</f>
        <v>wP</v>
      </c>
      <c r="AV261" s="11" t="str">
        <f aca="false">IF($P261=0,AV260,IF(AV$3=$E261,IF($AA261=1,$F261&amp;$AB261,$G261),IF(OR(AV$3=$D261,AV$3=$AC261,AV$3=$AE261),"",IF(AV$3=$AD261,$F261&amp;"R",AV260))))</f>
        <v>wP</v>
      </c>
      <c r="AW261" s="11" t="str">
        <f aca="false">IF($P261=0,AW260,IF(AW$3=$E261,IF($AA261=1,$F261&amp;$AB261,$G261),IF(OR(AW$3=$D261,AW$3=$AC261,AW$3=$AE261),"",IF(AW$3=$AD261,$F261&amp;"R",AW260))))</f>
        <v>wP</v>
      </c>
      <c r="AX261" s="11" t="str">
        <f aca="false">IF($P261=0,AX260,IF(AX$3=$E261,IF($AA261=1,$F261&amp;$AB261,$G261),IF(OR(AX$3=$D261,AX$3=$AC261,AX$3=$AE261),"",IF(AX$3=$AD261,$F261&amp;"R",AX260))))</f>
        <v/>
      </c>
      <c r="AY261" s="11" t="str">
        <f aca="false">IF($P261=0,AY260,IF(AY$3=$E261,IF($AA261=1,$F261&amp;$AB261,$G261),IF(OR(AY$3=$D261,AY$3=$AC261,AY$3=$AE261),"",IF(AY$3=$AD261,$F261&amp;"R",AY260))))</f>
        <v/>
      </c>
      <c r="AZ261" s="11" t="str">
        <f aca="false">IF($P261=0,AZ260,IF(AZ$3=$E261,IF($AA261=1,$F261&amp;$AB261,$G261),IF(OR(AZ$3=$D261,AZ$3=$AC261,AZ$3=$AE261),"",IF(AZ$3=$AD261,$F261&amp;"R",AZ260))))</f>
        <v/>
      </c>
      <c r="BA261" s="11" t="str">
        <f aca="false">IF($P261=0,BA260,IF(BA$3=$E261,IF($AA261=1,$F261&amp;$AB261,$G261),IF(OR(BA$3=$D261,BA$3=$AC261,BA$3=$AE261),"",IF(BA$3=$AD261,$F261&amp;"R",BA260))))</f>
        <v/>
      </c>
      <c r="BB261" s="11" t="str">
        <f aca="false">IF($P261=0,BB260,IF(BB$3=$E261,IF($AA261=1,$F261&amp;$AB261,$G261),IF(OR(BB$3=$D261,BB$3=$AC261,BB$3=$AE261),"",IF(BB$3=$AD261,$F261&amp;"R",BB260))))</f>
        <v/>
      </c>
      <c r="BC261" s="11" t="str">
        <f aca="false">IF($P261=0,BC260,IF(BC$3=$E261,IF($AA261=1,$F261&amp;$AB261,$G261),IF(OR(BC$3=$D261,BC$3=$AC261,BC$3=$AE261),"",IF(BC$3=$AD261,$F261&amp;"R",BC260))))</f>
        <v/>
      </c>
      <c r="BD261" s="11" t="str">
        <f aca="false">IF($P261=0,BD260,IF(BD$3=$E261,IF($AA261=1,$F261&amp;$AB261,$G261),IF(OR(BD$3=$D261,BD$3=$AC261,BD$3=$AE261),"",IF(BD$3=$AD261,$F261&amp;"R",BD260))))</f>
        <v/>
      </c>
      <c r="BE261" s="11" t="str">
        <f aca="false">IF($P261=0,BE260,IF(BE$3=$E261,IF($AA261=1,$F261&amp;$AB261,$G261),IF(OR(BE$3=$D261,BE$3=$AC261,BE$3=$AE261),"",IF(BE$3=$AD261,$F261&amp;"R",BE260))))</f>
        <v/>
      </c>
      <c r="BF261" s="11" t="str">
        <f aca="false">IF($P261=0,BF260,IF(BF$3=$E261,IF($AA261=1,$F261&amp;$AB261,$G261),IF(OR(BF$3=$D261,BF$3=$AC261,BF$3=$AE261),"",IF(BF$3=$AD261,$F261&amp;"R",BF260))))</f>
        <v/>
      </c>
      <c r="BG261" s="11" t="str">
        <f aca="false">IF($P261=0,BG260,IF(BG$3=$E261,IF($AA261=1,$F261&amp;$AB261,$G261),IF(OR(BG$3=$D261,BG$3=$AC261,BG$3=$AE261),"",IF(BG$3=$AD261,$F261&amp;"R",BG260))))</f>
        <v/>
      </c>
      <c r="BH261" s="11" t="str">
        <f aca="false">IF($P261=0,BH260,IF(BH$3=$E261,IF($AA261=1,$F261&amp;$AB261,$G261),IF(OR(BH$3=$D261,BH$3=$AC261,BH$3=$AE261),"",IF(BH$3=$AD261,$F261&amp;"R",BH260))))</f>
        <v/>
      </c>
      <c r="BI261" s="11" t="str">
        <f aca="false">IF($P261=0,BI260,IF(BI$3=$E261,IF($AA261=1,$F261&amp;$AB261,$G261),IF(OR(BI$3=$D261,BI$3=$AC261,BI$3=$AE261),"",IF(BI$3=$AD261,$F261&amp;"R",BI260))))</f>
        <v/>
      </c>
      <c r="BJ261" s="11" t="str">
        <f aca="false">IF($P261=0,BJ260,IF(BJ$3=$E261,IF($AA261=1,$F261&amp;$AB261,$G261),IF(OR(BJ$3=$D261,BJ$3=$AC261,BJ$3=$AE261),"",IF(BJ$3=$AD261,$F261&amp;"R",BJ260))))</f>
        <v/>
      </c>
      <c r="BK261" s="11" t="str">
        <f aca="false">IF($P261=0,BK260,IF(BK$3=$E261,IF($AA261=1,$F261&amp;$AB261,$G261),IF(OR(BK$3=$D261,BK$3=$AC261,BK$3=$AE261),"",IF(BK$3=$AD261,$F261&amp;"R",BK260))))</f>
        <v/>
      </c>
      <c r="BL261" s="11" t="str">
        <f aca="false">IF($P261=0,BL260,IF(BL$3=$E261,IF($AA261=1,$F261&amp;$AB261,$G261),IF(OR(BL$3=$D261,BL$3=$AC261,BL$3=$AE261),"",IF(BL$3=$AD261,$F261&amp;"R",BL260))))</f>
        <v/>
      </c>
      <c r="BM261" s="11" t="str">
        <f aca="false">IF($P261=0,BM260,IF(BM$3=$E261,IF($AA261=1,$F261&amp;$AB261,$G261),IF(OR(BM$3=$D261,BM$3=$AC261,BM$3=$AE261),"",IF(BM$3=$AD261,$F261&amp;"R",BM260))))</f>
        <v/>
      </c>
      <c r="BN261" s="11" t="str">
        <f aca="false">IF($P261=0,BN260,IF(BN$3=$E261,IF($AA261=1,$F261&amp;$AB261,$G261),IF(OR(BN$3=$D261,BN$3=$AC261,BN$3=$AE261),"",IF(BN$3=$AD261,$F261&amp;"R",BN260))))</f>
        <v/>
      </c>
      <c r="BO261" s="11" t="str">
        <f aca="false">IF($P261=0,BO260,IF(BO$3=$E261,IF($AA261=1,$F261&amp;$AB261,$G261),IF(OR(BO$3=$D261,BO$3=$AC261,BO$3=$AE261),"",IF(BO$3=$AD261,$F261&amp;"R",BO260))))</f>
        <v/>
      </c>
      <c r="BP261" s="11" t="str">
        <f aca="false">IF($P261=0,BP260,IF(BP$3=$E261,IF($AA261=1,$F261&amp;$AB261,$G261),IF(OR(BP$3=$D261,BP$3=$AC261,BP$3=$AE261),"",IF(BP$3=$AD261,$F261&amp;"R",BP260))))</f>
        <v/>
      </c>
      <c r="BQ261" s="11" t="str">
        <f aca="false">IF($P261=0,BQ260,IF(BQ$3=$E261,IF($AA261=1,$F261&amp;$AB261,$G261),IF(OR(BQ$3=$D261,BQ$3=$AC261,BQ$3=$AE261),"",IF(BQ$3=$AD261,$F261&amp;"R",BQ260))))</f>
        <v/>
      </c>
      <c r="BR261" s="11" t="str">
        <f aca="false">IF($P261=0,BR260,IF(BR$3=$E261,IF($AA261=1,$F261&amp;$AB261,$G261),IF(OR(BR$3=$D261,BR$3=$AC261,BR$3=$AE261),"",IF(BR$3=$AD261,$F261&amp;"R",BR260))))</f>
        <v/>
      </c>
      <c r="BS261" s="11" t="str">
        <f aca="false">IF($P261=0,BS260,IF(BS$3=$E261,IF($AA261=1,$F261&amp;$AB261,$G261),IF(OR(BS$3=$D261,BS$3=$AC261,BS$3=$AE261),"",IF(BS$3=$AD261,$F261&amp;"R",BS260))))</f>
        <v/>
      </c>
      <c r="BT261" s="11" t="str">
        <f aca="false">IF($P261=0,BT260,IF(BT$3=$E261,IF($AA261=1,$F261&amp;$AB261,$G261),IF(OR(BT$3=$D261,BT$3=$AC261,BT$3=$AE261),"",IF(BT$3=$AD261,$F261&amp;"R",BT260))))</f>
        <v/>
      </c>
      <c r="BU261" s="11" t="str">
        <f aca="false">IF($P261=0,BU260,IF(BU$3=$E261,IF($AA261=1,$F261&amp;$AB261,$G261),IF(OR(BU$3=$D261,BU$3=$AC261,BU$3=$AE261),"",IF(BU$3=$AD261,$F261&amp;"R",BU260))))</f>
        <v/>
      </c>
      <c r="BV261" s="11" t="str">
        <f aca="false">IF($P261=0,BV260,IF(BV$3=$E261,IF($AA261=1,$F261&amp;$AB261,$G261),IF(OR(BV$3=$D261,BV$3=$AC261,BV$3=$AE261),"",IF(BV$3=$AD261,$F261&amp;"R",BV260))))</f>
        <v/>
      </c>
      <c r="BW261" s="11" t="str">
        <f aca="false">IF($P261=0,BW260,IF(BW$3=$E261,IF($AA261=1,$F261&amp;$AB261,$G261),IF(OR(BW$3=$D261,BW$3=$AC261,BW$3=$AE261),"",IF(BW$3=$AD261,$F261&amp;"R",BW260))))</f>
        <v/>
      </c>
      <c r="BX261" s="11" t="str">
        <f aca="false">IF($P261=0,BX260,IF(BX$3=$E261,IF($AA261=1,$F261&amp;$AB261,$G261),IF(OR(BX$3=$D261,BX$3=$AC261,BX$3=$AE261),"",IF(BX$3=$AD261,$F261&amp;"R",BX260))))</f>
        <v/>
      </c>
      <c r="BY261" s="11" t="str">
        <f aca="false">IF($P261=0,BY260,IF(BY$3=$E261,IF($AA261=1,$F261&amp;$AB261,$G261),IF(OR(BY$3=$D261,BY$3=$AC261,BY$3=$AE261),"",IF(BY$3=$AD261,$F261&amp;"R",BY260))))</f>
        <v/>
      </c>
      <c r="BZ261" s="11" t="str">
        <f aca="false">IF($P261=0,BZ260,IF(BZ$3=$E261,IF($AA261=1,$F261&amp;$AB261,$G261),IF(OR(BZ$3=$D261,BZ$3=$AC261,BZ$3=$AE261),"",IF(BZ$3=$AD261,$F261&amp;"R",BZ260))))</f>
        <v/>
      </c>
      <c r="CA261" s="11" t="str">
        <f aca="false">IF($P261=0,CA260,IF(CA$3=$E261,IF($AA261=1,$F261&amp;$AB261,$G261),IF(OR(CA$3=$D261,CA$3=$AC261,CA$3=$AE261),"",IF(CA$3=$AD261,$F261&amp;"R",CA260))))</f>
        <v/>
      </c>
      <c r="CB261" s="11" t="str">
        <f aca="false">IF($P261=0,CB260,IF(CB$3=$E261,IF($AA261=1,$F261&amp;$AB261,$G261),IF(OR(CB$3=$D261,CB$3=$AC261,CB$3=$AE261),"",IF(CB$3=$AD261,$F261&amp;"R",CB260))))</f>
        <v/>
      </c>
      <c r="CC261" s="11" t="str">
        <f aca="false">IF($P261=0,CC260,IF(CC$3=$E261,IF($AA261=1,$F261&amp;$AB261,$G261),IF(OR(CC$3=$D261,CC$3=$AC261,CC$3=$AE261),"",IF(CC$3=$AD261,$F261&amp;"R",CC260))))</f>
        <v/>
      </c>
      <c r="CD261" s="11" t="str">
        <f aca="false">IF($P261=0,CD260,IF(CD$3=$E261,IF($AA261=1,$F261&amp;$AB261,$G261),IF(OR(CD$3=$D261,CD$3=$AC261,CD$3=$AE261),"",IF(CD$3=$AD261,$F261&amp;"R",CD260))))</f>
        <v>bP</v>
      </c>
      <c r="CE261" s="11" t="str">
        <f aca="false">IF($P261=0,CE260,IF(CE$3=$E261,IF($AA261=1,$F261&amp;$AB261,$G261),IF(OR(CE$3=$D261,CE$3=$AC261,CE$3=$AE261),"",IF(CE$3=$AD261,$F261&amp;"R",CE260))))</f>
        <v>bP</v>
      </c>
      <c r="CF261" s="11" t="str">
        <f aca="false">IF($P261=0,CF260,IF(CF$3=$E261,IF($AA261=1,$F261&amp;$AB261,$G261),IF(OR(CF$3=$D261,CF$3=$AC261,CF$3=$AE261),"",IF(CF$3=$AD261,$F261&amp;"R",CF260))))</f>
        <v>bP</v>
      </c>
      <c r="CG261" s="11" t="str">
        <f aca="false">IF($P261=0,CG260,IF(CG$3=$E261,IF($AA261=1,$F261&amp;$AB261,$G261),IF(OR(CG$3=$D261,CG$3=$AC261,CG$3=$AE261),"",IF(CG$3=$AD261,$F261&amp;"R",CG260))))</f>
        <v>bP</v>
      </c>
      <c r="CH261" s="11" t="str">
        <f aca="false">IF($P261=0,CH260,IF(CH$3=$E261,IF($AA261=1,$F261&amp;$AB261,$G261),IF(OR(CH$3=$D261,CH$3=$AC261,CH$3=$AE261),"",IF(CH$3=$AD261,$F261&amp;"R",CH260))))</f>
        <v>bP</v>
      </c>
      <c r="CI261" s="11" t="str">
        <f aca="false">IF($P261=0,CI260,IF(CI$3=$E261,IF($AA261=1,$F261&amp;$AB261,$G261),IF(OR(CI$3=$D261,CI$3=$AC261,CI$3=$AE261),"",IF(CI$3=$AD261,$F261&amp;"R",CI260))))</f>
        <v>bP</v>
      </c>
      <c r="CJ261" s="11" t="str">
        <f aca="false">IF($P261=0,CJ260,IF(CJ$3=$E261,IF($AA261=1,$F261&amp;$AB261,$G261),IF(OR(CJ$3=$D261,CJ$3=$AC261,CJ$3=$AE261),"",IF(CJ$3=$AD261,$F261&amp;"R",CJ260))))</f>
        <v>bP</v>
      </c>
      <c r="CK261" s="11" t="str">
        <f aca="false">IF($P261=0,CK260,IF(CK$3=$E261,IF($AA261=1,$F261&amp;$AB261,$G261),IF(OR(CK$3=$D261,CK$3=$AC261,CK$3=$AE261),"",IF(CK$3=$AD261,$F261&amp;"R",CK260))))</f>
        <v>bP</v>
      </c>
      <c r="CL261" s="11" t="str">
        <f aca="false">IF($P261=0,CL260,IF(CL$3=$E261,IF($AA261=1,$F261&amp;$AB261,$G261),IF(OR(CL$3=$D261,CL$3=$AC261,CL$3=$AE261),"",IF(CL$3=$AD261,$F261&amp;"R",CL260))))</f>
        <v>bR</v>
      </c>
      <c r="CM261" s="11" t="str">
        <f aca="false">IF($P261=0,CM260,IF(CM$3=$E261,IF($AA261=1,$F261&amp;$AB261,$G261),IF(OR(CM$3=$D261,CM$3=$AC261,CM$3=$AE261),"",IF(CM$3=$AD261,$F261&amp;"R",CM260))))</f>
        <v>bN</v>
      </c>
      <c r="CN261" s="11" t="str">
        <f aca="false">IF($P261=0,CN260,IF(CN$3=$E261,IF($AA261=1,$F261&amp;$AB261,$G261),IF(OR(CN$3=$D261,CN$3=$AC261,CN$3=$AE261),"",IF(CN$3=$AD261,$F261&amp;"R",CN260))))</f>
        <v>bB</v>
      </c>
      <c r="CO261" s="11" t="str">
        <f aca="false">IF($P261=0,CO260,IF(CO$3=$E261,IF($AA261=1,$F261&amp;$AB261,$G261),IF(OR(CO$3=$D261,CO$3=$AC261,CO$3=$AE261),"",IF(CO$3=$AD261,$F261&amp;"R",CO260))))</f>
        <v>bQ</v>
      </c>
      <c r="CP261" s="11" t="str">
        <f aca="false">IF($P261=0,CP260,IF(CP$3=$E261,IF($AA261=1,$F261&amp;$AB261,$G261),IF(OR(CP$3=$D261,CP$3=$AC261,CP$3=$AE261),"",IF(CP$3=$AD261,$F261&amp;"R",CP260))))</f>
        <v>bK</v>
      </c>
      <c r="CQ261" s="11" t="str">
        <f aca="false">IF($P261=0,CQ260,IF(CQ$3=$E261,IF($AA261=1,$F261&amp;$AB261,$G261),IF(OR(CQ$3=$D261,CQ$3=$AC261,CQ$3=$AE261),"",IF(CQ$3=$AD261,$F261&amp;"R",CQ260))))</f>
        <v>bB</v>
      </c>
      <c r="CR261" s="11" t="str">
        <f aca="false">IF($P261=0,CR260,IF(CR$3=$E261,IF($AA261=1,$F261&amp;$AB261,$G261),IF(OR(CR$3=$D261,CR$3=$AC261,CR$3=$AE261),"",IF(CR$3=$AD261,$F261&amp;"R",CR260))))</f>
        <v>bN</v>
      </c>
      <c r="CS261" s="11" t="str">
        <f aca="false">IF($P261=0,CS260,IF(CS$3=$E261,IF($AA261=1,$F261&amp;$AB261,$G261),IF(OR(CS$3=$D261,CS$3=$AC261,CS$3=$AE261),"",IF(CS$3=$AD261,$F261&amp;"R",CS260))))</f>
        <v>bR</v>
      </c>
      <c r="CT261" s="11"/>
      <c r="CU261" s="11"/>
      <c r="CV261" s="11"/>
    </row>
    <row r="262" customFormat="false" ht="15" hidden="false" customHeight="false" outlineLevel="0" collapsed="false">
      <c r="A262" s="11" t="n">
        <v>257</v>
      </c>
      <c r="B262" s="11" t="str">
        <f aca="false">IF(Chess!$L$266="","",Chess!$L$266&amp;"")</f>
        <v/>
      </c>
      <c r="C262" s="11" t="str">
        <f aca="false">LOWER(SUBSTITUTE(SUBSTITUTE(SUBSTITUTE(SUBSTITUTE(TRIM($B262),"-",""),"=","")," ",""),"x",""))</f>
        <v/>
      </c>
      <c r="D262" s="11" t="n">
        <f aca="false">IF(LEN($C262)&lt;4,0,IFERROR(IF(AND(CODE(MID($C262,1,1))&gt;=97,CODE(MID($C262,1,1))&lt;=104,VALUE(MID($C262,2,1))&gt;=1,VALUE(MID($C262,2,1))&lt;=8),(VALUE(MID($C262,2,1))-1)*8+CODE(MID($C262,1,1))-96,0),0))</f>
        <v>0</v>
      </c>
      <c r="E262" s="11" t="n">
        <f aca="false">IF(LEN($C262)&lt;4,0,IFERROR(IF(AND(CODE(MID($C262,3,1))&gt;=97,CODE(MID($C262,3,1))&lt;=104,VALUE(MID($C262,4,1))&gt;=1,VALUE(MID($C262,4,1))&lt;=8),(VALUE(MID($C262,4,1))-1)*8+CODE(MID($C262,3,1))-96,0),0))</f>
        <v>0</v>
      </c>
      <c r="F262" s="11" t="str">
        <f aca="false">IF(MOD(SUM($P$5:$P261),2)=0,"w","b")</f>
        <v>w</v>
      </c>
      <c r="G262" s="11" t="str">
        <f aca="false">IF($D262=0,"",INDEX($AH261:$CS261,1,$D262)&amp;"")</f>
        <v/>
      </c>
      <c r="H262" s="11" t="str">
        <f aca="false">IF($E262=0,"",INDEX($AH261:$CS261,1,$E262)&amp;"")</f>
        <v/>
      </c>
      <c r="I262" s="11" t="n">
        <f aca="false">IF(OR($D262=0,$E262=0),0,MOD($E262-1,8)-MOD($D262-1,8))</f>
        <v>0</v>
      </c>
      <c r="J262" s="11" t="n">
        <f aca="false">IF(OR($D262=0,$E262=0),0,INT(($E262-1)/8)-INT(($D262-1)/8))</f>
        <v>0</v>
      </c>
      <c r="K262" s="11" t="str">
        <f aca="false">IF($G262="","",RIGHT($G262,1))</f>
        <v/>
      </c>
      <c r="L262" s="11" t="n">
        <f aca="false">IF(OR($D262=0,$E262=0),0,SUMPRODUCT(($AH$3:$CS$3&gt;MIN($D262,$E262))*($AH$3:$CS$3&lt;MAX($D262,$E262))*(MOD($AH$3:$CS$3-MIN($D262,$E262),MAX(1,ABS(SIGN($J262)*8+SIGN($I262))))=0)*($AH261:$CS261&lt;&gt;"")))</f>
        <v>0</v>
      </c>
      <c r="M262" s="11" t="n">
        <f aca="false">IF($K262&lt;&gt;"K",0,IFERROR(--AND($J262=0,ABS($I262)=2,$D262=IF($F262="w",5,61),IF($F262="w",$S261,$V261)=0,IF($I262=2,AND(IF($F262="w",$U261,$X261)=0,INDEX($AH261:$CS261,1,$D262+1)&amp;""="",INDEX($AH261:$CS261,1,$D262+2)&amp;""=""),AND(IF($F262="w",$T261,$W261)=0,INDEX($AH261:$CS261,1,$D262-1)&amp;""="",INDEX($AH261:$CS261,1,$D262-2)&amp;""="",INDEX($AH261:$CS261,1,$D262-3)&amp;""=""))),0))</f>
        <v>0</v>
      </c>
      <c r="N262" s="11" t="n">
        <f aca="false">IF($K262&lt;&gt;"P",0,IFERROR(--OR(AND($I262=0,$J262=IF($F262="w",1,-1),$H262=""),AND($I262=0,$J262=2*IF($F262="w",1,-1),$H262="",INT(($D262-1)/8)=IF($F262="w",1,6),INDEX($AH261:$CS261,1,MAX(1,MIN(64,$D262+8*IF($F262="w",1,-1))))&amp;""=""),AND(ABS($I262)=1,$J262=IF($F262="w",1,-1),$H262&lt;&gt;""),AND(ABS($I262)=1,$J262=IF($F262="w",1,-1),$H262="",$R261&gt;0,$E262=$R261)),0))</f>
        <v>0</v>
      </c>
      <c r="O262" s="11" t="n">
        <f aca="false">IF(OR($D262=0,$E262=0,$G262=""),0,IF($K262="N",--OR(AND(ABS($I262)=1,ABS($J262)=2),AND(ABS($I262)=2,ABS($J262)=1)),IF($K262="B",--AND(ABS($I262)=ABS($J262),$I262&lt;&gt;0,$L262=0),IF($K262="R",--AND(OR($I262=0,$J262=0),OR($I262&lt;&gt;0,$J262&lt;&gt;0),$L262=0),IF($K262="Q",--AND(OR(AND(ABS($I262)=ABS($J262),$I262&lt;&gt;0),AND(OR($I262=0,$J262=0),OR($I262&lt;&gt;0,$J262&lt;&gt;0))),$L262=0),IF($K262="K",--OR(MAX(ABS($I262),ABS($J262))=1,$M262=1),$N262))))))</f>
        <v>0</v>
      </c>
      <c r="P262" s="11" t="n">
        <f aca="false">IF($Q262="OK",1,0)</f>
        <v>0</v>
      </c>
      <c r="Q262" s="11" t="str">
        <f aca="false">IF($B262="","",IF(OR(COUNTIF($AH261:$CS261,"wK")=0,COUNTIF($AH261:$CS261,"bK")=0),"Game is over",IF(OR($D262=0,$E262=0),"Use the format e2e4",IF($G262="","No piece on that square",IF(LEFT($G262,1)&lt;&gt;$F262,"Not your piece ("&amp;IF($F262="w","White","Black")&amp;" to move)",IF($D262=$E262,"Piece must move",IF(AND($H262&lt;&gt;"",LEFT($H262,1)=$F262),"Cannot capture your own piece",IF($O262=0,"Illegal move for that piece (or path blocked)","OK"))))))))</f>
        <v/>
      </c>
      <c r="R262" s="11" t="n">
        <f aca="false">IF($P262=1,IF(AND($K262="P",ABS($J262)=2),($D262+$E262)/2,0),$R261)</f>
        <v>0</v>
      </c>
      <c r="S262" s="12" t="b">
        <f aca="false">--OR($S261=1,AND($P262=1,OR($D262=5,$E262=5)))</f>
        <v>0</v>
      </c>
      <c r="T262" s="12" t="b">
        <f aca="false">--OR($T261=1,AND($P262=1,OR($D262=1,$E262=1)))</f>
        <v>0</v>
      </c>
      <c r="U262" s="12" t="b">
        <f aca="false">--OR($U261=1,AND($P262=1,OR($D262=8,$E262=8)))</f>
        <v>0</v>
      </c>
      <c r="V262" s="12" t="b">
        <f aca="false">--OR($V261=1,AND($P262=1,OR($D262=61,$E262=61)))</f>
        <v>0</v>
      </c>
      <c r="W262" s="12" t="b">
        <f aca="false">--OR($W261=1,AND($P262=1,OR($D262=57,$E262=57)))</f>
        <v>0</v>
      </c>
      <c r="X262" s="12" t="b">
        <f aca="false">--OR($X261=1,AND($P262=1,OR($D262=64,$E262=64)))</f>
        <v>0</v>
      </c>
      <c r="Y262" s="12" t="b">
        <f aca="false">--AND($P262=1,$K262="K",ABS($I262)=2)</f>
        <v>0</v>
      </c>
      <c r="Z262" s="12" t="b">
        <f aca="false">--AND($P262=1,$K262="P",ABS($I262)=1,$H262="")</f>
        <v>0</v>
      </c>
      <c r="AA262" s="12" t="b">
        <f aca="false">--AND($P262=1,$K262="P",INT(($E262-1)/8)=IF($F262="w",7,0))</f>
        <v>0</v>
      </c>
      <c r="AB262" s="11" t="str">
        <f aca="false">IF(LEN($C262)&gt;=5,IF(ISNUMBER(FIND(MID($C262,5,1),"qrbn")),UPPER(MID($C262,5,1)),"Q"),"Q")</f>
        <v>Q</v>
      </c>
      <c r="AC262" s="11" t="n">
        <f aca="false">IF($Y262=1,IF($I262=2,$D262+3,$D262-4),0)</f>
        <v>0</v>
      </c>
      <c r="AD262" s="11" t="n">
        <f aca="false">IF($Y262=1,IF($I262=2,$D262+1,$D262-1),0)</f>
        <v>0</v>
      </c>
      <c r="AE262" s="11" t="n">
        <f aca="false">IF($Z262=1,$E262-8*IF($F262="w",1,-1),0)</f>
        <v>0</v>
      </c>
      <c r="AF262" s="11" t="str">
        <f aca="false">IF($B262="","",IF($P262=1,LOWER(INDEX($CV$2:$CV$13,MATCH($G262,$CU$2:$CU$13,0)))&amp;" "&amp;MID("abcdefgh",MOD($D262-1,8)+1,1)&amp;(INT(($D262-1)/8)+1)&amp;"→"&amp;MID("abcdefgh",MOD($E262-1,8)+1,1)&amp;(INT(($E262-1)/8)+1)&amp;IF(OR($H262&lt;&gt;"",$Z262=1)," ×","")&amp;IF($Y262=1," castles","")&amp;IF($Z262=1," e.p.","")&amp;IF($AA262=1," =" &amp;LOWER(INDEX($CV$2:$CV$13,MATCH($F262&amp;$AB262,$CU$2:$CU$13,0))),""),"X "&amp;$Q262))</f>
        <v/>
      </c>
      <c r="AG262" s="11"/>
      <c r="AH262" s="11" t="str">
        <f aca="false">IF($P262=0,AH261,IF(AH$3=$E262,IF($AA262=1,$F262&amp;$AB262,$G262),IF(OR(AH$3=$D262,AH$3=$AC262,AH$3=$AE262),"",IF(AH$3=$AD262,$F262&amp;"R",AH261))))</f>
        <v>wR</v>
      </c>
      <c r="AI262" s="11" t="str">
        <f aca="false">IF($P262=0,AI261,IF(AI$3=$E262,IF($AA262=1,$F262&amp;$AB262,$G262),IF(OR(AI$3=$D262,AI$3=$AC262,AI$3=$AE262),"",IF(AI$3=$AD262,$F262&amp;"R",AI261))))</f>
        <v>wN</v>
      </c>
      <c r="AJ262" s="11" t="str">
        <f aca="false">IF($P262=0,AJ261,IF(AJ$3=$E262,IF($AA262=1,$F262&amp;$AB262,$G262),IF(OR(AJ$3=$D262,AJ$3=$AC262,AJ$3=$AE262),"",IF(AJ$3=$AD262,$F262&amp;"R",AJ261))))</f>
        <v>wB</v>
      </c>
      <c r="AK262" s="11" t="str">
        <f aca="false">IF($P262=0,AK261,IF(AK$3=$E262,IF($AA262=1,$F262&amp;$AB262,$G262),IF(OR(AK$3=$D262,AK$3=$AC262,AK$3=$AE262),"",IF(AK$3=$AD262,$F262&amp;"R",AK261))))</f>
        <v>wQ</v>
      </c>
      <c r="AL262" s="11" t="str">
        <f aca="false">IF($P262=0,AL261,IF(AL$3=$E262,IF($AA262=1,$F262&amp;$AB262,$G262),IF(OR(AL$3=$D262,AL$3=$AC262,AL$3=$AE262),"",IF(AL$3=$AD262,$F262&amp;"R",AL261))))</f>
        <v>wK</v>
      </c>
      <c r="AM262" s="11" t="str">
        <f aca="false">IF($P262=0,AM261,IF(AM$3=$E262,IF($AA262=1,$F262&amp;$AB262,$G262),IF(OR(AM$3=$D262,AM$3=$AC262,AM$3=$AE262),"",IF(AM$3=$AD262,$F262&amp;"R",AM261))))</f>
        <v>wB</v>
      </c>
      <c r="AN262" s="11" t="str">
        <f aca="false">IF($P262=0,AN261,IF(AN$3=$E262,IF($AA262=1,$F262&amp;$AB262,$G262),IF(OR(AN$3=$D262,AN$3=$AC262,AN$3=$AE262),"",IF(AN$3=$AD262,$F262&amp;"R",AN261))))</f>
        <v>wN</v>
      </c>
      <c r="AO262" s="11" t="str">
        <f aca="false">IF($P262=0,AO261,IF(AO$3=$E262,IF($AA262=1,$F262&amp;$AB262,$G262),IF(OR(AO$3=$D262,AO$3=$AC262,AO$3=$AE262),"",IF(AO$3=$AD262,$F262&amp;"R",AO261))))</f>
        <v>wR</v>
      </c>
      <c r="AP262" s="11" t="str">
        <f aca="false">IF($P262=0,AP261,IF(AP$3=$E262,IF($AA262=1,$F262&amp;$AB262,$G262),IF(OR(AP$3=$D262,AP$3=$AC262,AP$3=$AE262),"",IF(AP$3=$AD262,$F262&amp;"R",AP261))))</f>
        <v>wP</v>
      </c>
      <c r="AQ262" s="11" t="str">
        <f aca="false">IF($P262=0,AQ261,IF(AQ$3=$E262,IF($AA262=1,$F262&amp;$AB262,$G262),IF(OR(AQ$3=$D262,AQ$3=$AC262,AQ$3=$AE262),"",IF(AQ$3=$AD262,$F262&amp;"R",AQ261))))</f>
        <v>wP</v>
      </c>
      <c r="AR262" s="11" t="str">
        <f aca="false">IF($P262=0,AR261,IF(AR$3=$E262,IF($AA262=1,$F262&amp;$AB262,$G262),IF(OR(AR$3=$D262,AR$3=$AC262,AR$3=$AE262),"",IF(AR$3=$AD262,$F262&amp;"R",AR261))))</f>
        <v>wP</v>
      </c>
      <c r="AS262" s="11" t="str">
        <f aca="false">IF($P262=0,AS261,IF(AS$3=$E262,IF($AA262=1,$F262&amp;$AB262,$G262),IF(OR(AS$3=$D262,AS$3=$AC262,AS$3=$AE262),"",IF(AS$3=$AD262,$F262&amp;"R",AS261))))</f>
        <v>wP</v>
      </c>
      <c r="AT262" s="11" t="str">
        <f aca="false">IF($P262=0,AT261,IF(AT$3=$E262,IF($AA262=1,$F262&amp;$AB262,$G262),IF(OR(AT$3=$D262,AT$3=$AC262,AT$3=$AE262),"",IF(AT$3=$AD262,$F262&amp;"R",AT261))))</f>
        <v>wP</v>
      </c>
      <c r="AU262" s="11" t="str">
        <f aca="false">IF($P262=0,AU261,IF(AU$3=$E262,IF($AA262=1,$F262&amp;$AB262,$G262),IF(OR(AU$3=$D262,AU$3=$AC262,AU$3=$AE262),"",IF(AU$3=$AD262,$F262&amp;"R",AU261))))</f>
        <v>wP</v>
      </c>
      <c r="AV262" s="11" t="str">
        <f aca="false">IF($P262=0,AV261,IF(AV$3=$E262,IF($AA262=1,$F262&amp;$AB262,$G262),IF(OR(AV$3=$D262,AV$3=$AC262,AV$3=$AE262),"",IF(AV$3=$AD262,$F262&amp;"R",AV261))))</f>
        <v>wP</v>
      </c>
      <c r="AW262" s="11" t="str">
        <f aca="false">IF($P262=0,AW261,IF(AW$3=$E262,IF($AA262=1,$F262&amp;$AB262,$G262),IF(OR(AW$3=$D262,AW$3=$AC262,AW$3=$AE262),"",IF(AW$3=$AD262,$F262&amp;"R",AW261))))</f>
        <v>wP</v>
      </c>
      <c r="AX262" s="11" t="str">
        <f aca="false">IF($P262=0,AX261,IF(AX$3=$E262,IF($AA262=1,$F262&amp;$AB262,$G262),IF(OR(AX$3=$D262,AX$3=$AC262,AX$3=$AE262),"",IF(AX$3=$AD262,$F262&amp;"R",AX261))))</f>
        <v/>
      </c>
      <c r="AY262" s="11" t="str">
        <f aca="false">IF($P262=0,AY261,IF(AY$3=$E262,IF($AA262=1,$F262&amp;$AB262,$G262),IF(OR(AY$3=$D262,AY$3=$AC262,AY$3=$AE262),"",IF(AY$3=$AD262,$F262&amp;"R",AY261))))</f>
        <v/>
      </c>
      <c r="AZ262" s="11" t="str">
        <f aca="false">IF($P262=0,AZ261,IF(AZ$3=$E262,IF($AA262=1,$F262&amp;$AB262,$G262),IF(OR(AZ$3=$D262,AZ$3=$AC262,AZ$3=$AE262),"",IF(AZ$3=$AD262,$F262&amp;"R",AZ261))))</f>
        <v/>
      </c>
      <c r="BA262" s="11" t="str">
        <f aca="false">IF($P262=0,BA261,IF(BA$3=$E262,IF($AA262=1,$F262&amp;$AB262,$G262),IF(OR(BA$3=$D262,BA$3=$AC262,BA$3=$AE262),"",IF(BA$3=$AD262,$F262&amp;"R",BA261))))</f>
        <v/>
      </c>
      <c r="BB262" s="11" t="str">
        <f aca="false">IF($P262=0,BB261,IF(BB$3=$E262,IF($AA262=1,$F262&amp;$AB262,$G262),IF(OR(BB$3=$D262,BB$3=$AC262,BB$3=$AE262),"",IF(BB$3=$AD262,$F262&amp;"R",BB261))))</f>
        <v/>
      </c>
      <c r="BC262" s="11" t="str">
        <f aca="false">IF($P262=0,BC261,IF(BC$3=$E262,IF($AA262=1,$F262&amp;$AB262,$G262),IF(OR(BC$3=$D262,BC$3=$AC262,BC$3=$AE262),"",IF(BC$3=$AD262,$F262&amp;"R",BC261))))</f>
        <v/>
      </c>
      <c r="BD262" s="11" t="str">
        <f aca="false">IF($P262=0,BD261,IF(BD$3=$E262,IF($AA262=1,$F262&amp;$AB262,$G262),IF(OR(BD$3=$D262,BD$3=$AC262,BD$3=$AE262),"",IF(BD$3=$AD262,$F262&amp;"R",BD261))))</f>
        <v/>
      </c>
      <c r="BE262" s="11" t="str">
        <f aca="false">IF($P262=0,BE261,IF(BE$3=$E262,IF($AA262=1,$F262&amp;$AB262,$G262),IF(OR(BE$3=$D262,BE$3=$AC262,BE$3=$AE262),"",IF(BE$3=$AD262,$F262&amp;"R",BE261))))</f>
        <v/>
      </c>
      <c r="BF262" s="11" t="str">
        <f aca="false">IF($P262=0,BF261,IF(BF$3=$E262,IF($AA262=1,$F262&amp;$AB262,$G262),IF(OR(BF$3=$D262,BF$3=$AC262,BF$3=$AE262),"",IF(BF$3=$AD262,$F262&amp;"R",BF261))))</f>
        <v/>
      </c>
      <c r="BG262" s="11" t="str">
        <f aca="false">IF($P262=0,BG261,IF(BG$3=$E262,IF($AA262=1,$F262&amp;$AB262,$G262),IF(OR(BG$3=$D262,BG$3=$AC262,BG$3=$AE262),"",IF(BG$3=$AD262,$F262&amp;"R",BG261))))</f>
        <v/>
      </c>
      <c r="BH262" s="11" t="str">
        <f aca="false">IF($P262=0,BH261,IF(BH$3=$E262,IF($AA262=1,$F262&amp;$AB262,$G262),IF(OR(BH$3=$D262,BH$3=$AC262,BH$3=$AE262),"",IF(BH$3=$AD262,$F262&amp;"R",BH261))))</f>
        <v/>
      </c>
      <c r="BI262" s="11" t="str">
        <f aca="false">IF($P262=0,BI261,IF(BI$3=$E262,IF($AA262=1,$F262&amp;$AB262,$G262),IF(OR(BI$3=$D262,BI$3=$AC262,BI$3=$AE262),"",IF(BI$3=$AD262,$F262&amp;"R",BI261))))</f>
        <v/>
      </c>
      <c r="BJ262" s="11" t="str">
        <f aca="false">IF($P262=0,BJ261,IF(BJ$3=$E262,IF($AA262=1,$F262&amp;$AB262,$G262),IF(OR(BJ$3=$D262,BJ$3=$AC262,BJ$3=$AE262),"",IF(BJ$3=$AD262,$F262&amp;"R",BJ261))))</f>
        <v/>
      </c>
      <c r="BK262" s="11" t="str">
        <f aca="false">IF($P262=0,BK261,IF(BK$3=$E262,IF($AA262=1,$F262&amp;$AB262,$G262),IF(OR(BK$3=$D262,BK$3=$AC262,BK$3=$AE262),"",IF(BK$3=$AD262,$F262&amp;"R",BK261))))</f>
        <v/>
      </c>
      <c r="BL262" s="11" t="str">
        <f aca="false">IF($P262=0,BL261,IF(BL$3=$E262,IF($AA262=1,$F262&amp;$AB262,$G262),IF(OR(BL$3=$D262,BL$3=$AC262,BL$3=$AE262),"",IF(BL$3=$AD262,$F262&amp;"R",BL261))))</f>
        <v/>
      </c>
      <c r="BM262" s="11" t="str">
        <f aca="false">IF($P262=0,BM261,IF(BM$3=$E262,IF($AA262=1,$F262&amp;$AB262,$G262),IF(OR(BM$3=$D262,BM$3=$AC262,BM$3=$AE262),"",IF(BM$3=$AD262,$F262&amp;"R",BM261))))</f>
        <v/>
      </c>
      <c r="BN262" s="11" t="str">
        <f aca="false">IF($P262=0,BN261,IF(BN$3=$E262,IF($AA262=1,$F262&amp;$AB262,$G262),IF(OR(BN$3=$D262,BN$3=$AC262,BN$3=$AE262),"",IF(BN$3=$AD262,$F262&amp;"R",BN261))))</f>
        <v/>
      </c>
      <c r="BO262" s="11" t="str">
        <f aca="false">IF($P262=0,BO261,IF(BO$3=$E262,IF($AA262=1,$F262&amp;$AB262,$G262),IF(OR(BO$3=$D262,BO$3=$AC262,BO$3=$AE262),"",IF(BO$3=$AD262,$F262&amp;"R",BO261))))</f>
        <v/>
      </c>
      <c r="BP262" s="11" t="str">
        <f aca="false">IF($P262=0,BP261,IF(BP$3=$E262,IF($AA262=1,$F262&amp;$AB262,$G262),IF(OR(BP$3=$D262,BP$3=$AC262,BP$3=$AE262),"",IF(BP$3=$AD262,$F262&amp;"R",BP261))))</f>
        <v/>
      </c>
      <c r="BQ262" s="11" t="str">
        <f aca="false">IF($P262=0,BQ261,IF(BQ$3=$E262,IF($AA262=1,$F262&amp;$AB262,$G262),IF(OR(BQ$3=$D262,BQ$3=$AC262,BQ$3=$AE262),"",IF(BQ$3=$AD262,$F262&amp;"R",BQ261))))</f>
        <v/>
      </c>
      <c r="BR262" s="11" t="str">
        <f aca="false">IF($P262=0,BR261,IF(BR$3=$E262,IF($AA262=1,$F262&amp;$AB262,$G262),IF(OR(BR$3=$D262,BR$3=$AC262,BR$3=$AE262),"",IF(BR$3=$AD262,$F262&amp;"R",BR261))))</f>
        <v/>
      </c>
      <c r="BS262" s="11" t="str">
        <f aca="false">IF($P262=0,BS261,IF(BS$3=$E262,IF($AA262=1,$F262&amp;$AB262,$G262),IF(OR(BS$3=$D262,BS$3=$AC262,BS$3=$AE262),"",IF(BS$3=$AD262,$F262&amp;"R",BS261))))</f>
        <v/>
      </c>
      <c r="BT262" s="11" t="str">
        <f aca="false">IF($P262=0,BT261,IF(BT$3=$E262,IF($AA262=1,$F262&amp;$AB262,$G262),IF(OR(BT$3=$D262,BT$3=$AC262,BT$3=$AE262),"",IF(BT$3=$AD262,$F262&amp;"R",BT261))))</f>
        <v/>
      </c>
      <c r="BU262" s="11" t="str">
        <f aca="false">IF($P262=0,BU261,IF(BU$3=$E262,IF($AA262=1,$F262&amp;$AB262,$G262),IF(OR(BU$3=$D262,BU$3=$AC262,BU$3=$AE262),"",IF(BU$3=$AD262,$F262&amp;"R",BU261))))</f>
        <v/>
      </c>
      <c r="BV262" s="11" t="str">
        <f aca="false">IF($P262=0,BV261,IF(BV$3=$E262,IF($AA262=1,$F262&amp;$AB262,$G262),IF(OR(BV$3=$D262,BV$3=$AC262,BV$3=$AE262),"",IF(BV$3=$AD262,$F262&amp;"R",BV261))))</f>
        <v/>
      </c>
      <c r="BW262" s="11" t="str">
        <f aca="false">IF($P262=0,BW261,IF(BW$3=$E262,IF($AA262=1,$F262&amp;$AB262,$G262),IF(OR(BW$3=$D262,BW$3=$AC262,BW$3=$AE262),"",IF(BW$3=$AD262,$F262&amp;"R",BW261))))</f>
        <v/>
      </c>
      <c r="BX262" s="11" t="str">
        <f aca="false">IF($P262=0,BX261,IF(BX$3=$E262,IF($AA262=1,$F262&amp;$AB262,$G262),IF(OR(BX$3=$D262,BX$3=$AC262,BX$3=$AE262),"",IF(BX$3=$AD262,$F262&amp;"R",BX261))))</f>
        <v/>
      </c>
      <c r="BY262" s="11" t="str">
        <f aca="false">IF($P262=0,BY261,IF(BY$3=$E262,IF($AA262=1,$F262&amp;$AB262,$G262),IF(OR(BY$3=$D262,BY$3=$AC262,BY$3=$AE262),"",IF(BY$3=$AD262,$F262&amp;"R",BY261))))</f>
        <v/>
      </c>
      <c r="BZ262" s="11" t="str">
        <f aca="false">IF($P262=0,BZ261,IF(BZ$3=$E262,IF($AA262=1,$F262&amp;$AB262,$G262),IF(OR(BZ$3=$D262,BZ$3=$AC262,BZ$3=$AE262),"",IF(BZ$3=$AD262,$F262&amp;"R",BZ261))))</f>
        <v/>
      </c>
      <c r="CA262" s="11" t="str">
        <f aca="false">IF($P262=0,CA261,IF(CA$3=$E262,IF($AA262=1,$F262&amp;$AB262,$G262),IF(OR(CA$3=$D262,CA$3=$AC262,CA$3=$AE262),"",IF(CA$3=$AD262,$F262&amp;"R",CA261))))</f>
        <v/>
      </c>
      <c r="CB262" s="11" t="str">
        <f aca="false">IF($P262=0,CB261,IF(CB$3=$E262,IF($AA262=1,$F262&amp;$AB262,$G262),IF(OR(CB$3=$D262,CB$3=$AC262,CB$3=$AE262),"",IF(CB$3=$AD262,$F262&amp;"R",CB261))))</f>
        <v/>
      </c>
      <c r="CC262" s="11" t="str">
        <f aca="false">IF($P262=0,CC261,IF(CC$3=$E262,IF($AA262=1,$F262&amp;$AB262,$G262),IF(OR(CC$3=$D262,CC$3=$AC262,CC$3=$AE262),"",IF(CC$3=$AD262,$F262&amp;"R",CC261))))</f>
        <v/>
      </c>
      <c r="CD262" s="11" t="str">
        <f aca="false">IF($P262=0,CD261,IF(CD$3=$E262,IF($AA262=1,$F262&amp;$AB262,$G262),IF(OR(CD$3=$D262,CD$3=$AC262,CD$3=$AE262),"",IF(CD$3=$AD262,$F262&amp;"R",CD261))))</f>
        <v>bP</v>
      </c>
      <c r="CE262" s="11" t="str">
        <f aca="false">IF($P262=0,CE261,IF(CE$3=$E262,IF($AA262=1,$F262&amp;$AB262,$G262),IF(OR(CE$3=$D262,CE$3=$AC262,CE$3=$AE262),"",IF(CE$3=$AD262,$F262&amp;"R",CE261))))</f>
        <v>bP</v>
      </c>
      <c r="CF262" s="11" t="str">
        <f aca="false">IF($P262=0,CF261,IF(CF$3=$E262,IF($AA262=1,$F262&amp;$AB262,$G262),IF(OR(CF$3=$D262,CF$3=$AC262,CF$3=$AE262),"",IF(CF$3=$AD262,$F262&amp;"R",CF261))))</f>
        <v>bP</v>
      </c>
      <c r="CG262" s="11" t="str">
        <f aca="false">IF($P262=0,CG261,IF(CG$3=$E262,IF($AA262=1,$F262&amp;$AB262,$G262),IF(OR(CG$3=$D262,CG$3=$AC262,CG$3=$AE262),"",IF(CG$3=$AD262,$F262&amp;"R",CG261))))</f>
        <v>bP</v>
      </c>
      <c r="CH262" s="11" t="str">
        <f aca="false">IF($P262=0,CH261,IF(CH$3=$E262,IF($AA262=1,$F262&amp;$AB262,$G262),IF(OR(CH$3=$D262,CH$3=$AC262,CH$3=$AE262),"",IF(CH$3=$AD262,$F262&amp;"R",CH261))))</f>
        <v>bP</v>
      </c>
      <c r="CI262" s="11" t="str">
        <f aca="false">IF($P262=0,CI261,IF(CI$3=$E262,IF($AA262=1,$F262&amp;$AB262,$G262),IF(OR(CI$3=$D262,CI$3=$AC262,CI$3=$AE262),"",IF(CI$3=$AD262,$F262&amp;"R",CI261))))</f>
        <v>bP</v>
      </c>
      <c r="CJ262" s="11" t="str">
        <f aca="false">IF($P262=0,CJ261,IF(CJ$3=$E262,IF($AA262=1,$F262&amp;$AB262,$G262),IF(OR(CJ$3=$D262,CJ$3=$AC262,CJ$3=$AE262),"",IF(CJ$3=$AD262,$F262&amp;"R",CJ261))))</f>
        <v>bP</v>
      </c>
      <c r="CK262" s="11" t="str">
        <f aca="false">IF($P262=0,CK261,IF(CK$3=$E262,IF($AA262=1,$F262&amp;$AB262,$G262),IF(OR(CK$3=$D262,CK$3=$AC262,CK$3=$AE262),"",IF(CK$3=$AD262,$F262&amp;"R",CK261))))</f>
        <v>bP</v>
      </c>
      <c r="CL262" s="11" t="str">
        <f aca="false">IF($P262=0,CL261,IF(CL$3=$E262,IF($AA262=1,$F262&amp;$AB262,$G262),IF(OR(CL$3=$D262,CL$3=$AC262,CL$3=$AE262),"",IF(CL$3=$AD262,$F262&amp;"R",CL261))))</f>
        <v>bR</v>
      </c>
      <c r="CM262" s="11" t="str">
        <f aca="false">IF($P262=0,CM261,IF(CM$3=$E262,IF($AA262=1,$F262&amp;$AB262,$G262),IF(OR(CM$3=$D262,CM$3=$AC262,CM$3=$AE262),"",IF(CM$3=$AD262,$F262&amp;"R",CM261))))</f>
        <v>bN</v>
      </c>
      <c r="CN262" s="11" t="str">
        <f aca="false">IF($P262=0,CN261,IF(CN$3=$E262,IF($AA262=1,$F262&amp;$AB262,$G262),IF(OR(CN$3=$D262,CN$3=$AC262,CN$3=$AE262),"",IF(CN$3=$AD262,$F262&amp;"R",CN261))))</f>
        <v>bB</v>
      </c>
      <c r="CO262" s="11" t="str">
        <f aca="false">IF($P262=0,CO261,IF(CO$3=$E262,IF($AA262=1,$F262&amp;$AB262,$G262),IF(OR(CO$3=$D262,CO$3=$AC262,CO$3=$AE262),"",IF(CO$3=$AD262,$F262&amp;"R",CO261))))</f>
        <v>bQ</v>
      </c>
      <c r="CP262" s="11" t="str">
        <f aca="false">IF($P262=0,CP261,IF(CP$3=$E262,IF($AA262=1,$F262&amp;$AB262,$G262),IF(OR(CP$3=$D262,CP$3=$AC262,CP$3=$AE262),"",IF(CP$3=$AD262,$F262&amp;"R",CP261))))</f>
        <v>bK</v>
      </c>
      <c r="CQ262" s="11" t="str">
        <f aca="false">IF($P262=0,CQ261,IF(CQ$3=$E262,IF($AA262=1,$F262&amp;$AB262,$G262),IF(OR(CQ$3=$D262,CQ$3=$AC262,CQ$3=$AE262),"",IF(CQ$3=$AD262,$F262&amp;"R",CQ261))))</f>
        <v>bB</v>
      </c>
      <c r="CR262" s="11" t="str">
        <f aca="false">IF($P262=0,CR261,IF(CR$3=$E262,IF($AA262=1,$F262&amp;$AB262,$G262),IF(OR(CR$3=$D262,CR$3=$AC262,CR$3=$AE262),"",IF(CR$3=$AD262,$F262&amp;"R",CR261))))</f>
        <v>bN</v>
      </c>
      <c r="CS262" s="11" t="str">
        <f aca="false">IF($P262=0,CS261,IF(CS$3=$E262,IF($AA262=1,$F262&amp;$AB262,$G262),IF(OR(CS$3=$D262,CS$3=$AC262,CS$3=$AE262),"",IF(CS$3=$AD262,$F262&amp;"R",CS261))))</f>
        <v>bR</v>
      </c>
      <c r="CT262" s="11"/>
      <c r="CU262" s="11"/>
      <c r="CV262" s="11"/>
    </row>
    <row r="263" customFormat="false" ht="15" hidden="false" customHeight="false" outlineLevel="0" collapsed="false">
      <c r="A263" s="11" t="n">
        <v>258</v>
      </c>
      <c r="B263" s="11" t="str">
        <f aca="false">IF(Chess!$L$267="","",Chess!$L$267&amp;"")</f>
        <v/>
      </c>
      <c r="C263" s="11" t="str">
        <f aca="false">LOWER(SUBSTITUTE(SUBSTITUTE(SUBSTITUTE(SUBSTITUTE(TRIM($B263),"-",""),"=","")," ",""),"x",""))</f>
        <v/>
      </c>
      <c r="D263" s="11" t="n">
        <f aca="false">IF(LEN($C263)&lt;4,0,IFERROR(IF(AND(CODE(MID($C263,1,1))&gt;=97,CODE(MID($C263,1,1))&lt;=104,VALUE(MID($C263,2,1))&gt;=1,VALUE(MID($C263,2,1))&lt;=8),(VALUE(MID($C263,2,1))-1)*8+CODE(MID($C263,1,1))-96,0),0))</f>
        <v>0</v>
      </c>
      <c r="E263" s="11" t="n">
        <f aca="false">IF(LEN($C263)&lt;4,0,IFERROR(IF(AND(CODE(MID($C263,3,1))&gt;=97,CODE(MID($C263,3,1))&lt;=104,VALUE(MID($C263,4,1))&gt;=1,VALUE(MID($C263,4,1))&lt;=8),(VALUE(MID($C263,4,1))-1)*8+CODE(MID($C263,3,1))-96,0),0))</f>
        <v>0</v>
      </c>
      <c r="F263" s="11" t="str">
        <f aca="false">IF(MOD(SUM($P$5:$P262),2)=0,"w","b")</f>
        <v>w</v>
      </c>
      <c r="G263" s="11" t="str">
        <f aca="false">IF($D263=0,"",INDEX($AH262:$CS262,1,$D263)&amp;"")</f>
        <v/>
      </c>
      <c r="H263" s="11" t="str">
        <f aca="false">IF($E263=0,"",INDEX($AH262:$CS262,1,$E263)&amp;"")</f>
        <v/>
      </c>
      <c r="I263" s="11" t="n">
        <f aca="false">IF(OR($D263=0,$E263=0),0,MOD($E263-1,8)-MOD($D263-1,8))</f>
        <v>0</v>
      </c>
      <c r="J263" s="11" t="n">
        <f aca="false">IF(OR($D263=0,$E263=0),0,INT(($E263-1)/8)-INT(($D263-1)/8))</f>
        <v>0</v>
      </c>
      <c r="K263" s="11" t="str">
        <f aca="false">IF($G263="","",RIGHT($G263,1))</f>
        <v/>
      </c>
      <c r="L263" s="11" t="n">
        <f aca="false">IF(OR($D263=0,$E263=0),0,SUMPRODUCT(($AH$3:$CS$3&gt;MIN($D263,$E263))*($AH$3:$CS$3&lt;MAX($D263,$E263))*(MOD($AH$3:$CS$3-MIN($D263,$E263),MAX(1,ABS(SIGN($J263)*8+SIGN($I263))))=0)*($AH262:$CS262&lt;&gt;"")))</f>
        <v>0</v>
      </c>
      <c r="M263" s="11" t="n">
        <f aca="false">IF($K263&lt;&gt;"K",0,IFERROR(--AND($J263=0,ABS($I263)=2,$D263=IF($F263="w",5,61),IF($F263="w",$S262,$V262)=0,IF($I263=2,AND(IF($F263="w",$U262,$X262)=0,INDEX($AH262:$CS262,1,$D263+1)&amp;""="",INDEX($AH262:$CS262,1,$D263+2)&amp;""=""),AND(IF($F263="w",$T262,$W262)=0,INDEX($AH262:$CS262,1,$D263-1)&amp;""="",INDEX($AH262:$CS262,1,$D263-2)&amp;""="",INDEX($AH262:$CS262,1,$D263-3)&amp;""=""))),0))</f>
        <v>0</v>
      </c>
      <c r="N263" s="11" t="n">
        <f aca="false">IF($K263&lt;&gt;"P",0,IFERROR(--OR(AND($I263=0,$J263=IF($F263="w",1,-1),$H263=""),AND($I263=0,$J263=2*IF($F263="w",1,-1),$H263="",INT(($D263-1)/8)=IF($F263="w",1,6),INDEX($AH262:$CS262,1,MAX(1,MIN(64,$D263+8*IF($F263="w",1,-1))))&amp;""=""),AND(ABS($I263)=1,$J263=IF($F263="w",1,-1),$H263&lt;&gt;""),AND(ABS($I263)=1,$J263=IF($F263="w",1,-1),$H263="",$R262&gt;0,$E263=$R262)),0))</f>
        <v>0</v>
      </c>
      <c r="O263" s="11" t="n">
        <f aca="false">IF(OR($D263=0,$E263=0,$G263=""),0,IF($K263="N",--OR(AND(ABS($I263)=1,ABS($J263)=2),AND(ABS($I263)=2,ABS($J263)=1)),IF($K263="B",--AND(ABS($I263)=ABS($J263),$I263&lt;&gt;0,$L263=0),IF($K263="R",--AND(OR($I263=0,$J263=0),OR($I263&lt;&gt;0,$J263&lt;&gt;0),$L263=0),IF($K263="Q",--AND(OR(AND(ABS($I263)=ABS($J263),$I263&lt;&gt;0),AND(OR($I263=0,$J263=0),OR($I263&lt;&gt;0,$J263&lt;&gt;0))),$L263=0),IF($K263="K",--OR(MAX(ABS($I263),ABS($J263))=1,$M263=1),$N263))))))</f>
        <v>0</v>
      </c>
      <c r="P263" s="11" t="n">
        <f aca="false">IF($Q263="OK",1,0)</f>
        <v>0</v>
      </c>
      <c r="Q263" s="11" t="str">
        <f aca="false">IF($B263="","",IF(OR(COUNTIF($AH262:$CS262,"wK")=0,COUNTIF($AH262:$CS262,"bK")=0),"Game is over",IF(OR($D263=0,$E263=0),"Use the format e2e4",IF($G263="","No piece on that square",IF(LEFT($G263,1)&lt;&gt;$F263,"Not your piece ("&amp;IF($F263="w","White","Black")&amp;" to move)",IF($D263=$E263,"Piece must move",IF(AND($H263&lt;&gt;"",LEFT($H263,1)=$F263),"Cannot capture your own piece",IF($O263=0,"Illegal move for that piece (or path blocked)","OK"))))))))</f>
        <v/>
      </c>
      <c r="R263" s="11" t="n">
        <f aca="false">IF($P263=1,IF(AND($K263="P",ABS($J263)=2),($D263+$E263)/2,0),$R262)</f>
        <v>0</v>
      </c>
      <c r="S263" s="12" t="b">
        <f aca="false">--OR($S262=1,AND($P263=1,OR($D263=5,$E263=5)))</f>
        <v>0</v>
      </c>
      <c r="T263" s="12" t="b">
        <f aca="false">--OR($T262=1,AND($P263=1,OR($D263=1,$E263=1)))</f>
        <v>0</v>
      </c>
      <c r="U263" s="12" t="b">
        <f aca="false">--OR($U262=1,AND($P263=1,OR($D263=8,$E263=8)))</f>
        <v>0</v>
      </c>
      <c r="V263" s="12" t="b">
        <f aca="false">--OR($V262=1,AND($P263=1,OR($D263=61,$E263=61)))</f>
        <v>0</v>
      </c>
      <c r="W263" s="12" t="b">
        <f aca="false">--OR($W262=1,AND($P263=1,OR($D263=57,$E263=57)))</f>
        <v>0</v>
      </c>
      <c r="X263" s="12" t="b">
        <f aca="false">--OR($X262=1,AND($P263=1,OR($D263=64,$E263=64)))</f>
        <v>0</v>
      </c>
      <c r="Y263" s="12" t="b">
        <f aca="false">--AND($P263=1,$K263="K",ABS($I263)=2)</f>
        <v>0</v>
      </c>
      <c r="Z263" s="12" t="b">
        <f aca="false">--AND($P263=1,$K263="P",ABS($I263)=1,$H263="")</f>
        <v>0</v>
      </c>
      <c r="AA263" s="12" t="b">
        <f aca="false">--AND($P263=1,$K263="P",INT(($E263-1)/8)=IF($F263="w",7,0))</f>
        <v>0</v>
      </c>
      <c r="AB263" s="11" t="str">
        <f aca="false">IF(LEN($C263)&gt;=5,IF(ISNUMBER(FIND(MID($C263,5,1),"qrbn")),UPPER(MID($C263,5,1)),"Q"),"Q")</f>
        <v>Q</v>
      </c>
      <c r="AC263" s="11" t="n">
        <f aca="false">IF($Y263=1,IF($I263=2,$D263+3,$D263-4),0)</f>
        <v>0</v>
      </c>
      <c r="AD263" s="11" t="n">
        <f aca="false">IF($Y263=1,IF($I263=2,$D263+1,$D263-1),0)</f>
        <v>0</v>
      </c>
      <c r="AE263" s="11" t="n">
        <f aca="false">IF($Z263=1,$E263-8*IF($F263="w",1,-1),0)</f>
        <v>0</v>
      </c>
      <c r="AF263" s="11" t="str">
        <f aca="false">IF($B263="","",IF($P263=1,LOWER(INDEX($CV$2:$CV$13,MATCH($G263,$CU$2:$CU$13,0)))&amp;" "&amp;MID("abcdefgh",MOD($D263-1,8)+1,1)&amp;(INT(($D263-1)/8)+1)&amp;"→"&amp;MID("abcdefgh",MOD($E263-1,8)+1,1)&amp;(INT(($E263-1)/8)+1)&amp;IF(OR($H263&lt;&gt;"",$Z263=1)," ×","")&amp;IF($Y263=1," castles","")&amp;IF($Z263=1," e.p.","")&amp;IF($AA263=1," =" &amp;LOWER(INDEX($CV$2:$CV$13,MATCH($F263&amp;$AB263,$CU$2:$CU$13,0))),""),"X "&amp;$Q263))</f>
        <v/>
      </c>
      <c r="AG263" s="11"/>
      <c r="AH263" s="11" t="str">
        <f aca="false">IF($P263=0,AH262,IF(AH$3=$E263,IF($AA263=1,$F263&amp;$AB263,$G263),IF(OR(AH$3=$D263,AH$3=$AC263,AH$3=$AE263),"",IF(AH$3=$AD263,$F263&amp;"R",AH262))))</f>
        <v>wR</v>
      </c>
      <c r="AI263" s="11" t="str">
        <f aca="false">IF($P263=0,AI262,IF(AI$3=$E263,IF($AA263=1,$F263&amp;$AB263,$G263),IF(OR(AI$3=$D263,AI$3=$AC263,AI$3=$AE263),"",IF(AI$3=$AD263,$F263&amp;"R",AI262))))</f>
        <v>wN</v>
      </c>
      <c r="AJ263" s="11" t="str">
        <f aca="false">IF($P263=0,AJ262,IF(AJ$3=$E263,IF($AA263=1,$F263&amp;$AB263,$G263),IF(OR(AJ$3=$D263,AJ$3=$AC263,AJ$3=$AE263),"",IF(AJ$3=$AD263,$F263&amp;"R",AJ262))))</f>
        <v>wB</v>
      </c>
      <c r="AK263" s="11" t="str">
        <f aca="false">IF($P263=0,AK262,IF(AK$3=$E263,IF($AA263=1,$F263&amp;$AB263,$G263),IF(OR(AK$3=$D263,AK$3=$AC263,AK$3=$AE263),"",IF(AK$3=$AD263,$F263&amp;"R",AK262))))</f>
        <v>wQ</v>
      </c>
      <c r="AL263" s="11" t="str">
        <f aca="false">IF($P263=0,AL262,IF(AL$3=$E263,IF($AA263=1,$F263&amp;$AB263,$G263),IF(OR(AL$3=$D263,AL$3=$AC263,AL$3=$AE263),"",IF(AL$3=$AD263,$F263&amp;"R",AL262))))</f>
        <v>wK</v>
      </c>
      <c r="AM263" s="11" t="str">
        <f aca="false">IF($P263=0,AM262,IF(AM$3=$E263,IF($AA263=1,$F263&amp;$AB263,$G263),IF(OR(AM$3=$D263,AM$3=$AC263,AM$3=$AE263),"",IF(AM$3=$AD263,$F263&amp;"R",AM262))))</f>
        <v>wB</v>
      </c>
      <c r="AN263" s="11" t="str">
        <f aca="false">IF($P263=0,AN262,IF(AN$3=$E263,IF($AA263=1,$F263&amp;$AB263,$G263),IF(OR(AN$3=$D263,AN$3=$AC263,AN$3=$AE263),"",IF(AN$3=$AD263,$F263&amp;"R",AN262))))</f>
        <v>wN</v>
      </c>
      <c r="AO263" s="11" t="str">
        <f aca="false">IF($P263=0,AO262,IF(AO$3=$E263,IF($AA263=1,$F263&amp;$AB263,$G263),IF(OR(AO$3=$D263,AO$3=$AC263,AO$3=$AE263),"",IF(AO$3=$AD263,$F263&amp;"R",AO262))))</f>
        <v>wR</v>
      </c>
      <c r="AP263" s="11" t="str">
        <f aca="false">IF($P263=0,AP262,IF(AP$3=$E263,IF($AA263=1,$F263&amp;$AB263,$G263),IF(OR(AP$3=$D263,AP$3=$AC263,AP$3=$AE263),"",IF(AP$3=$AD263,$F263&amp;"R",AP262))))</f>
        <v>wP</v>
      </c>
      <c r="AQ263" s="11" t="str">
        <f aca="false">IF($P263=0,AQ262,IF(AQ$3=$E263,IF($AA263=1,$F263&amp;$AB263,$G263),IF(OR(AQ$3=$D263,AQ$3=$AC263,AQ$3=$AE263),"",IF(AQ$3=$AD263,$F263&amp;"R",AQ262))))</f>
        <v>wP</v>
      </c>
      <c r="AR263" s="11" t="str">
        <f aca="false">IF($P263=0,AR262,IF(AR$3=$E263,IF($AA263=1,$F263&amp;$AB263,$G263),IF(OR(AR$3=$D263,AR$3=$AC263,AR$3=$AE263),"",IF(AR$3=$AD263,$F263&amp;"R",AR262))))</f>
        <v>wP</v>
      </c>
      <c r="AS263" s="11" t="str">
        <f aca="false">IF($P263=0,AS262,IF(AS$3=$E263,IF($AA263=1,$F263&amp;$AB263,$G263),IF(OR(AS$3=$D263,AS$3=$AC263,AS$3=$AE263),"",IF(AS$3=$AD263,$F263&amp;"R",AS262))))</f>
        <v>wP</v>
      </c>
      <c r="AT263" s="11" t="str">
        <f aca="false">IF($P263=0,AT262,IF(AT$3=$E263,IF($AA263=1,$F263&amp;$AB263,$G263),IF(OR(AT$3=$D263,AT$3=$AC263,AT$3=$AE263),"",IF(AT$3=$AD263,$F263&amp;"R",AT262))))</f>
        <v>wP</v>
      </c>
      <c r="AU263" s="11" t="str">
        <f aca="false">IF($P263=0,AU262,IF(AU$3=$E263,IF($AA263=1,$F263&amp;$AB263,$G263),IF(OR(AU$3=$D263,AU$3=$AC263,AU$3=$AE263),"",IF(AU$3=$AD263,$F263&amp;"R",AU262))))</f>
        <v>wP</v>
      </c>
      <c r="AV263" s="11" t="str">
        <f aca="false">IF($P263=0,AV262,IF(AV$3=$E263,IF($AA263=1,$F263&amp;$AB263,$G263),IF(OR(AV$3=$D263,AV$3=$AC263,AV$3=$AE263),"",IF(AV$3=$AD263,$F263&amp;"R",AV262))))</f>
        <v>wP</v>
      </c>
      <c r="AW263" s="11" t="str">
        <f aca="false">IF($P263=0,AW262,IF(AW$3=$E263,IF($AA263=1,$F263&amp;$AB263,$G263),IF(OR(AW$3=$D263,AW$3=$AC263,AW$3=$AE263),"",IF(AW$3=$AD263,$F263&amp;"R",AW262))))</f>
        <v>wP</v>
      </c>
      <c r="AX263" s="11" t="str">
        <f aca="false">IF($P263=0,AX262,IF(AX$3=$E263,IF($AA263=1,$F263&amp;$AB263,$G263),IF(OR(AX$3=$D263,AX$3=$AC263,AX$3=$AE263),"",IF(AX$3=$AD263,$F263&amp;"R",AX262))))</f>
        <v/>
      </c>
      <c r="AY263" s="11" t="str">
        <f aca="false">IF($P263=0,AY262,IF(AY$3=$E263,IF($AA263=1,$F263&amp;$AB263,$G263),IF(OR(AY$3=$D263,AY$3=$AC263,AY$3=$AE263),"",IF(AY$3=$AD263,$F263&amp;"R",AY262))))</f>
        <v/>
      </c>
      <c r="AZ263" s="11" t="str">
        <f aca="false">IF($P263=0,AZ262,IF(AZ$3=$E263,IF($AA263=1,$F263&amp;$AB263,$G263),IF(OR(AZ$3=$D263,AZ$3=$AC263,AZ$3=$AE263),"",IF(AZ$3=$AD263,$F263&amp;"R",AZ262))))</f>
        <v/>
      </c>
      <c r="BA263" s="11" t="str">
        <f aca="false">IF($P263=0,BA262,IF(BA$3=$E263,IF($AA263=1,$F263&amp;$AB263,$G263),IF(OR(BA$3=$D263,BA$3=$AC263,BA$3=$AE263),"",IF(BA$3=$AD263,$F263&amp;"R",BA262))))</f>
        <v/>
      </c>
      <c r="BB263" s="11" t="str">
        <f aca="false">IF($P263=0,BB262,IF(BB$3=$E263,IF($AA263=1,$F263&amp;$AB263,$G263),IF(OR(BB$3=$D263,BB$3=$AC263,BB$3=$AE263),"",IF(BB$3=$AD263,$F263&amp;"R",BB262))))</f>
        <v/>
      </c>
      <c r="BC263" s="11" t="str">
        <f aca="false">IF($P263=0,BC262,IF(BC$3=$E263,IF($AA263=1,$F263&amp;$AB263,$G263),IF(OR(BC$3=$D263,BC$3=$AC263,BC$3=$AE263),"",IF(BC$3=$AD263,$F263&amp;"R",BC262))))</f>
        <v/>
      </c>
      <c r="BD263" s="11" t="str">
        <f aca="false">IF($P263=0,BD262,IF(BD$3=$E263,IF($AA263=1,$F263&amp;$AB263,$G263),IF(OR(BD$3=$D263,BD$3=$AC263,BD$3=$AE263),"",IF(BD$3=$AD263,$F263&amp;"R",BD262))))</f>
        <v/>
      </c>
      <c r="BE263" s="11" t="str">
        <f aca="false">IF($P263=0,BE262,IF(BE$3=$E263,IF($AA263=1,$F263&amp;$AB263,$G263),IF(OR(BE$3=$D263,BE$3=$AC263,BE$3=$AE263),"",IF(BE$3=$AD263,$F263&amp;"R",BE262))))</f>
        <v/>
      </c>
      <c r="BF263" s="11" t="str">
        <f aca="false">IF($P263=0,BF262,IF(BF$3=$E263,IF($AA263=1,$F263&amp;$AB263,$G263),IF(OR(BF$3=$D263,BF$3=$AC263,BF$3=$AE263),"",IF(BF$3=$AD263,$F263&amp;"R",BF262))))</f>
        <v/>
      </c>
      <c r="BG263" s="11" t="str">
        <f aca="false">IF($P263=0,BG262,IF(BG$3=$E263,IF($AA263=1,$F263&amp;$AB263,$G263),IF(OR(BG$3=$D263,BG$3=$AC263,BG$3=$AE263),"",IF(BG$3=$AD263,$F263&amp;"R",BG262))))</f>
        <v/>
      </c>
      <c r="BH263" s="11" t="str">
        <f aca="false">IF($P263=0,BH262,IF(BH$3=$E263,IF($AA263=1,$F263&amp;$AB263,$G263),IF(OR(BH$3=$D263,BH$3=$AC263,BH$3=$AE263),"",IF(BH$3=$AD263,$F263&amp;"R",BH262))))</f>
        <v/>
      </c>
      <c r="BI263" s="11" t="str">
        <f aca="false">IF($P263=0,BI262,IF(BI$3=$E263,IF($AA263=1,$F263&amp;$AB263,$G263),IF(OR(BI$3=$D263,BI$3=$AC263,BI$3=$AE263),"",IF(BI$3=$AD263,$F263&amp;"R",BI262))))</f>
        <v/>
      </c>
      <c r="BJ263" s="11" t="str">
        <f aca="false">IF($P263=0,BJ262,IF(BJ$3=$E263,IF($AA263=1,$F263&amp;$AB263,$G263),IF(OR(BJ$3=$D263,BJ$3=$AC263,BJ$3=$AE263),"",IF(BJ$3=$AD263,$F263&amp;"R",BJ262))))</f>
        <v/>
      </c>
      <c r="BK263" s="11" t="str">
        <f aca="false">IF($P263=0,BK262,IF(BK$3=$E263,IF($AA263=1,$F263&amp;$AB263,$G263),IF(OR(BK$3=$D263,BK$3=$AC263,BK$3=$AE263),"",IF(BK$3=$AD263,$F263&amp;"R",BK262))))</f>
        <v/>
      </c>
      <c r="BL263" s="11" t="str">
        <f aca="false">IF($P263=0,BL262,IF(BL$3=$E263,IF($AA263=1,$F263&amp;$AB263,$G263),IF(OR(BL$3=$D263,BL$3=$AC263,BL$3=$AE263),"",IF(BL$3=$AD263,$F263&amp;"R",BL262))))</f>
        <v/>
      </c>
      <c r="BM263" s="11" t="str">
        <f aca="false">IF($P263=0,BM262,IF(BM$3=$E263,IF($AA263=1,$F263&amp;$AB263,$G263),IF(OR(BM$3=$D263,BM$3=$AC263,BM$3=$AE263),"",IF(BM$3=$AD263,$F263&amp;"R",BM262))))</f>
        <v/>
      </c>
      <c r="BN263" s="11" t="str">
        <f aca="false">IF($P263=0,BN262,IF(BN$3=$E263,IF($AA263=1,$F263&amp;$AB263,$G263),IF(OR(BN$3=$D263,BN$3=$AC263,BN$3=$AE263),"",IF(BN$3=$AD263,$F263&amp;"R",BN262))))</f>
        <v/>
      </c>
      <c r="BO263" s="11" t="str">
        <f aca="false">IF($P263=0,BO262,IF(BO$3=$E263,IF($AA263=1,$F263&amp;$AB263,$G263),IF(OR(BO$3=$D263,BO$3=$AC263,BO$3=$AE263),"",IF(BO$3=$AD263,$F263&amp;"R",BO262))))</f>
        <v/>
      </c>
      <c r="BP263" s="11" t="str">
        <f aca="false">IF($P263=0,BP262,IF(BP$3=$E263,IF($AA263=1,$F263&amp;$AB263,$G263),IF(OR(BP$3=$D263,BP$3=$AC263,BP$3=$AE263),"",IF(BP$3=$AD263,$F263&amp;"R",BP262))))</f>
        <v/>
      </c>
      <c r="BQ263" s="11" t="str">
        <f aca="false">IF($P263=0,BQ262,IF(BQ$3=$E263,IF($AA263=1,$F263&amp;$AB263,$G263),IF(OR(BQ$3=$D263,BQ$3=$AC263,BQ$3=$AE263),"",IF(BQ$3=$AD263,$F263&amp;"R",BQ262))))</f>
        <v/>
      </c>
      <c r="BR263" s="11" t="str">
        <f aca="false">IF($P263=0,BR262,IF(BR$3=$E263,IF($AA263=1,$F263&amp;$AB263,$G263),IF(OR(BR$3=$D263,BR$3=$AC263,BR$3=$AE263),"",IF(BR$3=$AD263,$F263&amp;"R",BR262))))</f>
        <v/>
      </c>
      <c r="BS263" s="11" t="str">
        <f aca="false">IF($P263=0,BS262,IF(BS$3=$E263,IF($AA263=1,$F263&amp;$AB263,$G263),IF(OR(BS$3=$D263,BS$3=$AC263,BS$3=$AE263),"",IF(BS$3=$AD263,$F263&amp;"R",BS262))))</f>
        <v/>
      </c>
      <c r="BT263" s="11" t="str">
        <f aca="false">IF($P263=0,BT262,IF(BT$3=$E263,IF($AA263=1,$F263&amp;$AB263,$G263),IF(OR(BT$3=$D263,BT$3=$AC263,BT$3=$AE263),"",IF(BT$3=$AD263,$F263&amp;"R",BT262))))</f>
        <v/>
      </c>
      <c r="BU263" s="11" t="str">
        <f aca="false">IF($P263=0,BU262,IF(BU$3=$E263,IF($AA263=1,$F263&amp;$AB263,$G263),IF(OR(BU$3=$D263,BU$3=$AC263,BU$3=$AE263),"",IF(BU$3=$AD263,$F263&amp;"R",BU262))))</f>
        <v/>
      </c>
      <c r="BV263" s="11" t="str">
        <f aca="false">IF($P263=0,BV262,IF(BV$3=$E263,IF($AA263=1,$F263&amp;$AB263,$G263),IF(OR(BV$3=$D263,BV$3=$AC263,BV$3=$AE263),"",IF(BV$3=$AD263,$F263&amp;"R",BV262))))</f>
        <v/>
      </c>
      <c r="BW263" s="11" t="str">
        <f aca="false">IF($P263=0,BW262,IF(BW$3=$E263,IF($AA263=1,$F263&amp;$AB263,$G263),IF(OR(BW$3=$D263,BW$3=$AC263,BW$3=$AE263),"",IF(BW$3=$AD263,$F263&amp;"R",BW262))))</f>
        <v/>
      </c>
      <c r="BX263" s="11" t="str">
        <f aca="false">IF($P263=0,BX262,IF(BX$3=$E263,IF($AA263=1,$F263&amp;$AB263,$G263),IF(OR(BX$3=$D263,BX$3=$AC263,BX$3=$AE263),"",IF(BX$3=$AD263,$F263&amp;"R",BX262))))</f>
        <v/>
      </c>
      <c r="BY263" s="11" t="str">
        <f aca="false">IF($P263=0,BY262,IF(BY$3=$E263,IF($AA263=1,$F263&amp;$AB263,$G263),IF(OR(BY$3=$D263,BY$3=$AC263,BY$3=$AE263),"",IF(BY$3=$AD263,$F263&amp;"R",BY262))))</f>
        <v/>
      </c>
      <c r="BZ263" s="11" t="str">
        <f aca="false">IF($P263=0,BZ262,IF(BZ$3=$E263,IF($AA263=1,$F263&amp;$AB263,$G263),IF(OR(BZ$3=$D263,BZ$3=$AC263,BZ$3=$AE263),"",IF(BZ$3=$AD263,$F263&amp;"R",BZ262))))</f>
        <v/>
      </c>
      <c r="CA263" s="11" t="str">
        <f aca="false">IF($P263=0,CA262,IF(CA$3=$E263,IF($AA263=1,$F263&amp;$AB263,$G263),IF(OR(CA$3=$D263,CA$3=$AC263,CA$3=$AE263),"",IF(CA$3=$AD263,$F263&amp;"R",CA262))))</f>
        <v/>
      </c>
      <c r="CB263" s="11" t="str">
        <f aca="false">IF($P263=0,CB262,IF(CB$3=$E263,IF($AA263=1,$F263&amp;$AB263,$G263),IF(OR(CB$3=$D263,CB$3=$AC263,CB$3=$AE263),"",IF(CB$3=$AD263,$F263&amp;"R",CB262))))</f>
        <v/>
      </c>
      <c r="CC263" s="11" t="str">
        <f aca="false">IF($P263=0,CC262,IF(CC$3=$E263,IF($AA263=1,$F263&amp;$AB263,$G263),IF(OR(CC$3=$D263,CC$3=$AC263,CC$3=$AE263),"",IF(CC$3=$AD263,$F263&amp;"R",CC262))))</f>
        <v/>
      </c>
      <c r="CD263" s="11" t="str">
        <f aca="false">IF($P263=0,CD262,IF(CD$3=$E263,IF($AA263=1,$F263&amp;$AB263,$G263),IF(OR(CD$3=$D263,CD$3=$AC263,CD$3=$AE263),"",IF(CD$3=$AD263,$F263&amp;"R",CD262))))</f>
        <v>bP</v>
      </c>
      <c r="CE263" s="11" t="str">
        <f aca="false">IF($P263=0,CE262,IF(CE$3=$E263,IF($AA263=1,$F263&amp;$AB263,$G263),IF(OR(CE$3=$D263,CE$3=$AC263,CE$3=$AE263),"",IF(CE$3=$AD263,$F263&amp;"R",CE262))))</f>
        <v>bP</v>
      </c>
      <c r="CF263" s="11" t="str">
        <f aca="false">IF($P263=0,CF262,IF(CF$3=$E263,IF($AA263=1,$F263&amp;$AB263,$G263),IF(OR(CF$3=$D263,CF$3=$AC263,CF$3=$AE263),"",IF(CF$3=$AD263,$F263&amp;"R",CF262))))</f>
        <v>bP</v>
      </c>
      <c r="CG263" s="11" t="str">
        <f aca="false">IF($P263=0,CG262,IF(CG$3=$E263,IF($AA263=1,$F263&amp;$AB263,$G263),IF(OR(CG$3=$D263,CG$3=$AC263,CG$3=$AE263),"",IF(CG$3=$AD263,$F263&amp;"R",CG262))))</f>
        <v>bP</v>
      </c>
      <c r="CH263" s="11" t="str">
        <f aca="false">IF($P263=0,CH262,IF(CH$3=$E263,IF($AA263=1,$F263&amp;$AB263,$G263),IF(OR(CH$3=$D263,CH$3=$AC263,CH$3=$AE263),"",IF(CH$3=$AD263,$F263&amp;"R",CH262))))</f>
        <v>bP</v>
      </c>
      <c r="CI263" s="11" t="str">
        <f aca="false">IF($P263=0,CI262,IF(CI$3=$E263,IF($AA263=1,$F263&amp;$AB263,$G263),IF(OR(CI$3=$D263,CI$3=$AC263,CI$3=$AE263),"",IF(CI$3=$AD263,$F263&amp;"R",CI262))))</f>
        <v>bP</v>
      </c>
      <c r="CJ263" s="11" t="str">
        <f aca="false">IF($P263=0,CJ262,IF(CJ$3=$E263,IF($AA263=1,$F263&amp;$AB263,$G263),IF(OR(CJ$3=$D263,CJ$3=$AC263,CJ$3=$AE263),"",IF(CJ$3=$AD263,$F263&amp;"R",CJ262))))</f>
        <v>bP</v>
      </c>
      <c r="CK263" s="11" t="str">
        <f aca="false">IF($P263=0,CK262,IF(CK$3=$E263,IF($AA263=1,$F263&amp;$AB263,$G263),IF(OR(CK$3=$D263,CK$3=$AC263,CK$3=$AE263),"",IF(CK$3=$AD263,$F263&amp;"R",CK262))))</f>
        <v>bP</v>
      </c>
      <c r="CL263" s="11" t="str">
        <f aca="false">IF($P263=0,CL262,IF(CL$3=$E263,IF($AA263=1,$F263&amp;$AB263,$G263),IF(OR(CL$3=$D263,CL$3=$AC263,CL$3=$AE263),"",IF(CL$3=$AD263,$F263&amp;"R",CL262))))</f>
        <v>bR</v>
      </c>
      <c r="CM263" s="11" t="str">
        <f aca="false">IF($P263=0,CM262,IF(CM$3=$E263,IF($AA263=1,$F263&amp;$AB263,$G263),IF(OR(CM$3=$D263,CM$3=$AC263,CM$3=$AE263),"",IF(CM$3=$AD263,$F263&amp;"R",CM262))))</f>
        <v>bN</v>
      </c>
      <c r="CN263" s="11" t="str">
        <f aca="false">IF($P263=0,CN262,IF(CN$3=$E263,IF($AA263=1,$F263&amp;$AB263,$G263),IF(OR(CN$3=$D263,CN$3=$AC263,CN$3=$AE263),"",IF(CN$3=$AD263,$F263&amp;"R",CN262))))</f>
        <v>bB</v>
      </c>
      <c r="CO263" s="11" t="str">
        <f aca="false">IF($P263=0,CO262,IF(CO$3=$E263,IF($AA263=1,$F263&amp;$AB263,$G263),IF(OR(CO$3=$D263,CO$3=$AC263,CO$3=$AE263),"",IF(CO$3=$AD263,$F263&amp;"R",CO262))))</f>
        <v>bQ</v>
      </c>
      <c r="CP263" s="11" t="str">
        <f aca="false">IF($P263=0,CP262,IF(CP$3=$E263,IF($AA263=1,$F263&amp;$AB263,$G263),IF(OR(CP$3=$D263,CP$3=$AC263,CP$3=$AE263),"",IF(CP$3=$AD263,$F263&amp;"R",CP262))))</f>
        <v>bK</v>
      </c>
      <c r="CQ263" s="11" t="str">
        <f aca="false">IF($P263=0,CQ262,IF(CQ$3=$E263,IF($AA263=1,$F263&amp;$AB263,$G263),IF(OR(CQ$3=$D263,CQ$3=$AC263,CQ$3=$AE263),"",IF(CQ$3=$AD263,$F263&amp;"R",CQ262))))</f>
        <v>bB</v>
      </c>
      <c r="CR263" s="11" t="str">
        <f aca="false">IF($P263=0,CR262,IF(CR$3=$E263,IF($AA263=1,$F263&amp;$AB263,$G263),IF(OR(CR$3=$D263,CR$3=$AC263,CR$3=$AE263),"",IF(CR$3=$AD263,$F263&amp;"R",CR262))))</f>
        <v>bN</v>
      </c>
      <c r="CS263" s="11" t="str">
        <f aca="false">IF($P263=0,CS262,IF(CS$3=$E263,IF($AA263=1,$F263&amp;$AB263,$G263),IF(OR(CS$3=$D263,CS$3=$AC263,CS$3=$AE263),"",IF(CS$3=$AD263,$F263&amp;"R",CS262))))</f>
        <v>bR</v>
      </c>
      <c r="CT263" s="11"/>
      <c r="CU263" s="11"/>
      <c r="CV263" s="11"/>
    </row>
    <row r="264" customFormat="false" ht="15" hidden="false" customHeight="false" outlineLevel="0" collapsed="false">
      <c r="A264" s="11" t="n">
        <v>259</v>
      </c>
      <c r="B264" s="11" t="str">
        <f aca="false">IF(Chess!$L$268="","",Chess!$L$268&amp;"")</f>
        <v/>
      </c>
      <c r="C264" s="11" t="str">
        <f aca="false">LOWER(SUBSTITUTE(SUBSTITUTE(SUBSTITUTE(SUBSTITUTE(TRIM($B264),"-",""),"=","")," ",""),"x",""))</f>
        <v/>
      </c>
      <c r="D264" s="11" t="n">
        <f aca="false">IF(LEN($C264)&lt;4,0,IFERROR(IF(AND(CODE(MID($C264,1,1))&gt;=97,CODE(MID($C264,1,1))&lt;=104,VALUE(MID($C264,2,1))&gt;=1,VALUE(MID($C264,2,1))&lt;=8),(VALUE(MID($C264,2,1))-1)*8+CODE(MID($C264,1,1))-96,0),0))</f>
        <v>0</v>
      </c>
      <c r="E264" s="11" t="n">
        <f aca="false">IF(LEN($C264)&lt;4,0,IFERROR(IF(AND(CODE(MID($C264,3,1))&gt;=97,CODE(MID($C264,3,1))&lt;=104,VALUE(MID($C264,4,1))&gt;=1,VALUE(MID($C264,4,1))&lt;=8),(VALUE(MID($C264,4,1))-1)*8+CODE(MID($C264,3,1))-96,0),0))</f>
        <v>0</v>
      </c>
      <c r="F264" s="11" t="str">
        <f aca="false">IF(MOD(SUM($P$5:$P263),2)=0,"w","b")</f>
        <v>w</v>
      </c>
      <c r="G264" s="11" t="str">
        <f aca="false">IF($D264=0,"",INDEX($AH263:$CS263,1,$D264)&amp;"")</f>
        <v/>
      </c>
      <c r="H264" s="11" t="str">
        <f aca="false">IF($E264=0,"",INDEX($AH263:$CS263,1,$E264)&amp;"")</f>
        <v/>
      </c>
      <c r="I264" s="11" t="n">
        <f aca="false">IF(OR($D264=0,$E264=0),0,MOD($E264-1,8)-MOD($D264-1,8))</f>
        <v>0</v>
      </c>
      <c r="J264" s="11" t="n">
        <f aca="false">IF(OR($D264=0,$E264=0),0,INT(($E264-1)/8)-INT(($D264-1)/8))</f>
        <v>0</v>
      </c>
      <c r="K264" s="11" t="str">
        <f aca="false">IF($G264="","",RIGHT($G264,1))</f>
        <v/>
      </c>
      <c r="L264" s="11" t="n">
        <f aca="false">IF(OR($D264=0,$E264=0),0,SUMPRODUCT(($AH$3:$CS$3&gt;MIN($D264,$E264))*($AH$3:$CS$3&lt;MAX($D264,$E264))*(MOD($AH$3:$CS$3-MIN($D264,$E264),MAX(1,ABS(SIGN($J264)*8+SIGN($I264))))=0)*($AH263:$CS263&lt;&gt;"")))</f>
        <v>0</v>
      </c>
      <c r="M264" s="11" t="n">
        <f aca="false">IF($K264&lt;&gt;"K",0,IFERROR(--AND($J264=0,ABS($I264)=2,$D264=IF($F264="w",5,61),IF($F264="w",$S263,$V263)=0,IF($I264=2,AND(IF($F264="w",$U263,$X263)=0,INDEX($AH263:$CS263,1,$D264+1)&amp;""="",INDEX($AH263:$CS263,1,$D264+2)&amp;""=""),AND(IF($F264="w",$T263,$W263)=0,INDEX($AH263:$CS263,1,$D264-1)&amp;""="",INDEX($AH263:$CS263,1,$D264-2)&amp;""="",INDEX($AH263:$CS263,1,$D264-3)&amp;""=""))),0))</f>
        <v>0</v>
      </c>
      <c r="N264" s="11" t="n">
        <f aca="false">IF($K264&lt;&gt;"P",0,IFERROR(--OR(AND($I264=0,$J264=IF($F264="w",1,-1),$H264=""),AND($I264=0,$J264=2*IF($F264="w",1,-1),$H264="",INT(($D264-1)/8)=IF($F264="w",1,6),INDEX($AH263:$CS263,1,MAX(1,MIN(64,$D264+8*IF($F264="w",1,-1))))&amp;""=""),AND(ABS($I264)=1,$J264=IF($F264="w",1,-1),$H264&lt;&gt;""),AND(ABS($I264)=1,$J264=IF($F264="w",1,-1),$H264="",$R263&gt;0,$E264=$R263)),0))</f>
        <v>0</v>
      </c>
      <c r="O264" s="11" t="n">
        <f aca="false">IF(OR($D264=0,$E264=0,$G264=""),0,IF($K264="N",--OR(AND(ABS($I264)=1,ABS($J264)=2),AND(ABS($I264)=2,ABS($J264)=1)),IF($K264="B",--AND(ABS($I264)=ABS($J264),$I264&lt;&gt;0,$L264=0),IF($K264="R",--AND(OR($I264=0,$J264=0),OR($I264&lt;&gt;0,$J264&lt;&gt;0),$L264=0),IF($K264="Q",--AND(OR(AND(ABS($I264)=ABS($J264),$I264&lt;&gt;0),AND(OR($I264=0,$J264=0),OR($I264&lt;&gt;0,$J264&lt;&gt;0))),$L264=0),IF($K264="K",--OR(MAX(ABS($I264),ABS($J264))=1,$M264=1),$N264))))))</f>
        <v>0</v>
      </c>
      <c r="P264" s="11" t="n">
        <f aca="false">IF($Q264="OK",1,0)</f>
        <v>0</v>
      </c>
      <c r="Q264" s="11" t="str">
        <f aca="false">IF($B264="","",IF(OR(COUNTIF($AH263:$CS263,"wK")=0,COUNTIF($AH263:$CS263,"bK")=0),"Game is over",IF(OR($D264=0,$E264=0),"Use the format e2e4",IF($G264="","No piece on that square",IF(LEFT($G264,1)&lt;&gt;$F264,"Not your piece ("&amp;IF($F264="w","White","Black")&amp;" to move)",IF($D264=$E264,"Piece must move",IF(AND($H264&lt;&gt;"",LEFT($H264,1)=$F264),"Cannot capture your own piece",IF($O264=0,"Illegal move for that piece (or path blocked)","OK"))))))))</f>
        <v/>
      </c>
      <c r="R264" s="11" t="n">
        <f aca="false">IF($P264=1,IF(AND($K264="P",ABS($J264)=2),($D264+$E264)/2,0),$R263)</f>
        <v>0</v>
      </c>
      <c r="S264" s="12" t="b">
        <f aca="false">--OR($S263=1,AND($P264=1,OR($D264=5,$E264=5)))</f>
        <v>0</v>
      </c>
      <c r="T264" s="12" t="b">
        <f aca="false">--OR($T263=1,AND($P264=1,OR($D264=1,$E264=1)))</f>
        <v>0</v>
      </c>
      <c r="U264" s="12" t="b">
        <f aca="false">--OR($U263=1,AND($P264=1,OR($D264=8,$E264=8)))</f>
        <v>0</v>
      </c>
      <c r="V264" s="12" t="b">
        <f aca="false">--OR($V263=1,AND($P264=1,OR($D264=61,$E264=61)))</f>
        <v>0</v>
      </c>
      <c r="W264" s="12" t="b">
        <f aca="false">--OR($W263=1,AND($P264=1,OR($D264=57,$E264=57)))</f>
        <v>0</v>
      </c>
      <c r="X264" s="12" t="b">
        <f aca="false">--OR($X263=1,AND($P264=1,OR($D264=64,$E264=64)))</f>
        <v>0</v>
      </c>
      <c r="Y264" s="12" t="b">
        <f aca="false">--AND($P264=1,$K264="K",ABS($I264)=2)</f>
        <v>0</v>
      </c>
      <c r="Z264" s="12" t="b">
        <f aca="false">--AND($P264=1,$K264="P",ABS($I264)=1,$H264="")</f>
        <v>0</v>
      </c>
      <c r="AA264" s="12" t="b">
        <f aca="false">--AND($P264=1,$K264="P",INT(($E264-1)/8)=IF($F264="w",7,0))</f>
        <v>0</v>
      </c>
      <c r="AB264" s="11" t="str">
        <f aca="false">IF(LEN($C264)&gt;=5,IF(ISNUMBER(FIND(MID($C264,5,1),"qrbn")),UPPER(MID($C264,5,1)),"Q"),"Q")</f>
        <v>Q</v>
      </c>
      <c r="AC264" s="11" t="n">
        <f aca="false">IF($Y264=1,IF($I264=2,$D264+3,$D264-4),0)</f>
        <v>0</v>
      </c>
      <c r="AD264" s="11" t="n">
        <f aca="false">IF($Y264=1,IF($I264=2,$D264+1,$D264-1),0)</f>
        <v>0</v>
      </c>
      <c r="AE264" s="11" t="n">
        <f aca="false">IF($Z264=1,$E264-8*IF($F264="w",1,-1),0)</f>
        <v>0</v>
      </c>
      <c r="AF264" s="11" t="str">
        <f aca="false">IF($B264="","",IF($P264=1,LOWER(INDEX($CV$2:$CV$13,MATCH($G264,$CU$2:$CU$13,0)))&amp;" "&amp;MID("abcdefgh",MOD($D264-1,8)+1,1)&amp;(INT(($D264-1)/8)+1)&amp;"→"&amp;MID("abcdefgh",MOD($E264-1,8)+1,1)&amp;(INT(($E264-1)/8)+1)&amp;IF(OR($H264&lt;&gt;"",$Z264=1)," ×","")&amp;IF($Y264=1," castles","")&amp;IF($Z264=1," e.p.","")&amp;IF($AA264=1," =" &amp;LOWER(INDEX($CV$2:$CV$13,MATCH($F264&amp;$AB264,$CU$2:$CU$13,0))),""),"X "&amp;$Q264))</f>
        <v/>
      </c>
      <c r="AG264" s="11"/>
      <c r="AH264" s="11" t="str">
        <f aca="false">IF($P264=0,AH263,IF(AH$3=$E264,IF($AA264=1,$F264&amp;$AB264,$G264),IF(OR(AH$3=$D264,AH$3=$AC264,AH$3=$AE264),"",IF(AH$3=$AD264,$F264&amp;"R",AH263))))</f>
        <v>wR</v>
      </c>
      <c r="AI264" s="11" t="str">
        <f aca="false">IF($P264=0,AI263,IF(AI$3=$E264,IF($AA264=1,$F264&amp;$AB264,$G264),IF(OR(AI$3=$D264,AI$3=$AC264,AI$3=$AE264),"",IF(AI$3=$AD264,$F264&amp;"R",AI263))))</f>
        <v>wN</v>
      </c>
      <c r="AJ264" s="11" t="str">
        <f aca="false">IF($P264=0,AJ263,IF(AJ$3=$E264,IF($AA264=1,$F264&amp;$AB264,$G264),IF(OR(AJ$3=$D264,AJ$3=$AC264,AJ$3=$AE264),"",IF(AJ$3=$AD264,$F264&amp;"R",AJ263))))</f>
        <v>wB</v>
      </c>
      <c r="AK264" s="11" t="str">
        <f aca="false">IF($P264=0,AK263,IF(AK$3=$E264,IF($AA264=1,$F264&amp;$AB264,$G264),IF(OR(AK$3=$D264,AK$3=$AC264,AK$3=$AE264),"",IF(AK$3=$AD264,$F264&amp;"R",AK263))))</f>
        <v>wQ</v>
      </c>
      <c r="AL264" s="11" t="str">
        <f aca="false">IF($P264=0,AL263,IF(AL$3=$E264,IF($AA264=1,$F264&amp;$AB264,$G264),IF(OR(AL$3=$D264,AL$3=$AC264,AL$3=$AE264),"",IF(AL$3=$AD264,$F264&amp;"R",AL263))))</f>
        <v>wK</v>
      </c>
      <c r="AM264" s="11" t="str">
        <f aca="false">IF($P264=0,AM263,IF(AM$3=$E264,IF($AA264=1,$F264&amp;$AB264,$G264),IF(OR(AM$3=$D264,AM$3=$AC264,AM$3=$AE264),"",IF(AM$3=$AD264,$F264&amp;"R",AM263))))</f>
        <v>wB</v>
      </c>
      <c r="AN264" s="11" t="str">
        <f aca="false">IF($P264=0,AN263,IF(AN$3=$E264,IF($AA264=1,$F264&amp;$AB264,$G264),IF(OR(AN$3=$D264,AN$3=$AC264,AN$3=$AE264),"",IF(AN$3=$AD264,$F264&amp;"R",AN263))))</f>
        <v>wN</v>
      </c>
      <c r="AO264" s="11" t="str">
        <f aca="false">IF($P264=0,AO263,IF(AO$3=$E264,IF($AA264=1,$F264&amp;$AB264,$G264),IF(OR(AO$3=$D264,AO$3=$AC264,AO$3=$AE264),"",IF(AO$3=$AD264,$F264&amp;"R",AO263))))</f>
        <v>wR</v>
      </c>
      <c r="AP264" s="11" t="str">
        <f aca="false">IF($P264=0,AP263,IF(AP$3=$E264,IF($AA264=1,$F264&amp;$AB264,$G264),IF(OR(AP$3=$D264,AP$3=$AC264,AP$3=$AE264),"",IF(AP$3=$AD264,$F264&amp;"R",AP263))))</f>
        <v>wP</v>
      </c>
      <c r="AQ264" s="11" t="str">
        <f aca="false">IF($P264=0,AQ263,IF(AQ$3=$E264,IF($AA264=1,$F264&amp;$AB264,$G264),IF(OR(AQ$3=$D264,AQ$3=$AC264,AQ$3=$AE264),"",IF(AQ$3=$AD264,$F264&amp;"R",AQ263))))</f>
        <v>wP</v>
      </c>
      <c r="AR264" s="11" t="str">
        <f aca="false">IF($P264=0,AR263,IF(AR$3=$E264,IF($AA264=1,$F264&amp;$AB264,$G264),IF(OR(AR$3=$D264,AR$3=$AC264,AR$3=$AE264),"",IF(AR$3=$AD264,$F264&amp;"R",AR263))))</f>
        <v>wP</v>
      </c>
      <c r="AS264" s="11" t="str">
        <f aca="false">IF($P264=0,AS263,IF(AS$3=$E264,IF($AA264=1,$F264&amp;$AB264,$G264),IF(OR(AS$3=$D264,AS$3=$AC264,AS$3=$AE264),"",IF(AS$3=$AD264,$F264&amp;"R",AS263))))</f>
        <v>wP</v>
      </c>
      <c r="AT264" s="11" t="str">
        <f aca="false">IF($P264=0,AT263,IF(AT$3=$E264,IF($AA264=1,$F264&amp;$AB264,$G264),IF(OR(AT$3=$D264,AT$3=$AC264,AT$3=$AE264),"",IF(AT$3=$AD264,$F264&amp;"R",AT263))))</f>
        <v>wP</v>
      </c>
      <c r="AU264" s="11" t="str">
        <f aca="false">IF($P264=0,AU263,IF(AU$3=$E264,IF($AA264=1,$F264&amp;$AB264,$G264),IF(OR(AU$3=$D264,AU$3=$AC264,AU$3=$AE264),"",IF(AU$3=$AD264,$F264&amp;"R",AU263))))</f>
        <v>wP</v>
      </c>
      <c r="AV264" s="11" t="str">
        <f aca="false">IF($P264=0,AV263,IF(AV$3=$E264,IF($AA264=1,$F264&amp;$AB264,$G264),IF(OR(AV$3=$D264,AV$3=$AC264,AV$3=$AE264),"",IF(AV$3=$AD264,$F264&amp;"R",AV263))))</f>
        <v>wP</v>
      </c>
      <c r="AW264" s="11" t="str">
        <f aca="false">IF($P264=0,AW263,IF(AW$3=$E264,IF($AA264=1,$F264&amp;$AB264,$G264),IF(OR(AW$3=$D264,AW$3=$AC264,AW$3=$AE264),"",IF(AW$3=$AD264,$F264&amp;"R",AW263))))</f>
        <v>wP</v>
      </c>
      <c r="AX264" s="11" t="str">
        <f aca="false">IF($P264=0,AX263,IF(AX$3=$E264,IF($AA264=1,$F264&amp;$AB264,$G264),IF(OR(AX$3=$D264,AX$3=$AC264,AX$3=$AE264),"",IF(AX$3=$AD264,$F264&amp;"R",AX263))))</f>
        <v/>
      </c>
      <c r="AY264" s="11" t="str">
        <f aca="false">IF($P264=0,AY263,IF(AY$3=$E264,IF($AA264=1,$F264&amp;$AB264,$G264),IF(OR(AY$3=$D264,AY$3=$AC264,AY$3=$AE264),"",IF(AY$3=$AD264,$F264&amp;"R",AY263))))</f>
        <v/>
      </c>
      <c r="AZ264" s="11" t="str">
        <f aca="false">IF($P264=0,AZ263,IF(AZ$3=$E264,IF($AA264=1,$F264&amp;$AB264,$G264),IF(OR(AZ$3=$D264,AZ$3=$AC264,AZ$3=$AE264),"",IF(AZ$3=$AD264,$F264&amp;"R",AZ263))))</f>
        <v/>
      </c>
      <c r="BA264" s="11" t="str">
        <f aca="false">IF($P264=0,BA263,IF(BA$3=$E264,IF($AA264=1,$F264&amp;$AB264,$G264),IF(OR(BA$3=$D264,BA$3=$AC264,BA$3=$AE264),"",IF(BA$3=$AD264,$F264&amp;"R",BA263))))</f>
        <v/>
      </c>
      <c r="BB264" s="11" t="str">
        <f aca="false">IF($P264=0,BB263,IF(BB$3=$E264,IF($AA264=1,$F264&amp;$AB264,$G264),IF(OR(BB$3=$D264,BB$3=$AC264,BB$3=$AE264),"",IF(BB$3=$AD264,$F264&amp;"R",BB263))))</f>
        <v/>
      </c>
      <c r="BC264" s="11" t="str">
        <f aca="false">IF($P264=0,BC263,IF(BC$3=$E264,IF($AA264=1,$F264&amp;$AB264,$G264),IF(OR(BC$3=$D264,BC$3=$AC264,BC$3=$AE264),"",IF(BC$3=$AD264,$F264&amp;"R",BC263))))</f>
        <v/>
      </c>
      <c r="BD264" s="11" t="str">
        <f aca="false">IF($P264=0,BD263,IF(BD$3=$E264,IF($AA264=1,$F264&amp;$AB264,$G264),IF(OR(BD$3=$D264,BD$3=$AC264,BD$3=$AE264),"",IF(BD$3=$AD264,$F264&amp;"R",BD263))))</f>
        <v/>
      </c>
      <c r="BE264" s="11" t="str">
        <f aca="false">IF($P264=0,BE263,IF(BE$3=$E264,IF($AA264=1,$F264&amp;$AB264,$G264),IF(OR(BE$3=$D264,BE$3=$AC264,BE$3=$AE264),"",IF(BE$3=$AD264,$F264&amp;"R",BE263))))</f>
        <v/>
      </c>
      <c r="BF264" s="11" t="str">
        <f aca="false">IF($P264=0,BF263,IF(BF$3=$E264,IF($AA264=1,$F264&amp;$AB264,$G264),IF(OR(BF$3=$D264,BF$3=$AC264,BF$3=$AE264),"",IF(BF$3=$AD264,$F264&amp;"R",BF263))))</f>
        <v/>
      </c>
      <c r="BG264" s="11" t="str">
        <f aca="false">IF($P264=0,BG263,IF(BG$3=$E264,IF($AA264=1,$F264&amp;$AB264,$G264),IF(OR(BG$3=$D264,BG$3=$AC264,BG$3=$AE264),"",IF(BG$3=$AD264,$F264&amp;"R",BG263))))</f>
        <v/>
      </c>
      <c r="BH264" s="11" t="str">
        <f aca="false">IF($P264=0,BH263,IF(BH$3=$E264,IF($AA264=1,$F264&amp;$AB264,$G264),IF(OR(BH$3=$D264,BH$3=$AC264,BH$3=$AE264),"",IF(BH$3=$AD264,$F264&amp;"R",BH263))))</f>
        <v/>
      </c>
      <c r="BI264" s="11" t="str">
        <f aca="false">IF($P264=0,BI263,IF(BI$3=$E264,IF($AA264=1,$F264&amp;$AB264,$G264),IF(OR(BI$3=$D264,BI$3=$AC264,BI$3=$AE264),"",IF(BI$3=$AD264,$F264&amp;"R",BI263))))</f>
        <v/>
      </c>
      <c r="BJ264" s="11" t="str">
        <f aca="false">IF($P264=0,BJ263,IF(BJ$3=$E264,IF($AA264=1,$F264&amp;$AB264,$G264),IF(OR(BJ$3=$D264,BJ$3=$AC264,BJ$3=$AE264),"",IF(BJ$3=$AD264,$F264&amp;"R",BJ263))))</f>
        <v/>
      </c>
      <c r="BK264" s="11" t="str">
        <f aca="false">IF($P264=0,BK263,IF(BK$3=$E264,IF($AA264=1,$F264&amp;$AB264,$G264),IF(OR(BK$3=$D264,BK$3=$AC264,BK$3=$AE264),"",IF(BK$3=$AD264,$F264&amp;"R",BK263))))</f>
        <v/>
      </c>
      <c r="BL264" s="11" t="str">
        <f aca="false">IF($P264=0,BL263,IF(BL$3=$E264,IF($AA264=1,$F264&amp;$AB264,$G264),IF(OR(BL$3=$D264,BL$3=$AC264,BL$3=$AE264),"",IF(BL$3=$AD264,$F264&amp;"R",BL263))))</f>
        <v/>
      </c>
      <c r="BM264" s="11" t="str">
        <f aca="false">IF($P264=0,BM263,IF(BM$3=$E264,IF($AA264=1,$F264&amp;$AB264,$G264),IF(OR(BM$3=$D264,BM$3=$AC264,BM$3=$AE264),"",IF(BM$3=$AD264,$F264&amp;"R",BM263))))</f>
        <v/>
      </c>
      <c r="BN264" s="11" t="str">
        <f aca="false">IF($P264=0,BN263,IF(BN$3=$E264,IF($AA264=1,$F264&amp;$AB264,$G264),IF(OR(BN$3=$D264,BN$3=$AC264,BN$3=$AE264),"",IF(BN$3=$AD264,$F264&amp;"R",BN263))))</f>
        <v/>
      </c>
      <c r="BO264" s="11" t="str">
        <f aca="false">IF($P264=0,BO263,IF(BO$3=$E264,IF($AA264=1,$F264&amp;$AB264,$G264),IF(OR(BO$3=$D264,BO$3=$AC264,BO$3=$AE264),"",IF(BO$3=$AD264,$F264&amp;"R",BO263))))</f>
        <v/>
      </c>
      <c r="BP264" s="11" t="str">
        <f aca="false">IF($P264=0,BP263,IF(BP$3=$E264,IF($AA264=1,$F264&amp;$AB264,$G264),IF(OR(BP$3=$D264,BP$3=$AC264,BP$3=$AE264),"",IF(BP$3=$AD264,$F264&amp;"R",BP263))))</f>
        <v/>
      </c>
      <c r="BQ264" s="11" t="str">
        <f aca="false">IF($P264=0,BQ263,IF(BQ$3=$E264,IF($AA264=1,$F264&amp;$AB264,$G264),IF(OR(BQ$3=$D264,BQ$3=$AC264,BQ$3=$AE264),"",IF(BQ$3=$AD264,$F264&amp;"R",BQ263))))</f>
        <v/>
      </c>
      <c r="BR264" s="11" t="str">
        <f aca="false">IF($P264=0,BR263,IF(BR$3=$E264,IF($AA264=1,$F264&amp;$AB264,$G264),IF(OR(BR$3=$D264,BR$3=$AC264,BR$3=$AE264),"",IF(BR$3=$AD264,$F264&amp;"R",BR263))))</f>
        <v/>
      </c>
      <c r="BS264" s="11" t="str">
        <f aca="false">IF($P264=0,BS263,IF(BS$3=$E264,IF($AA264=1,$F264&amp;$AB264,$G264),IF(OR(BS$3=$D264,BS$3=$AC264,BS$3=$AE264),"",IF(BS$3=$AD264,$F264&amp;"R",BS263))))</f>
        <v/>
      </c>
      <c r="BT264" s="11" t="str">
        <f aca="false">IF($P264=0,BT263,IF(BT$3=$E264,IF($AA264=1,$F264&amp;$AB264,$G264),IF(OR(BT$3=$D264,BT$3=$AC264,BT$3=$AE264),"",IF(BT$3=$AD264,$F264&amp;"R",BT263))))</f>
        <v/>
      </c>
      <c r="BU264" s="11" t="str">
        <f aca="false">IF($P264=0,BU263,IF(BU$3=$E264,IF($AA264=1,$F264&amp;$AB264,$G264),IF(OR(BU$3=$D264,BU$3=$AC264,BU$3=$AE264),"",IF(BU$3=$AD264,$F264&amp;"R",BU263))))</f>
        <v/>
      </c>
      <c r="BV264" s="11" t="str">
        <f aca="false">IF($P264=0,BV263,IF(BV$3=$E264,IF($AA264=1,$F264&amp;$AB264,$G264),IF(OR(BV$3=$D264,BV$3=$AC264,BV$3=$AE264),"",IF(BV$3=$AD264,$F264&amp;"R",BV263))))</f>
        <v/>
      </c>
      <c r="BW264" s="11" t="str">
        <f aca="false">IF($P264=0,BW263,IF(BW$3=$E264,IF($AA264=1,$F264&amp;$AB264,$G264),IF(OR(BW$3=$D264,BW$3=$AC264,BW$3=$AE264),"",IF(BW$3=$AD264,$F264&amp;"R",BW263))))</f>
        <v/>
      </c>
      <c r="BX264" s="11" t="str">
        <f aca="false">IF($P264=0,BX263,IF(BX$3=$E264,IF($AA264=1,$F264&amp;$AB264,$G264),IF(OR(BX$3=$D264,BX$3=$AC264,BX$3=$AE264),"",IF(BX$3=$AD264,$F264&amp;"R",BX263))))</f>
        <v/>
      </c>
      <c r="BY264" s="11" t="str">
        <f aca="false">IF($P264=0,BY263,IF(BY$3=$E264,IF($AA264=1,$F264&amp;$AB264,$G264),IF(OR(BY$3=$D264,BY$3=$AC264,BY$3=$AE264),"",IF(BY$3=$AD264,$F264&amp;"R",BY263))))</f>
        <v/>
      </c>
      <c r="BZ264" s="11" t="str">
        <f aca="false">IF($P264=0,BZ263,IF(BZ$3=$E264,IF($AA264=1,$F264&amp;$AB264,$G264),IF(OR(BZ$3=$D264,BZ$3=$AC264,BZ$3=$AE264),"",IF(BZ$3=$AD264,$F264&amp;"R",BZ263))))</f>
        <v/>
      </c>
      <c r="CA264" s="11" t="str">
        <f aca="false">IF($P264=0,CA263,IF(CA$3=$E264,IF($AA264=1,$F264&amp;$AB264,$G264),IF(OR(CA$3=$D264,CA$3=$AC264,CA$3=$AE264),"",IF(CA$3=$AD264,$F264&amp;"R",CA263))))</f>
        <v/>
      </c>
      <c r="CB264" s="11" t="str">
        <f aca="false">IF($P264=0,CB263,IF(CB$3=$E264,IF($AA264=1,$F264&amp;$AB264,$G264),IF(OR(CB$3=$D264,CB$3=$AC264,CB$3=$AE264),"",IF(CB$3=$AD264,$F264&amp;"R",CB263))))</f>
        <v/>
      </c>
      <c r="CC264" s="11" t="str">
        <f aca="false">IF($P264=0,CC263,IF(CC$3=$E264,IF($AA264=1,$F264&amp;$AB264,$G264),IF(OR(CC$3=$D264,CC$3=$AC264,CC$3=$AE264),"",IF(CC$3=$AD264,$F264&amp;"R",CC263))))</f>
        <v/>
      </c>
      <c r="CD264" s="11" t="str">
        <f aca="false">IF($P264=0,CD263,IF(CD$3=$E264,IF($AA264=1,$F264&amp;$AB264,$G264),IF(OR(CD$3=$D264,CD$3=$AC264,CD$3=$AE264),"",IF(CD$3=$AD264,$F264&amp;"R",CD263))))</f>
        <v>bP</v>
      </c>
      <c r="CE264" s="11" t="str">
        <f aca="false">IF($P264=0,CE263,IF(CE$3=$E264,IF($AA264=1,$F264&amp;$AB264,$G264),IF(OR(CE$3=$D264,CE$3=$AC264,CE$3=$AE264),"",IF(CE$3=$AD264,$F264&amp;"R",CE263))))</f>
        <v>bP</v>
      </c>
      <c r="CF264" s="11" t="str">
        <f aca="false">IF($P264=0,CF263,IF(CF$3=$E264,IF($AA264=1,$F264&amp;$AB264,$G264),IF(OR(CF$3=$D264,CF$3=$AC264,CF$3=$AE264),"",IF(CF$3=$AD264,$F264&amp;"R",CF263))))</f>
        <v>bP</v>
      </c>
      <c r="CG264" s="11" t="str">
        <f aca="false">IF($P264=0,CG263,IF(CG$3=$E264,IF($AA264=1,$F264&amp;$AB264,$G264),IF(OR(CG$3=$D264,CG$3=$AC264,CG$3=$AE264),"",IF(CG$3=$AD264,$F264&amp;"R",CG263))))</f>
        <v>bP</v>
      </c>
      <c r="CH264" s="11" t="str">
        <f aca="false">IF($P264=0,CH263,IF(CH$3=$E264,IF($AA264=1,$F264&amp;$AB264,$G264),IF(OR(CH$3=$D264,CH$3=$AC264,CH$3=$AE264),"",IF(CH$3=$AD264,$F264&amp;"R",CH263))))</f>
        <v>bP</v>
      </c>
      <c r="CI264" s="11" t="str">
        <f aca="false">IF($P264=0,CI263,IF(CI$3=$E264,IF($AA264=1,$F264&amp;$AB264,$G264),IF(OR(CI$3=$D264,CI$3=$AC264,CI$3=$AE264),"",IF(CI$3=$AD264,$F264&amp;"R",CI263))))</f>
        <v>bP</v>
      </c>
      <c r="CJ264" s="11" t="str">
        <f aca="false">IF($P264=0,CJ263,IF(CJ$3=$E264,IF($AA264=1,$F264&amp;$AB264,$G264),IF(OR(CJ$3=$D264,CJ$3=$AC264,CJ$3=$AE264),"",IF(CJ$3=$AD264,$F264&amp;"R",CJ263))))</f>
        <v>bP</v>
      </c>
      <c r="CK264" s="11" t="str">
        <f aca="false">IF($P264=0,CK263,IF(CK$3=$E264,IF($AA264=1,$F264&amp;$AB264,$G264),IF(OR(CK$3=$D264,CK$3=$AC264,CK$3=$AE264),"",IF(CK$3=$AD264,$F264&amp;"R",CK263))))</f>
        <v>bP</v>
      </c>
      <c r="CL264" s="11" t="str">
        <f aca="false">IF($P264=0,CL263,IF(CL$3=$E264,IF($AA264=1,$F264&amp;$AB264,$G264),IF(OR(CL$3=$D264,CL$3=$AC264,CL$3=$AE264),"",IF(CL$3=$AD264,$F264&amp;"R",CL263))))</f>
        <v>bR</v>
      </c>
      <c r="CM264" s="11" t="str">
        <f aca="false">IF($P264=0,CM263,IF(CM$3=$E264,IF($AA264=1,$F264&amp;$AB264,$G264),IF(OR(CM$3=$D264,CM$3=$AC264,CM$3=$AE264),"",IF(CM$3=$AD264,$F264&amp;"R",CM263))))</f>
        <v>bN</v>
      </c>
      <c r="CN264" s="11" t="str">
        <f aca="false">IF($P264=0,CN263,IF(CN$3=$E264,IF($AA264=1,$F264&amp;$AB264,$G264),IF(OR(CN$3=$D264,CN$3=$AC264,CN$3=$AE264),"",IF(CN$3=$AD264,$F264&amp;"R",CN263))))</f>
        <v>bB</v>
      </c>
      <c r="CO264" s="11" t="str">
        <f aca="false">IF($P264=0,CO263,IF(CO$3=$E264,IF($AA264=1,$F264&amp;$AB264,$G264),IF(OR(CO$3=$D264,CO$3=$AC264,CO$3=$AE264),"",IF(CO$3=$AD264,$F264&amp;"R",CO263))))</f>
        <v>bQ</v>
      </c>
      <c r="CP264" s="11" t="str">
        <f aca="false">IF($P264=0,CP263,IF(CP$3=$E264,IF($AA264=1,$F264&amp;$AB264,$G264),IF(OR(CP$3=$D264,CP$3=$AC264,CP$3=$AE264),"",IF(CP$3=$AD264,$F264&amp;"R",CP263))))</f>
        <v>bK</v>
      </c>
      <c r="CQ264" s="11" t="str">
        <f aca="false">IF($P264=0,CQ263,IF(CQ$3=$E264,IF($AA264=1,$F264&amp;$AB264,$G264),IF(OR(CQ$3=$D264,CQ$3=$AC264,CQ$3=$AE264),"",IF(CQ$3=$AD264,$F264&amp;"R",CQ263))))</f>
        <v>bB</v>
      </c>
      <c r="CR264" s="11" t="str">
        <f aca="false">IF($P264=0,CR263,IF(CR$3=$E264,IF($AA264=1,$F264&amp;$AB264,$G264),IF(OR(CR$3=$D264,CR$3=$AC264,CR$3=$AE264),"",IF(CR$3=$AD264,$F264&amp;"R",CR263))))</f>
        <v>bN</v>
      </c>
      <c r="CS264" s="11" t="str">
        <f aca="false">IF($P264=0,CS263,IF(CS$3=$E264,IF($AA264=1,$F264&amp;$AB264,$G264),IF(OR(CS$3=$D264,CS$3=$AC264,CS$3=$AE264),"",IF(CS$3=$AD264,$F264&amp;"R",CS263))))</f>
        <v>bR</v>
      </c>
      <c r="CT264" s="11"/>
      <c r="CU264" s="11"/>
      <c r="CV264" s="11"/>
    </row>
    <row r="265" customFormat="false" ht="15" hidden="false" customHeight="false" outlineLevel="0" collapsed="false">
      <c r="A265" s="11" t="n">
        <v>260</v>
      </c>
      <c r="B265" s="11" t="str">
        <f aca="false">IF(Chess!$L$269="","",Chess!$L$269&amp;"")</f>
        <v/>
      </c>
      <c r="C265" s="11" t="str">
        <f aca="false">LOWER(SUBSTITUTE(SUBSTITUTE(SUBSTITUTE(SUBSTITUTE(TRIM($B265),"-",""),"=","")," ",""),"x",""))</f>
        <v/>
      </c>
      <c r="D265" s="11" t="n">
        <f aca="false">IF(LEN($C265)&lt;4,0,IFERROR(IF(AND(CODE(MID($C265,1,1))&gt;=97,CODE(MID($C265,1,1))&lt;=104,VALUE(MID($C265,2,1))&gt;=1,VALUE(MID($C265,2,1))&lt;=8),(VALUE(MID($C265,2,1))-1)*8+CODE(MID($C265,1,1))-96,0),0))</f>
        <v>0</v>
      </c>
      <c r="E265" s="11" t="n">
        <f aca="false">IF(LEN($C265)&lt;4,0,IFERROR(IF(AND(CODE(MID($C265,3,1))&gt;=97,CODE(MID($C265,3,1))&lt;=104,VALUE(MID($C265,4,1))&gt;=1,VALUE(MID($C265,4,1))&lt;=8),(VALUE(MID($C265,4,1))-1)*8+CODE(MID($C265,3,1))-96,0),0))</f>
        <v>0</v>
      </c>
      <c r="F265" s="11" t="str">
        <f aca="false">IF(MOD(SUM($P$5:$P264),2)=0,"w","b")</f>
        <v>w</v>
      </c>
      <c r="G265" s="11" t="str">
        <f aca="false">IF($D265=0,"",INDEX($AH264:$CS264,1,$D265)&amp;"")</f>
        <v/>
      </c>
      <c r="H265" s="11" t="str">
        <f aca="false">IF($E265=0,"",INDEX($AH264:$CS264,1,$E265)&amp;"")</f>
        <v/>
      </c>
      <c r="I265" s="11" t="n">
        <f aca="false">IF(OR($D265=0,$E265=0),0,MOD($E265-1,8)-MOD($D265-1,8))</f>
        <v>0</v>
      </c>
      <c r="J265" s="11" t="n">
        <f aca="false">IF(OR($D265=0,$E265=0),0,INT(($E265-1)/8)-INT(($D265-1)/8))</f>
        <v>0</v>
      </c>
      <c r="K265" s="11" t="str">
        <f aca="false">IF($G265="","",RIGHT($G265,1))</f>
        <v/>
      </c>
      <c r="L265" s="11" t="n">
        <f aca="false">IF(OR($D265=0,$E265=0),0,SUMPRODUCT(($AH$3:$CS$3&gt;MIN($D265,$E265))*($AH$3:$CS$3&lt;MAX($D265,$E265))*(MOD($AH$3:$CS$3-MIN($D265,$E265),MAX(1,ABS(SIGN($J265)*8+SIGN($I265))))=0)*($AH264:$CS264&lt;&gt;"")))</f>
        <v>0</v>
      </c>
      <c r="M265" s="11" t="n">
        <f aca="false">IF($K265&lt;&gt;"K",0,IFERROR(--AND($J265=0,ABS($I265)=2,$D265=IF($F265="w",5,61),IF($F265="w",$S264,$V264)=0,IF($I265=2,AND(IF($F265="w",$U264,$X264)=0,INDEX($AH264:$CS264,1,$D265+1)&amp;""="",INDEX($AH264:$CS264,1,$D265+2)&amp;""=""),AND(IF($F265="w",$T264,$W264)=0,INDEX($AH264:$CS264,1,$D265-1)&amp;""="",INDEX($AH264:$CS264,1,$D265-2)&amp;""="",INDEX($AH264:$CS264,1,$D265-3)&amp;""=""))),0))</f>
        <v>0</v>
      </c>
      <c r="N265" s="11" t="n">
        <f aca="false">IF($K265&lt;&gt;"P",0,IFERROR(--OR(AND($I265=0,$J265=IF($F265="w",1,-1),$H265=""),AND($I265=0,$J265=2*IF($F265="w",1,-1),$H265="",INT(($D265-1)/8)=IF($F265="w",1,6),INDEX($AH264:$CS264,1,MAX(1,MIN(64,$D265+8*IF($F265="w",1,-1))))&amp;""=""),AND(ABS($I265)=1,$J265=IF($F265="w",1,-1),$H265&lt;&gt;""),AND(ABS($I265)=1,$J265=IF($F265="w",1,-1),$H265="",$R264&gt;0,$E265=$R264)),0))</f>
        <v>0</v>
      </c>
      <c r="O265" s="11" t="n">
        <f aca="false">IF(OR($D265=0,$E265=0,$G265=""),0,IF($K265="N",--OR(AND(ABS($I265)=1,ABS($J265)=2),AND(ABS($I265)=2,ABS($J265)=1)),IF($K265="B",--AND(ABS($I265)=ABS($J265),$I265&lt;&gt;0,$L265=0),IF($K265="R",--AND(OR($I265=0,$J265=0),OR($I265&lt;&gt;0,$J265&lt;&gt;0),$L265=0),IF($K265="Q",--AND(OR(AND(ABS($I265)=ABS($J265),$I265&lt;&gt;0),AND(OR($I265=0,$J265=0),OR($I265&lt;&gt;0,$J265&lt;&gt;0))),$L265=0),IF($K265="K",--OR(MAX(ABS($I265),ABS($J265))=1,$M265=1),$N265))))))</f>
        <v>0</v>
      </c>
      <c r="P265" s="11" t="n">
        <f aca="false">IF($Q265="OK",1,0)</f>
        <v>0</v>
      </c>
      <c r="Q265" s="11" t="str">
        <f aca="false">IF($B265="","",IF(OR(COUNTIF($AH264:$CS264,"wK")=0,COUNTIF($AH264:$CS264,"bK")=0),"Game is over",IF(OR($D265=0,$E265=0),"Use the format e2e4",IF($G265="","No piece on that square",IF(LEFT($G265,1)&lt;&gt;$F265,"Not your piece ("&amp;IF($F265="w","White","Black")&amp;" to move)",IF($D265=$E265,"Piece must move",IF(AND($H265&lt;&gt;"",LEFT($H265,1)=$F265),"Cannot capture your own piece",IF($O265=0,"Illegal move for that piece (or path blocked)","OK"))))))))</f>
        <v/>
      </c>
      <c r="R265" s="11" t="n">
        <f aca="false">IF($P265=1,IF(AND($K265="P",ABS($J265)=2),($D265+$E265)/2,0),$R264)</f>
        <v>0</v>
      </c>
      <c r="S265" s="12" t="b">
        <f aca="false">--OR($S264=1,AND($P265=1,OR($D265=5,$E265=5)))</f>
        <v>0</v>
      </c>
      <c r="T265" s="12" t="b">
        <f aca="false">--OR($T264=1,AND($P265=1,OR($D265=1,$E265=1)))</f>
        <v>0</v>
      </c>
      <c r="U265" s="12" t="b">
        <f aca="false">--OR($U264=1,AND($P265=1,OR($D265=8,$E265=8)))</f>
        <v>0</v>
      </c>
      <c r="V265" s="12" t="b">
        <f aca="false">--OR($V264=1,AND($P265=1,OR($D265=61,$E265=61)))</f>
        <v>0</v>
      </c>
      <c r="W265" s="12" t="b">
        <f aca="false">--OR($W264=1,AND($P265=1,OR($D265=57,$E265=57)))</f>
        <v>0</v>
      </c>
      <c r="X265" s="12" t="b">
        <f aca="false">--OR($X264=1,AND($P265=1,OR($D265=64,$E265=64)))</f>
        <v>0</v>
      </c>
      <c r="Y265" s="12" t="b">
        <f aca="false">--AND($P265=1,$K265="K",ABS($I265)=2)</f>
        <v>0</v>
      </c>
      <c r="Z265" s="12" t="b">
        <f aca="false">--AND($P265=1,$K265="P",ABS($I265)=1,$H265="")</f>
        <v>0</v>
      </c>
      <c r="AA265" s="12" t="b">
        <f aca="false">--AND($P265=1,$K265="P",INT(($E265-1)/8)=IF($F265="w",7,0))</f>
        <v>0</v>
      </c>
      <c r="AB265" s="11" t="str">
        <f aca="false">IF(LEN($C265)&gt;=5,IF(ISNUMBER(FIND(MID($C265,5,1),"qrbn")),UPPER(MID($C265,5,1)),"Q"),"Q")</f>
        <v>Q</v>
      </c>
      <c r="AC265" s="11" t="n">
        <f aca="false">IF($Y265=1,IF($I265=2,$D265+3,$D265-4),0)</f>
        <v>0</v>
      </c>
      <c r="AD265" s="11" t="n">
        <f aca="false">IF($Y265=1,IF($I265=2,$D265+1,$D265-1),0)</f>
        <v>0</v>
      </c>
      <c r="AE265" s="11" t="n">
        <f aca="false">IF($Z265=1,$E265-8*IF($F265="w",1,-1),0)</f>
        <v>0</v>
      </c>
      <c r="AF265" s="11" t="str">
        <f aca="false">IF($B265="","",IF($P265=1,LOWER(INDEX($CV$2:$CV$13,MATCH($G265,$CU$2:$CU$13,0)))&amp;" "&amp;MID("abcdefgh",MOD($D265-1,8)+1,1)&amp;(INT(($D265-1)/8)+1)&amp;"→"&amp;MID("abcdefgh",MOD($E265-1,8)+1,1)&amp;(INT(($E265-1)/8)+1)&amp;IF(OR($H265&lt;&gt;"",$Z265=1)," ×","")&amp;IF($Y265=1," castles","")&amp;IF($Z265=1," e.p.","")&amp;IF($AA265=1," =" &amp;LOWER(INDEX($CV$2:$CV$13,MATCH($F265&amp;$AB265,$CU$2:$CU$13,0))),""),"X "&amp;$Q265))</f>
        <v/>
      </c>
      <c r="AG265" s="11"/>
      <c r="AH265" s="11" t="str">
        <f aca="false">IF($P265=0,AH264,IF(AH$3=$E265,IF($AA265=1,$F265&amp;$AB265,$G265),IF(OR(AH$3=$D265,AH$3=$AC265,AH$3=$AE265),"",IF(AH$3=$AD265,$F265&amp;"R",AH264))))</f>
        <v>wR</v>
      </c>
      <c r="AI265" s="11" t="str">
        <f aca="false">IF($P265=0,AI264,IF(AI$3=$E265,IF($AA265=1,$F265&amp;$AB265,$G265),IF(OR(AI$3=$D265,AI$3=$AC265,AI$3=$AE265),"",IF(AI$3=$AD265,$F265&amp;"R",AI264))))</f>
        <v>wN</v>
      </c>
      <c r="AJ265" s="11" t="str">
        <f aca="false">IF($P265=0,AJ264,IF(AJ$3=$E265,IF($AA265=1,$F265&amp;$AB265,$G265),IF(OR(AJ$3=$D265,AJ$3=$AC265,AJ$3=$AE265),"",IF(AJ$3=$AD265,$F265&amp;"R",AJ264))))</f>
        <v>wB</v>
      </c>
      <c r="AK265" s="11" t="str">
        <f aca="false">IF($P265=0,AK264,IF(AK$3=$E265,IF($AA265=1,$F265&amp;$AB265,$G265),IF(OR(AK$3=$D265,AK$3=$AC265,AK$3=$AE265),"",IF(AK$3=$AD265,$F265&amp;"R",AK264))))</f>
        <v>wQ</v>
      </c>
      <c r="AL265" s="11" t="str">
        <f aca="false">IF($P265=0,AL264,IF(AL$3=$E265,IF($AA265=1,$F265&amp;$AB265,$G265),IF(OR(AL$3=$D265,AL$3=$AC265,AL$3=$AE265),"",IF(AL$3=$AD265,$F265&amp;"R",AL264))))</f>
        <v>wK</v>
      </c>
      <c r="AM265" s="11" t="str">
        <f aca="false">IF($P265=0,AM264,IF(AM$3=$E265,IF($AA265=1,$F265&amp;$AB265,$G265),IF(OR(AM$3=$D265,AM$3=$AC265,AM$3=$AE265),"",IF(AM$3=$AD265,$F265&amp;"R",AM264))))</f>
        <v>wB</v>
      </c>
      <c r="AN265" s="11" t="str">
        <f aca="false">IF($P265=0,AN264,IF(AN$3=$E265,IF($AA265=1,$F265&amp;$AB265,$G265),IF(OR(AN$3=$D265,AN$3=$AC265,AN$3=$AE265),"",IF(AN$3=$AD265,$F265&amp;"R",AN264))))</f>
        <v>wN</v>
      </c>
      <c r="AO265" s="11" t="str">
        <f aca="false">IF($P265=0,AO264,IF(AO$3=$E265,IF($AA265=1,$F265&amp;$AB265,$G265),IF(OR(AO$3=$D265,AO$3=$AC265,AO$3=$AE265),"",IF(AO$3=$AD265,$F265&amp;"R",AO264))))</f>
        <v>wR</v>
      </c>
      <c r="AP265" s="11" t="str">
        <f aca="false">IF($P265=0,AP264,IF(AP$3=$E265,IF($AA265=1,$F265&amp;$AB265,$G265),IF(OR(AP$3=$D265,AP$3=$AC265,AP$3=$AE265),"",IF(AP$3=$AD265,$F265&amp;"R",AP264))))</f>
        <v>wP</v>
      </c>
      <c r="AQ265" s="11" t="str">
        <f aca="false">IF($P265=0,AQ264,IF(AQ$3=$E265,IF($AA265=1,$F265&amp;$AB265,$G265),IF(OR(AQ$3=$D265,AQ$3=$AC265,AQ$3=$AE265),"",IF(AQ$3=$AD265,$F265&amp;"R",AQ264))))</f>
        <v>wP</v>
      </c>
      <c r="AR265" s="11" t="str">
        <f aca="false">IF($P265=0,AR264,IF(AR$3=$E265,IF($AA265=1,$F265&amp;$AB265,$G265),IF(OR(AR$3=$D265,AR$3=$AC265,AR$3=$AE265),"",IF(AR$3=$AD265,$F265&amp;"R",AR264))))</f>
        <v>wP</v>
      </c>
      <c r="AS265" s="11" t="str">
        <f aca="false">IF($P265=0,AS264,IF(AS$3=$E265,IF($AA265=1,$F265&amp;$AB265,$G265),IF(OR(AS$3=$D265,AS$3=$AC265,AS$3=$AE265),"",IF(AS$3=$AD265,$F265&amp;"R",AS264))))</f>
        <v>wP</v>
      </c>
      <c r="AT265" s="11" t="str">
        <f aca="false">IF($P265=0,AT264,IF(AT$3=$E265,IF($AA265=1,$F265&amp;$AB265,$G265),IF(OR(AT$3=$D265,AT$3=$AC265,AT$3=$AE265),"",IF(AT$3=$AD265,$F265&amp;"R",AT264))))</f>
        <v>wP</v>
      </c>
      <c r="AU265" s="11" t="str">
        <f aca="false">IF($P265=0,AU264,IF(AU$3=$E265,IF($AA265=1,$F265&amp;$AB265,$G265),IF(OR(AU$3=$D265,AU$3=$AC265,AU$3=$AE265),"",IF(AU$3=$AD265,$F265&amp;"R",AU264))))</f>
        <v>wP</v>
      </c>
      <c r="AV265" s="11" t="str">
        <f aca="false">IF($P265=0,AV264,IF(AV$3=$E265,IF($AA265=1,$F265&amp;$AB265,$G265),IF(OR(AV$3=$D265,AV$3=$AC265,AV$3=$AE265),"",IF(AV$3=$AD265,$F265&amp;"R",AV264))))</f>
        <v>wP</v>
      </c>
      <c r="AW265" s="11" t="str">
        <f aca="false">IF($P265=0,AW264,IF(AW$3=$E265,IF($AA265=1,$F265&amp;$AB265,$G265),IF(OR(AW$3=$D265,AW$3=$AC265,AW$3=$AE265),"",IF(AW$3=$AD265,$F265&amp;"R",AW264))))</f>
        <v>wP</v>
      </c>
      <c r="AX265" s="11" t="str">
        <f aca="false">IF($P265=0,AX264,IF(AX$3=$E265,IF($AA265=1,$F265&amp;$AB265,$G265),IF(OR(AX$3=$D265,AX$3=$AC265,AX$3=$AE265),"",IF(AX$3=$AD265,$F265&amp;"R",AX264))))</f>
        <v/>
      </c>
      <c r="AY265" s="11" t="str">
        <f aca="false">IF($P265=0,AY264,IF(AY$3=$E265,IF($AA265=1,$F265&amp;$AB265,$G265),IF(OR(AY$3=$D265,AY$3=$AC265,AY$3=$AE265),"",IF(AY$3=$AD265,$F265&amp;"R",AY264))))</f>
        <v/>
      </c>
      <c r="AZ265" s="11" t="str">
        <f aca="false">IF($P265=0,AZ264,IF(AZ$3=$E265,IF($AA265=1,$F265&amp;$AB265,$G265),IF(OR(AZ$3=$D265,AZ$3=$AC265,AZ$3=$AE265),"",IF(AZ$3=$AD265,$F265&amp;"R",AZ264))))</f>
        <v/>
      </c>
      <c r="BA265" s="11" t="str">
        <f aca="false">IF($P265=0,BA264,IF(BA$3=$E265,IF($AA265=1,$F265&amp;$AB265,$G265),IF(OR(BA$3=$D265,BA$3=$AC265,BA$3=$AE265),"",IF(BA$3=$AD265,$F265&amp;"R",BA264))))</f>
        <v/>
      </c>
      <c r="BB265" s="11" t="str">
        <f aca="false">IF($P265=0,BB264,IF(BB$3=$E265,IF($AA265=1,$F265&amp;$AB265,$G265),IF(OR(BB$3=$D265,BB$3=$AC265,BB$3=$AE265),"",IF(BB$3=$AD265,$F265&amp;"R",BB264))))</f>
        <v/>
      </c>
      <c r="BC265" s="11" t="str">
        <f aca="false">IF($P265=0,BC264,IF(BC$3=$E265,IF($AA265=1,$F265&amp;$AB265,$G265),IF(OR(BC$3=$D265,BC$3=$AC265,BC$3=$AE265),"",IF(BC$3=$AD265,$F265&amp;"R",BC264))))</f>
        <v/>
      </c>
      <c r="BD265" s="11" t="str">
        <f aca="false">IF($P265=0,BD264,IF(BD$3=$E265,IF($AA265=1,$F265&amp;$AB265,$G265),IF(OR(BD$3=$D265,BD$3=$AC265,BD$3=$AE265),"",IF(BD$3=$AD265,$F265&amp;"R",BD264))))</f>
        <v/>
      </c>
      <c r="BE265" s="11" t="str">
        <f aca="false">IF($P265=0,BE264,IF(BE$3=$E265,IF($AA265=1,$F265&amp;$AB265,$G265),IF(OR(BE$3=$D265,BE$3=$AC265,BE$3=$AE265),"",IF(BE$3=$AD265,$F265&amp;"R",BE264))))</f>
        <v/>
      </c>
      <c r="BF265" s="11" t="str">
        <f aca="false">IF($P265=0,BF264,IF(BF$3=$E265,IF($AA265=1,$F265&amp;$AB265,$G265),IF(OR(BF$3=$D265,BF$3=$AC265,BF$3=$AE265),"",IF(BF$3=$AD265,$F265&amp;"R",BF264))))</f>
        <v/>
      </c>
      <c r="BG265" s="11" t="str">
        <f aca="false">IF($P265=0,BG264,IF(BG$3=$E265,IF($AA265=1,$F265&amp;$AB265,$G265),IF(OR(BG$3=$D265,BG$3=$AC265,BG$3=$AE265),"",IF(BG$3=$AD265,$F265&amp;"R",BG264))))</f>
        <v/>
      </c>
      <c r="BH265" s="11" t="str">
        <f aca="false">IF($P265=0,BH264,IF(BH$3=$E265,IF($AA265=1,$F265&amp;$AB265,$G265),IF(OR(BH$3=$D265,BH$3=$AC265,BH$3=$AE265),"",IF(BH$3=$AD265,$F265&amp;"R",BH264))))</f>
        <v/>
      </c>
      <c r="BI265" s="11" t="str">
        <f aca="false">IF($P265=0,BI264,IF(BI$3=$E265,IF($AA265=1,$F265&amp;$AB265,$G265),IF(OR(BI$3=$D265,BI$3=$AC265,BI$3=$AE265),"",IF(BI$3=$AD265,$F265&amp;"R",BI264))))</f>
        <v/>
      </c>
      <c r="BJ265" s="11" t="str">
        <f aca="false">IF($P265=0,BJ264,IF(BJ$3=$E265,IF($AA265=1,$F265&amp;$AB265,$G265),IF(OR(BJ$3=$D265,BJ$3=$AC265,BJ$3=$AE265),"",IF(BJ$3=$AD265,$F265&amp;"R",BJ264))))</f>
        <v/>
      </c>
      <c r="BK265" s="11" t="str">
        <f aca="false">IF($P265=0,BK264,IF(BK$3=$E265,IF($AA265=1,$F265&amp;$AB265,$G265),IF(OR(BK$3=$D265,BK$3=$AC265,BK$3=$AE265),"",IF(BK$3=$AD265,$F265&amp;"R",BK264))))</f>
        <v/>
      </c>
      <c r="BL265" s="11" t="str">
        <f aca="false">IF($P265=0,BL264,IF(BL$3=$E265,IF($AA265=1,$F265&amp;$AB265,$G265),IF(OR(BL$3=$D265,BL$3=$AC265,BL$3=$AE265),"",IF(BL$3=$AD265,$F265&amp;"R",BL264))))</f>
        <v/>
      </c>
      <c r="BM265" s="11" t="str">
        <f aca="false">IF($P265=0,BM264,IF(BM$3=$E265,IF($AA265=1,$F265&amp;$AB265,$G265),IF(OR(BM$3=$D265,BM$3=$AC265,BM$3=$AE265),"",IF(BM$3=$AD265,$F265&amp;"R",BM264))))</f>
        <v/>
      </c>
      <c r="BN265" s="11" t="str">
        <f aca="false">IF($P265=0,BN264,IF(BN$3=$E265,IF($AA265=1,$F265&amp;$AB265,$G265),IF(OR(BN$3=$D265,BN$3=$AC265,BN$3=$AE265),"",IF(BN$3=$AD265,$F265&amp;"R",BN264))))</f>
        <v/>
      </c>
      <c r="BO265" s="11" t="str">
        <f aca="false">IF($P265=0,BO264,IF(BO$3=$E265,IF($AA265=1,$F265&amp;$AB265,$G265),IF(OR(BO$3=$D265,BO$3=$AC265,BO$3=$AE265),"",IF(BO$3=$AD265,$F265&amp;"R",BO264))))</f>
        <v/>
      </c>
      <c r="BP265" s="11" t="str">
        <f aca="false">IF($P265=0,BP264,IF(BP$3=$E265,IF($AA265=1,$F265&amp;$AB265,$G265),IF(OR(BP$3=$D265,BP$3=$AC265,BP$3=$AE265),"",IF(BP$3=$AD265,$F265&amp;"R",BP264))))</f>
        <v/>
      </c>
      <c r="BQ265" s="11" t="str">
        <f aca="false">IF($P265=0,BQ264,IF(BQ$3=$E265,IF($AA265=1,$F265&amp;$AB265,$G265),IF(OR(BQ$3=$D265,BQ$3=$AC265,BQ$3=$AE265),"",IF(BQ$3=$AD265,$F265&amp;"R",BQ264))))</f>
        <v/>
      </c>
      <c r="BR265" s="11" t="str">
        <f aca="false">IF($P265=0,BR264,IF(BR$3=$E265,IF($AA265=1,$F265&amp;$AB265,$G265),IF(OR(BR$3=$D265,BR$3=$AC265,BR$3=$AE265),"",IF(BR$3=$AD265,$F265&amp;"R",BR264))))</f>
        <v/>
      </c>
      <c r="BS265" s="11" t="str">
        <f aca="false">IF($P265=0,BS264,IF(BS$3=$E265,IF($AA265=1,$F265&amp;$AB265,$G265),IF(OR(BS$3=$D265,BS$3=$AC265,BS$3=$AE265),"",IF(BS$3=$AD265,$F265&amp;"R",BS264))))</f>
        <v/>
      </c>
      <c r="BT265" s="11" t="str">
        <f aca="false">IF($P265=0,BT264,IF(BT$3=$E265,IF($AA265=1,$F265&amp;$AB265,$G265),IF(OR(BT$3=$D265,BT$3=$AC265,BT$3=$AE265),"",IF(BT$3=$AD265,$F265&amp;"R",BT264))))</f>
        <v/>
      </c>
      <c r="BU265" s="11" t="str">
        <f aca="false">IF($P265=0,BU264,IF(BU$3=$E265,IF($AA265=1,$F265&amp;$AB265,$G265),IF(OR(BU$3=$D265,BU$3=$AC265,BU$3=$AE265),"",IF(BU$3=$AD265,$F265&amp;"R",BU264))))</f>
        <v/>
      </c>
      <c r="BV265" s="11" t="str">
        <f aca="false">IF($P265=0,BV264,IF(BV$3=$E265,IF($AA265=1,$F265&amp;$AB265,$G265),IF(OR(BV$3=$D265,BV$3=$AC265,BV$3=$AE265),"",IF(BV$3=$AD265,$F265&amp;"R",BV264))))</f>
        <v/>
      </c>
      <c r="BW265" s="11" t="str">
        <f aca="false">IF($P265=0,BW264,IF(BW$3=$E265,IF($AA265=1,$F265&amp;$AB265,$G265),IF(OR(BW$3=$D265,BW$3=$AC265,BW$3=$AE265),"",IF(BW$3=$AD265,$F265&amp;"R",BW264))))</f>
        <v/>
      </c>
      <c r="BX265" s="11" t="str">
        <f aca="false">IF($P265=0,BX264,IF(BX$3=$E265,IF($AA265=1,$F265&amp;$AB265,$G265),IF(OR(BX$3=$D265,BX$3=$AC265,BX$3=$AE265),"",IF(BX$3=$AD265,$F265&amp;"R",BX264))))</f>
        <v/>
      </c>
      <c r="BY265" s="11" t="str">
        <f aca="false">IF($P265=0,BY264,IF(BY$3=$E265,IF($AA265=1,$F265&amp;$AB265,$G265),IF(OR(BY$3=$D265,BY$3=$AC265,BY$3=$AE265),"",IF(BY$3=$AD265,$F265&amp;"R",BY264))))</f>
        <v/>
      </c>
      <c r="BZ265" s="11" t="str">
        <f aca="false">IF($P265=0,BZ264,IF(BZ$3=$E265,IF($AA265=1,$F265&amp;$AB265,$G265),IF(OR(BZ$3=$D265,BZ$3=$AC265,BZ$3=$AE265),"",IF(BZ$3=$AD265,$F265&amp;"R",BZ264))))</f>
        <v/>
      </c>
      <c r="CA265" s="11" t="str">
        <f aca="false">IF($P265=0,CA264,IF(CA$3=$E265,IF($AA265=1,$F265&amp;$AB265,$G265),IF(OR(CA$3=$D265,CA$3=$AC265,CA$3=$AE265),"",IF(CA$3=$AD265,$F265&amp;"R",CA264))))</f>
        <v/>
      </c>
      <c r="CB265" s="11" t="str">
        <f aca="false">IF($P265=0,CB264,IF(CB$3=$E265,IF($AA265=1,$F265&amp;$AB265,$G265),IF(OR(CB$3=$D265,CB$3=$AC265,CB$3=$AE265),"",IF(CB$3=$AD265,$F265&amp;"R",CB264))))</f>
        <v/>
      </c>
      <c r="CC265" s="11" t="str">
        <f aca="false">IF($P265=0,CC264,IF(CC$3=$E265,IF($AA265=1,$F265&amp;$AB265,$G265),IF(OR(CC$3=$D265,CC$3=$AC265,CC$3=$AE265),"",IF(CC$3=$AD265,$F265&amp;"R",CC264))))</f>
        <v/>
      </c>
      <c r="CD265" s="11" t="str">
        <f aca="false">IF($P265=0,CD264,IF(CD$3=$E265,IF($AA265=1,$F265&amp;$AB265,$G265),IF(OR(CD$3=$D265,CD$3=$AC265,CD$3=$AE265),"",IF(CD$3=$AD265,$F265&amp;"R",CD264))))</f>
        <v>bP</v>
      </c>
      <c r="CE265" s="11" t="str">
        <f aca="false">IF($P265=0,CE264,IF(CE$3=$E265,IF($AA265=1,$F265&amp;$AB265,$G265),IF(OR(CE$3=$D265,CE$3=$AC265,CE$3=$AE265),"",IF(CE$3=$AD265,$F265&amp;"R",CE264))))</f>
        <v>bP</v>
      </c>
      <c r="CF265" s="11" t="str">
        <f aca="false">IF($P265=0,CF264,IF(CF$3=$E265,IF($AA265=1,$F265&amp;$AB265,$G265),IF(OR(CF$3=$D265,CF$3=$AC265,CF$3=$AE265),"",IF(CF$3=$AD265,$F265&amp;"R",CF264))))</f>
        <v>bP</v>
      </c>
      <c r="CG265" s="11" t="str">
        <f aca="false">IF($P265=0,CG264,IF(CG$3=$E265,IF($AA265=1,$F265&amp;$AB265,$G265),IF(OR(CG$3=$D265,CG$3=$AC265,CG$3=$AE265),"",IF(CG$3=$AD265,$F265&amp;"R",CG264))))</f>
        <v>bP</v>
      </c>
      <c r="CH265" s="11" t="str">
        <f aca="false">IF($P265=0,CH264,IF(CH$3=$E265,IF($AA265=1,$F265&amp;$AB265,$G265),IF(OR(CH$3=$D265,CH$3=$AC265,CH$3=$AE265),"",IF(CH$3=$AD265,$F265&amp;"R",CH264))))</f>
        <v>bP</v>
      </c>
      <c r="CI265" s="11" t="str">
        <f aca="false">IF($P265=0,CI264,IF(CI$3=$E265,IF($AA265=1,$F265&amp;$AB265,$G265),IF(OR(CI$3=$D265,CI$3=$AC265,CI$3=$AE265),"",IF(CI$3=$AD265,$F265&amp;"R",CI264))))</f>
        <v>bP</v>
      </c>
      <c r="CJ265" s="11" t="str">
        <f aca="false">IF($P265=0,CJ264,IF(CJ$3=$E265,IF($AA265=1,$F265&amp;$AB265,$G265),IF(OR(CJ$3=$D265,CJ$3=$AC265,CJ$3=$AE265),"",IF(CJ$3=$AD265,$F265&amp;"R",CJ264))))</f>
        <v>bP</v>
      </c>
      <c r="CK265" s="11" t="str">
        <f aca="false">IF($P265=0,CK264,IF(CK$3=$E265,IF($AA265=1,$F265&amp;$AB265,$G265),IF(OR(CK$3=$D265,CK$3=$AC265,CK$3=$AE265),"",IF(CK$3=$AD265,$F265&amp;"R",CK264))))</f>
        <v>bP</v>
      </c>
      <c r="CL265" s="11" t="str">
        <f aca="false">IF($P265=0,CL264,IF(CL$3=$E265,IF($AA265=1,$F265&amp;$AB265,$G265),IF(OR(CL$3=$D265,CL$3=$AC265,CL$3=$AE265),"",IF(CL$3=$AD265,$F265&amp;"R",CL264))))</f>
        <v>bR</v>
      </c>
      <c r="CM265" s="11" t="str">
        <f aca="false">IF($P265=0,CM264,IF(CM$3=$E265,IF($AA265=1,$F265&amp;$AB265,$G265),IF(OR(CM$3=$D265,CM$3=$AC265,CM$3=$AE265),"",IF(CM$3=$AD265,$F265&amp;"R",CM264))))</f>
        <v>bN</v>
      </c>
      <c r="CN265" s="11" t="str">
        <f aca="false">IF($P265=0,CN264,IF(CN$3=$E265,IF($AA265=1,$F265&amp;$AB265,$G265),IF(OR(CN$3=$D265,CN$3=$AC265,CN$3=$AE265),"",IF(CN$3=$AD265,$F265&amp;"R",CN264))))</f>
        <v>bB</v>
      </c>
      <c r="CO265" s="11" t="str">
        <f aca="false">IF($P265=0,CO264,IF(CO$3=$E265,IF($AA265=1,$F265&amp;$AB265,$G265),IF(OR(CO$3=$D265,CO$3=$AC265,CO$3=$AE265),"",IF(CO$3=$AD265,$F265&amp;"R",CO264))))</f>
        <v>bQ</v>
      </c>
      <c r="CP265" s="11" t="str">
        <f aca="false">IF($P265=0,CP264,IF(CP$3=$E265,IF($AA265=1,$F265&amp;$AB265,$G265),IF(OR(CP$3=$D265,CP$3=$AC265,CP$3=$AE265),"",IF(CP$3=$AD265,$F265&amp;"R",CP264))))</f>
        <v>bK</v>
      </c>
      <c r="CQ265" s="11" t="str">
        <f aca="false">IF($P265=0,CQ264,IF(CQ$3=$E265,IF($AA265=1,$F265&amp;$AB265,$G265),IF(OR(CQ$3=$D265,CQ$3=$AC265,CQ$3=$AE265),"",IF(CQ$3=$AD265,$F265&amp;"R",CQ264))))</f>
        <v>bB</v>
      </c>
      <c r="CR265" s="11" t="str">
        <f aca="false">IF($P265=0,CR264,IF(CR$3=$E265,IF($AA265=1,$F265&amp;$AB265,$G265),IF(OR(CR$3=$D265,CR$3=$AC265,CR$3=$AE265),"",IF(CR$3=$AD265,$F265&amp;"R",CR264))))</f>
        <v>bN</v>
      </c>
      <c r="CS265" s="11" t="str">
        <f aca="false">IF($P265=0,CS264,IF(CS$3=$E265,IF($AA265=1,$F265&amp;$AB265,$G265),IF(OR(CS$3=$D265,CS$3=$AC265,CS$3=$AE265),"",IF(CS$3=$AD265,$F265&amp;"R",CS264))))</f>
        <v>bR</v>
      </c>
      <c r="CT265" s="11"/>
      <c r="CU265" s="11"/>
      <c r="CV265" s="11"/>
    </row>
    <row r="266" customFormat="false" ht="15" hidden="false" customHeight="false" outlineLevel="0" collapsed="false">
      <c r="A266" s="11" t="n">
        <v>261</v>
      </c>
      <c r="B266" s="11" t="str">
        <f aca="false">IF(Chess!$L$270="","",Chess!$L$270&amp;"")</f>
        <v/>
      </c>
      <c r="C266" s="11" t="str">
        <f aca="false">LOWER(SUBSTITUTE(SUBSTITUTE(SUBSTITUTE(SUBSTITUTE(TRIM($B266),"-",""),"=","")," ",""),"x",""))</f>
        <v/>
      </c>
      <c r="D266" s="11" t="n">
        <f aca="false">IF(LEN($C266)&lt;4,0,IFERROR(IF(AND(CODE(MID($C266,1,1))&gt;=97,CODE(MID($C266,1,1))&lt;=104,VALUE(MID($C266,2,1))&gt;=1,VALUE(MID($C266,2,1))&lt;=8),(VALUE(MID($C266,2,1))-1)*8+CODE(MID($C266,1,1))-96,0),0))</f>
        <v>0</v>
      </c>
      <c r="E266" s="11" t="n">
        <f aca="false">IF(LEN($C266)&lt;4,0,IFERROR(IF(AND(CODE(MID($C266,3,1))&gt;=97,CODE(MID($C266,3,1))&lt;=104,VALUE(MID($C266,4,1))&gt;=1,VALUE(MID($C266,4,1))&lt;=8),(VALUE(MID($C266,4,1))-1)*8+CODE(MID($C266,3,1))-96,0),0))</f>
        <v>0</v>
      </c>
      <c r="F266" s="11" t="str">
        <f aca="false">IF(MOD(SUM($P$5:$P265),2)=0,"w","b")</f>
        <v>w</v>
      </c>
      <c r="G266" s="11" t="str">
        <f aca="false">IF($D266=0,"",INDEX($AH265:$CS265,1,$D266)&amp;"")</f>
        <v/>
      </c>
      <c r="H266" s="11" t="str">
        <f aca="false">IF($E266=0,"",INDEX($AH265:$CS265,1,$E266)&amp;"")</f>
        <v/>
      </c>
      <c r="I266" s="11" t="n">
        <f aca="false">IF(OR($D266=0,$E266=0),0,MOD($E266-1,8)-MOD($D266-1,8))</f>
        <v>0</v>
      </c>
      <c r="J266" s="11" t="n">
        <f aca="false">IF(OR($D266=0,$E266=0),0,INT(($E266-1)/8)-INT(($D266-1)/8))</f>
        <v>0</v>
      </c>
      <c r="K266" s="11" t="str">
        <f aca="false">IF($G266="","",RIGHT($G266,1))</f>
        <v/>
      </c>
      <c r="L266" s="11" t="n">
        <f aca="false">IF(OR($D266=0,$E266=0),0,SUMPRODUCT(($AH$3:$CS$3&gt;MIN($D266,$E266))*($AH$3:$CS$3&lt;MAX($D266,$E266))*(MOD($AH$3:$CS$3-MIN($D266,$E266),MAX(1,ABS(SIGN($J266)*8+SIGN($I266))))=0)*($AH265:$CS265&lt;&gt;"")))</f>
        <v>0</v>
      </c>
      <c r="M266" s="11" t="n">
        <f aca="false">IF($K266&lt;&gt;"K",0,IFERROR(--AND($J266=0,ABS($I266)=2,$D266=IF($F266="w",5,61),IF($F266="w",$S265,$V265)=0,IF($I266=2,AND(IF($F266="w",$U265,$X265)=0,INDEX($AH265:$CS265,1,$D266+1)&amp;""="",INDEX($AH265:$CS265,1,$D266+2)&amp;""=""),AND(IF($F266="w",$T265,$W265)=0,INDEX($AH265:$CS265,1,$D266-1)&amp;""="",INDEX($AH265:$CS265,1,$D266-2)&amp;""="",INDEX($AH265:$CS265,1,$D266-3)&amp;""=""))),0))</f>
        <v>0</v>
      </c>
      <c r="N266" s="11" t="n">
        <f aca="false">IF($K266&lt;&gt;"P",0,IFERROR(--OR(AND($I266=0,$J266=IF($F266="w",1,-1),$H266=""),AND($I266=0,$J266=2*IF($F266="w",1,-1),$H266="",INT(($D266-1)/8)=IF($F266="w",1,6),INDEX($AH265:$CS265,1,MAX(1,MIN(64,$D266+8*IF($F266="w",1,-1))))&amp;""=""),AND(ABS($I266)=1,$J266=IF($F266="w",1,-1),$H266&lt;&gt;""),AND(ABS($I266)=1,$J266=IF($F266="w",1,-1),$H266="",$R265&gt;0,$E266=$R265)),0))</f>
        <v>0</v>
      </c>
      <c r="O266" s="11" t="n">
        <f aca="false">IF(OR($D266=0,$E266=0,$G266=""),0,IF($K266="N",--OR(AND(ABS($I266)=1,ABS($J266)=2),AND(ABS($I266)=2,ABS($J266)=1)),IF($K266="B",--AND(ABS($I266)=ABS($J266),$I266&lt;&gt;0,$L266=0),IF($K266="R",--AND(OR($I266=0,$J266=0),OR($I266&lt;&gt;0,$J266&lt;&gt;0),$L266=0),IF($K266="Q",--AND(OR(AND(ABS($I266)=ABS($J266),$I266&lt;&gt;0),AND(OR($I266=0,$J266=0),OR($I266&lt;&gt;0,$J266&lt;&gt;0))),$L266=0),IF($K266="K",--OR(MAX(ABS($I266),ABS($J266))=1,$M266=1),$N266))))))</f>
        <v>0</v>
      </c>
      <c r="P266" s="11" t="n">
        <f aca="false">IF($Q266="OK",1,0)</f>
        <v>0</v>
      </c>
      <c r="Q266" s="11" t="str">
        <f aca="false">IF($B266="","",IF(OR(COUNTIF($AH265:$CS265,"wK")=0,COUNTIF($AH265:$CS265,"bK")=0),"Game is over",IF(OR($D266=0,$E266=0),"Use the format e2e4",IF($G266="","No piece on that square",IF(LEFT($G266,1)&lt;&gt;$F266,"Not your piece ("&amp;IF($F266="w","White","Black")&amp;" to move)",IF($D266=$E266,"Piece must move",IF(AND($H266&lt;&gt;"",LEFT($H266,1)=$F266),"Cannot capture your own piece",IF($O266=0,"Illegal move for that piece (or path blocked)","OK"))))))))</f>
        <v/>
      </c>
      <c r="R266" s="11" t="n">
        <f aca="false">IF($P266=1,IF(AND($K266="P",ABS($J266)=2),($D266+$E266)/2,0),$R265)</f>
        <v>0</v>
      </c>
      <c r="S266" s="12" t="b">
        <f aca="false">--OR($S265=1,AND($P266=1,OR($D266=5,$E266=5)))</f>
        <v>0</v>
      </c>
      <c r="T266" s="12" t="b">
        <f aca="false">--OR($T265=1,AND($P266=1,OR($D266=1,$E266=1)))</f>
        <v>0</v>
      </c>
      <c r="U266" s="12" t="b">
        <f aca="false">--OR($U265=1,AND($P266=1,OR($D266=8,$E266=8)))</f>
        <v>0</v>
      </c>
      <c r="V266" s="12" t="b">
        <f aca="false">--OR($V265=1,AND($P266=1,OR($D266=61,$E266=61)))</f>
        <v>0</v>
      </c>
      <c r="W266" s="12" t="b">
        <f aca="false">--OR($W265=1,AND($P266=1,OR($D266=57,$E266=57)))</f>
        <v>0</v>
      </c>
      <c r="X266" s="12" t="b">
        <f aca="false">--OR($X265=1,AND($P266=1,OR($D266=64,$E266=64)))</f>
        <v>0</v>
      </c>
      <c r="Y266" s="12" t="b">
        <f aca="false">--AND($P266=1,$K266="K",ABS($I266)=2)</f>
        <v>0</v>
      </c>
      <c r="Z266" s="12" t="b">
        <f aca="false">--AND($P266=1,$K266="P",ABS($I266)=1,$H266="")</f>
        <v>0</v>
      </c>
      <c r="AA266" s="12" t="b">
        <f aca="false">--AND($P266=1,$K266="P",INT(($E266-1)/8)=IF($F266="w",7,0))</f>
        <v>0</v>
      </c>
      <c r="AB266" s="11" t="str">
        <f aca="false">IF(LEN($C266)&gt;=5,IF(ISNUMBER(FIND(MID($C266,5,1),"qrbn")),UPPER(MID($C266,5,1)),"Q"),"Q")</f>
        <v>Q</v>
      </c>
      <c r="AC266" s="11" t="n">
        <f aca="false">IF($Y266=1,IF($I266=2,$D266+3,$D266-4),0)</f>
        <v>0</v>
      </c>
      <c r="AD266" s="11" t="n">
        <f aca="false">IF($Y266=1,IF($I266=2,$D266+1,$D266-1),0)</f>
        <v>0</v>
      </c>
      <c r="AE266" s="11" t="n">
        <f aca="false">IF($Z266=1,$E266-8*IF($F266="w",1,-1),0)</f>
        <v>0</v>
      </c>
      <c r="AF266" s="11" t="str">
        <f aca="false">IF($B266="","",IF($P266=1,LOWER(INDEX($CV$2:$CV$13,MATCH($G266,$CU$2:$CU$13,0)))&amp;" "&amp;MID("abcdefgh",MOD($D266-1,8)+1,1)&amp;(INT(($D266-1)/8)+1)&amp;"→"&amp;MID("abcdefgh",MOD($E266-1,8)+1,1)&amp;(INT(($E266-1)/8)+1)&amp;IF(OR($H266&lt;&gt;"",$Z266=1)," ×","")&amp;IF($Y266=1," castles","")&amp;IF($Z266=1," e.p.","")&amp;IF($AA266=1," =" &amp;LOWER(INDEX($CV$2:$CV$13,MATCH($F266&amp;$AB266,$CU$2:$CU$13,0))),""),"X "&amp;$Q266))</f>
        <v/>
      </c>
      <c r="AG266" s="11"/>
      <c r="AH266" s="11" t="str">
        <f aca="false">IF($P266=0,AH265,IF(AH$3=$E266,IF($AA266=1,$F266&amp;$AB266,$G266),IF(OR(AH$3=$D266,AH$3=$AC266,AH$3=$AE266),"",IF(AH$3=$AD266,$F266&amp;"R",AH265))))</f>
        <v>wR</v>
      </c>
      <c r="AI266" s="11" t="str">
        <f aca="false">IF($P266=0,AI265,IF(AI$3=$E266,IF($AA266=1,$F266&amp;$AB266,$G266),IF(OR(AI$3=$D266,AI$3=$AC266,AI$3=$AE266),"",IF(AI$3=$AD266,$F266&amp;"R",AI265))))</f>
        <v>wN</v>
      </c>
      <c r="AJ266" s="11" t="str">
        <f aca="false">IF($P266=0,AJ265,IF(AJ$3=$E266,IF($AA266=1,$F266&amp;$AB266,$G266),IF(OR(AJ$3=$D266,AJ$3=$AC266,AJ$3=$AE266),"",IF(AJ$3=$AD266,$F266&amp;"R",AJ265))))</f>
        <v>wB</v>
      </c>
      <c r="AK266" s="11" t="str">
        <f aca="false">IF($P266=0,AK265,IF(AK$3=$E266,IF($AA266=1,$F266&amp;$AB266,$G266),IF(OR(AK$3=$D266,AK$3=$AC266,AK$3=$AE266),"",IF(AK$3=$AD266,$F266&amp;"R",AK265))))</f>
        <v>wQ</v>
      </c>
      <c r="AL266" s="11" t="str">
        <f aca="false">IF($P266=0,AL265,IF(AL$3=$E266,IF($AA266=1,$F266&amp;$AB266,$G266),IF(OR(AL$3=$D266,AL$3=$AC266,AL$3=$AE266),"",IF(AL$3=$AD266,$F266&amp;"R",AL265))))</f>
        <v>wK</v>
      </c>
      <c r="AM266" s="11" t="str">
        <f aca="false">IF($P266=0,AM265,IF(AM$3=$E266,IF($AA266=1,$F266&amp;$AB266,$G266),IF(OR(AM$3=$D266,AM$3=$AC266,AM$3=$AE266),"",IF(AM$3=$AD266,$F266&amp;"R",AM265))))</f>
        <v>wB</v>
      </c>
      <c r="AN266" s="11" t="str">
        <f aca="false">IF($P266=0,AN265,IF(AN$3=$E266,IF($AA266=1,$F266&amp;$AB266,$G266),IF(OR(AN$3=$D266,AN$3=$AC266,AN$3=$AE266),"",IF(AN$3=$AD266,$F266&amp;"R",AN265))))</f>
        <v>wN</v>
      </c>
      <c r="AO266" s="11" t="str">
        <f aca="false">IF($P266=0,AO265,IF(AO$3=$E266,IF($AA266=1,$F266&amp;$AB266,$G266),IF(OR(AO$3=$D266,AO$3=$AC266,AO$3=$AE266),"",IF(AO$3=$AD266,$F266&amp;"R",AO265))))</f>
        <v>wR</v>
      </c>
      <c r="AP266" s="11" t="str">
        <f aca="false">IF($P266=0,AP265,IF(AP$3=$E266,IF($AA266=1,$F266&amp;$AB266,$G266),IF(OR(AP$3=$D266,AP$3=$AC266,AP$3=$AE266),"",IF(AP$3=$AD266,$F266&amp;"R",AP265))))</f>
        <v>wP</v>
      </c>
      <c r="AQ266" s="11" t="str">
        <f aca="false">IF($P266=0,AQ265,IF(AQ$3=$E266,IF($AA266=1,$F266&amp;$AB266,$G266),IF(OR(AQ$3=$D266,AQ$3=$AC266,AQ$3=$AE266),"",IF(AQ$3=$AD266,$F266&amp;"R",AQ265))))</f>
        <v>wP</v>
      </c>
      <c r="AR266" s="11" t="str">
        <f aca="false">IF($P266=0,AR265,IF(AR$3=$E266,IF($AA266=1,$F266&amp;$AB266,$G266),IF(OR(AR$3=$D266,AR$3=$AC266,AR$3=$AE266),"",IF(AR$3=$AD266,$F266&amp;"R",AR265))))</f>
        <v>wP</v>
      </c>
      <c r="AS266" s="11" t="str">
        <f aca="false">IF($P266=0,AS265,IF(AS$3=$E266,IF($AA266=1,$F266&amp;$AB266,$G266),IF(OR(AS$3=$D266,AS$3=$AC266,AS$3=$AE266),"",IF(AS$3=$AD266,$F266&amp;"R",AS265))))</f>
        <v>wP</v>
      </c>
      <c r="AT266" s="11" t="str">
        <f aca="false">IF($P266=0,AT265,IF(AT$3=$E266,IF($AA266=1,$F266&amp;$AB266,$G266),IF(OR(AT$3=$D266,AT$3=$AC266,AT$3=$AE266),"",IF(AT$3=$AD266,$F266&amp;"R",AT265))))</f>
        <v>wP</v>
      </c>
      <c r="AU266" s="11" t="str">
        <f aca="false">IF($P266=0,AU265,IF(AU$3=$E266,IF($AA266=1,$F266&amp;$AB266,$G266),IF(OR(AU$3=$D266,AU$3=$AC266,AU$3=$AE266),"",IF(AU$3=$AD266,$F266&amp;"R",AU265))))</f>
        <v>wP</v>
      </c>
      <c r="AV266" s="11" t="str">
        <f aca="false">IF($P266=0,AV265,IF(AV$3=$E266,IF($AA266=1,$F266&amp;$AB266,$G266),IF(OR(AV$3=$D266,AV$3=$AC266,AV$3=$AE266),"",IF(AV$3=$AD266,$F266&amp;"R",AV265))))</f>
        <v>wP</v>
      </c>
      <c r="AW266" s="11" t="str">
        <f aca="false">IF($P266=0,AW265,IF(AW$3=$E266,IF($AA266=1,$F266&amp;$AB266,$G266),IF(OR(AW$3=$D266,AW$3=$AC266,AW$3=$AE266),"",IF(AW$3=$AD266,$F266&amp;"R",AW265))))</f>
        <v>wP</v>
      </c>
      <c r="AX266" s="11" t="str">
        <f aca="false">IF($P266=0,AX265,IF(AX$3=$E266,IF($AA266=1,$F266&amp;$AB266,$G266),IF(OR(AX$3=$D266,AX$3=$AC266,AX$3=$AE266),"",IF(AX$3=$AD266,$F266&amp;"R",AX265))))</f>
        <v/>
      </c>
      <c r="AY266" s="11" t="str">
        <f aca="false">IF($P266=0,AY265,IF(AY$3=$E266,IF($AA266=1,$F266&amp;$AB266,$G266),IF(OR(AY$3=$D266,AY$3=$AC266,AY$3=$AE266),"",IF(AY$3=$AD266,$F266&amp;"R",AY265))))</f>
        <v/>
      </c>
      <c r="AZ266" s="11" t="str">
        <f aca="false">IF($P266=0,AZ265,IF(AZ$3=$E266,IF($AA266=1,$F266&amp;$AB266,$G266),IF(OR(AZ$3=$D266,AZ$3=$AC266,AZ$3=$AE266),"",IF(AZ$3=$AD266,$F266&amp;"R",AZ265))))</f>
        <v/>
      </c>
      <c r="BA266" s="11" t="str">
        <f aca="false">IF($P266=0,BA265,IF(BA$3=$E266,IF($AA266=1,$F266&amp;$AB266,$G266),IF(OR(BA$3=$D266,BA$3=$AC266,BA$3=$AE266),"",IF(BA$3=$AD266,$F266&amp;"R",BA265))))</f>
        <v/>
      </c>
      <c r="BB266" s="11" t="str">
        <f aca="false">IF($P266=0,BB265,IF(BB$3=$E266,IF($AA266=1,$F266&amp;$AB266,$G266),IF(OR(BB$3=$D266,BB$3=$AC266,BB$3=$AE266),"",IF(BB$3=$AD266,$F266&amp;"R",BB265))))</f>
        <v/>
      </c>
      <c r="BC266" s="11" t="str">
        <f aca="false">IF($P266=0,BC265,IF(BC$3=$E266,IF($AA266=1,$F266&amp;$AB266,$G266),IF(OR(BC$3=$D266,BC$3=$AC266,BC$3=$AE266),"",IF(BC$3=$AD266,$F266&amp;"R",BC265))))</f>
        <v/>
      </c>
      <c r="BD266" s="11" t="str">
        <f aca="false">IF($P266=0,BD265,IF(BD$3=$E266,IF($AA266=1,$F266&amp;$AB266,$G266),IF(OR(BD$3=$D266,BD$3=$AC266,BD$3=$AE266),"",IF(BD$3=$AD266,$F266&amp;"R",BD265))))</f>
        <v/>
      </c>
      <c r="BE266" s="11" t="str">
        <f aca="false">IF($P266=0,BE265,IF(BE$3=$E266,IF($AA266=1,$F266&amp;$AB266,$G266),IF(OR(BE$3=$D266,BE$3=$AC266,BE$3=$AE266),"",IF(BE$3=$AD266,$F266&amp;"R",BE265))))</f>
        <v/>
      </c>
      <c r="BF266" s="11" t="str">
        <f aca="false">IF($P266=0,BF265,IF(BF$3=$E266,IF($AA266=1,$F266&amp;$AB266,$G266),IF(OR(BF$3=$D266,BF$3=$AC266,BF$3=$AE266),"",IF(BF$3=$AD266,$F266&amp;"R",BF265))))</f>
        <v/>
      </c>
      <c r="BG266" s="11" t="str">
        <f aca="false">IF($P266=0,BG265,IF(BG$3=$E266,IF($AA266=1,$F266&amp;$AB266,$G266),IF(OR(BG$3=$D266,BG$3=$AC266,BG$3=$AE266),"",IF(BG$3=$AD266,$F266&amp;"R",BG265))))</f>
        <v/>
      </c>
      <c r="BH266" s="11" t="str">
        <f aca="false">IF($P266=0,BH265,IF(BH$3=$E266,IF($AA266=1,$F266&amp;$AB266,$G266),IF(OR(BH$3=$D266,BH$3=$AC266,BH$3=$AE266),"",IF(BH$3=$AD266,$F266&amp;"R",BH265))))</f>
        <v/>
      </c>
      <c r="BI266" s="11" t="str">
        <f aca="false">IF($P266=0,BI265,IF(BI$3=$E266,IF($AA266=1,$F266&amp;$AB266,$G266),IF(OR(BI$3=$D266,BI$3=$AC266,BI$3=$AE266),"",IF(BI$3=$AD266,$F266&amp;"R",BI265))))</f>
        <v/>
      </c>
      <c r="BJ266" s="11" t="str">
        <f aca="false">IF($P266=0,BJ265,IF(BJ$3=$E266,IF($AA266=1,$F266&amp;$AB266,$G266),IF(OR(BJ$3=$D266,BJ$3=$AC266,BJ$3=$AE266),"",IF(BJ$3=$AD266,$F266&amp;"R",BJ265))))</f>
        <v/>
      </c>
      <c r="BK266" s="11" t="str">
        <f aca="false">IF($P266=0,BK265,IF(BK$3=$E266,IF($AA266=1,$F266&amp;$AB266,$G266),IF(OR(BK$3=$D266,BK$3=$AC266,BK$3=$AE266),"",IF(BK$3=$AD266,$F266&amp;"R",BK265))))</f>
        <v/>
      </c>
      <c r="BL266" s="11" t="str">
        <f aca="false">IF($P266=0,BL265,IF(BL$3=$E266,IF($AA266=1,$F266&amp;$AB266,$G266),IF(OR(BL$3=$D266,BL$3=$AC266,BL$3=$AE266),"",IF(BL$3=$AD266,$F266&amp;"R",BL265))))</f>
        <v/>
      </c>
      <c r="BM266" s="11" t="str">
        <f aca="false">IF($P266=0,BM265,IF(BM$3=$E266,IF($AA266=1,$F266&amp;$AB266,$G266),IF(OR(BM$3=$D266,BM$3=$AC266,BM$3=$AE266),"",IF(BM$3=$AD266,$F266&amp;"R",BM265))))</f>
        <v/>
      </c>
      <c r="BN266" s="11" t="str">
        <f aca="false">IF($P266=0,BN265,IF(BN$3=$E266,IF($AA266=1,$F266&amp;$AB266,$G266),IF(OR(BN$3=$D266,BN$3=$AC266,BN$3=$AE266),"",IF(BN$3=$AD266,$F266&amp;"R",BN265))))</f>
        <v/>
      </c>
      <c r="BO266" s="11" t="str">
        <f aca="false">IF($P266=0,BO265,IF(BO$3=$E266,IF($AA266=1,$F266&amp;$AB266,$G266),IF(OR(BO$3=$D266,BO$3=$AC266,BO$3=$AE266),"",IF(BO$3=$AD266,$F266&amp;"R",BO265))))</f>
        <v/>
      </c>
      <c r="BP266" s="11" t="str">
        <f aca="false">IF($P266=0,BP265,IF(BP$3=$E266,IF($AA266=1,$F266&amp;$AB266,$G266),IF(OR(BP$3=$D266,BP$3=$AC266,BP$3=$AE266),"",IF(BP$3=$AD266,$F266&amp;"R",BP265))))</f>
        <v/>
      </c>
      <c r="BQ266" s="11" t="str">
        <f aca="false">IF($P266=0,BQ265,IF(BQ$3=$E266,IF($AA266=1,$F266&amp;$AB266,$G266),IF(OR(BQ$3=$D266,BQ$3=$AC266,BQ$3=$AE266),"",IF(BQ$3=$AD266,$F266&amp;"R",BQ265))))</f>
        <v/>
      </c>
      <c r="BR266" s="11" t="str">
        <f aca="false">IF($P266=0,BR265,IF(BR$3=$E266,IF($AA266=1,$F266&amp;$AB266,$G266),IF(OR(BR$3=$D266,BR$3=$AC266,BR$3=$AE266),"",IF(BR$3=$AD266,$F266&amp;"R",BR265))))</f>
        <v/>
      </c>
      <c r="BS266" s="11" t="str">
        <f aca="false">IF($P266=0,BS265,IF(BS$3=$E266,IF($AA266=1,$F266&amp;$AB266,$G266),IF(OR(BS$3=$D266,BS$3=$AC266,BS$3=$AE266),"",IF(BS$3=$AD266,$F266&amp;"R",BS265))))</f>
        <v/>
      </c>
      <c r="BT266" s="11" t="str">
        <f aca="false">IF($P266=0,BT265,IF(BT$3=$E266,IF($AA266=1,$F266&amp;$AB266,$G266),IF(OR(BT$3=$D266,BT$3=$AC266,BT$3=$AE266),"",IF(BT$3=$AD266,$F266&amp;"R",BT265))))</f>
        <v/>
      </c>
      <c r="BU266" s="11" t="str">
        <f aca="false">IF($P266=0,BU265,IF(BU$3=$E266,IF($AA266=1,$F266&amp;$AB266,$G266),IF(OR(BU$3=$D266,BU$3=$AC266,BU$3=$AE266),"",IF(BU$3=$AD266,$F266&amp;"R",BU265))))</f>
        <v/>
      </c>
      <c r="BV266" s="11" t="str">
        <f aca="false">IF($P266=0,BV265,IF(BV$3=$E266,IF($AA266=1,$F266&amp;$AB266,$G266),IF(OR(BV$3=$D266,BV$3=$AC266,BV$3=$AE266),"",IF(BV$3=$AD266,$F266&amp;"R",BV265))))</f>
        <v/>
      </c>
      <c r="BW266" s="11" t="str">
        <f aca="false">IF($P266=0,BW265,IF(BW$3=$E266,IF($AA266=1,$F266&amp;$AB266,$G266),IF(OR(BW$3=$D266,BW$3=$AC266,BW$3=$AE266),"",IF(BW$3=$AD266,$F266&amp;"R",BW265))))</f>
        <v/>
      </c>
      <c r="BX266" s="11" t="str">
        <f aca="false">IF($P266=0,BX265,IF(BX$3=$E266,IF($AA266=1,$F266&amp;$AB266,$G266),IF(OR(BX$3=$D266,BX$3=$AC266,BX$3=$AE266),"",IF(BX$3=$AD266,$F266&amp;"R",BX265))))</f>
        <v/>
      </c>
      <c r="BY266" s="11" t="str">
        <f aca="false">IF($P266=0,BY265,IF(BY$3=$E266,IF($AA266=1,$F266&amp;$AB266,$G266),IF(OR(BY$3=$D266,BY$3=$AC266,BY$3=$AE266),"",IF(BY$3=$AD266,$F266&amp;"R",BY265))))</f>
        <v/>
      </c>
      <c r="BZ266" s="11" t="str">
        <f aca="false">IF($P266=0,BZ265,IF(BZ$3=$E266,IF($AA266=1,$F266&amp;$AB266,$G266),IF(OR(BZ$3=$D266,BZ$3=$AC266,BZ$3=$AE266),"",IF(BZ$3=$AD266,$F266&amp;"R",BZ265))))</f>
        <v/>
      </c>
      <c r="CA266" s="11" t="str">
        <f aca="false">IF($P266=0,CA265,IF(CA$3=$E266,IF($AA266=1,$F266&amp;$AB266,$G266),IF(OR(CA$3=$D266,CA$3=$AC266,CA$3=$AE266),"",IF(CA$3=$AD266,$F266&amp;"R",CA265))))</f>
        <v/>
      </c>
      <c r="CB266" s="11" t="str">
        <f aca="false">IF($P266=0,CB265,IF(CB$3=$E266,IF($AA266=1,$F266&amp;$AB266,$G266),IF(OR(CB$3=$D266,CB$3=$AC266,CB$3=$AE266),"",IF(CB$3=$AD266,$F266&amp;"R",CB265))))</f>
        <v/>
      </c>
      <c r="CC266" s="11" t="str">
        <f aca="false">IF($P266=0,CC265,IF(CC$3=$E266,IF($AA266=1,$F266&amp;$AB266,$G266),IF(OR(CC$3=$D266,CC$3=$AC266,CC$3=$AE266),"",IF(CC$3=$AD266,$F266&amp;"R",CC265))))</f>
        <v/>
      </c>
      <c r="CD266" s="11" t="str">
        <f aca="false">IF($P266=0,CD265,IF(CD$3=$E266,IF($AA266=1,$F266&amp;$AB266,$G266),IF(OR(CD$3=$D266,CD$3=$AC266,CD$3=$AE266),"",IF(CD$3=$AD266,$F266&amp;"R",CD265))))</f>
        <v>bP</v>
      </c>
      <c r="CE266" s="11" t="str">
        <f aca="false">IF($P266=0,CE265,IF(CE$3=$E266,IF($AA266=1,$F266&amp;$AB266,$G266),IF(OR(CE$3=$D266,CE$3=$AC266,CE$3=$AE266),"",IF(CE$3=$AD266,$F266&amp;"R",CE265))))</f>
        <v>bP</v>
      </c>
      <c r="CF266" s="11" t="str">
        <f aca="false">IF($P266=0,CF265,IF(CF$3=$E266,IF($AA266=1,$F266&amp;$AB266,$G266),IF(OR(CF$3=$D266,CF$3=$AC266,CF$3=$AE266),"",IF(CF$3=$AD266,$F266&amp;"R",CF265))))</f>
        <v>bP</v>
      </c>
      <c r="CG266" s="11" t="str">
        <f aca="false">IF($P266=0,CG265,IF(CG$3=$E266,IF($AA266=1,$F266&amp;$AB266,$G266),IF(OR(CG$3=$D266,CG$3=$AC266,CG$3=$AE266),"",IF(CG$3=$AD266,$F266&amp;"R",CG265))))</f>
        <v>bP</v>
      </c>
      <c r="CH266" s="11" t="str">
        <f aca="false">IF($P266=0,CH265,IF(CH$3=$E266,IF($AA266=1,$F266&amp;$AB266,$G266),IF(OR(CH$3=$D266,CH$3=$AC266,CH$3=$AE266),"",IF(CH$3=$AD266,$F266&amp;"R",CH265))))</f>
        <v>bP</v>
      </c>
      <c r="CI266" s="11" t="str">
        <f aca="false">IF($P266=0,CI265,IF(CI$3=$E266,IF($AA266=1,$F266&amp;$AB266,$G266),IF(OR(CI$3=$D266,CI$3=$AC266,CI$3=$AE266),"",IF(CI$3=$AD266,$F266&amp;"R",CI265))))</f>
        <v>bP</v>
      </c>
      <c r="CJ266" s="11" t="str">
        <f aca="false">IF($P266=0,CJ265,IF(CJ$3=$E266,IF($AA266=1,$F266&amp;$AB266,$G266),IF(OR(CJ$3=$D266,CJ$3=$AC266,CJ$3=$AE266),"",IF(CJ$3=$AD266,$F266&amp;"R",CJ265))))</f>
        <v>bP</v>
      </c>
      <c r="CK266" s="11" t="str">
        <f aca="false">IF($P266=0,CK265,IF(CK$3=$E266,IF($AA266=1,$F266&amp;$AB266,$G266),IF(OR(CK$3=$D266,CK$3=$AC266,CK$3=$AE266),"",IF(CK$3=$AD266,$F266&amp;"R",CK265))))</f>
        <v>bP</v>
      </c>
      <c r="CL266" s="11" t="str">
        <f aca="false">IF($P266=0,CL265,IF(CL$3=$E266,IF($AA266=1,$F266&amp;$AB266,$G266),IF(OR(CL$3=$D266,CL$3=$AC266,CL$3=$AE266),"",IF(CL$3=$AD266,$F266&amp;"R",CL265))))</f>
        <v>bR</v>
      </c>
      <c r="CM266" s="11" t="str">
        <f aca="false">IF($P266=0,CM265,IF(CM$3=$E266,IF($AA266=1,$F266&amp;$AB266,$G266),IF(OR(CM$3=$D266,CM$3=$AC266,CM$3=$AE266),"",IF(CM$3=$AD266,$F266&amp;"R",CM265))))</f>
        <v>bN</v>
      </c>
      <c r="CN266" s="11" t="str">
        <f aca="false">IF($P266=0,CN265,IF(CN$3=$E266,IF($AA266=1,$F266&amp;$AB266,$G266),IF(OR(CN$3=$D266,CN$3=$AC266,CN$3=$AE266),"",IF(CN$3=$AD266,$F266&amp;"R",CN265))))</f>
        <v>bB</v>
      </c>
      <c r="CO266" s="11" t="str">
        <f aca="false">IF($P266=0,CO265,IF(CO$3=$E266,IF($AA266=1,$F266&amp;$AB266,$G266),IF(OR(CO$3=$D266,CO$3=$AC266,CO$3=$AE266),"",IF(CO$3=$AD266,$F266&amp;"R",CO265))))</f>
        <v>bQ</v>
      </c>
      <c r="CP266" s="11" t="str">
        <f aca="false">IF($P266=0,CP265,IF(CP$3=$E266,IF($AA266=1,$F266&amp;$AB266,$G266),IF(OR(CP$3=$D266,CP$3=$AC266,CP$3=$AE266),"",IF(CP$3=$AD266,$F266&amp;"R",CP265))))</f>
        <v>bK</v>
      </c>
      <c r="CQ266" s="11" t="str">
        <f aca="false">IF($P266=0,CQ265,IF(CQ$3=$E266,IF($AA266=1,$F266&amp;$AB266,$G266),IF(OR(CQ$3=$D266,CQ$3=$AC266,CQ$3=$AE266),"",IF(CQ$3=$AD266,$F266&amp;"R",CQ265))))</f>
        <v>bB</v>
      </c>
      <c r="CR266" s="11" t="str">
        <f aca="false">IF($P266=0,CR265,IF(CR$3=$E266,IF($AA266=1,$F266&amp;$AB266,$G266),IF(OR(CR$3=$D266,CR$3=$AC266,CR$3=$AE266),"",IF(CR$3=$AD266,$F266&amp;"R",CR265))))</f>
        <v>bN</v>
      </c>
      <c r="CS266" s="11" t="str">
        <f aca="false">IF($P266=0,CS265,IF(CS$3=$E266,IF($AA266=1,$F266&amp;$AB266,$G266),IF(OR(CS$3=$D266,CS$3=$AC266,CS$3=$AE266),"",IF(CS$3=$AD266,$F266&amp;"R",CS265))))</f>
        <v>bR</v>
      </c>
      <c r="CT266" s="11"/>
      <c r="CU266" s="11"/>
      <c r="CV266" s="11"/>
    </row>
    <row r="267" customFormat="false" ht="15" hidden="false" customHeight="false" outlineLevel="0" collapsed="false">
      <c r="A267" s="11" t="n">
        <v>262</v>
      </c>
      <c r="B267" s="11" t="str">
        <f aca="false">IF(Chess!$L$271="","",Chess!$L$271&amp;"")</f>
        <v/>
      </c>
      <c r="C267" s="11" t="str">
        <f aca="false">LOWER(SUBSTITUTE(SUBSTITUTE(SUBSTITUTE(SUBSTITUTE(TRIM($B267),"-",""),"=","")," ",""),"x",""))</f>
        <v/>
      </c>
      <c r="D267" s="11" t="n">
        <f aca="false">IF(LEN($C267)&lt;4,0,IFERROR(IF(AND(CODE(MID($C267,1,1))&gt;=97,CODE(MID($C267,1,1))&lt;=104,VALUE(MID($C267,2,1))&gt;=1,VALUE(MID($C267,2,1))&lt;=8),(VALUE(MID($C267,2,1))-1)*8+CODE(MID($C267,1,1))-96,0),0))</f>
        <v>0</v>
      </c>
      <c r="E267" s="11" t="n">
        <f aca="false">IF(LEN($C267)&lt;4,0,IFERROR(IF(AND(CODE(MID($C267,3,1))&gt;=97,CODE(MID($C267,3,1))&lt;=104,VALUE(MID($C267,4,1))&gt;=1,VALUE(MID($C267,4,1))&lt;=8),(VALUE(MID($C267,4,1))-1)*8+CODE(MID($C267,3,1))-96,0),0))</f>
        <v>0</v>
      </c>
      <c r="F267" s="11" t="str">
        <f aca="false">IF(MOD(SUM($P$5:$P266),2)=0,"w","b")</f>
        <v>w</v>
      </c>
      <c r="G267" s="11" t="str">
        <f aca="false">IF($D267=0,"",INDEX($AH266:$CS266,1,$D267)&amp;"")</f>
        <v/>
      </c>
      <c r="H267" s="11" t="str">
        <f aca="false">IF($E267=0,"",INDEX($AH266:$CS266,1,$E267)&amp;"")</f>
        <v/>
      </c>
      <c r="I267" s="11" t="n">
        <f aca="false">IF(OR($D267=0,$E267=0),0,MOD($E267-1,8)-MOD($D267-1,8))</f>
        <v>0</v>
      </c>
      <c r="J267" s="11" t="n">
        <f aca="false">IF(OR($D267=0,$E267=0),0,INT(($E267-1)/8)-INT(($D267-1)/8))</f>
        <v>0</v>
      </c>
      <c r="K267" s="11" t="str">
        <f aca="false">IF($G267="","",RIGHT($G267,1))</f>
        <v/>
      </c>
      <c r="L267" s="11" t="n">
        <f aca="false">IF(OR($D267=0,$E267=0),0,SUMPRODUCT(($AH$3:$CS$3&gt;MIN($D267,$E267))*($AH$3:$CS$3&lt;MAX($D267,$E267))*(MOD($AH$3:$CS$3-MIN($D267,$E267),MAX(1,ABS(SIGN($J267)*8+SIGN($I267))))=0)*($AH266:$CS266&lt;&gt;"")))</f>
        <v>0</v>
      </c>
      <c r="M267" s="11" t="n">
        <f aca="false">IF($K267&lt;&gt;"K",0,IFERROR(--AND($J267=0,ABS($I267)=2,$D267=IF($F267="w",5,61),IF($F267="w",$S266,$V266)=0,IF($I267=2,AND(IF($F267="w",$U266,$X266)=0,INDEX($AH266:$CS266,1,$D267+1)&amp;""="",INDEX($AH266:$CS266,1,$D267+2)&amp;""=""),AND(IF($F267="w",$T266,$W266)=0,INDEX($AH266:$CS266,1,$D267-1)&amp;""="",INDEX($AH266:$CS266,1,$D267-2)&amp;""="",INDEX($AH266:$CS266,1,$D267-3)&amp;""=""))),0))</f>
        <v>0</v>
      </c>
      <c r="N267" s="11" t="n">
        <f aca="false">IF($K267&lt;&gt;"P",0,IFERROR(--OR(AND($I267=0,$J267=IF($F267="w",1,-1),$H267=""),AND($I267=0,$J267=2*IF($F267="w",1,-1),$H267="",INT(($D267-1)/8)=IF($F267="w",1,6),INDEX($AH266:$CS266,1,MAX(1,MIN(64,$D267+8*IF($F267="w",1,-1))))&amp;""=""),AND(ABS($I267)=1,$J267=IF($F267="w",1,-1),$H267&lt;&gt;""),AND(ABS($I267)=1,$J267=IF($F267="w",1,-1),$H267="",$R266&gt;0,$E267=$R266)),0))</f>
        <v>0</v>
      </c>
      <c r="O267" s="11" t="n">
        <f aca="false">IF(OR($D267=0,$E267=0,$G267=""),0,IF($K267="N",--OR(AND(ABS($I267)=1,ABS($J267)=2),AND(ABS($I267)=2,ABS($J267)=1)),IF($K267="B",--AND(ABS($I267)=ABS($J267),$I267&lt;&gt;0,$L267=0),IF($K267="R",--AND(OR($I267=0,$J267=0),OR($I267&lt;&gt;0,$J267&lt;&gt;0),$L267=0),IF($K267="Q",--AND(OR(AND(ABS($I267)=ABS($J267),$I267&lt;&gt;0),AND(OR($I267=0,$J267=0),OR($I267&lt;&gt;0,$J267&lt;&gt;0))),$L267=0),IF($K267="K",--OR(MAX(ABS($I267),ABS($J267))=1,$M267=1),$N267))))))</f>
        <v>0</v>
      </c>
      <c r="P267" s="11" t="n">
        <f aca="false">IF($Q267="OK",1,0)</f>
        <v>0</v>
      </c>
      <c r="Q267" s="11" t="str">
        <f aca="false">IF($B267="","",IF(OR(COUNTIF($AH266:$CS266,"wK")=0,COUNTIF($AH266:$CS266,"bK")=0),"Game is over",IF(OR($D267=0,$E267=0),"Use the format e2e4",IF($G267="","No piece on that square",IF(LEFT($G267,1)&lt;&gt;$F267,"Not your piece ("&amp;IF($F267="w","White","Black")&amp;" to move)",IF($D267=$E267,"Piece must move",IF(AND($H267&lt;&gt;"",LEFT($H267,1)=$F267),"Cannot capture your own piece",IF($O267=0,"Illegal move for that piece (or path blocked)","OK"))))))))</f>
        <v/>
      </c>
      <c r="R267" s="11" t="n">
        <f aca="false">IF($P267=1,IF(AND($K267="P",ABS($J267)=2),($D267+$E267)/2,0),$R266)</f>
        <v>0</v>
      </c>
      <c r="S267" s="12" t="b">
        <f aca="false">--OR($S266=1,AND($P267=1,OR($D267=5,$E267=5)))</f>
        <v>0</v>
      </c>
      <c r="T267" s="12" t="b">
        <f aca="false">--OR($T266=1,AND($P267=1,OR($D267=1,$E267=1)))</f>
        <v>0</v>
      </c>
      <c r="U267" s="12" t="b">
        <f aca="false">--OR($U266=1,AND($P267=1,OR($D267=8,$E267=8)))</f>
        <v>0</v>
      </c>
      <c r="V267" s="12" t="b">
        <f aca="false">--OR($V266=1,AND($P267=1,OR($D267=61,$E267=61)))</f>
        <v>0</v>
      </c>
      <c r="W267" s="12" t="b">
        <f aca="false">--OR($W266=1,AND($P267=1,OR($D267=57,$E267=57)))</f>
        <v>0</v>
      </c>
      <c r="X267" s="12" t="b">
        <f aca="false">--OR($X266=1,AND($P267=1,OR($D267=64,$E267=64)))</f>
        <v>0</v>
      </c>
      <c r="Y267" s="12" t="b">
        <f aca="false">--AND($P267=1,$K267="K",ABS($I267)=2)</f>
        <v>0</v>
      </c>
      <c r="Z267" s="12" t="b">
        <f aca="false">--AND($P267=1,$K267="P",ABS($I267)=1,$H267="")</f>
        <v>0</v>
      </c>
      <c r="AA267" s="12" t="b">
        <f aca="false">--AND($P267=1,$K267="P",INT(($E267-1)/8)=IF($F267="w",7,0))</f>
        <v>0</v>
      </c>
      <c r="AB267" s="11" t="str">
        <f aca="false">IF(LEN($C267)&gt;=5,IF(ISNUMBER(FIND(MID($C267,5,1),"qrbn")),UPPER(MID($C267,5,1)),"Q"),"Q")</f>
        <v>Q</v>
      </c>
      <c r="AC267" s="11" t="n">
        <f aca="false">IF($Y267=1,IF($I267=2,$D267+3,$D267-4),0)</f>
        <v>0</v>
      </c>
      <c r="AD267" s="11" t="n">
        <f aca="false">IF($Y267=1,IF($I267=2,$D267+1,$D267-1),0)</f>
        <v>0</v>
      </c>
      <c r="AE267" s="11" t="n">
        <f aca="false">IF($Z267=1,$E267-8*IF($F267="w",1,-1),0)</f>
        <v>0</v>
      </c>
      <c r="AF267" s="11" t="str">
        <f aca="false">IF($B267="","",IF($P267=1,LOWER(INDEX($CV$2:$CV$13,MATCH($G267,$CU$2:$CU$13,0)))&amp;" "&amp;MID("abcdefgh",MOD($D267-1,8)+1,1)&amp;(INT(($D267-1)/8)+1)&amp;"→"&amp;MID("abcdefgh",MOD($E267-1,8)+1,1)&amp;(INT(($E267-1)/8)+1)&amp;IF(OR($H267&lt;&gt;"",$Z267=1)," ×","")&amp;IF($Y267=1," castles","")&amp;IF($Z267=1," e.p.","")&amp;IF($AA267=1," =" &amp;LOWER(INDEX($CV$2:$CV$13,MATCH($F267&amp;$AB267,$CU$2:$CU$13,0))),""),"X "&amp;$Q267))</f>
        <v/>
      </c>
      <c r="AG267" s="11"/>
      <c r="AH267" s="11" t="str">
        <f aca="false">IF($P267=0,AH266,IF(AH$3=$E267,IF($AA267=1,$F267&amp;$AB267,$G267),IF(OR(AH$3=$D267,AH$3=$AC267,AH$3=$AE267),"",IF(AH$3=$AD267,$F267&amp;"R",AH266))))</f>
        <v>wR</v>
      </c>
      <c r="AI267" s="11" t="str">
        <f aca="false">IF($P267=0,AI266,IF(AI$3=$E267,IF($AA267=1,$F267&amp;$AB267,$G267),IF(OR(AI$3=$D267,AI$3=$AC267,AI$3=$AE267),"",IF(AI$3=$AD267,$F267&amp;"R",AI266))))</f>
        <v>wN</v>
      </c>
      <c r="AJ267" s="11" t="str">
        <f aca="false">IF($P267=0,AJ266,IF(AJ$3=$E267,IF($AA267=1,$F267&amp;$AB267,$G267),IF(OR(AJ$3=$D267,AJ$3=$AC267,AJ$3=$AE267),"",IF(AJ$3=$AD267,$F267&amp;"R",AJ266))))</f>
        <v>wB</v>
      </c>
      <c r="AK267" s="11" t="str">
        <f aca="false">IF($P267=0,AK266,IF(AK$3=$E267,IF($AA267=1,$F267&amp;$AB267,$G267),IF(OR(AK$3=$D267,AK$3=$AC267,AK$3=$AE267),"",IF(AK$3=$AD267,$F267&amp;"R",AK266))))</f>
        <v>wQ</v>
      </c>
      <c r="AL267" s="11" t="str">
        <f aca="false">IF($P267=0,AL266,IF(AL$3=$E267,IF($AA267=1,$F267&amp;$AB267,$G267),IF(OR(AL$3=$D267,AL$3=$AC267,AL$3=$AE267),"",IF(AL$3=$AD267,$F267&amp;"R",AL266))))</f>
        <v>wK</v>
      </c>
      <c r="AM267" s="11" t="str">
        <f aca="false">IF($P267=0,AM266,IF(AM$3=$E267,IF($AA267=1,$F267&amp;$AB267,$G267),IF(OR(AM$3=$D267,AM$3=$AC267,AM$3=$AE267),"",IF(AM$3=$AD267,$F267&amp;"R",AM266))))</f>
        <v>wB</v>
      </c>
      <c r="AN267" s="11" t="str">
        <f aca="false">IF($P267=0,AN266,IF(AN$3=$E267,IF($AA267=1,$F267&amp;$AB267,$G267),IF(OR(AN$3=$D267,AN$3=$AC267,AN$3=$AE267),"",IF(AN$3=$AD267,$F267&amp;"R",AN266))))</f>
        <v>wN</v>
      </c>
      <c r="AO267" s="11" t="str">
        <f aca="false">IF($P267=0,AO266,IF(AO$3=$E267,IF($AA267=1,$F267&amp;$AB267,$G267),IF(OR(AO$3=$D267,AO$3=$AC267,AO$3=$AE267),"",IF(AO$3=$AD267,$F267&amp;"R",AO266))))</f>
        <v>wR</v>
      </c>
      <c r="AP267" s="11" t="str">
        <f aca="false">IF($P267=0,AP266,IF(AP$3=$E267,IF($AA267=1,$F267&amp;$AB267,$G267),IF(OR(AP$3=$D267,AP$3=$AC267,AP$3=$AE267),"",IF(AP$3=$AD267,$F267&amp;"R",AP266))))</f>
        <v>wP</v>
      </c>
      <c r="AQ267" s="11" t="str">
        <f aca="false">IF($P267=0,AQ266,IF(AQ$3=$E267,IF($AA267=1,$F267&amp;$AB267,$G267),IF(OR(AQ$3=$D267,AQ$3=$AC267,AQ$3=$AE267),"",IF(AQ$3=$AD267,$F267&amp;"R",AQ266))))</f>
        <v>wP</v>
      </c>
      <c r="AR267" s="11" t="str">
        <f aca="false">IF($P267=0,AR266,IF(AR$3=$E267,IF($AA267=1,$F267&amp;$AB267,$G267),IF(OR(AR$3=$D267,AR$3=$AC267,AR$3=$AE267),"",IF(AR$3=$AD267,$F267&amp;"R",AR266))))</f>
        <v>wP</v>
      </c>
      <c r="AS267" s="11" t="str">
        <f aca="false">IF($P267=0,AS266,IF(AS$3=$E267,IF($AA267=1,$F267&amp;$AB267,$G267),IF(OR(AS$3=$D267,AS$3=$AC267,AS$3=$AE267),"",IF(AS$3=$AD267,$F267&amp;"R",AS266))))</f>
        <v>wP</v>
      </c>
      <c r="AT267" s="11" t="str">
        <f aca="false">IF($P267=0,AT266,IF(AT$3=$E267,IF($AA267=1,$F267&amp;$AB267,$G267),IF(OR(AT$3=$D267,AT$3=$AC267,AT$3=$AE267),"",IF(AT$3=$AD267,$F267&amp;"R",AT266))))</f>
        <v>wP</v>
      </c>
      <c r="AU267" s="11" t="str">
        <f aca="false">IF($P267=0,AU266,IF(AU$3=$E267,IF($AA267=1,$F267&amp;$AB267,$G267),IF(OR(AU$3=$D267,AU$3=$AC267,AU$3=$AE267),"",IF(AU$3=$AD267,$F267&amp;"R",AU266))))</f>
        <v>wP</v>
      </c>
      <c r="AV267" s="11" t="str">
        <f aca="false">IF($P267=0,AV266,IF(AV$3=$E267,IF($AA267=1,$F267&amp;$AB267,$G267),IF(OR(AV$3=$D267,AV$3=$AC267,AV$3=$AE267),"",IF(AV$3=$AD267,$F267&amp;"R",AV266))))</f>
        <v>wP</v>
      </c>
      <c r="AW267" s="11" t="str">
        <f aca="false">IF($P267=0,AW266,IF(AW$3=$E267,IF($AA267=1,$F267&amp;$AB267,$G267),IF(OR(AW$3=$D267,AW$3=$AC267,AW$3=$AE267),"",IF(AW$3=$AD267,$F267&amp;"R",AW266))))</f>
        <v>wP</v>
      </c>
      <c r="AX267" s="11" t="str">
        <f aca="false">IF($P267=0,AX266,IF(AX$3=$E267,IF($AA267=1,$F267&amp;$AB267,$G267),IF(OR(AX$3=$D267,AX$3=$AC267,AX$3=$AE267),"",IF(AX$3=$AD267,$F267&amp;"R",AX266))))</f>
        <v/>
      </c>
      <c r="AY267" s="11" t="str">
        <f aca="false">IF($P267=0,AY266,IF(AY$3=$E267,IF($AA267=1,$F267&amp;$AB267,$G267),IF(OR(AY$3=$D267,AY$3=$AC267,AY$3=$AE267),"",IF(AY$3=$AD267,$F267&amp;"R",AY266))))</f>
        <v/>
      </c>
      <c r="AZ267" s="11" t="str">
        <f aca="false">IF($P267=0,AZ266,IF(AZ$3=$E267,IF($AA267=1,$F267&amp;$AB267,$G267),IF(OR(AZ$3=$D267,AZ$3=$AC267,AZ$3=$AE267),"",IF(AZ$3=$AD267,$F267&amp;"R",AZ266))))</f>
        <v/>
      </c>
      <c r="BA267" s="11" t="str">
        <f aca="false">IF($P267=0,BA266,IF(BA$3=$E267,IF($AA267=1,$F267&amp;$AB267,$G267),IF(OR(BA$3=$D267,BA$3=$AC267,BA$3=$AE267),"",IF(BA$3=$AD267,$F267&amp;"R",BA266))))</f>
        <v/>
      </c>
      <c r="BB267" s="11" t="str">
        <f aca="false">IF($P267=0,BB266,IF(BB$3=$E267,IF($AA267=1,$F267&amp;$AB267,$G267),IF(OR(BB$3=$D267,BB$3=$AC267,BB$3=$AE267),"",IF(BB$3=$AD267,$F267&amp;"R",BB266))))</f>
        <v/>
      </c>
      <c r="BC267" s="11" t="str">
        <f aca="false">IF($P267=0,BC266,IF(BC$3=$E267,IF($AA267=1,$F267&amp;$AB267,$G267),IF(OR(BC$3=$D267,BC$3=$AC267,BC$3=$AE267),"",IF(BC$3=$AD267,$F267&amp;"R",BC266))))</f>
        <v/>
      </c>
      <c r="BD267" s="11" t="str">
        <f aca="false">IF($P267=0,BD266,IF(BD$3=$E267,IF($AA267=1,$F267&amp;$AB267,$G267),IF(OR(BD$3=$D267,BD$3=$AC267,BD$3=$AE267),"",IF(BD$3=$AD267,$F267&amp;"R",BD266))))</f>
        <v/>
      </c>
      <c r="BE267" s="11" t="str">
        <f aca="false">IF($P267=0,BE266,IF(BE$3=$E267,IF($AA267=1,$F267&amp;$AB267,$G267),IF(OR(BE$3=$D267,BE$3=$AC267,BE$3=$AE267),"",IF(BE$3=$AD267,$F267&amp;"R",BE266))))</f>
        <v/>
      </c>
      <c r="BF267" s="11" t="str">
        <f aca="false">IF($P267=0,BF266,IF(BF$3=$E267,IF($AA267=1,$F267&amp;$AB267,$G267),IF(OR(BF$3=$D267,BF$3=$AC267,BF$3=$AE267),"",IF(BF$3=$AD267,$F267&amp;"R",BF266))))</f>
        <v/>
      </c>
      <c r="BG267" s="11" t="str">
        <f aca="false">IF($P267=0,BG266,IF(BG$3=$E267,IF($AA267=1,$F267&amp;$AB267,$G267),IF(OR(BG$3=$D267,BG$3=$AC267,BG$3=$AE267),"",IF(BG$3=$AD267,$F267&amp;"R",BG266))))</f>
        <v/>
      </c>
      <c r="BH267" s="11" t="str">
        <f aca="false">IF($P267=0,BH266,IF(BH$3=$E267,IF($AA267=1,$F267&amp;$AB267,$G267),IF(OR(BH$3=$D267,BH$3=$AC267,BH$3=$AE267),"",IF(BH$3=$AD267,$F267&amp;"R",BH266))))</f>
        <v/>
      </c>
      <c r="BI267" s="11" t="str">
        <f aca="false">IF($P267=0,BI266,IF(BI$3=$E267,IF($AA267=1,$F267&amp;$AB267,$G267),IF(OR(BI$3=$D267,BI$3=$AC267,BI$3=$AE267),"",IF(BI$3=$AD267,$F267&amp;"R",BI266))))</f>
        <v/>
      </c>
      <c r="BJ267" s="11" t="str">
        <f aca="false">IF($P267=0,BJ266,IF(BJ$3=$E267,IF($AA267=1,$F267&amp;$AB267,$G267),IF(OR(BJ$3=$D267,BJ$3=$AC267,BJ$3=$AE267),"",IF(BJ$3=$AD267,$F267&amp;"R",BJ266))))</f>
        <v/>
      </c>
      <c r="BK267" s="11" t="str">
        <f aca="false">IF($P267=0,BK266,IF(BK$3=$E267,IF($AA267=1,$F267&amp;$AB267,$G267),IF(OR(BK$3=$D267,BK$3=$AC267,BK$3=$AE267),"",IF(BK$3=$AD267,$F267&amp;"R",BK266))))</f>
        <v/>
      </c>
      <c r="BL267" s="11" t="str">
        <f aca="false">IF($P267=0,BL266,IF(BL$3=$E267,IF($AA267=1,$F267&amp;$AB267,$G267),IF(OR(BL$3=$D267,BL$3=$AC267,BL$3=$AE267),"",IF(BL$3=$AD267,$F267&amp;"R",BL266))))</f>
        <v/>
      </c>
      <c r="BM267" s="11" t="str">
        <f aca="false">IF($P267=0,BM266,IF(BM$3=$E267,IF($AA267=1,$F267&amp;$AB267,$G267),IF(OR(BM$3=$D267,BM$3=$AC267,BM$3=$AE267),"",IF(BM$3=$AD267,$F267&amp;"R",BM266))))</f>
        <v/>
      </c>
      <c r="BN267" s="11" t="str">
        <f aca="false">IF($P267=0,BN266,IF(BN$3=$E267,IF($AA267=1,$F267&amp;$AB267,$G267),IF(OR(BN$3=$D267,BN$3=$AC267,BN$3=$AE267),"",IF(BN$3=$AD267,$F267&amp;"R",BN266))))</f>
        <v/>
      </c>
      <c r="BO267" s="11" t="str">
        <f aca="false">IF($P267=0,BO266,IF(BO$3=$E267,IF($AA267=1,$F267&amp;$AB267,$G267),IF(OR(BO$3=$D267,BO$3=$AC267,BO$3=$AE267),"",IF(BO$3=$AD267,$F267&amp;"R",BO266))))</f>
        <v/>
      </c>
      <c r="BP267" s="11" t="str">
        <f aca="false">IF($P267=0,BP266,IF(BP$3=$E267,IF($AA267=1,$F267&amp;$AB267,$G267),IF(OR(BP$3=$D267,BP$3=$AC267,BP$3=$AE267),"",IF(BP$3=$AD267,$F267&amp;"R",BP266))))</f>
        <v/>
      </c>
      <c r="BQ267" s="11" t="str">
        <f aca="false">IF($P267=0,BQ266,IF(BQ$3=$E267,IF($AA267=1,$F267&amp;$AB267,$G267),IF(OR(BQ$3=$D267,BQ$3=$AC267,BQ$3=$AE267),"",IF(BQ$3=$AD267,$F267&amp;"R",BQ266))))</f>
        <v/>
      </c>
      <c r="BR267" s="11" t="str">
        <f aca="false">IF($P267=0,BR266,IF(BR$3=$E267,IF($AA267=1,$F267&amp;$AB267,$G267),IF(OR(BR$3=$D267,BR$3=$AC267,BR$3=$AE267),"",IF(BR$3=$AD267,$F267&amp;"R",BR266))))</f>
        <v/>
      </c>
      <c r="BS267" s="11" t="str">
        <f aca="false">IF($P267=0,BS266,IF(BS$3=$E267,IF($AA267=1,$F267&amp;$AB267,$G267),IF(OR(BS$3=$D267,BS$3=$AC267,BS$3=$AE267),"",IF(BS$3=$AD267,$F267&amp;"R",BS266))))</f>
        <v/>
      </c>
      <c r="BT267" s="11" t="str">
        <f aca="false">IF($P267=0,BT266,IF(BT$3=$E267,IF($AA267=1,$F267&amp;$AB267,$G267),IF(OR(BT$3=$D267,BT$3=$AC267,BT$3=$AE267),"",IF(BT$3=$AD267,$F267&amp;"R",BT266))))</f>
        <v/>
      </c>
      <c r="BU267" s="11" t="str">
        <f aca="false">IF($P267=0,BU266,IF(BU$3=$E267,IF($AA267=1,$F267&amp;$AB267,$G267),IF(OR(BU$3=$D267,BU$3=$AC267,BU$3=$AE267),"",IF(BU$3=$AD267,$F267&amp;"R",BU266))))</f>
        <v/>
      </c>
      <c r="BV267" s="11" t="str">
        <f aca="false">IF($P267=0,BV266,IF(BV$3=$E267,IF($AA267=1,$F267&amp;$AB267,$G267),IF(OR(BV$3=$D267,BV$3=$AC267,BV$3=$AE267),"",IF(BV$3=$AD267,$F267&amp;"R",BV266))))</f>
        <v/>
      </c>
      <c r="BW267" s="11" t="str">
        <f aca="false">IF($P267=0,BW266,IF(BW$3=$E267,IF($AA267=1,$F267&amp;$AB267,$G267),IF(OR(BW$3=$D267,BW$3=$AC267,BW$3=$AE267),"",IF(BW$3=$AD267,$F267&amp;"R",BW266))))</f>
        <v/>
      </c>
      <c r="BX267" s="11" t="str">
        <f aca="false">IF($P267=0,BX266,IF(BX$3=$E267,IF($AA267=1,$F267&amp;$AB267,$G267),IF(OR(BX$3=$D267,BX$3=$AC267,BX$3=$AE267),"",IF(BX$3=$AD267,$F267&amp;"R",BX266))))</f>
        <v/>
      </c>
      <c r="BY267" s="11" t="str">
        <f aca="false">IF($P267=0,BY266,IF(BY$3=$E267,IF($AA267=1,$F267&amp;$AB267,$G267),IF(OR(BY$3=$D267,BY$3=$AC267,BY$3=$AE267),"",IF(BY$3=$AD267,$F267&amp;"R",BY266))))</f>
        <v/>
      </c>
      <c r="BZ267" s="11" t="str">
        <f aca="false">IF($P267=0,BZ266,IF(BZ$3=$E267,IF($AA267=1,$F267&amp;$AB267,$G267),IF(OR(BZ$3=$D267,BZ$3=$AC267,BZ$3=$AE267),"",IF(BZ$3=$AD267,$F267&amp;"R",BZ266))))</f>
        <v/>
      </c>
      <c r="CA267" s="11" t="str">
        <f aca="false">IF($P267=0,CA266,IF(CA$3=$E267,IF($AA267=1,$F267&amp;$AB267,$G267),IF(OR(CA$3=$D267,CA$3=$AC267,CA$3=$AE267),"",IF(CA$3=$AD267,$F267&amp;"R",CA266))))</f>
        <v/>
      </c>
      <c r="CB267" s="11" t="str">
        <f aca="false">IF($P267=0,CB266,IF(CB$3=$E267,IF($AA267=1,$F267&amp;$AB267,$G267),IF(OR(CB$3=$D267,CB$3=$AC267,CB$3=$AE267),"",IF(CB$3=$AD267,$F267&amp;"R",CB266))))</f>
        <v/>
      </c>
      <c r="CC267" s="11" t="str">
        <f aca="false">IF($P267=0,CC266,IF(CC$3=$E267,IF($AA267=1,$F267&amp;$AB267,$G267),IF(OR(CC$3=$D267,CC$3=$AC267,CC$3=$AE267),"",IF(CC$3=$AD267,$F267&amp;"R",CC266))))</f>
        <v/>
      </c>
      <c r="CD267" s="11" t="str">
        <f aca="false">IF($P267=0,CD266,IF(CD$3=$E267,IF($AA267=1,$F267&amp;$AB267,$G267),IF(OR(CD$3=$D267,CD$3=$AC267,CD$3=$AE267),"",IF(CD$3=$AD267,$F267&amp;"R",CD266))))</f>
        <v>bP</v>
      </c>
      <c r="CE267" s="11" t="str">
        <f aca="false">IF($P267=0,CE266,IF(CE$3=$E267,IF($AA267=1,$F267&amp;$AB267,$G267),IF(OR(CE$3=$D267,CE$3=$AC267,CE$3=$AE267),"",IF(CE$3=$AD267,$F267&amp;"R",CE266))))</f>
        <v>bP</v>
      </c>
      <c r="CF267" s="11" t="str">
        <f aca="false">IF($P267=0,CF266,IF(CF$3=$E267,IF($AA267=1,$F267&amp;$AB267,$G267),IF(OR(CF$3=$D267,CF$3=$AC267,CF$3=$AE267),"",IF(CF$3=$AD267,$F267&amp;"R",CF266))))</f>
        <v>bP</v>
      </c>
      <c r="CG267" s="11" t="str">
        <f aca="false">IF($P267=0,CG266,IF(CG$3=$E267,IF($AA267=1,$F267&amp;$AB267,$G267),IF(OR(CG$3=$D267,CG$3=$AC267,CG$3=$AE267),"",IF(CG$3=$AD267,$F267&amp;"R",CG266))))</f>
        <v>bP</v>
      </c>
      <c r="CH267" s="11" t="str">
        <f aca="false">IF($P267=0,CH266,IF(CH$3=$E267,IF($AA267=1,$F267&amp;$AB267,$G267),IF(OR(CH$3=$D267,CH$3=$AC267,CH$3=$AE267),"",IF(CH$3=$AD267,$F267&amp;"R",CH266))))</f>
        <v>bP</v>
      </c>
      <c r="CI267" s="11" t="str">
        <f aca="false">IF($P267=0,CI266,IF(CI$3=$E267,IF($AA267=1,$F267&amp;$AB267,$G267),IF(OR(CI$3=$D267,CI$3=$AC267,CI$3=$AE267),"",IF(CI$3=$AD267,$F267&amp;"R",CI266))))</f>
        <v>bP</v>
      </c>
      <c r="CJ267" s="11" t="str">
        <f aca="false">IF($P267=0,CJ266,IF(CJ$3=$E267,IF($AA267=1,$F267&amp;$AB267,$G267),IF(OR(CJ$3=$D267,CJ$3=$AC267,CJ$3=$AE267),"",IF(CJ$3=$AD267,$F267&amp;"R",CJ266))))</f>
        <v>bP</v>
      </c>
      <c r="CK267" s="11" t="str">
        <f aca="false">IF($P267=0,CK266,IF(CK$3=$E267,IF($AA267=1,$F267&amp;$AB267,$G267),IF(OR(CK$3=$D267,CK$3=$AC267,CK$3=$AE267),"",IF(CK$3=$AD267,$F267&amp;"R",CK266))))</f>
        <v>bP</v>
      </c>
      <c r="CL267" s="11" t="str">
        <f aca="false">IF($P267=0,CL266,IF(CL$3=$E267,IF($AA267=1,$F267&amp;$AB267,$G267),IF(OR(CL$3=$D267,CL$3=$AC267,CL$3=$AE267),"",IF(CL$3=$AD267,$F267&amp;"R",CL266))))</f>
        <v>bR</v>
      </c>
      <c r="CM267" s="11" t="str">
        <f aca="false">IF($P267=0,CM266,IF(CM$3=$E267,IF($AA267=1,$F267&amp;$AB267,$G267),IF(OR(CM$3=$D267,CM$3=$AC267,CM$3=$AE267),"",IF(CM$3=$AD267,$F267&amp;"R",CM266))))</f>
        <v>bN</v>
      </c>
      <c r="CN267" s="11" t="str">
        <f aca="false">IF($P267=0,CN266,IF(CN$3=$E267,IF($AA267=1,$F267&amp;$AB267,$G267),IF(OR(CN$3=$D267,CN$3=$AC267,CN$3=$AE267),"",IF(CN$3=$AD267,$F267&amp;"R",CN266))))</f>
        <v>bB</v>
      </c>
      <c r="CO267" s="11" t="str">
        <f aca="false">IF($P267=0,CO266,IF(CO$3=$E267,IF($AA267=1,$F267&amp;$AB267,$G267),IF(OR(CO$3=$D267,CO$3=$AC267,CO$3=$AE267),"",IF(CO$3=$AD267,$F267&amp;"R",CO266))))</f>
        <v>bQ</v>
      </c>
      <c r="CP267" s="11" t="str">
        <f aca="false">IF($P267=0,CP266,IF(CP$3=$E267,IF($AA267=1,$F267&amp;$AB267,$G267),IF(OR(CP$3=$D267,CP$3=$AC267,CP$3=$AE267),"",IF(CP$3=$AD267,$F267&amp;"R",CP266))))</f>
        <v>bK</v>
      </c>
      <c r="CQ267" s="11" t="str">
        <f aca="false">IF($P267=0,CQ266,IF(CQ$3=$E267,IF($AA267=1,$F267&amp;$AB267,$G267),IF(OR(CQ$3=$D267,CQ$3=$AC267,CQ$3=$AE267),"",IF(CQ$3=$AD267,$F267&amp;"R",CQ266))))</f>
        <v>bB</v>
      </c>
      <c r="CR267" s="11" t="str">
        <f aca="false">IF($P267=0,CR266,IF(CR$3=$E267,IF($AA267=1,$F267&amp;$AB267,$G267),IF(OR(CR$3=$D267,CR$3=$AC267,CR$3=$AE267),"",IF(CR$3=$AD267,$F267&amp;"R",CR266))))</f>
        <v>bN</v>
      </c>
      <c r="CS267" s="11" t="str">
        <f aca="false">IF($P267=0,CS266,IF(CS$3=$E267,IF($AA267=1,$F267&amp;$AB267,$G267),IF(OR(CS$3=$D267,CS$3=$AC267,CS$3=$AE267),"",IF(CS$3=$AD267,$F267&amp;"R",CS266))))</f>
        <v>bR</v>
      </c>
      <c r="CT267" s="11"/>
      <c r="CU267" s="11"/>
      <c r="CV267" s="11"/>
    </row>
    <row r="268" customFormat="false" ht="15" hidden="false" customHeight="false" outlineLevel="0" collapsed="false">
      <c r="A268" s="11" t="n">
        <v>263</v>
      </c>
      <c r="B268" s="11" t="str">
        <f aca="false">IF(Chess!$L$272="","",Chess!$L$272&amp;"")</f>
        <v/>
      </c>
      <c r="C268" s="11" t="str">
        <f aca="false">LOWER(SUBSTITUTE(SUBSTITUTE(SUBSTITUTE(SUBSTITUTE(TRIM($B268),"-",""),"=","")," ",""),"x",""))</f>
        <v/>
      </c>
      <c r="D268" s="11" t="n">
        <f aca="false">IF(LEN($C268)&lt;4,0,IFERROR(IF(AND(CODE(MID($C268,1,1))&gt;=97,CODE(MID($C268,1,1))&lt;=104,VALUE(MID($C268,2,1))&gt;=1,VALUE(MID($C268,2,1))&lt;=8),(VALUE(MID($C268,2,1))-1)*8+CODE(MID($C268,1,1))-96,0),0))</f>
        <v>0</v>
      </c>
      <c r="E268" s="11" t="n">
        <f aca="false">IF(LEN($C268)&lt;4,0,IFERROR(IF(AND(CODE(MID($C268,3,1))&gt;=97,CODE(MID($C268,3,1))&lt;=104,VALUE(MID($C268,4,1))&gt;=1,VALUE(MID($C268,4,1))&lt;=8),(VALUE(MID($C268,4,1))-1)*8+CODE(MID($C268,3,1))-96,0),0))</f>
        <v>0</v>
      </c>
      <c r="F268" s="11" t="str">
        <f aca="false">IF(MOD(SUM($P$5:$P267),2)=0,"w","b")</f>
        <v>w</v>
      </c>
      <c r="G268" s="11" t="str">
        <f aca="false">IF($D268=0,"",INDEX($AH267:$CS267,1,$D268)&amp;"")</f>
        <v/>
      </c>
      <c r="H268" s="11" t="str">
        <f aca="false">IF($E268=0,"",INDEX($AH267:$CS267,1,$E268)&amp;"")</f>
        <v/>
      </c>
      <c r="I268" s="11" t="n">
        <f aca="false">IF(OR($D268=0,$E268=0),0,MOD($E268-1,8)-MOD($D268-1,8))</f>
        <v>0</v>
      </c>
      <c r="J268" s="11" t="n">
        <f aca="false">IF(OR($D268=0,$E268=0),0,INT(($E268-1)/8)-INT(($D268-1)/8))</f>
        <v>0</v>
      </c>
      <c r="K268" s="11" t="str">
        <f aca="false">IF($G268="","",RIGHT($G268,1))</f>
        <v/>
      </c>
      <c r="L268" s="11" t="n">
        <f aca="false">IF(OR($D268=0,$E268=0),0,SUMPRODUCT(($AH$3:$CS$3&gt;MIN($D268,$E268))*($AH$3:$CS$3&lt;MAX($D268,$E268))*(MOD($AH$3:$CS$3-MIN($D268,$E268),MAX(1,ABS(SIGN($J268)*8+SIGN($I268))))=0)*($AH267:$CS267&lt;&gt;"")))</f>
        <v>0</v>
      </c>
      <c r="M268" s="11" t="n">
        <f aca="false">IF($K268&lt;&gt;"K",0,IFERROR(--AND($J268=0,ABS($I268)=2,$D268=IF($F268="w",5,61),IF($F268="w",$S267,$V267)=0,IF($I268=2,AND(IF($F268="w",$U267,$X267)=0,INDEX($AH267:$CS267,1,$D268+1)&amp;""="",INDEX($AH267:$CS267,1,$D268+2)&amp;""=""),AND(IF($F268="w",$T267,$W267)=0,INDEX($AH267:$CS267,1,$D268-1)&amp;""="",INDEX($AH267:$CS267,1,$D268-2)&amp;""="",INDEX($AH267:$CS267,1,$D268-3)&amp;""=""))),0))</f>
        <v>0</v>
      </c>
      <c r="N268" s="11" t="n">
        <f aca="false">IF($K268&lt;&gt;"P",0,IFERROR(--OR(AND($I268=0,$J268=IF($F268="w",1,-1),$H268=""),AND($I268=0,$J268=2*IF($F268="w",1,-1),$H268="",INT(($D268-1)/8)=IF($F268="w",1,6),INDEX($AH267:$CS267,1,MAX(1,MIN(64,$D268+8*IF($F268="w",1,-1))))&amp;""=""),AND(ABS($I268)=1,$J268=IF($F268="w",1,-1),$H268&lt;&gt;""),AND(ABS($I268)=1,$J268=IF($F268="w",1,-1),$H268="",$R267&gt;0,$E268=$R267)),0))</f>
        <v>0</v>
      </c>
      <c r="O268" s="11" t="n">
        <f aca="false">IF(OR($D268=0,$E268=0,$G268=""),0,IF($K268="N",--OR(AND(ABS($I268)=1,ABS($J268)=2),AND(ABS($I268)=2,ABS($J268)=1)),IF($K268="B",--AND(ABS($I268)=ABS($J268),$I268&lt;&gt;0,$L268=0),IF($K268="R",--AND(OR($I268=0,$J268=0),OR($I268&lt;&gt;0,$J268&lt;&gt;0),$L268=0),IF($K268="Q",--AND(OR(AND(ABS($I268)=ABS($J268),$I268&lt;&gt;0),AND(OR($I268=0,$J268=0),OR($I268&lt;&gt;0,$J268&lt;&gt;0))),$L268=0),IF($K268="K",--OR(MAX(ABS($I268),ABS($J268))=1,$M268=1),$N268))))))</f>
        <v>0</v>
      </c>
      <c r="P268" s="11" t="n">
        <f aca="false">IF($Q268="OK",1,0)</f>
        <v>0</v>
      </c>
      <c r="Q268" s="11" t="str">
        <f aca="false">IF($B268="","",IF(OR(COUNTIF($AH267:$CS267,"wK")=0,COUNTIF($AH267:$CS267,"bK")=0),"Game is over",IF(OR($D268=0,$E268=0),"Use the format e2e4",IF($G268="","No piece on that square",IF(LEFT($G268,1)&lt;&gt;$F268,"Not your piece ("&amp;IF($F268="w","White","Black")&amp;" to move)",IF($D268=$E268,"Piece must move",IF(AND($H268&lt;&gt;"",LEFT($H268,1)=$F268),"Cannot capture your own piece",IF($O268=0,"Illegal move for that piece (or path blocked)","OK"))))))))</f>
        <v/>
      </c>
      <c r="R268" s="11" t="n">
        <f aca="false">IF($P268=1,IF(AND($K268="P",ABS($J268)=2),($D268+$E268)/2,0),$R267)</f>
        <v>0</v>
      </c>
      <c r="S268" s="12" t="b">
        <f aca="false">--OR($S267=1,AND($P268=1,OR($D268=5,$E268=5)))</f>
        <v>0</v>
      </c>
      <c r="T268" s="12" t="b">
        <f aca="false">--OR($T267=1,AND($P268=1,OR($D268=1,$E268=1)))</f>
        <v>0</v>
      </c>
      <c r="U268" s="12" t="b">
        <f aca="false">--OR($U267=1,AND($P268=1,OR($D268=8,$E268=8)))</f>
        <v>0</v>
      </c>
      <c r="V268" s="12" t="b">
        <f aca="false">--OR($V267=1,AND($P268=1,OR($D268=61,$E268=61)))</f>
        <v>0</v>
      </c>
      <c r="W268" s="12" t="b">
        <f aca="false">--OR($W267=1,AND($P268=1,OR($D268=57,$E268=57)))</f>
        <v>0</v>
      </c>
      <c r="X268" s="12" t="b">
        <f aca="false">--OR($X267=1,AND($P268=1,OR($D268=64,$E268=64)))</f>
        <v>0</v>
      </c>
      <c r="Y268" s="12" t="b">
        <f aca="false">--AND($P268=1,$K268="K",ABS($I268)=2)</f>
        <v>0</v>
      </c>
      <c r="Z268" s="12" t="b">
        <f aca="false">--AND($P268=1,$K268="P",ABS($I268)=1,$H268="")</f>
        <v>0</v>
      </c>
      <c r="AA268" s="12" t="b">
        <f aca="false">--AND($P268=1,$K268="P",INT(($E268-1)/8)=IF($F268="w",7,0))</f>
        <v>0</v>
      </c>
      <c r="AB268" s="11" t="str">
        <f aca="false">IF(LEN($C268)&gt;=5,IF(ISNUMBER(FIND(MID($C268,5,1),"qrbn")),UPPER(MID($C268,5,1)),"Q"),"Q")</f>
        <v>Q</v>
      </c>
      <c r="AC268" s="11" t="n">
        <f aca="false">IF($Y268=1,IF($I268=2,$D268+3,$D268-4),0)</f>
        <v>0</v>
      </c>
      <c r="AD268" s="11" t="n">
        <f aca="false">IF($Y268=1,IF($I268=2,$D268+1,$D268-1),0)</f>
        <v>0</v>
      </c>
      <c r="AE268" s="11" t="n">
        <f aca="false">IF($Z268=1,$E268-8*IF($F268="w",1,-1),0)</f>
        <v>0</v>
      </c>
      <c r="AF268" s="11" t="str">
        <f aca="false">IF($B268="","",IF($P268=1,LOWER(INDEX($CV$2:$CV$13,MATCH($G268,$CU$2:$CU$13,0)))&amp;" "&amp;MID("abcdefgh",MOD($D268-1,8)+1,1)&amp;(INT(($D268-1)/8)+1)&amp;"→"&amp;MID("abcdefgh",MOD($E268-1,8)+1,1)&amp;(INT(($E268-1)/8)+1)&amp;IF(OR($H268&lt;&gt;"",$Z268=1)," ×","")&amp;IF($Y268=1," castles","")&amp;IF($Z268=1," e.p.","")&amp;IF($AA268=1," =" &amp;LOWER(INDEX($CV$2:$CV$13,MATCH($F268&amp;$AB268,$CU$2:$CU$13,0))),""),"X "&amp;$Q268))</f>
        <v/>
      </c>
      <c r="AG268" s="11"/>
      <c r="AH268" s="11" t="str">
        <f aca="false">IF($P268=0,AH267,IF(AH$3=$E268,IF($AA268=1,$F268&amp;$AB268,$G268),IF(OR(AH$3=$D268,AH$3=$AC268,AH$3=$AE268),"",IF(AH$3=$AD268,$F268&amp;"R",AH267))))</f>
        <v>wR</v>
      </c>
      <c r="AI268" s="11" t="str">
        <f aca="false">IF($P268=0,AI267,IF(AI$3=$E268,IF($AA268=1,$F268&amp;$AB268,$G268),IF(OR(AI$3=$D268,AI$3=$AC268,AI$3=$AE268),"",IF(AI$3=$AD268,$F268&amp;"R",AI267))))</f>
        <v>wN</v>
      </c>
      <c r="AJ268" s="11" t="str">
        <f aca="false">IF($P268=0,AJ267,IF(AJ$3=$E268,IF($AA268=1,$F268&amp;$AB268,$G268),IF(OR(AJ$3=$D268,AJ$3=$AC268,AJ$3=$AE268),"",IF(AJ$3=$AD268,$F268&amp;"R",AJ267))))</f>
        <v>wB</v>
      </c>
      <c r="AK268" s="11" t="str">
        <f aca="false">IF($P268=0,AK267,IF(AK$3=$E268,IF($AA268=1,$F268&amp;$AB268,$G268),IF(OR(AK$3=$D268,AK$3=$AC268,AK$3=$AE268),"",IF(AK$3=$AD268,$F268&amp;"R",AK267))))</f>
        <v>wQ</v>
      </c>
      <c r="AL268" s="11" t="str">
        <f aca="false">IF($P268=0,AL267,IF(AL$3=$E268,IF($AA268=1,$F268&amp;$AB268,$G268),IF(OR(AL$3=$D268,AL$3=$AC268,AL$3=$AE268),"",IF(AL$3=$AD268,$F268&amp;"R",AL267))))</f>
        <v>wK</v>
      </c>
      <c r="AM268" s="11" t="str">
        <f aca="false">IF($P268=0,AM267,IF(AM$3=$E268,IF($AA268=1,$F268&amp;$AB268,$G268),IF(OR(AM$3=$D268,AM$3=$AC268,AM$3=$AE268),"",IF(AM$3=$AD268,$F268&amp;"R",AM267))))</f>
        <v>wB</v>
      </c>
      <c r="AN268" s="11" t="str">
        <f aca="false">IF($P268=0,AN267,IF(AN$3=$E268,IF($AA268=1,$F268&amp;$AB268,$G268),IF(OR(AN$3=$D268,AN$3=$AC268,AN$3=$AE268),"",IF(AN$3=$AD268,$F268&amp;"R",AN267))))</f>
        <v>wN</v>
      </c>
      <c r="AO268" s="11" t="str">
        <f aca="false">IF($P268=0,AO267,IF(AO$3=$E268,IF($AA268=1,$F268&amp;$AB268,$G268),IF(OR(AO$3=$D268,AO$3=$AC268,AO$3=$AE268),"",IF(AO$3=$AD268,$F268&amp;"R",AO267))))</f>
        <v>wR</v>
      </c>
      <c r="AP268" s="11" t="str">
        <f aca="false">IF($P268=0,AP267,IF(AP$3=$E268,IF($AA268=1,$F268&amp;$AB268,$G268),IF(OR(AP$3=$D268,AP$3=$AC268,AP$3=$AE268),"",IF(AP$3=$AD268,$F268&amp;"R",AP267))))</f>
        <v>wP</v>
      </c>
      <c r="AQ268" s="11" t="str">
        <f aca="false">IF($P268=0,AQ267,IF(AQ$3=$E268,IF($AA268=1,$F268&amp;$AB268,$G268),IF(OR(AQ$3=$D268,AQ$3=$AC268,AQ$3=$AE268),"",IF(AQ$3=$AD268,$F268&amp;"R",AQ267))))</f>
        <v>wP</v>
      </c>
      <c r="AR268" s="11" t="str">
        <f aca="false">IF($P268=0,AR267,IF(AR$3=$E268,IF($AA268=1,$F268&amp;$AB268,$G268),IF(OR(AR$3=$D268,AR$3=$AC268,AR$3=$AE268),"",IF(AR$3=$AD268,$F268&amp;"R",AR267))))</f>
        <v>wP</v>
      </c>
      <c r="AS268" s="11" t="str">
        <f aca="false">IF($P268=0,AS267,IF(AS$3=$E268,IF($AA268=1,$F268&amp;$AB268,$G268),IF(OR(AS$3=$D268,AS$3=$AC268,AS$3=$AE268),"",IF(AS$3=$AD268,$F268&amp;"R",AS267))))</f>
        <v>wP</v>
      </c>
      <c r="AT268" s="11" t="str">
        <f aca="false">IF($P268=0,AT267,IF(AT$3=$E268,IF($AA268=1,$F268&amp;$AB268,$G268),IF(OR(AT$3=$D268,AT$3=$AC268,AT$3=$AE268),"",IF(AT$3=$AD268,$F268&amp;"R",AT267))))</f>
        <v>wP</v>
      </c>
      <c r="AU268" s="11" t="str">
        <f aca="false">IF($P268=0,AU267,IF(AU$3=$E268,IF($AA268=1,$F268&amp;$AB268,$G268),IF(OR(AU$3=$D268,AU$3=$AC268,AU$3=$AE268),"",IF(AU$3=$AD268,$F268&amp;"R",AU267))))</f>
        <v>wP</v>
      </c>
      <c r="AV268" s="11" t="str">
        <f aca="false">IF($P268=0,AV267,IF(AV$3=$E268,IF($AA268=1,$F268&amp;$AB268,$G268),IF(OR(AV$3=$D268,AV$3=$AC268,AV$3=$AE268),"",IF(AV$3=$AD268,$F268&amp;"R",AV267))))</f>
        <v>wP</v>
      </c>
      <c r="AW268" s="11" t="str">
        <f aca="false">IF($P268=0,AW267,IF(AW$3=$E268,IF($AA268=1,$F268&amp;$AB268,$G268),IF(OR(AW$3=$D268,AW$3=$AC268,AW$3=$AE268),"",IF(AW$3=$AD268,$F268&amp;"R",AW267))))</f>
        <v>wP</v>
      </c>
      <c r="AX268" s="11" t="str">
        <f aca="false">IF($P268=0,AX267,IF(AX$3=$E268,IF($AA268=1,$F268&amp;$AB268,$G268),IF(OR(AX$3=$D268,AX$3=$AC268,AX$3=$AE268),"",IF(AX$3=$AD268,$F268&amp;"R",AX267))))</f>
        <v/>
      </c>
      <c r="AY268" s="11" t="str">
        <f aca="false">IF($P268=0,AY267,IF(AY$3=$E268,IF($AA268=1,$F268&amp;$AB268,$G268),IF(OR(AY$3=$D268,AY$3=$AC268,AY$3=$AE268),"",IF(AY$3=$AD268,$F268&amp;"R",AY267))))</f>
        <v/>
      </c>
      <c r="AZ268" s="11" t="str">
        <f aca="false">IF($P268=0,AZ267,IF(AZ$3=$E268,IF($AA268=1,$F268&amp;$AB268,$G268),IF(OR(AZ$3=$D268,AZ$3=$AC268,AZ$3=$AE268),"",IF(AZ$3=$AD268,$F268&amp;"R",AZ267))))</f>
        <v/>
      </c>
      <c r="BA268" s="11" t="str">
        <f aca="false">IF($P268=0,BA267,IF(BA$3=$E268,IF($AA268=1,$F268&amp;$AB268,$G268),IF(OR(BA$3=$D268,BA$3=$AC268,BA$3=$AE268),"",IF(BA$3=$AD268,$F268&amp;"R",BA267))))</f>
        <v/>
      </c>
      <c r="BB268" s="11" t="str">
        <f aca="false">IF($P268=0,BB267,IF(BB$3=$E268,IF($AA268=1,$F268&amp;$AB268,$G268),IF(OR(BB$3=$D268,BB$3=$AC268,BB$3=$AE268),"",IF(BB$3=$AD268,$F268&amp;"R",BB267))))</f>
        <v/>
      </c>
      <c r="BC268" s="11" t="str">
        <f aca="false">IF($P268=0,BC267,IF(BC$3=$E268,IF($AA268=1,$F268&amp;$AB268,$G268),IF(OR(BC$3=$D268,BC$3=$AC268,BC$3=$AE268),"",IF(BC$3=$AD268,$F268&amp;"R",BC267))))</f>
        <v/>
      </c>
      <c r="BD268" s="11" t="str">
        <f aca="false">IF($P268=0,BD267,IF(BD$3=$E268,IF($AA268=1,$F268&amp;$AB268,$G268),IF(OR(BD$3=$D268,BD$3=$AC268,BD$3=$AE268),"",IF(BD$3=$AD268,$F268&amp;"R",BD267))))</f>
        <v/>
      </c>
      <c r="BE268" s="11" t="str">
        <f aca="false">IF($P268=0,BE267,IF(BE$3=$E268,IF($AA268=1,$F268&amp;$AB268,$G268),IF(OR(BE$3=$D268,BE$3=$AC268,BE$3=$AE268),"",IF(BE$3=$AD268,$F268&amp;"R",BE267))))</f>
        <v/>
      </c>
      <c r="BF268" s="11" t="str">
        <f aca="false">IF($P268=0,BF267,IF(BF$3=$E268,IF($AA268=1,$F268&amp;$AB268,$G268),IF(OR(BF$3=$D268,BF$3=$AC268,BF$3=$AE268),"",IF(BF$3=$AD268,$F268&amp;"R",BF267))))</f>
        <v/>
      </c>
      <c r="BG268" s="11" t="str">
        <f aca="false">IF($P268=0,BG267,IF(BG$3=$E268,IF($AA268=1,$F268&amp;$AB268,$G268),IF(OR(BG$3=$D268,BG$3=$AC268,BG$3=$AE268),"",IF(BG$3=$AD268,$F268&amp;"R",BG267))))</f>
        <v/>
      </c>
      <c r="BH268" s="11" t="str">
        <f aca="false">IF($P268=0,BH267,IF(BH$3=$E268,IF($AA268=1,$F268&amp;$AB268,$G268),IF(OR(BH$3=$D268,BH$3=$AC268,BH$3=$AE268),"",IF(BH$3=$AD268,$F268&amp;"R",BH267))))</f>
        <v/>
      </c>
      <c r="BI268" s="11" t="str">
        <f aca="false">IF($P268=0,BI267,IF(BI$3=$E268,IF($AA268=1,$F268&amp;$AB268,$G268),IF(OR(BI$3=$D268,BI$3=$AC268,BI$3=$AE268),"",IF(BI$3=$AD268,$F268&amp;"R",BI267))))</f>
        <v/>
      </c>
      <c r="BJ268" s="11" t="str">
        <f aca="false">IF($P268=0,BJ267,IF(BJ$3=$E268,IF($AA268=1,$F268&amp;$AB268,$G268),IF(OR(BJ$3=$D268,BJ$3=$AC268,BJ$3=$AE268),"",IF(BJ$3=$AD268,$F268&amp;"R",BJ267))))</f>
        <v/>
      </c>
      <c r="BK268" s="11" t="str">
        <f aca="false">IF($P268=0,BK267,IF(BK$3=$E268,IF($AA268=1,$F268&amp;$AB268,$G268),IF(OR(BK$3=$D268,BK$3=$AC268,BK$3=$AE268),"",IF(BK$3=$AD268,$F268&amp;"R",BK267))))</f>
        <v/>
      </c>
      <c r="BL268" s="11" t="str">
        <f aca="false">IF($P268=0,BL267,IF(BL$3=$E268,IF($AA268=1,$F268&amp;$AB268,$G268),IF(OR(BL$3=$D268,BL$3=$AC268,BL$3=$AE268),"",IF(BL$3=$AD268,$F268&amp;"R",BL267))))</f>
        <v/>
      </c>
      <c r="BM268" s="11" t="str">
        <f aca="false">IF($P268=0,BM267,IF(BM$3=$E268,IF($AA268=1,$F268&amp;$AB268,$G268),IF(OR(BM$3=$D268,BM$3=$AC268,BM$3=$AE268),"",IF(BM$3=$AD268,$F268&amp;"R",BM267))))</f>
        <v/>
      </c>
      <c r="BN268" s="11" t="str">
        <f aca="false">IF($P268=0,BN267,IF(BN$3=$E268,IF($AA268=1,$F268&amp;$AB268,$G268),IF(OR(BN$3=$D268,BN$3=$AC268,BN$3=$AE268),"",IF(BN$3=$AD268,$F268&amp;"R",BN267))))</f>
        <v/>
      </c>
      <c r="BO268" s="11" t="str">
        <f aca="false">IF($P268=0,BO267,IF(BO$3=$E268,IF($AA268=1,$F268&amp;$AB268,$G268),IF(OR(BO$3=$D268,BO$3=$AC268,BO$3=$AE268),"",IF(BO$3=$AD268,$F268&amp;"R",BO267))))</f>
        <v/>
      </c>
      <c r="BP268" s="11" t="str">
        <f aca="false">IF($P268=0,BP267,IF(BP$3=$E268,IF($AA268=1,$F268&amp;$AB268,$G268),IF(OR(BP$3=$D268,BP$3=$AC268,BP$3=$AE268),"",IF(BP$3=$AD268,$F268&amp;"R",BP267))))</f>
        <v/>
      </c>
      <c r="BQ268" s="11" t="str">
        <f aca="false">IF($P268=0,BQ267,IF(BQ$3=$E268,IF($AA268=1,$F268&amp;$AB268,$G268),IF(OR(BQ$3=$D268,BQ$3=$AC268,BQ$3=$AE268),"",IF(BQ$3=$AD268,$F268&amp;"R",BQ267))))</f>
        <v/>
      </c>
      <c r="BR268" s="11" t="str">
        <f aca="false">IF($P268=0,BR267,IF(BR$3=$E268,IF($AA268=1,$F268&amp;$AB268,$G268),IF(OR(BR$3=$D268,BR$3=$AC268,BR$3=$AE268),"",IF(BR$3=$AD268,$F268&amp;"R",BR267))))</f>
        <v/>
      </c>
      <c r="BS268" s="11" t="str">
        <f aca="false">IF($P268=0,BS267,IF(BS$3=$E268,IF($AA268=1,$F268&amp;$AB268,$G268),IF(OR(BS$3=$D268,BS$3=$AC268,BS$3=$AE268),"",IF(BS$3=$AD268,$F268&amp;"R",BS267))))</f>
        <v/>
      </c>
      <c r="BT268" s="11" t="str">
        <f aca="false">IF($P268=0,BT267,IF(BT$3=$E268,IF($AA268=1,$F268&amp;$AB268,$G268),IF(OR(BT$3=$D268,BT$3=$AC268,BT$3=$AE268),"",IF(BT$3=$AD268,$F268&amp;"R",BT267))))</f>
        <v/>
      </c>
      <c r="BU268" s="11" t="str">
        <f aca="false">IF($P268=0,BU267,IF(BU$3=$E268,IF($AA268=1,$F268&amp;$AB268,$G268),IF(OR(BU$3=$D268,BU$3=$AC268,BU$3=$AE268),"",IF(BU$3=$AD268,$F268&amp;"R",BU267))))</f>
        <v/>
      </c>
      <c r="BV268" s="11" t="str">
        <f aca="false">IF($P268=0,BV267,IF(BV$3=$E268,IF($AA268=1,$F268&amp;$AB268,$G268),IF(OR(BV$3=$D268,BV$3=$AC268,BV$3=$AE268),"",IF(BV$3=$AD268,$F268&amp;"R",BV267))))</f>
        <v/>
      </c>
      <c r="BW268" s="11" t="str">
        <f aca="false">IF($P268=0,BW267,IF(BW$3=$E268,IF($AA268=1,$F268&amp;$AB268,$G268),IF(OR(BW$3=$D268,BW$3=$AC268,BW$3=$AE268),"",IF(BW$3=$AD268,$F268&amp;"R",BW267))))</f>
        <v/>
      </c>
      <c r="BX268" s="11" t="str">
        <f aca="false">IF($P268=0,BX267,IF(BX$3=$E268,IF($AA268=1,$F268&amp;$AB268,$G268),IF(OR(BX$3=$D268,BX$3=$AC268,BX$3=$AE268),"",IF(BX$3=$AD268,$F268&amp;"R",BX267))))</f>
        <v/>
      </c>
      <c r="BY268" s="11" t="str">
        <f aca="false">IF($P268=0,BY267,IF(BY$3=$E268,IF($AA268=1,$F268&amp;$AB268,$G268),IF(OR(BY$3=$D268,BY$3=$AC268,BY$3=$AE268),"",IF(BY$3=$AD268,$F268&amp;"R",BY267))))</f>
        <v/>
      </c>
      <c r="BZ268" s="11" t="str">
        <f aca="false">IF($P268=0,BZ267,IF(BZ$3=$E268,IF($AA268=1,$F268&amp;$AB268,$G268),IF(OR(BZ$3=$D268,BZ$3=$AC268,BZ$3=$AE268),"",IF(BZ$3=$AD268,$F268&amp;"R",BZ267))))</f>
        <v/>
      </c>
      <c r="CA268" s="11" t="str">
        <f aca="false">IF($P268=0,CA267,IF(CA$3=$E268,IF($AA268=1,$F268&amp;$AB268,$G268),IF(OR(CA$3=$D268,CA$3=$AC268,CA$3=$AE268),"",IF(CA$3=$AD268,$F268&amp;"R",CA267))))</f>
        <v/>
      </c>
      <c r="CB268" s="11" t="str">
        <f aca="false">IF($P268=0,CB267,IF(CB$3=$E268,IF($AA268=1,$F268&amp;$AB268,$G268),IF(OR(CB$3=$D268,CB$3=$AC268,CB$3=$AE268),"",IF(CB$3=$AD268,$F268&amp;"R",CB267))))</f>
        <v/>
      </c>
      <c r="CC268" s="11" t="str">
        <f aca="false">IF($P268=0,CC267,IF(CC$3=$E268,IF($AA268=1,$F268&amp;$AB268,$G268),IF(OR(CC$3=$D268,CC$3=$AC268,CC$3=$AE268),"",IF(CC$3=$AD268,$F268&amp;"R",CC267))))</f>
        <v/>
      </c>
      <c r="CD268" s="11" t="str">
        <f aca="false">IF($P268=0,CD267,IF(CD$3=$E268,IF($AA268=1,$F268&amp;$AB268,$G268),IF(OR(CD$3=$D268,CD$3=$AC268,CD$3=$AE268),"",IF(CD$3=$AD268,$F268&amp;"R",CD267))))</f>
        <v>bP</v>
      </c>
      <c r="CE268" s="11" t="str">
        <f aca="false">IF($P268=0,CE267,IF(CE$3=$E268,IF($AA268=1,$F268&amp;$AB268,$G268),IF(OR(CE$3=$D268,CE$3=$AC268,CE$3=$AE268),"",IF(CE$3=$AD268,$F268&amp;"R",CE267))))</f>
        <v>bP</v>
      </c>
      <c r="CF268" s="11" t="str">
        <f aca="false">IF($P268=0,CF267,IF(CF$3=$E268,IF($AA268=1,$F268&amp;$AB268,$G268),IF(OR(CF$3=$D268,CF$3=$AC268,CF$3=$AE268),"",IF(CF$3=$AD268,$F268&amp;"R",CF267))))</f>
        <v>bP</v>
      </c>
      <c r="CG268" s="11" t="str">
        <f aca="false">IF($P268=0,CG267,IF(CG$3=$E268,IF($AA268=1,$F268&amp;$AB268,$G268),IF(OR(CG$3=$D268,CG$3=$AC268,CG$3=$AE268),"",IF(CG$3=$AD268,$F268&amp;"R",CG267))))</f>
        <v>bP</v>
      </c>
      <c r="CH268" s="11" t="str">
        <f aca="false">IF($P268=0,CH267,IF(CH$3=$E268,IF($AA268=1,$F268&amp;$AB268,$G268),IF(OR(CH$3=$D268,CH$3=$AC268,CH$3=$AE268),"",IF(CH$3=$AD268,$F268&amp;"R",CH267))))</f>
        <v>bP</v>
      </c>
      <c r="CI268" s="11" t="str">
        <f aca="false">IF($P268=0,CI267,IF(CI$3=$E268,IF($AA268=1,$F268&amp;$AB268,$G268),IF(OR(CI$3=$D268,CI$3=$AC268,CI$3=$AE268),"",IF(CI$3=$AD268,$F268&amp;"R",CI267))))</f>
        <v>bP</v>
      </c>
      <c r="CJ268" s="11" t="str">
        <f aca="false">IF($P268=0,CJ267,IF(CJ$3=$E268,IF($AA268=1,$F268&amp;$AB268,$G268),IF(OR(CJ$3=$D268,CJ$3=$AC268,CJ$3=$AE268),"",IF(CJ$3=$AD268,$F268&amp;"R",CJ267))))</f>
        <v>bP</v>
      </c>
      <c r="CK268" s="11" t="str">
        <f aca="false">IF($P268=0,CK267,IF(CK$3=$E268,IF($AA268=1,$F268&amp;$AB268,$G268),IF(OR(CK$3=$D268,CK$3=$AC268,CK$3=$AE268),"",IF(CK$3=$AD268,$F268&amp;"R",CK267))))</f>
        <v>bP</v>
      </c>
      <c r="CL268" s="11" t="str">
        <f aca="false">IF($P268=0,CL267,IF(CL$3=$E268,IF($AA268=1,$F268&amp;$AB268,$G268),IF(OR(CL$3=$D268,CL$3=$AC268,CL$3=$AE268),"",IF(CL$3=$AD268,$F268&amp;"R",CL267))))</f>
        <v>bR</v>
      </c>
      <c r="CM268" s="11" t="str">
        <f aca="false">IF($P268=0,CM267,IF(CM$3=$E268,IF($AA268=1,$F268&amp;$AB268,$G268),IF(OR(CM$3=$D268,CM$3=$AC268,CM$3=$AE268),"",IF(CM$3=$AD268,$F268&amp;"R",CM267))))</f>
        <v>bN</v>
      </c>
      <c r="CN268" s="11" t="str">
        <f aca="false">IF($P268=0,CN267,IF(CN$3=$E268,IF($AA268=1,$F268&amp;$AB268,$G268),IF(OR(CN$3=$D268,CN$3=$AC268,CN$3=$AE268),"",IF(CN$3=$AD268,$F268&amp;"R",CN267))))</f>
        <v>bB</v>
      </c>
      <c r="CO268" s="11" t="str">
        <f aca="false">IF($P268=0,CO267,IF(CO$3=$E268,IF($AA268=1,$F268&amp;$AB268,$G268),IF(OR(CO$3=$D268,CO$3=$AC268,CO$3=$AE268),"",IF(CO$3=$AD268,$F268&amp;"R",CO267))))</f>
        <v>bQ</v>
      </c>
      <c r="CP268" s="11" t="str">
        <f aca="false">IF($P268=0,CP267,IF(CP$3=$E268,IF($AA268=1,$F268&amp;$AB268,$G268),IF(OR(CP$3=$D268,CP$3=$AC268,CP$3=$AE268),"",IF(CP$3=$AD268,$F268&amp;"R",CP267))))</f>
        <v>bK</v>
      </c>
      <c r="CQ268" s="11" t="str">
        <f aca="false">IF($P268=0,CQ267,IF(CQ$3=$E268,IF($AA268=1,$F268&amp;$AB268,$G268),IF(OR(CQ$3=$D268,CQ$3=$AC268,CQ$3=$AE268),"",IF(CQ$3=$AD268,$F268&amp;"R",CQ267))))</f>
        <v>bB</v>
      </c>
      <c r="CR268" s="11" t="str">
        <f aca="false">IF($P268=0,CR267,IF(CR$3=$E268,IF($AA268=1,$F268&amp;$AB268,$G268),IF(OR(CR$3=$D268,CR$3=$AC268,CR$3=$AE268),"",IF(CR$3=$AD268,$F268&amp;"R",CR267))))</f>
        <v>bN</v>
      </c>
      <c r="CS268" s="11" t="str">
        <f aca="false">IF($P268=0,CS267,IF(CS$3=$E268,IF($AA268=1,$F268&amp;$AB268,$G268),IF(OR(CS$3=$D268,CS$3=$AC268,CS$3=$AE268),"",IF(CS$3=$AD268,$F268&amp;"R",CS267))))</f>
        <v>bR</v>
      </c>
      <c r="CT268" s="11"/>
      <c r="CU268" s="11"/>
      <c r="CV268" s="11"/>
    </row>
    <row r="269" customFormat="false" ht="15" hidden="false" customHeight="false" outlineLevel="0" collapsed="false">
      <c r="A269" s="11" t="n">
        <v>264</v>
      </c>
      <c r="B269" s="11" t="str">
        <f aca="false">IF(Chess!$L$273="","",Chess!$L$273&amp;"")</f>
        <v/>
      </c>
      <c r="C269" s="11" t="str">
        <f aca="false">LOWER(SUBSTITUTE(SUBSTITUTE(SUBSTITUTE(SUBSTITUTE(TRIM($B269),"-",""),"=","")," ",""),"x",""))</f>
        <v/>
      </c>
      <c r="D269" s="11" t="n">
        <f aca="false">IF(LEN($C269)&lt;4,0,IFERROR(IF(AND(CODE(MID($C269,1,1))&gt;=97,CODE(MID($C269,1,1))&lt;=104,VALUE(MID($C269,2,1))&gt;=1,VALUE(MID($C269,2,1))&lt;=8),(VALUE(MID($C269,2,1))-1)*8+CODE(MID($C269,1,1))-96,0),0))</f>
        <v>0</v>
      </c>
      <c r="E269" s="11" t="n">
        <f aca="false">IF(LEN($C269)&lt;4,0,IFERROR(IF(AND(CODE(MID($C269,3,1))&gt;=97,CODE(MID($C269,3,1))&lt;=104,VALUE(MID($C269,4,1))&gt;=1,VALUE(MID($C269,4,1))&lt;=8),(VALUE(MID($C269,4,1))-1)*8+CODE(MID($C269,3,1))-96,0),0))</f>
        <v>0</v>
      </c>
      <c r="F269" s="11" t="str">
        <f aca="false">IF(MOD(SUM($P$5:$P268),2)=0,"w","b")</f>
        <v>w</v>
      </c>
      <c r="G269" s="11" t="str">
        <f aca="false">IF($D269=0,"",INDEX($AH268:$CS268,1,$D269)&amp;"")</f>
        <v/>
      </c>
      <c r="H269" s="11" t="str">
        <f aca="false">IF($E269=0,"",INDEX($AH268:$CS268,1,$E269)&amp;"")</f>
        <v/>
      </c>
      <c r="I269" s="11" t="n">
        <f aca="false">IF(OR($D269=0,$E269=0),0,MOD($E269-1,8)-MOD($D269-1,8))</f>
        <v>0</v>
      </c>
      <c r="J269" s="11" t="n">
        <f aca="false">IF(OR($D269=0,$E269=0),0,INT(($E269-1)/8)-INT(($D269-1)/8))</f>
        <v>0</v>
      </c>
      <c r="K269" s="11" t="str">
        <f aca="false">IF($G269="","",RIGHT($G269,1))</f>
        <v/>
      </c>
      <c r="L269" s="11" t="n">
        <f aca="false">IF(OR($D269=0,$E269=0),0,SUMPRODUCT(($AH$3:$CS$3&gt;MIN($D269,$E269))*($AH$3:$CS$3&lt;MAX($D269,$E269))*(MOD($AH$3:$CS$3-MIN($D269,$E269),MAX(1,ABS(SIGN($J269)*8+SIGN($I269))))=0)*($AH268:$CS268&lt;&gt;"")))</f>
        <v>0</v>
      </c>
      <c r="M269" s="11" t="n">
        <f aca="false">IF($K269&lt;&gt;"K",0,IFERROR(--AND($J269=0,ABS($I269)=2,$D269=IF($F269="w",5,61),IF($F269="w",$S268,$V268)=0,IF($I269=2,AND(IF($F269="w",$U268,$X268)=0,INDEX($AH268:$CS268,1,$D269+1)&amp;""="",INDEX($AH268:$CS268,1,$D269+2)&amp;""=""),AND(IF($F269="w",$T268,$W268)=0,INDEX($AH268:$CS268,1,$D269-1)&amp;""="",INDEX($AH268:$CS268,1,$D269-2)&amp;""="",INDEX($AH268:$CS268,1,$D269-3)&amp;""=""))),0))</f>
        <v>0</v>
      </c>
      <c r="N269" s="11" t="n">
        <f aca="false">IF($K269&lt;&gt;"P",0,IFERROR(--OR(AND($I269=0,$J269=IF($F269="w",1,-1),$H269=""),AND($I269=0,$J269=2*IF($F269="w",1,-1),$H269="",INT(($D269-1)/8)=IF($F269="w",1,6),INDEX($AH268:$CS268,1,MAX(1,MIN(64,$D269+8*IF($F269="w",1,-1))))&amp;""=""),AND(ABS($I269)=1,$J269=IF($F269="w",1,-1),$H269&lt;&gt;""),AND(ABS($I269)=1,$J269=IF($F269="w",1,-1),$H269="",$R268&gt;0,$E269=$R268)),0))</f>
        <v>0</v>
      </c>
      <c r="O269" s="11" t="n">
        <f aca="false">IF(OR($D269=0,$E269=0,$G269=""),0,IF($K269="N",--OR(AND(ABS($I269)=1,ABS($J269)=2),AND(ABS($I269)=2,ABS($J269)=1)),IF($K269="B",--AND(ABS($I269)=ABS($J269),$I269&lt;&gt;0,$L269=0),IF($K269="R",--AND(OR($I269=0,$J269=0),OR($I269&lt;&gt;0,$J269&lt;&gt;0),$L269=0),IF($K269="Q",--AND(OR(AND(ABS($I269)=ABS($J269),$I269&lt;&gt;0),AND(OR($I269=0,$J269=0),OR($I269&lt;&gt;0,$J269&lt;&gt;0))),$L269=0),IF($K269="K",--OR(MAX(ABS($I269),ABS($J269))=1,$M269=1),$N269))))))</f>
        <v>0</v>
      </c>
      <c r="P269" s="11" t="n">
        <f aca="false">IF($Q269="OK",1,0)</f>
        <v>0</v>
      </c>
      <c r="Q269" s="11" t="str">
        <f aca="false">IF($B269="","",IF(OR(COUNTIF($AH268:$CS268,"wK")=0,COUNTIF($AH268:$CS268,"bK")=0),"Game is over",IF(OR($D269=0,$E269=0),"Use the format e2e4",IF($G269="","No piece on that square",IF(LEFT($G269,1)&lt;&gt;$F269,"Not your piece ("&amp;IF($F269="w","White","Black")&amp;" to move)",IF($D269=$E269,"Piece must move",IF(AND($H269&lt;&gt;"",LEFT($H269,1)=$F269),"Cannot capture your own piece",IF($O269=0,"Illegal move for that piece (or path blocked)","OK"))))))))</f>
        <v/>
      </c>
      <c r="R269" s="11" t="n">
        <f aca="false">IF($P269=1,IF(AND($K269="P",ABS($J269)=2),($D269+$E269)/2,0),$R268)</f>
        <v>0</v>
      </c>
      <c r="S269" s="12" t="b">
        <f aca="false">--OR($S268=1,AND($P269=1,OR($D269=5,$E269=5)))</f>
        <v>0</v>
      </c>
      <c r="T269" s="12" t="b">
        <f aca="false">--OR($T268=1,AND($P269=1,OR($D269=1,$E269=1)))</f>
        <v>0</v>
      </c>
      <c r="U269" s="12" t="b">
        <f aca="false">--OR($U268=1,AND($P269=1,OR($D269=8,$E269=8)))</f>
        <v>0</v>
      </c>
      <c r="V269" s="12" t="b">
        <f aca="false">--OR($V268=1,AND($P269=1,OR($D269=61,$E269=61)))</f>
        <v>0</v>
      </c>
      <c r="W269" s="12" t="b">
        <f aca="false">--OR($W268=1,AND($P269=1,OR($D269=57,$E269=57)))</f>
        <v>0</v>
      </c>
      <c r="X269" s="12" t="b">
        <f aca="false">--OR($X268=1,AND($P269=1,OR($D269=64,$E269=64)))</f>
        <v>0</v>
      </c>
      <c r="Y269" s="12" t="b">
        <f aca="false">--AND($P269=1,$K269="K",ABS($I269)=2)</f>
        <v>0</v>
      </c>
      <c r="Z269" s="12" t="b">
        <f aca="false">--AND($P269=1,$K269="P",ABS($I269)=1,$H269="")</f>
        <v>0</v>
      </c>
      <c r="AA269" s="12" t="b">
        <f aca="false">--AND($P269=1,$K269="P",INT(($E269-1)/8)=IF($F269="w",7,0))</f>
        <v>0</v>
      </c>
      <c r="AB269" s="11" t="str">
        <f aca="false">IF(LEN($C269)&gt;=5,IF(ISNUMBER(FIND(MID($C269,5,1),"qrbn")),UPPER(MID($C269,5,1)),"Q"),"Q")</f>
        <v>Q</v>
      </c>
      <c r="AC269" s="11" t="n">
        <f aca="false">IF($Y269=1,IF($I269=2,$D269+3,$D269-4),0)</f>
        <v>0</v>
      </c>
      <c r="AD269" s="11" t="n">
        <f aca="false">IF($Y269=1,IF($I269=2,$D269+1,$D269-1),0)</f>
        <v>0</v>
      </c>
      <c r="AE269" s="11" t="n">
        <f aca="false">IF($Z269=1,$E269-8*IF($F269="w",1,-1),0)</f>
        <v>0</v>
      </c>
      <c r="AF269" s="11" t="str">
        <f aca="false">IF($B269="","",IF($P269=1,LOWER(INDEX($CV$2:$CV$13,MATCH($G269,$CU$2:$CU$13,0)))&amp;" "&amp;MID("abcdefgh",MOD($D269-1,8)+1,1)&amp;(INT(($D269-1)/8)+1)&amp;"→"&amp;MID("abcdefgh",MOD($E269-1,8)+1,1)&amp;(INT(($E269-1)/8)+1)&amp;IF(OR($H269&lt;&gt;"",$Z269=1)," ×","")&amp;IF($Y269=1," castles","")&amp;IF($Z269=1," e.p.","")&amp;IF($AA269=1," =" &amp;LOWER(INDEX($CV$2:$CV$13,MATCH($F269&amp;$AB269,$CU$2:$CU$13,0))),""),"X "&amp;$Q269))</f>
        <v/>
      </c>
      <c r="AG269" s="11"/>
      <c r="AH269" s="11" t="str">
        <f aca="false">IF($P269=0,AH268,IF(AH$3=$E269,IF($AA269=1,$F269&amp;$AB269,$G269),IF(OR(AH$3=$D269,AH$3=$AC269,AH$3=$AE269),"",IF(AH$3=$AD269,$F269&amp;"R",AH268))))</f>
        <v>wR</v>
      </c>
      <c r="AI269" s="11" t="str">
        <f aca="false">IF($P269=0,AI268,IF(AI$3=$E269,IF($AA269=1,$F269&amp;$AB269,$G269),IF(OR(AI$3=$D269,AI$3=$AC269,AI$3=$AE269),"",IF(AI$3=$AD269,$F269&amp;"R",AI268))))</f>
        <v>wN</v>
      </c>
      <c r="AJ269" s="11" t="str">
        <f aca="false">IF($P269=0,AJ268,IF(AJ$3=$E269,IF($AA269=1,$F269&amp;$AB269,$G269),IF(OR(AJ$3=$D269,AJ$3=$AC269,AJ$3=$AE269),"",IF(AJ$3=$AD269,$F269&amp;"R",AJ268))))</f>
        <v>wB</v>
      </c>
      <c r="AK269" s="11" t="str">
        <f aca="false">IF($P269=0,AK268,IF(AK$3=$E269,IF($AA269=1,$F269&amp;$AB269,$G269),IF(OR(AK$3=$D269,AK$3=$AC269,AK$3=$AE269),"",IF(AK$3=$AD269,$F269&amp;"R",AK268))))</f>
        <v>wQ</v>
      </c>
      <c r="AL269" s="11" t="str">
        <f aca="false">IF($P269=0,AL268,IF(AL$3=$E269,IF($AA269=1,$F269&amp;$AB269,$G269),IF(OR(AL$3=$D269,AL$3=$AC269,AL$3=$AE269),"",IF(AL$3=$AD269,$F269&amp;"R",AL268))))</f>
        <v>wK</v>
      </c>
      <c r="AM269" s="11" t="str">
        <f aca="false">IF($P269=0,AM268,IF(AM$3=$E269,IF($AA269=1,$F269&amp;$AB269,$G269),IF(OR(AM$3=$D269,AM$3=$AC269,AM$3=$AE269),"",IF(AM$3=$AD269,$F269&amp;"R",AM268))))</f>
        <v>wB</v>
      </c>
      <c r="AN269" s="11" t="str">
        <f aca="false">IF($P269=0,AN268,IF(AN$3=$E269,IF($AA269=1,$F269&amp;$AB269,$G269),IF(OR(AN$3=$D269,AN$3=$AC269,AN$3=$AE269),"",IF(AN$3=$AD269,$F269&amp;"R",AN268))))</f>
        <v>wN</v>
      </c>
      <c r="AO269" s="11" t="str">
        <f aca="false">IF($P269=0,AO268,IF(AO$3=$E269,IF($AA269=1,$F269&amp;$AB269,$G269),IF(OR(AO$3=$D269,AO$3=$AC269,AO$3=$AE269),"",IF(AO$3=$AD269,$F269&amp;"R",AO268))))</f>
        <v>wR</v>
      </c>
      <c r="AP269" s="11" t="str">
        <f aca="false">IF($P269=0,AP268,IF(AP$3=$E269,IF($AA269=1,$F269&amp;$AB269,$G269),IF(OR(AP$3=$D269,AP$3=$AC269,AP$3=$AE269),"",IF(AP$3=$AD269,$F269&amp;"R",AP268))))</f>
        <v>wP</v>
      </c>
      <c r="AQ269" s="11" t="str">
        <f aca="false">IF($P269=0,AQ268,IF(AQ$3=$E269,IF($AA269=1,$F269&amp;$AB269,$G269),IF(OR(AQ$3=$D269,AQ$3=$AC269,AQ$3=$AE269),"",IF(AQ$3=$AD269,$F269&amp;"R",AQ268))))</f>
        <v>wP</v>
      </c>
      <c r="AR269" s="11" t="str">
        <f aca="false">IF($P269=0,AR268,IF(AR$3=$E269,IF($AA269=1,$F269&amp;$AB269,$G269),IF(OR(AR$3=$D269,AR$3=$AC269,AR$3=$AE269),"",IF(AR$3=$AD269,$F269&amp;"R",AR268))))</f>
        <v>wP</v>
      </c>
      <c r="AS269" s="11" t="str">
        <f aca="false">IF($P269=0,AS268,IF(AS$3=$E269,IF($AA269=1,$F269&amp;$AB269,$G269),IF(OR(AS$3=$D269,AS$3=$AC269,AS$3=$AE269),"",IF(AS$3=$AD269,$F269&amp;"R",AS268))))</f>
        <v>wP</v>
      </c>
      <c r="AT269" s="11" t="str">
        <f aca="false">IF($P269=0,AT268,IF(AT$3=$E269,IF($AA269=1,$F269&amp;$AB269,$G269),IF(OR(AT$3=$D269,AT$3=$AC269,AT$3=$AE269),"",IF(AT$3=$AD269,$F269&amp;"R",AT268))))</f>
        <v>wP</v>
      </c>
      <c r="AU269" s="11" t="str">
        <f aca="false">IF($P269=0,AU268,IF(AU$3=$E269,IF($AA269=1,$F269&amp;$AB269,$G269),IF(OR(AU$3=$D269,AU$3=$AC269,AU$3=$AE269),"",IF(AU$3=$AD269,$F269&amp;"R",AU268))))</f>
        <v>wP</v>
      </c>
      <c r="AV269" s="11" t="str">
        <f aca="false">IF($P269=0,AV268,IF(AV$3=$E269,IF($AA269=1,$F269&amp;$AB269,$G269),IF(OR(AV$3=$D269,AV$3=$AC269,AV$3=$AE269),"",IF(AV$3=$AD269,$F269&amp;"R",AV268))))</f>
        <v>wP</v>
      </c>
      <c r="AW269" s="11" t="str">
        <f aca="false">IF($P269=0,AW268,IF(AW$3=$E269,IF($AA269=1,$F269&amp;$AB269,$G269),IF(OR(AW$3=$D269,AW$3=$AC269,AW$3=$AE269),"",IF(AW$3=$AD269,$F269&amp;"R",AW268))))</f>
        <v>wP</v>
      </c>
      <c r="AX269" s="11" t="str">
        <f aca="false">IF($P269=0,AX268,IF(AX$3=$E269,IF($AA269=1,$F269&amp;$AB269,$G269),IF(OR(AX$3=$D269,AX$3=$AC269,AX$3=$AE269),"",IF(AX$3=$AD269,$F269&amp;"R",AX268))))</f>
        <v/>
      </c>
      <c r="AY269" s="11" t="str">
        <f aca="false">IF($P269=0,AY268,IF(AY$3=$E269,IF($AA269=1,$F269&amp;$AB269,$G269),IF(OR(AY$3=$D269,AY$3=$AC269,AY$3=$AE269),"",IF(AY$3=$AD269,$F269&amp;"R",AY268))))</f>
        <v/>
      </c>
      <c r="AZ269" s="11" t="str">
        <f aca="false">IF($P269=0,AZ268,IF(AZ$3=$E269,IF($AA269=1,$F269&amp;$AB269,$G269),IF(OR(AZ$3=$D269,AZ$3=$AC269,AZ$3=$AE269),"",IF(AZ$3=$AD269,$F269&amp;"R",AZ268))))</f>
        <v/>
      </c>
      <c r="BA269" s="11" t="str">
        <f aca="false">IF($P269=0,BA268,IF(BA$3=$E269,IF($AA269=1,$F269&amp;$AB269,$G269),IF(OR(BA$3=$D269,BA$3=$AC269,BA$3=$AE269),"",IF(BA$3=$AD269,$F269&amp;"R",BA268))))</f>
        <v/>
      </c>
      <c r="BB269" s="11" t="str">
        <f aca="false">IF($P269=0,BB268,IF(BB$3=$E269,IF($AA269=1,$F269&amp;$AB269,$G269),IF(OR(BB$3=$D269,BB$3=$AC269,BB$3=$AE269),"",IF(BB$3=$AD269,$F269&amp;"R",BB268))))</f>
        <v/>
      </c>
      <c r="BC269" s="11" t="str">
        <f aca="false">IF($P269=0,BC268,IF(BC$3=$E269,IF($AA269=1,$F269&amp;$AB269,$G269),IF(OR(BC$3=$D269,BC$3=$AC269,BC$3=$AE269),"",IF(BC$3=$AD269,$F269&amp;"R",BC268))))</f>
        <v/>
      </c>
      <c r="BD269" s="11" t="str">
        <f aca="false">IF($P269=0,BD268,IF(BD$3=$E269,IF($AA269=1,$F269&amp;$AB269,$G269),IF(OR(BD$3=$D269,BD$3=$AC269,BD$3=$AE269),"",IF(BD$3=$AD269,$F269&amp;"R",BD268))))</f>
        <v/>
      </c>
      <c r="BE269" s="11" t="str">
        <f aca="false">IF($P269=0,BE268,IF(BE$3=$E269,IF($AA269=1,$F269&amp;$AB269,$G269),IF(OR(BE$3=$D269,BE$3=$AC269,BE$3=$AE269),"",IF(BE$3=$AD269,$F269&amp;"R",BE268))))</f>
        <v/>
      </c>
      <c r="BF269" s="11" t="str">
        <f aca="false">IF($P269=0,BF268,IF(BF$3=$E269,IF($AA269=1,$F269&amp;$AB269,$G269),IF(OR(BF$3=$D269,BF$3=$AC269,BF$3=$AE269),"",IF(BF$3=$AD269,$F269&amp;"R",BF268))))</f>
        <v/>
      </c>
      <c r="BG269" s="11" t="str">
        <f aca="false">IF($P269=0,BG268,IF(BG$3=$E269,IF($AA269=1,$F269&amp;$AB269,$G269),IF(OR(BG$3=$D269,BG$3=$AC269,BG$3=$AE269),"",IF(BG$3=$AD269,$F269&amp;"R",BG268))))</f>
        <v/>
      </c>
      <c r="BH269" s="11" t="str">
        <f aca="false">IF($P269=0,BH268,IF(BH$3=$E269,IF($AA269=1,$F269&amp;$AB269,$G269),IF(OR(BH$3=$D269,BH$3=$AC269,BH$3=$AE269),"",IF(BH$3=$AD269,$F269&amp;"R",BH268))))</f>
        <v/>
      </c>
      <c r="BI269" s="11" t="str">
        <f aca="false">IF($P269=0,BI268,IF(BI$3=$E269,IF($AA269=1,$F269&amp;$AB269,$G269),IF(OR(BI$3=$D269,BI$3=$AC269,BI$3=$AE269),"",IF(BI$3=$AD269,$F269&amp;"R",BI268))))</f>
        <v/>
      </c>
      <c r="BJ269" s="11" t="str">
        <f aca="false">IF($P269=0,BJ268,IF(BJ$3=$E269,IF($AA269=1,$F269&amp;$AB269,$G269),IF(OR(BJ$3=$D269,BJ$3=$AC269,BJ$3=$AE269),"",IF(BJ$3=$AD269,$F269&amp;"R",BJ268))))</f>
        <v/>
      </c>
      <c r="BK269" s="11" t="str">
        <f aca="false">IF($P269=0,BK268,IF(BK$3=$E269,IF($AA269=1,$F269&amp;$AB269,$G269),IF(OR(BK$3=$D269,BK$3=$AC269,BK$3=$AE269),"",IF(BK$3=$AD269,$F269&amp;"R",BK268))))</f>
        <v/>
      </c>
      <c r="BL269" s="11" t="str">
        <f aca="false">IF($P269=0,BL268,IF(BL$3=$E269,IF($AA269=1,$F269&amp;$AB269,$G269),IF(OR(BL$3=$D269,BL$3=$AC269,BL$3=$AE269),"",IF(BL$3=$AD269,$F269&amp;"R",BL268))))</f>
        <v/>
      </c>
      <c r="BM269" s="11" t="str">
        <f aca="false">IF($P269=0,BM268,IF(BM$3=$E269,IF($AA269=1,$F269&amp;$AB269,$G269),IF(OR(BM$3=$D269,BM$3=$AC269,BM$3=$AE269),"",IF(BM$3=$AD269,$F269&amp;"R",BM268))))</f>
        <v/>
      </c>
      <c r="BN269" s="11" t="str">
        <f aca="false">IF($P269=0,BN268,IF(BN$3=$E269,IF($AA269=1,$F269&amp;$AB269,$G269),IF(OR(BN$3=$D269,BN$3=$AC269,BN$3=$AE269),"",IF(BN$3=$AD269,$F269&amp;"R",BN268))))</f>
        <v/>
      </c>
      <c r="BO269" s="11" t="str">
        <f aca="false">IF($P269=0,BO268,IF(BO$3=$E269,IF($AA269=1,$F269&amp;$AB269,$G269),IF(OR(BO$3=$D269,BO$3=$AC269,BO$3=$AE269),"",IF(BO$3=$AD269,$F269&amp;"R",BO268))))</f>
        <v/>
      </c>
      <c r="BP269" s="11" t="str">
        <f aca="false">IF($P269=0,BP268,IF(BP$3=$E269,IF($AA269=1,$F269&amp;$AB269,$G269),IF(OR(BP$3=$D269,BP$3=$AC269,BP$3=$AE269),"",IF(BP$3=$AD269,$F269&amp;"R",BP268))))</f>
        <v/>
      </c>
      <c r="BQ269" s="11" t="str">
        <f aca="false">IF($P269=0,BQ268,IF(BQ$3=$E269,IF($AA269=1,$F269&amp;$AB269,$G269),IF(OR(BQ$3=$D269,BQ$3=$AC269,BQ$3=$AE269),"",IF(BQ$3=$AD269,$F269&amp;"R",BQ268))))</f>
        <v/>
      </c>
      <c r="BR269" s="11" t="str">
        <f aca="false">IF($P269=0,BR268,IF(BR$3=$E269,IF($AA269=1,$F269&amp;$AB269,$G269),IF(OR(BR$3=$D269,BR$3=$AC269,BR$3=$AE269),"",IF(BR$3=$AD269,$F269&amp;"R",BR268))))</f>
        <v/>
      </c>
      <c r="BS269" s="11" t="str">
        <f aca="false">IF($P269=0,BS268,IF(BS$3=$E269,IF($AA269=1,$F269&amp;$AB269,$G269),IF(OR(BS$3=$D269,BS$3=$AC269,BS$3=$AE269),"",IF(BS$3=$AD269,$F269&amp;"R",BS268))))</f>
        <v/>
      </c>
      <c r="BT269" s="11" t="str">
        <f aca="false">IF($P269=0,BT268,IF(BT$3=$E269,IF($AA269=1,$F269&amp;$AB269,$G269),IF(OR(BT$3=$D269,BT$3=$AC269,BT$3=$AE269),"",IF(BT$3=$AD269,$F269&amp;"R",BT268))))</f>
        <v/>
      </c>
      <c r="BU269" s="11" t="str">
        <f aca="false">IF($P269=0,BU268,IF(BU$3=$E269,IF($AA269=1,$F269&amp;$AB269,$G269),IF(OR(BU$3=$D269,BU$3=$AC269,BU$3=$AE269),"",IF(BU$3=$AD269,$F269&amp;"R",BU268))))</f>
        <v/>
      </c>
      <c r="BV269" s="11" t="str">
        <f aca="false">IF($P269=0,BV268,IF(BV$3=$E269,IF($AA269=1,$F269&amp;$AB269,$G269),IF(OR(BV$3=$D269,BV$3=$AC269,BV$3=$AE269),"",IF(BV$3=$AD269,$F269&amp;"R",BV268))))</f>
        <v/>
      </c>
      <c r="BW269" s="11" t="str">
        <f aca="false">IF($P269=0,BW268,IF(BW$3=$E269,IF($AA269=1,$F269&amp;$AB269,$G269),IF(OR(BW$3=$D269,BW$3=$AC269,BW$3=$AE269),"",IF(BW$3=$AD269,$F269&amp;"R",BW268))))</f>
        <v/>
      </c>
      <c r="BX269" s="11" t="str">
        <f aca="false">IF($P269=0,BX268,IF(BX$3=$E269,IF($AA269=1,$F269&amp;$AB269,$G269),IF(OR(BX$3=$D269,BX$3=$AC269,BX$3=$AE269),"",IF(BX$3=$AD269,$F269&amp;"R",BX268))))</f>
        <v/>
      </c>
      <c r="BY269" s="11" t="str">
        <f aca="false">IF($P269=0,BY268,IF(BY$3=$E269,IF($AA269=1,$F269&amp;$AB269,$G269),IF(OR(BY$3=$D269,BY$3=$AC269,BY$3=$AE269),"",IF(BY$3=$AD269,$F269&amp;"R",BY268))))</f>
        <v/>
      </c>
      <c r="BZ269" s="11" t="str">
        <f aca="false">IF($P269=0,BZ268,IF(BZ$3=$E269,IF($AA269=1,$F269&amp;$AB269,$G269),IF(OR(BZ$3=$D269,BZ$3=$AC269,BZ$3=$AE269),"",IF(BZ$3=$AD269,$F269&amp;"R",BZ268))))</f>
        <v/>
      </c>
      <c r="CA269" s="11" t="str">
        <f aca="false">IF($P269=0,CA268,IF(CA$3=$E269,IF($AA269=1,$F269&amp;$AB269,$G269),IF(OR(CA$3=$D269,CA$3=$AC269,CA$3=$AE269),"",IF(CA$3=$AD269,$F269&amp;"R",CA268))))</f>
        <v/>
      </c>
      <c r="CB269" s="11" t="str">
        <f aca="false">IF($P269=0,CB268,IF(CB$3=$E269,IF($AA269=1,$F269&amp;$AB269,$G269),IF(OR(CB$3=$D269,CB$3=$AC269,CB$3=$AE269),"",IF(CB$3=$AD269,$F269&amp;"R",CB268))))</f>
        <v/>
      </c>
      <c r="CC269" s="11" t="str">
        <f aca="false">IF($P269=0,CC268,IF(CC$3=$E269,IF($AA269=1,$F269&amp;$AB269,$G269),IF(OR(CC$3=$D269,CC$3=$AC269,CC$3=$AE269),"",IF(CC$3=$AD269,$F269&amp;"R",CC268))))</f>
        <v/>
      </c>
      <c r="CD269" s="11" t="str">
        <f aca="false">IF($P269=0,CD268,IF(CD$3=$E269,IF($AA269=1,$F269&amp;$AB269,$G269),IF(OR(CD$3=$D269,CD$3=$AC269,CD$3=$AE269),"",IF(CD$3=$AD269,$F269&amp;"R",CD268))))</f>
        <v>bP</v>
      </c>
      <c r="CE269" s="11" t="str">
        <f aca="false">IF($P269=0,CE268,IF(CE$3=$E269,IF($AA269=1,$F269&amp;$AB269,$G269),IF(OR(CE$3=$D269,CE$3=$AC269,CE$3=$AE269),"",IF(CE$3=$AD269,$F269&amp;"R",CE268))))</f>
        <v>bP</v>
      </c>
      <c r="CF269" s="11" t="str">
        <f aca="false">IF($P269=0,CF268,IF(CF$3=$E269,IF($AA269=1,$F269&amp;$AB269,$G269),IF(OR(CF$3=$D269,CF$3=$AC269,CF$3=$AE269),"",IF(CF$3=$AD269,$F269&amp;"R",CF268))))</f>
        <v>bP</v>
      </c>
      <c r="CG269" s="11" t="str">
        <f aca="false">IF($P269=0,CG268,IF(CG$3=$E269,IF($AA269=1,$F269&amp;$AB269,$G269),IF(OR(CG$3=$D269,CG$3=$AC269,CG$3=$AE269),"",IF(CG$3=$AD269,$F269&amp;"R",CG268))))</f>
        <v>bP</v>
      </c>
      <c r="CH269" s="11" t="str">
        <f aca="false">IF($P269=0,CH268,IF(CH$3=$E269,IF($AA269=1,$F269&amp;$AB269,$G269),IF(OR(CH$3=$D269,CH$3=$AC269,CH$3=$AE269),"",IF(CH$3=$AD269,$F269&amp;"R",CH268))))</f>
        <v>bP</v>
      </c>
      <c r="CI269" s="11" t="str">
        <f aca="false">IF($P269=0,CI268,IF(CI$3=$E269,IF($AA269=1,$F269&amp;$AB269,$G269),IF(OR(CI$3=$D269,CI$3=$AC269,CI$3=$AE269),"",IF(CI$3=$AD269,$F269&amp;"R",CI268))))</f>
        <v>bP</v>
      </c>
      <c r="CJ269" s="11" t="str">
        <f aca="false">IF($P269=0,CJ268,IF(CJ$3=$E269,IF($AA269=1,$F269&amp;$AB269,$G269),IF(OR(CJ$3=$D269,CJ$3=$AC269,CJ$3=$AE269),"",IF(CJ$3=$AD269,$F269&amp;"R",CJ268))))</f>
        <v>bP</v>
      </c>
      <c r="CK269" s="11" t="str">
        <f aca="false">IF($P269=0,CK268,IF(CK$3=$E269,IF($AA269=1,$F269&amp;$AB269,$G269),IF(OR(CK$3=$D269,CK$3=$AC269,CK$3=$AE269),"",IF(CK$3=$AD269,$F269&amp;"R",CK268))))</f>
        <v>bP</v>
      </c>
      <c r="CL269" s="11" t="str">
        <f aca="false">IF($P269=0,CL268,IF(CL$3=$E269,IF($AA269=1,$F269&amp;$AB269,$G269),IF(OR(CL$3=$D269,CL$3=$AC269,CL$3=$AE269),"",IF(CL$3=$AD269,$F269&amp;"R",CL268))))</f>
        <v>bR</v>
      </c>
      <c r="CM269" s="11" t="str">
        <f aca="false">IF($P269=0,CM268,IF(CM$3=$E269,IF($AA269=1,$F269&amp;$AB269,$G269),IF(OR(CM$3=$D269,CM$3=$AC269,CM$3=$AE269),"",IF(CM$3=$AD269,$F269&amp;"R",CM268))))</f>
        <v>bN</v>
      </c>
      <c r="CN269" s="11" t="str">
        <f aca="false">IF($P269=0,CN268,IF(CN$3=$E269,IF($AA269=1,$F269&amp;$AB269,$G269),IF(OR(CN$3=$D269,CN$3=$AC269,CN$3=$AE269),"",IF(CN$3=$AD269,$F269&amp;"R",CN268))))</f>
        <v>bB</v>
      </c>
      <c r="CO269" s="11" t="str">
        <f aca="false">IF($P269=0,CO268,IF(CO$3=$E269,IF($AA269=1,$F269&amp;$AB269,$G269),IF(OR(CO$3=$D269,CO$3=$AC269,CO$3=$AE269),"",IF(CO$3=$AD269,$F269&amp;"R",CO268))))</f>
        <v>bQ</v>
      </c>
      <c r="CP269" s="11" t="str">
        <f aca="false">IF($P269=0,CP268,IF(CP$3=$E269,IF($AA269=1,$F269&amp;$AB269,$G269),IF(OR(CP$3=$D269,CP$3=$AC269,CP$3=$AE269),"",IF(CP$3=$AD269,$F269&amp;"R",CP268))))</f>
        <v>bK</v>
      </c>
      <c r="CQ269" s="11" t="str">
        <f aca="false">IF($P269=0,CQ268,IF(CQ$3=$E269,IF($AA269=1,$F269&amp;$AB269,$G269),IF(OR(CQ$3=$D269,CQ$3=$AC269,CQ$3=$AE269),"",IF(CQ$3=$AD269,$F269&amp;"R",CQ268))))</f>
        <v>bB</v>
      </c>
      <c r="CR269" s="11" t="str">
        <f aca="false">IF($P269=0,CR268,IF(CR$3=$E269,IF($AA269=1,$F269&amp;$AB269,$G269),IF(OR(CR$3=$D269,CR$3=$AC269,CR$3=$AE269),"",IF(CR$3=$AD269,$F269&amp;"R",CR268))))</f>
        <v>bN</v>
      </c>
      <c r="CS269" s="11" t="str">
        <f aca="false">IF($P269=0,CS268,IF(CS$3=$E269,IF($AA269=1,$F269&amp;$AB269,$G269),IF(OR(CS$3=$D269,CS$3=$AC269,CS$3=$AE269),"",IF(CS$3=$AD269,$F269&amp;"R",CS268))))</f>
        <v>bR</v>
      </c>
      <c r="CT269" s="11"/>
      <c r="CU269" s="11"/>
      <c r="CV269" s="11"/>
    </row>
    <row r="270" customFormat="false" ht="15" hidden="false" customHeight="false" outlineLevel="0" collapsed="false">
      <c r="A270" s="11" t="n">
        <v>265</v>
      </c>
      <c r="B270" s="11" t="str">
        <f aca="false">IF(Chess!$L$274="","",Chess!$L$274&amp;"")</f>
        <v/>
      </c>
      <c r="C270" s="11" t="str">
        <f aca="false">LOWER(SUBSTITUTE(SUBSTITUTE(SUBSTITUTE(SUBSTITUTE(TRIM($B270),"-",""),"=","")," ",""),"x",""))</f>
        <v/>
      </c>
      <c r="D270" s="11" t="n">
        <f aca="false">IF(LEN($C270)&lt;4,0,IFERROR(IF(AND(CODE(MID($C270,1,1))&gt;=97,CODE(MID($C270,1,1))&lt;=104,VALUE(MID($C270,2,1))&gt;=1,VALUE(MID($C270,2,1))&lt;=8),(VALUE(MID($C270,2,1))-1)*8+CODE(MID($C270,1,1))-96,0),0))</f>
        <v>0</v>
      </c>
      <c r="E270" s="11" t="n">
        <f aca="false">IF(LEN($C270)&lt;4,0,IFERROR(IF(AND(CODE(MID($C270,3,1))&gt;=97,CODE(MID($C270,3,1))&lt;=104,VALUE(MID($C270,4,1))&gt;=1,VALUE(MID($C270,4,1))&lt;=8),(VALUE(MID($C270,4,1))-1)*8+CODE(MID($C270,3,1))-96,0),0))</f>
        <v>0</v>
      </c>
      <c r="F270" s="11" t="str">
        <f aca="false">IF(MOD(SUM($P$5:$P269),2)=0,"w","b")</f>
        <v>w</v>
      </c>
      <c r="G270" s="11" t="str">
        <f aca="false">IF($D270=0,"",INDEX($AH269:$CS269,1,$D270)&amp;"")</f>
        <v/>
      </c>
      <c r="H270" s="11" t="str">
        <f aca="false">IF($E270=0,"",INDEX($AH269:$CS269,1,$E270)&amp;"")</f>
        <v/>
      </c>
      <c r="I270" s="11" t="n">
        <f aca="false">IF(OR($D270=0,$E270=0),0,MOD($E270-1,8)-MOD($D270-1,8))</f>
        <v>0</v>
      </c>
      <c r="J270" s="11" t="n">
        <f aca="false">IF(OR($D270=0,$E270=0),0,INT(($E270-1)/8)-INT(($D270-1)/8))</f>
        <v>0</v>
      </c>
      <c r="K270" s="11" t="str">
        <f aca="false">IF($G270="","",RIGHT($G270,1))</f>
        <v/>
      </c>
      <c r="L270" s="11" t="n">
        <f aca="false">IF(OR($D270=0,$E270=0),0,SUMPRODUCT(($AH$3:$CS$3&gt;MIN($D270,$E270))*($AH$3:$CS$3&lt;MAX($D270,$E270))*(MOD($AH$3:$CS$3-MIN($D270,$E270),MAX(1,ABS(SIGN($J270)*8+SIGN($I270))))=0)*($AH269:$CS269&lt;&gt;"")))</f>
        <v>0</v>
      </c>
      <c r="M270" s="11" t="n">
        <f aca="false">IF($K270&lt;&gt;"K",0,IFERROR(--AND($J270=0,ABS($I270)=2,$D270=IF($F270="w",5,61),IF($F270="w",$S269,$V269)=0,IF($I270=2,AND(IF($F270="w",$U269,$X269)=0,INDEX($AH269:$CS269,1,$D270+1)&amp;""="",INDEX($AH269:$CS269,1,$D270+2)&amp;""=""),AND(IF($F270="w",$T269,$W269)=0,INDEX($AH269:$CS269,1,$D270-1)&amp;""="",INDEX($AH269:$CS269,1,$D270-2)&amp;""="",INDEX($AH269:$CS269,1,$D270-3)&amp;""=""))),0))</f>
        <v>0</v>
      </c>
      <c r="N270" s="11" t="n">
        <f aca="false">IF($K270&lt;&gt;"P",0,IFERROR(--OR(AND($I270=0,$J270=IF($F270="w",1,-1),$H270=""),AND($I270=0,$J270=2*IF($F270="w",1,-1),$H270="",INT(($D270-1)/8)=IF($F270="w",1,6),INDEX($AH269:$CS269,1,MAX(1,MIN(64,$D270+8*IF($F270="w",1,-1))))&amp;""=""),AND(ABS($I270)=1,$J270=IF($F270="w",1,-1),$H270&lt;&gt;""),AND(ABS($I270)=1,$J270=IF($F270="w",1,-1),$H270="",$R269&gt;0,$E270=$R269)),0))</f>
        <v>0</v>
      </c>
      <c r="O270" s="11" t="n">
        <f aca="false">IF(OR($D270=0,$E270=0,$G270=""),0,IF($K270="N",--OR(AND(ABS($I270)=1,ABS($J270)=2),AND(ABS($I270)=2,ABS($J270)=1)),IF($K270="B",--AND(ABS($I270)=ABS($J270),$I270&lt;&gt;0,$L270=0),IF($K270="R",--AND(OR($I270=0,$J270=0),OR($I270&lt;&gt;0,$J270&lt;&gt;0),$L270=0),IF($K270="Q",--AND(OR(AND(ABS($I270)=ABS($J270),$I270&lt;&gt;0),AND(OR($I270=0,$J270=0),OR($I270&lt;&gt;0,$J270&lt;&gt;0))),$L270=0),IF($K270="K",--OR(MAX(ABS($I270),ABS($J270))=1,$M270=1),$N270))))))</f>
        <v>0</v>
      </c>
      <c r="P270" s="11" t="n">
        <f aca="false">IF($Q270="OK",1,0)</f>
        <v>0</v>
      </c>
      <c r="Q270" s="11" t="str">
        <f aca="false">IF($B270="","",IF(OR(COUNTIF($AH269:$CS269,"wK")=0,COUNTIF($AH269:$CS269,"bK")=0),"Game is over",IF(OR($D270=0,$E270=0),"Use the format e2e4",IF($G270="","No piece on that square",IF(LEFT($G270,1)&lt;&gt;$F270,"Not your piece ("&amp;IF($F270="w","White","Black")&amp;" to move)",IF($D270=$E270,"Piece must move",IF(AND($H270&lt;&gt;"",LEFT($H270,1)=$F270),"Cannot capture your own piece",IF($O270=0,"Illegal move for that piece (or path blocked)","OK"))))))))</f>
        <v/>
      </c>
      <c r="R270" s="11" t="n">
        <f aca="false">IF($P270=1,IF(AND($K270="P",ABS($J270)=2),($D270+$E270)/2,0),$R269)</f>
        <v>0</v>
      </c>
      <c r="S270" s="12" t="b">
        <f aca="false">--OR($S269=1,AND($P270=1,OR($D270=5,$E270=5)))</f>
        <v>0</v>
      </c>
      <c r="T270" s="12" t="b">
        <f aca="false">--OR($T269=1,AND($P270=1,OR($D270=1,$E270=1)))</f>
        <v>0</v>
      </c>
      <c r="U270" s="12" t="b">
        <f aca="false">--OR($U269=1,AND($P270=1,OR($D270=8,$E270=8)))</f>
        <v>0</v>
      </c>
      <c r="V270" s="12" t="b">
        <f aca="false">--OR($V269=1,AND($P270=1,OR($D270=61,$E270=61)))</f>
        <v>0</v>
      </c>
      <c r="W270" s="12" t="b">
        <f aca="false">--OR($W269=1,AND($P270=1,OR($D270=57,$E270=57)))</f>
        <v>0</v>
      </c>
      <c r="X270" s="12" t="b">
        <f aca="false">--OR($X269=1,AND($P270=1,OR($D270=64,$E270=64)))</f>
        <v>0</v>
      </c>
      <c r="Y270" s="12" t="b">
        <f aca="false">--AND($P270=1,$K270="K",ABS($I270)=2)</f>
        <v>0</v>
      </c>
      <c r="Z270" s="12" t="b">
        <f aca="false">--AND($P270=1,$K270="P",ABS($I270)=1,$H270="")</f>
        <v>0</v>
      </c>
      <c r="AA270" s="12" t="b">
        <f aca="false">--AND($P270=1,$K270="P",INT(($E270-1)/8)=IF($F270="w",7,0))</f>
        <v>0</v>
      </c>
      <c r="AB270" s="11" t="str">
        <f aca="false">IF(LEN($C270)&gt;=5,IF(ISNUMBER(FIND(MID($C270,5,1),"qrbn")),UPPER(MID($C270,5,1)),"Q"),"Q")</f>
        <v>Q</v>
      </c>
      <c r="AC270" s="11" t="n">
        <f aca="false">IF($Y270=1,IF($I270=2,$D270+3,$D270-4),0)</f>
        <v>0</v>
      </c>
      <c r="AD270" s="11" t="n">
        <f aca="false">IF($Y270=1,IF($I270=2,$D270+1,$D270-1),0)</f>
        <v>0</v>
      </c>
      <c r="AE270" s="11" t="n">
        <f aca="false">IF($Z270=1,$E270-8*IF($F270="w",1,-1),0)</f>
        <v>0</v>
      </c>
      <c r="AF270" s="11" t="str">
        <f aca="false">IF($B270="","",IF($P270=1,LOWER(INDEX($CV$2:$CV$13,MATCH($G270,$CU$2:$CU$13,0)))&amp;" "&amp;MID("abcdefgh",MOD($D270-1,8)+1,1)&amp;(INT(($D270-1)/8)+1)&amp;"→"&amp;MID("abcdefgh",MOD($E270-1,8)+1,1)&amp;(INT(($E270-1)/8)+1)&amp;IF(OR($H270&lt;&gt;"",$Z270=1)," ×","")&amp;IF($Y270=1," castles","")&amp;IF($Z270=1," e.p.","")&amp;IF($AA270=1," =" &amp;LOWER(INDEX($CV$2:$CV$13,MATCH($F270&amp;$AB270,$CU$2:$CU$13,0))),""),"X "&amp;$Q270))</f>
        <v/>
      </c>
      <c r="AG270" s="11"/>
      <c r="AH270" s="11" t="str">
        <f aca="false">IF($P270=0,AH269,IF(AH$3=$E270,IF($AA270=1,$F270&amp;$AB270,$G270),IF(OR(AH$3=$D270,AH$3=$AC270,AH$3=$AE270),"",IF(AH$3=$AD270,$F270&amp;"R",AH269))))</f>
        <v>wR</v>
      </c>
      <c r="AI270" s="11" t="str">
        <f aca="false">IF($P270=0,AI269,IF(AI$3=$E270,IF($AA270=1,$F270&amp;$AB270,$G270),IF(OR(AI$3=$D270,AI$3=$AC270,AI$3=$AE270),"",IF(AI$3=$AD270,$F270&amp;"R",AI269))))</f>
        <v>wN</v>
      </c>
      <c r="AJ270" s="11" t="str">
        <f aca="false">IF($P270=0,AJ269,IF(AJ$3=$E270,IF($AA270=1,$F270&amp;$AB270,$G270),IF(OR(AJ$3=$D270,AJ$3=$AC270,AJ$3=$AE270),"",IF(AJ$3=$AD270,$F270&amp;"R",AJ269))))</f>
        <v>wB</v>
      </c>
      <c r="AK270" s="11" t="str">
        <f aca="false">IF($P270=0,AK269,IF(AK$3=$E270,IF($AA270=1,$F270&amp;$AB270,$G270),IF(OR(AK$3=$D270,AK$3=$AC270,AK$3=$AE270),"",IF(AK$3=$AD270,$F270&amp;"R",AK269))))</f>
        <v>wQ</v>
      </c>
      <c r="AL270" s="11" t="str">
        <f aca="false">IF($P270=0,AL269,IF(AL$3=$E270,IF($AA270=1,$F270&amp;$AB270,$G270),IF(OR(AL$3=$D270,AL$3=$AC270,AL$3=$AE270),"",IF(AL$3=$AD270,$F270&amp;"R",AL269))))</f>
        <v>wK</v>
      </c>
      <c r="AM270" s="11" t="str">
        <f aca="false">IF($P270=0,AM269,IF(AM$3=$E270,IF($AA270=1,$F270&amp;$AB270,$G270),IF(OR(AM$3=$D270,AM$3=$AC270,AM$3=$AE270),"",IF(AM$3=$AD270,$F270&amp;"R",AM269))))</f>
        <v>wB</v>
      </c>
      <c r="AN270" s="11" t="str">
        <f aca="false">IF($P270=0,AN269,IF(AN$3=$E270,IF($AA270=1,$F270&amp;$AB270,$G270),IF(OR(AN$3=$D270,AN$3=$AC270,AN$3=$AE270),"",IF(AN$3=$AD270,$F270&amp;"R",AN269))))</f>
        <v>wN</v>
      </c>
      <c r="AO270" s="11" t="str">
        <f aca="false">IF($P270=0,AO269,IF(AO$3=$E270,IF($AA270=1,$F270&amp;$AB270,$G270),IF(OR(AO$3=$D270,AO$3=$AC270,AO$3=$AE270),"",IF(AO$3=$AD270,$F270&amp;"R",AO269))))</f>
        <v>wR</v>
      </c>
      <c r="AP270" s="11" t="str">
        <f aca="false">IF($P270=0,AP269,IF(AP$3=$E270,IF($AA270=1,$F270&amp;$AB270,$G270),IF(OR(AP$3=$D270,AP$3=$AC270,AP$3=$AE270),"",IF(AP$3=$AD270,$F270&amp;"R",AP269))))</f>
        <v>wP</v>
      </c>
      <c r="AQ270" s="11" t="str">
        <f aca="false">IF($P270=0,AQ269,IF(AQ$3=$E270,IF($AA270=1,$F270&amp;$AB270,$G270),IF(OR(AQ$3=$D270,AQ$3=$AC270,AQ$3=$AE270),"",IF(AQ$3=$AD270,$F270&amp;"R",AQ269))))</f>
        <v>wP</v>
      </c>
      <c r="AR270" s="11" t="str">
        <f aca="false">IF($P270=0,AR269,IF(AR$3=$E270,IF($AA270=1,$F270&amp;$AB270,$G270),IF(OR(AR$3=$D270,AR$3=$AC270,AR$3=$AE270),"",IF(AR$3=$AD270,$F270&amp;"R",AR269))))</f>
        <v>wP</v>
      </c>
      <c r="AS270" s="11" t="str">
        <f aca="false">IF($P270=0,AS269,IF(AS$3=$E270,IF($AA270=1,$F270&amp;$AB270,$G270),IF(OR(AS$3=$D270,AS$3=$AC270,AS$3=$AE270),"",IF(AS$3=$AD270,$F270&amp;"R",AS269))))</f>
        <v>wP</v>
      </c>
      <c r="AT270" s="11" t="str">
        <f aca="false">IF($P270=0,AT269,IF(AT$3=$E270,IF($AA270=1,$F270&amp;$AB270,$G270),IF(OR(AT$3=$D270,AT$3=$AC270,AT$3=$AE270),"",IF(AT$3=$AD270,$F270&amp;"R",AT269))))</f>
        <v>wP</v>
      </c>
      <c r="AU270" s="11" t="str">
        <f aca="false">IF($P270=0,AU269,IF(AU$3=$E270,IF($AA270=1,$F270&amp;$AB270,$G270),IF(OR(AU$3=$D270,AU$3=$AC270,AU$3=$AE270),"",IF(AU$3=$AD270,$F270&amp;"R",AU269))))</f>
        <v>wP</v>
      </c>
      <c r="AV270" s="11" t="str">
        <f aca="false">IF($P270=0,AV269,IF(AV$3=$E270,IF($AA270=1,$F270&amp;$AB270,$G270),IF(OR(AV$3=$D270,AV$3=$AC270,AV$3=$AE270),"",IF(AV$3=$AD270,$F270&amp;"R",AV269))))</f>
        <v>wP</v>
      </c>
      <c r="AW270" s="11" t="str">
        <f aca="false">IF($P270=0,AW269,IF(AW$3=$E270,IF($AA270=1,$F270&amp;$AB270,$G270),IF(OR(AW$3=$D270,AW$3=$AC270,AW$3=$AE270),"",IF(AW$3=$AD270,$F270&amp;"R",AW269))))</f>
        <v>wP</v>
      </c>
      <c r="AX270" s="11" t="str">
        <f aca="false">IF($P270=0,AX269,IF(AX$3=$E270,IF($AA270=1,$F270&amp;$AB270,$G270),IF(OR(AX$3=$D270,AX$3=$AC270,AX$3=$AE270),"",IF(AX$3=$AD270,$F270&amp;"R",AX269))))</f>
        <v/>
      </c>
      <c r="AY270" s="11" t="str">
        <f aca="false">IF($P270=0,AY269,IF(AY$3=$E270,IF($AA270=1,$F270&amp;$AB270,$G270),IF(OR(AY$3=$D270,AY$3=$AC270,AY$3=$AE270),"",IF(AY$3=$AD270,$F270&amp;"R",AY269))))</f>
        <v/>
      </c>
      <c r="AZ270" s="11" t="str">
        <f aca="false">IF($P270=0,AZ269,IF(AZ$3=$E270,IF($AA270=1,$F270&amp;$AB270,$G270),IF(OR(AZ$3=$D270,AZ$3=$AC270,AZ$3=$AE270),"",IF(AZ$3=$AD270,$F270&amp;"R",AZ269))))</f>
        <v/>
      </c>
      <c r="BA270" s="11" t="str">
        <f aca="false">IF($P270=0,BA269,IF(BA$3=$E270,IF($AA270=1,$F270&amp;$AB270,$G270),IF(OR(BA$3=$D270,BA$3=$AC270,BA$3=$AE270),"",IF(BA$3=$AD270,$F270&amp;"R",BA269))))</f>
        <v/>
      </c>
      <c r="BB270" s="11" t="str">
        <f aca="false">IF($P270=0,BB269,IF(BB$3=$E270,IF($AA270=1,$F270&amp;$AB270,$G270),IF(OR(BB$3=$D270,BB$3=$AC270,BB$3=$AE270),"",IF(BB$3=$AD270,$F270&amp;"R",BB269))))</f>
        <v/>
      </c>
      <c r="BC270" s="11" t="str">
        <f aca="false">IF($P270=0,BC269,IF(BC$3=$E270,IF($AA270=1,$F270&amp;$AB270,$G270),IF(OR(BC$3=$D270,BC$3=$AC270,BC$3=$AE270),"",IF(BC$3=$AD270,$F270&amp;"R",BC269))))</f>
        <v/>
      </c>
      <c r="BD270" s="11" t="str">
        <f aca="false">IF($P270=0,BD269,IF(BD$3=$E270,IF($AA270=1,$F270&amp;$AB270,$G270),IF(OR(BD$3=$D270,BD$3=$AC270,BD$3=$AE270),"",IF(BD$3=$AD270,$F270&amp;"R",BD269))))</f>
        <v/>
      </c>
      <c r="BE270" s="11" t="str">
        <f aca="false">IF($P270=0,BE269,IF(BE$3=$E270,IF($AA270=1,$F270&amp;$AB270,$G270),IF(OR(BE$3=$D270,BE$3=$AC270,BE$3=$AE270),"",IF(BE$3=$AD270,$F270&amp;"R",BE269))))</f>
        <v/>
      </c>
      <c r="BF270" s="11" t="str">
        <f aca="false">IF($P270=0,BF269,IF(BF$3=$E270,IF($AA270=1,$F270&amp;$AB270,$G270),IF(OR(BF$3=$D270,BF$3=$AC270,BF$3=$AE270),"",IF(BF$3=$AD270,$F270&amp;"R",BF269))))</f>
        <v/>
      </c>
      <c r="BG270" s="11" t="str">
        <f aca="false">IF($P270=0,BG269,IF(BG$3=$E270,IF($AA270=1,$F270&amp;$AB270,$G270),IF(OR(BG$3=$D270,BG$3=$AC270,BG$3=$AE270),"",IF(BG$3=$AD270,$F270&amp;"R",BG269))))</f>
        <v/>
      </c>
      <c r="BH270" s="11" t="str">
        <f aca="false">IF($P270=0,BH269,IF(BH$3=$E270,IF($AA270=1,$F270&amp;$AB270,$G270),IF(OR(BH$3=$D270,BH$3=$AC270,BH$3=$AE270),"",IF(BH$3=$AD270,$F270&amp;"R",BH269))))</f>
        <v/>
      </c>
      <c r="BI270" s="11" t="str">
        <f aca="false">IF($P270=0,BI269,IF(BI$3=$E270,IF($AA270=1,$F270&amp;$AB270,$G270),IF(OR(BI$3=$D270,BI$3=$AC270,BI$3=$AE270),"",IF(BI$3=$AD270,$F270&amp;"R",BI269))))</f>
        <v/>
      </c>
      <c r="BJ270" s="11" t="str">
        <f aca="false">IF($P270=0,BJ269,IF(BJ$3=$E270,IF($AA270=1,$F270&amp;$AB270,$G270),IF(OR(BJ$3=$D270,BJ$3=$AC270,BJ$3=$AE270),"",IF(BJ$3=$AD270,$F270&amp;"R",BJ269))))</f>
        <v/>
      </c>
      <c r="BK270" s="11" t="str">
        <f aca="false">IF($P270=0,BK269,IF(BK$3=$E270,IF($AA270=1,$F270&amp;$AB270,$G270),IF(OR(BK$3=$D270,BK$3=$AC270,BK$3=$AE270),"",IF(BK$3=$AD270,$F270&amp;"R",BK269))))</f>
        <v/>
      </c>
      <c r="BL270" s="11" t="str">
        <f aca="false">IF($P270=0,BL269,IF(BL$3=$E270,IF($AA270=1,$F270&amp;$AB270,$G270),IF(OR(BL$3=$D270,BL$3=$AC270,BL$3=$AE270),"",IF(BL$3=$AD270,$F270&amp;"R",BL269))))</f>
        <v/>
      </c>
      <c r="BM270" s="11" t="str">
        <f aca="false">IF($P270=0,BM269,IF(BM$3=$E270,IF($AA270=1,$F270&amp;$AB270,$G270),IF(OR(BM$3=$D270,BM$3=$AC270,BM$3=$AE270),"",IF(BM$3=$AD270,$F270&amp;"R",BM269))))</f>
        <v/>
      </c>
      <c r="BN270" s="11" t="str">
        <f aca="false">IF($P270=0,BN269,IF(BN$3=$E270,IF($AA270=1,$F270&amp;$AB270,$G270),IF(OR(BN$3=$D270,BN$3=$AC270,BN$3=$AE270),"",IF(BN$3=$AD270,$F270&amp;"R",BN269))))</f>
        <v/>
      </c>
      <c r="BO270" s="11" t="str">
        <f aca="false">IF($P270=0,BO269,IF(BO$3=$E270,IF($AA270=1,$F270&amp;$AB270,$G270),IF(OR(BO$3=$D270,BO$3=$AC270,BO$3=$AE270),"",IF(BO$3=$AD270,$F270&amp;"R",BO269))))</f>
        <v/>
      </c>
      <c r="BP270" s="11" t="str">
        <f aca="false">IF($P270=0,BP269,IF(BP$3=$E270,IF($AA270=1,$F270&amp;$AB270,$G270),IF(OR(BP$3=$D270,BP$3=$AC270,BP$3=$AE270),"",IF(BP$3=$AD270,$F270&amp;"R",BP269))))</f>
        <v/>
      </c>
      <c r="BQ270" s="11" t="str">
        <f aca="false">IF($P270=0,BQ269,IF(BQ$3=$E270,IF($AA270=1,$F270&amp;$AB270,$G270),IF(OR(BQ$3=$D270,BQ$3=$AC270,BQ$3=$AE270),"",IF(BQ$3=$AD270,$F270&amp;"R",BQ269))))</f>
        <v/>
      </c>
      <c r="BR270" s="11" t="str">
        <f aca="false">IF($P270=0,BR269,IF(BR$3=$E270,IF($AA270=1,$F270&amp;$AB270,$G270),IF(OR(BR$3=$D270,BR$3=$AC270,BR$3=$AE270),"",IF(BR$3=$AD270,$F270&amp;"R",BR269))))</f>
        <v/>
      </c>
      <c r="BS270" s="11" t="str">
        <f aca="false">IF($P270=0,BS269,IF(BS$3=$E270,IF($AA270=1,$F270&amp;$AB270,$G270),IF(OR(BS$3=$D270,BS$3=$AC270,BS$3=$AE270),"",IF(BS$3=$AD270,$F270&amp;"R",BS269))))</f>
        <v/>
      </c>
      <c r="BT270" s="11" t="str">
        <f aca="false">IF($P270=0,BT269,IF(BT$3=$E270,IF($AA270=1,$F270&amp;$AB270,$G270),IF(OR(BT$3=$D270,BT$3=$AC270,BT$3=$AE270),"",IF(BT$3=$AD270,$F270&amp;"R",BT269))))</f>
        <v/>
      </c>
      <c r="BU270" s="11" t="str">
        <f aca="false">IF($P270=0,BU269,IF(BU$3=$E270,IF($AA270=1,$F270&amp;$AB270,$G270),IF(OR(BU$3=$D270,BU$3=$AC270,BU$3=$AE270),"",IF(BU$3=$AD270,$F270&amp;"R",BU269))))</f>
        <v/>
      </c>
      <c r="BV270" s="11" t="str">
        <f aca="false">IF($P270=0,BV269,IF(BV$3=$E270,IF($AA270=1,$F270&amp;$AB270,$G270),IF(OR(BV$3=$D270,BV$3=$AC270,BV$3=$AE270),"",IF(BV$3=$AD270,$F270&amp;"R",BV269))))</f>
        <v/>
      </c>
      <c r="BW270" s="11" t="str">
        <f aca="false">IF($P270=0,BW269,IF(BW$3=$E270,IF($AA270=1,$F270&amp;$AB270,$G270),IF(OR(BW$3=$D270,BW$3=$AC270,BW$3=$AE270),"",IF(BW$3=$AD270,$F270&amp;"R",BW269))))</f>
        <v/>
      </c>
      <c r="BX270" s="11" t="str">
        <f aca="false">IF($P270=0,BX269,IF(BX$3=$E270,IF($AA270=1,$F270&amp;$AB270,$G270),IF(OR(BX$3=$D270,BX$3=$AC270,BX$3=$AE270),"",IF(BX$3=$AD270,$F270&amp;"R",BX269))))</f>
        <v/>
      </c>
      <c r="BY270" s="11" t="str">
        <f aca="false">IF($P270=0,BY269,IF(BY$3=$E270,IF($AA270=1,$F270&amp;$AB270,$G270),IF(OR(BY$3=$D270,BY$3=$AC270,BY$3=$AE270),"",IF(BY$3=$AD270,$F270&amp;"R",BY269))))</f>
        <v/>
      </c>
      <c r="BZ270" s="11" t="str">
        <f aca="false">IF($P270=0,BZ269,IF(BZ$3=$E270,IF($AA270=1,$F270&amp;$AB270,$G270),IF(OR(BZ$3=$D270,BZ$3=$AC270,BZ$3=$AE270),"",IF(BZ$3=$AD270,$F270&amp;"R",BZ269))))</f>
        <v/>
      </c>
      <c r="CA270" s="11" t="str">
        <f aca="false">IF($P270=0,CA269,IF(CA$3=$E270,IF($AA270=1,$F270&amp;$AB270,$G270),IF(OR(CA$3=$D270,CA$3=$AC270,CA$3=$AE270),"",IF(CA$3=$AD270,$F270&amp;"R",CA269))))</f>
        <v/>
      </c>
      <c r="CB270" s="11" t="str">
        <f aca="false">IF($P270=0,CB269,IF(CB$3=$E270,IF($AA270=1,$F270&amp;$AB270,$G270),IF(OR(CB$3=$D270,CB$3=$AC270,CB$3=$AE270),"",IF(CB$3=$AD270,$F270&amp;"R",CB269))))</f>
        <v/>
      </c>
      <c r="CC270" s="11" t="str">
        <f aca="false">IF($P270=0,CC269,IF(CC$3=$E270,IF($AA270=1,$F270&amp;$AB270,$G270),IF(OR(CC$3=$D270,CC$3=$AC270,CC$3=$AE270),"",IF(CC$3=$AD270,$F270&amp;"R",CC269))))</f>
        <v/>
      </c>
      <c r="CD270" s="11" t="str">
        <f aca="false">IF($P270=0,CD269,IF(CD$3=$E270,IF($AA270=1,$F270&amp;$AB270,$G270),IF(OR(CD$3=$D270,CD$3=$AC270,CD$3=$AE270),"",IF(CD$3=$AD270,$F270&amp;"R",CD269))))</f>
        <v>bP</v>
      </c>
      <c r="CE270" s="11" t="str">
        <f aca="false">IF($P270=0,CE269,IF(CE$3=$E270,IF($AA270=1,$F270&amp;$AB270,$G270),IF(OR(CE$3=$D270,CE$3=$AC270,CE$3=$AE270),"",IF(CE$3=$AD270,$F270&amp;"R",CE269))))</f>
        <v>bP</v>
      </c>
      <c r="CF270" s="11" t="str">
        <f aca="false">IF($P270=0,CF269,IF(CF$3=$E270,IF($AA270=1,$F270&amp;$AB270,$G270),IF(OR(CF$3=$D270,CF$3=$AC270,CF$3=$AE270),"",IF(CF$3=$AD270,$F270&amp;"R",CF269))))</f>
        <v>bP</v>
      </c>
      <c r="CG270" s="11" t="str">
        <f aca="false">IF($P270=0,CG269,IF(CG$3=$E270,IF($AA270=1,$F270&amp;$AB270,$G270),IF(OR(CG$3=$D270,CG$3=$AC270,CG$3=$AE270),"",IF(CG$3=$AD270,$F270&amp;"R",CG269))))</f>
        <v>bP</v>
      </c>
      <c r="CH270" s="11" t="str">
        <f aca="false">IF($P270=0,CH269,IF(CH$3=$E270,IF($AA270=1,$F270&amp;$AB270,$G270),IF(OR(CH$3=$D270,CH$3=$AC270,CH$3=$AE270),"",IF(CH$3=$AD270,$F270&amp;"R",CH269))))</f>
        <v>bP</v>
      </c>
      <c r="CI270" s="11" t="str">
        <f aca="false">IF($P270=0,CI269,IF(CI$3=$E270,IF($AA270=1,$F270&amp;$AB270,$G270),IF(OR(CI$3=$D270,CI$3=$AC270,CI$3=$AE270),"",IF(CI$3=$AD270,$F270&amp;"R",CI269))))</f>
        <v>bP</v>
      </c>
      <c r="CJ270" s="11" t="str">
        <f aca="false">IF($P270=0,CJ269,IF(CJ$3=$E270,IF($AA270=1,$F270&amp;$AB270,$G270),IF(OR(CJ$3=$D270,CJ$3=$AC270,CJ$3=$AE270),"",IF(CJ$3=$AD270,$F270&amp;"R",CJ269))))</f>
        <v>bP</v>
      </c>
      <c r="CK270" s="11" t="str">
        <f aca="false">IF($P270=0,CK269,IF(CK$3=$E270,IF($AA270=1,$F270&amp;$AB270,$G270),IF(OR(CK$3=$D270,CK$3=$AC270,CK$3=$AE270),"",IF(CK$3=$AD270,$F270&amp;"R",CK269))))</f>
        <v>bP</v>
      </c>
      <c r="CL270" s="11" t="str">
        <f aca="false">IF($P270=0,CL269,IF(CL$3=$E270,IF($AA270=1,$F270&amp;$AB270,$G270),IF(OR(CL$3=$D270,CL$3=$AC270,CL$3=$AE270),"",IF(CL$3=$AD270,$F270&amp;"R",CL269))))</f>
        <v>bR</v>
      </c>
      <c r="CM270" s="11" t="str">
        <f aca="false">IF($P270=0,CM269,IF(CM$3=$E270,IF($AA270=1,$F270&amp;$AB270,$G270),IF(OR(CM$3=$D270,CM$3=$AC270,CM$3=$AE270),"",IF(CM$3=$AD270,$F270&amp;"R",CM269))))</f>
        <v>bN</v>
      </c>
      <c r="CN270" s="11" t="str">
        <f aca="false">IF($P270=0,CN269,IF(CN$3=$E270,IF($AA270=1,$F270&amp;$AB270,$G270),IF(OR(CN$3=$D270,CN$3=$AC270,CN$3=$AE270),"",IF(CN$3=$AD270,$F270&amp;"R",CN269))))</f>
        <v>bB</v>
      </c>
      <c r="CO270" s="11" t="str">
        <f aca="false">IF($P270=0,CO269,IF(CO$3=$E270,IF($AA270=1,$F270&amp;$AB270,$G270),IF(OR(CO$3=$D270,CO$3=$AC270,CO$3=$AE270),"",IF(CO$3=$AD270,$F270&amp;"R",CO269))))</f>
        <v>bQ</v>
      </c>
      <c r="CP270" s="11" t="str">
        <f aca="false">IF($P270=0,CP269,IF(CP$3=$E270,IF($AA270=1,$F270&amp;$AB270,$G270),IF(OR(CP$3=$D270,CP$3=$AC270,CP$3=$AE270),"",IF(CP$3=$AD270,$F270&amp;"R",CP269))))</f>
        <v>bK</v>
      </c>
      <c r="CQ270" s="11" t="str">
        <f aca="false">IF($P270=0,CQ269,IF(CQ$3=$E270,IF($AA270=1,$F270&amp;$AB270,$G270),IF(OR(CQ$3=$D270,CQ$3=$AC270,CQ$3=$AE270),"",IF(CQ$3=$AD270,$F270&amp;"R",CQ269))))</f>
        <v>bB</v>
      </c>
      <c r="CR270" s="11" t="str">
        <f aca="false">IF($P270=0,CR269,IF(CR$3=$E270,IF($AA270=1,$F270&amp;$AB270,$G270),IF(OR(CR$3=$D270,CR$3=$AC270,CR$3=$AE270),"",IF(CR$3=$AD270,$F270&amp;"R",CR269))))</f>
        <v>bN</v>
      </c>
      <c r="CS270" s="11" t="str">
        <f aca="false">IF($P270=0,CS269,IF(CS$3=$E270,IF($AA270=1,$F270&amp;$AB270,$G270),IF(OR(CS$3=$D270,CS$3=$AC270,CS$3=$AE270),"",IF(CS$3=$AD270,$F270&amp;"R",CS269))))</f>
        <v>bR</v>
      </c>
      <c r="CT270" s="11"/>
      <c r="CU270" s="11"/>
      <c r="CV270" s="11"/>
    </row>
    <row r="271" customFormat="false" ht="15" hidden="false" customHeight="false" outlineLevel="0" collapsed="false">
      <c r="A271" s="11" t="n">
        <v>266</v>
      </c>
      <c r="B271" s="11" t="str">
        <f aca="false">IF(Chess!$L$275="","",Chess!$L$275&amp;"")</f>
        <v/>
      </c>
      <c r="C271" s="11" t="str">
        <f aca="false">LOWER(SUBSTITUTE(SUBSTITUTE(SUBSTITUTE(SUBSTITUTE(TRIM($B271),"-",""),"=","")," ",""),"x",""))</f>
        <v/>
      </c>
      <c r="D271" s="11" t="n">
        <f aca="false">IF(LEN($C271)&lt;4,0,IFERROR(IF(AND(CODE(MID($C271,1,1))&gt;=97,CODE(MID($C271,1,1))&lt;=104,VALUE(MID($C271,2,1))&gt;=1,VALUE(MID($C271,2,1))&lt;=8),(VALUE(MID($C271,2,1))-1)*8+CODE(MID($C271,1,1))-96,0),0))</f>
        <v>0</v>
      </c>
      <c r="E271" s="11" t="n">
        <f aca="false">IF(LEN($C271)&lt;4,0,IFERROR(IF(AND(CODE(MID($C271,3,1))&gt;=97,CODE(MID($C271,3,1))&lt;=104,VALUE(MID($C271,4,1))&gt;=1,VALUE(MID($C271,4,1))&lt;=8),(VALUE(MID($C271,4,1))-1)*8+CODE(MID($C271,3,1))-96,0),0))</f>
        <v>0</v>
      </c>
      <c r="F271" s="11" t="str">
        <f aca="false">IF(MOD(SUM($P$5:$P270),2)=0,"w","b")</f>
        <v>w</v>
      </c>
      <c r="G271" s="11" t="str">
        <f aca="false">IF($D271=0,"",INDEX($AH270:$CS270,1,$D271)&amp;"")</f>
        <v/>
      </c>
      <c r="H271" s="11" t="str">
        <f aca="false">IF($E271=0,"",INDEX($AH270:$CS270,1,$E271)&amp;"")</f>
        <v/>
      </c>
      <c r="I271" s="11" t="n">
        <f aca="false">IF(OR($D271=0,$E271=0),0,MOD($E271-1,8)-MOD($D271-1,8))</f>
        <v>0</v>
      </c>
      <c r="J271" s="11" t="n">
        <f aca="false">IF(OR($D271=0,$E271=0),0,INT(($E271-1)/8)-INT(($D271-1)/8))</f>
        <v>0</v>
      </c>
      <c r="K271" s="11" t="str">
        <f aca="false">IF($G271="","",RIGHT($G271,1))</f>
        <v/>
      </c>
      <c r="L271" s="11" t="n">
        <f aca="false">IF(OR($D271=0,$E271=0),0,SUMPRODUCT(($AH$3:$CS$3&gt;MIN($D271,$E271))*($AH$3:$CS$3&lt;MAX($D271,$E271))*(MOD($AH$3:$CS$3-MIN($D271,$E271),MAX(1,ABS(SIGN($J271)*8+SIGN($I271))))=0)*($AH270:$CS270&lt;&gt;"")))</f>
        <v>0</v>
      </c>
      <c r="M271" s="11" t="n">
        <f aca="false">IF($K271&lt;&gt;"K",0,IFERROR(--AND($J271=0,ABS($I271)=2,$D271=IF($F271="w",5,61),IF($F271="w",$S270,$V270)=0,IF($I271=2,AND(IF($F271="w",$U270,$X270)=0,INDEX($AH270:$CS270,1,$D271+1)&amp;""="",INDEX($AH270:$CS270,1,$D271+2)&amp;""=""),AND(IF($F271="w",$T270,$W270)=0,INDEX($AH270:$CS270,1,$D271-1)&amp;""="",INDEX($AH270:$CS270,1,$D271-2)&amp;""="",INDEX($AH270:$CS270,1,$D271-3)&amp;""=""))),0))</f>
        <v>0</v>
      </c>
      <c r="N271" s="11" t="n">
        <f aca="false">IF($K271&lt;&gt;"P",0,IFERROR(--OR(AND($I271=0,$J271=IF($F271="w",1,-1),$H271=""),AND($I271=0,$J271=2*IF($F271="w",1,-1),$H271="",INT(($D271-1)/8)=IF($F271="w",1,6),INDEX($AH270:$CS270,1,MAX(1,MIN(64,$D271+8*IF($F271="w",1,-1))))&amp;""=""),AND(ABS($I271)=1,$J271=IF($F271="w",1,-1),$H271&lt;&gt;""),AND(ABS($I271)=1,$J271=IF($F271="w",1,-1),$H271="",$R270&gt;0,$E271=$R270)),0))</f>
        <v>0</v>
      </c>
      <c r="O271" s="11" t="n">
        <f aca="false">IF(OR($D271=0,$E271=0,$G271=""),0,IF($K271="N",--OR(AND(ABS($I271)=1,ABS($J271)=2),AND(ABS($I271)=2,ABS($J271)=1)),IF($K271="B",--AND(ABS($I271)=ABS($J271),$I271&lt;&gt;0,$L271=0),IF($K271="R",--AND(OR($I271=0,$J271=0),OR($I271&lt;&gt;0,$J271&lt;&gt;0),$L271=0),IF($K271="Q",--AND(OR(AND(ABS($I271)=ABS($J271),$I271&lt;&gt;0),AND(OR($I271=0,$J271=0),OR($I271&lt;&gt;0,$J271&lt;&gt;0))),$L271=0),IF($K271="K",--OR(MAX(ABS($I271),ABS($J271))=1,$M271=1),$N271))))))</f>
        <v>0</v>
      </c>
      <c r="P271" s="11" t="n">
        <f aca="false">IF($Q271="OK",1,0)</f>
        <v>0</v>
      </c>
      <c r="Q271" s="11" t="str">
        <f aca="false">IF($B271="","",IF(OR(COUNTIF($AH270:$CS270,"wK")=0,COUNTIF($AH270:$CS270,"bK")=0),"Game is over",IF(OR($D271=0,$E271=0),"Use the format e2e4",IF($G271="","No piece on that square",IF(LEFT($G271,1)&lt;&gt;$F271,"Not your piece ("&amp;IF($F271="w","White","Black")&amp;" to move)",IF($D271=$E271,"Piece must move",IF(AND($H271&lt;&gt;"",LEFT($H271,1)=$F271),"Cannot capture your own piece",IF($O271=0,"Illegal move for that piece (or path blocked)","OK"))))))))</f>
        <v/>
      </c>
      <c r="R271" s="11" t="n">
        <f aca="false">IF($P271=1,IF(AND($K271="P",ABS($J271)=2),($D271+$E271)/2,0),$R270)</f>
        <v>0</v>
      </c>
      <c r="S271" s="12" t="b">
        <f aca="false">--OR($S270=1,AND($P271=1,OR($D271=5,$E271=5)))</f>
        <v>0</v>
      </c>
      <c r="T271" s="12" t="b">
        <f aca="false">--OR($T270=1,AND($P271=1,OR($D271=1,$E271=1)))</f>
        <v>0</v>
      </c>
      <c r="U271" s="12" t="b">
        <f aca="false">--OR($U270=1,AND($P271=1,OR($D271=8,$E271=8)))</f>
        <v>0</v>
      </c>
      <c r="V271" s="12" t="b">
        <f aca="false">--OR($V270=1,AND($P271=1,OR($D271=61,$E271=61)))</f>
        <v>0</v>
      </c>
      <c r="W271" s="12" t="b">
        <f aca="false">--OR($W270=1,AND($P271=1,OR($D271=57,$E271=57)))</f>
        <v>0</v>
      </c>
      <c r="X271" s="12" t="b">
        <f aca="false">--OR($X270=1,AND($P271=1,OR($D271=64,$E271=64)))</f>
        <v>0</v>
      </c>
      <c r="Y271" s="12" t="b">
        <f aca="false">--AND($P271=1,$K271="K",ABS($I271)=2)</f>
        <v>0</v>
      </c>
      <c r="Z271" s="12" t="b">
        <f aca="false">--AND($P271=1,$K271="P",ABS($I271)=1,$H271="")</f>
        <v>0</v>
      </c>
      <c r="AA271" s="12" t="b">
        <f aca="false">--AND($P271=1,$K271="P",INT(($E271-1)/8)=IF($F271="w",7,0))</f>
        <v>0</v>
      </c>
      <c r="AB271" s="11" t="str">
        <f aca="false">IF(LEN($C271)&gt;=5,IF(ISNUMBER(FIND(MID($C271,5,1),"qrbn")),UPPER(MID($C271,5,1)),"Q"),"Q")</f>
        <v>Q</v>
      </c>
      <c r="AC271" s="11" t="n">
        <f aca="false">IF($Y271=1,IF($I271=2,$D271+3,$D271-4),0)</f>
        <v>0</v>
      </c>
      <c r="AD271" s="11" t="n">
        <f aca="false">IF($Y271=1,IF($I271=2,$D271+1,$D271-1),0)</f>
        <v>0</v>
      </c>
      <c r="AE271" s="11" t="n">
        <f aca="false">IF($Z271=1,$E271-8*IF($F271="w",1,-1),0)</f>
        <v>0</v>
      </c>
      <c r="AF271" s="11" t="str">
        <f aca="false">IF($B271="","",IF($P271=1,LOWER(INDEX($CV$2:$CV$13,MATCH($G271,$CU$2:$CU$13,0)))&amp;" "&amp;MID("abcdefgh",MOD($D271-1,8)+1,1)&amp;(INT(($D271-1)/8)+1)&amp;"→"&amp;MID("abcdefgh",MOD($E271-1,8)+1,1)&amp;(INT(($E271-1)/8)+1)&amp;IF(OR($H271&lt;&gt;"",$Z271=1)," ×","")&amp;IF($Y271=1," castles","")&amp;IF($Z271=1," e.p.","")&amp;IF($AA271=1," =" &amp;LOWER(INDEX($CV$2:$CV$13,MATCH($F271&amp;$AB271,$CU$2:$CU$13,0))),""),"X "&amp;$Q271))</f>
        <v/>
      </c>
      <c r="AG271" s="11"/>
      <c r="AH271" s="11" t="str">
        <f aca="false">IF($P271=0,AH270,IF(AH$3=$E271,IF($AA271=1,$F271&amp;$AB271,$G271),IF(OR(AH$3=$D271,AH$3=$AC271,AH$3=$AE271),"",IF(AH$3=$AD271,$F271&amp;"R",AH270))))</f>
        <v>wR</v>
      </c>
      <c r="AI271" s="11" t="str">
        <f aca="false">IF($P271=0,AI270,IF(AI$3=$E271,IF($AA271=1,$F271&amp;$AB271,$G271),IF(OR(AI$3=$D271,AI$3=$AC271,AI$3=$AE271),"",IF(AI$3=$AD271,$F271&amp;"R",AI270))))</f>
        <v>wN</v>
      </c>
      <c r="AJ271" s="11" t="str">
        <f aca="false">IF($P271=0,AJ270,IF(AJ$3=$E271,IF($AA271=1,$F271&amp;$AB271,$G271),IF(OR(AJ$3=$D271,AJ$3=$AC271,AJ$3=$AE271),"",IF(AJ$3=$AD271,$F271&amp;"R",AJ270))))</f>
        <v>wB</v>
      </c>
      <c r="AK271" s="11" t="str">
        <f aca="false">IF($P271=0,AK270,IF(AK$3=$E271,IF($AA271=1,$F271&amp;$AB271,$G271),IF(OR(AK$3=$D271,AK$3=$AC271,AK$3=$AE271),"",IF(AK$3=$AD271,$F271&amp;"R",AK270))))</f>
        <v>wQ</v>
      </c>
      <c r="AL271" s="11" t="str">
        <f aca="false">IF($P271=0,AL270,IF(AL$3=$E271,IF($AA271=1,$F271&amp;$AB271,$G271),IF(OR(AL$3=$D271,AL$3=$AC271,AL$3=$AE271),"",IF(AL$3=$AD271,$F271&amp;"R",AL270))))</f>
        <v>wK</v>
      </c>
      <c r="AM271" s="11" t="str">
        <f aca="false">IF($P271=0,AM270,IF(AM$3=$E271,IF($AA271=1,$F271&amp;$AB271,$G271),IF(OR(AM$3=$D271,AM$3=$AC271,AM$3=$AE271),"",IF(AM$3=$AD271,$F271&amp;"R",AM270))))</f>
        <v>wB</v>
      </c>
      <c r="AN271" s="11" t="str">
        <f aca="false">IF($P271=0,AN270,IF(AN$3=$E271,IF($AA271=1,$F271&amp;$AB271,$G271),IF(OR(AN$3=$D271,AN$3=$AC271,AN$3=$AE271),"",IF(AN$3=$AD271,$F271&amp;"R",AN270))))</f>
        <v>wN</v>
      </c>
      <c r="AO271" s="11" t="str">
        <f aca="false">IF($P271=0,AO270,IF(AO$3=$E271,IF($AA271=1,$F271&amp;$AB271,$G271),IF(OR(AO$3=$D271,AO$3=$AC271,AO$3=$AE271),"",IF(AO$3=$AD271,$F271&amp;"R",AO270))))</f>
        <v>wR</v>
      </c>
      <c r="AP271" s="11" t="str">
        <f aca="false">IF($P271=0,AP270,IF(AP$3=$E271,IF($AA271=1,$F271&amp;$AB271,$G271),IF(OR(AP$3=$D271,AP$3=$AC271,AP$3=$AE271),"",IF(AP$3=$AD271,$F271&amp;"R",AP270))))</f>
        <v>wP</v>
      </c>
      <c r="AQ271" s="11" t="str">
        <f aca="false">IF($P271=0,AQ270,IF(AQ$3=$E271,IF($AA271=1,$F271&amp;$AB271,$G271),IF(OR(AQ$3=$D271,AQ$3=$AC271,AQ$3=$AE271),"",IF(AQ$3=$AD271,$F271&amp;"R",AQ270))))</f>
        <v>wP</v>
      </c>
      <c r="AR271" s="11" t="str">
        <f aca="false">IF($P271=0,AR270,IF(AR$3=$E271,IF($AA271=1,$F271&amp;$AB271,$G271),IF(OR(AR$3=$D271,AR$3=$AC271,AR$3=$AE271),"",IF(AR$3=$AD271,$F271&amp;"R",AR270))))</f>
        <v>wP</v>
      </c>
      <c r="AS271" s="11" t="str">
        <f aca="false">IF($P271=0,AS270,IF(AS$3=$E271,IF($AA271=1,$F271&amp;$AB271,$G271),IF(OR(AS$3=$D271,AS$3=$AC271,AS$3=$AE271),"",IF(AS$3=$AD271,$F271&amp;"R",AS270))))</f>
        <v>wP</v>
      </c>
      <c r="AT271" s="11" t="str">
        <f aca="false">IF($P271=0,AT270,IF(AT$3=$E271,IF($AA271=1,$F271&amp;$AB271,$G271),IF(OR(AT$3=$D271,AT$3=$AC271,AT$3=$AE271),"",IF(AT$3=$AD271,$F271&amp;"R",AT270))))</f>
        <v>wP</v>
      </c>
      <c r="AU271" s="11" t="str">
        <f aca="false">IF($P271=0,AU270,IF(AU$3=$E271,IF($AA271=1,$F271&amp;$AB271,$G271),IF(OR(AU$3=$D271,AU$3=$AC271,AU$3=$AE271),"",IF(AU$3=$AD271,$F271&amp;"R",AU270))))</f>
        <v>wP</v>
      </c>
      <c r="AV271" s="11" t="str">
        <f aca="false">IF($P271=0,AV270,IF(AV$3=$E271,IF($AA271=1,$F271&amp;$AB271,$G271),IF(OR(AV$3=$D271,AV$3=$AC271,AV$3=$AE271),"",IF(AV$3=$AD271,$F271&amp;"R",AV270))))</f>
        <v>wP</v>
      </c>
      <c r="AW271" s="11" t="str">
        <f aca="false">IF($P271=0,AW270,IF(AW$3=$E271,IF($AA271=1,$F271&amp;$AB271,$G271),IF(OR(AW$3=$D271,AW$3=$AC271,AW$3=$AE271),"",IF(AW$3=$AD271,$F271&amp;"R",AW270))))</f>
        <v>wP</v>
      </c>
      <c r="AX271" s="11" t="str">
        <f aca="false">IF($P271=0,AX270,IF(AX$3=$E271,IF($AA271=1,$F271&amp;$AB271,$G271),IF(OR(AX$3=$D271,AX$3=$AC271,AX$3=$AE271),"",IF(AX$3=$AD271,$F271&amp;"R",AX270))))</f>
        <v/>
      </c>
      <c r="AY271" s="11" t="str">
        <f aca="false">IF($P271=0,AY270,IF(AY$3=$E271,IF($AA271=1,$F271&amp;$AB271,$G271),IF(OR(AY$3=$D271,AY$3=$AC271,AY$3=$AE271),"",IF(AY$3=$AD271,$F271&amp;"R",AY270))))</f>
        <v/>
      </c>
      <c r="AZ271" s="11" t="str">
        <f aca="false">IF($P271=0,AZ270,IF(AZ$3=$E271,IF($AA271=1,$F271&amp;$AB271,$G271),IF(OR(AZ$3=$D271,AZ$3=$AC271,AZ$3=$AE271),"",IF(AZ$3=$AD271,$F271&amp;"R",AZ270))))</f>
        <v/>
      </c>
      <c r="BA271" s="11" t="str">
        <f aca="false">IF($P271=0,BA270,IF(BA$3=$E271,IF($AA271=1,$F271&amp;$AB271,$G271),IF(OR(BA$3=$D271,BA$3=$AC271,BA$3=$AE271),"",IF(BA$3=$AD271,$F271&amp;"R",BA270))))</f>
        <v/>
      </c>
      <c r="BB271" s="11" t="str">
        <f aca="false">IF($P271=0,BB270,IF(BB$3=$E271,IF($AA271=1,$F271&amp;$AB271,$G271),IF(OR(BB$3=$D271,BB$3=$AC271,BB$3=$AE271),"",IF(BB$3=$AD271,$F271&amp;"R",BB270))))</f>
        <v/>
      </c>
      <c r="BC271" s="11" t="str">
        <f aca="false">IF($P271=0,BC270,IF(BC$3=$E271,IF($AA271=1,$F271&amp;$AB271,$G271),IF(OR(BC$3=$D271,BC$3=$AC271,BC$3=$AE271),"",IF(BC$3=$AD271,$F271&amp;"R",BC270))))</f>
        <v/>
      </c>
      <c r="BD271" s="11" t="str">
        <f aca="false">IF($P271=0,BD270,IF(BD$3=$E271,IF($AA271=1,$F271&amp;$AB271,$G271),IF(OR(BD$3=$D271,BD$3=$AC271,BD$3=$AE271),"",IF(BD$3=$AD271,$F271&amp;"R",BD270))))</f>
        <v/>
      </c>
      <c r="BE271" s="11" t="str">
        <f aca="false">IF($P271=0,BE270,IF(BE$3=$E271,IF($AA271=1,$F271&amp;$AB271,$G271),IF(OR(BE$3=$D271,BE$3=$AC271,BE$3=$AE271),"",IF(BE$3=$AD271,$F271&amp;"R",BE270))))</f>
        <v/>
      </c>
      <c r="BF271" s="11" t="str">
        <f aca="false">IF($P271=0,BF270,IF(BF$3=$E271,IF($AA271=1,$F271&amp;$AB271,$G271),IF(OR(BF$3=$D271,BF$3=$AC271,BF$3=$AE271),"",IF(BF$3=$AD271,$F271&amp;"R",BF270))))</f>
        <v/>
      </c>
      <c r="BG271" s="11" t="str">
        <f aca="false">IF($P271=0,BG270,IF(BG$3=$E271,IF($AA271=1,$F271&amp;$AB271,$G271),IF(OR(BG$3=$D271,BG$3=$AC271,BG$3=$AE271),"",IF(BG$3=$AD271,$F271&amp;"R",BG270))))</f>
        <v/>
      </c>
      <c r="BH271" s="11" t="str">
        <f aca="false">IF($P271=0,BH270,IF(BH$3=$E271,IF($AA271=1,$F271&amp;$AB271,$G271),IF(OR(BH$3=$D271,BH$3=$AC271,BH$3=$AE271),"",IF(BH$3=$AD271,$F271&amp;"R",BH270))))</f>
        <v/>
      </c>
      <c r="BI271" s="11" t="str">
        <f aca="false">IF($P271=0,BI270,IF(BI$3=$E271,IF($AA271=1,$F271&amp;$AB271,$G271),IF(OR(BI$3=$D271,BI$3=$AC271,BI$3=$AE271),"",IF(BI$3=$AD271,$F271&amp;"R",BI270))))</f>
        <v/>
      </c>
      <c r="BJ271" s="11" t="str">
        <f aca="false">IF($P271=0,BJ270,IF(BJ$3=$E271,IF($AA271=1,$F271&amp;$AB271,$G271),IF(OR(BJ$3=$D271,BJ$3=$AC271,BJ$3=$AE271),"",IF(BJ$3=$AD271,$F271&amp;"R",BJ270))))</f>
        <v/>
      </c>
      <c r="BK271" s="11" t="str">
        <f aca="false">IF($P271=0,BK270,IF(BK$3=$E271,IF($AA271=1,$F271&amp;$AB271,$G271),IF(OR(BK$3=$D271,BK$3=$AC271,BK$3=$AE271),"",IF(BK$3=$AD271,$F271&amp;"R",BK270))))</f>
        <v/>
      </c>
      <c r="BL271" s="11" t="str">
        <f aca="false">IF($P271=0,BL270,IF(BL$3=$E271,IF($AA271=1,$F271&amp;$AB271,$G271),IF(OR(BL$3=$D271,BL$3=$AC271,BL$3=$AE271),"",IF(BL$3=$AD271,$F271&amp;"R",BL270))))</f>
        <v/>
      </c>
      <c r="BM271" s="11" t="str">
        <f aca="false">IF($P271=0,BM270,IF(BM$3=$E271,IF($AA271=1,$F271&amp;$AB271,$G271),IF(OR(BM$3=$D271,BM$3=$AC271,BM$3=$AE271),"",IF(BM$3=$AD271,$F271&amp;"R",BM270))))</f>
        <v/>
      </c>
      <c r="BN271" s="11" t="str">
        <f aca="false">IF($P271=0,BN270,IF(BN$3=$E271,IF($AA271=1,$F271&amp;$AB271,$G271),IF(OR(BN$3=$D271,BN$3=$AC271,BN$3=$AE271),"",IF(BN$3=$AD271,$F271&amp;"R",BN270))))</f>
        <v/>
      </c>
      <c r="BO271" s="11" t="str">
        <f aca="false">IF($P271=0,BO270,IF(BO$3=$E271,IF($AA271=1,$F271&amp;$AB271,$G271),IF(OR(BO$3=$D271,BO$3=$AC271,BO$3=$AE271),"",IF(BO$3=$AD271,$F271&amp;"R",BO270))))</f>
        <v/>
      </c>
      <c r="BP271" s="11" t="str">
        <f aca="false">IF($P271=0,BP270,IF(BP$3=$E271,IF($AA271=1,$F271&amp;$AB271,$G271),IF(OR(BP$3=$D271,BP$3=$AC271,BP$3=$AE271),"",IF(BP$3=$AD271,$F271&amp;"R",BP270))))</f>
        <v/>
      </c>
      <c r="BQ271" s="11" t="str">
        <f aca="false">IF($P271=0,BQ270,IF(BQ$3=$E271,IF($AA271=1,$F271&amp;$AB271,$G271),IF(OR(BQ$3=$D271,BQ$3=$AC271,BQ$3=$AE271),"",IF(BQ$3=$AD271,$F271&amp;"R",BQ270))))</f>
        <v/>
      </c>
      <c r="BR271" s="11" t="str">
        <f aca="false">IF($P271=0,BR270,IF(BR$3=$E271,IF($AA271=1,$F271&amp;$AB271,$G271),IF(OR(BR$3=$D271,BR$3=$AC271,BR$3=$AE271),"",IF(BR$3=$AD271,$F271&amp;"R",BR270))))</f>
        <v/>
      </c>
      <c r="BS271" s="11" t="str">
        <f aca="false">IF($P271=0,BS270,IF(BS$3=$E271,IF($AA271=1,$F271&amp;$AB271,$G271),IF(OR(BS$3=$D271,BS$3=$AC271,BS$3=$AE271),"",IF(BS$3=$AD271,$F271&amp;"R",BS270))))</f>
        <v/>
      </c>
      <c r="BT271" s="11" t="str">
        <f aca="false">IF($P271=0,BT270,IF(BT$3=$E271,IF($AA271=1,$F271&amp;$AB271,$G271),IF(OR(BT$3=$D271,BT$3=$AC271,BT$3=$AE271),"",IF(BT$3=$AD271,$F271&amp;"R",BT270))))</f>
        <v/>
      </c>
      <c r="BU271" s="11" t="str">
        <f aca="false">IF($P271=0,BU270,IF(BU$3=$E271,IF($AA271=1,$F271&amp;$AB271,$G271),IF(OR(BU$3=$D271,BU$3=$AC271,BU$3=$AE271),"",IF(BU$3=$AD271,$F271&amp;"R",BU270))))</f>
        <v/>
      </c>
      <c r="BV271" s="11" t="str">
        <f aca="false">IF($P271=0,BV270,IF(BV$3=$E271,IF($AA271=1,$F271&amp;$AB271,$G271),IF(OR(BV$3=$D271,BV$3=$AC271,BV$3=$AE271),"",IF(BV$3=$AD271,$F271&amp;"R",BV270))))</f>
        <v/>
      </c>
      <c r="BW271" s="11" t="str">
        <f aca="false">IF($P271=0,BW270,IF(BW$3=$E271,IF($AA271=1,$F271&amp;$AB271,$G271),IF(OR(BW$3=$D271,BW$3=$AC271,BW$3=$AE271),"",IF(BW$3=$AD271,$F271&amp;"R",BW270))))</f>
        <v/>
      </c>
      <c r="BX271" s="11" t="str">
        <f aca="false">IF($P271=0,BX270,IF(BX$3=$E271,IF($AA271=1,$F271&amp;$AB271,$G271),IF(OR(BX$3=$D271,BX$3=$AC271,BX$3=$AE271),"",IF(BX$3=$AD271,$F271&amp;"R",BX270))))</f>
        <v/>
      </c>
      <c r="BY271" s="11" t="str">
        <f aca="false">IF($P271=0,BY270,IF(BY$3=$E271,IF($AA271=1,$F271&amp;$AB271,$G271),IF(OR(BY$3=$D271,BY$3=$AC271,BY$3=$AE271),"",IF(BY$3=$AD271,$F271&amp;"R",BY270))))</f>
        <v/>
      </c>
      <c r="BZ271" s="11" t="str">
        <f aca="false">IF($P271=0,BZ270,IF(BZ$3=$E271,IF($AA271=1,$F271&amp;$AB271,$G271),IF(OR(BZ$3=$D271,BZ$3=$AC271,BZ$3=$AE271),"",IF(BZ$3=$AD271,$F271&amp;"R",BZ270))))</f>
        <v/>
      </c>
      <c r="CA271" s="11" t="str">
        <f aca="false">IF($P271=0,CA270,IF(CA$3=$E271,IF($AA271=1,$F271&amp;$AB271,$G271),IF(OR(CA$3=$D271,CA$3=$AC271,CA$3=$AE271),"",IF(CA$3=$AD271,$F271&amp;"R",CA270))))</f>
        <v/>
      </c>
      <c r="CB271" s="11" t="str">
        <f aca="false">IF($P271=0,CB270,IF(CB$3=$E271,IF($AA271=1,$F271&amp;$AB271,$G271),IF(OR(CB$3=$D271,CB$3=$AC271,CB$3=$AE271),"",IF(CB$3=$AD271,$F271&amp;"R",CB270))))</f>
        <v/>
      </c>
      <c r="CC271" s="11" t="str">
        <f aca="false">IF($P271=0,CC270,IF(CC$3=$E271,IF($AA271=1,$F271&amp;$AB271,$G271),IF(OR(CC$3=$D271,CC$3=$AC271,CC$3=$AE271),"",IF(CC$3=$AD271,$F271&amp;"R",CC270))))</f>
        <v/>
      </c>
      <c r="CD271" s="11" t="str">
        <f aca="false">IF($P271=0,CD270,IF(CD$3=$E271,IF($AA271=1,$F271&amp;$AB271,$G271),IF(OR(CD$3=$D271,CD$3=$AC271,CD$3=$AE271),"",IF(CD$3=$AD271,$F271&amp;"R",CD270))))</f>
        <v>bP</v>
      </c>
      <c r="CE271" s="11" t="str">
        <f aca="false">IF($P271=0,CE270,IF(CE$3=$E271,IF($AA271=1,$F271&amp;$AB271,$G271),IF(OR(CE$3=$D271,CE$3=$AC271,CE$3=$AE271),"",IF(CE$3=$AD271,$F271&amp;"R",CE270))))</f>
        <v>bP</v>
      </c>
      <c r="CF271" s="11" t="str">
        <f aca="false">IF($P271=0,CF270,IF(CF$3=$E271,IF($AA271=1,$F271&amp;$AB271,$G271),IF(OR(CF$3=$D271,CF$3=$AC271,CF$3=$AE271),"",IF(CF$3=$AD271,$F271&amp;"R",CF270))))</f>
        <v>bP</v>
      </c>
      <c r="CG271" s="11" t="str">
        <f aca="false">IF($P271=0,CG270,IF(CG$3=$E271,IF($AA271=1,$F271&amp;$AB271,$G271),IF(OR(CG$3=$D271,CG$3=$AC271,CG$3=$AE271),"",IF(CG$3=$AD271,$F271&amp;"R",CG270))))</f>
        <v>bP</v>
      </c>
      <c r="CH271" s="11" t="str">
        <f aca="false">IF($P271=0,CH270,IF(CH$3=$E271,IF($AA271=1,$F271&amp;$AB271,$G271),IF(OR(CH$3=$D271,CH$3=$AC271,CH$3=$AE271),"",IF(CH$3=$AD271,$F271&amp;"R",CH270))))</f>
        <v>bP</v>
      </c>
      <c r="CI271" s="11" t="str">
        <f aca="false">IF($P271=0,CI270,IF(CI$3=$E271,IF($AA271=1,$F271&amp;$AB271,$G271),IF(OR(CI$3=$D271,CI$3=$AC271,CI$3=$AE271),"",IF(CI$3=$AD271,$F271&amp;"R",CI270))))</f>
        <v>bP</v>
      </c>
      <c r="CJ271" s="11" t="str">
        <f aca="false">IF($P271=0,CJ270,IF(CJ$3=$E271,IF($AA271=1,$F271&amp;$AB271,$G271),IF(OR(CJ$3=$D271,CJ$3=$AC271,CJ$3=$AE271),"",IF(CJ$3=$AD271,$F271&amp;"R",CJ270))))</f>
        <v>bP</v>
      </c>
      <c r="CK271" s="11" t="str">
        <f aca="false">IF($P271=0,CK270,IF(CK$3=$E271,IF($AA271=1,$F271&amp;$AB271,$G271),IF(OR(CK$3=$D271,CK$3=$AC271,CK$3=$AE271),"",IF(CK$3=$AD271,$F271&amp;"R",CK270))))</f>
        <v>bP</v>
      </c>
      <c r="CL271" s="11" t="str">
        <f aca="false">IF($P271=0,CL270,IF(CL$3=$E271,IF($AA271=1,$F271&amp;$AB271,$G271),IF(OR(CL$3=$D271,CL$3=$AC271,CL$3=$AE271),"",IF(CL$3=$AD271,$F271&amp;"R",CL270))))</f>
        <v>bR</v>
      </c>
      <c r="CM271" s="11" t="str">
        <f aca="false">IF($P271=0,CM270,IF(CM$3=$E271,IF($AA271=1,$F271&amp;$AB271,$G271),IF(OR(CM$3=$D271,CM$3=$AC271,CM$3=$AE271),"",IF(CM$3=$AD271,$F271&amp;"R",CM270))))</f>
        <v>bN</v>
      </c>
      <c r="CN271" s="11" t="str">
        <f aca="false">IF($P271=0,CN270,IF(CN$3=$E271,IF($AA271=1,$F271&amp;$AB271,$G271),IF(OR(CN$3=$D271,CN$3=$AC271,CN$3=$AE271),"",IF(CN$3=$AD271,$F271&amp;"R",CN270))))</f>
        <v>bB</v>
      </c>
      <c r="CO271" s="11" t="str">
        <f aca="false">IF($P271=0,CO270,IF(CO$3=$E271,IF($AA271=1,$F271&amp;$AB271,$G271),IF(OR(CO$3=$D271,CO$3=$AC271,CO$3=$AE271),"",IF(CO$3=$AD271,$F271&amp;"R",CO270))))</f>
        <v>bQ</v>
      </c>
      <c r="CP271" s="11" t="str">
        <f aca="false">IF($P271=0,CP270,IF(CP$3=$E271,IF($AA271=1,$F271&amp;$AB271,$G271),IF(OR(CP$3=$D271,CP$3=$AC271,CP$3=$AE271),"",IF(CP$3=$AD271,$F271&amp;"R",CP270))))</f>
        <v>bK</v>
      </c>
      <c r="CQ271" s="11" t="str">
        <f aca="false">IF($P271=0,CQ270,IF(CQ$3=$E271,IF($AA271=1,$F271&amp;$AB271,$G271),IF(OR(CQ$3=$D271,CQ$3=$AC271,CQ$3=$AE271),"",IF(CQ$3=$AD271,$F271&amp;"R",CQ270))))</f>
        <v>bB</v>
      </c>
      <c r="CR271" s="11" t="str">
        <f aca="false">IF($P271=0,CR270,IF(CR$3=$E271,IF($AA271=1,$F271&amp;$AB271,$G271),IF(OR(CR$3=$D271,CR$3=$AC271,CR$3=$AE271),"",IF(CR$3=$AD271,$F271&amp;"R",CR270))))</f>
        <v>bN</v>
      </c>
      <c r="CS271" s="11" t="str">
        <f aca="false">IF($P271=0,CS270,IF(CS$3=$E271,IF($AA271=1,$F271&amp;$AB271,$G271),IF(OR(CS$3=$D271,CS$3=$AC271,CS$3=$AE271),"",IF(CS$3=$AD271,$F271&amp;"R",CS270))))</f>
        <v>bR</v>
      </c>
      <c r="CT271" s="11"/>
      <c r="CU271" s="11"/>
      <c r="CV271" s="11"/>
    </row>
    <row r="272" customFormat="false" ht="15" hidden="false" customHeight="false" outlineLevel="0" collapsed="false">
      <c r="A272" s="11" t="n">
        <v>267</v>
      </c>
      <c r="B272" s="11" t="str">
        <f aca="false">IF(Chess!$L$276="","",Chess!$L$276&amp;"")</f>
        <v/>
      </c>
      <c r="C272" s="11" t="str">
        <f aca="false">LOWER(SUBSTITUTE(SUBSTITUTE(SUBSTITUTE(SUBSTITUTE(TRIM($B272),"-",""),"=","")," ",""),"x",""))</f>
        <v/>
      </c>
      <c r="D272" s="11" t="n">
        <f aca="false">IF(LEN($C272)&lt;4,0,IFERROR(IF(AND(CODE(MID($C272,1,1))&gt;=97,CODE(MID($C272,1,1))&lt;=104,VALUE(MID($C272,2,1))&gt;=1,VALUE(MID($C272,2,1))&lt;=8),(VALUE(MID($C272,2,1))-1)*8+CODE(MID($C272,1,1))-96,0),0))</f>
        <v>0</v>
      </c>
      <c r="E272" s="11" t="n">
        <f aca="false">IF(LEN($C272)&lt;4,0,IFERROR(IF(AND(CODE(MID($C272,3,1))&gt;=97,CODE(MID($C272,3,1))&lt;=104,VALUE(MID($C272,4,1))&gt;=1,VALUE(MID($C272,4,1))&lt;=8),(VALUE(MID($C272,4,1))-1)*8+CODE(MID($C272,3,1))-96,0),0))</f>
        <v>0</v>
      </c>
      <c r="F272" s="11" t="str">
        <f aca="false">IF(MOD(SUM($P$5:$P271),2)=0,"w","b")</f>
        <v>w</v>
      </c>
      <c r="G272" s="11" t="str">
        <f aca="false">IF($D272=0,"",INDEX($AH271:$CS271,1,$D272)&amp;"")</f>
        <v/>
      </c>
      <c r="H272" s="11" t="str">
        <f aca="false">IF($E272=0,"",INDEX($AH271:$CS271,1,$E272)&amp;"")</f>
        <v/>
      </c>
      <c r="I272" s="11" t="n">
        <f aca="false">IF(OR($D272=0,$E272=0),0,MOD($E272-1,8)-MOD($D272-1,8))</f>
        <v>0</v>
      </c>
      <c r="J272" s="11" t="n">
        <f aca="false">IF(OR($D272=0,$E272=0),0,INT(($E272-1)/8)-INT(($D272-1)/8))</f>
        <v>0</v>
      </c>
      <c r="K272" s="11" t="str">
        <f aca="false">IF($G272="","",RIGHT($G272,1))</f>
        <v/>
      </c>
      <c r="L272" s="11" t="n">
        <f aca="false">IF(OR($D272=0,$E272=0),0,SUMPRODUCT(($AH$3:$CS$3&gt;MIN($D272,$E272))*($AH$3:$CS$3&lt;MAX($D272,$E272))*(MOD($AH$3:$CS$3-MIN($D272,$E272),MAX(1,ABS(SIGN($J272)*8+SIGN($I272))))=0)*($AH271:$CS271&lt;&gt;"")))</f>
        <v>0</v>
      </c>
      <c r="M272" s="11" t="n">
        <f aca="false">IF($K272&lt;&gt;"K",0,IFERROR(--AND($J272=0,ABS($I272)=2,$D272=IF($F272="w",5,61),IF($F272="w",$S271,$V271)=0,IF($I272=2,AND(IF($F272="w",$U271,$X271)=0,INDEX($AH271:$CS271,1,$D272+1)&amp;""="",INDEX($AH271:$CS271,1,$D272+2)&amp;""=""),AND(IF($F272="w",$T271,$W271)=0,INDEX($AH271:$CS271,1,$D272-1)&amp;""="",INDEX($AH271:$CS271,1,$D272-2)&amp;""="",INDEX($AH271:$CS271,1,$D272-3)&amp;""=""))),0))</f>
        <v>0</v>
      </c>
      <c r="N272" s="11" t="n">
        <f aca="false">IF($K272&lt;&gt;"P",0,IFERROR(--OR(AND($I272=0,$J272=IF($F272="w",1,-1),$H272=""),AND($I272=0,$J272=2*IF($F272="w",1,-1),$H272="",INT(($D272-1)/8)=IF($F272="w",1,6),INDEX($AH271:$CS271,1,MAX(1,MIN(64,$D272+8*IF($F272="w",1,-1))))&amp;""=""),AND(ABS($I272)=1,$J272=IF($F272="w",1,-1),$H272&lt;&gt;""),AND(ABS($I272)=1,$J272=IF($F272="w",1,-1),$H272="",$R271&gt;0,$E272=$R271)),0))</f>
        <v>0</v>
      </c>
      <c r="O272" s="11" t="n">
        <f aca="false">IF(OR($D272=0,$E272=0,$G272=""),0,IF($K272="N",--OR(AND(ABS($I272)=1,ABS($J272)=2),AND(ABS($I272)=2,ABS($J272)=1)),IF($K272="B",--AND(ABS($I272)=ABS($J272),$I272&lt;&gt;0,$L272=0),IF($K272="R",--AND(OR($I272=0,$J272=0),OR($I272&lt;&gt;0,$J272&lt;&gt;0),$L272=0),IF($K272="Q",--AND(OR(AND(ABS($I272)=ABS($J272),$I272&lt;&gt;0),AND(OR($I272=0,$J272=0),OR($I272&lt;&gt;0,$J272&lt;&gt;0))),$L272=0),IF($K272="K",--OR(MAX(ABS($I272),ABS($J272))=1,$M272=1),$N272))))))</f>
        <v>0</v>
      </c>
      <c r="P272" s="11" t="n">
        <f aca="false">IF($Q272="OK",1,0)</f>
        <v>0</v>
      </c>
      <c r="Q272" s="11" t="str">
        <f aca="false">IF($B272="","",IF(OR(COUNTIF($AH271:$CS271,"wK")=0,COUNTIF($AH271:$CS271,"bK")=0),"Game is over",IF(OR($D272=0,$E272=0),"Use the format e2e4",IF($G272="","No piece on that square",IF(LEFT($G272,1)&lt;&gt;$F272,"Not your piece ("&amp;IF($F272="w","White","Black")&amp;" to move)",IF($D272=$E272,"Piece must move",IF(AND($H272&lt;&gt;"",LEFT($H272,1)=$F272),"Cannot capture your own piece",IF($O272=0,"Illegal move for that piece (or path blocked)","OK"))))))))</f>
        <v/>
      </c>
      <c r="R272" s="11" t="n">
        <f aca="false">IF($P272=1,IF(AND($K272="P",ABS($J272)=2),($D272+$E272)/2,0),$R271)</f>
        <v>0</v>
      </c>
      <c r="S272" s="12" t="b">
        <f aca="false">--OR($S271=1,AND($P272=1,OR($D272=5,$E272=5)))</f>
        <v>0</v>
      </c>
      <c r="T272" s="12" t="b">
        <f aca="false">--OR($T271=1,AND($P272=1,OR($D272=1,$E272=1)))</f>
        <v>0</v>
      </c>
      <c r="U272" s="12" t="b">
        <f aca="false">--OR($U271=1,AND($P272=1,OR($D272=8,$E272=8)))</f>
        <v>0</v>
      </c>
      <c r="V272" s="12" t="b">
        <f aca="false">--OR($V271=1,AND($P272=1,OR($D272=61,$E272=61)))</f>
        <v>0</v>
      </c>
      <c r="W272" s="12" t="b">
        <f aca="false">--OR($W271=1,AND($P272=1,OR($D272=57,$E272=57)))</f>
        <v>0</v>
      </c>
      <c r="X272" s="12" t="b">
        <f aca="false">--OR($X271=1,AND($P272=1,OR($D272=64,$E272=64)))</f>
        <v>0</v>
      </c>
      <c r="Y272" s="12" t="b">
        <f aca="false">--AND($P272=1,$K272="K",ABS($I272)=2)</f>
        <v>0</v>
      </c>
      <c r="Z272" s="12" t="b">
        <f aca="false">--AND($P272=1,$K272="P",ABS($I272)=1,$H272="")</f>
        <v>0</v>
      </c>
      <c r="AA272" s="12" t="b">
        <f aca="false">--AND($P272=1,$K272="P",INT(($E272-1)/8)=IF($F272="w",7,0))</f>
        <v>0</v>
      </c>
      <c r="AB272" s="11" t="str">
        <f aca="false">IF(LEN($C272)&gt;=5,IF(ISNUMBER(FIND(MID($C272,5,1),"qrbn")),UPPER(MID($C272,5,1)),"Q"),"Q")</f>
        <v>Q</v>
      </c>
      <c r="AC272" s="11" t="n">
        <f aca="false">IF($Y272=1,IF($I272=2,$D272+3,$D272-4),0)</f>
        <v>0</v>
      </c>
      <c r="AD272" s="11" t="n">
        <f aca="false">IF($Y272=1,IF($I272=2,$D272+1,$D272-1),0)</f>
        <v>0</v>
      </c>
      <c r="AE272" s="11" t="n">
        <f aca="false">IF($Z272=1,$E272-8*IF($F272="w",1,-1),0)</f>
        <v>0</v>
      </c>
      <c r="AF272" s="11" t="str">
        <f aca="false">IF($B272="","",IF($P272=1,LOWER(INDEX($CV$2:$CV$13,MATCH($G272,$CU$2:$CU$13,0)))&amp;" "&amp;MID("abcdefgh",MOD($D272-1,8)+1,1)&amp;(INT(($D272-1)/8)+1)&amp;"→"&amp;MID("abcdefgh",MOD($E272-1,8)+1,1)&amp;(INT(($E272-1)/8)+1)&amp;IF(OR($H272&lt;&gt;"",$Z272=1)," ×","")&amp;IF($Y272=1," castles","")&amp;IF($Z272=1," e.p.","")&amp;IF($AA272=1," =" &amp;LOWER(INDEX($CV$2:$CV$13,MATCH($F272&amp;$AB272,$CU$2:$CU$13,0))),""),"X "&amp;$Q272))</f>
        <v/>
      </c>
      <c r="AG272" s="11"/>
      <c r="AH272" s="11" t="str">
        <f aca="false">IF($P272=0,AH271,IF(AH$3=$E272,IF($AA272=1,$F272&amp;$AB272,$G272),IF(OR(AH$3=$D272,AH$3=$AC272,AH$3=$AE272),"",IF(AH$3=$AD272,$F272&amp;"R",AH271))))</f>
        <v>wR</v>
      </c>
      <c r="AI272" s="11" t="str">
        <f aca="false">IF($P272=0,AI271,IF(AI$3=$E272,IF($AA272=1,$F272&amp;$AB272,$G272),IF(OR(AI$3=$D272,AI$3=$AC272,AI$3=$AE272),"",IF(AI$3=$AD272,$F272&amp;"R",AI271))))</f>
        <v>wN</v>
      </c>
      <c r="AJ272" s="11" t="str">
        <f aca="false">IF($P272=0,AJ271,IF(AJ$3=$E272,IF($AA272=1,$F272&amp;$AB272,$G272),IF(OR(AJ$3=$D272,AJ$3=$AC272,AJ$3=$AE272),"",IF(AJ$3=$AD272,$F272&amp;"R",AJ271))))</f>
        <v>wB</v>
      </c>
      <c r="AK272" s="11" t="str">
        <f aca="false">IF($P272=0,AK271,IF(AK$3=$E272,IF($AA272=1,$F272&amp;$AB272,$G272),IF(OR(AK$3=$D272,AK$3=$AC272,AK$3=$AE272),"",IF(AK$3=$AD272,$F272&amp;"R",AK271))))</f>
        <v>wQ</v>
      </c>
      <c r="AL272" s="11" t="str">
        <f aca="false">IF($P272=0,AL271,IF(AL$3=$E272,IF($AA272=1,$F272&amp;$AB272,$G272),IF(OR(AL$3=$D272,AL$3=$AC272,AL$3=$AE272),"",IF(AL$3=$AD272,$F272&amp;"R",AL271))))</f>
        <v>wK</v>
      </c>
      <c r="AM272" s="11" t="str">
        <f aca="false">IF($P272=0,AM271,IF(AM$3=$E272,IF($AA272=1,$F272&amp;$AB272,$G272),IF(OR(AM$3=$D272,AM$3=$AC272,AM$3=$AE272),"",IF(AM$3=$AD272,$F272&amp;"R",AM271))))</f>
        <v>wB</v>
      </c>
      <c r="AN272" s="11" t="str">
        <f aca="false">IF($P272=0,AN271,IF(AN$3=$E272,IF($AA272=1,$F272&amp;$AB272,$G272),IF(OR(AN$3=$D272,AN$3=$AC272,AN$3=$AE272),"",IF(AN$3=$AD272,$F272&amp;"R",AN271))))</f>
        <v>wN</v>
      </c>
      <c r="AO272" s="11" t="str">
        <f aca="false">IF($P272=0,AO271,IF(AO$3=$E272,IF($AA272=1,$F272&amp;$AB272,$G272),IF(OR(AO$3=$D272,AO$3=$AC272,AO$3=$AE272),"",IF(AO$3=$AD272,$F272&amp;"R",AO271))))</f>
        <v>wR</v>
      </c>
      <c r="AP272" s="11" t="str">
        <f aca="false">IF($P272=0,AP271,IF(AP$3=$E272,IF($AA272=1,$F272&amp;$AB272,$G272),IF(OR(AP$3=$D272,AP$3=$AC272,AP$3=$AE272),"",IF(AP$3=$AD272,$F272&amp;"R",AP271))))</f>
        <v>wP</v>
      </c>
      <c r="AQ272" s="11" t="str">
        <f aca="false">IF($P272=0,AQ271,IF(AQ$3=$E272,IF($AA272=1,$F272&amp;$AB272,$G272),IF(OR(AQ$3=$D272,AQ$3=$AC272,AQ$3=$AE272),"",IF(AQ$3=$AD272,$F272&amp;"R",AQ271))))</f>
        <v>wP</v>
      </c>
      <c r="AR272" s="11" t="str">
        <f aca="false">IF($P272=0,AR271,IF(AR$3=$E272,IF($AA272=1,$F272&amp;$AB272,$G272),IF(OR(AR$3=$D272,AR$3=$AC272,AR$3=$AE272),"",IF(AR$3=$AD272,$F272&amp;"R",AR271))))</f>
        <v>wP</v>
      </c>
      <c r="AS272" s="11" t="str">
        <f aca="false">IF($P272=0,AS271,IF(AS$3=$E272,IF($AA272=1,$F272&amp;$AB272,$G272),IF(OR(AS$3=$D272,AS$3=$AC272,AS$3=$AE272),"",IF(AS$3=$AD272,$F272&amp;"R",AS271))))</f>
        <v>wP</v>
      </c>
      <c r="AT272" s="11" t="str">
        <f aca="false">IF($P272=0,AT271,IF(AT$3=$E272,IF($AA272=1,$F272&amp;$AB272,$G272),IF(OR(AT$3=$D272,AT$3=$AC272,AT$3=$AE272),"",IF(AT$3=$AD272,$F272&amp;"R",AT271))))</f>
        <v>wP</v>
      </c>
      <c r="AU272" s="11" t="str">
        <f aca="false">IF($P272=0,AU271,IF(AU$3=$E272,IF($AA272=1,$F272&amp;$AB272,$G272),IF(OR(AU$3=$D272,AU$3=$AC272,AU$3=$AE272),"",IF(AU$3=$AD272,$F272&amp;"R",AU271))))</f>
        <v>wP</v>
      </c>
      <c r="AV272" s="11" t="str">
        <f aca="false">IF($P272=0,AV271,IF(AV$3=$E272,IF($AA272=1,$F272&amp;$AB272,$G272),IF(OR(AV$3=$D272,AV$3=$AC272,AV$3=$AE272),"",IF(AV$3=$AD272,$F272&amp;"R",AV271))))</f>
        <v>wP</v>
      </c>
      <c r="AW272" s="11" t="str">
        <f aca="false">IF($P272=0,AW271,IF(AW$3=$E272,IF($AA272=1,$F272&amp;$AB272,$G272),IF(OR(AW$3=$D272,AW$3=$AC272,AW$3=$AE272),"",IF(AW$3=$AD272,$F272&amp;"R",AW271))))</f>
        <v>wP</v>
      </c>
      <c r="AX272" s="11" t="str">
        <f aca="false">IF($P272=0,AX271,IF(AX$3=$E272,IF($AA272=1,$F272&amp;$AB272,$G272),IF(OR(AX$3=$D272,AX$3=$AC272,AX$3=$AE272),"",IF(AX$3=$AD272,$F272&amp;"R",AX271))))</f>
        <v/>
      </c>
      <c r="AY272" s="11" t="str">
        <f aca="false">IF($P272=0,AY271,IF(AY$3=$E272,IF($AA272=1,$F272&amp;$AB272,$G272),IF(OR(AY$3=$D272,AY$3=$AC272,AY$3=$AE272),"",IF(AY$3=$AD272,$F272&amp;"R",AY271))))</f>
        <v/>
      </c>
      <c r="AZ272" s="11" t="str">
        <f aca="false">IF($P272=0,AZ271,IF(AZ$3=$E272,IF($AA272=1,$F272&amp;$AB272,$G272),IF(OR(AZ$3=$D272,AZ$3=$AC272,AZ$3=$AE272),"",IF(AZ$3=$AD272,$F272&amp;"R",AZ271))))</f>
        <v/>
      </c>
      <c r="BA272" s="11" t="str">
        <f aca="false">IF($P272=0,BA271,IF(BA$3=$E272,IF($AA272=1,$F272&amp;$AB272,$G272),IF(OR(BA$3=$D272,BA$3=$AC272,BA$3=$AE272),"",IF(BA$3=$AD272,$F272&amp;"R",BA271))))</f>
        <v/>
      </c>
      <c r="BB272" s="11" t="str">
        <f aca="false">IF($P272=0,BB271,IF(BB$3=$E272,IF($AA272=1,$F272&amp;$AB272,$G272),IF(OR(BB$3=$D272,BB$3=$AC272,BB$3=$AE272),"",IF(BB$3=$AD272,$F272&amp;"R",BB271))))</f>
        <v/>
      </c>
      <c r="BC272" s="11" t="str">
        <f aca="false">IF($P272=0,BC271,IF(BC$3=$E272,IF($AA272=1,$F272&amp;$AB272,$G272),IF(OR(BC$3=$D272,BC$3=$AC272,BC$3=$AE272),"",IF(BC$3=$AD272,$F272&amp;"R",BC271))))</f>
        <v/>
      </c>
      <c r="BD272" s="11" t="str">
        <f aca="false">IF($P272=0,BD271,IF(BD$3=$E272,IF($AA272=1,$F272&amp;$AB272,$G272),IF(OR(BD$3=$D272,BD$3=$AC272,BD$3=$AE272),"",IF(BD$3=$AD272,$F272&amp;"R",BD271))))</f>
        <v/>
      </c>
      <c r="BE272" s="11" t="str">
        <f aca="false">IF($P272=0,BE271,IF(BE$3=$E272,IF($AA272=1,$F272&amp;$AB272,$G272),IF(OR(BE$3=$D272,BE$3=$AC272,BE$3=$AE272),"",IF(BE$3=$AD272,$F272&amp;"R",BE271))))</f>
        <v/>
      </c>
      <c r="BF272" s="11" t="str">
        <f aca="false">IF($P272=0,BF271,IF(BF$3=$E272,IF($AA272=1,$F272&amp;$AB272,$G272),IF(OR(BF$3=$D272,BF$3=$AC272,BF$3=$AE272),"",IF(BF$3=$AD272,$F272&amp;"R",BF271))))</f>
        <v/>
      </c>
      <c r="BG272" s="11" t="str">
        <f aca="false">IF($P272=0,BG271,IF(BG$3=$E272,IF($AA272=1,$F272&amp;$AB272,$G272),IF(OR(BG$3=$D272,BG$3=$AC272,BG$3=$AE272),"",IF(BG$3=$AD272,$F272&amp;"R",BG271))))</f>
        <v/>
      </c>
      <c r="BH272" s="11" t="str">
        <f aca="false">IF($P272=0,BH271,IF(BH$3=$E272,IF($AA272=1,$F272&amp;$AB272,$G272),IF(OR(BH$3=$D272,BH$3=$AC272,BH$3=$AE272),"",IF(BH$3=$AD272,$F272&amp;"R",BH271))))</f>
        <v/>
      </c>
      <c r="BI272" s="11" t="str">
        <f aca="false">IF($P272=0,BI271,IF(BI$3=$E272,IF($AA272=1,$F272&amp;$AB272,$G272),IF(OR(BI$3=$D272,BI$3=$AC272,BI$3=$AE272),"",IF(BI$3=$AD272,$F272&amp;"R",BI271))))</f>
        <v/>
      </c>
      <c r="BJ272" s="11" t="str">
        <f aca="false">IF($P272=0,BJ271,IF(BJ$3=$E272,IF($AA272=1,$F272&amp;$AB272,$G272),IF(OR(BJ$3=$D272,BJ$3=$AC272,BJ$3=$AE272),"",IF(BJ$3=$AD272,$F272&amp;"R",BJ271))))</f>
        <v/>
      </c>
      <c r="BK272" s="11" t="str">
        <f aca="false">IF($P272=0,BK271,IF(BK$3=$E272,IF($AA272=1,$F272&amp;$AB272,$G272),IF(OR(BK$3=$D272,BK$3=$AC272,BK$3=$AE272),"",IF(BK$3=$AD272,$F272&amp;"R",BK271))))</f>
        <v/>
      </c>
      <c r="BL272" s="11" t="str">
        <f aca="false">IF($P272=0,BL271,IF(BL$3=$E272,IF($AA272=1,$F272&amp;$AB272,$G272),IF(OR(BL$3=$D272,BL$3=$AC272,BL$3=$AE272),"",IF(BL$3=$AD272,$F272&amp;"R",BL271))))</f>
        <v/>
      </c>
      <c r="BM272" s="11" t="str">
        <f aca="false">IF($P272=0,BM271,IF(BM$3=$E272,IF($AA272=1,$F272&amp;$AB272,$G272),IF(OR(BM$3=$D272,BM$3=$AC272,BM$3=$AE272),"",IF(BM$3=$AD272,$F272&amp;"R",BM271))))</f>
        <v/>
      </c>
      <c r="BN272" s="11" t="str">
        <f aca="false">IF($P272=0,BN271,IF(BN$3=$E272,IF($AA272=1,$F272&amp;$AB272,$G272),IF(OR(BN$3=$D272,BN$3=$AC272,BN$3=$AE272),"",IF(BN$3=$AD272,$F272&amp;"R",BN271))))</f>
        <v/>
      </c>
      <c r="BO272" s="11" t="str">
        <f aca="false">IF($P272=0,BO271,IF(BO$3=$E272,IF($AA272=1,$F272&amp;$AB272,$G272),IF(OR(BO$3=$D272,BO$3=$AC272,BO$3=$AE272),"",IF(BO$3=$AD272,$F272&amp;"R",BO271))))</f>
        <v/>
      </c>
      <c r="BP272" s="11" t="str">
        <f aca="false">IF($P272=0,BP271,IF(BP$3=$E272,IF($AA272=1,$F272&amp;$AB272,$G272),IF(OR(BP$3=$D272,BP$3=$AC272,BP$3=$AE272),"",IF(BP$3=$AD272,$F272&amp;"R",BP271))))</f>
        <v/>
      </c>
      <c r="BQ272" s="11" t="str">
        <f aca="false">IF($P272=0,BQ271,IF(BQ$3=$E272,IF($AA272=1,$F272&amp;$AB272,$G272),IF(OR(BQ$3=$D272,BQ$3=$AC272,BQ$3=$AE272),"",IF(BQ$3=$AD272,$F272&amp;"R",BQ271))))</f>
        <v/>
      </c>
      <c r="BR272" s="11" t="str">
        <f aca="false">IF($P272=0,BR271,IF(BR$3=$E272,IF($AA272=1,$F272&amp;$AB272,$G272),IF(OR(BR$3=$D272,BR$3=$AC272,BR$3=$AE272),"",IF(BR$3=$AD272,$F272&amp;"R",BR271))))</f>
        <v/>
      </c>
      <c r="BS272" s="11" t="str">
        <f aca="false">IF($P272=0,BS271,IF(BS$3=$E272,IF($AA272=1,$F272&amp;$AB272,$G272),IF(OR(BS$3=$D272,BS$3=$AC272,BS$3=$AE272),"",IF(BS$3=$AD272,$F272&amp;"R",BS271))))</f>
        <v/>
      </c>
      <c r="BT272" s="11" t="str">
        <f aca="false">IF($P272=0,BT271,IF(BT$3=$E272,IF($AA272=1,$F272&amp;$AB272,$G272),IF(OR(BT$3=$D272,BT$3=$AC272,BT$3=$AE272),"",IF(BT$3=$AD272,$F272&amp;"R",BT271))))</f>
        <v/>
      </c>
      <c r="BU272" s="11" t="str">
        <f aca="false">IF($P272=0,BU271,IF(BU$3=$E272,IF($AA272=1,$F272&amp;$AB272,$G272),IF(OR(BU$3=$D272,BU$3=$AC272,BU$3=$AE272),"",IF(BU$3=$AD272,$F272&amp;"R",BU271))))</f>
        <v/>
      </c>
      <c r="BV272" s="11" t="str">
        <f aca="false">IF($P272=0,BV271,IF(BV$3=$E272,IF($AA272=1,$F272&amp;$AB272,$G272),IF(OR(BV$3=$D272,BV$3=$AC272,BV$3=$AE272),"",IF(BV$3=$AD272,$F272&amp;"R",BV271))))</f>
        <v/>
      </c>
      <c r="BW272" s="11" t="str">
        <f aca="false">IF($P272=0,BW271,IF(BW$3=$E272,IF($AA272=1,$F272&amp;$AB272,$G272),IF(OR(BW$3=$D272,BW$3=$AC272,BW$3=$AE272),"",IF(BW$3=$AD272,$F272&amp;"R",BW271))))</f>
        <v/>
      </c>
      <c r="BX272" s="11" t="str">
        <f aca="false">IF($P272=0,BX271,IF(BX$3=$E272,IF($AA272=1,$F272&amp;$AB272,$G272),IF(OR(BX$3=$D272,BX$3=$AC272,BX$3=$AE272),"",IF(BX$3=$AD272,$F272&amp;"R",BX271))))</f>
        <v/>
      </c>
      <c r="BY272" s="11" t="str">
        <f aca="false">IF($P272=0,BY271,IF(BY$3=$E272,IF($AA272=1,$F272&amp;$AB272,$G272),IF(OR(BY$3=$D272,BY$3=$AC272,BY$3=$AE272),"",IF(BY$3=$AD272,$F272&amp;"R",BY271))))</f>
        <v/>
      </c>
      <c r="BZ272" s="11" t="str">
        <f aca="false">IF($P272=0,BZ271,IF(BZ$3=$E272,IF($AA272=1,$F272&amp;$AB272,$G272),IF(OR(BZ$3=$D272,BZ$3=$AC272,BZ$3=$AE272),"",IF(BZ$3=$AD272,$F272&amp;"R",BZ271))))</f>
        <v/>
      </c>
      <c r="CA272" s="11" t="str">
        <f aca="false">IF($P272=0,CA271,IF(CA$3=$E272,IF($AA272=1,$F272&amp;$AB272,$G272),IF(OR(CA$3=$D272,CA$3=$AC272,CA$3=$AE272),"",IF(CA$3=$AD272,$F272&amp;"R",CA271))))</f>
        <v/>
      </c>
      <c r="CB272" s="11" t="str">
        <f aca="false">IF($P272=0,CB271,IF(CB$3=$E272,IF($AA272=1,$F272&amp;$AB272,$G272),IF(OR(CB$3=$D272,CB$3=$AC272,CB$3=$AE272),"",IF(CB$3=$AD272,$F272&amp;"R",CB271))))</f>
        <v/>
      </c>
      <c r="CC272" s="11" t="str">
        <f aca="false">IF($P272=0,CC271,IF(CC$3=$E272,IF($AA272=1,$F272&amp;$AB272,$G272),IF(OR(CC$3=$D272,CC$3=$AC272,CC$3=$AE272),"",IF(CC$3=$AD272,$F272&amp;"R",CC271))))</f>
        <v/>
      </c>
      <c r="CD272" s="11" t="str">
        <f aca="false">IF($P272=0,CD271,IF(CD$3=$E272,IF($AA272=1,$F272&amp;$AB272,$G272),IF(OR(CD$3=$D272,CD$3=$AC272,CD$3=$AE272),"",IF(CD$3=$AD272,$F272&amp;"R",CD271))))</f>
        <v>bP</v>
      </c>
      <c r="CE272" s="11" t="str">
        <f aca="false">IF($P272=0,CE271,IF(CE$3=$E272,IF($AA272=1,$F272&amp;$AB272,$G272),IF(OR(CE$3=$D272,CE$3=$AC272,CE$3=$AE272),"",IF(CE$3=$AD272,$F272&amp;"R",CE271))))</f>
        <v>bP</v>
      </c>
      <c r="CF272" s="11" t="str">
        <f aca="false">IF($P272=0,CF271,IF(CF$3=$E272,IF($AA272=1,$F272&amp;$AB272,$G272),IF(OR(CF$3=$D272,CF$3=$AC272,CF$3=$AE272),"",IF(CF$3=$AD272,$F272&amp;"R",CF271))))</f>
        <v>bP</v>
      </c>
      <c r="CG272" s="11" t="str">
        <f aca="false">IF($P272=0,CG271,IF(CG$3=$E272,IF($AA272=1,$F272&amp;$AB272,$G272),IF(OR(CG$3=$D272,CG$3=$AC272,CG$3=$AE272),"",IF(CG$3=$AD272,$F272&amp;"R",CG271))))</f>
        <v>bP</v>
      </c>
      <c r="CH272" s="11" t="str">
        <f aca="false">IF($P272=0,CH271,IF(CH$3=$E272,IF($AA272=1,$F272&amp;$AB272,$G272),IF(OR(CH$3=$D272,CH$3=$AC272,CH$3=$AE272),"",IF(CH$3=$AD272,$F272&amp;"R",CH271))))</f>
        <v>bP</v>
      </c>
      <c r="CI272" s="11" t="str">
        <f aca="false">IF($P272=0,CI271,IF(CI$3=$E272,IF($AA272=1,$F272&amp;$AB272,$G272),IF(OR(CI$3=$D272,CI$3=$AC272,CI$3=$AE272),"",IF(CI$3=$AD272,$F272&amp;"R",CI271))))</f>
        <v>bP</v>
      </c>
      <c r="CJ272" s="11" t="str">
        <f aca="false">IF($P272=0,CJ271,IF(CJ$3=$E272,IF($AA272=1,$F272&amp;$AB272,$G272),IF(OR(CJ$3=$D272,CJ$3=$AC272,CJ$3=$AE272),"",IF(CJ$3=$AD272,$F272&amp;"R",CJ271))))</f>
        <v>bP</v>
      </c>
      <c r="CK272" s="11" t="str">
        <f aca="false">IF($P272=0,CK271,IF(CK$3=$E272,IF($AA272=1,$F272&amp;$AB272,$G272),IF(OR(CK$3=$D272,CK$3=$AC272,CK$3=$AE272),"",IF(CK$3=$AD272,$F272&amp;"R",CK271))))</f>
        <v>bP</v>
      </c>
      <c r="CL272" s="11" t="str">
        <f aca="false">IF($P272=0,CL271,IF(CL$3=$E272,IF($AA272=1,$F272&amp;$AB272,$G272),IF(OR(CL$3=$D272,CL$3=$AC272,CL$3=$AE272),"",IF(CL$3=$AD272,$F272&amp;"R",CL271))))</f>
        <v>bR</v>
      </c>
      <c r="CM272" s="11" t="str">
        <f aca="false">IF($P272=0,CM271,IF(CM$3=$E272,IF($AA272=1,$F272&amp;$AB272,$G272),IF(OR(CM$3=$D272,CM$3=$AC272,CM$3=$AE272),"",IF(CM$3=$AD272,$F272&amp;"R",CM271))))</f>
        <v>bN</v>
      </c>
      <c r="CN272" s="11" t="str">
        <f aca="false">IF($P272=0,CN271,IF(CN$3=$E272,IF($AA272=1,$F272&amp;$AB272,$G272),IF(OR(CN$3=$D272,CN$3=$AC272,CN$3=$AE272),"",IF(CN$3=$AD272,$F272&amp;"R",CN271))))</f>
        <v>bB</v>
      </c>
      <c r="CO272" s="11" t="str">
        <f aca="false">IF($P272=0,CO271,IF(CO$3=$E272,IF($AA272=1,$F272&amp;$AB272,$G272),IF(OR(CO$3=$D272,CO$3=$AC272,CO$3=$AE272),"",IF(CO$3=$AD272,$F272&amp;"R",CO271))))</f>
        <v>bQ</v>
      </c>
      <c r="CP272" s="11" t="str">
        <f aca="false">IF($P272=0,CP271,IF(CP$3=$E272,IF($AA272=1,$F272&amp;$AB272,$G272),IF(OR(CP$3=$D272,CP$3=$AC272,CP$3=$AE272),"",IF(CP$3=$AD272,$F272&amp;"R",CP271))))</f>
        <v>bK</v>
      </c>
      <c r="CQ272" s="11" t="str">
        <f aca="false">IF($P272=0,CQ271,IF(CQ$3=$E272,IF($AA272=1,$F272&amp;$AB272,$G272),IF(OR(CQ$3=$D272,CQ$3=$AC272,CQ$3=$AE272),"",IF(CQ$3=$AD272,$F272&amp;"R",CQ271))))</f>
        <v>bB</v>
      </c>
      <c r="CR272" s="11" t="str">
        <f aca="false">IF($P272=0,CR271,IF(CR$3=$E272,IF($AA272=1,$F272&amp;$AB272,$G272),IF(OR(CR$3=$D272,CR$3=$AC272,CR$3=$AE272),"",IF(CR$3=$AD272,$F272&amp;"R",CR271))))</f>
        <v>bN</v>
      </c>
      <c r="CS272" s="11" t="str">
        <f aca="false">IF($P272=0,CS271,IF(CS$3=$E272,IF($AA272=1,$F272&amp;$AB272,$G272),IF(OR(CS$3=$D272,CS$3=$AC272,CS$3=$AE272),"",IF(CS$3=$AD272,$F272&amp;"R",CS271))))</f>
        <v>bR</v>
      </c>
      <c r="CT272" s="11"/>
      <c r="CU272" s="11"/>
      <c r="CV272" s="11"/>
    </row>
    <row r="273" customFormat="false" ht="15" hidden="false" customHeight="false" outlineLevel="0" collapsed="false">
      <c r="A273" s="11" t="n">
        <v>268</v>
      </c>
      <c r="B273" s="11" t="str">
        <f aca="false">IF(Chess!$L$277="","",Chess!$L$277&amp;"")</f>
        <v/>
      </c>
      <c r="C273" s="11" t="str">
        <f aca="false">LOWER(SUBSTITUTE(SUBSTITUTE(SUBSTITUTE(SUBSTITUTE(TRIM($B273),"-",""),"=","")," ",""),"x",""))</f>
        <v/>
      </c>
      <c r="D273" s="11" t="n">
        <f aca="false">IF(LEN($C273)&lt;4,0,IFERROR(IF(AND(CODE(MID($C273,1,1))&gt;=97,CODE(MID($C273,1,1))&lt;=104,VALUE(MID($C273,2,1))&gt;=1,VALUE(MID($C273,2,1))&lt;=8),(VALUE(MID($C273,2,1))-1)*8+CODE(MID($C273,1,1))-96,0),0))</f>
        <v>0</v>
      </c>
      <c r="E273" s="11" t="n">
        <f aca="false">IF(LEN($C273)&lt;4,0,IFERROR(IF(AND(CODE(MID($C273,3,1))&gt;=97,CODE(MID($C273,3,1))&lt;=104,VALUE(MID($C273,4,1))&gt;=1,VALUE(MID($C273,4,1))&lt;=8),(VALUE(MID($C273,4,1))-1)*8+CODE(MID($C273,3,1))-96,0),0))</f>
        <v>0</v>
      </c>
      <c r="F273" s="11" t="str">
        <f aca="false">IF(MOD(SUM($P$5:$P272),2)=0,"w","b")</f>
        <v>w</v>
      </c>
      <c r="G273" s="11" t="str">
        <f aca="false">IF($D273=0,"",INDEX($AH272:$CS272,1,$D273)&amp;"")</f>
        <v/>
      </c>
      <c r="H273" s="11" t="str">
        <f aca="false">IF($E273=0,"",INDEX($AH272:$CS272,1,$E273)&amp;"")</f>
        <v/>
      </c>
      <c r="I273" s="11" t="n">
        <f aca="false">IF(OR($D273=0,$E273=0),0,MOD($E273-1,8)-MOD($D273-1,8))</f>
        <v>0</v>
      </c>
      <c r="J273" s="11" t="n">
        <f aca="false">IF(OR($D273=0,$E273=0),0,INT(($E273-1)/8)-INT(($D273-1)/8))</f>
        <v>0</v>
      </c>
      <c r="K273" s="11" t="str">
        <f aca="false">IF($G273="","",RIGHT($G273,1))</f>
        <v/>
      </c>
      <c r="L273" s="11" t="n">
        <f aca="false">IF(OR($D273=0,$E273=0),0,SUMPRODUCT(($AH$3:$CS$3&gt;MIN($D273,$E273))*($AH$3:$CS$3&lt;MAX($D273,$E273))*(MOD($AH$3:$CS$3-MIN($D273,$E273),MAX(1,ABS(SIGN($J273)*8+SIGN($I273))))=0)*($AH272:$CS272&lt;&gt;"")))</f>
        <v>0</v>
      </c>
      <c r="M273" s="11" t="n">
        <f aca="false">IF($K273&lt;&gt;"K",0,IFERROR(--AND($J273=0,ABS($I273)=2,$D273=IF($F273="w",5,61),IF($F273="w",$S272,$V272)=0,IF($I273=2,AND(IF($F273="w",$U272,$X272)=0,INDEX($AH272:$CS272,1,$D273+1)&amp;""="",INDEX($AH272:$CS272,1,$D273+2)&amp;""=""),AND(IF($F273="w",$T272,$W272)=0,INDEX($AH272:$CS272,1,$D273-1)&amp;""="",INDEX($AH272:$CS272,1,$D273-2)&amp;""="",INDEX($AH272:$CS272,1,$D273-3)&amp;""=""))),0))</f>
        <v>0</v>
      </c>
      <c r="N273" s="11" t="n">
        <f aca="false">IF($K273&lt;&gt;"P",0,IFERROR(--OR(AND($I273=0,$J273=IF($F273="w",1,-1),$H273=""),AND($I273=0,$J273=2*IF($F273="w",1,-1),$H273="",INT(($D273-1)/8)=IF($F273="w",1,6),INDEX($AH272:$CS272,1,MAX(1,MIN(64,$D273+8*IF($F273="w",1,-1))))&amp;""=""),AND(ABS($I273)=1,$J273=IF($F273="w",1,-1),$H273&lt;&gt;""),AND(ABS($I273)=1,$J273=IF($F273="w",1,-1),$H273="",$R272&gt;0,$E273=$R272)),0))</f>
        <v>0</v>
      </c>
      <c r="O273" s="11" t="n">
        <f aca="false">IF(OR($D273=0,$E273=0,$G273=""),0,IF($K273="N",--OR(AND(ABS($I273)=1,ABS($J273)=2),AND(ABS($I273)=2,ABS($J273)=1)),IF($K273="B",--AND(ABS($I273)=ABS($J273),$I273&lt;&gt;0,$L273=0),IF($K273="R",--AND(OR($I273=0,$J273=0),OR($I273&lt;&gt;0,$J273&lt;&gt;0),$L273=0),IF($K273="Q",--AND(OR(AND(ABS($I273)=ABS($J273),$I273&lt;&gt;0),AND(OR($I273=0,$J273=0),OR($I273&lt;&gt;0,$J273&lt;&gt;0))),$L273=0),IF($K273="K",--OR(MAX(ABS($I273),ABS($J273))=1,$M273=1),$N273))))))</f>
        <v>0</v>
      </c>
      <c r="P273" s="11" t="n">
        <f aca="false">IF($Q273="OK",1,0)</f>
        <v>0</v>
      </c>
      <c r="Q273" s="11" t="str">
        <f aca="false">IF($B273="","",IF(OR(COUNTIF($AH272:$CS272,"wK")=0,COUNTIF($AH272:$CS272,"bK")=0),"Game is over",IF(OR($D273=0,$E273=0),"Use the format e2e4",IF($G273="","No piece on that square",IF(LEFT($G273,1)&lt;&gt;$F273,"Not your piece ("&amp;IF($F273="w","White","Black")&amp;" to move)",IF($D273=$E273,"Piece must move",IF(AND($H273&lt;&gt;"",LEFT($H273,1)=$F273),"Cannot capture your own piece",IF($O273=0,"Illegal move for that piece (or path blocked)","OK"))))))))</f>
        <v/>
      </c>
      <c r="R273" s="11" t="n">
        <f aca="false">IF($P273=1,IF(AND($K273="P",ABS($J273)=2),($D273+$E273)/2,0),$R272)</f>
        <v>0</v>
      </c>
      <c r="S273" s="12" t="b">
        <f aca="false">--OR($S272=1,AND($P273=1,OR($D273=5,$E273=5)))</f>
        <v>0</v>
      </c>
      <c r="T273" s="12" t="b">
        <f aca="false">--OR($T272=1,AND($P273=1,OR($D273=1,$E273=1)))</f>
        <v>0</v>
      </c>
      <c r="U273" s="12" t="b">
        <f aca="false">--OR($U272=1,AND($P273=1,OR($D273=8,$E273=8)))</f>
        <v>0</v>
      </c>
      <c r="V273" s="12" t="b">
        <f aca="false">--OR($V272=1,AND($P273=1,OR($D273=61,$E273=61)))</f>
        <v>0</v>
      </c>
      <c r="W273" s="12" t="b">
        <f aca="false">--OR($W272=1,AND($P273=1,OR($D273=57,$E273=57)))</f>
        <v>0</v>
      </c>
      <c r="X273" s="12" t="b">
        <f aca="false">--OR($X272=1,AND($P273=1,OR($D273=64,$E273=64)))</f>
        <v>0</v>
      </c>
      <c r="Y273" s="12" t="b">
        <f aca="false">--AND($P273=1,$K273="K",ABS($I273)=2)</f>
        <v>0</v>
      </c>
      <c r="Z273" s="12" t="b">
        <f aca="false">--AND($P273=1,$K273="P",ABS($I273)=1,$H273="")</f>
        <v>0</v>
      </c>
      <c r="AA273" s="12" t="b">
        <f aca="false">--AND($P273=1,$K273="P",INT(($E273-1)/8)=IF($F273="w",7,0))</f>
        <v>0</v>
      </c>
      <c r="AB273" s="11" t="str">
        <f aca="false">IF(LEN($C273)&gt;=5,IF(ISNUMBER(FIND(MID($C273,5,1),"qrbn")),UPPER(MID($C273,5,1)),"Q"),"Q")</f>
        <v>Q</v>
      </c>
      <c r="AC273" s="11" t="n">
        <f aca="false">IF($Y273=1,IF($I273=2,$D273+3,$D273-4),0)</f>
        <v>0</v>
      </c>
      <c r="AD273" s="11" t="n">
        <f aca="false">IF($Y273=1,IF($I273=2,$D273+1,$D273-1),0)</f>
        <v>0</v>
      </c>
      <c r="AE273" s="11" t="n">
        <f aca="false">IF($Z273=1,$E273-8*IF($F273="w",1,-1),0)</f>
        <v>0</v>
      </c>
      <c r="AF273" s="11" t="str">
        <f aca="false">IF($B273="","",IF($P273=1,LOWER(INDEX($CV$2:$CV$13,MATCH($G273,$CU$2:$CU$13,0)))&amp;" "&amp;MID("abcdefgh",MOD($D273-1,8)+1,1)&amp;(INT(($D273-1)/8)+1)&amp;"→"&amp;MID("abcdefgh",MOD($E273-1,8)+1,1)&amp;(INT(($E273-1)/8)+1)&amp;IF(OR($H273&lt;&gt;"",$Z273=1)," ×","")&amp;IF($Y273=1," castles","")&amp;IF($Z273=1," e.p.","")&amp;IF($AA273=1," =" &amp;LOWER(INDEX($CV$2:$CV$13,MATCH($F273&amp;$AB273,$CU$2:$CU$13,0))),""),"X "&amp;$Q273))</f>
        <v/>
      </c>
      <c r="AG273" s="11"/>
      <c r="AH273" s="11" t="str">
        <f aca="false">IF($P273=0,AH272,IF(AH$3=$E273,IF($AA273=1,$F273&amp;$AB273,$G273),IF(OR(AH$3=$D273,AH$3=$AC273,AH$3=$AE273),"",IF(AH$3=$AD273,$F273&amp;"R",AH272))))</f>
        <v>wR</v>
      </c>
      <c r="AI273" s="11" t="str">
        <f aca="false">IF($P273=0,AI272,IF(AI$3=$E273,IF($AA273=1,$F273&amp;$AB273,$G273),IF(OR(AI$3=$D273,AI$3=$AC273,AI$3=$AE273),"",IF(AI$3=$AD273,$F273&amp;"R",AI272))))</f>
        <v>wN</v>
      </c>
      <c r="AJ273" s="11" t="str">
        <f aca="false">IF($P273=0,AJ272,IF(AJ$3=$E273,IF($AA273=1,$F273&amp;$AB273,$G273),IF(OR(AJ$3=$D273,AJ$3=$AC273,AJ$3=$AE273),"",IF(AJ$3=$AD273,$F273&amp;"R",AJ272))))</f>
        <v>wB</v>
      </c>
      <c r="AK273" s="11" t="str">
        <f aca="false">IF($P273=0,AK272,IF(AK$3=$E273,IF($AA273=1,$F273&amp;$AB273,$G273),IF(OR(AK$3=$D273,AK$3=$AC273,AK$3=$AE273),"",IF(AK$3=$AD273,$F273&amp;"R",AK272))))</f>
        <v>wQ</v>
      </c>
      <c r="AL273" s="11" t="str">
        <f aca="false">IF($P273=0,AL272,IF(AL$3=$E273,IF($AA273=1,$F273&amp;$AB273,$G273),IF(OR(AL$3=$D273,AL$3=$AC273,AL$3=$AE273),"",IF(AL$3=$AD273,$F273&amp;"R",AL272))))</f>
        <v>wK</v>
      </c>
      <c r="AM273" s="11" t="str">
        <f aca="false">IF($P273=0,AM272,IF(AM$3=$E273,IF($AA273=1,$F273&amp;$AB273,$G273),IF(OR(AM$3=$D273,AM$3=$AC273,AM$3=$AE273),"",IF(AM$3=$AD273,$F273&amp;"R",AM272))))</f>
        <v>wB</v>
      </c>
      <c r="AN273" s="11" t="str">
        <f aca="false">IF($P273=0,AN272,IF(AN$3=$E273,IF($AA273=1,$F273&amp;$AB273,$G273),IF(OR(AN$3=$D273,AN$3=$AC273,AN$3=$AE273),"",IF(AN$3=$AD273,$F273&amp;"R",AN272))))</f>
        <v>wN</v>
      </c>
      <c r="AO273" s="11" t="str">
        <f aca="false">IF($P273=0,AO272,IF(AO$3=$E273,IF($AA273=1,$F273&amp;$AB273,$G273),IF(OR(AO$3=$D273,AO$3=$AC273,AO$3=$AE273),"",IF(AO$3=$AD273,$F273&amp;"R",AO272))))</f>
        <v>wR</v>
      </c>
      <c r="AP273" s="11" t="str">
        <f aca="false">IF($P273=0,AP272,IF(AP$3=$E273,IF($AA273=1,$F273&amp;$AB273,$G273),IF(OR(AP$3=$D273,AP$3=$AC273,AP$3=$AE273),"",IF(AP$3=$AD273,$F273&amp;"R",AP272))))</f>
        <v>wP</v>
      </c>
      <c r="AQ273" s="11" t="str">
        <f aca="false">IF($P273=0,AQ272,IF(AQ$3=$E273,IF($AA273=1,$F273&amp;$AB273,$G273),IF(OR(AQ$3=$D273,AQ$3=$AC273,AQ$3=$AE273),"",IF(AQ$3=$AD273,$F273&amp;"R",AQ272))))</f>
        <v>wP</v>
      </c>
      <c r="AR273" s="11" t="str">
        <f aca="false">IF($P273=0,AR272,IF(AR$3=$E273,IF($AA273=1,$F273&amp;$AB273,$G273),IF(OR(AR$3=$D273,AR$3=$AC273,AR$3=$AE273),"",IF(AR$3=$AD273,$F273&amp;"R",AR272))))</f>
        <v>wP</v>
      </c>
      <c r="AS273" s="11" t="str">
        <f aca="false">IF($P273=0,AS272,IF(AS$3=$E273,IF($AA273=1,$F273&amp;$AB273,$G273),IF(OR(AS$3=$D273,AS$3=$AC273,AS$3=$AE273),"",IF(AS$3=$AD273,$F273&amp;"R",AS272))))</f>
        <v>wP</v>
      </c>
      <c r="AT273" s="11" t="str">
        <f aca="false">IF($P273=0,AT272,IF(AT$3=$E273,IF($AA273=1,$F273&amp;$AB273,$G273),IF(OR(AT$3=$D273,AT$3=$AC273,AT$3=$AE273),"",IF(AT$3=$AD273,$F273&amp;"R",AT272))))</f>
        <v>wP</v>
      </c>
      <c r="AU273" s="11" t="str">
        <f aca="false">IF($P273=0,AU272,IF(AU$3=$E273,IF($AA273=1,$F273&amp;$AB273,$G273),IF(OR(AU$3=$D273,AU$3=$AC273,AU$3=$AE273),"",IF(AU$3=$AD273,$F273&amp;"R",AU272))))</f>
        <v>wP</v>
      </c>
      <c r="AV273" s="11" t="str">
        <f aca="false">IF($P273=0,AV272,IF(AV$3=$E273,IF($AA273=1,$F273&amp;$AB273,$G273),IF(OR(AV$3=$D273,AV$3=$AC273,AV$3=$AE273),"",IF(AV$3=$AD273,$F273&amp;"R",AV272))))</f>
        <v>wP</v>
      </c>
      <c r="AW273" s="11" t="str">
        <f aca="false">IF($P273=0,AW272,IF(AW$3=$E273,IF($AA273=1,$F273&amp;$AB273,$G273),IF(OR(AW$3=$D273,AW$3=$AC273,AW$3=$AE273),"",IF(AW$3=$AD273,$F273&amp;"R",AW272))))</f>
        <v>wP</v>
      </c>
      <c r="AX273" s="11" t="str">
        <f aca="false">IF($P273=0,AX272,IF(AX$3=$E273,IF($AA273=1,$F273&amp;$AB273,$G273),IF(OR(AX$3=$D273,AX$3=$AC273,AX$3=$AE273),"",IF(AX$3=$AD273,$F273&amp;"R",AX272))))</f>
        <v/>
      </c>
      <c r="AY273" s="11" t="str">
        <f aca="false">IF($P273=0,AY272,IF(AY$3=$E273,IF($AA273=1,$F273&amp;$AB273,$G273),IF(OR(AY$3=$D273,AY$3=$AC273,AY$3=$AE273),"",IF(AY$3=$AD273,$F273&amp;"R",AY272))))</f>
        <v/>
      </c>
      <c r="AZ273" s="11" t="str">
        <f aca="false">IF($P273=0,AZ272,IF(AZ$3=$E273,IF($AA273=1,$F273&amp;$AB273,$G273),IF(OR(AZ$3=$D273,AZ$3=$AC273,AZ$3=$AE273),"",IF(AZ$3=$AD273,$F273&amp;"R",AZ272))))</f>
        <v/>
      </c>
      <c r="BA273" s="11" t="str">
        <f aca="false">IF($P273=0,BA272,IF(BA$3=$E273,IF($AA273=1,$F273&amp;$AB273,$G273),IF(OR(BA$3=$D273,BA$3=$AC273,BA$3=$AE273),"",IF(BA$3=$AD273,$F273&amp;"R",BA272))))</f>
        <v/>
      </c>
      <c r="BB273" s="11" t="str">
        <f aca="false">IF($P273=0,BB272,IF(BB$3=$E273,IF($AA273=1,$F273&amp;$AB273,$G273),IF(OR(BB$3=$D273,BB$3=$AC273,BB$3=$AE273),"",IF(BB$3=$AD273,$F273&amp;"R",BB272))))</f>
        <v/>
      </c>
      <c r="BC273" s="11" t="str">
        <f aca="false">IF($P273=0,BC272,IF(BC$3=$E273,IF($AA273=1,$F273&amp;$AB273,$G273),IF(OR(BC$3=$D273,BC$3=$AC273,BC$3=$AE273),"",IF(BC$3=$AD273,$F273&amp;"R",BC272))))</f>
        <v/>
      </c>
      <c r="BD273" s="11" t="str">
        <f aca="false">IF($P273=0,BD272,IF(BD$3=$E273,IF($AA273=1,$F273&amp;$AB273,$G273),IF(OR(BD$3=$D273,BD$3=$AC273,BD$3=$AE273),"",IF(BD$3=$AD273,$F273&amp;"R",BD272))))</f>
        <v/>
      </c>
      <c r="BE273" s="11" t="str">
        <f aca="false">IF($P273=0,BE272,IF(BE$3=$E273,IF($AA273=1,$F273&amp;$AB273,$G273),IF(OR(BE$3=$D273,BE$3=$AC273,BE$3=$AE273),"",IF(BE$3=$AD273,$F273&amp;"R",BE272))))</f>
        <v/>
      </c>
      <c r="BF273" s="11" t="str">
        <f aca="false">IF($P273=0,BF272,IF(BF$3=$E273,IF($AA273=1,$F273&amp;$AB273,$G273),IF(OR(BF$3=$D273,BF$3=$AC273,BF$3=$AE273),"",IF(BF$3=$AD273,$F273&amp;"R",BF272))))</f>
        <v/>
      </c>
      <c r="BG273" s="11" t="str">
        <f aca="false">IF($P273=0,BG272,IF(BG$3=$E273,IF($AA273=1,$F273&amp;$AB273,$G273),IF(OR(BG$3=$D273,BG$3=$AC273,BG$3=$AE273),"",IF(BG$3=$AD273,$F273&amp;"R",BG272))))</f>
        <v/>
      </c>
      <c r="BH273" s="11" t="str">
        <f aca="false">IF($P273=0,BH272,IF(BH$3=$E273,IF($AA273=1,$F273&amp;$AB273,$G273),IF(OR(BH$3=$D273,BH$3=$AC273,BH$3=$AE273),"",IF(BH$3=$AD273,$F273&amp;"R",BH272))))</f>
        <v/>
      </c>
      <c r="BI273" s="11" t="str">
        <f aca="false">IF($P273=0,BI272,IF(BI$3=$E273,IF($AA273=1,$F273&amp;$AB273,$G273),IF(OR(BI$3=$D273,BI$3=$AC273,BI$3=$AE273),"",IF(BI$3=$AD273,$F273&amp;"R",BI272))))</f>
        <v/>
      </c>
      <c r="BJ273" s="11" t="str">
        <f aca="false">IF($P273=0,BJ272,IF(BJ$3=$E273,IF($AA273=1,$F273&amp;$AB273,$G273),IF(OR(BJ$3=$D273,BJ$3=$AC273,BJ$3=$AE273),"",IF(BJ$3=$AD273,$F273&amp;"R",BJ272))))</f>
        <v/>
      </c>
      <c r="BK273" s="11" t="str">
        <f aca="false">IF($P273=0,BK272,IF(BK$3=$E273,IF($AA273=1,$F273&amp;$AB273,$G273),IF(OR(BK$3=$D273,BK$3=$AC273,BK$3=$AE273),"",IF(BK$3=$AD273,$F273&amp;"R",BK272))))</f>
        <v/>
      </c>
      <c r="BL273" s="11" t="str">
        <f aca="false">IF($P273=0,BL272,IF(BL$3=$E273,IF($AA273=1,$F273&amp;$AB273,$G273),IF(OR(BL$3=$D273,BL$3=$AC273,BL$3=$AE273),"",IF(BL$3=$AD273,$F273&amp;"R",BL272))))</f>
        <v/>
      </c>
      <c r="BM273" s="11" t="str">
        <f aca="false">IF($P273=0,BM272,IF(BM$3=$E273,IF($AA273=1,$F273&amp;$AB273,$G273),IF(OR(BM$3=$D273,BM$3=$AC273,BM$3=$AE273),"",IF(BM$3=$AD273,$F273&amp;"R",BM272))))</f>
        <v/>
      </c>
      <c r="BN273" s="11" t="str">
        <f aca="false">IF($P273=0,BN272,IF(BN$3=$E273,IF($AA273=1,$F273&amp;$AB273,$G273),IF(OR(BN$3=$D273,BN$3=$AC273,BN$3=$AE273),"",IF(BN$3=$AD273,$F273&amp;"R",BN272))))</f>
        <v/>
      </c>
      <c r="BO273" s="11" t="str">
        <f aca="false">IF($P273=0,BO272,IF(BO$3=$E273,IF($AA273=1,$F273&amp;$AB273,$G273),IF(OR(BO$3=$D273,BO$3=$AC273,BO$3=$AE273),"",IF(BO$3=$AD273,$F273&amp;"R",BO272))))</f>
        <v/>
      </c>
      <c r="BP273" s="11" t="str">
        <f aca="false">IF($P273=0,BP272,IF(BP$3=$E273,IF($AA273=1,$F273&amp;$AB273,$G273),IF(OR(BP$3=$D273,BP$3=$AC273,BP$3=$AE273),"",IF(BP$3=$AD273,$F273&amp;"R",BP272))))</f>
        <v/>
      </c>
      <c r="BQ273" s="11" t="str">
        <f aca="false">IF($P273=0,BQ272,IF(BQ$3=$E273,IF($AA273=1,$F273&amp;$AB273,$G273),IF(OR(BQ$3=$D273,BQ$3=$AC273,BQ$3=$AE273),"",IF(BQ$3=$AD273,$F273&amp;"R",BQ272))))</f>
        <v/>
      </c>
      <c r="BR273" s="11" t="str">
        <f aca="false">IF($P273=0,BR272,IF(BR$3=$E273,IF($AA273=1,$F273&amp;$AB273,$G273),IF(OR(BR$3=$D273,BR$3=$AC273,BR$3=$AE273),"",IF(BR$3=$AD273,$F273&amp;"R",BR272))))</f>
        <v/>
      </c>
      <c r="BS273" s="11" t="str">
        <f aca="false">IF($P273=0,BS272,IF(BS$3=$E273,IF($AA273=1,$F273&amp;$AB273,$G273),IF(OR(BS$3=$D273,BS$3=$AC273,BS$3=$AE273),"",IF(BS$3=$AD273,$F273&amp;"R",BS272))))</f>
        <v/>
      </c>
      <c r="BT273" s="11" t="str">
        <f aca="false">IF($P273=0,BT272,IF(BT$3=$E273,IF($AA273=1,$F273&amp;$AB273,$G273),IF(OR(BT$3=$D273,BT$3=$AC273,BT$3=$AE273),"",IF(BT$3=$AD273,$F273&amp;"R",BT272))))</f>
        <v/>
      </c>
      <c r="BU273" s="11" t="str">
        <f aca="false">IF($P273=0,BU272,IF(BU$3=$E273,IF($AA273=1,$F273&amp;$AB273,$G273),IF(OR(BU$3=$D273,BU$3=$AC273,BU$3=$AE273),"",IF(BU$3=$AD273,$F273&amp;"R",BU272))))</f>
        <v/>
      </c>
      <c r="BV273" s="11" t="str">
        <f aca="false">IF($P273=0,BV272,IF(BV$3=$E273,IF($AA273=1,$F273&amp;$AB273,$G273),IF(OR(BV$3=$D273,BV$3=$AC273,BV$3=$AE273),"",IF(BV$3=$AD273,$F273&amp;"R",BV272))))</f>
        <v/>
      </c>
      <c r="BW273" s="11" t="str">
        <f aca="false">IF($P273=0,BW272,IF(BW$3=$E273,IF($AA273=1,$F273&amp;$AB273,$G273),IF(OR(BW$3=$D273,BW$3=$AC273,BW$3=$AE273),"",IF(BW$3=$AD273,$F273&amp;"R",BW272))))</f>
        <v/>
      </c>
      <c r="BX273" s="11" t="str">
        <f aca="false">IF($P273=0,BX272,IF(BX$3=$E273,IF($AA273=1,$F273&amp;$AB273,$G273),IF(OR(BX$3=$D273,BX$3=$AC273,BX$3=$AE273),"",IF(BX$3=$AD273,$F273&amp;"R",BX272))))</f>
        <v/>
      </c>
      <c r="BY273" s="11" t="str">
        <f aca="false">IF($P273=0,BY272,IF(BY$3=$E273,IF($AA273=1,$F273&amp;$AB273,$G273),IF(OR(BY$3=$D273,BY$3=$AC273,BY$3=$AE273),"",IF(BY$3=$AD273,$F273&amp;"R",BY272))))</f>
        <v/>
      </c>
      <c r="BZ273" s="11" t="str">
        <f aca="false">IF($P273=0,BZ272,IF(BZ$3=$E273,IF($AA273=1,$F273&amp;$AB273,$G273),IF(OR(BZ$3=$D273,BZ$3=$AC273,BZ$3=$AE273),"",IF(BZ$3=$AD273,$F273&amp;"R",BZ272))))</f>
        <v/>
      </c>
      <c r="CA273" s="11" t="str">
        <f aca="false">IF($P273=0,CA272,IF(CA$3=$E273,IF($AA273=1,$F273&amp;$AB273,$G273),IF(OR(CA$3=$D273,CA$3=$AC273,CA$3=$AE273),"",IF(CA$3=$AD273,$F273&amp;"R",CA272))))</f>
        <v/>
      </c>
      <c r="CB273" s="11" t="str">
        <f aca="false">IF($P273=0,CB272,IF(CB$3=$E273,IF($AA273=1,$F273&amp;$AB273,$G273),IF(OR(CB$3=$D273,CB$3=$AC273,CB$3=$AE273),"",IF(CB$3=$AD273,$F273&amp;"R",CB272))))</f>
        <v/>
      </c>
      <c r="CC273" s="11" t="str">
        <f aca="false">IF($P273=0,CC272,IF(CC$3=$E273,IF($AA273=1,$F273&amp;$AB273,$G273),IF(OR(CC$3=$D273,CC$3=$AC273,CC$3=$AE273),"",IF(CC$3=$AD273,$F273&amp;"R",CC272))))</f>
        <v/>
      </c>
      <c r="CD273" s="11" t="str">
        <f aca="false">IF($P273=0,CD272,IF(CD$3=$E273,IF($AA273=1,$F273&amp;$AB273,$G273),IF(OR(CD$3=$D273,CD$3=$AC273,CD$3=$AE273),"",IF(CD$3=$AD273,$F273&amp;"R",CD272))))</f>
        <v>bP</v>
      </c>
      <c r="CE273" s="11" t="str">
        <f aca="false">IF($P273=0,CE272,IF(CE$3=$E273,IF($AA273=1,$F273&amp;$AB273,$G273),IF(OR(CE$3=$D273,CE$3=$AC273,CE$3=$AE273),"",IF(CE$3=$AD273,$F273&amp;"R",CE272))))</f>
        <v>bP</v>
      </c>
      <c r="CF273" s="11" t="str">
        <f aca="false">IF($P273=0,CF272,IF(CF$3=$E273,IF($AA273=1,$F273&amp;$AB273,$G273),IF(OR(CF$3=$D273,CF$3=$AC273,CF$3=$AE273),"",IF(CF$3=$AD273,$F273&amp;"R",CF272))))</f>
        <v>bP</v>
      </c>
      <c r="CG273" s="11" t="str">
        <f aca="false">IF($P273=0,CG272,IF(CG$3=$E273,IF($AA273=1,$F273&amp;$AB273,$G273),IF(OR(CG$3=$D273,CG$3=$AC273,CG$3=$AE273),"",IF(CG$3=$AD273,$F273&amp;"R",CG272))))</f>
        <v>bP</v>
      </c>
      <c r="CH273" s="11" t="str">
        <f aca="false">IF($P273=0,CH272,IF(CH$3=$E273,IF($AA273=1,$F273&amp;$AB273,$G273),IF(OR(CH$3=$D273,CH$3=$AC273,CH$3=$AE273),"",IF(CH$3=$AD273,$F273&amp;"R",CH272))))</f>
        <v>bP</v>
      </c>
      <c r="CI273" s="11" t="str">
        <f aca="false">IF($P273=0,CI272,IF(CI$3=$E273,IF($AA273=1,$F273&amp;$AB273,$G273),IF(OR(CI$3=$D273,CI$3=$AC273,CI$3=$AE273),"",IF(CI$3=$AD273,$F273&amp;"R",CI272))))</f>
        <v>bP</v>
      </c>
      <c r="CJ273" s="11" t="str">
        <f aca="false">IF($P273=0,CJ272,IF(CJ$3=$E273,IF($AA273=1,$F273&amp;$AB273,$G273),IF(OR(CJ$3=$D273,CJ$3=$AC273,CJ$3=$AE273),"",IF(CJ$3=$AD273,$F273&amp;"R",CJ272))))</f>
        <v>bP</v>
      </c>
      <c r="CK273" s="11" t="str">
        <f aca="false">IF($P273=0,CK272,IF(CK$3=$E273,IF($AA273=1,$F273&amp;$AB273,$G273),IF(OR(CK$3=$D273,CK$3=$AC273,CK$3=$AE273),"",IF(CK$3=$AD273,$F273&amp;"R",CK272))))</f>
        <v>bP</v>
      </c>
      <c r="CL273" s="11" t="str">
        <f aca="false">IF($P273=0,CL272,IF(CL$3=$E273,IF($AA273=1,$F273&amp;$AB273,$G273),IF(OR(CL$3=$D273,CL$3=$AC273,CL$3=$AE273),"",IF(CL$3=$AD273,$F273&amp;"R",CL272))))</f>
        <v>bR</v>
      </c>
      <c r="CM273" s="11" t="str">
        <f aca="false">IF($P273=0,CM272,IF(CM$3=$E273,IF($AA273=1,$F273&amp;$AB273,$G273),IF(OR(CM$3=$D273,CM$3=$AC273,CM$3=$AE273),"",IF(CM$3=$AD273,$F273&amp;"R",CM272))))</f>
        <v>bN</v>
      </c>
      <c r="CN273" s="11" t="str">
        <f aca="false">IF($P273=0,CN272,IF(CN$3=$E273,IF($AA273=1,$F273&amp;$AB273,$G273),IF(OR(CN$3=$D273,CN$3=$AC273,CN$3=$AE273),"",IF(CN$3=$AD273,$F273&amp;"R",CN272))))</f>
        <v>bB</v>
      </c>
      <c r="CO273" s="11" t="str">
        <f aca="false">IF($P273=0,CO272,IF(CO$3=$E273,IF($AA273=1,$F273&amp;$AB273,$G273),IF(OR(CO$3=$D273,CO$3=$AC273,CO$3=$AE273),"",IF(CO$3=$AD273,$F273&amp;"R",CO272))))</f>
        <v>bQ</v>
      </c>
      <c r="CP273" s="11" t="str">
        <f aca="false">IF($P273=0,CP272,IF(CP$3=$E273,IF($AA273=1,$F273&amp;$AB273,$G273),IF(OR(CP$3=$D273,CP$3=$AC273,CP$3=$AE273),"",IF(CP$3=$AD273,$F273&amp;"R",CP272))))</f>
        <v>bK</v>
      </c>
      <c r="CQ273" s="11" t="str">
        <f aca="false">IF($P273=0,CQ272,IF(CQ$3=$E273,IF($AA273=1,$F273&amp;$AB273,$G273),IF(OR(CQ$3=$D273,CQ$3=$AC273,CQ$3=$AE273),"",IF(CQ$3=$AD273,$F273&amp;"R",CQ272))))</f>
        <v>bB</v>
      </c>
      <c r="CR273" s="11" t="str">
        <f aca="false">IF($P273=0,CR272,IF(CR$3=$E273,IF($AA273=1,$F273&amp;$AB273,$G273),IF(OR(CR$3=$D273,CR$3=$AC273,CR$3=$AE273),"",IF(CR$3=$AD273,$F273&amp;"R",CR272))))</f>
        <v>bN</v>
      </c>
      <c r="CS273" s="11" t="str">
        <f aca="false">IF($P273=0,CS272,IF(CS$3=$E273,IF($AA273=1,$F273&amp;$AB273,$G273),IF(OR(CS$3=$D273,CS$3=$AC273,CS$3=$AE273),"",IF(CS$3=$AD273,$F273&amp;"R",CS272))))</f>
        <v>bR</v>
      </c>
      <c r="CT273" s="11"/>
      <c r="CU273" s="11"/>
      <c r="CV273" s="11"/>
    </row>
    <row r="274" customFormat="false" ht="15" hidden="false" customHeight="false" outlineLevel="0" collapsed="false">
      <c r="A274" s="11" t="n">
        <v>269</v>
      </c>
      <c r="B274" s="11" t="str">
        <f aca="false">IF(Chess!$L$278="","",Chess!$L$278&amp;"")</f>
        <v/>
      </c>
      <c r="C274" s="11" t="str">
        <f aca="false">LOWER(SUBSTITUTE(SUBSTITUTE(SUBSTITUTE(SUBSTITUTE(TRIM($B274),"-",""),"=","")," ",""),"x",""))</f>
        <v/>
      </c>
      <c r="D274" s="11" t="n">
        <f aca="false">IF(LEN($C274)&lt;4,0,IFERROR(IF(AND(CODE(MID($C274,1,1))&gt;=97,CODE(MID($C274,1,1))&lt;=104,VALUE(MID($C274,2,1))&gt;=1,VALUE(MID($C274,2,1))&lt;=8),(VALUE(MID($C274,2,1))-1)*8+CODE(MID($C274,1,1))-96,0),0))</f>
        <v>0</v>
      </c>
      <c r="E274" s="11" t="n">
        <f aca="false">IF(LEN($C274)&lt;4,0,IFERROR(IF(AND(CODE(MID($C274,3,1))&gt;=97,CODE(MID($C274,3,1))&lt;=104,VALUE(MID($C274,4,1))&gt;=1,VALUE(MID($C274,4,1))&lt;=8),(VALUE(MID($C274,4,1))-1)*8+CODE(MID($C274,3,1))-96,0),0))</f>
        <v>0</v>
      </c>
      <c r="F274" s="11" t="str">
        <f aca="false">IF(MOD(SUM($P$5:$P273),2)=0,"w","b")</f>
        <v>w</v>
      </c>
      <c r="G274" s="11" t="str">
        <f aca="false">IF($D274=0,"",INDEX($AH273:$CS273,1,$D274)&amp;"")</f>
        <v/>
      </c>
      <c r="H274" s="11" t="str">
        <f aca="false">IF($E274=0,"",INDEX($AH273:$CS273,1,$E274)&amp;"")</f>
        <v/>
      </c>
      <c r="I274" s="11" t="n">
        <f aca="false">IF(OR($D274=0,$E274=0),0,MOD($E274-1,8)-MOD($D274-1,8))</f>
        <v>0</v>
      </c>
      <c r="J274" s="11" t="n">
        <f aca="false">IF(OR($D274=0,$E274=0),0,INT(($E274-1)/8)-INT(($D274-1)/8))</f>
        <v>0</v>
      </c>
      <c r="K274" s="11" t="str">
        <f aca="false">IF($G274="","",RIGHT($G274,1))</f>
        <v/>
      </c>
      <c r="L274" s="11" t="n">
        <f aca="false">IF(OR($D274=0,$E274=0),0,SUMPRODUCT(($AH$3:$CS$3&gt;MIN($D274,$E274))*($AH$3:$CS$3&lt;MAX($D274,$E274))*(MOD($AH$3:$CS$3-MIN($D274,$E274),MAX(1,ABS(SIGN($J274)*8+SIGN($I274))))=0)*($AH273:$CS273&lt;&gt;"")))</f>
        <v>0</v>
      </c>
      <c r="M274" s="11" t="n">
        <f aca="false">IF($K274&lt;&gt;"K",0,IFERROR(--AND($J274=0,ABS($I274)=2,$D274=IF($F274="w",5,61),IF($F274="w",$S273,$V273)=0,IF($I274=2,AND(IF($F274="w",$U273,$X273)=0,INDEX($AH273:$CS273,1,$D274+1)&amp;""="",INDEX($AH273:$CS273,1,$D274+2)&amp;""=""),AND(IF($F274="w",$T273,$W273)=0,INDEX($AH273:$CS273,1,$D274-1)&amp;""="",INDEX($AH273:$CS273,1,$D274-2)&amp;""="",INDEX($AH273:$CS273,1,$D274-3)&amp;""=""))),0))</f>
        <v>0</v>
      </c>
      <c r="N274" s="11" t="n">
        <f aca="false">IF($K274&lt;&gt;"P",0,IFERROR(--OR(AND($I274=0,$J274=IF($F274="w",1,-1),$H274=""),AND($I274=0,$J274=2*IF($F274="w",1,-1),$H274="",INT(($D274-1)/8)=IF($F274="w",1,6),INDEX($AH273:$CS273,1,MAX(1,MIN(64,$D274+8*IF($F274="w",1,-1))))&amp;""=""),AND(ABS($I274)=1,$J274=IF($F274="w",1,-1),$H274&lt;&gt;""),AND(ABS($I274)=1,$J274=IF($F274="w",1,-1),$H274="",$R273&gt;0,$E274=$R273)),0))</f>
        <v>0</v>
      </c>
      <c r="O274" s="11" t="n">
        <f aca="false">IF(OR($D274=0,$E274=0,$G274=""),0,IF($K274="N",--OR(AND(ABS($I274)=1,ABS($J274)=2),AND(ABS($I274)=2,ABS($J274)=1)),IF($K274="B",--AND(ABS($I274)=ABS($J274),$I274&lt;&gt;0,$L274=0),IF($K274="R",--AND(OR($I274=0,$J274=0),OR($I274&lt;&gt;0,$J274&lt;&gt;0),$L274=0),IF($K274="Q",--AND(OR(AND(ABS($I274)=ABS($J274),$I274&lt;&gt;0),AND(OR($I274=0,$J274=0),OR($I274&lt;&gt;0,$J274&lt;&gt;0))),$L274=0),IF($K274="K",--OR(MAX(ABS($I274),ABS($J274))=1,$M274=1),$N274))))))</f>
        <v>0</v>
      </c>
      <c r="P274" s="11" t="n">
        <f aca="false">IF($Q274="OK",1,0)</f>
        <v>0</v>
      </c>
      <c r="Q274" s="11" t="str">
        <f aca="false">IF($B274="","",IF(OR(COUNTIF($AH273:$CS273,"wK")=0,COUNTIF($AH273:$CS273,"bK")=0),"Game is over",IF(OR($D274=0,$E274=0),"Use the format e2e4",IF($G274="","No piece on that square",IF(LEFT($G274,1)&lt;&gt;$F274,"Not your piece ("&amp;IF($F274="w","White","Black")&amp;" to move)",IF($D274=$E274,"Piece must move",IF(AND($H274&lt;&gt;"",LEFT($H274,1)=$F274),"Cannot capture your own piece",IF($O274=0,"Illegal move for that piece (or path blocked)","OK"))))))))</f>
        <v/>
      </c>
      <c r="R274" s="11" t="n">
        <f aca="false">IF($P274=1,IF(AND($K274="P",ABS($J274)=2),($D274+$E274)/2,0),$R273)</f>
        <v>0</v>
      </c>
      <c r="S274" s="12" t="b">
        <f aca="false">--OR($S273=1,AND($P274=1,OR($D274=5,$E274=5)))</f>
        <v>0</v>
      </c>
      <c r="T274" s="12" t="b">
        <f aca="false">--OR($T273=1,AND($P274=1,OR($D274=1,$E274=1)))</f>
        <v>0</v>
      </c>
      <c r="U274" s="12" t="b">
        <f aca="false">--OR($U273=1,AND($P274=1,OR($D274=8,$E274=8)))</f>
        <v>0</v>
      </c>
      <c r="V274" s="12" t="b">
        <f aca="false">--OR($V273=1,AND($P274=1,OR($D274=61,$E274=61)))</f>
        <v>0</v>
      </c>
      <c r="W274" s="12" t="b">
        <f aca="false">--OR($W273=1,AND($P274=1,OR($D274=57,$E274=57)))</f>
        <v>0</v>
      </c>
      <c r="X274" s="12" t="b">
        <f aca="false">--OR($X273=1,AND($P274=1,OR($D274=64,$E274=64)))</f>
        <v>0</v>
      </c>
      <c r="Y274" s="12" t="b">
        <f aca="false">--AND($P274=1,$K274="K",ABS($I274)=2)</f>
        <v>0</v>
      </c>
      <c r="Z274" s="12" t="b">
        <f aca="false">--AND($P274=1,$K274="P",ABS($I274)=1,$H274="")</f>
        <v>0</v>
      </c>
      <c r="AA274" s="12" t="b">
        <f aca="false">--AND($P274=1,$K274="P",INT(($E274-1)/8)=IF($F274="w",7,0))</f>
        <v>0</v>
      </c>
      <c r="AB274" s="11" t="str">
        <f aca="false">IF(LEN($C274)&gt;=5,IF(ISNUMBER(FIND(MID($C274,5,1),"qrbn")),UPPER(MID($C274,5,1)),"Q"),"Q")</f>
        <v>Q</v>
      </c>
      <c r="AC274" s="11" t="n">
        <f aca="false">IF($Y274=1,IF($I274=2,$D274+3,$D274-4),0)</f>
        <v>0</v>
      </c>
      <c r="AD274" s="11" t="n">
        <f aca="false">IF($Y274=1,IF($I274=2,$D274+1,$D274-1),0)</f>
        <v>0</v>
      </c>
      <c r="AE274" s="11" t="n">
        <f aca="false">IF($Z274=1,$E274-8*IF($F274="w",1,-1),0)</f>
        <v>0</v>
      </c>
      <c r="AF274" s="11" t="str">
        <f aca="false">IF($B274="","",IF($P274=1,LOWER(INDEX($CV$2:$CV$13,MATCH($G274,$CU$2:$CU$13,0)))&amp;" "&amp;MID("abcdefgh",MOD($D274-1,8)+1,1)&amp;(INT(($D274-1)/8)+1)&amp;"→"&amp;MID("abcdefgh",MOD($E274-1,8)+1,1)&amp;(INT(($E274-1)/8)+1)&amp;IF(OR($H274&lt;&gt;"",$Z274=1)," ×","")&amp;IF($Y274=1," castles","")&amp;IF($Z274=1," e.p.","")&amp;IF($AA274=1," =" &amp;LOWER(INDEX($CV$2:$CV$13,MATCH($F274&amp;$AB274,$CU$2:$CU$13,0))),""),"X "&amp;$Q274))</f>
        <v/>
      </c>
      <c r="AG274" s="11"/>
      <c r="AH274" s="11" t="str">
        <f aca="false">IF($P274=0,AH273,IF(AH$3=$E274,IF($AA274=1,$F274&amp;$AB274,$G274),IF(OR(AH$3=$D274,AH$3=$AC274,AH$3=$AE274),"",IF(AH$3=$AD274,$F274&amp;"R",AH273))))</f>
        <v>wR</v>
      </c>
      <c r="AI274" s="11" t="str">
        <f aca="false">IF($P274=0,AI273,IF(AI$3=$E274,IF($AA274=1,$F274&amp;$AB274,$G274),IF(OR(AI$3=$D274,AI$3=$AC274,AI$3=$AE274),"",IF(AI$3=$AD274,$F274&amp;"R",AI273))))</f>
        <v>wN</v>
      </c>
      <c r="AJ274" s="11" t="str">
        <f aca="false">IF($P274=0,AJ273,IF(AJ$3=$E274,IF($AA274=1,$F274&amp;$AB274,$G274),IF(OR(AJ$3=$D274,AJ$3=$AC274,AJ$3=$AE274),"",IF(AJ$3=$AD274,$F274&amp;"R",AJ273))))</f>
        <v>wB</v>
      </c>
      <c r="AK274" s="11" t="str">
        <f aca="false">IF($P274=0,AK273,IF(AK$3=$E274,IF($AA274=1,$F274&amp;$AB274,$G274),IF(OR(AK$3=$D274,AK$3=$AC274,AK$3=$AE274),"",IF(AK$3=$AD274,$F274&amp;"R",AK273))))</f>
        <v>wQ</v>
      </c>
      <c r="AL274" s="11" t="str">
        <f aca="false">IF($P274=0,AL273,IF(AL$3=$E274,IF($AA274=1,$F274&amp;$AB274,$G274),IF(OR(AL$3=$D274,AL$3=$AC274,AL$3=$AE274),"",IF(AL$3=$AD274,$F274&amp;"R",AL273))))</f>
        <v>wK</v>
      </c>
      <c r="AM274" s="11" t="str">
        <f aca="false">IF($P274=0,AM273,IF(AM$3=$E274,IF($AA274=1,$F274&amp;$AB274,$G274),IF(OR(AM$3=$D274,AM$3=$AC274,AM$3=$AE274),"",IF(AM$3=$AD274,$F274&amp;"R",AM273))))</f>
        <v>wB</v>
      </c>
      <c r="AN274" s="11" t="str">
        <f aca="false">IF($P274=0,AN273,IF(AN$3=$E274,IF($AA274=1,$F274&amp;$AB274,$G274),IF(OR(AN$3=$D274,AN$3=$AC274,AN$3=$AE274),"",IF(AN$3=$AD274,$F274&amp;"R",AN273))))</f>
        <v>wN</v>
      </c>
      <c r="AO274" s="11" t="str">
        <f aca="false">IF($P274=0,AO273,IF(AO$3=$E274,IF($AA274=1,$F274&amp;$AB274,$G274),IF(OR(AO$3=$D274,AO$3=$AC274,AO$3=$AE274),"",IF(AO$3=$AD274,$F274&amp;"R",AO273))))</f>
        <v>wR</v>
      </c>
      <c r="AP274" s="11" t="str">
        <f aca="false">IF($P274=0,AP273,IF(AP$3=$E274,IF($AA274=1,$F274&amp;$AB274,$G274),IF(OR(AP$3=$D274,AP$3=$AC274,AP$3=$AE274),"",IF(AP$3=$AD274,$F274&amp;"R",AP273))))</f>
        <v>wP</v>
      </c>
      <c r="AQ274" s="11" t="str">
        <f aca="false">IF($P274=0,AQ273,IF(AQ$3=$E274,IF($AA274=1,$F274&amp;$AB274,$G274),IF(OR(AQ$3=$D274,AQ$3=$AC274,AQ$3=$AE274),"",IF(AQ$3=$AD274,$F274&amp;"R",AQ273))))</f>
        <v>wP</v>
      </c>
      <c r="AR274" s="11" t="str">
        <f aca="false">IF($P274=0,AR273,IF(AR$3=$E274,IF($AA274=1,$F274&amp;$AB274,$G274),IF(OR(AR$3=$D274,AR$3=$AC274,AR$3=$AE274),"",IF(AR$3=$AD274,$F274&amp;"R",AR273))))</f>
        <v>wP</v>
      </c>
      <c r="AS274" s="11" t="str">
        <f aca="false">IF($P274=0,AS273,IF(AS$3=$E274,IF($AA274=1,$F274&amp;$AB274,$G274),IF(OR(AS$3=$D274,AS$3=$AC274,AS$3=$AE274),"",IF(AS$3=$AD274,$F274&amp;"R",AS273))))</f>
        <v>wP</v>
      </c>
      <c r="AT274" s="11" t="str">
        <f aca="false">IF($P274=0,AT273,IF(AT$3=$E274,IF($AA274=1,$F274&amp;$AB274,$G274),IF(OR(AT$3=$D274,AT$3=$AC274,AT$3=$AE274),"",IF(AT$3=$AD274,$F274&amp;"R",AT273))))</f>
        <v>wP</v>
      </c>
      <c r="AU274" s="11" t="str">
        <f aca="false">IF($P274=0,AU273,IF(AU$3=$E274,IF($AA274=1,$F274&amp;$AB274,$G274),IF(OR(AU$3=$D274,AU$3=$AC274,AU$3=$AE274),"",IF(AU$3=$AD274,$F274&amp;"R",AU273))))</f>
        <v>wP</v>
      </c>
      <c r="AV274" s="11" t="str">
        <f aca="false">IF($P274=0,AV273,IF(AV$3=$E274,IF($AA274=1,$F274&amp;$AB274,$G274),IF(OR(AV$3=$D274,AV$3=$AC274,AV$3=$AE274),"",IF(AV$3=$AD274,$F274&amp;"R",AV273))))</f>
        <v>wP</v>
      </c>
      <c r="AW274" s="11" t="str">
        <f aca="false">IF($P274=0,AW273,IF(AW$3=$E274,IF($AA274=1,$F274&amp;$AB274,$G274),IF(OR(AW$3=$D274,AW$3=$AC274,AW$3=$AE274),"",IF(AW$3=$AD274,$F274&amp;"R",AW273))))</f>
        <v>wP</v>
      </c>
      <c r="AX274" s="11" t="str">
        <f aca="false">IF($P274=0,AX273,IF(AX$3=$E274,IF($AA274=1,$F274&amp;$AB274,$G274),IF(OR(AX$3=$D274,AX$3=$AC274,AX$3=$AE274),"",IF(AX$3=$AD274,$F274&amp;"R",AX273))))</f>
        <v/>
      </c>
      <c r="AY274" s="11" t="str">
        <f aca="false">IF($P274=0,AY273,IF(AY$3=$E274,IF($AA274=1,$F274&amp;$AB274,$G274),IF(OR(AY$3=$D274,AY$3=$AC274,AY$3=$AE274),"",IF(AY$3=$AD274,$F274&amp;"R",AY273))))</f>
        <v/>
      </c>
      <c r="AZ274" s="11" t="str">
        <f aca="false">IF($P274=0,AZ273,IF(AZ$3=$E274,IF($AA274=1,$F274&amp;$AB274,$G274),IF(OR(AZ$3=$D274,AZ$3=$AC274,AZ$3=$AE274),"",IF(AZ$3=$AD274,$F274&amp;"R",AZ273))))</f>
        <v/>
      </c>
      <c r="BA274" s="11" t="str">
        <f aca="false">IF($P274=0,BA273,IF(BA$3=$E274,IF($AA274=1,$F274&amp;$AB274,$G274),IF(OR(BA$3=$D274,BA$3=$AC274,BA$3=$AE274),"",IF(BA$3=$AD274,$F274&amp;"R",BA273))))</f>
        <v/>
      </c>
      <c r="BB274" s="11" t="str">
        <f aca="false">IF($P274=0,BB273,IF(BB$3=$E274,IF($AA274=1,$F274&amp;$AB274,$G274),IF(OR(BB$3=$D274,BB$3=$AC274,BB$3=$AE274),"",IF(BB$3=$AD274,$F274&amp;"R",BB273))))</f>
        <v/>
      </c>
      <c r="BC274" s="11" t="str">
        <f aca="false">IF($P274=0,BC273,IF(BC$3=$E274,IF($AA274=1,$F274&amp;$AB274,$G274),IF(OR(BC$3=$D274,BC$3=$AC274,BC$3=$AE274),"",IF(BC$3=$AD274,$F274&amp;"R",BC273))))</f>
        <v/>
      </c>
      <c r="BD274" s="11" t="str">
        <f aca="false">IF($P274=0,BD273,IF(BD$3=$E274,IF($AA274=1,$F274&amp;$AB274,$G274),IF(OR(BD$3=$D274,BD$3=$AC274,BD$3=$AE274),"",IF(BD$3=$AD274,$F274&amp;"R",BD273))))</f>
        <v/>
      </c>
      <c r="BE274" s="11" t="str">
        <f aca="false">IF($P274=0,BE273,IF(BE$3=$E274,IF($AA274=1,$F274&amp;$AB274,$G274),IF(OR(BE$3=$D274,BE$3=$AC274,BE$3=$AE274),"",IF(BE$3=$AD274,$F274&amp;"R",BE273))))</f>
        <v/>
      </c>
      <c r="BF274" s="11" t="str">
        <f aca="false">IF($P274=0,BF273,IF(BF$3=$E274,IF($AA274=1,$F274&amp;$AB274,$G274),IF(OR(BF$3=$D274,BF$3=$AC274,BF$3=$AE274),"",IF(BF$3=$AD274,$F274&amp;"R",BF273))))</f>
        <v/>
      </c>
      <c r="BG274" s="11" t="str">
        <f aca="false">IF($P274=0,BG273,IF(BG$3=$E274,IF($AA274=1,$F274&amp;$AB274,$G274),IF(OR(BG$3=$D274,BG$3=$AC274,BG$3=$AE274),"",IF(BG$3=$AD274,$F274&amp;"R",BG273))))</f>
        <v/>
      </c>
      <c r="BH274" s="11" t="str">
        <f aca="false">IF($P274=0,BH273,IF(BH$3=$E274,IF($AA274=1,$F274&amp;$AB274,$G274),IF(OR(BH$3=$D274,BH$3=$AC274,BH$3=$AE274),"",IF(BH$3=$AD274,$F274&amp;"R",BH273))))</f>
        <v/>
      </c>
      <c r="BI274" s="11" t="str">
        <f aca="false">IF($P274=0,BI273,IF(BI$3=$E274,IF($AA274=1,$F274&amp;$AB274,$G274),IF(OR(BI$3=$D274,BI$3=$AC274,BI$3=$AE274),"",IF(BI$3=$AD274,$F274&amp;"R",BI273))))</f>
        <v/>
      </c>
      <c r="BJ274" s="11" t="str">
        <f aca="false">IF($P274=0,BJ273,IF(BJ$3=$E274,IF($AA274=1,$F274&amp;$AB274,$G274),IF(OR(BJ$3=$D274,BJ$3=$AC274,BJ$3=$AE274),"",IF(BJ$3=$AD274,$F274&amp;"R",BJ273))))</f>
        <v/>
      </c>
      <c r="BK274" s="11" t="str">
        <f aca="false">IF($P274=0,BK273,IF(BK$3=$E274,IF($AA274=1,$F274&amp;$AB274,$G274),IF(OR(BK$3=$D274,BK$3=$AC274,BK$3=$AE274),"",IF(BK$3=$AD274,$F274&amp;"R",BK273))))</f>
        <v/>
      </c>
      <c r="BL274" s="11" t="str">
        <f aca="false">IF($P274=0,BL273,IF(BL$3=$E274,IF($AA274=1,$F274&amp;$AB274,$G274),IF(OR(BL$3=$D274,BL$3=$AC274,BL$3=$AE274),"",IF(BL$3=$AD274,$F274&amp;"R",BL273))))</f>
        <v/>
      </c>
      <c r="BM274" s="11" t="str">
        <f aca="false">IF($P274=0,BM273,IF(BM$3=$E274,IF($AA274=1,$F274&amp;$AB274,$G274),IF(OR(BM$3=$D274,BM$3=$AC274,BM$3=$AE274),"",IF(BM$3=$AD274,$F274&amp;"R",BM273))))</f>
        <v/>
      </c>
      <c r="BN274" s="11" t="str">
        <f aca="false">IF($P274=0,BN273,IF(BN$3=$E274,IF($AA274=1,$F274&amp;$AB274,$G274),IF(OR(BN$3=$D274,BN$3=$AC274,BN$3=$AE274),"",IF(BN$3=$AD274,$F274&amp;"R",BN273))))</f>
        <v/>
      </c>
      <c r="BO274" s="11" t="str">
        <f aca="false">IF($P274=0,BO273,IF(BO$3=$E274,IF($AA274=1,$F274&amp;$AB274,$G274),IF(OR(BO$3=$D274,BO$3=$AC274,BO$3=$AE274),"",IF(BO$3=$AD274,$F274&amp;"R",BO273))))</f>
        <v/>
      </c>
      <c r="BP274" s="11" t="str">
        <f aca="false">IF($P274=0,BP273,IF(BP$3=$E274,IF($AA274=1,$F274&amp;$AB274,$G274),IF(OR(BP$3=$D274,BP$3=$AC274,BP$3=$AE274),"",IF(BP$3=$AD274,$F274&amp;"R",BP273))))</f>
        <v/>
      </c>
      <c r="BQ274" s="11" t="str">
        <f aca="false">IF($P274=0,BQ273,IF(BQ$3=$E274,IF($AA274=1,$F274&amp;$AB274,$G274),IF(OR(BQ$3=$D274,BQ$3=$AC274,BQ$3=$AE274),"",IF(BQ$3=$AD274,$F274&amp;"R",BQ273))))</f>
        <v/>
      </c>
      <c r="BR274" s="11" t="str">
        <f aca="false">IF($P274=0,BR273,IF(BR$3=$E274,IF($AA274=1,$F274&amp;$AB274,$G274),IF(OR(BR$3=$D274,BR$3=$AC274,BR$3=$AE274),"",IF(BR$3=$AD274,$F274&amp;"R",BR273))))</f>
        <v/>
      </c>
      <c r="BS274" s="11" t="str">
        <f aca="false">IF($P274=0,BS273,IF(BS$3=$E274,IF($AA274=1,$F274&amp;$AB274,$G274),IF(OR(BS$3=$D274,BS$3=$AC274,BS$3=$AE274),"",IF(BS$3=$AD274,$F274&amp;"R",BS273))))</f>
        <v/>
      </c>
      <c r="BT274" s="11" t="str">
        <f aca="false">IF($P274=0,BT273,IF(BT$3=$E274,IF($AA274=1,$F274&amp;$AB274,$G274),IF(OR(BT$3=$D274,BT$3=$AC274,BT$3=$AE274),"",IF(BT$3=$AD274,$F274&amp;"R",BT273))))</f>
        <v/>
      </c>
      <c r="BU274" s="11" t="str">
        <f aca="false">IF($P274=0,BU273,IF(BU$3=$E274,IF($AA274=1,$F274&amp;$AB274,$G274),IF(OR(BU$3=$D274,BU$3=$AC274,BU$3=$AE274),"",IF(BU$3=$AD274,$F274&amp;"R",BU273))))</f>
        <v/>
      </c>
      <c r="BV274" s="11" t="str">
        <f aca="false">IF($P274=0,BV273,IF(BV$3=$E274,IF($AA274=1,$F274&amp;$AB274,$G274),IF(OR(BV$3=$D274,BV$3=$AC274,BV$3=$AE274),"",IF(BV$3=$AD274,$F274&amp;"R",BV273))))</f>
        <v/>
      </c>
      <c r="BW274" s="11" t="str">
        <f aca="false">IF($P274=0,BW273,IF(BW$3=$E274,IF($AA274=1,$F274&amp;$AB274,$G274),IF(OR(BW$3=$D274,BW$3=$AC274,BW$3=$AE274),"",IF(BW$3=$AD274,$F274&amp;"R",BW273))))</f>
        <v/>
      </c>
      <c r="BX274" s="11" t="str">
        <f aca="false">IF($P274=0,BX273,IF(BX$3=$E274,IF($AA274=1,$F274&amp;$AB274,$G274),IF(OR(BX$3=$D274,BX$3=$AC274,BX$3=$AE274),"",IF(BX$3=$AD274,$F274&amp;"R",BX273))))</f>
        <v/>
      </c>
      <c r="BY274" s="11" t="str">
        <f aca="false">IF($P274=0,BY273,IF(BY$3=$E274,IF($AA274=1,$F274&amp;$AB274,$G274),IF(OR(BY$3=$D274,BY$3=$AC274,BY$3=$AE274),"",IF(BY$3=$AD274,$F274&amp;"R",BY273))))</f>
        <v/>
      </c>
      <c r="BZ274" s="11" t="str">
        <f aca="false">IF($P274=0,BZ273,IF(BZ$3=$E274,IF($AA274=1,$F274&amp;$AB274,$G274),IF(OR(BZ$3=$D274,BZ$3=$AC274,BZ$3=$AE274),"",IF(BZ$3=$AD274,$F274&amp;"R",BZ273))))</f>
        <v/>
      </c>
      <c r="CA274" s="11" t="str">
        <f aca="false">IF($P274=0,CA273,IF(CA$3=$E274,IF($AA274=1,$F274&amp;$AB274,$G274),IF(OR(CA$3=$D274,CA$3=$AC274,CA$3=$AE274),"",IF(CA$3=$AD274,$F274&amp;"R",CA273))))</f>
        <v/>
      </c>
      <c r="CB274" s="11" t="str">
        <f aca="false">IF($P274=0,CB273,IF(CB$3=$E274,IF($AA274=1,$F274&amp;$AB274,$G274),IF(OR(CB$3=$D274,CB$3=$AC274,CB$3=$AE274),"",IF(CB$3=$AD274,$F274&amp;"R",CB273))))</f>
        <v/>
      </c>
      <c r="CC274" s="11" t="str">
        <f aca="false">IF($P274=0,CC273,IF(CC$3=$E274,IF($AA274=1,$F274&amp;$AB274,$G274),IF(OR(CC$3=$D274,CC$3=$AC274,CC$3=$AE274),"",IF(CC$3=$AD274,$F274&amp;"R",CC273))))</f>
        <v/>
      </c>
      <c r="CD274" s="11" t="str">
        <f aca="false">IF($P274=0,CD273,IF(CD$3=$E274,IF($AA274=1,$F274&amp;$AB274,$G274),IF(OR(CD$3=$D274,CD$3=$AC274,CD$3=$AE274),"",IF(CD$3=$AD274,$F274&amp;"R",CD273))))</f>
        <v>bP</v>
      </c>
      <c r="CE274" s="11" t="str">
        <f aca="false">IF($P274=0,CE273,IF(CE$3=$E274,IF($AA274=1,$F274&amp;$AB274,$G274),IF(OR(CE$3=$D274,CE$3=$AC274,CE$3=$AE274),"",IF(CE$3=$AD274,$F274&amp;"R",CE273))))</f>
        <v>bP</v>
      </c>
      <c r="CF274" s="11" t="str">
        <f aca="false">IF($P274=0,CF273,IF(CF$3=$E274,IF($AA274=1,$F274&amp;$AB274,$G274),IF(OR(CF$3=$D274,CF$3=$AC274,CF$3=$AE274),"",IF(CF$3=$AD274,$F274&amp;"R",CF273))))</f>
        <v>bP</v>
      </c>
      <c r="CG274" s="11" t="str">
        <f aca="false">IF($P274=0,CG273,IF(CG$3=$E274,IF($AA274=1,$F274&amp;$AB274,$G274),IF(OR(CG$3=$D274,CG$3=$AC274,CG$3=$AE274),"",IF(CG$3=$AD274,$F274&amp;"R",CG273))))</f>
        <v>bP</v>
      </c>
      <c r="CH274" s="11" t="str">
        <f aca="false">IF($P274=0,CH273,IF(CH$3=$E274,IF($AA274=1,$F274&amp;$AB274,$G274),IF(OR(CH$3=$D274,CH$3=$AC274,CH$3=$AE274),"",IF(CH$3=$AD274,$F274&amp;"R",CH273))))</f>
        <v>bP</v>
      </c>
      <c r="CI274" s="11" t="str">
        <f aca="false">IF($P274=0,CI273,IF(CI$3=$E274,IF($AA274=1,$F274&amp;$AB274,$G274),IF(OR(CI$3=$D274,CI$3=$AC274,CI$3=$AE274),"",IF(CI$3=$AD274,$F274&amp;"R",CI273))))</f>
        <v>bP</v>
      </c>
      <c r="CJ274" s="11" t="str">
        <f aca="false">IF($P274=0,CJ273,IF(CJ$3=$E274,IF($AA274=1,$F274&amp;$AB274,$G274),IF(OR(CJ$3=$D274,CJ$3=$AC274,CJ$3=$AE274),"",IF(CJ$3=$AD274,$F274&amp;"R",CJ273))))</f>
        <v>bP</v>
      </c>
      <c r="CK274" s="11" t="str">
        <f aca="false">IF($P274=0,CK273,IF(CK$3=$E274,IF($AA274=1,$F274&amp;$AB274,$G274),IF(OR(CK$3=$D274,CK$3=$AC274,CK$3=$AE274),"",IF(CK$3=$AD274,$F274&amp;"R",CK273))))</f>
        <v>bP</v>
      </c>
      <c r="CL274" s="11" t="str">
        <f aca="false">IF($P274=0,CL273,IF(CL$3=$E274,IF($AA274=1,$F274&amp;$AB274,$G274),IF(OR(CL$3=$D274,CL$3=$AC274,CL$3=$AE274),"",IF(CL$3=$AD274,$F274&amp;"R",CL273))))</f>
        <v>bR</v>
      </c>
      <c r="CM274" s="11" t="str">
        <f aca="false">IF($P274=0,CM273,IF(CM$3=$E274,IF($AA274=1,$F274&amp;$AB274,$G274),IF(OR(CM$3=$D274,CM$3=$AC274,CM$3=$AE274),"",IF(CM$3=$AD274,$F274&amp;"R",CM273))))</f>
        <v>bN</v>
      </c>
      <c r="CN274" s="11" t="str">
        <f aca="false">IF($P274=0,CN273,IF(CN$3=$E274,IF($AA274=1,$F274&amp;$AB274,$G274),IF(OR(CN$3=$D274,CN$3=$AC274,CN$3=$AE274),"",IF(CN$3=$AD274,$F274&amp;"R",CN273))))</f>
        <v>bB</v>
      </c>
      <c r="CO274" s="11" t="str">
        <f aca="false">IF($P274=0,CO273,IF(CO$3=$E274,IF($AA274=1,$F274&amp;$AB274,$G274),IF(OR(CO$3=$D274,CO$3=$AC274,CO$3=$AE274),"",IF(CO$3=$AD274,$F274&amp;"R",CO273))))</f>
        <v>bQ</v>
      </c>
      <c r="CP274" s="11" t="str">
        <f aca="false">IF($P274=0,CP273,IF(CP$3=$E274,IF($AA274=1,$F274&amp;$AB274,$G274),IF(OR(CP$3=$D274,CP$3=$AC274,CP$3=$AE274),"",IF(CP$3=$AD274,$F274&amp;"R",CP273))))</f>
        <v>bK</v>
      </c>
      <c r="CQ274" s="11" t="str">
        <f aca="false">IF($P274=0,CQ273,IF(CQ$3=$E274,IF($AA274=1,$F274&amp;$AB274,$G274),IF(OR(CQ$3=$D274,CQ$3=$AC274,CQ$3=$AE274),"",IF(CQ$3=$AD274,$F274&amp;"R",CQ273))))</f>
        <v>bB</v>
      </c>
      <c r="CR274" s="11" t="str">
        <f aca="false">IF($P274=0,CR273,IF(CR$3=$E274,IF($AA274=1,$F274&amp;$AB274,$G274),IF(OR(CR$3=$D274,CR$3=$AC274,CR$3=$AE274),"",IF(CR$3=$AD274,$F274&amp;"R",CR273))))</f>
        <v>bN</v>
      </c>
      <c r="CS274" s="11" t="str">
        <f aca="false">IF($P274=0,CS273,IF(CS$3=$E274,IF($AA274=1,$F274&amp;$AB274,$G274),IF(OR(CS$3=$D274,CS$3=$AC274,CS$3=$AE274),"",IF(CS$3=$AD274,$F274&amp;"R",CS273))))</f>
        <v>bR</v>
      </c>
      <c r="CT274" s="11"/>
      <c r="CU274" s="11"/>
      <c r="CV274" s="11"/>
    </row>
    <row r="275" customFormat="false" ht="15" hidden="false" customHeight="false" outlineLevel="0" collapsed="false">
      <c r="A275" s="11" t="n">
        <v>270</v>
      </c>
      <c r="B275" s="11" t="str">
        <f aca="false">IF(Chess!$L$279="","",Chess!$L$279&amp;"")</f>
        <v/>
      </c>
      <c r="C275" s="11" t="str">
        <f aca="false">LOWER(SUBSTITUTE(SUBSTITUTE(SUBSTITUTE(SUBSTITUTE(TRIM($B275),"-",""),"=","")," ",""),"x",""))</f>
        <v/>
      </c>
      <c r="D275" s="11" t="n">
        <f aca="false">IF(LEN($C275)&lt;4,0,IFERROR(IF(AND(CODE(MID($C275,1,1))&gt;=97,CODE(MID($C275,1,1))&lt;=104,VALUE(MID($C275,2,1))&gt;=1,VALUE(MID($C275,2,1))&lt;=8),(VALUE(MID($C275,2,1))-1)*8+CODE(MID($C275,1,1))-96,0),0))</f>
        <v>0</v>
      </c>
      <c r="E275" s="11" t="n">
        <f aca="false">IF(LEN($C275)&lt;4,0,IFERROR(IF(AND(CODE(MID($C275,3,1))&gt;=97,CODE(MID($C275,3,1))&lt;=104,VALUE(MID($C275,4,1))&gt;=1,VALUE(MID($C275,4,1))&lt;=8),(VALUE(MID($C275,4,1))-1)*8+CODE(MID($C275,3,1))-96,0),0))</f>
        <v>0</v>
      </c>
      <c r="F275" s="11" t="str">
        <f aca="false">IF(MOD(SUM($P$5:$P274),2)=0,"w","b")</f>
        <v>w</v>
      </c>
      <c r="G275" s="11" t="str">
        <f aca="false">IF($D275=0,"",INDEX($AH274:$CS274,1,$D275)&amp;"")</f>
        <v/>
      </c>
      <c r="H275" s="11" t="str">
        <f aca="false">IF($E275=0,"",INDEX($AH274:$CS274,1,$E275)&amp;"")</f>
        <v/>
      </c>
      <c r="I275" s="11" t="n">
        <f aca="false">IF(OR($D275=0,$E275=0),0,MOD($E275-1,8)-MOD($D275-1,8))</f>
        <v>0</v>
      </c>
      <c r="J275" s="11" t="n">
        <f aca="false">IF(OR($D275=0,$E275=0),0,INT(($E275-1)/8)-INT(($D275-1)/8))</f>
        <v>0</v>
      </c>
      <c r="K275" s="11" t="str">
        <f aca="false">IF($G275="","",RIGHT($G275,1))</f>
        <v/>
      </c>
      <c r="L275" s="11" t="n">
        <f aca="false">IF(OR($D275=0,$E275=0),0,SUMPRODUCT(($AH$3:$CS$3&gt;MIN($D275,$E275))*($AH$3:$CS$3&lt;MAX($D275,$E275))*(MOD($AH$3:$CS$3-MIN($D275,$E275),MAX(1,ABS(SIGN($J275)*8+SIGN($I275))))=0)*($AH274:$CS274&lt;&gt;"")))</f>
        <v>0</v>
      </c>
      <c r="M275" s="11" t="n">
        <f aca="false">IF($K275&lt;&gt;"K",0,IFERROR(--AND($J275=0,ABS($I275)=2,$D275=IF($F275="w",5,61),IF($F275="w",$S274,$V274)=0,IF($I275=2,AND(IF($F275="w",$U274,$X274)=0,INDEX($AH274:$CS274,1,$D275+1)&amp;""="",INDEX($AH274:$CS274,1,$D275+2)&amp;""=""),AND(IF($F275="w",$T274,$W274)=0,INDEX($AH274:$CS274,1,$D275-1)&amp;""="",INDEX($AH274:$CS274,1,$D275-2)&amp;""="",INDEX($AH274:$CS274,1,$D275-3)&amp;""=""))),0))</f>
        <v>0</v>
      </c>
      <c r="N275" s="11" t="n">
        <f aca="false">IF($K275&lt;&gt;"P",0,IFERROR(--OR(AND($I275=0,$J275=IF($F275="w",1,-1),$H275=""),AND($I275=0,$J275=2*IF($F275="w",1,-1),$H275="",INT(($D275-1)/8)=IF($F275="w",1,6),INDEX($AH274:$CS274,1,MAX(1,MIN(64,$D275+8*IF($F275="w",1,-1))))&amp;""=""),AND(ABS($I275)=1,$J275=IF($F275="w",1,-1),$H275&lt;&gt;""),AND(ABS($I275)=1,$J275=IF($F275="w",1,-1),$H275="",$R274&gt;0,$E275=$R274)),0))</f>
        <v>0</v>
      </c>
      <c r="O275" s="11" t="n">
        <f aca="false">IF(OR($D275=0,$E275=0,$G275=""),0,IF($K275="N",--OR(AND(ABS($I275)=1,ABS($J275)=2),AND(ABS($I275)=2,ABS($J275)=1)),IF($K275="B",--AND(ABS($I275)=ABS($J275),$I275&lt;&gt;0,$L275=0),IF($K275="R",--AND(OR($I275=0,$J275=0),OR($I275&lt;&gt;0,$J275&lt;&gt;0),$L275=0),IF($K275="Q",--AND(OR(AND(ABS($I275)=ABS($J275),$I275&lt;&gt;0),AND(OR($I275=0,$J275=0),OR($I275&lt;&gt;0,$J275&lt;&gt;0))),$L275=0),IF($K275="K",--OR(MAX(ABS($I275),ABS($J275))=1,$M275=1),$N275))))))</f>
        <v>0</v>
      </c>
      <c r="P275" s="11" t="n">
        <f aca="false">IF($Q275="OK",1,0)</f>
        <v>0</v>
      </c>
      <c r="Q275" s="11" t="str">
        <f aca="false">IF($B275="","",IF(OR(COUNTIF($AH274:$CS274,"wK")=0,COUNTIF($AH274:$CS274,"bK")=0),"Game is over",IF(OR($D275=0,$E275=0),"Use the format e2e4",IF($G275="","No piece on that square",IF(LEFT($G275,1)&lt;&gt;$F275,"Not your piece ("&amp;IF($F275="w","White","Black")&amp;" to move)",IF($D275=$E275,"Piece must move",IF(AND($H275&lt;&gt;"",LEFT($H275,1)=$F275),"Cannot capture your own piece",IF($O275=0,"Illegal move for that piece (or path blocked)","OK"))))))))</f>
        <v/>
      </c>
      <c r="R275" s="11" t="n">
        <f aca="false">IF($P275=1,IF(AND($K275="P",ABS($J275)=2),($D275+$E275)/2,0),$R274)</f>
        <v>0</v>
      </c>
      <c r="S275" s="12" t="b">
        <f aca="false">--OR($S274=1,AND($P275=1,OR($D275=5,$E275=5)))</f>
        <v>0</v>
      </c>
      <c r="T275" s="12" t="b">
        <f aca="false">--OR($T274=1,AND($P275=1,OR($D275=1,$E275=1)))</f>
        <v>0</v>
      </c>
      <c r="U275" s="12" t="b">
        <f aca="false">--OR($U274=1,AND($P275=1,OR($D275=8,$E275=8)))</f>
        <v>0</v>
      </c>
      <c r="V275" s="12" t="b">
        <f aca="false">--OR($V274=1,AND($P275=1,OR($D275=61,$E275=61)))</f>
        <v>0</v>
      </c>
      <c r="W275" s="12" t="b">
        <f aca="false">--OR($W274=1,AND($P275=1,OR($D275=57,$E275=57)))</f>
        <v>0</v>
      </c>
      <c r="X275" s="12" t="b">
        <f aca="false">--OR($X274=1,AND($P275=1,OR($D275=64,$E275=64)))</f>
        <v>0</v>
      </c>
      <c r="Y275" s="12" t="b">
        <f aca="false">--AND($P275=1,$K275="K",ABS($I275)=2)</f>
        <v>0</v>
      </c>
      <c r="Z275" s="12" t="b">
        <f aca="false">--AND($P275=1,$K275="P",ABS($I275)=1,$H275="")</f>
        <v>0</v>
      </c>
      <c r="AA275" s="12" t="b">
        <f aca="false">--AND($P275=1,$K275="P",INT(($E275-1)/8)=IF($F275="w",7,0))</f>
        <v>0</v>
      </c>
      <c r="AB275" s="11" t="str">
        <f aca="false">IF(LEN($C275)&gt;=5,IF(ISNUMBER(FIND(MID($C275,5,1),"qrbn")),UPPER(MID($C275,5,1)),"Q"),"Q")</f>
        <v>Q</v>
      </c>
      <c r="AC275" s="11" t="n">
        <f aca="false">IF($Y275=1,IF($I275=2,$D275+3,$D275-4),0)</f>
        <v>0</v>
      </c>
      <c r="AD275" s="11" t="n">
        <f aca="false">IF($Y275=1,IF($I275=2,$D275+1,$D275-1),0)</f>
        <v>0</v>
      </c>
      <c r="AE275" s="11" t="n">
        <f aca="false">IF($Z275=1,$E275-8*IF($F275="w",1,-1),0)</f>
        <v>0</v>
      </c>
      <c r="AF275" s="11" t="str">
        <f aca="false">IF($B275="","",IF($P275=1,LOWER(INDEX($CV$2:$CV$13,MATCH($G275,$CU$2:$CU$13,0)))&amp;" "&amp;MID("abcdefgh",MOD($D275-1,8)+1,1)&amp;(INT(($D275-1)/8)+1)&amp;"→"&amp;MID("abcdefgh",MOD($E275-1,8)+1,1)&amp;(INT(($E275-1)/8)+1)&amp;IF(OR($H275&lt;&gt;"",$Z275=1)," ×","")&amp;IF($Y275=1," castles","")&amp;IF($Z275=1," e.p.","")&amp;IF($AA275=1," =" &amp;LOWER(INDEX($CV$2:$CV$13,MATCH($F275&amp;$AB275,$CU$2:$CU$13,0))),""),"X "&amp;$Q275))</f>
        <v/>
      </c>
      <c r="AG275" s="11"/>
      <c r="AH275" s="11" t="str">
        <f aca="false">IF($P275=0,AH274,IF(AH$3=$E275,IF($AA275=1,$F275&amp;$AB275,$G275),IF(OR(AH$3=$D275,AH$3=$AC275,AH$3=$AE275),"",IF(AH$3=$AD275,$F275&amp;"R",AH274))))</f>
        <v>wR</v>
      </c>
      <c r="AI275" s="11" t="str">
        <f aca="false">IF($P275=0,AI274,IF(AI$3=$E275,IF($AA275=1,$F275&amp;$AB275,$G275),IF(OR(AI$3=$D275,AI$3=$AC275,AI$3=$AE275),"",IF(AI$3=$AD275,$F275&amp;"R",AI274))))</f>
        <v>wN</v>
      </c>
      <c r="AJ275" s="11" t="str">
        <f aca="false">IF($P275=0,AJ274,IF(AJ$3=$E275,IF($AA275=1,$F275&amp;$AB275,$G275),IF(OR(AJ$3=$D275,AJ$3=$AC275,AJ$3=$AE275),"",IF(AJ$3=$AD275,$F275&amp;"R",AJ274))))</f>
        <v>wB</v>
      </c>
      <c r="AK275" s="11" t="str">
        <f aca="false">IF($P275=0,AK274,IF(AK$3=$E275,IF($AA275=1,$F275&amp;$AB275,$G275),IF(OR(AK$3=$D275,AK$3=$AC275,AK$3=$AE275),"",IF(AK$3=$AD275,$F275&amp;"R",AK274))))</f>
        <v>wQ</v>
      </c>
      <c r="AL275" s="11" t="str">
        <f aca="false">IF($P275=0,AL274,IF(AL$3=$E275,IF($AA275=1,$F275&amp;$AB275,$G275),IF(OR(AL$3=$D275,AL$3=$AC275,AL$3=$AE275),"",IF(AL$3=$AD275,$F275&amp;"R",AL274))))</f>
        <v>wK</v>
      </c>
      <c r="AM275" s="11" t="str">
        <f aca="false">IF($P275=0,AM274,IF(AM$3=$E275,IF($AA275=1,$F275&amp;$AB275,$G275),IF(OR(AM$3=$D275,AM$3=$AC275,AM$3=$AE275),"",IF(AM$3=$AD275,$F275&amp;"R",AM274))))</f>
        <v>wB</v>
      </c>
      <c r="AN275" s="11" t="str">
        <f aca="false">IF($P275=0,AN274,IF(AN$3=$E275,IF($AA275=1,$F275&amp;$AB275,$G275),IF(OR(AN$3=$D275,AN$3=$AC275,AN$3=$AE275),"",IF(AN$3=$AD275,$F275&amp;"R",AN274))))</f>
        <v>wN</v>
      </c>
      <c r="AO275" s="11" t="str">
        <f aca="false">IF($P275=0,AO274,IF(AO$3=$E275,IF($AA275=1,$F275&amp;$AB275,$G275),IF(OR(AO$3=$D275,AO$3=$AC275,AO$3=$AE275),"",IF(AO$3=$AD275,$F275&amp;"R",AO274))))</f>
        <v>wR</v>
      </c>
      <c r="AP275" s="11" t="str">
        <f aca="false">IF($P275=0,AP274,IF(AP$3=$E275,IF($AA275=1,$F275&amp;$AB275,$G275),IF(OR(AP$3=$D275,AP$3=$AC275,AP$3=$AE275),"",IF(AP$3=$AD275,$F275&amp;"R",AP274))))</f>
        <v>wP</v>
      </c>
      <c r="AQ275" s="11" t="str">
        <f aca="false">IF($P275=0,AQ274,IF(AQ$3=$E275,IF($AA275=1,$F275&amp;$AB275,$G275),IF(OR(AQ$3=$D275,AQ$3=$AC275,AQ$3=$AE275),"",IF(AQ$3=$AD275,$F275&amp;"R",AQ274))))</f>
        <v>wP</v>
      </c>
      <c r="AR275" s="11" t="str">
        <f aca="false">IF($P275=0,AR274,IF(AR$3=$E275,IF($AA275=1,$F275&amp;$AB275,$G275),IF(OR(AR$3=$D275,AR$3=$AC275,AR$3=$AE275),"",IF(AR$3=$AD275,$F275&amp;"R",AR274))))</f>
        <v>wP</v>
      </c>
      <c r="AS275" s="11" t="str">
        <f aca="false">IF($P275=0,AS274,IF(AS$3=$E275,IF($AA275=1,$F275&amp;$AB275,$G275),IF(OR(AS$3=$D275,AS$3=$AC275,AS$3=$AE275),"",IF(AS$3=$AD275,$F275&amp;"R",AS274))))</f>
        <v>wP</v>
      </c>
      <c r="AT275" s="11" t="str">
        <f aca="false">IF($P275=0,AT274,IF(AT$3=$E275,IF($AA275=1,$F275&amp;$AB275,$G275),IF(OR(AT$3=$D275,AT$3=$AC275,AT$3=$AE275),"",IF(AT$3=$AD275,$F275&amp;"R",AT274))))</f>
        <v>wP</v>
      </c>
      <c r="AU275" s="11" t="str">
        <f aca="false">IF($P275=0,AU274,IF(AU$3=$E275,IF($AA275=1,$F275&amp;$AB275,$G275),IF(OR(AU$3=$D275,AU$3=$AC275,AU$3=$AE275),"",IF(AU$3=$AD275,$F275&amp;"R",AU274))))</f>
        <v>wP</v>
      </c>
      <c r="AV275" s="11" t="str">
        <f aca="false">IF($P275=0,AV274,IF(AV$3=$E275,IF($AA275=1,$F275&amp;$AB275,$G275),IF(OR(AV$3=$D275,AV$3=$AC275,AV$3=$AE275),"",IF(AV$3=$AD275,$F275&amp;"R",AV274))))</f>
        <v>wP</v>
      </c>
      <c r="AW275" s="11" t="str">
        <f aca="false">IF($P275=0,AW274,IF(AW$3=$E275,IF($AA275=1,$F275&amp;$AB275,$G275),IF(OR(AW$3=$D275,AW$3=$AC275,AW$3=$AE275),"",IF(AW$3=$AD275,$F275&amp;"R",AW274))))</f>
        <v>wP</v>
      </c>
      <c r="AX275" s="11" t="str">
        <f aca="false">IF($P275=0,AX274,IF(AX$3=$E275,IF($AA275=1,$F275&amp;$AB275,$G275),IF(OR(AX$3=$D275,AX$3=$AC275,AX$3=$AE275),"",IF(AX$3=$AD275,$F275&amp;"R",AX274))))</f>
        <v/>
      </c>
      <c r="AY275" s="11" t="str">
        <f aca="false">IF($P275=0,AY274,IF(AY$3=$E275,IF($AA275=1,$F275&amp;$AB275,$G275),IF(OR(AY$3=$D275,AY$3=$AC275,AY$3=$AE275),"",IF(AY$3=$AD275,$F275&amp;"R",AY274))))</f>
        <v/>
      </c>
      <c r="AZ275" s="11" t="str">
        <f aca="false">IF($P275=0,AZ274,IF(AZ$3=$E275,IF($AA275=1,$F275&amp;$AB275,$G275),IF(OR(AZ$3=$D275,AZ$3=$AC275,AZ$3=$AE275),"",IF(AZ$3=$AD275,$F275&amp;"R",AZ274))))</f>
        <v/>
      </c>
      <c r="BA275" s="11" t="str">
        <f aca="false">IF($P275=0,BA274,IF(BA$3=$E275,IF($AA275=1,$F275&amp;$AB275,$G275),IF(OR(BA$3=$D275,BA$3=$AC275,BA$3=$AE275),"",IF(BA$3=$AD275,$F275&amp;"R",BA274))))</f>
        <v/>
      </c>
      <c r="BB275" s="11" t="str">
        <f aca="false">IF($P275=0,BB274,IF(BB$3=$E275,IF($AA275=1,$F275&amp;$AB275,$G275),IF(OR(BB$3=$D275,BB$3=$AC275,BB$3=$AE275),"",IF(BB$3=$AD275,$F275&amp;"R",BB274))))</f>
        <v/>
      </c>
      <c r="BC275" s="11" t="str">
        <f aca="false">IF($P275=0,BC274,IF(BC$3=$E275,IF($AA275=1,$F275&amp;$AB275,$G275),IF(OR(BC$3=$D275,BC$3=$AC275,BC$3=$AE275),"",IF(BC$3=$AD275,$F275&amp;"R",BC274))))</f>
        <v/>
      </c>
      <c r="BD275" s="11" t="str">
        <f aca="false">IF($P275=0,BD274,IF(BD$3=$E275,IF($AA275=1,$F275&amp;$AB275,$G275),IF(OR(BD$3=$D275,BD$3=$AC275,BD$3=$AE275),"",IF(BD$3=$AD275,$F275&amp;"R",BD274))))</f>
        <v/>
      </c>
      <c r="BE275" s="11" t="str">
        <f aca="false">IF($P275=0,BE274,IF(BE$3=$E275,IF($AA275=1,$F275&amp;$AB275,$G275),IF(OR(BE$3=$D275,BE$3=$AC275,BE$3=$AE275),"",IF(BE$3=$AD275,$F275&amp;"R",BE274))))</f>
        <v/>
      </c>
      <c r="BF275" s="11" t="str">
        <f aca="false">IF($P275=0,BF274,IF(BF$3=$E275,IF($AA275=1,$F275&amp;$AB275,$G275),IF(OR(BF$3=$D275,BF$3=$AC275,BF$3=$AE275),"",IF(BF$3=$AD275,$F275&amp;"R",BF274))))</f>
        <v/>
      </c>
      <c r="BG275" s="11" t="str">
        <f aca="false">IF($P275=0,BG274,IF(BG$3=$E275,IF($AA275=1,$F275&amp;$AB275,$G275),IF(OR(BG$3=$D275,BG$3=$AC275,BG$3=$AE275),"",IF(BG$3=$AD275,$F275&amp;"R",BG274))))</f>
        <v/>
      </c>
      <c r="BH275" s="11" t="str">
        <f aca="false">IF($P275=0,BH274,IF(BH$3=$E275,IF($AA275=1,$F275&amp;$AB275,$G275),IF(OR(BH$3=$D275,BH$3=$AC275,BH$3=$AE275),"",IF(BH$3=$AD275,$F275&amp;"R",BH274))))</f>
        <v/>
      </c>
      <c r="BI275" s="11" t="str">
        <f aca="false">IF($P275=0,BI274,IF(BI$3=$E275,IF($AA275=1,$F275&amp;$AB275,$G275),IF(OR(BI$3=$D275,BI$3=$AC275,BI$3=$AE275),"",IF(BI$3=$AD275,$F275&amp;"R",BI274))))</f>
        <v/>
      </c>
      <c r="BJ275" s="11" t="str">
        <f aca="false">IF($P275=0,BJ274,IF(BJ$3=$E275,IF($AA275=1,$F275&amp;$AB275,$G275),IF(OR(BJ$3=$D275,BJ$3=$AC275,BJ$3=$AE275),"",IF(BJ$3=$AD275,$F275&amp;"R",BJ274))))</f>
        <v/>
      </c>
      <c r="BK275" s="11" t="str">
        <f aca="false">IF($P275=0,BK274,IF(BK$3=$E275,IF($AA275=1,$F275&amp;$AB275,$G275),IF(OR(BK$3=$D275,BK$3=$AC275,BK$3=$AE275),"",IF(BK$3=$AD275,$F275&amp;"R",BK274))))</f>
        <v/>
      </c>
      <c r="BL275" s="11" t="str">
        <f aca="false">IF($P275=0,BL274,IF(BL$3=$E275,IF($AA275=1,$F275&amp;$AB275,$G275),IF(OR(BL$3=$D275,BL$3=$AC275,BL$3=$AE275),"",IF(BL$3=$AD275,$F275&amp;"R",BL274))))</f>
        <v/>
      </c>
      <c r="BM275" s="11" t="str">
        <f aca="false">IF($P275=0,BM274,IF(BM$3=$E275,IF($AA275=1,$F275&amp;$AB275,$G275),IF(OR(BM$3=$D275,BM$3=$AC275,BM$3=$AE275),"",IF(BM$3=$AD275,$F275&amp;"R",BM274))))</f>
        <v/>
      </c>
      <c r="BN275" s="11" t="str">
        <f aca="false">IF($P275=0,BN274,IF(BN$3=$E275,IF($AA275=1,$F275&amp;$AB275,$G275),IF(OR(BN$3=$D275,BN$3=$AC275,BN$3=$AE275),"",IF(BN$3=$AD275,$F275&amp;"R",BN274))))</f>
        <v/>
      </c>
      <c r="BO275" s="11" t="str">
        <f aca="false">IF($P275=0,BO274,IF(BO$3=$E275,IF($AA275=1,$F275&amp;$AB275,$G275),IF(OR(BO$3=$D275,BO$3=$AC275,BO$3=$AE275),"",IF(BO$3=$AD275,$F275&amp;"R",BO274))))</f>
        <v/>
      </c>
      <c r="BP275" s="11" t="str">
        <f aca="false">IF($P275=0,BP274,IF(BP$3=$E275,IF($AA275=1,$F275&amp;$AB275,$G275),IF(OR(BP$3=$D275,BP$3=$AC275,BP$3=$AE275),"",IF(BP$3=$AD275,$F275&amp;"R",BP274))))</f>
        <v/>
      </c>
      <c r="BQ275" s="11" t="str">
        <f aca="false">IF($P275=0,BQ274,IF(BQ$3=$E275,IF($AA275=1,$F275&amp;$AB275,$G275),IF(OR(BQ$3=$D275,BQ$3=$AC275,BQ$3=$AE275),"",IF(BQ$3=$AD275,$F275&amp;"R",BQ274))))</f>
        <v/>
      </c>
      <c r="BR275" s="11" t="str">
        <f aca="false">IF($P275=0,BR274,IF(BR$3=$E275,IF($AA275=1,$F275&amp;$AB275,$G275),IF(OR(BR$3=$D275,BR$3=$AC275,BR$3=$AE275),"",IF(BR$3=$AD275,$F275&amp;"R",BR274))))</f>
        <v/>
      </c>
      <c r="BS275" s="11" t="str">
        <f aca="false">IF($P275=0,BS274,IF(BS$3=$E275,IF($AA275=1,$F275&amp;$AB275,$G275),IF(OR(BS$3=$D275,BS$3=$AC275,BS$3=$AE275),"",IF(BS$3=$AD275,$F275&amp;"R",BS274))))</f>
        <v/>
      </c>
      <c r="BT275" s="11" t="str">
        <f aca="false">IF($P275=0,BT274,IF(BT$3=$E275,IF($AA275=1,$F275&amp;$AB275,$G275),IF(OR(BT$3=$D275,BT$3=$AC275,BT$3=$AE275),"",IF(BT$3=$AD275,$F275&amp;"R",BT274))))</f>
        <v/>
      </c>
      <c r="BU275" s="11" t="str">
        <f aca="false">IF($P275=0,BU274,IF(BU$3=$E275,IF($AA275=1,$F275&amp;$AB275,$G275),IF(OR(BU$3=$D275,BU$3=$AC275,BU$3=$AE275),"",IF(BU$3=$AD275,$F275&amp;"R",BU274))))</f>
        <v/>
      </c>
      <c r="BV275" s="11" t="str">
        <f aca="false">IF($P275=0,BV274,IF(BV$3=$E275,IF($AA275=1,$F275&amp;$AB275,$G275),IF(OR(BV$3=$D275,BV$3=$AC275,BV$3=$AE275),"",IF(BV$3=$AD275,$F275&amp;"R",BV274))))</f>
        <v/>
      </c>
      <c r="BW275" s="11" t="str">
        <f aca="false">IF($P275=0,BW274,IF(BW$3=$E275,IF($AA275=1,$F275&amp;$AB275,$G275),IF(OR(BW$3=$D275,BW$3=$AC275,BW$3=$AE275),"",IF(BW$3=$AD275,$F275&amp;"R",BW274))))</f>
        <v/>
      </c>
      <c r="BX275" s="11" t="str">
        <f aca="false">IF($P275=0,BX274,IF(BX$3=$E275,IF($AA275=1,$F275&amp;$AB275,$G275),IF(OR(BX$3=$D275,BX$3=$AC275,BX$3=$AE275),"",IF(BX$3=$AD275,$F275&amp;"R",BX274))))</f>
        <v/>
      </c>
      <c r="BY275" s="11" t="str">
        <f aca="false">IF($P275=0,BY274,IF(BY$3=$E275,IF($AA275=1,$F275&amp;$AB275,$G275),IF(OR(BY$3=$D275,BY$3=$AC275,BY$3=$AE275),"",IF(BY$3=$AD275,$F275&amp;"R",BY274))))</f>
        <v/>
      </c>
      <c r="BZ275" s="11" t="str">
        <f aca="false">IF($P275=0,BZ274,IF(BZ$3=$E275,IF($AA275=1,$F275&amp;$AB275,$G275),IF(OR(BZ$3=$D275,BZ$3=$AC275,BZ$3=$AE275),"",IF(BZ$3=$AD275,$F275&amp;"R",BZ274))))</f>
        <v/>
      </c>
      <c r="CA275" s="11" t="str">
        <f aca="false">IF($P275=0,CA274,IF(CA$3=$E275,IF($AA275=1,$F275&amp;$AB275,$G275),IF(OR(CA$3=$D275,CA$3=$AC275,CA$3=$AE275),"",IF(CA$3=$AD275,$F275&amp;"R",CA274))))</f>
        <v/>
      </c>
      <c r="CB275" s="11" t="str">
        <f aca="false">IF($P275=0,CB274,IF(CB$3=$E275,IF($AA275=1,$F275&amp;$AB275,$G275),IF(OR(CB$3=$D275,CB$3=$AC275,CB$3=$AE275),"",IF(CB$3=$AD275,$F275&amp;"R",CB274))))</f>
        <v/>
      </c>
      <c r="CC275" s="11" t="str">
        <f aca="false">IF($P275=0,CC274,IF(CC$3=$E275,IF($AA275=1,$F275&amp;$AB275,$G275),IF(OR(CC$3=$D275,CC$3=$AC275,CC$3=$AE275),"",IF(CC$3=$AD275,$F275&amp;"R",CC274))))</f>
        <v/>
      </c>
      <c r="CD275" s="11" t="str">
        <f aca="false">IF($P275=0,CD274,IF(CD$3=$E275,IF($AA275=1,$F275&amp;$AB275,$G275),IF(OR(CD$3=$D275,CD$3=$AC275,CD$3=$AE275),"",IF(CD$3=$AD275,$F275&amp;"R",CD274))))</f>
        <v>bP</v>
      </c>
      <c r="CE275" s="11" t="str">
        <f aca="false">IF($P275=0,CE274,IF(CE$3=$E275,IF($AA275=1,$F275&amp;$AB275,$G275),IF(OR(CE$3=$D275,CE$3=$AC275,CE$3=$AE275),"",IF(CE$3=$AD275,$F275&amp;"R",CE274))))</f>
        <v>bP</v>
      </c>
      <c r="CF275" s="11" t="str">
        <f aca="false">IF($P275=0,CF274,IF(CF$3=$E275,IF($AA275=1,$F275&amp;$AB275,$G275),IF(OR(CF$3=$D275,CF$3=$AC275,CF$3=$AE275),"",IF(CF$3=$AD275,$F275&amp;"R",CF274))))</f>
        <v>bP</v>
      </c>
      <c r="CG275" s="11" t="str">
        <f aca="false">IF($P275=0,CG274,IF(CG$3=$E275,IF($AA275=1,$F275&amp;$AB275,$G275),IF(OR(CG$3=$D275,CG$3=$AC275,CG$3=$AE275),"",IF(CG$3=$AD275,$F275&amp;"R",CG274))))</f>
        <v>bP</v>
      </c>
      <c r="CH275" s="11" t="str">
        <f aca="false">IF($P275=0,CH274,IF(CH$3=$E275,IF($AA275=1,$F275&amp;$AB275,$G275),IF(OR(CH$3=$D275,CH$3=$AC275,CH$3=$AE275),"",IF(CH$3=$AD275,$F275&amp;"R",CH274))))</f>
        <v>bP</v>
      </c>
      <c r="CI275" s="11" t="str">
        <f aca="false">IF($P275=0,CI274,IF(CI$3=$E275,IF($AA275=1,$F275&amp;$AB275,$G275),IF(OR(CI$3=$D275,CI$3=$AC275,CI$3=$AE275),"",IF(CI$3=$AD275,$F275&amp;"R",CI274))))</f>
        <v>bP</v>
      </c>
      <c r="CJ275" s="11" t="str">
        <f aca="false">IF($P275=0,CJ274,IF(CJ$3=$E275,IF($AA275=1,$F275&amp;$AB275,$G275),IF(OR(CJ$3=$D275,CJ$3=$AC275,CJ$3=$AE275),"",IF(CJ$3=$AD275,$F275&amp;"R",CJ274))))</f>
        <v>bP</v>
      </c>
      <c r="CK275" s="11" t="str">
        <f aca="false">IF($P275=0,CK274,IF(CK$3=$E275,IF($AA275=1,$F275&amp;$AB275,$G275),IF(OR(CK$3=$D275,CK$3=$AC275,CK$3=$AE275),"",IF(CK$3=$AD275,$F275&amp;"R",CK274))))</f>
        <v>bP</v>
      </c>
      <c r="CL275" s="11" t="str">
        <f aca="false">IF($P275=0,CL274,IF(CL$3=$E275,IF($AA275=1,$F275&amp;$AB275,$G275),IF(OR(CL$3=$D275,CL$3=$AC275,CL$3=$AE275),"",IF(CL$3=$AD275,$F275&amp;"R",CL274))))</f>
        <v>bR</v>
      </c>
      <c r="CM275" s="11" t="str">
        <f aca="false">IF($P275=0,CM274,IF(CM$3=$E275,IF($AA275=1,$F275&amp;$AB275,$G275),IF(OR(CM$3=$D275,CM$3=$AC275,CM$3=$AE275),"",IF(CM$3=$AD275,$F275&amp;"R",CM274))))</f>
        <v>bN</v>
      </c>
      <c r="CN275" s="11" t="str">
        <f aca="false">IF($P275=0,CN274,IF(CN$3=$E275,IF($AA275=1,$F275&amp;$AB275,$G275),IF(OR(CN$3=$D275,CN$3=$AC275,CN$3=$AE275),"",IF(CN$3=$AD275,$F275&amp;"R",CN274))))</f>
        <v>bB</v>
      </c>
      <c r="CO275" s="11" t="str">
        <f aca="false">IF($P275=0,CO274,IF(CO$3=$E275,IF($AA275=1,$F275&amp;$AB275,$G275),IF(OR(CO$3=$D275,CO$3=$AC275,CO$3=$AE275),"",IF(CO$3=$AD275,$F275&amp;"R",CO274))))</f>
        <v>bQ</v>
      </c>
      <c r="CP275" s="11" t="str">
        <f aca="false">IF($P275=0,CP274,IF(CP$3=$E275,IF($AA275=1,$F275&amp;$AB275,$G275),IF(OR(CP$3=$D275,CP$3=$AC275,CP$3=$AE275),"",IF(CP$3=$AD275,$F275&amp;"R",CP274))))</f>
        <v>bK</v>
      </c>
      <c r="CQ275" s="11" t="str">
        <f aca="false">IF($P275=0,CQ274,IF(CQ$3=$E275,IF($AA275=1,$F275&amp;$AB275,$G275),IF(OR(CQ$3=$D275,CQ$3=$AC275,CQ$3=$AE275),"",IF(CQ$3=$AD275,$F275&amp;"R",CQ274))))</f>
        <v>bB</v>
      </c>
      <c r="CR275" s="11" t="str">
        <f aca="false">IF($P275=0,CR274,IF(CR$3=$E275,IF($AA275=1,$F275&amp;$AB275,$G275),IF(OR(CR$3=$D275,CR$3=$AC275,CR$3=$AE275),"",IF(CR$3=$AD275,$F275&amp;"R",CR274))))</f>
        <v>bN</v>
      </c>
      <c r="CS275" s="11" t="str">
        <f aca="false">IF($P275=0,CS274,IF(CS$3=$E275,IF($AA275=1,$F275&amp;$AB275,$G275),IF(OR(CS$3=$D275,CS$3=$AC275,CS$3=$AE275),"",IF(CS$3=$AD275,$F275&amp;"R",CS274))))</f>
        <v>bR</v>
      </c>
      <c r="CT275" s="11"/>
      <c r="CU275" s="11"/>
      <c r="CV275" s="11"/>
    </row>
    <row r="276" customFormat="false" ht="15" hidden="false" customHeight="false" outlineLevel="0" collapsed="false">
      <c r="A276" s="11" t="n">
        <v>271</v>
      </c>
      <c r="B276" s="11" t="str">
        <f aca="false">IF(Chess!$L$280="","",Chess!$L$280&amp;"")</f>
        <v/>
      </c>
      <c r="C276" s="11" t="str">
        <f aca="false">LOWER(SUBSTITUTE(SUBSTITUTE(SUBSTITUTE(SUBSTITUTE(TRIM($B276),"-",""),"=","")," ",""),"x",""))</f>
        <v/>
      </c>
      <c r="D276" s="11" t="n">
        <f aca="false">IF(LEN($C276)&lt;4,0,IFERROR(IF(AND(CODE(MID($C276,1,1))&gt;=97,CODE(MID($C276,1,1))&lt;=104,VALUE(MID($C276,2,1))&gt;=1,VALUE(MID($C276,2,1))&lt;=8),(VALUE(MID($C276,2,1))-1)*8+CODE(MID($C276,1,1))-96,0),0))</f>
        <v>0</v>
      </c>
      <c r="E276" s="11" t="n">
        <f aca="false">IF(LEN($C276)&lt;4,0,IFERROR(IF(AND(CODE(MID($C276,3,1))&gt;=97,CODE(MID($C276,3,1))&lt;=104,VALUE(MID($C276,4,1))&gt;=1,VALUE(MID($C276,4,1))&lt;=8),(VALUE(MID($C276,4,1))-1)*8+CODE(MID($C276,3,1))-96,0),0))</f>
        <v>0</v>
      </c>
      <c r="F276" s="11" t="str">
        <f aca="false">IF(MOD(SUM($P$5:$P275),2)=0,"w","b")</f>
        <v>w</v>
      </c>
      <c r="G276" s="11" t="str">
        <f aca="false">IF($D276=0,"",INDEX($AH275:$CS275,1,$D276)&amp;"")</f>
        <v/>
      </c>
      <c r="H276" s="11" t="str">
        <f aca="false">IF($E276=0,"",INDEX($AH275:$CS275,1,$E276)&amp;"")</f>
        <v/>
      </c>
      <c r="I276" s="11" t="n">
        <f aca="false">IF(OR($D276=0,$E276=0),0,MOD($E276-1,8)-MOD($D276-1,8))</f>
        <v>0</v>
      </c>
      <c r="J276" s="11" t="n">
        <f aca="false">IF(OR($D276=0,$E276=0),0,INT(($E276-1)/8)-INT(($D276-1)/8))</f>
        <v>0</v>
      </c>
      <c r="K276" s="11" t="str">
        <f aca="false">IF($G276="","",RIGHT($G276,1))</f>
        <v/>
      </c>
      <c r="L276" s="11" t="n">
        <f aca="false">IF(OR($D276=0,$E276=0),0,SUMPRODUCT(($AH$3:$CS$3&gt;MIN($D276,$E276))*($AH$3:$CS$3&lt;MAX($D276,$E276))*(MOD($AH$3:$CS$3-MIN($D276,$E276),MAX(1,ABS(SIGN($J276)*8+SIGN($I276))))=0)*($AH275:$CS275&lt;&gt;"")))</f>
        <v>0</v>
      </c>
      <c r="M276" s="11" t="n">
        <f aca="false">IF($K276&lt;&gt;"K",0,IFERROR(--AND($J276=0,ABS($I276)=2,$D276=IF($F276="w",5,61),IF($F276="w",$S275,$V275)=0,IF($I276=2,AND(IF($F276="w",$U275,$X275)=0,INDEX($AH275:$CS275,1,$D276+1)&amp;""="",INDEX($AH275:$CS275,1,$D276+2)&amp;""=""),AND(IF($F276="w",$T275,$W275)=0,INDEX($AH275:$CS275,1,$D276-1)&amp;""="",INDEX($AH275:$CS275,1,$D276-2)&amp;""="",INDEX($AH275:$CS275,1,$D276-3)&amp;""=""))),0))</f>
        <v>0</v>
      </c>
      <c r="N276" s="11" t="n">
        <f aca="false">IF($K276&lt;&gt;"P",0,IFERROR(--OR(AND($I276=0,$J276=IF($F276="w",1,-1),$H276=""),AND($I276=0,$J276=2*IF($F276="w",1,-1),$H276="",INT(($D276-1)/8)=IF($F276="w",1,6),INDEX($AH275:$CS275,1,MAX(1,MIN(64,$D276+8*IF($F276="w",1,-1))))&amp;""=""),AND(ABS($I276)=1,$J276=IF($F276="w",1,-1),$H276&lt;&gt;""),AND(ABS($I276)=1,$J276=IF($F276="w",1,-1),$H276="",$R275&gt;0,$E276=$R275)),0))</f>
        <v>0</v>
      </c>
      <c r="O276" s="11" t="n">
        <f aca="false">IF(OR($D276=0,$E276=0,$G276=""),0,IF($K276="N",--OR(AND(ABS($I276)=1,ABS($J276)=2),AND(ABS($I276)=2,ABS($J276)=1)),IF($K276="B",--AND(ABS($I276)=ABS($J276),$I276&lt;&gt;0,$L276=0),IF($K276="R",--AND(OR($I276=0,$J276=0),OR($I276&lt;&gt;0,$J276&lt;&gt;0),$L276=0),IF($K276="Q",--AND(OR(AND(ABS($I276)=ABS($J276),$I276&lt;&gt;0),AND(OR($I276=0,$J276=0),OR($I276&lt;&gt;0,$J276&lt;&gt;0))),$L276=0),IF($K276="K",--OR(MAX(ABS($I276),ABS($J276))=1,$M276=1),$N276))))))</f>
        <v>0</v>
      </c>
      <c r="P276" s="11" t="n">
        <f aca="false">IF($Q276="OK",1,0)</f>
        <v>0</v>
      </c>
      <c r="Q276" s="11" t="str">
        <f aca="false">IF($B276="","",IF(OR(COUNTIF($AH275:$CS275,"wK")=0,COUNTIF($AH275:$CS275,"bK")=0),"Game is over",IF(OR($D276=0,$E276=0),"Use the format e2e4",IF($G276="","No piece on that square",IF(LEFT($G276,1)&lt;&gt;$F276,"Not your piece ("&amp;IF($F276="w","White","Black")&amp;" to move)",IF($D276=$E276,"Piece must move",IF(AND($H276&lt;&gt;"",LEFT($H276,1)=$F276),"Cannot capture your own piece",IF($O276=0,"Illegal move for that piece (or path blocked)","OK"))))))))</f>
        <v/>
      </c>
      <c r="R276" s="11" t="n">
        <f aca="false">IF($P276=1,IF(AND($K276="P",ABS($J276)=2),($D276+$E276)/2,0),$R275)</f>
        <v>0</v>
      </c>
      <c r="S276" s="12" t="b">
        <f aca="false">--OR($S275=1,AND($P276=1,OR($D276=5,$E276=5)))</f>
        <v>0</v>
      </c>
      <c r="T276" s="12" t="b">
        <f aca="false">--OR($T275=1,AND($P276=1,OR($D276=1,$E276=1)))</f>
        <v>0</v>
      </c>
      <c r="U276" s="12" t="b">
        <f aca="false">--OR($U275=1,AND($P276=1,OR($D276=8,$E276=8)))</f>
        <v>0</v>
      </c>
      <c r="V276" s="12" t="b">
        <f aca="false">--OR($V275=1,AND($P276=1,OR($D276=61,$E276=61)))</f>
        <v>0</v>
      </c>
      <c r="W276" s="12" t="b">
        <f aca="false">--OR($W275=1,AND($P276=1,OR($D276=57,$E276=57)))</f>
        <v>0</v>
      </c>
      <c r="X276" s="12" t="b">
        <f aca="false">--OR($X275=1,AND($P276=1,OR($D276=64,$E276=64)))</f>
        <v>0</v>
      </c>
      <c r="Y276" s="12" t="b">
        <f aca="false">--AND($P276=1,$K276="K",ABS($I276)=2)</f>
        <v>0</v>
      </c>
      <c r="Z276" s="12" t="b">
        <f aca="false">--AND($P276=1,$K276="P",ABS($I276)=1,$H276="")</f>
        <v>0</v>
      </c>
      <c r="AA276" s="12" t="b">
        <f aca="false">--AND($P276=1,$K276="P",INT(($E276-1)/8)=IF($F276="w",7,0))</f>
        <v>0</v>
      </c>
      <c r="AB276" s="11" t="str">
        <f aca="false">IF(LEN($C276)&gt;=5,IF(ISNUMBER(FIND(MID($C276,5,1),"qrbn")),UPPER(MID($C276,5,1)),"Q"),"Q")</f>
        <v>Q</v>
      </c>
      <c r="AC276" s="11" t="n">
        <f aca="false">IF($Y276=1,IF($I276=2,$D276+3,$D276-4),0)</f>
        <v>0</v>
      </c>
      <c r="AD276" s="11" t="n">
        <f aca="false">IF($Y276=1,IF($I276=2,$D276+1,$D276-1),0)</f>
        <v>0</v>
      </c>
      <c r="AE276" s="11" t="n">
        <f aca="false">IF($Z276=1,$E276-8*IF($F276="w",1,-1),0)</f>
        <v>0</v>
      </c>
      <c r="AF276" s="11" t="str">
        <f aca="false">IF($B276="","",IF($P276=1,LOWER(INDEX($CV$2:$CV$13,MATCH($G276,$CU$2:$CU$13,0)))&amp;" "&amp;MID("abcdefgh",MOD($D276-1,8)+1,1)&amp;(INT(($D276-1)/8)+1)&amp;"→"&amp;MID("abcdefgh",MOD($E276-1,8)+1,1)&amp;(INT(($E276-1)/8)+1)&amp;IF(OR($H276&lt;&gt;"",$Z276=1)," ×","")&amp;IF($Y276=1," castles","")&amp;IF($Z276=1," e.p.","")&amp;IF($AA276=1," =" &amp;LOWER(INDEX($CV$2:$CV$13,MATCH($F276&amp;$AB276,$CU$2:$CU$13,0))),""),"X "&amp;$Q276))</f>
        <v/>
      </c>
      <c r="AG276" s="11"/>
      <c r="AH276" s="11" t="str">
        <f aca="false">IF($P276=0,AH275,IF(AH$3=$E276,IF($AA276=1,$F276&amp;$AB276,$G276),IF(OR(AH$3=$D276,AH$3=$AC276,AH$3=$AE276),"",IF(AH$3=$AD276,$F276&amp;"R",AH275))))</f>
        <v>wR</v>
      </c>
      <c r="AI276" s="11" t="str">
        <f aca="false">IF($P276=0,AI275,IF(AI$3=$E276,IF($AA276=1,$F276&amp;$AB276,$G276),IF(OR(AI$3=$D276,AI$3=$AC276,AI$3=$AE276),"",IF(AI$3=$AD276,$F276&amp;"R",AI275))))</f>
        <v>wN</v>
      </c>
      <c r="AJ276" s="11" t="str">
        <f aca="false">IF($P276=0,AJ275,IF(AJ$3=$E276,IF($AA276=1,$F276&amp;$AB276,$G276),IF(OR(AJ$3=$D276,AJ$3=$AC276,AJ$3=$AE276),"",IF(AJ$3=$AD276,$F276&amp;"R",AJ275))))</f>
        <v>wB</v>
      </c>
      <c r="AK276" s="11" t="str">
        <f aca="false">IF($P276=0,AK275,IF(AK$3=$E276,IF($AA276=1,$F276&amp;$AB276,$G276),IF(OR(AK$3=$D276,AK$3=$AC276,AK$3=$AE276),"",IF(AK$3=$AD276,$F276&amp;"R",AK275))))</f>
        <v>wQ</v>
      </c>
      <c r="AL276" s="11" t="str">
        <f aca="false">IF($P276=0,AL275,IF(AL$3=$E276,IF($AA276=1,$F276&amp;$AB276,$G276),IF(OR(AL$3=$D276,AL$3=$AC276,AL$3=$AE276),"",IF(AL$3=$AD276,$F276&amp;"R",AL275))))</f>
        <v>wK</v>
      </c>
      <c r="AM276" s="11" t="str">
        <f aca="false">IF($P276=0,AM275,IF(AM$3=$E276,IF($AA276=1,$F276&amp;$AB276,$G276),IF(OR(AM$3=$D276,AM$3=$AC276,AM$3=$AE276),"",IF(AM$3=$AD276,$F276&amp;"R",AM275))))</f>
        <v>wB</v>
      </c>
      <c r="AN276" s="11" t="str">
        <f aca="false">IF($P276=0,AN275,IF(AN$3=$E276,IF($AA276=1,$F276&amp;$AB276,$G276),IF(OR(AN$3=$D276,AN$3=$AC276,AN$3=$AE276),"",IF(AN$3=$AD276,$F276&amp;"R",AN275))))</f>
        <v>wN</v>
      </c>
      <c r="AO276" s="11" t="str">
        <f aca="false">IF($P276=0,AO275,IF(AO$3=$E276,IF($AA276=1,$F276&amp;$AB276,$G276),IF(OR(AO$3=$D276,AO$3=$AC276,AO$3=$AE276),"",IF(AO$3=$AD276,$F276&amp;"R",AO275))))</f>
        <v>wR</v>
      </c>
      <c r="AP276" s="11" t="str">
        <f aca="false">IF($P276=0,AP275,IF(AP$3=$E276,IF($AA276=1,$F276&amp;$AB276,$G276),IF(OR(AP$3=$D276,AP$3=$AC276,AP$3=$AE276),"",IF(AP$3=$AD276,$F276&amp;"R",AP275))))</f>
        <v>wP</v>
      </c>
      <c r="AQ276" s="11" t="str">
        <f aca="false">IF($P276=0,AQ275,IF(AQ$3=$E276,IF($AA276=1,$F276&amp;$AB276,$G276),IF(OR(AQ$3=$D276,AQ$3=$AC276,AQ$3=$AE276),"",IF(AQ$3=$AD276,$F276&amp;"R",AQ275))))</f>
        <v>wP</v>
      </c>
      <c r="AR276" s="11" t="str">
        <f aca="false">IF($P276=0,AR275,IF(AR$3=$E276,IF($AA276=1,$F276&amp;$AB276,$G276),IF(OR(AR$3=$D276,AR$3=$AC276,AR$3=$AE276),"",IF(AR$3=$AD276,$F276&amp;"R",AR275))))</f>
        <v>wP</v>
      </c>
      <c r="AS276" s="11" t="str">
        <f aca="false">IF($P276=0,AS275,IF(AS$3=$E276,IF($AA276=1,$F276&amp;$AB276,$G276),IF(OR(AS$3=$D276,AS$3=$AC276,AS$3=$AE276),"",IF(AS$3=$AD276,$F276&amp;"R",AS275))))</f>
        <v>wP</v>
      </c>
      <c r="AT276" s="11" t="str">
        <f aca="false">IF($P276=0,AT275,IF(AT$3=$E276,IF($AA276=1,$F276&amp;$AB276,$G276),IF(OR(AT$3=$D276,AT$3=$AC276,AT$3=$AE276),"",IF(AT$3=$AD276,$F276&amp;"R",AT275))))</f>
        <v>wP</v>
      </c>
      <c r="AU276" s="11" t="str">
        <f aca="false">IF($P276=0,AU275,IF(AU$3=$E276,IF($AA276=1,$F276&amp;$AB276,$G276),IF(OR(AU$3=$D276,AU$3=$AC276,AU$3=$AE276),"",IF(AU$3=$AD276,$F276&amp;"R",AU275))))</f>
        <v>wP</v>
      </c>
      <c r="AV276" s="11" t="str">
        <f aca="false">IF($P276=0,AV275,IF(AV$3=$E276,IF($AA276=1,$F276&amp;$AB276,$G276),IF(OR(AV$3=$D276,AV$3=$AC276,AV$3=$AE276),"",IF(AV$3=$AD276,$F276&amp;"R",AV275))))</f>
        <v>wP</v>
      </c>
      <c r="AW276" s="11" t="str">
        <f aca="false">IF($P276=0,AW275,IF(AW$3=$E276,IF($AA276=1,$F276&amp;$AB276,$G276),IF(OR(AW$3=$D276,AW$3=$AC276,AW$3=$AE276),"",IF(AW$3=$AD276,$F276&amp;"R",AW275))))</f>
        <v>wP</v>
      </c>
      <c r="AX276" s="11" t="str">
        <f aca="false">IF($P276=0,AX275,IF(AX$3=$E276,IF($AA276=1,$F276&amp;$AB276,$G276),IF(OR(AX$3=$D276,AX$3=$AC276,AX$3=$AE276),"",IF(AX$3=$AD276,$F276&amp;"R",AX275))))</f>
        <v/>
      </c>
      <c r="AY276" s="11" t="str">
        <f aca="false">IF($P276=0,AY275,IF(AY$3=$E276,IF($AA276=1,$F276&amp;$AB276,$G276),IF(OR(AY$3=$D276,AY$3=$AC276,AY$3=$AE276),"",IF(AY$3=$AD276,$F276&amp;"R",AY275))))</f>
        <v/>
      </c>
      <c r="AZ276" s="11" t="str">
        <f aca="false">IF($P276=0,AZ275,IF(AZ$3=$E276,IF($AA276=1,$F276&amp;$AB276,$G276),IF(OR(AZ$3=$D276,AZ$3=$AC276,AZ$3=$AE276),"",IF(AZ$3=$AD276,$F276&amp;"R",AZ275))))</f>
        <v/>
      </c>
      <c r="BA276" s="11" t="str">
        <f aca="false">IF($P276=0,BA275,IF(BA$3=$E276,IF($AA276=1,$F276&amp;$AB276,$G276),IF(OR(BA$3=$D276,BA$3=$AC276,BA$3=$AE276),"",IF(BA$3=$AD276,$F276&amp;"R",BA275))))</f>
        <v/>
      </c>
      <c r="BB276" s="11" t="str">
        <f aca="false">IF($P276=0,BB275,IF(BB$3=$E276,IF($AA276=1,$F276&amp;$AB276,$G276),IF(OR(BB$3=$D276,BB$3=$AC276,BB$3=$AE276),"",IF(BB$3=$AD276,$F276&amp;"R",BB275))))</f>
        <v/>
      </c>
      <c r="BC276" s="11" t="str">
        <f aca="false">IF($P276=0,BC275,IF(BC$3=$E276,IF($AA276=1,$F276&amp;$AB276,$G276),IF(OR(BC$3=$D276,BC$3=$AC276,BC$3=$AE276),"",IF(BC$3=$AD276,$F276&amp;"R",BC275))))</f>
        <v/>
      </c>
      <c r="BD276" s="11" t="str">
        <f aca="false">IF($P276=0,BD275,IF(BD$3=$E276,IF($AA276=1,$F276&amp;$AB276,$G276),IF(OR(BD$3=$D276,BD$3=$AC276,BD$3=$AE276),"",IF(BD$3=$AD276,$F276&amp;"R",BD275))))</f>
        <v/>
      </c>
      <c r="BE276" s="11" t="str">
        <f aca="false">IF($P276=0,BE275,IF(BE$3=$E276,IF($AA276=1,$F276&amp;$AB276,$G276),IF(OR(BE$3=$D276,BE$3=$AC276,BE$3=$AE276),"",IF(BE$3=$AD276,$F276&amp;"R",BE275))))</f>
        <v/>
      </c>
      <c r="BF276" s="11" t="str">
        <f aca="false">IF($P276=0,BF275,IF(BF$3=$E276,IF($AA276=1,$F276&amp;$AB276,$G276),IF(OR(BF$3=$D276,BF$3=$AC276,BF$3=$AE276),"",IF(BF$3=$AD276,$F276&amp;"R",BF275))))</f>
        <v/>
      </c>
      <c r="BG276" s="11" t="str">
        <f aca="false">IF($P276=0,BG275,IF(BG$3=$E276,IF($AA276=1,$F276&amp;$AB276,$G276),IF(OR(BG$3=$D276,BG$3=$AC276,BG$3=$AE276),"",IF(BG$3=$AD276,$F276&amp;"R",BG275))))</f>
        <v/>
      </c>
      <c r="BH276" s="11" t="str">
        <f aca="false">IF($P276=0,BH275,IF(BH$3=$E276,IF($AA276=1,$F276&amp;$AB276,$G276),IF(OR(BH$3=$D276,BH$3=$AC276,BH$3=$AE276),"",IF(BH$3=$AD276,$F276&amp;"R",BH275))))</f>
        <v/>
      </c>
      <c r="BI276" s="11" t="str">
        <f aca="false">IF($P276=0,BI275,IF(BI$3=$E276,IF($AA276=1,$F276&amp;$AB276,$G276),IF(OR(BI$3=$D276,BI$3=$AC276,BI$3=$AE276),"",IF(BI$3=$AD276,$F276&amp;"R",BI275))))</f>
        <v/>
      </c>
      <c r="BJ276" s="11" t="str">
        <f aca="false">IF($P276=0,BJ275,IF(BJ$3=$E276,IF($AA276=1,$F276&amp;$AB276,$G276),IF(OR(BJ$3=$D276,BJ$3=$AC276,BJ$3=$AE276),"",IF(BJ$3=$AD276,$F276&amp;"R",BJ275))))</f>
        <v/>
      </c>
      <c r="BK276" s="11" t="str">
        <f aca="false">IF($P276=0,BK275,IF(BK$3=$E276,IF($AA276=1,$F276&amp;$AB276,$G276),IF(OR(BK$3=$D276,BK$3=$AC276,BK$3=$AE276),"",IF(BK$3=$AD276,$F276&amp;"R",BK275))))</f>
        <v/>
      </c>
      <c r="BL276" s="11" t="str">
        <f aca="false">IF($P276=0,BL275,IF(BL$3=$E276,IF($AA276=1,$F276&amp;$AB276,$G276),IF(OR(BL$3=$D276,BL$3=$AC276,BL$3=$AE276),"",IF(BL$3=$AD276,$F276&amp;"R",BL275))))</f>
        <v/>
      </c>
      <c r="BM276" s="11" t="str">
        <f aca="false">IF($P276=0,BM275,IF(BM$3=$E276,IF($AA276=1,$F276&amp;$AB276,$G276),IF(OR(BM$3=$D276,BM$3=$AC276,BM$3=$AE276),"",IF(BM$3=$AD276,$F276&amp;"R",BM275))))</f>
        <v/>
      </c>
      <c r="BN276" s="11" t="str">
        <f aca="false">IF($P276=0,BN275,IF(BN$3=$E276,IF($AA276=1,$F276&amp;$AB276,$G276),IF(OR(BN$3=$D276,BN$3=$AC276,BN$3=$AE276),"",IF(BN$3=$AD276,$F276&amp;"R",BN275))))</f>
        <v/>
      </c>
      <c r="BO276" s="11" t="str">
        <f aca="false">IF($P276=0,BO275,IF(BO$3=$E276,IF($AA276=1,$F276&amp;$AB276,$G276),IF(OR(BO$3=$D276,BO$3=$AC276,BO$3=$AE276),"",IF(BO$3=$AD276,$F276&amp;"R",BO275))))</f>
        <v/>
      </c>
      <c r="BP276" s="11" t="str">
        <f aca="false">IF($P276=0,BP275,IF(BP$3=$E276,IF($AA276=1,$F276&amp;$AB276,$G276),IF(OR(BP$3=$D276,BP$3=$AC276,BP$3=$AE276),"",IF(BP$3=$AD276,$F276&amp;"R",BP275))))</f>
        <v/>
      </c>
      <c r="BQ276" s="11" t="str">
        <f aca="false">IF($P276=0,BQ275,IF(BQ$3=$E276,IF($AA276=1,$F276&amp;$AB276,$G276),IF(OR(BQ$3=$D276,BQ$3=$AC276,BQ$3=$AE276),"",IF(BQ$3=$AD276,$F276&amp;"R",BQ275))))</f>
        <v/>
      </c>
      <c r="BR276" s="11" t="str">
        <f aca="false">IF($P276=0,BR275,IF(BR$3=$E276,IF($AA276=1,$F276&amp;$AB276,$G276),IF(OR(BR$3=$D276,BR$3=$AC276,BR$3=$AE276),"",IF(BR$3=$AD276,$F276&amp;"R",BR275))))</f>
        <v/>
      </c>
      <c r="BS276" s="11" t="str">
        <f aca="false">IF($P276=0,BS275,IF(BS$3=$E276,IF($AA276=1,$F276&amp;$AB276,$G276),IF(OR(BS$3=$D276,BS$3=$AC276,BS$3=$AE276),"",IF(BS$3=$AD276,$F276&amp;"R",BS275))))</f>
        <v/>
      </c>
      <c r="BT276" s="11" t="str">
        <f aca="false">IF($P276=0,BT275,IF(BT$3=$E276,IF($AA276=1,$F276&amp;$AB276,$G276),IF(OR(BT$3=$D276,BT$3=$AC276,BT$3=$AE276),"",IF(BT$3=$AD276,$F276&amp;"R",BT275))))</f>
        <v/>
      </c>
      <c r="BU276" s="11" t="str">
        <f aca="false">IF($P276=0,BU275,IF(BU$3=$E276,IF($AA276=1,$F276&amp;$AB276,$G276),IF(OR(BU$3=$D276,BU$3=$AC276,BU$3=$AE276),"",IF(BU$3=$AD276,$F276&amp;"R",BU275))))</f>
        <v/>
      </c>
      <c r="BV276" s="11" t="str">
        <f aca="false">IF($P276=0,BV275,IF(BV$3=$E276,IF($AA276=1,$F276&amp;$AB276,$G276),IF(OR(BV$3=$D276,BV$3=$AC276,BV$3=$AE276),"",IF(BV$3=$AD276,$F276&amp;"R",BV275))))</f>
        <v/>
      </c>
      <c r="BW276" s="11" t="str">
        <f aca="false">IF($P276=0,BW275,IF(BW$3=$E276,IF($AA276=1,$F276&amp;$AB276,$G276),IF(OR(BW$3=$D276,BW$3=$AC276,BW$3=$AE276),"",IF(BW$3=$AD276,$F276&amp;"R",BW275))))</f>
        <v/>
      </c>
      <c r="BX276" s="11" t="str">
        <f aca="false">IF($P276=0,BX275,IF(BX$3=$E276,IF($AA276=1,$F276&amp;$AB276,$G276),IF(OR(BX$3=$D276,BX$3=$AC276,BX$3=$AE276),"",IF(BX$3=$AD276,$F276&amp;"R",BX275))))</f>
        <v/>
      </c>
      <c r="BY276" s="11" t="str">
        <f aca="false">IF($P276=0,BY275,IF(BY$3=$E276,IF($AA276=1,$F276&amp;$AB276,$G276),IF(OR(BY$3=$D276,BY$3=$AC276,BY$3=$AE276),"",IF(BY$3=$AD276,$F276&amp;"R",BY275))))</f>
        <v/>
      </c>
      <c r="BZ276" s="11" t="str">
        <f aca="false">IF($P276=0,BZ275,IF(BZ$3=$E276,IF($AA276=1,$F276&amp;$AB276,$G276),IF(OR(BZ$3=$D276,BZ$3=$AC276,BZ$3=$AE276),"",IF(BZ$3=$AD276,$F276&amp;"R",BZ275))))</f>
        <v/>
      </c>
      <c r="CA276" s="11" t="str">
        <f aca="false">IF($P276=0,CA275,IF(CA$3=$E276,IF($AA276=1,$F276&amp;$AB276,$G276),IF(OR(CA$3=$D276,CA$3=$AC276,CA$3=$AE276),"",IF(CA$3=$AD276,$F276&amp;"R",CA275))))</f>
        <v/>
      </c>
      <c r="CB276" s="11" t="str">
        <f aca="false">IF($P276=0,CB275,IF(CB$3=$E276,IF($AA276=1,$F276&amp;$AB276,$G276),IF(OR(CB$3=$D276,CB$3=$AC276,CB$3=$AE276),"",IF(CB$3=$AD276,$F276&amp;"R",CB275))))</f>
        <v/>
      </c>
      <c r="CC276" s="11" t="str">
        <f aca="false">IF($P276=0,CC275,IF(CC$3=$E276,IF($AA276=1,$F276&amp;$AB276,$G276),IF(OR(CC$3=$D276,CC$3=$AC276,CC$3=$AE276),"",IF(CC$3=$AD276,$F276&amp;"R",CC275))))</f>
        <v/>
      </c>
      <c r="CD276" s="11" t="str">
        <f aca="false">IF($P276=0,CD275,IF(CD$3=$E276,IF($AA276=1,$F276&amp;$AB276,$G276),IF(OR(CD$3=$D276,CD$3=$AC276,CD$3=$AE276),"",IF(CD$3=$AD276,$F276&amp;"R",CD275))))</f>
        <v>bP</v>
      </c>
      <c r="CE276" s="11" t="str">
        <f aca="false">IF($P276=0,CE275,IF(CE$3=$E276,IF($AA276=1,$F276&amp;$AB276,$G276),IF(OR(CE$3=$D276,CE$3=$AC276,CE$3=$AE276),"",IF(CE$3=$AD276,$F276&amp;"R",CE275))))</f>
        <v>bP</v>
      </c>
      <c r="CF276" s="11" t="str">
        <f aca="false">IF($P276=0,CF275,IF(CF$3=$E276,IF($AA276=1,$F276&amp;$AB276,$G276),IF(OR(CF$3=$D276,CF$3=$AC276,CF$3=$AE276),"",IF(CF$3=$AD276,$F276&amp;"R",CF275))))</f>
        <v>bP</v>
      </c>
      <c r="CG276" s="11" t="str">
        <f aca="false">IF($P276=0,CG275,IF(CG$3=$E276,IF($AA276=1,$F276&amp;$AB276,$G276),IF(OR(CG$3=$D276,CG$3=$AC276,CG$3=$AE276),"",IF(CG$3=$AD276,$F276&amp;"R",CG275))))</f>
        <v>bP</v>
      </c>
      <c r="CH276" s="11" t="str">
        <f aca="false">IF($P276=0,CH275,IF(CH$3=$E276,IF($AA276=1,$F276&amp;$AB276,$G276),IF(OR(CH$3=$D276,CH$3=$AC276,CH$3=$AE276),"",IF(CH$3=$AD276,$F276&amp;"R",CH275))))</f>
        <v>bP</v>
      </c>
      <c r="CI276" s="11" t="str">
        <f aca="false">IF($P276=0,CI275,IF(CI$3=$E276,IF($AA276=1,$F276&amp;$AB276,$G276),IF(OR(CI$3=$D276,CI$3=$AC276,CI$3=$AE276),"",IF(CI$3=$AD276,$F276&amp;"R",CI275))))</f>
        <v>bP</v>
      </c>
      <c r="CJ276" s="11" t="str">
        <f aca="false">IF($P276=0,CJ275,IF(CJ$3=$E276,IF($AA276=1,$F276&amp;$AB276,$G276),IF(OR(CJ$3=$D276,CJ$3=$AC276,CJ$3=$AE276),"",IF(CJ$3=$AD276,$F276&amp;"R",CJ275))))</f>
        <v>bP</v>
      </c>
      <c r="CK276" s="11" t="str">
        <f aca="false">IF($P276=0,CK275,IF(CK$3=$E276,IF($AA276=1,$F276&amp;$AB276,$G276),IF(OR(CK$3=$D276,CK$3=$AC276,CK$3=$AE276),"",IF(CK$3=$AD276,$F276&amp;"R",CK275))))</f>
        <v>bP</v>
      </c>
      <c r="CL276" s="11" t="str">
        <f aca="false">IF($P276=0,CL275,IF(CL$3=$E276,IF($AA276=1,$F276&amp;$AB276,$G276),IF(OR(CL$3=$D276,CL$3=$AC276,CL$3=$AE276),"",IF(CL$3=$AD276,$F276&amp;"R",CL275))))</f>
        <v>bR</v>
      </c>
      <c r="CM276" s="11" t="str">
        <f aca="false">IF($P276=0,CM275,IF(CM$3=$E276,IF($AA276=1,$F276&amp;$AB276,$G276),IF(OR(CM$3=$D276,CM$3=$AC276,CM$3=$AE276),"",IF(CM$3=$AD276,$F276&amp;"R",CM275))))</f>
        <v>bN</v>
      </c>
      <c r="CN276" s="11" t="str">
        <f aca="false">IF($P276=0,CN275,IF(CN$3=$E276,IF($AA276=1,$F276&amp;$AB276,$G276),IF(OR(CN$3=$D276,CN$3=$AC276,CN$3=$AE276),"",IF(CN$3=$AD276,$F276&amp;"R",CN275))))</f>
        <v>bB</v>
      </c>
      <c r="CO276" s="11" t="str">
        <f aca="false">IF($P276=0,CO275,IF(CO$3=$E276,IF($AA276=1,$F276&amp;$AB276,$G276),IF(OR(CO$3=$D276,CO$3=$AC276,CO$3=$AE276),"",IF(CO$3=$AD276,$F276&amp;"R",CO275))))</f>
        <v>bQ</v>
      </c>
      <c r="CP276" s="11" t="str">
        <f aca="false">IF($P276=0,CP275,IF(CP$3=$E276,IF($AA276=1,$F276&amp;$AB276,$G276),IF(OR(CP$3=$D276,CP$3=$AC276,CP$3=$AE276),"",IF(CP$3=$AD276,$F276&amp;"R",CP275))))</f>
        <v>bK</v>
      </c>
      <c r="CQ276" s="11" t="str">
        <f aca="false">IF($P276=0,CQ275,IF(CQ$3=$E276,IF($AA276=1,$F276&amp;$AB276,$G276),IF(OR(CQ$3=$D276,CQ$3=$AC276,CQ$3=$AE276),"",IF(CQ$3=$AD276,$F276&amp;"R",CQ275))))</f>
        <v>bB</v>
      </c>
      <c r="CR276" s="11" t="str">
        <f aca="false">IF($P276=0,CR275,IF(CR$3=$E276,IF($AA276=1,$F276&amp;$AB276,$G276),IF(OR(CR$3=$D276,CR$3=$AC276,CR$3=$AE276),"",IF(CR$3=$AD276,$F276&amp;"R",CR275))))</f>
        <v>bN</v>
      </c>
      <c r="CS276" s="11" t="str">
        <f aca="false">IF($P276=0,CS275,IF(CS$3=$E276,IF($AA276=1,$F276&amp;$AB276,$G276),IF(OR(CS$3=$D276,CS$3=$AC276,CS$3=$AE276),"",IF(CS$3=$AD276,$F276&amp;"R",CS275))))</f>
        <v>bR</v>
      </c>
      <c r="CT276" s="11"/>
      <c r="CU276" s="11"/>
      <c r="CV276" s="11"/>
    </row>
    <row r="277" customFormat="false" ht="15" hidden="false" customHeight="false" outlineLevel="0" collapsed="false">
      <c r="A277" s="11" t="n">
        <v>272</v>
      </c>
      <c r="B277" s="11" t="str">
        <f aca="false">IF(Chess!$L$281="","",Chess!$L$281&amp;"")</f>
        <v/>
      </c>
      <c r="C277" s="11" t="str">
        <f aca="false">LOWER(SUBSTITUTE(SUBSTITUTE(SUBSTITUTE(SUBSTITUTE(TRIM($B277),"-",""),"=","")," ",""),"x",""))</f>
        <v/>
      </c>
      <c r="D277" s="11" t="n">
        <f aca="false">IF(LEN($C277)&lt;4,0,IFERROR(IF(AND(CODE(MID($C277,1,1))&gt;=97,CODE(MID($C277,1,1))&lt;=104,VALUE(MID($C277,2,1))&gt;=1,VALUE(MID($C277,2,1))&lt;=8),(VALUE(MID($C277,2,1))-1)*8+CODE(MID($C277,1,1))-96,0),0))</f>
        <v>0</v>
      </c>
      <c r="E277" s="11" t="n">
        <f aca="false">IF(LEN($C277)&lt;4,0,IFERROR(IF(AND(CODE(MID($C277,3,1))&gt;=97,CODE(MID($C277,3,1))&lt;=104,VALUE(MID($C277,4,1))&gt;=1,VALUE(MID($C277,4,1))&lt;=8),(VALUE(MID($C277,4,1))-1)*8+CODE(MID($C277,3,1))-96,0),0))</f>
        <v>0</v>
      </c>
      <c r="F277" s="11" t="str">
        <f aca="false">IF(MOD(SUM($P$5:$P276),2)=0,"w","b")</f>
        <v>w</v>
      </c>
      <c r="G277" s="11" t="str">
        <f aca="false">IF($D277=0,"",INDEX($AH276:$CS276,1,$D277)&amp;"")</f>
        <v/>
      </c>
      <c r="H277" s="11" t="str">
        <f aca="false">IF($E277=0,"",INDEX($AH276:$CS276,1,$E277)&amp;"")</f>
        <v/>
      </c>
      <c r="I277" s="11" t="n">
        <f aca="false">IF(OR($D277=0,$E277=0),0,MOD($E277-1,8)-MOD($D277-1,8))</f>
        <v>0</v>
      </c>
      <c r="J277" s="11" t="n">
        <f aca="false">IF(OR($D277=0,$E277=0),0,INT(($E277-1)/8)-INT(($D277-1)/8))</f>
        <v>0</v>
      </c>
      <c r="K277" s="11" t="str">
        <f aca="false">IF($G277="","",RIGHT($G277,1))</f>
        <v/>
      </c>
      <c r="L277" s="11" t="n">
        <f aca="false">IF(OR($D277=0,$E277=0),0,SUMPRODUCT(($AH$3:$CS$3&gt;MIN($D277,$E277))*($AH$3:$CS$3&lt;MAX($D277,$E277))*(MOD($AH$3:$CS$3-MIN($D277,$E277),MAX(1,ABS(SIGN($J277)*8+SIGN($I277))))=0)*($AH276:$CS276&lt;&gt;"")))</f>
        <v>0</v>
      </c>
      <c r="M277" s="11" t="n">
        <f aca="false">IF($K277&lt;&gt;"K",0,IFERROR(--AND($J277=0,ABS($I277)=2,$D277=IF($F277="w",5,61),IF($F277="w",$S276,$V276)=0,IF($I277=2,AND(IF($F277="w",$U276,$X276)=0,INDEX($AH276:$CS276,1,$D277+1)&amp;""="",INDEX($AH276:$CS276,1,$D277+2)&amp;""=""),AND(IF($F277="w",$T276,$W276)=0,INDEX($AH276:$CS276,1,$D277-1)&amp;""="",INDEX($AH276:$CS276,1,$D277-2)&amp;""="",INDEX($AH276:$CS276,1,$D277-3)&amp;""=""))),0))</f>
        <v>0</v>
      </c>
      <c r="N277" s="11" t="n">
        <f aca="false">IF($K277&lt;&gt;"P",0,IFERROR(--OR(AND($I277=0,$J277=IF($F277="w",1,-1),$H277=""),AND($I277=0,$J277=2*IF($F277="w",1,-1),$H277="",INT(($D277-1)/8)=IF($F277="w",1,6),INDEX($AH276:$CS276,1,MAX(1,MIN(64,$D277+8*IF($F277="w",1,-1))))&amp;""=""),AND(ABS($I277)=1,$J277=IF($F277="w",1,-1),$H277&lt;&gt;""),AND(ABS($I277)=1,$J277=IF($F277="w",1,-1),$H277="",$R276&gt;0,$E277=$R276)),0))</f>
        <v>0</v>
      </c>
      <c r="O277" s="11" t="n">
        <f aca="false">IF(OR($D277=0,$E277=0,$G277=""),0,IF($K277="N",--OR(AND(ABS($I277)=1,ABS($J277)=2),AND(ABS($I277)=2,ABS($J277)=1)),IF($K277="B",--AND(ABS($I277)=ABS($J277),$I277&lt;&gt;0,$L277=0),IF($K277="R",--AND(OR($I277=0,$J277=0),OR($I277&lt;&gt;0,$J277&lt;&gt;0),$L277=0),IF($K277="Q",--AND(OR(AND(ABS($I277)=ABS($J277),$I277&lt;&gt;0),AND(OR($I277=0,$J277=0),OR($I277&lt;&gt;0,$J277&lt;&gt;0))),$L277=0),IF($K277="K",--OR(MAX(ABS($I277),ABS($J277))=1,$M277=1),$N277))))))</f>
        <v>0</v>
      </c>
      <c r="P277" s="11" t="n">
        <f aca="false">IF($Q277="OK",1,0)</f>
        <v>0</v>
      </c>
      <c r="Q277" s="11" t="str">
        <f aca="false">IF($B277="","",IF(OR(COUNTIF($AH276:$CS276,"wK")=0,COUNTIF($AH276:$CS276,"bK")=0),"Game is over",IF(OR($D277=0,$E277=0),"Use the format e2e4",IF($G277="","No piece on that square",IF(LEFT($G277,1)&lt;&gt;$F277,"Not your piece ("&amp;IF($F277="w","White","Black")&amp;" to move)",IF($D277=$E277,"Piece must move",IF(AND($H277&lt;&gt;"",LEFT($H277,1)=$F277),"Cannot capture your own piece",IF($O277=0,"Illegal move for that piece (or path blocked)","OK"))))))))</f>
        <v/>
      </c>
      <c r="R277" s="11" t="n">
        <f aca="false">IF($P277=1,IF(AND($K277="P",ABS($J277)=2),($D277+$E277)/2,0),$R276)</f>
        <v>0</v>
      </c>
      <c r="S277" s="12" t="b">
        <f aca="false">--OR($S276=1,AND($P277=1,OR($D277=5,$E277=5)))</f>
        <v>0</v>
      </c>
      <c r="T277" s="12" t="b">
        <f aca="false">--OR($T276=1,AND($P277=1,OR($D277=1,$E277=1)))</f>
        <v>0</v>
      </c>
      <c r="U277" s="12" t="b">
        <f aca="false">--OR($U276=1,AND($P277=1,OR($D277=8,$E277=8)))</f>
        <v>0</v>
      </c>
      <c r="V277" s="12" t="b">
        <f aca="false">--OR($V276=1,AND($P277=1,OR($D277=61,$E277=61)))</f>
        <v>0</v>
      </c>
      <c r="W277" s="12" t="b">
        <f aca="false">--OR($W276=1,AND($P277=1,OR($D277=57,$E277=57)))</f>
        <v>0</v>
      </c>
      <c r="X277" s="12" t="b">
        <f aca="false">--OR($X276=1,AND($P277=1,OR($D277=64,$E277=64)))</f>
        <v>0</v>
      </c>
      <c r="Y277" s="12" t="b">
        <f aca="false">--AND($P277=1,$K277="K",ABS($I277)=2)</f>
        <v>0</v>
      </c>
      <c r="Z277" s="12" t="b">
        <f aca="false">--AND($P277=1,$K277="P",ABS($I277)=1,$H277="")</f>
        <v>0</v>
      </c>
      <c r="AA277" s="12" t="b">
        <f aca="false">--AND($P277=1,$K277="P",INT(($E277-1)/8)=IF($F277="w",7,0))</f>
        <v>0</v>
      </c>
      <c r="AB277" s="11" t="str">
        <f aca="false">IF(LEN($C277)&gt;=5,IF(ISNUMBER(FIND(MID($C277,5,1),"qrbn")),UPPER(MID($C277,5,1)),"Q"),"Q")</f>
        <v>Q</v>
      </c>
      <c r="AC277" s="11" t="n">
        <f aca="false">IF($Y277=1,IF($I277=2,$D277+3,$D277-4),0)</f>
        <v>0</v>
      </c>
      <c r="AD277" s="11" t="n">
        <f aca="false">IF($Y277=1,IF($I277=2,$D277+1,$D277-1),0)</f>
        <v>0</v>
      </c>
      <c r="AE277" s="11" t="n">
        <f aca="false">IF($Z277=1,$E277-8*IF($F277="w",1,-1),0)</f>
        <v>0</v>
      </c>
      <c r="AF277" s="11" t="str">
        <f aca="false">IF($B277="","",IF($P277=1,LOWER(INDEX($CV$2:$CV$13,MATCH($G277,$CU$2:$CU$13,0)))&amp;" "&amp;MID("abcdefgh",MOD($D277-1,8)+1,1)&amp;(INT(($D277-1)/8)+1)&amp;"→"&amp;MID("abcdefgh",MOD($E277-1,8)+1,1)&amp;(INT(($E277-1)/8)+1)&amp;IF(OR($H277&lt;&gt;"",$Z277=1)," ×","")&amp;IF($Y277=1," castles","")&amp;IF($Z277=1," e.p.","")&amp;IF($AA277=1," =" &amp;LOWER(INDEX($CV$2:$CV$13,MATCH($F277&amp;$AB277,$CU$2:$CU$13,0))),""),"X "&amp;$Q277))</f>
        <v/>
      </c>
      <c r="AG277" s="11"/>
      <c r="AH277" s="11" t="str">
        <f aca="false">IF($P277=0,AH276,IF(AH$3=$E277,IF($AA277=1,$F277&amp;$AB277,$G277),IF(OR(AH$3=$D277,AH$3=$AC277,AH$3=$AE277),"",IF(AH$3=$AD277,$F277&amp;"R",AH276))))</f>
        <v>wR</v>
      </c>
      <c r="AI277" s="11" t="str">
        <f aca="false">IF($P277=0,AI276,IF(AI$3=$E277,IF($AA277=1,$F277&amp;$AB277,$G277),IF(OR(AI$3=$D277,AI$3=$AC277,AI$3=$AE277),"",IF(AI$3=$AD277,$F277&amp;"R",AI276))))</f>
        <v>wN</v>
      </c>
      <c r="AJ277" s="11" t="str">
        <f aca="false">IF($P277=0,AJ276,IF(AJ$3=$E277,IF($AA277=1,$F277&amp;$AB277,$G277),IF(OR(AJ$3=$D277,AJ$3=$AC277,AJ$3=$AE277),"",IF(AJ$3=$AD277,$F277&amp;"R",AJ276))))</f>
        <v>wB</v>
      </c>
      <c r="AK277" s="11" t="str">
        <f aca="false">IF($P277=0,AK276,IF(AK$3=$E277,IF($AA277=1,$F277&amp;$AB277,$G277),IF(OR(AK$3=$D277,AK$3=$AC277,AK$3=$AE277),"",IF(AK$3=$AD277,$F277&amp;"R",AK276))))</f>
        <v>wQ</v>
      </c>
      <c r="AL277" s="11" t="str">
        <f aca="false">IF($P277=0,AL276,IF(AL$3=$E277,IF($AA277=1,$F277&amp;$AB277,$G277),IF(OR(AL$3=$D277,AL$3=$AC277,AL$3=$AE277),"",IF(AL$3=$AD277,$F277&amp;"R",AL276))))</f>
        <v>wK</v>
      </c>
      <c r="AM277" s="11" t="str">
        <f aca="false">IF($P277=0,AM276,IF(AM$3=$E277,IF($AA277=1,$F277&amp;$AB277,$G277),IF(OR(AM$3=$D277,AM$3=$AC277,AM$3=$AE277),"",IF(AM$3=$AD277,$F277&amp;"R",AM276))))</f>
        <v>wB</v>
      </c>
      <c r="AN277" s="11" t="str">
        <f aca="false">IF($P277=0,AN276,IF(AN$3=$E277,IF($AA277=1,$F277&amp;$AB277,$G277),IF(OR(AN$3=$D277,AN$3=$AC277,AN$3=$AE277),"",IF(AN$3=$AD277,$F277&amp;"R",AN276))))</f>
        <v>wN</v>
      </c>
      <c r="AO277" s="11" t="str">
        <f aca="false">IF($P277=0,AO276,IF(AO$3=$E277,IF($AA277=1,$F277&amp;$AB277,$G277),IF(OR(AO$3=$D277,AO$3=$AC277,AO$3=$AE277),"",IF(AO$3=$AD277,$F277&amp;"R",AO276))))</f>
        <v>wR</v>
      </c>
      <c r="AP277" s="11" t="str">
        <f aca="false">IF($P277=0,AP276,IF(AP$3=$E277,IF($AA277=1,$F277&amp;$AB277,$G277),IF(OR(AP$3=$D277,AP$3=$AC277,AP$3=$AE277),"",IF(AP$3=$AD277,$F277&amp;"R",AP276))))</f>
        <v>wP</v>
      </c>
      <c r="AQ277" s="11" t="str">
        <f aca="false">IF($P277=0,AQ276,IF(AQ$3=$E277,IF($AA277=1,$F277&amp;$AB277,$G277),IF(OR(AQ$3=$D277,AQ$3=$AC277,AQ$3=$AE277),"",IF(AQ$3=$AD277,$F277&amp;"R",AQ276))))</f>
        <v>wP</v>
      </c>
      <c r="AR277" s="11" t="str">
        <f aca="false">IF($P277=0,AR276,IF(AR$3=$E277,IF($AA277=1,$F277&amp;$AB277,$G277),IF(OR(AR$3=$D277,AR$3=$AC277,AR$3=$AE277),"",IF(AR$3=$AD277,$F277&amp;"R",AR276))))</f>
        <v>wP</v>
      </c>
      <c r="AS277" s="11" t="str">
        <f aca="false">IF($P277=0,AS276,IF(AS$3=$E277,IF($AA277=1,$F277&amp;$AB277,$G277),IF(OR(AS$3=$D277,AS$3=$AC277,AS$3=$AE277),"",IF(AS$3=$AD277,$F277&amp;"R",AS276))))</f>
        <v>wP</v>
      </c>
      <c r="AT277" s="11" t="str">
        <f aca="false">IF($P277=0,AT276,IF(AT$3=$E277,IF($AA277=1,$F277&amp;$AB277,$G277),IF(OR(AT$3=$D277,AT$3=$AC277,AT$3=$AE277),"",IF(AT$3=$AD277,$F277&amp;"R",AT276))))</f>
        <v>wP</v>
      </c>
      <c r="AU277" s="11" t="str">
        <f aca="false">IF($P277=0,AU276,IF(AU$3=$E277,IF($AA277=1,$F277&amp;$AB277,$G277),IF(OR(AU$3=$D277,AU$3=$AC277,AU$3=$AE277),"",IF(AU$3=$AD277,$F277&amp;"R",AU276))))</f>
        <v>wP</v>
      </c>
      <c r="AV277" s="11" t="str">
        <f aca="false">IF($P277=0,AV276,IF(AV$3=$E277,IF($AA277=1,$F277&amp;$AB277,$G277),IF(OR(AV$3=$D277,AV$3=$AC277,AV$3=$AE277),"",IF(AV$3=$AD277,$F277&amp;"R",AV276))))</f>
        <v>wP</v>
      </c>
      <c r="AW277" s="11" t="str">
        <f aca="false">IF($P277=0,AW276,IF(AW$3=$E277,IF($AA277=1,$F277&amp;$AB277,$G277),IF(OR(AW$3=$D277,AW$3=$AC277,AW$3=$AE277),"",IF(AW$3=$AD277,$F277&amp;"R",AW276))))</f>
        <v>wP</v>
      </c>
      <c r="AX277" s="11" t="str">
        <f aca="false">IF($P277=0,AX276,IF(AX$3=$E277,IF($AA277=1,$F277&amp;$AB277,$G277),IF(OR(AX$3=$D277,AX$3=$AC277,AX$3=$AE277),"",IF(AX$3=$AD277,$F277&amp;"R",AX276))))</f>
        <v/>
      </c>
      <c r="AY277" s="11" t="str">
        <f aca="false">IF($P277=0,AY276,IF(AY$3=$E277,IF($AA277=1,$F277&amp;$AB277,$G277),IF(OR(AY$3=$D277,AY$3=$AC277,AY$3=$AE277),"",IF(AY$3=$AD277,$F277&amp;"R",AY276))))</f>
        <v/>
      </c>
      <c r="AZ277" s="11" t="str">
        <f aca="false">IF($P277=0,AZ276,IF(AZ$3=$E277,IF($AA277=1,$F277&amp;$AB277,$G277),IF(OR(AZ$3=$D277,AZ$3=$AC277,AZ$3=$AE277),"",IF(AZ$3=$AD277,$F277&amp;"R",AZ276))))</f>
        <v/>
      </c>
      <c r="BA277" s="11" t="str">
        <f aca="false">IF($P277=0,BA276,IF(BA$3=$E277,IF($AA277=1,$F277&amp;$AB277,$G277),IF(OR(BA$3=$D277,BA$3=$AC277,BA$3=$AE277),"",IF(BA$3=$AD277,$F277&amp;"R",BA276))))</f>
        <v/>
      </c>
      <c r="BB277" s="11" t="str">
        <f aca="false">IF($P277=0,BB276,IF(BB$3=$E277,IF($AA277=1,$F277&amp;$AB277,$G277),IF(OR(BB$3=$D277,BB$3=$AC277,BB$3=$AE277),"",IF(BB$3=$AD277,$F277&amp;"R",BB276))))</f>
        <v/>
      </c>
      <c r="BC277" s="11" t="str">
        <f aca="false">IF($P277=0,BC276,IF(BC$3=$E277,IF($AA277=1,$F277&amp;$AB277,$G277),IF(OR(BC$3=$D277,BC$3=$AC277,BC$3=$AE277),"",IF(BC$3=$AD277,$F277&amp;"R",BC276))))</f>
        <v/>
      </c>
      <c r="BD277" s="11" t="str">
        <f aca="false">IF($P277=0,BD276,IF(BD$3=$E277,IF($AA277=1,$F277&amp;$AB277,$G277),IF(OR(BD$3=$D277,BD$3=$AC277,BD$3=$AE277),"",IF(BD$3=$AD277,$F277&amp;"R",BD276))))</f>
        <v/>
      </c>
      <c r="BE277" s="11" t="str">
        <f aca="false">IF($P277=0,BE276,IF(BE$3=$E277,IF($AA277=1,$F277&amp;$AB277,$G277),IF(OR(BE$3=$D277,BE$3=$AC277,BE$3=$AE277),"",IF(BE$3=$AD277,$F277&amp;"R",BE276))))</f>
        <v/>
      </c>
      <c r="BF277" s="11" t="str">
        <f aca="false">IF($P277=0,BF276,IF(BF$3=$E277,IF($AA277=1,$F277&amp;$AB277,$G277),IF(OR(BF$3=$D277,BF$3=$AC277,BF$3=$AE277),"",IF(BF$3=$AD277,$F277&amp;"R",BF276))))</f>
        <v/>
      </c>
      <c r="BG277" s="11" t="str">
        <f aca="false">IF($P277=0,BG276,IF(BG$3=$E277,IF($AA277=1,$F277&amp;$AB277,$G277),IF(OR(BG$3=$D277,BG$3=$AC277,BG$3=$AE277),"",IF(BG$3=$AD277,$F277&amp;"R",BG276))))</f>
        <v/>
      </c>
      <c r="BH277" s="11" t="str">
        <f aca="false">IF($P277=0,BH276,IF(BH$3=$E277,IF($AA277=1,$F277&amp;$AB277,$G277),IF(OR(BH$3=$D277,BH$3=$AC277,BH$3=$AE277),"",IF(BH$3=$AD277,$F277&amp;"R",BH276))))</f>
        <v/>
      </c>
      <c r="BI277" s="11" t="str">
        <f aca="false">IF($P277=0,BI276,IF(BI$3=$E277,IF($AA277=1,$F277&amp;$AB277,$G277),IF(OR(BI$3=$D277,BI$3=$AC277,BI$3=$AE277),"",IF(BI$3=$AD277,$F277&amp;"R",BI276))))</f>
        <v/>
      </c>
      <c r="BJ277" s="11" t="str">
        <f aca="false">IF($P277=0,BJ276,IF(BJ$3=$E277,IF($AA277=1,$F277&amp;$AB277,$G277),IF(OR(BJ$3=$D277,BJ$3=$AC277,BJ$3=$AE277),"",IF(BJ$3=$AD277,$F277&amp;"R",BJ276))))</f>
        <v/>
      </c>
      <c r="BK277" s="11" t="str">
        <f aca="false">IF($P277=0,BK276,IF(BK$3=$E277,IF($AA277=1,$F277&amp;$AB277,$G277),IF(OR(BK$3=$D277,BK$3=$AC277,BK$3=$AE277),"",IF(BK$3=$AD277,$F277&amp;"R",BK276))))</f>
        <v/>
      </c>
      <c r="BL277" s="11" t="str">
        <f aca="false">IF($P277=0,BL276,IF(BL$3=$E277,IF($AA277=1,$F277&amp;$AB277,$G277),IF(OR(BL$3=$D277,BL$3=$AC277,BL$3=$AE277),"",IF(BL$3=$AD277,$F277&amp;"R",BL276))))</f>
        <v/>
      </c>
      <c r="BM277" s="11" t="str">
        <f aca="false">IF($P277=0,BM276,IF(BM$3=$E277,IF($AA277=1,$F277&amp;$AB277,$G277),IF(OR(BM$3=$D277,BM$3=$AC277,BM$3=$AE277),"",IF(BM$3=$AD277,$F277&amp;"R",BM276))))</f>
        <v/>
      </c>
      <c r="BN277" s="11" t="str">
        <f aca="false">IF($P277=0,BN276,IF(BN$3=$E277,IF($AA277=1,$F277&amp;$AB277,$G277),IF(OR(BN$3=$D277,BN$3=$AC277,BN$3=$AE277),"",IF(BN$3=$AD277,$F277&amp;"R",BN276))))</f>
        <v/>
      </c>
      <c r="BO277" s="11" t="str">
        <f aca="false">IF($P277=0,BO276,IF(BO$3=$E277,IF($AA277=1,$F277&amp;$AB277,$G277),IF(OR(BO$3=$D277,BO$3=$AC277,BO$3=$AE277),"",IF(BO$3=$AD277,$F277&amp;"R",BO276))))</f>
        <v/>
      </c>
      <c r="BP277" s="11" t="str">
        <f aca="false">IF($P277=0,BP276,IF(BP$3=$E277,IF($AA277=1,$F277&amp;$AB277,$G277),IF(OR(BP$3=$D277,BP$3=$AC277,BP$3=$AE277),"",IF(BP$3=$AD277,$F277&amp;"R",BP276))))</f>
        <v/>
      </c>
      <c r="BQ277" s="11" t="str">
        <f aca="false">IF($P277=0,BQ276,IF(BQ$3=$E277,IF($AA277=1,$F277&amp;$AB277,$G277),IF(OR(BQ$3=$D277,BQ$3=$AC277,BQ$3=$AE277),"",IF(BQ$3=$AD277,$F277&amp;"R",BQ276))))</f>
        <v/>
      </c>
      <c r="BR277" s="11" t="str">
        <f aca="false">IF($P277=0,BR276,IF(BR$3=$E277,IF($AA277=1,$F277&amp;$AB277,$G277),IF(OR(BR$3=$D277,BR$3=$AC277,BR$3=$AE277),"",IF(BR$3=$AD277,$F277&amp;"R",BR276))))</f>
        <v/>
      </c>
      <c r="BS277" s="11" t="str">
        <f aca="false">IF($P277=0,BS276,IF(BS$3=$E277,IF($AA277=1,$F277&amp;$AB277,$G277),IF(OR(BS$3=$D277,BS$3=$AC277,BS$3=$AE277),"",IF(BS$3=$AD277,$F277&amp;"R",BS276))))</f>
        <v/>
      </c>
      <c r="BT277" s="11" t="str">
        <f aca="false">IF($P277=0,BT276,IF(BT$3=$E277,IF($AA277=1,$F277&amp;$AB277,$G277),IF(OR(BT$3=$D277,BT$3=$AC277,BT$3=$AE277),"",IF(BT$3=$AD277,$F277&amp;"R",BT276))))</f>
        <v/>
      </c>
      <c r="BU277" s="11" t="str">
        <f aca="false">IF($P277=0,BU276,IF(BU$3=$E277,IF($AA277=1,$F277&amp;$AB277,$G277),IF(OR(BU$3=$D277,BU$3=$AC277,BU$3=$AE277),"",IF(BU$3=$AD277,$F277&amp;"R",BU276))))</f>
        <v/>
      </c>
      <c r="BV277" s="11" t="str">
        <f aca="false">IF($P277=0,BV276,IF(BV$3=$E277,IF($AA277=1,$F277&amp;$AB277,$G277),IF(OR(BV$3=$D277,BV$3=$AC277,BV$3=$AE277),"",IF(BV$3=$AD277,$F277&amp;"R",BV276))))</f>
        <v/>
      </c>
      <c r="BW277" s="11" t="str">
        <f aca="false">IF($P277=0,BW276,IF(BW$3=$E277,IF($AA277=1,$F277&amp;$AB277,$G277),IF(OR(BW$3=$D277,BW$3=$AC277,BW$3=$AE277),"",IF(BW$3=$AD277,$F277&amp;"R",BW276))))</f>
        <v/>
      </c>
      <c r="BX277" s="11" t="str">
        <f aca="false">IF($P277=0,BX276,IF(BX$3=$E277,IF($AA277=1,$F277&amp;$AB277,$G277),IF(OR(BX$3=$D277,BX$3=$AC277,BX$3=$AE277),"",IF(BX$3=$AD277,$F277&amp;"R",BX276))))</f>
        <v/>
      </c>
      <c r="BY277" s="11" t="str">
        <f aca="false">IF($P277=0,BY276,IF(BY$3=$E277,IF($AA277=1,$F277&amp;$AB277,$G277),IF(OR(BY$3=$D277,BY$3=$AC277,BY$3=$AE277),"",IF(BY$3=$AD277,$F277&amp;"R",BY276))))</f>
        <v/>
      </c>
      <c r="BZ277" s="11" t="str">
        <f aca="false">IF($P277=0,BZ276,IF(BZ$3=$E277,IF($AA277=1,$F277&amp;$AB277,$G277),IF(OR(BZ$3=$D277,BZ$3=$AC277,BZ$3=$AE277),"",IF(BZ$3=$AD277,$F277&amp;"R",BZ276))))</f>
        <v/>
      </c>
      <c r="CA277" s="11" t="str">
        <f aca="false">IF($P277=0,CA276,IF(CA$3=$E277,IF($AA277=1,$F277&amp;$AB277,$G277),IF(OR(CA$3=$D277,CA$3=$AC277,CA$3=$AE277),"",IF(CA$3=$AD277,$F277&amp;"R",CA276))))</f>
        <v/>
      </c>
      <c r="CB277" s="11" t="str">
        <f aca="false">IF($P277=0,CB276,IF(CB$3=$E277,IF($AA277=1,$F277&amp;$AB277,$G277),IF(OR(CB$3=$D277,CB$3=$AC277,CB$3=$AE277),"",IF(CB$3=$AD277,$F277&amp;"R",CB276))))</f>
        <v/>
      </c>
      <c r="CC277" s="11" t="str">
        <f aca="false">IF($P277=0,CC276,IF(CC$3=$E277,IF($AA277=1,$F277&amp;$AB277,$G277),IF(OR(CC$3=$D277,CC$3=$AC277,CC$3=$AE277),"",IF(CC$3=$AD277,$F277&amp;"R",CC276))))</f>
        <v/>
      </c>
      <c r="CD277" s="11" t="str">
        <f aca="false">IF($P277=0,CD276,IF(CD$3=$E277,IF($AA277=1,$F277&amp;$AB277,$G277),IF(OR(CD$3=$D277,CD$3=$AC277,CD$3=$AE277),"",IF(CD$3=$AD277,$F277&amp;"R",CD276))))</f>
        <v>bP</v>
      </c>
      <c r="CE277" s="11" t="str">
        <f aca="false">IF($P277=0,CE276,IF(CE$3=$E277,IF($AA277=1,$F277&amp;$AB277,$G277),IF(OR(CE$3=$D277,CE$3=$AC277,CE$3=$AE277),"",IF(CE$3=$AD277,$F277&amp;"R",CE276))))</f>
        <v>bP</v>
      </c>
      <c r="CF277" s="11" t="str">
        <f aca="false">IF($P277=0,CF276,IF(CF$3=$E277,IF($AA277=1,$F277&amp;$AB277,$G277),IF(OR(CF$3=$D277,CF$3=$AC277,CF$3=$AE277),"",IF(CF$3=$AD277,$F277&amp;"R",CF276))))</f>
        <v>bP</v>
      </c>
      <c r="CG277" s="11" t="str">
        <f aca="false">IF($P277=0,CG276,IF(CG$3=$E277,IF($AA277=1,$F277&amp;$AB277,$G277),IF(OR(CG$3=$D277,CG$3=$AC277,CG$3=$AE277),"",IF(CG$3=$AD277,$F277&amp;"R",CG276))))</f>
        <v>bP</v>
      </c>
      <c r="CH277" s="11" t="str">
        <f aca="false">IF($P277=0,CH276,IF(CH$3=$E277,IF($AA277=1,$F277&amp;$AB277,$G277),IF(OR(CH$3=$D277,CH$3=$AC277,CH$3=$AE277),"",IF(CH$3=$AD277,$F277&amp;"R",CH276))))</f>
        <v>bP</v>
      </c>
      <c r="CI277" s="11" t="str">
        <f aca="false">IF($P277=0,CI276,IF(CI$3=$E277,IF($AA277=1,$F277&amp;$AB277,$G277),IF(OR(CI$3=$D277,CI$3=$AC277,CI$3=$AE277),"",IF(CI$3=$AD277,$F277&amp;"R",CI276))))</f>
        <v>bP</v>
      </c>
      <c r="CJ277" s="11" t="str">
        <f aca="false">IF($P277=0,CJ276,IF(CJ$3=$E277,IF($AA277=1,$F277&amp;$AB277,$G277),IF(OR(CJ$3=$D277,CJ$3=$AC277,CJ$3=$AE277),"",IF(CJ$3=$AD277,$F277&amp;"R",CJ276))))</f>
        <v>bP</v>
      </c>
      <c r="CK277" s="11" t="str">
        <f aca="false">IF($P277=0,CK276,IF(CK$3=$E277,IF($AA277=1,$F277&amp;$AB277,$G277),IF(OR(CK$3=$D277,CK$3=$AC277,CK$3=$AE277),"",IF(CK$3=$AD277,$F277&amp;"R",CK276))))</f>
        <v>bP</v>
      </c>
      <c r="CL277" s="11" t="str">
        <f aca="false">IF($P277=0,CL276,IF(CL$3=$E277,IF($AA277=1,$F277&amp;$AB277,$G277),IF(OR(CL$3=$D277,CL$3=$AC277,CL$3=$AE277),"",IF(CL$3=$AD277,$F277&amp;"R",CL276))))</f>
        <v>bR</v>
      </c>
      <c r="CM277" s="11" t="str">
        <f aca="false">IF($P277=0,CM276,IF(CM$3=$E277,IF($AA277=1,$F277&amp;$AB277,$G277),IF(OR(CM$3=$D277,CM$3=$AC277,CM$3=$AE277),"",IF(CM$3=$AD277,$F277&amp;"R",CM276))))</f>
        <v>bN</v>
      </c>
      <c r="CN277" s="11" t="str">
        <f aca="false">IF($P277=0,CN276,IF(CN$3=$E277,IF($AA277=1,$F277&amp;$AB277,$G277),IF(OR(CN$3=$D277,CN$3=$AC277,CN$3=$AE277),"",IF(CN$3=$AD277,$F277&amp;"R",CN276))))</f>
        <v>bB</v>
      </c>
      <c r="CO277" s="11" t="str">
        <f aca="false">IF($P277=0,CO276,IF(CO$3=$E277,IF($AA277=1,$F277&amp;$AB277,$G277),IF(OR(CO$3=$D277,CO$3=$AC277,CO$3=$AE277),"",IF(CO$3=$AD277,$F277&amp;"R",CO276))))</f>
        <v>bQ</v>
      </c>
      <c r="CP277" s="11" t="str">
        <f aca="false">IF($P277=0,CP276,IF(CP$3=$E277,IF($AA277=1,$F277&amp;$AB277,$G277),IF(OR(CP$3=$D277,CP$3=$AC277,CP$3=$AE277),"",IF(CP$3=$AD277,$F277&amp;"R",CP276))))</f>
        <v>bK</v>
      </c>
      <c r="CQ277" s="11" t="str">
        <f aca="false">IF($P277=0,CQ276,IF(CQ$3=$E277,IF($AA277=1,$F277&amp;$AB277,$G277),IF(OR(CQ$3=$D277,CQ$3=$AC277,CQ$3=$AE277),"",IF(CQ$3=$AD277,$F277&amp;"R",CQ276))))</f>
        <v>bB</v>
      </c>
      <c r="CR277" s="11" t="str">
        <f aca="false">IF($P277=0,CR276,IF(CR$3=$E277,IF($AA277=1,$F277&amp;$AB277,$G277),IF(OR(CR$3=$D277,CR$3=$AC277,CR$3=$AE277),"",IF(CR$3=$AD277,$F277&amp;"R",CR276))))</f>
        <v>bN</v>
      </c>
      <c r="CS277" s="11" t="str">
        <f aca="false">IF($P277=0,CS276,IF(CS$3=$E277,IF($AA277=1,$F277&amp;$AB277,$G277),IF(OR(CS$3=$D277,CS$3=$AC277,CS$3=$AE277),"",IF(CS$3=$AD277,$F277&amp;"R",CS276))))</f>
        <v>bR</v>
      </c>
      <c r="CT277" s="11"/>
      <c r="CU277" s="11"/>
      <c r="CV277" s="11"/>
    </row>
    <row r="278" customFormat="false" ht="15" hidden="false" customHeight="false" outlineLevel="0" collapsed="false">
      <c r="A278" s="11" t="n">
        <v>273</v>
      </c>
      <c r="B278" s="11" t="str">
        <f aca="false">IF(Chess!$L$282="","",Chess!$L$282&amp;"")</f>
        <v/>
      </c>
      <c r="C278" s="11" t="str">
        <f aca="false">LOWER(SUBSTITUTE(SUBSTITUTE(SUBSTITUTE(SUBSTITUTE(TRIM($B278),"-",""),"=","")," ",""),"x",""))</f>
        <v/>
      </c>
      <c r="D278" s="11" t="n">
        <f aca="false">IF(LEN($C278)&lt;4,0,IFERROR(IF(AND(CODE(MID($C278,1,1))&gt;=97,CODE(MID($C278,1,1))&lt;=104,VALUE(MID($C278,2,1))&gt;=1,VALUE(MID($C278,2,1))&lt;=8),(VALUE(MID($C278,2,1))-1)*8+CODE(MID($C278,1,1))-96,0),0))</f>
        <v>0</v>
      </c>
      <c r="E278" s="11" t="n">
        <f aca="false">IF(LEN($C278)&lt;4,0,IFERROR(IF(AND(CODE(MID($C278,3,1))&gt;=97,CODE(MID($C278,3,1))&lt;=104,VALUE(MID($C278,4,1))&gt;=1,VALUE(MID($C278,4,1))&lt;=8),(VALUE(MID($C278,4,1))-1)*8+CODE(MID($C278,3,1))-96,0),0))</f>
        <v>0</v>
      </c>
      <c r="F278" s="11" t="str">
        <f aca="false">IF(MOD(SUM($P$5:$P277),2)=0,"w","b")</f>
        <v>w</v>
      </c>
      <c r="G278" s="11" t="str">
        <f aca="false">IF($D278=0,"",INDEX($AH277:$CS277,1,$D278)&amp;"")</f>
        <v/>
      </c>
      <c r="H278" s="11" t="str">
        <f aca="false">IF($E278=0,"",INDEX($AH277:$CS277,1,$E278)&amp;"")</f>
        <v/>
      </c>
      <c r="I278" s="11" t="n">
        <f aca="false">IF(OR($D278=0,$E278=0),0,MOD($E278-1,8)-MOD($D278-1,8))</f>
        <v>0</v>
      </c>
      <c r="J278" s="11" t="n">
        <f aca="false">IF(OR($D278=0,$E278=0),0,INT(($E278-1)/8)-INT(($D278-1)/8))</f>
        <v>0</v>
      </c>
      <c r="K278" s="11" t="str">
        <f aca="false">IF($G278="","",RIGHT($G278,1))</f>
        <v/>
      </c>
      <c r="L278" s="11" t="n">
        <f aca="false">IF(OR($D278=0,$E278=0),0,SUMPRODUCT(($AH$3:$CS$3&gt;MIN($D278,$E278))*($AH$3:$CS$3&lt;MAX($D278,$E278))*(MOD($AH$3:$CS$3-MIN($D278,$E278),MAX(1,ABS(SIGN($J278)*8+SIGN($I278))))=0)*($AH277:$CS277&lt;&gt;"")))</f>
        <v>0</v>
      </c>
      <c r="M278" s="11" t="n">
        <f aca="false">IF($K278&lt;&gt;"K",0,IFERROR(--AND($J278=0,ABS($I278)=2,$D278=IF($F278="w",5,61),IF($F278="w",$S277,$V277)=0,IF($I278=2,AND(IF($F278="w",$U277,$X277)=0,INDEX($AH277:$CS277,1,$D278+1)&amp;""="",INDEX($AH277:$CS277,1,$D278+2)&amp;""=""),AND(IF($F278="w",$T277,$W277)=0,INDEX($AH277:$CS277,1,$D278-1)&amp;""="",INDEX($AH277:$CS277,1,$D278-2)&amp;""="",INDEX($AH277:$CS277,1,$D278-3)&amp;""=""))),0))</f>
        <v>0</v>
      </c>
      <c r="N278" s="11" t="n">
        <f aca="false">IF($K278&lt;&gt;"P",0,IFERROR(--OR(AND($I278=0,$J278=IF($F278="w",1,-1),$H278=""),AND($I278=0,$J278=2*IF($F278="w",1,-1),$H278="",INT(($D278-1)/8)=IF($F278="w",1,6),INDEX($AH277:$CS277,1,MAX(1,MIN(64,$D278+8*IF($F278="w",1,-1))))&amp;""=""),AND(ABS($I278)=1,$J278=IF($F278="w",1,-1),$H278&lt;&gt;""),AND(ABS($I278)=1,$J278=IF($F278="w",1,-1),$H278="",$R277&gt;0,$E278=$R277)),0))</f>
        <v>0</v>
      </c>
      <c r="O278" s="11" t="n">
        <f aca="false">IF(OR($D278=0,$E278=0,$G278=""),0,IF($K278="N",--OR(AND(ABS($I278)=1,ABS($J278)=2),AND(ABS($I278)=2,ABS($J278)=1)),IF($K278="B",--AND(ABS($I278)=ABS($J278),$I278&lt;&gt;0,$L278=0),IF($K278="R",--AND(OR($I278=0,$J278=0),OR($I278&lt;&gt;0,$J278&lt;&gt;0),$L278=0),IF($K278="Q",--AND(OR(AND(ABS($I278)=ABS($J278),$I278&lt;&gt;0),AND(OR($I278=0,$J278=0),OR($I278&lt;&gt;0,$J278&lt;&gt;0))),$L278=0),IF($K278="K",--OR(MAX(ABS($I278),ABS($J278))=1,$M278=1),$N278))))))</f>
        <v>0</v>
      </c>
      <c r="P278" s="11" t="n">
        <f aca="false">IF($Q278="OK",1,0)</f>
        <v>0</v>
      </c>
      <c r="Q278" s="11" t="str">
        <f aca="false">IF($B278="","",IF(OR(COUNTIF($AH277:$CS277,"wK")=0,COUNTIF($AH277:$CS277,"bK")=0),"Game is over",IF(OR($D278=0,$E278=0),"Use the format e2e4",IF($G278="","No piece on that square",IF(LEFT($G278,1)&lt;&gt;$F278,"Not your piece ("&amp;IF($F278="w","White","Black")&amp;" to move)",IF($D278=$E278,"Piece must move",IF(AND($H278&lt;&gt;"",LEFT($H278,1)=$F278),"Cannot capture your own piece",IF($O278=0,"Illegal move for that piece (or path blocked)","OK"))))))))</f>
        <v/>
      </c>
      <c r="R278" s="11" t="n">
        <f aca="false">IF($P278=1,IF(AND($K278="P",ABS($J278)=2),($D278+$E278)/2,0),$R277)</f>
        <v>0</v>
      </c>
      <c r="S278" s="12" t="b">
        <f aca="false">--OR($S277=1,AND($P278=1,OR($D278=5,$E278=5)))</f>
        <v>0</v>
      </c>
      <c r="T278" s="12" t="b">
        <f aca="false">--OR($T277=1,AND($P278=1,OR($D278=1,$E278=1)))</f>
        <v>0</v>
      </c>
      <c r="U278" s="12" t="b">
        <f aca="false">--OR($U277=1,AND($P278=1,OR($D278=8,$E278=8)))</f>
        <v>0</v>
      </c>
      <c r="V278" s="12" t="b">
        <f aca="false">--OR($V277=1,AND($P278=1,OR($D278=61,$E278=61)))</f>
        <v>0</v>
      </c>
      <c r="W278" s="12" t="b">
        <f aca="false">--OR($W277=1,AND($P278=1,OR($D278=57,$E278=57)))</f>
        <v>0</v>
      </c>
      <c r="X278" s="12" t="b">
        <f aca="false">--OR($X277=1,AND($P278=1,OR($D278=64,$E278=64)))</f>
        <v>0</v>
      </c>
      <c r="Y278" s="12" t="b">
        <f aca="false">--AND($P278=1,$K278="K",ABS($I278)=2)</f>
        <v>0</v>
      </c>
      <c r="Z278" s="12" t="b">
        <f aca="false">--AND($P278=1,$K278="P",ABS($I278)=1,$H278="")</f>
        <v>0</v>
      </c>
      <c r="AA278" s="12" t="b">
        <f aca="false">--AND($P278=1,$K278="P",INT(($E278-1)/8)=IF($F278="w",7,0))</f>
        <v>0</v>
      </c>
      <c r="AB278" s="11" t="str">
        <f aca="false">IF(LEN($C278)&gt;=5,IF(ISNUMBER(FIND(MID($C278,5,1),"qrbn")),UPPER(MID($C278,5,1)),"Q"),"Q")</f>
        <v>Q</v>
      </c>
      <c r="AC278" s="11" t="n">
        <f aca="false">IF($Y278=1,IF($I278=2,$D278+3,$D278-4),0)</f>
        <v>0</v>
      </c>
      <c r="AD278" s="11" t="n">
        <f aca="false">IF($Y278=1,IF($I278=2,$D278+1,$D278-1),0)</f>
        <v>0</v>
      </c>
      <c r="AE278" s="11" t="n">
        <f aca="false">IF($Z278=1,$E278-8*IF($F278="w",1,-1),0)</f>
        <v>0</v>
      </c>
      <c r="AF278" s="11" t="str">
        <f aca="false">IF($B278="","",IF($P278=1,LOWER(INDEX($CV$2:$CV$13,MATCH($G278,$CU$2:$CU$13,0)))&amp;" "&amp;MID("abcdefgh",MOD($D278-1,8)+1,1)&amp;(INT(($D278-1)/8)+1)&amp;"→"&amp;MID("abcdefgh",MOD($E278-1,8)+1,1)&amp;(INT(($E278-1)/8)+1)&amp;IF(OR($H278&lt;&gt;"",$Z278=1)," ×","")&amp;IF($Y278=1," castles","")&amp;IF($Z278=1," e.p.","")&amp;IF($AA278=1," =" &amp;LOWER(INDEX($CV$2:$CV$13,MATCH($F278&amp;$AB278,$CU$2:$CU$13,0))),""),"X "&amp;$Q278))</f>
        <v/>
      </c>
      <c r="AG278" s="11"/>
      <c r="AH278" s="11" t="str">
        <f aca="false">IF($P278=0,AH277,IF(AH$3=$E278,IF($AA278=1,$F278&amp;$AB278,$G278),IF(OR(AH$3=$D278,AH$3=$AC278,AH$3=$AE278),"",IF(AH$3=$AD278,$F278&amp;"R",AH277))))</f>
        <v>wR</v>
      </c>
      <c r="AI278" s="11" t="str">
        <f aca="false">IF($P278=0,AI277,IF(AI$3=$E278,IF($AA278=1,$F278&amp;$AB278,$G278),IF(OR(AI$3=$D278,AI$3=$AC278,AI$3=$AE278),"",IF(AI$3=$AD278,$F278&amp;"R",AI277))))</f>
        <v>wN</v>
      </c>
      <c r="AJ278" s="11" t="str">
        <f aca="false">IF($P278=0,AJ277,IF(AJ$3=$E278,IF($AA278=1,$F278&amp;$AB278,$G278),IF(OR(AJ$3=$D278,AJ$3=$AC278,AJ$3=$AE278),"",IF(AJ$3=$AD278,$F278&amp;"R",AJ277))))</f>
        <v>wB</v>
      </c>
      <c r="AK278" s="11" t="str">
        <f aca="false">IF($P278=0,AK277,IF(AK$3=$E278,IF($AA278=1,$F278&amp;$AB278,$G278),IF(OR(AK$3=$D278,AK$3=$AC278,AK$3=$AE278),"",IF(AK$3=$AD278,$F278&amp;"R",AK277))))</f>
        <v>wQ</v>
      </c>
      <c r="AL278" s="11" t="str">
        <f aca="false">IF($P278=0,AL277,IF(AL$3=$E278,IF($AA278=1,$F278&amp;$AB278,$G278),IF(OR(AL$3=$D278,AL$3=$AC278,AL$3=$AE278),"",IF(AL$3=$AD278,$F278&amp;"R",AL277))))</f>
        <v>wK</v>
      </c>
      <c r="AM278" s="11" t="str">
        <f aca="false">IF($P278=0,AM277,IF(AM$3=$E278,IF($AA278=1,$F278&amp;$AB278,$G278),IF(OR(AM$3=$D278,AM$3=$AC278,AM$3=$AE278),"",IF(AM$3=$AD278,$F278&amp;"R",AM277))))</f>
        <v>wB</v>
      </c>
      <c r="AN278" s="11" t="str">
        <f aca="false">IF($P278=0,AN277,IF(AN$3=$E278,IF($AA278=1,$F278&amp;$AB278,$G278),IF(OR(AN$3=$D278,AN$3=$AC278,AN$3=$AE278),"",IF(AN$3=$AD278,$F278&amp;"R",AN277))))</f>
        <v>wN</v>
      </c>
      <c r="AO278" s="11" t="str">
        <f aca="false">IF($P278=0,AO277,IF(AO$3=$E278,IF($AA278=1,$F278&amp;$AB278,$G278),IF(OR(AO$3=$D278,AO$3=$AC278,AO$3=$AE278),"",IF(AO$3=$AD278,$F278&amp;"R",AO277))))</f>
        <v>wR</v>
      </c>
      <c r="AP278" s="11" t="str">
        <f aca="false">IF($P278=0,AP277,IF(AP$3=$E278,IF($AA278=1,$F278&amp;$AB278,$G278),IF(OR(AP$3=$D278,AP$3=$AC278,AP$3=$AE278),"",IF(AP$3=$AD278,$F278&amp;"R",AP277))))</f>
        <v>wP</v>
      </c>
      <c r="AQ278" s="11" t="str">
        <f aca="false">IF($P278=0,AQ277,IF(AQ$3=$E278,IF($AA278=1,$F278&amp;$AB278,$G278),IF(OR(AQ$3=$D278,AQ$3=$AC278,AQ$3=$AE278),"",IF(AQ$3=$AD278,$F278&amp;"R",AQ277))))</f>
        <v>wP</v>
      </c>
      <c r="AR278" s="11" t="str">
        <f aca="false">IF($P278=0,AR277,IF(AR$3=$E278,IF($AA278=1,$F278&amp;$AB278,$G278),IF(OR(AR$3=$D278,AR$3=$AC278,AR$3=$AE278),"",IF(AR$3=$AD278,$F278&amp;"R",AR277))))</f>
        <v>wP</v>
      </c>
      <c r="AS278" s="11" t="str">
        <f aca="false">IF($P278=0,AS277,IF(AS$3=$E278,IF($AA278=1,$F278&amp;$AB278,$G278),IF(OR(AS$3=$D278,AS$3=$AC278,AS$3=$AE278),"",IF(AS$3=$AD278,$F278&amp;"R",AS277))))</f>
        <v>wP</v>
      </c>
      <c r="AT278" s="11" t="str">
        <f aca="false">IF($P278=0,AT277,IF(AT$3=$E278,IF($AA278=1,$F278&amp;$AB278,$G278),IF(OR(AT$3=$D278,AT$3=$AC278,AT$3=$AE278),"",IF(AT$3=$AD278,$F278&amp;"R",AT277))))</f>
        <v>wP</v>
      </c>
      <c r="AU278" s="11" t="str">
        <f aca="false">IF($P278=0,AU277,IF(AU$3=$E278,IF($AA278=1,$F278&amp;$AB278,$G278),IF(OR(AU$3=$D278,AU$3=$AC278,AU$3=$AE278),"",IF(AU$3=$AD278,$F278&amp;"R",AU277))))</f>
        <v>wP</v>
      </c>
      <c r="AV278" s="11" t="str">
        <f aca="false">IF($P278=0,AV277,IF(AV$3=$E278,IF($AA278=1,$F278&amp;$AB278,$G278),IF(OR(AV$3=$D278,AV$3=$AC278,AV$3=$AE278),"",IF(AV$3=$AD278,$F278&amp;"R",AV277))))</f>
        <v>wP</v>
      </c>
      <c r="AW278" s="11" t="str">
        <f aca="false">IF($P278=0,AW277,IF(AW$3=$E278,IF($AA278=1,$F278&amp;$AB278,$G278),IF(OR(AW$3=$D278,AW$3=$AC278,AW$3=$AE278),"",IF(AW$3=$AD278,$F278&amp;"R",AW277))))</f>
        <v>wP</v>
      </c>
      <c r="AX278" s="11" t="str">
        <f aca="false">IF($P278=0,AX277,IF(AX$3=$E278,IF($AA278=1,$F278&amp;$AB278,$G278),IF(OR(AX$3=$D278,AX$3=$AC278,AX$3=$AE278),"",IF(AX$3=$AD278,$F278&amp;"R",AX277))))</f>
        <v/>
      </c>
      <c r="AY278" s="11" t="str">
        <f aca="false">IF($P278=0,AY277,IF(AY$3=$E278,IF($AA278=1,$F278&amp;$AB278,$G278),IF(OR(AY$3=$D278,AY$3=$AC278,AY$3=$AE278),"",IF(AY$3=$AD278,$F278&amp;"R",AY277))))</f>
        <v/>
      </c>
      <c r="AZ278" s="11" t="str">
        <f aca="false">IF($P278=0,AZ277,IF(AZ$3=$E278,IF($AA278=1,$F278&amp;$AB278,$G278),IF(OR(AZ$3=$D278,AZ$3=$AC278,AZ$3=$AE278),"",IF(AZ$3=$AD278,$F278&amp;"R",AZ277))))</f>
        <v/>
      </c>
      <c r="BA278" s="11" t="str">
        <f aca="false">IF($P278=0,BA277,IF(BA$3=$E278,IF($AA278=1,$F278&amp;$AB278,$G278),IF(OR(BA$3=$D278,BA$3=$AC278,BA$3=$AE278),"",IF(BA$3=$AD278,$F278&amp;"R",BA277))))</f>
        <v/>
      </c>
      <c r="BB278" s="11" t="str">
        <f aca="false">IF($P278=0,BB277,IF(BB$3=$E278,IF($AA278=1,$F278&amp;$AB278,$G278),IF(OR(BB$3=$D278,BB$3=$AC278,BB$3=$AE278),"",IF(BB$3=$AD278,$F278&amp;"R",BB277))))</f>
        <v/>
      </c>
      <c r="BC278" s="11" t="str">
        <f aca="false">IF($P278=0,BC277,IF(BC$3=$E278,IF($AA278=1,$F278&amp;$AB278,$G278),IF(OR(BC$3=$D278,BC$3=$AC278,BC$3=$AE278),"",IF(BC$3=$AD278,$F278&amp;"R",BC277))))</f>
        <v/>
      </c>
      <c r="BD278" s="11" t="str">
        <f aca="false">IF($P278=0,BD277,IF(BD$3=$E278,IF($AA278=1,$F278&amp;$AB278,$G278),IF(OR(BD$3=$D278,BD$3=$AC278,BD$3=$AE278),"",IF(BD$3=$AD278,$F278&amp;"R",BD277))))</f>
        <v/>
      </c>
      <c r="BE278" s="11" t="str">
        <f aca="false">IF($P278=0,BE277,IF(BE$3=$E278,IF($AA278=1,$F278&amp;$AB278,$G278),IF(OR(BE$3=$D278,BE$3=$AC278,BE$3=$AE278),"",IF(BE$3=$AD278,$F278&amp;"R",BE277))))</f>
        <v/>
      </c>
      <c r="BF278" s="11" t="str">
        <f aca="false">IF($P278=0,BF277,IF(BF$3=$E278,IF($AA278=1,$F278&amp;$AB278,$G278),IF(OR(BF$3=$D278,BF$3=$AC278,BF$3=$AE278),"",IF(BF$3=$AD278,$F278&amp;"R",BF277))))</f>
        <v/>
      </c>
      <c r="BG278" s="11" t="str">
        <f aca="false">IF($P278=0,BG277,IF(BG$3=$E278,IF($AA278=1,$F278&amp;$AB278,$G278),IF(OR(BG$3=$D278,BG$3=$AC278,BG$3=$AE278),"",IF(BG$3=$AD278,$F278&amp;"R",BG277))))</f>
        <v/>
      </c>
      <c r="BH278" s="11" t="str">
        <f aca="false">IF($P278=0,BH277,IF(BH$3=$E278,IF($AA278=1,$F278&amp;$AB278,$G278),IF(OR(BH$3=$D278,BH$3=$AC278,BH$3=$AE278),"",IF(BH$3=$AD278,$F278&amp;"R",BH277))))</f>
        <v/>
      </c>
      <c r="BI278" s="11" t="str">
        <f aca="false">IF($P278=0,BI277,IF(BI$3=$E278,IF($AA278=1,$F278&amp;$AB278,$G278),IF(OR(BI$3=$D278,BI$3=$AC278,BI$3=$AE278),"",IF(BI$3=$AD278,$F278&amp;"R",BI277))))</f>
        <v/>
      </c>
      <c r="BJ278" s="11" t="str">
        <f aca="false">IF($P278=0,BJ277,IF(BJ$3=$E278,IF($AA278=1,$F278&amp;$AB278,$G278),IF(OR(BJ$3=$D278,BJ$3=$AC278,BJ$3=$AE278),"",IF(BJ$3=$AD278,$F278&amp;"R",BJ277))))</f>
        <v/>
      </c>
      <c r="BK278" s="11" t="str">
        <f aca="false">IF($P278=0,BK277,IF(BK$3=$E278,IF($AA278=1,$F278&amp;$AB278,$G278),IF(OR(BK$3=$D278,BK$3=$AC278,BK$3=$AE278),"",IF(BK$3=$AD278,$F278&amp;"R",BK277))))</f>
        <v/>
      </c>
      <c r="BL278" s="11" t="str">
        <f aca="false">IF($P278=0,BL277,IF(BL$3=$E278,IF($AA278=1,$F278&amp;$AB278,$G278),IF(OR(BL$3=$D278,BL$3=$AC278,BL$3=$AE278),"",IF(BL$3=$AD278,$F278&amp;"R",BL277))))</f>
        <v/>
      </c>
      <c r="BM278" s="11" t="str">
        <f aca="false">IF($P278=0,BM277,IF(BM$3=$E278,IF($AA278=1,$F278&amp;$AB278,$G278),IF(OR(BM$3=$D278,BM$3=$AC278,BM$3=$AE278),"",IF(BM$3=$AD278,$F278&amp;"R",BM277))))</f>
        <v/>
      </c>
      <c r="BN278" s="11" t="str">
        <f aca="false">IF($P278=0,BN277,IF(BN$3=$E278,IF($AA278=1,$F278&amp;$AB278,$G278),IF(OR(BN$3=$D278,BN$3=$AC278,BN$3=$AE278),"",IF(BN$3=$AD278,$F278&amp;"R",BN277))))</f>
        <v/>
      </c>
      <c r="BO278" s="11" t="str">
        <f aca="false">IF($P278=0,BO277,IF(BO$3=$E278,IF($AA278=1,$F278&amp;$AB278,$G278),IF(OR(BO$3=$D278,BO$3=$AC278,BO$3=$AE278),"",IF(BO$3=$AD278,$F278&amp;"R",BO277))))</f>
        <v/>
      </c>
      <c r="BP278" s="11" t="str">
        <f aca="false">IF($P278=0,BP277,IF(BP$3=$E278,IF($AA278=1,$F278&amp;$AB278,$G278),IF(OR(BP$3=$D278,BP$3=$AC278,BP$3=$AE278),"",IF(BP$3=$AD278,$F278&amp;"R",BP277))))</f>
        <v/>
      </c>
      <c r="BQ278" s="11" t="str">
        <f aca="false">IF($P278=0,BQ277,IF(BQ$3=$E278,IF($AA278=1,$F278&amp;$AB278,$G278),IF(OR(BQ$3=$D278,BQ$3=$AC278,BQ$3=$AE278),"",IF(BQ$3=$AD278,$F278&amp;"R",BQ277))))</f>
        <v/>
      </c>
      <c r="BR278" s="11" t="str">
        <f aca="false">IF($P278=0,BR277,IF(BR$3=$E278,IF($AA278=1,$F278&amp;$AB278,$G278),IF(OR(BR$3=$D278,BR$3=$AC278,BR$3=$AE278),"",IF(BR$3=$AD278,$F278&amp;"R",BR277))))</f>
        <v/>
      </c>
      <c r="BS278" s="11" t="str">
        <f aca="false">IF($P278=0,BS277,IF(BS$3=$E278,IF($AA278=1,$F278&amp;$AB278,$G278),IF(OR(BS$3=$D278,BS$3=$AC278,BS$3=$AE278),"",IF(BS$3=$AD278,$F278&amp;"R",BS277))))</f>
        <v/>
      </c>
      <c r="BT278" s="11" t="str">
        <f aca="false">IF($P278=0,BT277,IF(BT$3=$E278,IF($AA278=1,$F278&amp;$AB278,$G278),IF(OR(BT$3=$D278,BT$3=$AC278,BT$3=$AE278),"",IF(BT$3=$AD278,$F278&amp;"R",BT277))))</f>
        <v/>
      </c>
      <c r="BU278" s="11" t="str">
        <f aca="false">IF($P278=0,BU277,IF(BU$3=$E278,IF($AA278=1,$F278&amp;$AB278,$G278),IF(OR(BU$3=$D278,BU$3=$AC278,BU$3=$AE278),"",IF(BU$3=$AD278,$F278&amp;"R",BU277))))</f>
        <v/>
      </c>
      <c r="BV278" s="11" t="str">
        <f aca="false">IF($P278=0,BV277,IF(BV$3=$E278,IF($AA278=1,$F278&amp;$AB278,$G278),IF(OR(BV$3=$D278,BV$3=$AC278,BV$3=$AE278),"",IF(BV$3=$AD278,$F278&amp;"R",BV277))))</f>
        <v/>
      </c>
      <c r="BW278" s="11" t="str">
        <f aca="false">IF($P278=0,BW277,IF(BW$3=$E278,IF($AA278=1,$F278&amp;$AB278,$G278),IF(OR(BW$3=$D278,BW$3=$AC278,BW$3=$AE278),"",IF(BW$3=$AD278,$F278&amp;"R",BW277))))</f>
        <v/>
      </c>
      <c r="BX278" s="11" t="str">
        <f aca="false">IF($P278=0,BX277,IF(BX$3=$E278,IF($AA278=1,$F278&amp;$AB278,$G278),IF(OR(BX$3=$D278,BX$3=$AC278,BX$3=$AE278),"",IF(BX$3=$AD278,$F278&amp;"R",BX277))))</f>
        <v/>
      </c>
      <c r="BY278" s="11" t="str">
        <f aca="false">IF($P278=0,BY277,IF(BY$3=$E278,IF($AA278=1,$F278&amp;$AB278,$G278),IF(OR(BY$3=$D278,BY$3=$AC278,BY$3=$AE278),"",IF(BY$3=$AD278,$F278&amp;"R",BY277))))</f>
        <v/>
      </c>
      <c r="BZ278" s="11" t="str">
        <f aca="false">IF($P278=0,BZ277,IF(BZ$3=$E278,IF($AA278=1,$F278&amp;$AB278,$G278),IF(OR(BZ$3=$D278,BZ$3=$AC278,BZ$3=$AE278),"",IF(BZ$3=$AD278,$F278&amp;"R",BZ277))))</f>
        <v/>
      </c>
      <c r="CA278" s="11" t="str">
        <f aca="false">IF($P278=0,CA277,IF(CA$3=$E278,IF($AA278=1,$F278&amp;$AB278,$G278),IF(OR(CA$3=$D278,CA$3=$AC278,CA$3=$AE278),"",IF(CA$3=$AD278,$F278&amp;"R",CA277))))</f>
        <v/>
      </c>
      <c r="CB278" s="11" t="str">
        <f aca="false">IF($P278=0,CB277,IF(CB$3=$E278,IF($AA278=1,$F278&amp;$AB278,$G278),IF(OR(CB$3=$D278,CB$3=$AC278,CB$3=$AE278),"",IF(CB$3=$AD278,$F278&amp;"R",CB277))))</f>
        <v/>
      </c>
      <c r="CC278" s="11" t="str">
        <f aca="false">IF($P278=0,CC277,IF(CC$3=$E278,IF($AA278=1,$F278&amp;$AB278,$G278),IF(OR(CC$3=$D278,CC$3=$AC278,CC$3=$AE278),"",IF(CC$3=$AD278,$F278&amp;"R",CC277))))</f>
        <v/>
      </c>
      <c r="CD278" s="11" t="str">
        <f aca="false">IF($P278=0,CD277,IF(CD$3=$E278,IF($AA278=1,$F278&amp;$AB278,$G278),IF(OR(CD$3=$D278,CD$3=$AC278,CD$3=$AE278),"",IF(CD$3=$AD278,$F278&amp;"R",CD277))))</f>
        <v>bP</v>
      </c>
      <c r="CE278" s="11" t="str">
        <f aca="false">IF($P278=0,CE277,IF(CE$3=$E278,IF($AA278=1,$F278&amp;$AB278,$G278),IF(OR(CE$3=$D278,CE$3=$AC278,CE$3=$AE278),"",IF(CE$3=$AD278,$F278&amp;"R",CE277))))</f>
        <v>bP</v>
      </c>
      <c r="CF278" s="11" t="str">
        <f aca="false">IF($P278=0,CF277,IF(CF$3=$E278,IF($AA278=1,$F278&amp;$AB278,$G278),IF(OR(CF$3=$D278,CF$3=$AC278,CF$3=$AE278),"",IF(CF$3=$AD278,$F278&amp;"R",CF277))))</f>
        <v>bP</v>
      </c>
      <c r="CG278" s="11" t="str">
        <f aca="false">IF($P278=0,CG277,IF(CG$3=$E278,IF($AA278=1,$F278&amp;$AB278,$G278),IF(OR(CG$3=$D278,CG$3=$AC278,CG$3=$AE278),"",IF(CG$3=$AD278,$F278&amp;"R",CG277))))</f>
        <v>bP</v>
      </c>
      <c r="CH278" s="11" t="str">
        <f aca="false">IF($P278=0,CH277,IF(CH$3=$E278,IF($AA278=1,$F278&amp;$AB278,$G278),IF(OR(CH$3=$D278,CH$3=$AC278,CH$3=$AE278),"",IF(CH$3=$AD278,$F278&amp;"R",CH277))))</f>
        <v>bP</v>
      </c>
      <c r="CI278" s="11" t="str">
        <f aca="false">IF($P278=0,CI277,IF(CI$3=$E278,IF($AA278=1,$F278&amp;$AB278,$G278),IF(OR(CI$3=$D278,CI$3=$AC278,CI$3=$AE278),"",IF(CI$3=$AD278,$F278&amp;"R",CI277))))</f>
        <v>bP</v>
      </c>
      <c r="CJ278" s="11" t="str">
        <f aca="false">IF($P278=0,CJ277,IF(CJ$3=$E278,IF($AA278=1,$F278&amp;$AB278,$G278),IF(OR(CJ$3=$D278,CJ$3=$AC278,CJ$3=$AE278),"",IF(CJ$3=$AD278,$F278&amp;"R",CJ277))))</f>
        <v>bP</v>
      </c>
      <c r="CK278" s="11" t="str">
        <f aca="false">IF($P278=0,CK277,IF(CK$3=$E278,IF($AA278=1,$F278&amp;$AB278,$G278),IF(OR(CK$3=$D278,CK$3=$AC278,CK$3=$AE278),"",IF(CK$3=$AD278,$F278&amp;"R",CK277))))</f>
        <v>bP</v>
      </c>
      <c r="CL278" s="11" t="str">
        <f aca="false">IF($P278=0,CL277,IF(CL$3=$E278,IF($AA278=1,$F278&amp;$AB278,$G278),IF(OR(CL$3=$D278,CL$3=$AC278,CL$3=$AE278),"",IF(CL$3=$AD278,$F278&amp;"R",CL277))))</f>
        <v>bR</v>
      </c>
      <c r="CM278" s="11" t="str">
        <f aca="false">IF($P278=0,CM277,IF(CM$3=$E278,IF($AA278=1,$F278&amp;$AB278,$G278),IF(OR(CM$3=$D278,CM$3=$AC278,CM$3=$AE278),"",IF(CM$3=$AD278,$F278&amp;"R",CM277))))</f>
        <v>bN</v>
      </c>
      <c r="CN278" s="11" t="str">
        <f aca="false">IF($P278=0,CN277,IF(CN$3=$E278,IF($AA278=1,$F278&amp;$AB278,$G278),IF(OR(CN$3=$D278,CN$3=$AC278,CN$3=$AE278),"",IF(CN$3=$AD278,$F278&amp;"R",CN277))))</f>
        <v>bB</v>
      </c>
      <c r="CO278" s="11" t="str">
        <f aca="false">IF($P278=0,CO277,IF(CO$3=$E278,IF($AA278=1,$F278&amp;$AB278,$G278),IF(OR(CO$3=$D278,CO$3=$AC278,CO$3=$AE278),"",IF(CO$3=$AD278,$F278&amp;"R",CO277))))</f>
        <v>bQ</v>
      </c>
      <c r="CP278" s="11" t="str">
        <f aca="false">IF($P278=0,CP277,IF(CP$3=$E278,IF($AA278=1,$F278&amp;$AB278,$G278),IF(OR(CP$3=$D278,CP$3=$AC278,CP$3=$AE278),"",IF(CP$3=$AD278,$F278&amp;"R",CP277))))</f>
        <v>bK</v>
      </c>
      <c r="CQ278" s="11" t="str">
        <f aca="false">IF($P278=0,CQ277,IF(CQ$3=$E278,IF($AA278=1,$F278&amp;$AB278,$G278),IF(OR(CQ$3=$D278,CQ$3=$AC278,CQ$3=$AE278),"",IF(CQ$3=$AD278,$F278&amp;"R",CQ277))))</f>
        <v>bB</v>
      </c>
      <c r="CR278" s="11" t="str">
        <f aca="false">IF($P278=0,CR277,IF(CR$3=$E278,IF($AA278=1,$F278&amp;$AB278,$G278),IF(OR(CR$3=$D278,CR$3=$AC278,CR$3=$AE278),"",IF(CR$3=$AD278,$F278&amp;"R",CR277))))</f>
        <v>bN</v>
      </c>
      <c r="CS278" s="11" t="str">
        <f aca="false">IF($P278=0,CS277,IF(CS$3=$E278,IF($AA278=1,$F278&amp;$AB278,$G278),IF(OR(CS$3=$D278,CS$3=$AC278,CS$3=$AE278),"",IF(CS$3=$AD278,$F278&amp;"R",CS277))))</f>
        <v>bR</v>
      </c>
      <c r="CT278" s="11"/>
      <c r="CU278" s="11"/>
      <c r="CV278" s="11"/>
    </row>
    <row r="279" customFormat="false" ht="15" hidden="false" customHeight="false" outlineLevel="0" collapsed="false">
      <c r="A279" s="11" t="n">
        <v>274</v>
      </c>
      <c r="B279" s="11" t="str">
        <f aca="false">IF(Chess!$L$283="","",Chess!$L$283&amp;"")</f>
        <v/>
      </c>
      <c r="C279" s="11" t="str">
        <f aca="false">LOWER(SUBSTITUTE(SUBSTITUTE(SUBSTITUTE(SUBSTITUTE(TRIM($B279),"-",""),"=","")," ",""),"x",""))</f>
        <v/>
      </c>
      <c r="D279" s="11" t="n">
        <f aca="false">IF(LEN($C279)&lt;4,0,IFERROR(IF(AND(CODE(MID($C279,1,1))&gt;=97,CODE(MID($C279,1,1))&lt;=104,VALUE(MID($C279,2,1))&gt;=1,VALUE(MID($C279,2,1))&lt;=8),(VALUE(MID($C279,2,1))-1)*8+CODE(MID($C279,1,1))-96,0),0))</f>
        <v>0</v>
      </c>
      <c r="E279" s="11" t="n">
        <f aca="false">IF(LEN($C279)&lt;4,0,IFERROR(IF(AND(CODE(MID($C279,3,1))&gt;=97,CODE(MID($C279,3,1))&lt;=104,VALUE(MID($C279,4,1))&gt;=1,VALUE(MID($C279,4,1))&lt;=8),(VALUE(MID($C279,4,1))-1)*8+CODE(MID($C279,3,1))-96,0),0))</f>
        <v>0</v>
      </c>
      <c r="F279" s="11" t="str">
        <f aca="false">IF(MOD(SUM($P$5:$P278),2)=0,"w","b")</f>
        <v>w</v>
      </c>
      <c r="G279" s="11" t="str">
        <f aca="false">IF($D279=0,"",INDEX($AH278:$CS278,1,$D279)&amp;"")</f>
        <v/>
      </c>
      <c r="H279" s="11" t="str">
        <f aca="false">IF($E279=0,"",INDEX($AH278:$CS278,1,$E279)&amp;"")</f>
        <v/>
      </c>
      <c r="I279" s="11" t="n">
        <f aca="false">IF(OR($D279=0,$E279=0),0,MOD($E279-1,8)-MOD($D279-1,8))</f>
        <v>0</v>
      </c>
      <c r="J279" s="11" t="n">
        <f aca="false">IF(OR($D279=0,$E279=0),0,INT(($E279-1)/8)-INT(($D279-1)/8))</f>
        <v>0</v>
      </c>
      <c r="K279" s="11" t="str">
        <f aca="false">IF($G279="","",RIGHT($G279,1))</f>
        <v/>
      </c>
      <c r="L279" s="11" t="n">
        <f aca="false">IF(OR($D279=0,$E279=0),0,SUMPRODUCT(($AH$3:$CS$3&gt;MIN($D279,$E279))*($AH$3:$CS$3&lt;MAX($D279,$E279))*(MOD($AH$3:$CS$3-MIN($D279,$E279),MAX(1,ABS(SIGN($J279)*8+SIGN($I279))))=0)*($AH278:$CS278&lt;&gt;"")))</f>
        <v>0</v>
      </c>
      <c r="M279" s="11" t="n">
        <f aca="false">IF($K279&lt;&gt;"K",0,IFERROR(--AND($J279=0,ABS($I279)=2,$D279=IF($F279="w",5,61),IF($F279="w",$S278,$V278)=0,IF($I279=2,AND(IF($F279="w",$U278,$X278)=0,INDEX($AH278:$CS278,1,$D279+1)&amp;""="",INDEX($AH278:$CS278,1,$D279+2)&amp;""=""),AND(IF($F279="w",$T278,$W278)=0,INDEX($AH278:$CS278,1,$D279-1)&amp;""="",INDEX($AH278:$CS278,1,$D279-2)&amp;""="",INDEX($AH278:$CS278,1,$D279-3)&amp;""=""))),0))</f>
        <v>0</v>
      </c>
      <c r="N279" s="11" t="n">
        <f aca="false">IF($K279&lt;&gt;"P",0,IFERROR(--OR(AND($I279=0,$J279=IF($F279="w",1,-1),$H279=""),AND($I279=0,$J279=2*IF($F279="w",1,-1),$H279="",INT(($D279-1)/8)=IF($F279="w",1,6),INDEX($AH278:$CS278,1,MAX(1,MIN(64,$D279+8*IF($F279="w",1,-1))))&amp;""=""),AND(ABS($I279)=1,$J279=IF($F279="w",1,-1),$H279&lt;&gt;""),AND(ABS($I279)=1,$J279=IF($F279="w",1,-1),$H279="",$R278&gt;0,$E279=$R278)),0))</f>
        <v>0</v>
      </c>
      <c r="O279" s="11" t="n">
        <f aca="false">IF(OR($D279=0,$E279=0,$G279=""),0,IF($K279="N",--OR(AND(ABS($I279)=1,ABS($J279)=2),AND(ABS($I279)=2,ABS($J279)=1)),IF($K279="B",--AND(ABS($I279)=ABS($J279),$I279&lt;&gt;0,$L279=0),IF($K279="R",--AND(OR($I279=0,$J279=0),OR($I279&lt;&gt;0,$J279&lt;&gt;0),$L279=0),IF($K279="Q",--AND(OR(AND(ABS($I279)=ABS($J279),$I279&lt;&gt;0),AND(OR($I279=0,$J279=0),OR($I279&lt;&gt;0,$J279&lt;&gt;0))),$L279=0),IF($K279="K",--OR(MAX(ABS($I279),ABS($J279))=1,$M279=1),$N279))))))</f>
        <v>0</v>
      </c>
      <c r="P279" s="11" t="n">
        <f aca="false">IF($Q279="OK",1,0)</f>
        <v>0</v>
      </c>
      <c r="Q279" s="11" t="str">
        <f aca="false">IF($B279="","",IF(OR(COUNTIF($AH278:$CS278,"wK")=0,COUNTIF($AH278:$CS278,"bK")=0),"Game is over",IF(OR($D279=0,$E279=0),"Use the format e2e4",IF($G279="","No piece on that square",IF(LEFT($G279,1)&lt;&gt;$F279,"Not your piece ("&amp;IF($F279="w","White","Black")&amp;" to move)",IF($D279=$E279,"Piece must move",IF(AND($H279&lt;&gt;"",LEFT($H279,1)=$F279),"Cannot capture your own piece",IF($O279=0,"Illegal move for that piece (or path blocked)","OK"))))))))</f>
        <v/>
      </c>
      <c r="R279" s="11" t="n">
        <f aca="false">IF($P279=1,IF(AND($K279="P",ABS($J279)=2),($D279+$E279)/2,0),$R278)</f>
        <v>0</v>
      </c>
      <c r="S279" s="12" t="b">
        <f aca="false">--OR($S278=1,AND($P279=1,OR($D279=5,$E279=5)))</f>
        <v>0</v>
      </c>
      <c r="T279" s="12" t="b">
        <f aca="false">--OR($T278=1,AND($P279=1,OR($D279=1,$E279=1)))</f>
        <v>0</v>
      </c>
      <c r="U279" s="12" t="b">
        <f aca="false">--OR($U278=1,AND($P279=1,OR($D279=8,$E279=8)))</f>
        <v>0</v>
      </c>
      <c r="V279" s="12" t="b">
        <f aca="false">--OR($V278=1,AND($P279=1,OR($D279=61,$E279=61)))</f>
        <v>0</v>
      </c>
      <c r="W279" s="12" t="b">
        <f aca="false">--OR($W278=1,AND($P279=1,OR($D279=57,$E279=57)))</f>
        <v>0</v>
      </c>
      <c r="X279" s="12" t="b">
        <f aca="false">--OR($X278=1,AND($P279=1,OR($D279=64,$E279=64)))</f>
        <v>0</v>
      </c>
      <c r="Y279" s="12" t="b">
        <f aca="false">--AND($P279=1,$K279="K",ABS($I279)=2)</f>
        <v>0</v>
      </c>
      <c r="Z279" s="12" t="b">
        <f aca="false">--AND($P279=1,$K279="P",ABS($I279)=1,$H279="")</f>
        <v>0</v>
      </c>
      <c r="AA279" s="12" t="b">
        <f aca="false">--AND($P279=1,$K279="P",INT(($E279-1)/8)=IF($F279="w",7,0))</f>
        <v>0</v>
      </c>
      <c r="AB279" s="11" t="str">
        <f aca="false">IF(LEN($C279)&gt;=5,IF(ISNUMBER(FIND(MID($C279,5,1),"qrbn")),UPPER(MID($C279,5,1)),"Q"),"Q")</f>
        <v>Q</v>
      </c>
      <c r="AC279" s="11" t="n">
        <f aca="false">IF($Y279=1,IF($I279=2,$D279+3,$D279-4),0)</f>
        <v>0</v>
      </c>
      <c r="AD279" s="11" t="n">
        <f aca="false">IF($Y279=1,IF($I279=2,$D279+1,$D279-1),0)</f>
        <v>0</v>
      </c>
      <c r="AE279" s="11" t="n">
        <f aca="false">IF($Z279=1,$E279-8*IF($F279="w",1,-1),0)</f>
        <v>0</v>
      </c>
      <c r="AF279" s="11" t="str">
        <f aca="false">IF($B279="","",IF($P279=1,LOWER(INDEX($CV$2:$CV$13,MATCH($G279,$CU$2:$CU$13,0)))&amp;" "&amp;MID("abcdefgh",MOD($D279-1,8)+1,1)&amp;(INT(($D279-1)/8)+1)&amp;"→"&amp;MID("abcdefgh",MOD($E279-1,8)+1,1)&amp;(INT(($E279-1)/8)+1)&amp;IF(OR($H279&lt;&gt;"",$Z279=1)," ×","")&amp;IF($Y279=1," castles","")&amp;IF($Z279=1," e.p.","")&amp;IF($AA279=1," =" &amp;LOWER(INDEX($CV$2:$CV$13,MATCH($F279&amp;$AB279,$CU$2:$CU$13,0))),""),"X "&amp;$Q279))</f>
        <v/>
      </c>
      <c r="AG279" s="11"/>
      <c r="AH279" s="11" t="str">
        <f aca="false">IF($P279=0,AH278,IF(AH$3=$E279,IF($AA279=1,$F279&amp;$AB279,$G279),IF(OR(AH$3=$D279,AH$3=$AC279,AH$3=$AE279),"",IF(AH$3=$AD279,$F279&amp;"R",AH278))))</f>
        <v>wR</v>
      </c>
      <c r="AI279" s="11" t="str">
        <f aca="false">IF($P279=0,AI278,IF(AI$3=$E279,IF($AA279=1,$F279&amp;$AB279,$G279),IF(OR(AI$3=$D279,AI$3=$AC279,AI$3=$AE279),"",IF(AI$3=$AD279,$F279&amp;"R",AI278))))</f>
        <v>wN</v>
      </c>
      <c r="AJ279" s="11" t="str">
        <f aca="false">IF($P279=0,AJ278,IF(AJ$3=$E279,IF($AA279=1,$F279&amp;$AB279,$G279),IF(OR(AJ$3=$D279,AJ$3=$AC279,AJ$3=$AE279),"",IF(AJ$3=$AD279,$F279&amp;"R",AJ278))))</f>
        <v>wB</v>
      </c>
      <c r="AK279" s="11" t="str">
        <f aca="false">IF($P279=0,AK278,IF(AK$3=$E279,IF($AA279=1,$F279&amp;$AB279,$G279),IF(OR(AK$3=$D279,AK$3=$AC279,AK$3=$AE279),"",IF(AK$3=$AD279,$F279&amp;"R",AK278))))</f>
        <v>wQ</v>
      </c>
      <c r="AL279" s="11" t="str">
        <f aca="false">IF($P279=0,AL278,IF(AL$3=$E279,IF($AA279=1,$F279&amp;$AB279,$G279),IF(OR(AL$3=$D279,AL$3=$AC279,AL$3=$AE279),"",IF(AL$3=$AD279,$F279&amp;"R",AL278))))</f>
        <v>wK</v>
      </c>
      <c r="AM279" s="11" t="str">
        <f aca="false">IF($P279=0,AM278,IF(AM$3=$E279,IF($AA279=1,$F279&amp;$AB279,$G279),IF(OR(AM$3=$D279,AM$3=$AC279,AM$3=$AE279),"",IF(AM$3=$AD279,$F279&amp;"R",AM278))))</f>
        <v>wB</v>
      </c>
      <c r="AN279" s="11" t="str">
        <f aca="false">IF($P279=0,AN278,IF(AN$3=$E279,IF($AA279=1,$F279&amp;$AB279,$G279),IF(OR(AN$3=$D279,AN$3=$AC279,AN$3=$AE279),"",IF(AN$3=$AD279,$F279&amp;"R",AN278))))</f>
        <v>wN</v>
      </c>
      <c r="AO279" s="11" t="str">
        <f aca="false">IF($P279=0,AO278,IF(AO$3=$E279,IF($AA279=1,$F279&amp;$AB279,$G279),IF(OR(AO$3=$D279,AO$3=$AC279,AO$3=$AE279),"",IF(AO$3=$AD279,$F279&amp;"R",AO278))))</f>
        <v>wR</v>
      </c>
      <c r="AP279" s="11" t="str">
        <f aca="false">IF($P279=0,AP278,IF(AP$3=$E279,IF($AA279=1,$F279&amp;$AB279,$G279),IF(OR(AP$3=$D279,AP$3=$AC279,AP$3=$AE279),"",IF(AP$3=$AD279,$F279&amp;"R",AP278))))</f>
        <v>wP</v>
      </c>
      <c r="AQ279" s="11" t="str">
        <f aca="false">IF($P279=0,AQ278,IF(AQ$3=$E279,IF($AA279=1,$F279&amp;$AB279,$G279),IF(OR(AQ$3=$D279,AQ$3=$AC279,AQ$3=$AE279),"",IF(AQ$3=$AD279,$F279&amp;"R",AQ278))))</f>
        <v>wP</v>
      </c>
      <c r="AR279" s="11" t="str">
        <f aca="false">IF($P279=0,AR278,IF(AR$3=$E279,IF($AA279=1,$F279&amp;$AB279,$G279),IF(OR(AR$3=$D279,AR$3=$AC279,AR$3=$AE279),"",IF(AR$3=$AD279,$F279&amp;"R",AR278))))</f>
        <v>wP</v>
      </c>
      <c r="AS279" s="11" t="str">
        <f aca="false">IF($P279=0,AS278,IF(AS$3=$E279,IF($AA279=1,$F279&amp;$AB279,$G279),IF(OR(AS$3=$D279,AS$3=$AC279,AS$3=$AE279),"",IF(AS$3=$AD279,$F279&amp;"R",AS278))))</f>
        <v>wP</v>
      </c>
      <c r="AT279" s="11" t="str">
        <f aca="false">IF($P279=0,AT278,IF(AT$3=$E279,IF($AA279=1,$F279&amp;$AB279,$G279),IF(OR(AT$3=$D279,AT$3=$AC279,AT$3=$AE279),"",IF(AT$3=$AD279,$F279&amp;"R",AT278))))</f>
        <v>wP</v>
      </c>
      <c r="AU279" s="11" t="str">
        <f aca="false">IF($P279=0,AU278,IF(AU$3=$E279,IF($AA279=1,$F279&amp;$AB279,$G279),IF(OR(AU$3=$D279,AU$3=$AC279,AU$3=$AE279),"",IF(AU$3=$AD279,$F279&amp;"R",AU278))))</f>
        <v>wP</v>
      </c>
      <c r="AV279" s="11" t="str">
        <f aca="false">IF($P279=0,AV278,IF(AV$3=$E279,IF($AA279=1,$F279&amp;$AB279,$G279),IF(OR(AV$3=$D279,AV$3=$AC279,AV$3=$AE279),"",IF(AV$3=$AD279,$F279&amp;"R",AV278))))</f>
        <v>wP</v>
      </c>
      <c r="AW279" s="11" t="str">
        <f aca="false">IF($P279=0,AW278,IF(AW$3=$E279,IF($AA279=1,$F279&amp;$AB279,$G279),IF(OR(AW$3=$D279,AW$3=$AC279,AW$3=$AE279),"",IF(AW$3=$AD279,$F279&amp;"R",AW278))))</f>
        <v>wP</v>
      </c>
      <c r="AX279" s="11" t="str">
        <f aca="false">IF($P279=0,AX278,IF(AX$3=$E279,IF($AA279=1,$F279&amp;$AB279,$G279),IF(OR(AX$3=$D279,AX$3=$AC279,AX$3=$AE279),"",IF(AX$3=$AD279,$F279&amp;"R",AX278))))</f>
        <v/>
      </c>
      <c r="AY279" s="11" t="str">
        <f aca="false">IF($P279=0,AY278,IF(AY$3=$E279,IF($AA279=1,$F279&amp;$AB279,$G279),IF(OR(AY$3=$D279,AY$3=$AC279,AY$3=$AE279),"",IF(AY$3=$AD279,$F279&amp;"R",AY278))))</f>
        <v/>
      </c>
      <c r="AZ279" s="11" t="str">
        <f aca="false">IF($P279=0,AZ278,IF(AZ$3=$E279,IF($AA279=1,$F279&amp;$AB279,$G279),IF(OR(AZ$3=$D279,AZ$3=$AC279,AZ$3=$AE279),"",IF(AZ$3=$AD279,$F279&amp;"R",AZ278))))</f>
        <v/>
      </c>
      <c r="BA279" s="11" t="str">
        <f aca="false">IF($P279=0,BA278,IF(BA$3=$E279,IF($AA279=1,$F279&amp;$AB279,$G279),IF(OR(BA$3=$D279,BA$3=$AC279,BA$3=$AE279),"",IF(BA$3=$AD279,$F279&amp;"R",BA278))))</f>
        <v/>
      </c>
      <c r="BB279" s="11" t="str">
        <f aca="false">IF($P279=0,BB278,IF(BB$3=$E279,IF($AA279=1,$F279&amp;$AB279,$G279),IF(OR(BB$3=$D279,BB$3=$AC279,BB$3=$AE279),"",IF(BB$3=$AD279,$F279&amp;"R",BB278))))</f>
        <v/>
      </c>
      <c r="BC279" s="11" t="str">
        <f aca="false">IF($P279=0,BC278,IF(BC$3=$E279,IF($AA279=1,$F279&amp;$AB279,$G279),IF(OR(BC$3=$D279,BC$3=$AC279,BC$3=$AE279),"",IF(BC$3=$AD279,$F279&amp;"R",BC278))))</f>
        <v/>
      </c>
      <c r="BD279" s="11" t="str">
        <f aca="false">IF($P279=0,BD278,IF(BD$3=$E279,IF($AA279=1,$F279&amp;$AB279,$G279),IF(OR(BD$3=$D279,BD$3=$AC279,BD$3=$AE279),"",IF(BD$3=$AD279,$F279&amp;"R",BD278))))</f>
        <v/>
      </c>
      <c r="BE279" s="11" t="str">
        <f aca="false">IF($P279=0,BE278,IF(BE$3=$E279,IF($AA279=1,$F279&amp;$AB279,$G279),IF(OR(BE$3=$D279,BE$3=$AC279,BE$3=$AE279),"",IF(BE$3=$AD279,$F279&amp;"R",BE278))))</f>
        <v/>
      </c>
      <c r="BF279" s="11" t="str">
        <f aca="false">IF($P279=0,BF278,IF(BF$3=$E279,IF($AA279=1,$F279&amp;$AB279,$G279),IF(OR(BF$3=$D279,BF$3=$AC279,BF$3=$AE279),"",IF(BF$3=$AD279,$F279&amp;"R",BF278))))</f>
        <v/>
      </c>
      <c r="BG279" s="11" t="str">
        <f aca="false">IF($P279=0,BG278,IF(BG$3=$E279,IF($AA279=1,$F279&amp;$AB279,$G279),IF(OR(BG$3=$D279,BG$3=$AC279,BG$3=$AE279),"",IF(BG$3=$AD279,$F279&amp;"R",BG278))))</f>
        <v/>
      </c>
      <c r="BH279" s="11" t="str">
        <f aca="false">IF($P279=0,BH278,IF(BH$3=$E279,IF($AA279=1,$F279&amp;$AB279,$G279),IF(OR(BH$3=$D279,BH$3=$AC279,BH$3=$AE279),"",IF(BH$3=$AD279,$F279&amp;"R",BH278))))</f>
        <v/>
      </c>
      <c r="BI279" s="11" t="str">
        <f aca="false">IF($P279=0,BI278,IF(BI$3=$E279,IF($AA279=1,$F279&amp;$AB279,$G279),IF(OR(BI$3=$D279,BI$3=$AC279,BI$3=$AE279),"",IF(BI$3=$AD279,$F279&amp;"R",BI278))))</f>
        <v/>
      </c>
      <c r="BJ279" s="11" t="str">
        <f aca="false">IF($P279=0,BJ278,IF(BJ$3=$E279,IF($AA279=1,$F279&amp;$AB279,$G279),IF(OR(BJ$3=$D279,BJ$3=$AC279,BJ$3=$AE279),"",IF(BJ$3=$AD279,$F279&amp;"R",BJ278))))</f>
        <v/>
      </c>
      <c r="BK279" s="11" t="str">
        <f aca="false">IF($P279=0,BK278,IF(BK$3=$E279,IF($AA279=1,$F279&amp;$AB279,$G279),IF(OR(BK$3=$D279,BK$3=$AC279,BK$3=$AE279),"",IF(BK$3=$AD279,$F279&amp;"R",BK278))))</f>
        <v/>
      </c>
      <c r="BL279" s="11" t="str">
        <f aca="false">IF($P279=0,BL278,IF(BL$3=$E279,IF($AA279=1,$F279&amp;$AB279,$G279),IF(OR(BL$3=$D279,BL$3=$AC279,BL$3=$AE279),"",IF(BL$3=$AD279,$F279&amp;"R",BL278))))</f>
        <v/>
      </c>
      <c r="BM279" s="11" t="str">
        <f aca="false">IF($P279=0,BM278,IF(BM$3=$E279,IF($AA279=1,$F279&amp;$AB279,$G279),IF(OR(BM$3=$D279,BM$3=$AC279,BM$3=$AE279),"",IF(BM$3=$AD279,$F279&amp;"R",BM278))))</f>
        <v/>
      </c>
      <c r="BN279" s="11" t="str">
        <f aca="false">IF($P279=0,BN278,IF(BN$3=$E279,IF($AA279=1,$F279&amp;$AB279,$G279),IF(OR(BN$3=$D279,BN$3=$AC279,BN$3=$AE279),"",IF(BN$3=$AD279,$F279&amp;"R",BN278))))</f>
        <v/>
      </c>
      <c r="BO279" s="11" t="str">
        <f aca="false">IF($P279=0,BO278,IF(BO$3=$E279,IF($AA279=1,$F279&amp;$AB279,$G279),IF(OR(BO$3=$D279,BO$3=$AC279,BO$3=$AE279),"",IF(BO$3=$AD279,$F279&amp;"R",BO278))))</f>
        <v/>
      </c>
      <c r="BP279" s="11" t="str">
        <f aca="false">IF($P279=0,BP278,IF(BP$3=$E279,IF($AA279=1,$F279&amp;$AB279,$G279),IF(OR(BP$3=$D279,BP$3=$AC279,BP$3=$AE279),"",IF(BP$3=$AD279,$F279&amp;"R",BP278))))</f>
        <v/>
      </c>
      <c r="BQ279" s="11" t="str">
        <f aca="false">IF($P279=0,BQ278,IF(BQ$3=$E279,IF($AA279=1,$F279&amp;$AB279,$G279),IF(OR(BQ$3=$D279,BQ$3=$AC279,BQ$3=$AE279),"",IF(BQ$3=$AD279,$F279&amp;"R",BQ278))))</f>
        <v/>
      </c>
      <c r="BR279" s="11" t="str">
        <f aca="false">IF($P279=0,BR278,IF(BR$3=$E279,IF($AA279=1,$F279&amp;$AB279,$G279),IF(OR(BR$3=$D279,BR$3=$AC279,BR$3=$AE279),"",IF(BR$3=$AD279,$F279&amp;"R",BR278))))</f>
        <v/>
      </c>
      <c r="BS279" s="11" t="str">
        <f aca="false">IF($P279=0,BS278,IF(BS$3=$E279,IF($AA279=1,$F279&amp;$AB279,$G279),IF(OR(BS$3=$D279,BS$3=$AC279,BS$3=$AE279),"",IF(BS$3=$AD279,$F279&amp;"R",BS278))))</f>
        <v/>
      </c>
      <c r="BT279" s="11" t="str">
        <f aca="false">IF($P279=0,BT278,IF(BT$3=$E279,IF($AA279=1,$F279&amp;$AB279,$G279),IF(OR(BT$3=$D279,BT$3=$AC279,BT$3=$AE279),"",IF(BT$3=$AD279,$F279&amp;"R",BT278))))</f>
        <v/>
      </c>
      <c r="BU279" s="11" t="str">
        <f aca="false">IF($P279=0,BU278,IF(BU$3=$E279,IF($AA279=1,$F279&amp;$AB279,$G279),IF(OR(BU$3=$D279,BU$3=$AC279,BU$3=$AE279),"",IF(BU$3=$AD279,$F279&amp;"R",BU278))))</f>
        <v/>
      </c>
      <c r="BV279" s="11" t="str">
        <f aca="false">IF($P279=0,BV278,IF(BV$3=$E279,IF($AA279=1,$F279&amp;$AB279,$G279),IF(OR(BV$3=$D279,BV$3=$AC279,BV$3=$AE279),"",IF(BV$3=$AD279,$F279&amp;"R",BV278))))</f>
        <v/>
      </c>
      <c r="BW279" s="11" t="str">
        <f aca="false">IF($P279=0,BW278,IF(BW$3=$E279,IF($AA279=1,$F279&amp;$AB279,$G279),IF(OR(BW$3=$D279,BW$3=$AC279,BW$3=$AE279),"",IF(BW$3=$AD279,$F279&amp;"R",BW278))))</f>
        <v/>
      </c>
      <c r="BX279" s="11" t="str">
        <f aca="false">IF($P279=0,BX278,IF(BX$3=$E279,IF($AA279=1,$F279&amp;$AB279,$G279),IF(OR(BX$3=$D279,BX$3=$AC279,BX$3=$AE279),"",IF(BX$3=$AD279,$F279&amp;"R",BX278))))</f>
        <v/>
      </c>
      <c r="BY279" s="11" t="str">
        <f aca="false">IF($P279=0,BY278,IF(BY$3=$E279,IF($AA279=1,$F279&amp;$AB279,$G279),IF(OR(BY$3=$D279,BY$3=$AC279,BY$3=$AE279),"",IF(BY$3=$AD279,$F279&amp;"R",BY278))))</f>
        <v/>
      </c>
      <c r="BZ279" s="11" t="str">
        <f aca="false">IF($P279=0,BZ278,IF(BZ$3=$E279,IF($AA279=1,$F279&amp;$AB279,$G279),IF(OR(BZ$3=$D279,BZ$3=$AC279,BZ$3=$AE279),"",IF(BZ$3=$AD279,$F279&amp;"R",BZ278))))</f>
        <v/>
      </c>
      <c r="CA279" s="11" t="str">
        <f aca="false">IF($P279=0,CA278,IF(CA$3=$E279,IF($AA279=1,$F279&amp;$AB279,$G279),IF(OR(CA$3=$D279,CA$3=$AC279,CA$3=$AE279),"",IF(CA$3=$AD279,$F279&amp;"R",CA278))))</f>
        <v/>
      </c>
      <c r="CB279" s="11" t="str">
        <f aca="false">IF($P279=0,CB278,IF(CB$3=$E279,IF($AA279=1,$F279&amp;$AB279,$G279),IF(OR(CB$3=$D279,CB$3=$AC279,CB$3=$AE279),"",IF(CB$3=$AD279,$F279&amp;"R",CB278))))</f>
        <v/>
      </c>
      <c r="CC279" s="11" t="str">
        <f aca="false">IF($P279=0,CC278,IF(CC$3=$E279,IF($AA279=1,$F279&amp;$AB279,$G279),IF(OR(CC$3=$D279,CC$3=$AC279,CC$3=$AE279),"",IF(CC$3=$AD279,$F279&amp;"R",CC278))))</f>
        <v/>
      </c>
      <c r="CD279" s="11" t="str">
        <f aca="false">IF($P279=0,CD278,IF(CD$3=$E279,IF($AA279=1,$F279&amp;$AB279,$G279),IF(OR(CD$3=$D279,CD$3=$AC279,CD$3=$AE279),"",IF(CD$3=$AD279,$F279&amp;"R",CD278))))</f>
        <v>bP</v>
      </c>
      <c r="CE279" s="11" t="str">
        <f aca="false">IF($P279=0,CE278,IF(CE$3=$E279,IF($AA279=1,$F279&amp;$AB279,$G279),IF(OR(CE$3=$D279,CE$3=$AC279,CE$3=$AE279),"",IF(CE$3=$AD279,$F279&amp;"R",CE278))))</f>
        <v>bP</v>
      </c>
      <c r="CF279" s="11" t="str">
        <f aca="false">IF($P279=0,CF278,IF(CF$3=$E279,IF($AA279=1,$F279&amp;$AB279,$G279),IF(OR(CF$3=$D279,CF$3=$AC279,CF$3=$AE279),"",IF(CF$3=$AD279,$F279&amp;"R",CF278))))</f>
        <v>bP</v>
      </c>
      <c r="CG279" s="11" t="str">
        <f aca="false">IF($P279=0,CG278,IF(CG$3=$E279,IF($AA279=1,$F279&amp;$AB279,$G279),IF(OR(CG$3=$D279,CG$3=$AC279,CG$3=$AE279),"",IF(CG$3=$AD279,$F279&amp;"R",CG278))))</f>
        <v>bP</v>
      </c>
      <c r="CH279" s="11" t="str">
        <f aca="false">IF($P279=0,CH278,IF(CH$3=$E279,IF($AA279=1,$F279&amp;$AB279,$G279),IF(OR(CH$3=$D279,CH$3=$AC279,CH$3=$AE279),"",IF(CH$3=$AD279,$F279&amp;"R",CH278))))</f>
        <v>bP</v>
      </c>
      <c r="CI279" s="11" t="str">
        <f aca="false">IF($P279=0,CI278,IF(CI$3=$E279,IF($AA279=1,$F279&amp;$AB279,$G279),IF(OR(CI$3=$D279,CI$3=$AC279,CI$3=$AE279),"",IF(CI$3=$AD279,$F279&amp;"R",CI278))))</f>
        <v>bP</v>
      </c>
      <c r="CJ279" s="11" t="str">
        <f aca="false">IF($P279=0,CJ278,IF(CJ$3=$E279,IF($AA279=1,$F279&amp;$AB279,$G279),IF(OR(CJ$3=$D279,CJ$3=$AC279,CJ$3=$AE279),"",IF(CJ$3=$AD279,$F279&amp;"R",CJ278))))</f>
        <v>bP</v>
      </c>
      <c r="CK279" s="11" t="str">
        <f aca="false">IF($P279=0,CK278,IF(CK$3=$E279,IF($AA279=1,$F279&amp;$AB279,$G279),IF(OR(CK$3=$D279,CK$3=$AC279,CK$3=$AE279),"",IF(CK$3=$AD279,$F279&amp;"R",CK278))))</f>
        <v>bP</v>
      </c>
      <c r="CL279" s="11" t="str">
        <f aca="false">IF($P279=0,CL278,IF(CL$3=$E279,IF($AA279=1,$F279&amp;$AB279,$G279),IF(OR(CL$3=$D279,CL$3=$AC279,CL$3=$AE279),"",IF(CL$3=$AD279,$F279&amp;"R",CL278))))</f>
        <v>bR</v>
      </c>
      <c r="CM279" s="11" t="str">
        <f aca="false">IF($P279=0,CM278,IF(CM$3=$E279,IF($AA279=1,$F279&amp;$AB279,$G279),IF(OR(CM$3=$D279,CM$3=$AC279,CM$3=$AE279),"",IF(CM$3=$AD279,$F279&amp;"R",CM278))))</f>
        <v>bN</v>
      </c>
      <c r="CN279" s="11" t="str">
        <f aca="false">IF($P279=0,CN278,IF(CN$3=$E279,IF($AA279=1,$F279&amp;$AB279,$G279),IF(OR(CN$3=$D279,CN$3=$AC279,CN$3=$AE279),"",IF(CN$3=$AD279,$F279&amp;"R",CN278))))</f>
        <v>bB</v>
      </c>
      <c r="CO279" s="11" t="str">
        <f aca="false">IF($P279=0,CO278,IF(CO$3=$E279,IF($AA279=1,$F279&amp;$AB279,$G279),IF(OR(CO$3=$D279,CO$3=$AC279,CO$3=$AE279),"",IF(CO$3=$AD279,$F279&amp;"R",CO278))))</f>
        <v>bQ</v>
      </c>
      <c r="CP279" s="11" t="str">
        <f aca="false">IF($P279=0,CP278,IF(CP$3=$E279,IF($AA279=1,$F279&amp;$AB279,$G279),IF(OR(CP$3=$D279,CP$3=$AC279,CP$3=$AE279),"",IF(CP$3=$AD279,$F279&amp;"R",CP278))))</f>
        <v>bK</v>
      </c>
      <c r="CQ279" s="11" t="str">
        <f aca="false">IF($P279=0,CQ278,IF(CQ$3=$E279,IF($AA279=1,$F279&amp;$AB279,$G279),IF(OR(CQ$3=$D279,CQ$3=$AC279,CQ$3=$AE279),"",IF(CQ$3=$AD279,$F279&amp;"R",CQ278))))</f>
        <v>bB</v>
      </c>
      <c r="CR279" s="11" t="str">
        <f aca="false">IF($P279=0,CR278,IF(CR$3=$E279,IF($AA279=1,$F279&amp;$AB279,$G279),IF(OR(CR$3=$D279,CR$3=$AC279,CR$3=$AE279),"",IF(CR$3=$AD279,$F279&amp;"R",CR278))))</f>
        <v>bN</v>
      </c>
      <c r="CS279" s="11" t="str">
        <f aca="false">IF($P279=0,CS278,IF(CS$3=$E279,IF($AA279=1,$F279&amp;$AB279,$G279),IF(OR(CS$3=$D279,CS$3=$AC279,CS$3=$AE279),"",IF(CS$3=$AD279,$F279&amp;"R",CS278))))</f>
        <v>bR</v>
      </c>
      <c r="CT279" s="11"/>
      <c r="CU279" s="11"/>
      <c r="CV279" s="11"/>
    </row>
    <row r="280" customFormat="false" ht="15" hidden="false" customHeight="false" outlineLevel="0" collapsed="false">
      <c r="A280" s="11" t="n">
        <v>275</v>
      </c>
      <c r="B280" s="11" t="str">
        <f aca="false">IF(Chess!$L$284="","",Chess!$L$284&amp;"")</f>
        <v/>
      </c>
      <c r="C280" s="11" t="str">
        <f aca="false">LOWER(SUBSTITUTE(SUBSTITUTE(SUBSTITUTE(SUBSTITUTE(TRIM($B280),"-",""),"=","")," ",""),"x",""))</f>
        <v/>
      </c>
      <c r="D280" s="11" t="n">
        <f aca="false">IF(LEN($C280)&lt;4,0,IFERROR(IF(AND(CODE(MID($C280,1,1))&gt;=97,CODE(MID($C280,1,1))&lt;=104,VALUE(MID($C280,2,1))&gt;=1,VALUE(MID($C280,2,1))&lt;=8),(VALUE(MID($C280,2,1))-1)*8+CODE(MID($C280,1,1))-96,0),0))</f>
        <v>0</v>
      </c>
      <c r="E280" s="11" t="n">
        <f aca="false">IF(LEN($C280)&lt;4,0,IFERROR(IF(AND(CODE(MID($C280,3,1))&gt;=97,CODE(MID($C280,3,1))&lt;=104,VALUE(MID($C280,4,1))&gt;=1,VALUE(MID($C280,4,1))&lt;=8),(VALUE(MID($C280,4,1))-1)*8+CODE(MID($C280,3,1))-96,0),0))</f>
        <v>0</v>
      </c>
      <c r="F280" s="11" t="str">
        <f aca="false">IF(MOD(SUM($P$5:$P279),2)=0,"w","b")</f>
        <v>w</v>
      </c>
      <c r="G280" s="11" t="str">
        <f aca="false">IF($D280=0,"",INDEX($AH279:$CS279,1,$D280)&amp;"")</f>
        <v/>
      </c>
      <c r="H280" s="11" t="str">
        <f aca="false">IF($E280=0,"",INDEX($AH279:$CS279,1,$E280)&amp;"")</f>
        <v/>
      </c>
      <c r="I280" s="11" t="n">
        <f aca="false">IF(OR($D280=0,$E280=0),0,MOD($E280-1,8)-MOD($D280-1,8))</f>
        <v>0</v>
      </c>
      <c r="J280" s="11" t="n">
        <f aca="false">IF(OR($D280=0,$E280=0),0,INT(($E280-1)/8)-INT(($D280-1)/8))</f>
        <v>0</v>
      </c>
      <c r="K280" s="11" t="str">
        <f aca="false">IF($G280="","",RIGHT($G280,1))</f>
        <v/>
      </c>
      <c r="L280" s="11" t="n">
        <f aca="false">IF(OR($D280=0,$E280=0),0,SUMPRODUCT(($AH$3:$CS$3&gt;MIN($D280,$E280))*($AH$3:$CS$3&lt;MAX($D280,$E280))*(MOD($AH$3:$CS$3-MIN($D280,$E280),MAX(1,ABS(SIGN($J280)*8+SIGN($I280))))=0)*($AH279:$CS279&lt;&gt;"")))</f>
        <v>0</v>
      </c>
      <c r="M280" s="11" t="n">
        <f aca="false">IF($K280&lt;&gt;"K",0,IFERROR(--AND($J280=0,ABS($I280)=2,$D280=IF($F280="w",5,61),IF($F280="w",$S279,$V279)=0,IF($I280=2,AND(IF($F280="w",$U279,$X279)=0,INDEX($AH279:$CS279,1,$D280+1)&amp;""="",INDEX($AH279:$CS279,1,$D280+2)&amp;""=""),AND(IF($F280="w",$T279,$W279)=0,INDEX($AH279:$CS279,1,$D280-1)&amp;""="",INDEX($AH279:$CS279,1,$D280-2)&amp;""="",INDEX($AH279:$CS279,1,$D280-3)&amp;""=""))),0))</f>
        <v>0</v>
      </c>
      <c r="N280" s="11" t="n">
        <f aca="false">IF($K280&lt;&gt;"P",0,IFERROR(--OR(AND($I280=0,$J280=IF($F280="w",1,-1),$H280=""),AND($I280=0,$J280=2*IF($F280="w",1,-1),$H280="",INT(($D280-1)/8)=IF($F280="w",1,6),INDEX($AH279:$CS279,1,MAX(1,MIN(64,$D280+8*IF($F280="w",1,-1))))&amp;""=""),AND(ABS($I280)=1,$J280=IF($F280="w",1,-1),$H280&lt;&gt;""),AND(ABS($I280)=1,$J280=IF($F280="w",1,-1),$H280="",$R279&gt;0,$E280=$R279)),0))</f>
        <v>0</v>
      </c>
      <c r="O280" s="11" t="n">
        <f aca="false">IF(OR($D280=0,$E280=0,$G280=""),0,IF($K280="N",--OR(AND(ABS($I280)=1,ABS($J280)=2),AND(ABS($I280)=2,ABS($J280)=1)),IF($K280="B",--AND(ABS($I280)=ABS($J280),$I280&lt;&gt;0,$L280=0),IF($K280="R",--AND(OR($I280=0,$J280=0),OR($I280&lt;&gt;0,$J280&lt;&gt;0),$L280=0),IF($K280="Q",--AND(OR(AND(ABS($I280)=ABS($J280),$I280&lt;&gt;0),AND(OR($I280=0,$J280=0),OR($I280&lt;&gt;0,$J280&lt;&gt;0))),$L280=0),IF($K280="K",--OR(MAX(ABS($I280),ABS($J280))=1,$M280=1),$N280))))))</f>
        <v>0</v>
      </c>
      <c r="P280" s="11" t="n">
        <f aca="false">IF($Q280="OK",1,0)</f>
        <v>0</v>
      </c>
      <c r="Q280" s="11" t="str">
        <f aca="false">IF($B280="","",IF(OR(COUNTIF($AH279:$CS279,"wK")=0,COUNTIF($AH279:$CS279,"bK")=0),"Game is over",IF(OR($D280=0,$E280=0),"Use the format e2e4",IF($G280="","No piece on that square",IF(LEFT($G280,1)&lt;&gt;$F280,"Not your piece ("&amp;IF($F280="w","White","Black")&amp;" to move)",IF($D280=$E280,"Piece must move",IF(AND($H280&lt;&gt;"",LEFT($H280,1)=$F280),"Cannot capture your own piece",IF($O280=0,"Illegal move for that piece (or path blocked)","OK"))))))))</f>
        <v/>
      </c>
      <c r="R280" s="11" t="n">
        <f aca="false">IF($P280=1,IF(AND($K280="P",ABS($J280)=2),($D280+$E280)/2,0),$R279)</f>
        <v>0</v>
      </c>
      <c r="S280" s="12" t="b">
        <f aca="false">--OR($S279=1,AND($P280=1,OR($D280=5,$E280=5)))</f>
        <v>0</v>
      </c>
      <c r="T280" s="12" t="b">
        <f aca="false">--OR($T279=1,AND($P280=1,OR($D280=1,$E280=1)))</f>
        <v>0</v>
      </c>
      <c r="U280" s="12" t="b">
        <f aca="false">--OR($U279=1,AND($P280=1,OR($D280=8,$E280=8)))</f>
        <v>0</v>
      </c>
      <c r="V280" s="12" t="b">
        <f aca="false">--OR($V279=1,AND($P280=1,OR($D280=61,$E280=61)))</f>
        <v>0</v>
      </c>
      <c r="W280" s="12" t="b">
        <f aca="false">--OR($W279=1,AND($P280=1,OR($D280=57,$E280=57)))</f>
        <v>0</v>
      </c>
      <c r="X280" s="12" t="b">
        <f aca="false">--OR($X279=1,AND($P280=1,OR($D280=64,$E280=64)))</f>
        <v>0</v>
      </c>
      <c r="Y280" s="12" t="b">
        <f aca="false">--AND($P280=1,$K280="K",ABS($I280)=2)</f>
        <v>0</v>
      </c>
      <c r="Z280" s="12" t="b">
        <f aca="false">--AND($P280=1,$K280="P",ABS($I280)=1,$H280="")</f>
        <v>0</v>
      </c>
      <c r="AA280" s="12" t="b">
        <f aca="false">--AND($P280=1,$K280="P",INT(($E280-1)/8)=IF($F280="w",7,0))</f>
        <v>0</v>
      </c>
      <c r="AB280" s="11" t="str">
        <f aca="false">IF(LEN($C280)&gt;=5,IF(ISNUMBER(FIND(MID($C280,5,1),"qrbn")),UPPER(MID($C280,5,1)),"Q"),"Q")</f>
        <v>Q</v>
      </c>
      <c r="AC280" s="11" t="n">
        <f aca="false">IF($Y280=1,IF($I280=2,$D280+3,$D280-4),0)</f>
        <v>0</v>
      </c>
      <c r="AD280" s="11" t="n">
        <f aca="false">IF($Y280=1,IF($I280=2,$D280+1,$D280-1),0)</f>
        <v>0</v>
      </c>
      <c r="AE280" s="11" t="n">
        <f aca="false">IF($Z280=1,$E280-8*IF($F280="w",1,-1),0)</f>
        <v>0</v>
      </c>
      <c r="AF280" s="11" t="str">
        <f aca="false">IF($B280="","",IF($P280=1,LOWER(INDEX($CV$2:$CV$13,MATCH($G280,$CU$2:$CU$13,0)))&amp;" "&amp;MID("abcdefgh",MOD($D280-1,8)+1,1)&amp;(INT(($D280-1)/8)+1)&amp;"→"&amp;MID("abcdefgh",MOD($E280-1,8)+1,1)&amp;(INT(($E280-1)/8)+1)&amp;IF(OR($H280&lt;&gt;"",$Z280=1)," ×","")&amp;IF($Y280=1," castles","")&amp;IF($Z280=1," e.p.","")&amp;IF($AA280=1," =" &amp;LOWER(INDEX($CV$2:$CV$13,MATCH($F280&amp;$AB280,$CU$2:$CU$13,0))),""),"X "&amp;$Q280))</f>
        <v/>
      </c>
      <c r="AG280" s="11"/>
      <c r="AH280" s="11" t="str">
        <f aca="false">IF($P280=0,AH279,IF(AH$3=$E280,IF($AA280=1,$F280&amp;$AB280,$G280),IF(OR(AH$3=$D280,AH$3=$AC280,AH$3=$AE280),"",IF(AH$3=$AD280,$F280&amp;"R",AH279))))</f>
        <v>wR</v>
      </c>
      <c r="AI280" s="11" t="str">
        <f aca="false">IF($P280=0,AI279,IF(AI$3=$E280,IF($AA280=1,$F280&amp;$AB280,$G280),IF(OR(AI$3=$D280,AI$3=$AC280,AI$3=$AE280),"",IF(AI$3=$AD280,$F280&amp;"R",AI279))))</f>
        <v>wN</v>
      </c>
      <c r="AJ280" s="11" t="str">
        <f aca="false">IF($P280=0,AJ279,IF(AJ$3=$E280,IF($AA280=1,$F280&amp;$AB280,$G280),IF(OR(AJ$3=$D280,AJ$3=$AC280,AJ$3=$AE280),"",IF(AJ$3=$AD280,$F280&amp;"R",AJ279))))</f>
        <v>wB</v>
      </c>
      <c r="AK280" s="11" t="str">
        <f aca="false">IF($P280=0,AK279,IF(AK$3=$E280,IF($AA280=1,$F280&amp;$AB280,$G280),IF(OR(AK$3=$D280,AK$3=$AC280,AK$3=$AE280),"",IF(AK$3=$AD280,$F280&amp;"R",AK279))))</f>
        <v>wQ</v>
      </c>
      <c r="AL280" s="11" t="str">
        <f aca="false">IF($P280=0,AL279,IF(AL$3=$E280,IF($AA280=1,$F280&amp;$AB280,$G280),IF(OR(AL$3=$D280,AL$3=$AC280,AL$3=$AE280),"",IF(AL$3=$AD280,$F280&amp;"R",AL279))))</f>
        <v>wK</v>
      </c>
      <c r="AM280" s="11" t="str">
        <f aca="false">IF($P280=0,AM279,IF(AM$3=$E280,IF($AA280=1,$F280&amp;$AB280,$G280),IF(OR(AM$3=$D280,AM$3=$AC280,AM$3=$AE280),"",IF(AM$3=$AD280,$F280&amp;"R",AM279))))</f>
        <v>wB</v>
      </c>
      <c r="AN280" s="11" t="str">
        <f aca="false">IF($P280=0,AN279,IF(AN$3=$E280,IF($AA280=1,$F280&amp;$AB280,$G280),IF(OR(AN$3=$D280,AN$3=$AC280,AN$3=$AE280),"",IF(AN$3=$AD280,$F280&amp;"R",AN279))))</f>
        <v>wN</v>
      </c>
      <c r="AO280" s="11" t="str">
        <f aca="false">IF($P280=0,AO279,IF(AO$3=$E280,IF($AA280=1,$F280&amp;$AB280,$G280),IF(OR(AO$3=$D280,AO$3=$AC280,AO$3=$AE280),"",IF(AO$3=$AD280,$F280&amp;"R",AO279))))</f>
        <v>wR</v>
      </c>
      <c r="AP280" s="11" t="str">
        <f aca="false">IF($P280=0,AP279,IF(AP$3=$E280,IF($AA280=1,$F280&amp;$AB280,$G280),IF(OR(AP$3=$D280,AP$3=$AC280,AP$3=$AE280),"",IF(AP$3=$AD280,$F280&amp;"R",AP279))))</f>
        <v>wP</v>
      </c>
      <c r="AQ280" s="11" t="str">
        <f aca="false">IF($P280=0,AQ279,IF(AQ$3=$E280,IF($AA280=1,$F280&amp;$AB280,$G280),IF(OR(AQ$3=$D280,AQ$3=$AC280,AQ$3=$AE280),"",IF(AQ$3=$AD280,$F280&amp;"R",AQ279))))</f>
        <v>wP</v>
      </c>
      <c r="AR280" s="11" t="str">
        <f aca="false">IF($P280=0,AR279,IF(AR$3=$E280,IF($AA280=1,$F280&amp;$AB280,$G280),IF(OR(AR$3=$D280,AR$3=$AC280,AR$3=$AE280),"",IF(AR$3=$AD280,$F280&amp;"R",AR279))))</f>
        <v>wP</v>
      </c>
      <c r="AS280" s="11" t="str">
        <f aca="false">IF($P280=0,AS279,IF(AS$3=$E280,IF($AA280=1,$F280&amp;$AB280,$G280),IF(OR(AS$3=$D280,AS$3=$AC280,AS$3=$AE280),"",IF(AS$3=$AD280,$F280&amp;"R",AS279))))</f>
        <v>wP</v>
      </c>
      <c r="AT280" s="11" t="str">
        <f aca="false">IF($P280=0,AT279,IF(AT$3=$E280,IF($AA280=1,$F280&amp;$AB280,$G280),IF(OR(AT$3=$D280,AT$3=$AC280,AT$3=$AE280),"",IF(AT$3=$AD280,$F280&amp;"R",AT279))))</f>
        <v>wP</v>
      </c>
      <c r="AU280" s="11" t="str">
        <f aca="false">IF($P280=0,AU279,IF(AU$3=$E280,IF($AA280=1,$F280&amp;$AB280,$G280),IF(OR(AU$3=$D280,AU$3=$AC280,AU$3=$AE280),"",IF(AU$3=$AD280,$F280&amp;"R",AU279))))</f>
        <v>wP</v>
      </c>
      <c r="AV280" s="11" t="str">
        <f aca="false">IF($P280=0,AV279,IF(AV$3=$E280,IF($AA280=1,$F280&amp;$AB280,$G280),IF(OR(AV$3=$D280,AV$3=$AC280,AV$3=$AE280),"",IF(AV$3=$AD280,$F280&amp;"R",AV279))))</f>
        <v>wP</v>
      </c>
      <c r="AW280" s="11" t="str">
        <f aca="false">IF($P280=0,AW279,IF(AW$3=$E280,IF($AA280=1,$F280&amp;$AB280,$G280),IF(OR(AW$3=$D280,AW$3=$AC280,AW$3=$AE280),"",IF(AW$3=$AD280,$F280&amp;"R",AW279))))</f>
        <v>wP</v>
      </c>
      <c r="AX280" s="11" t="str">
        <f aca="false">IF($P280=0,AX279,IF(AX$3=$E280,IF($AA280=1,$F280&amp;$AB280,$G280),IF(OR(AX$3=$D280,AX$3=$AC280,AX$3=$AE280),"",IF(AX$3=$AD280,$F280&amp;"R",AX279))))</f>
        <v/>
      </c>
      <c r="AY280" s="11" t="str">
        <f aca="false">IF($P280=0,AY279,IF(AY$3=$E280,IF($AA280=1,$F280&amp;$AB280,$G280),IF(OR(AY$3=$D280,AY$3=$AC280,AY$3=$AE280),"",IF(AY$3=$AD280,$F280&amp;"R",AY279))))</f>
        <v/>
      </c>
      <c r="AZ280" s="11" t="str">
        <f aca="false">IF($P280=0,AZ279,IF(AZ$3=$E280,IF($AA280=1,$F280&amp;$AB280,$G280),IF(OR(AZ$3=$D280,AZ$3=$AC280,AZ$3=$AE280),"",IF(AZ$3=$AD280,$F280&amp;"R",AZ279))))</f>
        <v/>
      </c>
      <c r="BA280" s="11" t="str">
        <f aca="false">IF($P280=0,BA279,IF(BA$3=$E280,IF($AA280=1,$F280&amp;$AB280,$G280),IF(OR(BA$3=$D280,BA$3=$AC280,BA$3=$AE280),"",IF(BA$3=$AD280,$F280&amp;"R",BA279))))</f>
        <v/>
      </c>
      <c r="BB280" s="11" t="str">
        <f aca="false">IF($P280=0,BB279,IF(BB$3=$E280,IF($AA280=1,$F280&amp;$AB280,$G280),IF(OR(BB$3=$D280,BB$3=$AC280,BB$3=$AE280),"",IF(BB$3=$AD280,$F280&amp;"R",BB279))))</f>
        <v/>
      </c>
      <c r="BC280" s="11" t="str">
        <f aca="false">IF($P280=0,BC279,IF(BC$3=$E280,IF($AA280=1,$F280&amp;$AB280,$G280),IF(OR(BC$3=$D280,BC$3=$AC280,BC$3=$AE280),"",IF(BC$3=$AD280,$F280&amp;"R",BC279))))</f>
        <v/>
      </c>
      <c r="BD280" s="11" t="str">
        <f aca="false">IF($P280=0,BD279,IF(BD$3=$E280,IF($AA280=1,$F280&amp;$AB280,$G280),IF(OR(BD$3=$D280,BD$3=$AC280,BD$3=$AE280),"",IF(BD$3=$AD280,$F280&amp;"R",BD279))))</f>
        <v/>
      </c>
      <c r="BE280" s="11" t="str">
        <f aca="false">IF($P280=0,BE279,IF(BE$3=$E280,IF($AA280=1,$F280&amp;$AB280,$G280),IF(OR(BE$3=$D280,BE$3=$AC280,BE$3=$AE280),"",IF(BE$3=$AD280,$F280&amp;"R",BE279))))</f>
        <v/>
      </c>
      <c r="BF280" s="11" t="str">
        <f aca="false">IF($P280=0,BF279,IF(BF$3=$E280,IF($AA280=1,$F280&amp;$AB280,$G280),IF(OR(BF$3=$D280,BF$3=$AC280,BF$3=$AE280),"",IF(BF$3=$AD280,$F280&amp;"R",BF279))))</f>
        <v/>
      </c>
      <c r="BG280" s="11" t="str">
        <f aca="false">IF($P280=0,BG279,IF(BG$3=$E280,IF($AA280=1,$F280&amp;$AB280,$G280),IF(OR(BG$3=$D280,BG$3=$AC280,BG$3=$AE280),"",IF(BG$3=$AD280,$F280&amp;"R",BG279))))</f>
        <v/>
      </c>
      <c r="BH280" s="11" t="str">
        <f aca="false">IF($P280=0,BH279,IF(BH$3=$E280,IF($AA280=1,$F280&amp;$AB280,$G280),IF(OR(BH$3=$D280,BH$3=$AC280,BH$3=$AE280),"",IF(BH$3=$AD280,$F280&amp;"R",BH279))))</f>
        <v/>
      </c>
      <c r="BI280" s="11" t="str">
        <f aca="false">IF($P280=0,BI279,IF(BI$3=$E280,IF($AA280=1,$F280&amp;$AB280,$G280),IF(OR(BI$3=$D280,BI$3=$AC280,BI$3=$AE280),"",IF(BI$3=$AD280,$F280&amp;"R",BI279))))</f>
        <v/>
      </c>
      <c r="BJ280" s="11" t="str">
        <f aca="false">IF($P280=0,BJ279,IF(BJ$3=$E280,IF($AA280=1,$F280&amp;$AB280,$G280),IF(OR(BJ$3=$D280,BJ$3=$AC280,BJ$3=$AE280),"",IF(BJ$3=$AD280,$F280&amp;"R",BJ279))))</f>
        <v/>
      </c>
      <c r="BK280" s="11" t="str">
        <f aca="false">IF($P280=0,BK279,IF(BK$3=$E280,IF($AA280=1,$F280&amp;$AB280,$G280),IF(OR(BK$3=$D280,BK$3=$AC280,BK$3=$AE280),"",IF(BK$3=$AD280,$F280&amp;"R",BK279))))</f>
        <v/>
      </c>
      <c r="BL280" s="11" t="str">
        <f aca="false">IF($P280=0,BL279,IF(BL$3=$E280,IF($AA280=1,$F280&amp;$AB280,$G280),IF(OR(BL$3=$D280,BL$3=$AC280,BL$3=$AE280),"",IF(BL$3=$AD280,$F280&amp;"R",BL279))))</f>
        <v/>
      </c>
      <c r="BM280" s="11" t="str">
        <f aca="false">IF($P280=0,BM279,IF(BM$3=$E280,IF($AA280=1,$F280&amp;$AB280,$G280),IF(OR(BM$3=$D280,BM$3=$AC280,BM$3=$AE280),"",IF(BM$3=$AD280,$F280&amp;"R",BM279))))</f>
        <v/>
      </c>
      <c r="BN280" s="11" t="str">
        <f aca="false">IF($P280=0,BN279,IF(BN$3=$E280,IF($AA280=1,$F280&amp;$AB280,$G280),IF(OR(BN$3=$D280,BN$3=$AC280,BN$3=$AE280),"",IF(BN$3=$AD280,$F280&amp;"R",BN279))))</f>
        <v/>
      </c>
      <c r="BO280" s="11" t="str">
        <f aca="false">IF($P280=0,BO279,IF(BO$3=$E280,IF($AA280=1,$F280&amp;$AB280,$G280),IF(OR(BO$3=$D280,BO$3=$AC280,BO$3=$AE280),"",IF(BO$3=$AD280,$F280&amp;"R",BO279))))</f>
        <v/>
      </c>
      <c r="BP280" s="11" t="str">
        <f aca="false">IF($P280=0,BP279,IF(BP$3=$E280,IF($AA280=1,$F280&amp;$AB280,$G280),IF(OR(BP$3=$D280,BP$3=$AC280,BP$3=$AE280),"",IF(BP$3=$AD280,$F280&amp;"R",BP279))))</f>
        <v/>
      </c>
      <c r="BQ280" s="11" t="str">
        <f aca="false">IF($P280=0,BQ279,IF(BQ$3=$E280,IF($AA280=1,$F280&amp;$AB280,$G280),IF(OR(BQ$3=$D280,BQ$3=$AC280,BQ$3=$AE280),"",IF(BQ$3=$AD280,$F280&amp;"R",BQ279))))</f>
        <v/>
      </c>
      <c r="BR280" s="11" t="str">
        <f aca="false">IF($P280=0,BR279,IF(BR$3=$E280,IF($AA280=1,$F280&amp;$AB280,$G280),IF(OR(BR$3=$D280,BR$3=$AC280,BR$3=$AE280),"",IF(BR$3=$AD280,$F280&amp;"R",BR279))))</f>
        <v/>
      </c>
      <c r="BS280" s="11" t="str">
        <f aca="false">IF($P280=0,BS279,IF(BS$3=$E280,IF($AA280=1,$F280&amp;$AB280,$G280),IF(OR(BS$3=$D280,BS$3=$AC280,BS$3=$AE280),"",IF(BS$3=$AD280,$F280&amp;"R",BS279))))</f>
        <v/>
      </c>
      <c r="BT280" s="11" t="str">
        <f aca="false">IF($P280=0,BT279,IF(BT$3=$E280,IF($AA280=1,$F280&amp;$AB280,$G280),IF(OR(BT$3=$D280,BT$3=$AC280,BT$3=$AE280),"",IF(BT$3=$AD280,$F280&amp;"R",BT279))))</f>
        <v/>
      </c>
      <c r="BU280" s="11" t="str">
        <f aca="false">IF($P280=0,BU279,IF(BU$3=$E280,IF($AA280=1,$F280&amp;$AB280,$G280),IF(OR(BU$3=$D280,BU$3=$AC280,BU$3=$AE280),"",IF(BU$3=$AD280,$F280&amp;"R",BU279))))</f>
        <v/>
      </c>
      <c r="BV280" s="11" t="str">
        <f aca="false">IF($P280=0,BV279,IF(BV$3=$E280,IF($AA280=1,$F280&amp;$AB280,$G280),IF(OR(BV$3=$D280,BV$3=$AC280,BV$3=$AE280),"",IF(BV$3=$AD280,$F280&amp;"R",BV279))))</f>
        <v/>
      </c>
      <c r="BW280" s="11" t="str">
        <f aca="false">IF($P280=0,BW279,IF(BW$3=$E280,IF($AA280=1,$F280&amp;$AB280,$G280),IF(OR(BW$3=$D280,BW$3=$AC280,BW$3=$AE280),"",IF(BW$3=$AD280,$F280&amp;"R",BW279))))</f>
        <v/>
      </c>
      <c r="BX280" s="11" t="str">
        <f aca="false">IF($P280=0,BX279,IF(BX$3=$E280,IF($AA280=1,$F280&amp;$AB280,$G280),IF(OR(BX$3=$D280,BX$3=$AC280,BX$3=$AE280),"",IF(BX$3=$AD280,$F280&amp;"R",BX279))))</f>
        <v/>
      </c>
      <c r="BY280" s="11" t="str">
        <f aca="false">IF($P280=0,BY279,IF(BY$3=$E280,IF($AA280=1,$F280&amp;$AB280,$G280),IF(OR(BY$3=$D280,BY$3=$AC280,BY$3=$AE280),"",IF(BY$3=$AD280,$F280&amp;"R",BY279))))</f>
        <v/>
      </c>
      <c r="BZ280" s="11" t="str">
        <f aca="false">IF($P280=0,BZ279,IF(BZ$3=$E280,IF($AA280=1,$F280&amp;$AB280,$G280),IF(OR(BZ$3=$D280,BZ$3=$AC280,BZ$3=$AE280),"",IF(BZ$3=$AD280,$F280&amp;"R",BZ279))))</f>
        <v/>
      </c>
      <c r="CA280" s="11" t="str">
        <f aca="false">IF($P280=0,CA279,IF(CA$3=$E280,IF($AA280=1,$F280&amp;$AB280,$G280),IF(OR(CA$3=$D280,CA$3=$AC280,CA$3=$AE280),"",IF(CA$3=$AD280,$F280&amp;"R",CA279))))</f>
        <v/>
      </c>
      <c r="CB280" s="11" t="str">
        <f aca="false">IF($P280=0,CB279,IF(CB$3=$E280,IF($AA280=1,$F280&amp;$AB280,$G280),IF(OR(CB$3=$D280,CB$3=$AC280,CB$3=$AE280),"",IF(CB$3=$AD280,$F280&amp;"R",CB279))))</f>
        <v/>
      </c>
      <c r="CC280" s="11" t="str">
        <f aca="false">IF($P280=0,CC279,IF(CC$3=$E280,IF($AA280=1,$F280&amp;$AB280,$G280),IF(OR(CC$3=$D280,CC$3=$AC280,CC$3=$AE280),"",IF(CC$3=$AD280,$F280&amp;"R",CC279))))</f>
        <v/>
      </c>
      <c r="CD280" s="11" t="str">
        <f aca="false">IF($P280=0,CD279,IF(CD$3=$E280,IF($AA280=1,$F280&amp;$AB280,$G280),IF(OR(CD$3=$D280,CD$3=$AC280,CD$3=$AE280),"",IF(CD$3=$AD280,$F280&amp;"R",CD279))))</f>
        <v>bP</v>
      </c>
      <c r="CE280" s="11" t="str">
        <f aca="false">IF($P280=0,CE279,IF(CE$3=$E280,IF($AA280=1,$F280&amp;$AB280,$G280),IF(OR(CE$3=$D280,CE$3=$AC280,CE$3=$AE280),"",IF(CE$3=$AD280,$F280&amp;"R",CE279))))</f>
        <v>bP</v>
      </c>
      <c r="CF280" s="11" t="str">
        <f aca="false">IF($P280=0,CF279,IF(CF$3=$E280,IF($AA280=1,$F280&amp;$AB280,$G280),IF(OR(CF$3=$D280,CF$3=$AC280,CF$3=$AE280),"",IF(CF$3=$AD280,$F280&amp;"R",CF279))))</f>
        <v>bP</v>
      </c>
      <c r="CG280" s="11" t="str">
        <f aca="false">IF($P280=0,CG279,IF(CG$3=$E280,IF($AA280=1,$F280&amp;$AB280,$G280),IF(OR(CG$3=$D280,CG$3=$AC280,CG$3=$AE280),"",IF(CG$3=$AD280,$F280&amp;"R",CG279))))</f>
        <v>bP</v>
      </c>
      <c r="CH280" s="11" t="str">
        <f aca="false">IF($P280=0,CH279,IF(CH$3=$E280,IF($AA280=1,$F280&amp;$AB280,$G280),IF(OR(CH$3=$D280,CH$3=$AC280,CH$3=$AE280),"",IF(CH$3=$AD280,$F280&amp;"R",CH279))))</f>
        <v>bP</v>
      </c>
      <c r="CI280" s="11" t="str">
        <f aca="false">IF($P280=0,CI279,IF(CI$3=$E280,IF($AA280=1,$F280&amp;$AB280,$G280),IF(OR(CI$3=$D280,CI$3=$AC280,CI$3=$AE280),"",IF(CI$3=$AD280,$F280&amp;"R",CI279))))</f>
        <v>bP</v>
      </c>
      <c r="CJ280" s="11" t="str">
        <f aca="false">IF($P280=0,CJ279,IF(CJ$3=$E280,IF($AA280=1,$F280&amp;$AB280,$G280),IF(OR(CJ$3=$D280,CJ$3=$AC280,CJ$3=$AE280),"",IF(CJ$3=$AD280,$F280&amp;"R",CJ279))))</f>
        <v>bP</v>
      </c>
      <c r="CK280" s="11" t="str">
        <f aca="false">IF($P280=0,CK279,IF(CK$3=$E280,IF($AA280=1,$F280&amp;$AB280,$G280),IF(OR(CK$3=$D280,CK$3=$AC280,CK$3=$AE280),"",IF(CK$3=$AD280,$F280&amp;"R",CK279))))</f>
        <v>bP</v>
      </c>
      <c r="CL280" s="11" t="str">
        <f aca="false">IF($P280=0,CL279,IF(CL$3=$E280,IF($AA280=1,$F280&amp;$AB280,$G280),IF(OR(CL$3=$D280,CL$3=$AC280,CL$3=$AE280),"",IF(CL$3=$AD280,$F280&amp;"R",CL279))))</f>
        <v>bR</v>
      </c>
      <c r="CM280" s="11" t="str">
        <f aca="false">IF($P280=0,CM279,IF(CM$3=$E280,IF($AA280=1,$F280&amp;$AB280,$G280),IF(OR(CM$3=$D280,CM$3=$AC280,CM$3=$AE280),"",IF(CM$3=$AD280,$F280&amp;"R",CM279))))</f>
        <v>bN</v>
      </c>
      <c r="CN280" s="11" t="str">
        <f aca="false">IF($P280=0,CN279,IF(CN$3=$E280,IF($AA280=1,$F280&amp;$AB280,$G280),IF(OR(CN$3=$D280,CN$3=$AC280,CN$3=$AE280),"",IF(CN$3=$AD280,$F280&amp;"R",CN279))))</f>
        <v>bB</v>
      </c>
      <c r="CO280" s="11" t="str">
        <f aca="false">IF($P280=0,CO279,IF(CO$3=$E280,IF($AA280=1,$F280&amp;$AB280,$G280),IF(OR(CO$3=$D280,CO$3=$AC280,CO$3=$AE280),"",IF(CO$3=$AD280,$F280&amp;"R",CO279))))</f>
        <v>bQ</v>
      </c>
      <c r="CP280" s="11" t="str">
        <f aca="false">IF($P280=0,CP279,IF(CP$3=$E280,IF($AA280=1,$F280&amp;$AB280,$G280),IF(OR(CP$3=$D280,CP$3=$AC280,CP$3=$AE280),"",IF(CP$3=$AD280,$F280&amp;"R",CP279))))</f>
        <v>bK</v>
      </c>
      <c r="CQ280" s="11" t="str">
        <f aca="false">IF($P280=0,CQ279,IF(CQ$3=$E280,IF($AA280=1,$F280&amp;$AB280,$G280),IF(OR(CQ$3=$D280,CQ$3=$AC280,CQ$3=$AE280),"",IF(CQ$3=$AD280,$F280&amp;"R",CQ279))))</f>
        <v>bB</v>
      </c>
      <c r="CR280" s="11" t="str">
        <f aca="false">IF($P280=0,CR279,IF(CR$3=$E280,IF($AA280=1,$F280&amp;$AB280,$G280),IF(OR(CR$3=$D280,CR$3=$AC280,CR$3=$AE280),"",IF(CR$3=$AD280,$F280&amp;"R",CR279))))</f>
        <v>bN</v>
      </c>
      <c r="CS280" s="11" t="str">
        <f aca="false">IF($P280=0,CS279,IF(CS$3=$E280,IF($AA280=1,$F280&amp;$AB280,$G280),IF(OR(CS$3=$D280,CS$3=$AC280,CS$3=$AE280),"",IF(CS$3=$AD280,$F280&amp;"R",CS279))))</f>
        <v>bR</v>
      </c>
      <c r="CT280" s="11"/>
      <c r="CU280" s="11"/>
      <c r="CV280" s="11"/>
    </row>
    <row r="281" customFormat="false" ht="15" hidden="false" customHeight="false" outlineLevel="0" collapsed="false">
      <c r="A281" s="11" t="n">
        <v>276</v>
      </c>
      <c r="B281" s="11" t="str">
        <f aca="false">IF(Chess!$L$285="","",Chess!$L$285&amp;"")</f>
        <v/>
      </c>
      <c r="C281" s="11" t="str">
        <f aca="false">LOWER(SUBSTITUTE(SUBSTITUTE(SUBSTITUTE(SUBSTITUTE(TRIM($B281),"-",""),"=","")," ",""),"x",""))</f>
        <v/>
      </c>
      <c r="D281" s="11" t="n">
        <f aca="false">IF(LEN($C281)&lt;4,0,IFERROR(IF(AND(CODE(MID($C281,1,1))&gt;=97,CODE(MID($C281,1,1))&lt;=104,VALUE(MID($C281,2,1))&gt;=1,VALUE(MID($C281,2,1))&lt;=8),(VALUE(MID($C281,2,1))-1)*8+CODE(MID($C281,1,1))-96,0),0))</f>
        <v>0</v>
      </c>
      <c r="E281" s="11" t="n">
        <f aca="false">IF(LEN($C281)&lt;4,0,IFERROR(IF(AND(CODE(MID($C281,3,1))&gt;=97,CODE(MID($C281,3,1))&lt;=104,VALUE(MID($C281,4,1))&gt;=1,VALUE(MID($C281,4,1))&lt;=8),(VALUE(MID($C281,4,1))-1)*8+CODE(MID($C281,3,1))-96,0),0))</f>
        <v>0</v>
      </c>
      <c r="F281" s="11" t="str">
        <f aca="false">IF(MOD(SUM($P$5:$P280),2)=0,"w","b")</f>
        <v>w</v>
      </c>
      <c r="G281" s="11" t="str">
        <f aca="false">IF($D281=0,"",INDEX($AH280:$CS280,1,$D281)&amp;"")</f>
        <v/>
      </c>
      <c r="H281" s="11" t="str">
        <f aca="false">IF($E281=0,"",INDEX($AH280:$CS280,1,$E281)&amp;"")</f>
        <v/>
      </c>
      <c r="I281" s="11" t="n">
        <f aca="false">IF(OR($D281=0,$E281=0),0,MOD($E281-1,8)-MOD($D281-1,8))</f>
        <v>0</v>
      </c>
      <c r="J281" s="11" t="n">
        <f aca="false">IF(OR($D281=0,$E281=0),0,INT(($E281-1)/8)-INT(($D281-1)/8))</f>
        <v>0</v>
      </c>
      <c r="K281" s="11" t="str">
        <f aca="false">IF($G281="","",RIGHT($G281,1))</f>
        <v/>
      </c>
      <c r="L281" s="11" t="n">
        <f aca="false">IF(OR($D281=0,$E281=0),0,SUMPRODUCT(($AH$3:$CS$3&gt;MIN($D281,$E281))*($AH$3:$CS$3&lt;MAX($D281,$E281))*(MOD($AH$3:$CS$3-MIN($D281,$E281),MAX(1,ABS(SIGN($J281)*8+SIGN($I281))))=0)*($AH280:$CS280&lt;&gt;"")))</f>
        <v>0</v>
      </c>
      <c r="M281" s="11" t="n">
        <f aca="false">IF($K281&lt;&gt;"K",0,IFERROR(--AND($J281=0,ABS($I281)=2,$D281=IF($F281="w",5,61),IF($F281="w",$S280,$V280)=0,IF($I281=2,AND(IF($F281="w",$U280,$X280)=0,INDEX($AH280:$CS280,1,$D281+1)&amp;""="",INDEX($AH280:$CS280,1,$D281+2)&amp;""=""),AND(IF($F281="w",$T280,$W280)=0,INDEX($AH280:$CS280,1,$D281-1)&amp;""="",INDEX($AH280:$CS280,1,$D281-2)&amp;""="",INDEX($AH280:$CS280,1,$D281-3)&amp;""=""))),0))</f>
        <v>0</v>
      </c>
      <c r="N281" s="11" t="n">
        <f aca="false">IF($K281&lt;&gt;"P",0,IFERROR(--OR(AND($I281=0,$J281=IF($F281="w",1,-1),$H281=""),AND($I281=0,$J281=2*IF($F281="w",1,-1),$H281="",INT(($D281-1)/8)=IF($F281="w",1,6),INDEX($AH280:$CS280,1,MAX(1,MIN(64,$D281+8*IF($F281="w",1,-1))))&amp;""=""),AND(ABS($I281)=1,$J281=IF($F281="w",1,-1),$H281&lt;&gt;""),AND(ABS($I281)=1,$J281=IF($F281="w",1,-1),$H281="",$R280&gt;0,$E281=$R280)),0))</f>
        <v>0</v>
      </c>
      <c r="O281" s="11" t="n">
        <f aca="false">IF(OR($D281=0,$E281=0,$G281=""),0,IF($K281="N",--OR(AND(ABS($I281)=1,ABS($J281)=2),AND(ABS($I281)=2,ABS($J281)=1)),IF($K281="B",--AND(ABS($I281)=ABS($J281),$I281&lt;&gt;0,$L281=0),IF($K281="R",--AND(OR($I281=0,$J281=0),OR($I281&lt;&gt;0,$J281&lt;&gt;0),$L281=0),IF($K281="Q",--AND(OR(AND(ABS($I281)=ABS($J281),$I281&lt;&gt;0),AND(OR($I281=0,$J281=0),OR($I281&lt;&gt;0,$J281&lt;&gt;0))),$L281=0),IF($K281="K",--OR(MAX(ABS($I281),ABS($J281))=1,$M281=1),$N281))))))</f>
        <v>0</v>
      </c>
      <c r="P281" s="11" t="n">
        <f aca="false">IF($Q281="OK",1,0)</f>
        <v>0</v>
      </c>
      <c r="Q281" s="11" t="str">
        <f aca="false">IF($B281="","",IF(OR(COUNTIF($AH280:$CS280,"wK")=0,COUNTIF($AH280:$CS280,"bK")=0),"Game is over",IF(OR($D281=0,$E281=0),"Use the format e2e4",IF($G281="","No piece on that square",IF(LEFT($G281,1)&lt;&gt;$F281,"Not your piece ("&amp;IF($F281="w","White","Black")&amp;" to move)",IF($D281=$E281,"Piece must move",IF(AND($H281&lt;&gt;"",LEFT($H281,1)=$F281),"Cannot capture your own piece",IF($O281=0,"Illegal move for that piece (or path blocked)","OK"))))))))</f>
        <v/>
      </c>
      <c r="R281" s="11" t="n">
        <f aca="false">IF($P281=1,IF(AND($K281="P",ABS($J281)=2),($D281+$E281)/2,0),$R280)</f>
        <v>0</v>
      </c>
      <c r="S281" s="12" t="b">
        <f aca="false">--OR($S280=1,AND($P281=1,OR($D281=5,$E281=5)))</f>
        <v>0</v>
      </c>
      <c r="T281" s="12" t="b">
        <f aca="false">--OR($T280=1,AND($P281=1,OR($D281=1,$E281=1)))</f>
        <v>0</v>
      </c>
      <c r="U281" s="12" t="b">
        <f aca="false">--OR($U280=1,AND($P281=1,OR($D281=8,$E281=8)))</f>
        <v>0</v>
      </c>
      <c r="V281" s="12" t="b">
        <f aca="false">--OR($V280=1,AND($P281=1,OR($D281=61,$E281=61)))</f>
        <v>0</v>
      </c>
      <c r="W281" s="12" t="b">
        <f aca="false">--OR($W280=1,AND($P281=1,OR($D281=57,$E281=57)))</f>
        <v>0</v>
      </c>
      <c r="X281" s="12" t="b">
        <f aca="false">--OR($X280=1,AND($P281=1,OR($D281=64,$E281=64)))</f>
        <v>0</v>
      </c>
      <c r="Y281" s="12" t="b">
        <f aca="false">--AND($P281=1,$K281="K",ABS($I281)=2)</f>
        <v>0</v>
      </c>
      <c r="Z281" s="12" t="b">
        <f aca="false">--AND($P281=1,$K281="P",ABS($I281)=1,$H281="")</f>
        <v>0</v>
      </c>
      <c r="AA281" s="12" t="b">
        <f aca="false">--AND($P281=1,$K281="P",INT(($E281-1)/8)=IF($F281="w",7,0))</f>
        <v>0</v>
      </c>
      <c r="AB281" s="11" t="str">
        <f aca="false">IF(LEN($C281)&gt;=5,IF(ISNUMBER(FIND(MID($C281,5,1),"qrbn")),UPPER(MID($C281,5,1)),"Q"),"Q")</f>
        <v>Q</v>
      </c>
      <c r="AC281" s="11" t="n">
        <f aca="false">IF($Y281=1,IF($I281=2,$D281+3,$D281-4),0)</f>
        <v>0</v>
      </c>
      <c r="AD281" s="11" t="n">
        <f aca="false">IF($Y281=1,IF($I281=2,$D281+1,$D281-1),0)</f>
        <v>0</v>
      </c>
      <c r="AE281" s="11" t="n">
        <f aca="false">IF($Z281=1,$E281-8*IF($F281="w",1,-1),0)</f>
        <v>0</v>
      </c>
      <c r="AF281" s="11" t="str">
        <f aca="false">IF($B281="","",IF($P281=1,LOWER(INDEX($CV$2:$CV$13,MATCH($G281,$CU$2:$CU$13,0)))&amp;" "&amp;MID("abcdefgh",MOD($D281-1,8)+1,1)&amp;(INT(($D281-1)/8)+1)&amp;"→"&amp;MID("abcdefgh",MOD($E281-1,8)+1,1)&amp;(INT(($E281-1)/8)+1)&amp;IF(OR($H281&lt;&gt;"",$Z281=1)," ×","")&amp;IF($Y281=1," castles","")&amp;IF($Z281=1," e.p.","")&amp;IF($AA281=1," =" &amp;LOWER(INDEX($CV$2:$CV$13,MATCH($F281&amp;$AB281,$CU$2:$CU$13,0))),""),"X "&amp;$Q281))</f>
        <v/>
      </c>
      <c r="AG281" s="11"/>
      <c r="AH281" s="11" t="str">
        <f aca="false">IF($P281=0,AH280,IF(AH$3=$E281,IF($AA281=1,$F281&amp;$AB281,$G281),IF(OR(AH$3=$D281,AH$3=$AC281,AH$3=$AE281),"",IF(AH$3=$AD281,$F281&amp;"R",AH280))))</f>
        <v>wR</v>
      </c>
      <c r="AI281" s="11" t="str">
        <f aca="false">IF($P281=0,AI280,IF(AI$3=$E281,IF($AA281=1,$F281&amp;$AB281,$G281),IF(OR(AI$3=$D281,AI$3=$AC281,AI$3=$AE281),"",IF(AI$3=$AD281,$F281&amp;"R",AI280))))</f>
        <v>wN</v>
      </c>
      <c r="AJ281" s="11" t="str">
        <f aca="false">IF($P281=0,AJ280,IF(AJ$3=$E281,IF($AA281=1,$F281&amp;$AB281,$G281),IF(OR(AJ$3=$D281,AJ$3=$AC281,AJ$3=$AE281),"",IF(AJ$3=$AD281,$F281&amp;"R",AJ280))))</f>
        <v>wB</v>
      </c>
      <c r="AK281" s="11" t="str">
        <f aca="false">IF($P281=0,AK280,IF(AK$3=$E281,IF($AA281=1,$F281&amp;$AB281,$G281),IF(OR(AK$3=$D281,AK$3=$AC281,AK$3=$AE281),"",IF(AK$3=$AD281,$F281&amp;"R",AK280))))</f>
        <v>wQ</v>
      </c>
      <c r="AL281" s="11" t="str">
        <f aca="false">IF($P281=0,AL280,IF(AL$3=$E281,IF($AA281=1,$F281&amp;$AB281,$G281),IF(OR(AL$3=$D281,AL$3=$AC281,AL$3=$AE281),"",IF(AL$3=$AD281,$F281&amp;"R",AL280))))</f>
        <v>wK</v>
      </c>
      <c r="AM281" s="11" t="str">
        <f aca="false">IF($P281=0,AM280,IF(AM$3=$E281,IF($AA281=1,$F281&amp;$AB281,$G281),IF(OR(AM$3=$D281,AM$3=$AC281,AM$3=$AE281),"",IF(AM$3=$AD281,$F281&amp;"R",AM280))))</f>
        <v>wB</v>
      </c>
      <c r="AN281" s="11" t="str">
        <f aca="false">IF($P281=0,AN280,IF(AN$3=$E281,IF($AA281=1,$F281&amp;$AB281,$G281),IF(OR(AN$3=$D281,AN$3=$AC281,AN$3=$AE281),"",IF(AN$3=$AD281,$F281&amp;"R",AN280))))</f>
        <v>wN</v>
      </c>
      <c r="AO281" s="11" t="str">
        <f aca="false">IF($P281=0,AO280,IF(AO$3=$E281,IF($AA281=1,$F281&amp;$AB281,$G281),IF(OR(AO$3=$D281,AO$3=$AC281,AO$3=$AE281),"",IF(AO$3=$AD281,$F281&amp;"R",AO280))))</f>
        <v>wR</v>
      </c>
      <c r="AP281" s="11" t="str">
        <f aca="false">IF($P281=0,AP280,IF(AP$3=$E281,IF($AA281=1,$F281&amp;$AB281,$G281),IF(OR(AP$3=$D281,AP$3=$AC281,AP$3=$AE281),"",IF(AP$3=$AD281,$F281&amp;"R",AP280))))</f>
        <v>wP</v>
      </c>
      <c r="AQ281" s="11" t="str">
        <f aca="false">IF($P281=0,AQ280,IF(AQ$3=$E281,IF($AA281=1,$F281&amp;$AB281,$G281),IF(OR(AQ$3=$D281,AQ$3=$AC281,AQ$3=$AE281),"",IF(AQ$3=$AD281,$F281&amp;"R",AQ280))))</f>
        <v>wP</v>
      </c>
      <c r="AR281" s="11" t="str">
        <f aca="false">IF($P281=0,AR280,IF(AR$3=$E281,IF($AA281=1,$F281&amp;$AB281,$G281),IF(OR(AR$3=$D281,AR$3=$AC281,AR$3=$AE281),"",IF(AR$3=$AD281,$F281&amp;"R",AR280))))</f>
        <v>wP</v>
      </c>
      <c r="AS281" s="11" t="str">
        <f aca="false">IF($P281=0,AS280,IF(AS$3=$E281,IF($AA281=1,$F281&amp;$AB281,$G281),IF(OR(AS$3=$D281,AS$3=$AC281,AS$3=$AE281),"",IF(AS$3=$AD281,$F281&amp;"R",AS280))))</f>
        <v>wP</v>
      </c>
      <c r="AT281" s="11" t="str">
        <f aca="false">IF($P281=0,AT280,IF(AT$3=$E281,IF($AA281=1,$F281&amp;$AB281,$G281),IF(OR(AT$3=$D281,AT$3=$AC281,AT$3=$AE281),"",IF(AT$3=$AD281,$F281&amp;"R",AT280))))</f>
        <v>wP</v>
      </c>
      <c r="AU281" s="11" t="str">
        <f aca="false">IF($P281=0,AU280,IF(AU$3=$E281,IF($AA281=1,$F281&amp;$AB281,$G281),IF(OR(AU$3=$D281,AU$3=$AC281,AU$3=$AE281),"",IF(AU$3=$AD281,$F281&amp;"R",AU280))))</f>
        <v>wP</v>
      </c>
      <c r="AV281" s="11" t="str">
        <f aca="false">IF($P281=0,AV280,IF(AV$3=$E281,IF($AA281=1,$F281&amp;$AB281,$G281),IF(OR(AV$3=$D281,AV$3=$AC281,AV$3=$AE281),"",IF(AV$3=$AD281,$F281&amp;"R",AV280))))</f>
        <v>wP</v>
      </c>
      <c r="AW281" s="11" t="str">
        <f aca="false">IF($P281=0,AW280,IF(AW$3=$E281,IF($AA281=1,$F281&amp;$AB281,$G281),IF(OR(AW$3=$D281,AW$3=$AC281,AW$3=$AE281),"",IF(AW$3=$AD281,$F281&amp;"R",AW280))))</f>
        <v>wP</v>
      </c>
      <c r="AX281" s="11" t="str">
        <f aca="false">IF($P281=0,AX280,IF(AX$3=$E281,IF($AA281=1,$F281&amp;$AB281,$G281),IF(OR(AX$3=$D281,AX$3=$AC281,AX$3=$AE281),"",IF(AX$3=$AD281,$F281&amp;"R",AX280))))</f>
        <v/>
      </c>
      <c r="AY281" s="11" t="str">
        <f aca="false">IF($P281=0,AY280,IF(AY$3=$E281,IF($AA281=1,$F281&amp;$AB281,$G281),IF(OR(AY$3=$D281,AY$3=$AC281,AY$3=$AE281),"",IF(AY$3=$AD281,$F281&amp;"R",AY280))))</f>
        <v/>
      </c>
      <c r="AZ281" s="11" t="str">
        <f aca="false">IF($P281=0,AZ280,IF(AZ$3=$E281,IF($AA281=1,$F281&amp;$AB281,$G281),IF(OR(AZ$3=$D281,AZ$3=$AC281,AZ$3=$AE281),"",IF(AZ$3=$AD281,$F281&amp;"R",AZ280))))</f>
        <v/>
      </c>
      <c r="BA281" s="11" t="str">
        <f aca="false">IF($P281=0,BA280,IF(BA$3=$E281,IF($AA281=1,$F281&amp;$AB281,$G281),IF(OR(BA$3=$D281,BA$3=$AC281,BA$3=$AE281),"",IF(BA$3=$AD281,$F281&amp;"R",BA280))))</f>
        <v/>
      </c>
      <c r="BB281" s="11" t="str">
        <f aca="false">IF($P281=0,BB280,IF(BB$3=$E281,IF($AA281=1,$F281&amp;$AB281,$G281),IF(OR(BB$3=$D281,BB$3=$AC281,BB$3=$AE281),"",IF(BB$3=$AD281,$F281&amp;"R",BB280))))</f>
        <v/>
      </c>
      <c r="BC281" s="11" t="str">
        <f aca="false">IF($P281=0,BC280,IF(BC$3=$E281,IF($AA281=1,$F281&amp;$AB281,$G281),IF(OR(BC$3=$D281,BC$3=$AC281,BC$3=$AE281),"",IF(BC$3=$AD281,$F281&amp;"R",BC280))))</f>
        <v/>
      </c>
      <c r="BD281" s="11" t="str">
        <f aca="false">IF($P281=0,BD280,IF(BD$3=$E281,IF($AA281=1,$F281&amp;$AB281,$G281),IF(OR(BD$3=$D281,BD$3=$AC281,BD$3=$AE281),"",IF(BD$3=$AD281,$F281&amp;"R",BD280))))</f>
        <v/>
      </c>
      <c r="BE281" s="11" t="str">
        <f aca="false">IF($P281=0,BE280,IF(BE$3=$E281,IF($AA281=1,$F281&amp;$AB281,$G281),IF(OR(BE$3=$D281,BE$3=$AC281,BE$3=$AE281),"",IF(BE$3=$AD281,$F281&amp;"R",BE280))))</f>
        <v/>
      </c>
      <c r="BF281" s="11" t="str">
        <f aca="false">IF($P281=0,BF280,IF(BF$3=$E281,IF($AA281=1,$F281&amp;$AB281,$G281),IF(OR(BF$3=$D281,BF$3=$AC281,BF$3=$AE281),"",IF(BF$3=$AD281,$F281&amp;"R",BF280))))</f>
        <v/>
      </c>
      <c r="BG281" s="11" t="str">
        <f aca="false">IF($P281=0,BG280,IF(BG$3=$E281,IF($AA281=1,$F281&amp;$AB281,$G281),IF(OR(BG$3=$D281,BG$3=$AC281,BG$3=$AE281),"",IF(BG$3=$AD281,$F281&amp;"R",BG280))))</f>
        <v/>
      </c>
      <c r="BH281" s="11" t="str">
        <f aca="false">IF($P281=0,BH280,IF(BH$3=$E281,IF($AA281=1,$F281&amp;$AB281,$G281),IF(OR(BH$3=$D281,BH$3=$AC281,BH$3=$AE281),"",IF(BH$3=$AD281,$F281&amp;"R",BH280))))</f>
        <v/>
      </c>
      <c r="BI281" s="11" t="str">
        <f aca="false">IF($P281=0,BI280,IF(BI$3=$E281,IF($AA281=1,$F281&amp;$AB281,$G281),IF(OR(BI$3=$D281,BI$3=$AC281,BI$3=$AE281),"",IF(BI$3=$AD281,$F281&amp;"R",BI280))))</f>
        <v/>
      </c>
      <c r="BJ281" s="11" t="str">
        <f aca="false">IF($P281=0,BJ280,IF(BJ$3=$E281,IF($AA281=1,$F281&amp;$AB281,$G281),IF(OR(BJ$3=$D281,BJ$3=$AC281,BJ$3=$AE281),"",IF(BJ$3=$AD281,$F281&amp;"R",BJ280))))</f>
        <v/>
      </c>
      <c r="BK281" s="11" t="str">
        <f aca="false">IF($P281=0,BK280,IF(BK$3=$E281,IF($AA281=1,$F281&amp;$AB281,$G281),IF(OR(BK$3=$D281,BK$3=$AC281,BK$3=$AE281),"",IF(BK$3=$AD281,$F281&amp;"R",BK280))))</f>
        <v/>
      </c>
      <c r="BL281" s="11" t="str">
        <f aca="false">IF($P281=0,BL280,IF(BL$3=$E281,IF($AA281=1,$F281&amp;$AB281,$G281),IF(OR(BL$3=$D281,BL$3=$AC281,BL$3=$AE281),"",IF(BL$3=$AD281,$F281&amp;"R",BL280))))</f>
        <v/>
      </c>
      <c r="BM281" s="11" t="str">
        <f aca="false">IF($P281=0,BM280,IF(BM$3=$E281,IF($AA281=1,$F281&amp;$AB281,$G281),IF(OR(BM$3=$D281,BM$3=$AC281,BM$3=$AE281),"",IF(BM$3=$AD281,$F281&amp;"R",BM280))))</f>
        <v/>
      </c>
      <c r="BN281" s="11" t="str">
        <f aca="false">IF($P281=0,BN280,IF(BN$3=$E281,IF($AA281=1,$F281&amp;$AB281,$G281),IF(OR(BN$3=$D281,BN$3=$AC281,BN$3=$AE281),"",IF(BN$3=$AD281,$F281&amp;"R",BN280))))</f>
        <v/>
      </c>
      <c r="BO281" s="11" t="str">
        <f aca="false">IF($P281=0,BO280,IF(BO$3=$E281,IF($AA281=1,$F281&amp;$AB281,$G281),IF(OR(BO$3=$D281,BO$3=$AC281,BO$3=$AE281),"",IF(BO$3=$AD281,$F281&amp;"R",BO280))))</f>
        <v/>
      </c>
      <c r="BP281" s="11" t="str">
        <f aca="false">IF($P281=0,BP280,IF(BP$3=$E281,IF($AA281=1,$F281&amp;$AB281,$G281),IF(OR(BP$3=$D281,BP$3=$AC281,BP$3=$AE281),"",IF(BP$3=$AD281,$F281&amp;"R",BP280))))</f>
        <v/>
      </c>
      <c r="BQ281" s="11" t="str">
        <f aca="false">IF($P281=0,BQ280,IF(BQ$3=$E281,IF($AA281=1,$F281&amp;$AB281,$G281),IF(OR(BQ$3=$D281,BQ$3=$AC281,BQ$3=$AE281),"",IF(BQ$3=$AD281,$F281&amp;"R",BQ280))))</f>
        <v/>
      </c>
      <c r="BR281" s="11" t="str">
        <f aca="false">IF($P281=0,BR280,IF(BR$3=$E281,IF($AA281=1,$F281&amp;$AB281,$G281),IF(OR(BR$3=$D281,BR$3=$AC281,BR$3=$AE281),"",IF(BR$3=$AD281,$F281&amp;"R",BR280))))</f>
        <v/>
      </c>
      <c r="BS281" s="11" t="str">
        <f aca="false">IF($P281=0,BS280,IF(BS$3=$E281,IF($AA281=1,$F281&amp;$AB281,$G281),IF(OR(BS$3=$D281,BS$3=$AC281,BS$3=$AE281),"",IF(BS$3=$AD281,$F281&amp;"R",BS280))))</f>
        <v/>
      </c>
      <c r="BT281" s="11" t="str">
        <f aca="false">IF($P281=0,BT280,IF(BT$3=$E281,IF($AA281=1,$F281&amp;$AB281,$G281),IF(OR(BT$3=$D281,BT$3=$AC281,BT$3=$AE281),"",IF(BT$3=$AD281,$F281&amp;"R",BT280))))</f>
        <v/>
      </c>
      <c r="BU281" s="11" t="str">
        <f aca="false">IF($P281=0,BU280,IF(BU$3=$E281,IF($AA281=1,$F281&amp;$AB281,$G281),IF(OR(BU$3=$D281,BU$3=$AC281,BU$3=$AE281),"",IF(BU$3=$AD281,$F281&amp;"R",BU280))))</f>
        <v/>
      </c>
      <c r="BV281" s="11" t="str">
        <f aca="false">IF($P281=0,BV280,IF(BV$3=$E281,IF($AA281=1,$F281&amp;$AB281,$G281),IF(OR(BV$3=$D281,BV$3=$AC281,BV$3=$AE281),"",IF(BV$3=$AD281,$F281&amp;"R",BV280))))</f>
        <v/>
      </c>
      <c r="BW281" s="11" t="str">
        <f aca="false">IF($P281=0,BW280,IF(BW$3=$E281,IF($AA281=1,$F281&amp;$AB281,$G281),IF(OR(BW$3=$D281,BW$3=$AC281,BW$3=$AE281),"",IF(BW$3=$AD281,$F281&amp;"R",BW280))))</f>
        <v/>
      </c>
      <c r="BX281" s="11" t="str">
        <f aca="false">IF($P281=0,BX280,IF(BX$3=$E281,IF($AA281=1,$F281&amp;$AB281,$G281),IF(OR(BX$3=$D281,BX$3=$AC281,BX$3=$AE281),"",IF(BX$3=$AD281,$F281&amp;"R",BX280))))</f>
        <v/>
      </c>
      <c r="BY281" s="11" t="str">
        <f aca="false">IF($P281=0,BY280,IF(BY$3=$E281,IF($AA281=1,$F281&amp;$AB281,$G281),IF(OR(BY$3=$D281,BY$3=$AC281,BY$3=$AE281),"",IF(BY$3=$AD281,$F281&amp;"R",BY280))))</f>
        <v/>
      </c>
      <c r="BZ281" s="11" t="str">
        <f aca="false">IF($P281=0,BZ280,IF(BZ$3=$E281,IF($AA281=1,$F281&amp;$AB281,$G281),IF(OR(BZ$3=$D281,BZ$3=$AC281,BZ$3=$AE281),"",IF(BZ$3=$AD281,$F281&amp;"R",BZ280))))</f>
        <v/>
      </c>
      <c r="CA281" s="11" t="str">
        <f aca="false">IF($P281=0,CA280,IF(CA$3=$E281,IF($AA281=1,$F281&amp;$AB281,$G281),IF(OR(CA$3=$D281,CA$3=$AC281,CA$3=$AE281),"",IF(CA$3=$AD281,$F281&amp;"R",CA280))))</f>
        <v/>
      </c>
      <c r="CB281" s="11" t="str">
        <f aca="false">IF($P281=0,CB280,IF(CB$3=$E281,IF($AA281=1,$F281&amp;$AB281,$G281),IF(OR(CB$3=$D281,CB$3=$AC281,CB$3=$AE281),"",IF(CB$3=$AD281,$F281&amp;"R",CB280))))</f>
        <v/>
      </c>
      <c r="CC281" s="11" t="str">
        <f aca="false">IF($P281=0,CC280,IF(CC$3=$E281,IF($AA281=1,$F281&amp;$AB281,$G281),IF(OR(CC$3=$D281,CC$3=$AC281,CC$3=$AE281),"",IF(CC$3=$AD281,$F281&amp;"R",CC280))))</f>
        <v/>
      </c>
      <c r="CD281" s="11" t="str">
        <f aca="false">IF($P281=0,CD280,IF(CD$3=$E281,IF($AA281=1,$F281&amp;$AB281,$G281),IF(OR(CD$3=$D281,CD$3=$AC281,CD$3=$AE281),"",IF(CD$3=$AD281,$F281&amp;"R",CD280))))</f>
        <v>bP</v>
      </c>
      <c r="CE281" s="11" t="str">
        <f aca="false">IF($P281=0,CE280,IF(CE$3=$E281,IF($AA281=1,$F281&amp;$AB281,$G281),IF(OR(CE$3=$D281,CE$3=$AC281,CE$3=$AE281),"",IF(CE$3=$AD281,$F281&amp;"R",CE280))))</f>
        <v>bP</v>
      </c>
      <c r="CF281" s="11" t="str">
        <f aca="false">IF($P281=0,CF280,IF(CF$3=$E281,IF($AA281=1,$F281&amp;$AB281,$G281),IF(OR(CF$3=$D281,CF$3=$AC281,CF$3=$AE281),"",IF(CF$3=$AD281,$F281&amp;"R",CF280))))</f>
        <v>bP</v>
      </c>
      <c r="CG281" s="11" t="str">
        <f aca="false">IF($P281=0,CG280,IF(CG$3=$E281,IF($AA281=1,$F281&amp;$AB281,$G281),IF(OR(CG$3=$D281,CG$3=$AC281,CG$3=$AE281),"",IF(CG$3=$AD281,$F281&amp;"R",CG280))))</f>
        <v>bP</v>
      </c>
      <c r="CH281" s="11" t="str">
        <f aca="false">IF($P281=0,CH280,IF(CH$3=$E281,IF($AA281=1,$F281&amp;$AB281,$G281),IF(OR(CH$3=$D281,CH$3=$AC281,CH$3=$AE281),"",IF(CH$3=$AD281,$F281&amp;"R",CH280))))</f>
        <v>bP</v>
      </c>
      <c r="CI281" s="11" t="str">
        <f aca="false">IF($P281=0,CI280,IF(CI$3=$E281,IF($AA281=1,$F281&amp;$AB281,$G281),IF(OR(CI$3=$D281,CI$3=$AC281,CI$3=$AE281),"",IF(CI$3=$AD281,$F281&amp;"R",CI280))))</f>
        <v>bP</v>
      </c>
      <c r="CJ281" s="11" t="str">
        <f aca="false">IF($P281=0,CJ280,IF(CJ$3=$E281,IF($AA281=1,$F281&amp;$AB281,$G281),IF(OR(CJ$3=$D281,CJ$3=$AC281,CJ$3=$AE281),"",IF(CJ$3=$AD281,$F281&amp;"R",CJ280))))</f>
        <v>bP</v>
      </c>
      <c r="CK281" s="11" t="str">
        <f aca="false">IF($P281=0,CK280,IF(CK$3=$E281,IF($AA281=1,$F281&amp;$AB281,$G281),IF(OR(CK$3=$D281,CK$3=$AC281,CK$3=$AE281),"",IF(CK$3=$AD281,$F281&amp;"R",CK280))))</f>
        <v>bP</v>
      </c>
      <c r="CL281" s="11" t="str">
        <f aca="false">IF($P281=0,CL280,IF(CL$3=$E281,IF($AA281=1,$F281&amp;$AB281,$G281),IF(OR(CL$3=$D281,CL$3=$AC281,CL$3=$AE281),"",IF(CL$3=$AD281,$F281&amp;"R",CL280))))</f>
        <v>bR</v>
      </c>
      <c r="CM281" s="11" t="str">
        <f aca="false">IF($P281=0,CM280,IF(CM$3=$E281,IF($AA281=1,$F281&amp;$AB281,$G281),IF(OR(CM$3=$D281,CM$3=$AC281,CM$3=$AE281),"",IF(CM$3=$AD281,$F281&amp;"R",CM280))))</f>
        <v>bN</v>
      </c>
      <c r="CN281" s="11" t="str">
        <f aca="false">IF($P281=0,CN280,IF(CN$3=$E281,IF($AA281=1,$F281&amp;$AB281,$G281),IF(OR(CN$3=$D281,CN$3=$AC281,CN$3=$AE281),"",IF(CN$3=$AD281,$F281&amp;"R",CN280))))</f>
        <v>bB</v>
      </c>
      <c r="CO281" s="11" t="str">
        <f aca="false">IF($P281=0,CO280,IF(CO$3=$E281,IF($AA281=1,$F281&amp;$AB281,$G281),IF(OR(CO$3=$D281,CO$3=$AC281,CO$3=$AE281),"",IF(CO$3=$AD281,$F281&amp;"R",CO280))))</f>
        <v>bQ</v>
      </c>
      <c r="CP281" s="11" t="str">
        <f aca="false">IF($P281=0,CP280,IF(CP$3=$E281,IF($AA281=1,$F281&amp;$AB281,$G281),IF(OR(CP$3=$D281,CP$3=$AC281,CP$3=$AE281),"",IF(CP$3=$AD281,$F281&amp;"R",CP280))))</f>
        <v>bK</v>
      </c>
      <c r="CQ281" s="11" t="str">
        <f aca="false">IF($P281=0,CQ280,IF(CQ$3=$E281,IF($AA281=1,$F281&amp;$AB281,$G281),IF(OR(CQ$3=$D281,CQ$3=$AC281,CQ$3=$AE281),"",IF(CQ$3=$AD281,$F281&amp;"R",CQ280))))</f>
        <v>bB</v>
      </c>
      <c r="CR281" s="11" t="str">
        <f aca="false">IF($P281=0,CR280,IF(CR$3=$E281,IF($AA281=1,$F281&amp;$AB281,$G281),IF(OR(CR$3=$D281,CR$3=$AC281,CR$3=$AE281),"",IF(CR$3=$AD281,$F281&amp;"R",CR280))))</f>
        <v>bN</v>
      </c>
      <c r="CS281" s="11" t="str">
        <f aca="false">IF($P281=0,CS280,IF(CS$3=$E281,IF($AA281=1,$F281&amp;$AB281,$G281),IF(OR(CS$3=$D281,CS$3=$AC281,CS$3=$AE281),"",IF(CS$3=$AD281,$F281&amp;"R",CS280))))</f>
        <v>bR</v>
      </c>
      <c r="CT281" s="11"/>
      <c r="CU281" s="11"/>
      <c r="CV281" s="11"/>
    </row>
    <row r="282" customFormat="false" ht="15" hidden="false" customHeight="false" outlineLevel="0" collapsed="false">
      <c r="A282" s="11" t="n">
        <v>277</v>
      </c>
      <c r="B282" s="11" t="str">
        <f aca="false">IF(Chess!$L$286="","",Chess!$L$286&amp;"")</f>
        <v/>
      </c>
      <c r="C282" s="11" t="str">
        <f aca="false">LOWER(SUBSTITUTE(SUBSTITUTE(SUBSTITUTE(SUBSTITUTE(TRIM($B282),"-",""),"=","")," ",""),"x",""))</f>
        <v/>
      </c>
      <c r="D282" s="11" t="n">
        <f aca="false">IF(LEN($C282)&lt;4,0,IFERROR(IF(AND(CODE(MID($C282,1,1))&gt;=97,CODE(MID($C282,1,1))&lt;=104,VALUE(MID($C282,2,1))&gt;=1,VALUE(MID($C282,2,1))&lt;=8),(VALUE(MID($C282,2,1))-1)*8+CODE(MID($C282,1,1))-96,0),0))</f>
        <v>0</v>
      </c>
      <c r="E282" s="11" t="n">
        <f aca="false">IF(LEN($C282)&lt;4,0,IFERROR(IF(AND(CODE(MID($C282,3,1))&gt;=97,CODE(MID($C282,3,1))&lt;=104,VALUE(MID($C282,4,1))&gt;=1,VALUE(MID($C282,4,1))&lt;=8),(VALUE(MID($C282,4,1))-1)*8+CODE(MID($C282,3,1))-96,0),0))</f>
        <v>0</v>
      </c>
      <c r="F282" s="11" t="str">
        <f aca="false">IF(MOD(SUM($P$5:$P281),2)=0,"w","b")</f>
        <v>w</v>
      </c>
      <c r="G282" s="11" t="str">
        <f aca="false">IF($D282=0,"",INDEX($AH281:$CS281,1,$D282)&amp;"")</f>
        <v/>
      </c>
      <c r="H282" s="11" t="str">
        <f aca="false">IF($E282=0,"",INDEX($AH281:$CS281,1,$E282)&amp;"")</f>
        <v/>
      </c>
      <c r="I282" s="11" t="n">
        <f aca="false">IF(OR($D282=0,$E282=0),0,MOD($E282-1,8)-MOD($D282-1,8))</f>
        <v>0</v>
      </c>
      <c r="J282" s="11" t="n">
        <f aca="false">IF(OR($D282=0,$E282=0),0,INT(($E282-1)/8)-INT(($D282-1)/8))</f>
        <v>0</v>
      </c>
      <c r="K282" s="11" t="str">
        <f aca="false">IF($G282="","",RIGHT($G282,1))</f>
        <v/>
      </c>
      <c r="L282" s="11" t="n">
        <f aca="false">IF(OR($D282=0,$E282=0),0,SUMPRODUCT(($AH$3:$CS$3&gt;MIN($D282,$E282))*($AH$3:$CS$3&lt;MAX($D282,$E282))*(MOD($AH$3:$CS$3-MIN($D282,$E282),MAX(1,ABS(SIGN($J282)*8+SIGN($I282))))=0)*($AH281:$CS281&lt;&gt;"")))</f>
        <v>0</v>
      </c>
      <c r="M282" s="11" t="n">
        <f aca="false">IF($K282&lt;&gt;"K",0,IFERROR(--AND($J282=0,ABS($I282)=2,$D282=IF($F282="w",5,61),IF($F282="w",$S281,$V281)=0,IF($I282=2,AND(IF($F282="w",$U281,$X281)=0,INDEX($AH281:$CS281,1,$D282+1)&amp;""="",INDEX($AH281:$CS281,1,$D282+2)&amp;""=""),AND(IF($F282="w",$T281,$W281)=0,INDEX($AH281:$CS281,1,$D282-1)&amp;""="",INDEX($AH281:$CS281,1,$D282-2)&amp;""="",INDEX($AH281:$CS281,1,$D282-3)&amp;""=""))),0))</f>
        <v>0</v>
      </c>
      <c r="N282" s="11" t="n">
        <f aca="false">IF($K282&lt;&gt;"P",0,IFERROR(--OR(AND($I282=0,$J282=IF($F282="w",1,-1),$H282=""),AND($I282=0,$J282=2*IF($F282="w",1,-1),$H282="",INT(($D282-1)/8)=IF($F282="w",1,6),INDEX($AH281:$CS281,1,MAX(1,MIN(64,$D282+8*IF($F282="w",1,-1))))&amp;""=""),AND(ABS($I282)=1,$J282=IF($F282="w",1,-1),$H282&lt;&gt;""),AND(ABS($I282)=1,$J282=IF($F282="w",1,-1),$H282="",$R281&gt;0,$E282=$R281)),0))</f>
        <v>0</v>
      </c>
      <c r="O282" s="11" t="n">
        <f aca="false">IF(OR($D282=0,$E282=0,$G282=""),0,IF($K282="N",--OR(AND(ABS($I282)=1,ABS($J282)=2),AND(ABS($I282)=2,ABS($J282)=1)),IF($K282="B",--AND(ABS($I282)=ABS($J282),$I282&lt;&gt;0,$L282=0),IF($K282="R",--AND(OR($I282=0,$J282=0),OR($I282&lt;&gt;0,$J282&lt;&gt;0),$L282=0),IF($K282="Q",--AND(OR(AND(ABS($I282)=ABS($J282),$I282&lt;&gt;0),AND(OR($I282=0,$J282=0),OR($I282&lt;&gt;0,$J282&lt;&gt;0))),$L282=0),IF($K282="K",--OR(MAX(ABS($I282),ABS($J282))=1,$M282=1),$N282))))))</f>
        <v>0</v>
      </c>
      <c r="P282" s="11" t="n">
        <f aca="false">IF($Q282="OK",1,0)</f>
        <v>0</v>
      </c>
      <c r="Q282" s="11" t="str">
        <f aca="false">IF($B282="","",IF(OR(COUNTIF($AH281:$CS281,"wK")=0,COUNTIF($AH281:$CS281,"bK")=0),"Game is over",IF(OR($D282=0,$E282=0),"Use the format e2e4",IF($G282="","No piece on that square",IF(LEFT($G282,1)&lt;&gt;$F282,"Not your piece ("&amp;IF($F282="w","White","Black")&amp;" to move)",IF($D282=$E282,"Piece must move",IF(AND($H282&lt;&gt;"",LEFT($H282,1)=$F282),"Cannot capture your own piece",IF($O282=0,"Illegal move for that piece (or path blocked)","OK"))))))))</f>
        <v/>
      </c>
      <c r="R282" s="11" t="n">
        <f aca="false">IF($P282=1,IF(AND($K282="P",ABS($J282)=2),($D282+$E282)/2,0),$R281)</f>
        <v>0</v>
      </c>
      <c r="S282" s="12" t="b">
        <f aca="false">--OR($S281=1,AND($P282=1,OR($D282=5,$E282=5)))</f>
        <v>0</v>
      </c>
      <c r="T282" s="12" t="b">
        <f aca="false">--OR($T281=1,AND($P282=1,OR($D282=1,$E282=1)))</f>
        <v>0</v>
      </c>
      <c r="U282" s="12" t="b">
        <f aca="false">--OR($U281=1,AND($P282=1,OR($D282=8,$E282=8)))</f>
        <v>0</v>
      </c>
      <c r="V282" s="12" t="b">
        <f aca="false">--OR($V281=1,AND($P282=1,OR($D282=61,$E282=61)))</f>
        <v>0</v>
      </c>
      <c r="W282" s="12" t="b">
        <f aca="false">--OR($W281=1,AND($P282=1,OR($D282=57,$E282=57)))</f>
        <v>0</v>
      </c>
      <c r="X282" s="12" t="b">
        <f aca="false">--OR($X281=1,AND($P282=1,OR($D282=64,$E282=64)))</f>
        <v>0</v>
      </c>
      <c r="Y282" s="12" t="b">
        <f aca="false">--AND($P282=1,$K282="K",ABS($I282)=2)</f>
        <v>0</v>
      </c>
      <c r="Z282" s="12" t="b">
        <f aca="false">--AND($P282=1,$K282="P",ABS($I282)=1,$H282="")</f>
        <v>0</v>
      </c>
      <c r="AA282" s="12" t="b">
        <f aca="false">--AND($P282=1,$K282="P",INT(($E282-1)/8)=IF($F282="w",7,0))</f>
        <v>0</v>
      </c>
      <c r="AB282" s="11" t="str">
        <f aca="false">IF(LEN($C282)&gt;=5,IF(ISNUMBER(FIND(MID($C282,5,1),"qrbn")),UPPER(MID($C282,5,1)),"Q"),"Q")</f>
        <v>Q</v>
      </c>
      <c r="AC282" s="11" t="n">
        <f aca="false">IF($Y282=1,IF($I282=2,$D282+3,$D282-4),0)</f>
        <v>0</v>
      </c>
      <c r="AD282" s="11" t="n">
        <f aca="false">IF($Y282=1,IF($I282=2,$D282+1,$D282-1),0)</f>
        <v>0</v>
      </c>
      <c r="AE282" s="11" t="n">
        <f aca="false">IF($Z282=1,$E282-8*IF($F282="w",1,-1),0)</f>
        <v>0</v>
      </c>
      <c r="AF282" s="11" t="str">
        <f aca="false">IF($B282="","",IF($P282=1,LOWER(INDEX($CV$2:$CV$13,MATCH($G282,$CU$2:$CU$13,0)))&amp;" "&amp;MID("abcdefgh",MOD($D282-1,8)+1,1)&amp;(INT(($D282-1)/8)+1)&amp;"→"&amp;MID("abcdefgh",MOD($E282-1,8)+1,1)&amp;(INT(($E282-1)/8)+1)&amp;IF(OR($H282&lt;&gt;"",$Z282=1)," ×","")&amp;IF($Y282=1," castles","")&amp;IF($Z282=1," e.p.","")&amp;IF($AA282=1," =" &amp;LOWER(INDEX($CV$2:$CV$13,MATCH($F282&amp;$AB282,$CU$2:$CU$13,0))),""),"X "&amp;$Q282))</f>
        <v/>
      </c>
      <c r="AG282" s="11"/>
      <c r="AH282" s="11" t="str">
        <f aca="false">IF($P282=0,AH281,IF(AH$3=$E282,IF($AA282=1,$F282&amp;$AB282,$G282),IF(OR(AH$3=$D282,AH$3=$AC282,AH$3=$AE282),"",IF(AH$3=$AD282,$F282&amp;"R",AH281))))</f>
        <v>wR</v>
      </c>
      <c r="AI282" s="11" t="str">
        <f aca="false">IF($P282=0,AI281,IF(AI$3=$E282,IF($AA282=1,$F282&amp;$AB282,$G282),IF(OR(AI$3=$D282,AI$3=$AC282,AI$3=$AE282),"",IF(AI$3=$AD282,$F282&amp;"R",AI281))))</f>
        <v>wN</v>
      </c>
      <c r="AJ282" s="11" t="str">
        <f aca="false">IF($P282=0,AJ281,IF(AJ$3=$E282,IF($AA282=1,$F282&amp;$AB282,$G282),IF(OR(AJ$3=$D282,AJ$3=$AC282,AJ$3=$AE282),"",IF(AJ$3=$AD282,$F282&amp;"R",AJ281))))</f>
        <v>wB</v>
      </c>
      <c r="AK282" s="11" t="str">
        <f aca="false">IF($P282=0,AK281,IF(AK$3=$E282,IF($AA282=1,$F282&amp;$AB282,$G282),IF(OR(AK$3=$D282,AK$3=$AC282,AK$3=$AE282),"",IF(AK$3=$AD282,$F282&amp;"R",AK281))))</f>
        <v>wQ</v>
      </c>
      <c r="AL282" s="11" t="str">
        <f aca="false">IF($P282=0,AL281,IF(AL$3=$E282,IF($AA282=1,$F282&amp;$AB282,$G282),IF(OR(AL$3=$D282,AL$3=$AC282,AL$3=$AE282),"",IF(AL$3=$AD282,$F282&amp;"R",AL281))))</f>
        <v>wK</v>
      </c>
      <c r="AM282" s="11" t="str">
        <f aca="false">IF($P282=0,AM281,IF(AM$3=$E282,IF($AA282=1,$F282&amp;$AB282,$G282),IF(OR(AM$3=$D282,AM$3=$AC282,AM$3=$AE282),"",IF(AM$3=$AD282,$F282&amp;"R",AM281))))</f>
        <v>wB</v>
      </c>
      <c r="AN282" s="11" t="str">
        <f aca="false">IF($P282=0,AN281,IF(AN$3=$E282,IF($AA282=1,$F282&amp;$AB282,$G282),IF(OR(AN$3=$D282,AN$3=$AC282,AN$3=$AE282),"",IF(AN$3=$AD282,$F282&amp;"R",AN281))))</f>
        <v>wN</v>
      </c>
      <c r="AO282" s="11" t="str">
        <f aca="false">IF($P282=0,AO281,IF(AO$3=$E282,IF($AA282=1,$F282&amp;$AB282,$G282),IF(OR(AO$3=$D282,AO$3=$AC282,AO$3=$AE282),"",IF(AO$3=$AD282,$F282&amp;"R",AO281))))</f>
        <v>wR</v>
      </c>
      <c r="AP282" s="11" t="str">
        <f aca="false">IF($P282=0,AP281,IF(AP$3=$E282,IF($AA282=1,$F282&amp;$AB282,$G282),IF(OR(AP$3=$D282,AP$3=$AC282,AP$3=$AE282),"",IF(AP$3=$AD282,$F282&amp;"R",AP281))))</f>
        <v>wP</v>
      </c>
      <c r="AQ282" s="11" t="str">
        <f aca="false">IF($P282=0,AQ281,IF(AQ$3=$E282,IF($AA282=1,$F282&amp;$AB282,$G282),IF(OR(AQ$3=$D282,AQ$3=$AC282,AQ$3=$AE282),"",IF(AQ$3=$AD282,$F282&amp;"R",AQ281))))</f>
        <v>wP</v>
      </c>
      <c r="AR282" s="11" t="str">
        <f aca="false">IF($P282=0,AR281,IF(AR$3=$E282,IF($AA282=1,$F282&amp;$AB282,$G282),IF(OR(AR$3=$D282,AR$3=$AC282,AR$3=$AE282),"",IF(AR$3=$AD282,$F282&amp;"R",AR281))))</f>
        <v>wP</v>
      </c>
      <c r="AS282" s="11" t="str">
        <f aca="false">IF($P282=0,AS281,IF(AS$3=$E282,IF($AA282=1,$F282&amp;$AB282,$G282),IF(OR(AS$3=$D282,AS$3=$AC282,AS$3=$AE282),"",IF(AS$3=$AD282,$F282&amp;"R",AS281))))</f>
        <v>wP</v>
      </c>
      <c r="AT282" s="11" t="str">
        <f aca="false">IF($P282=0,AT281,IF(AT$3=$E282,IF($AA282=1,$F282&amp;$AB282,$G282),IF(OR(AT$3=$D282,AT$3=$AC282,AT$3=$AE282),"",IF(AT$3=$AD282,$F282&amp;"R",AT281))))</f>
        <v>wP</v>
      </c>
      <c r="AU282" s="11" t="str">
        <f aca="false">IF($P282=0,AU281,IF(AU$3=$E282,IF($AA282=1,$F282&amp;$AB282,$G282),IF(OR(AU$3=$D282,AU$3=$AC282,AU$3=$AE282),"",IF(AU$3=$AD282,$F282&amp;"R",AU281))))</f>
        <v>wP</v>
      </c>
      <c r="AV282" s="11" t="str">
        <f aca="false">IF($P282=0,AV281,IF(AV$3=$E282,IF($AA282=1,$F282&amp;$AB282,$G282),IF(OR(AV$3=$D282,AV$3=$AC282,AV$3=$AE282),"",IF(AV$3=$AD282,$F282&amp;"R",AV281))))</f>
        <v>wP</v>
      </c>
      <c r="AW282" s="11" t="str">
        <f aca="false">IF($P282=0,AW281,IF(AW$3=$E282,IF($AA282=1,$F282&amp;$AB282,$G282),IF(OR(AW$3=$D282,AW$3=$AC282,AW$3=$AE282),"",IF(AW$3=$AD282,$F282&amp;"R",AW281))))</f>
        <v>wP</v>
      </c>
      <c r="AX282" s="11" t="str">
        <f aca="false">IF($P282=0,AX281,IF(AX$3=$E282,IF($AA282=1,$F282&amp;$AB282,$G282),IF(OR(AX$3=$D282,AX$3=$AC282,AX$3=$AE282),"",IF(AX$3=$AD282,$F282&amp;"R",AX281))))</f>
        <v/>
      </c>
      <c r="AY282" s="11" t="str">
        <f aca="false">IF($P282=0,AY281,IF(AY$3=$E282,IF($AA282=1,$F282&amp;$AB282,$G282),IF(OR(AY$3=$D282,AY$3=$AC282,AY$3=$AE282),"",IF(AY$3=$AD282,$F282&amp;"R",AY281))))</f>
        <v/>
      </c>
      <c r="AZ282" s="11" t="str">
        <f aca="false">IF($P282=0,AZ281,IF(AZ$3=$E282,IF($AA282=1,$F282&amp;$AB282,$G282),IF(OR(AZ$3=$D282,AZ$3=$AC282,AZ$3=$AE282),"",IF(AZ$3=$AD282,$F282&amp;"R",AZ281))))</f>
        <v/>
      </c>
      <c r="BA282" s="11" t="str">
        <f aca="false">IF($P282=0,BA281,IF(BA$3=$E282,IF($AA282=1,$F282&amp;$AB282,$G282),IF(OR(BA$3=$D282,BA$3=$AC282,BA$3=$AE282),"",IF(BA$3=$AD282,$F282&amp;"R",BA281))))</f>
        <v/>
      </c>
      <c r="BB282" s="11" t="str">
        <f aca="false">IF($P282=0,BB281,IF(BB$3=$E282,IF($AA282=1,$F282&amp;$AB282,$G282),IF(OR(BB$3=$D282,BB$3=$AC282,BB$3=$AE282),"",IF(BB$3=$AD282,$F282&amp;"R",BB281))))</f>
        <v/>
      </c>
      <c r="BC282" s="11" t="str">
        <f aca="false">IF($P282=0,BC281,IF(BC$3=$E282,IF($AA282=1,$F282&amp;$AB282,$G282),IF(OR(BC$3=$D282,BC$3=$AC282,BC$3=$AE282),"",IF(BC$3=$AD282,$F282&amp;"R",BC281))))</f>
        <v/>
      </c>
      <c r="BD282" s="11" t="str">
        <f aca="false">IF($P282=0,BD281,IF(BD$3=$E282,IF($AA282=1,$F282&amp;$AB282,$G282),IF(OR(BD$3=$D282,BD$3=$AC282,BD$3=$AE282),"",IF(BD$3=$AD282,$F282&amp;"R",BD281))))</f>
        <v/>
      </c>
      <c r="BE282" s="11" t="str">
        <f aca="false">IF($P282=0,BE281,IF(BE$3=$E282,IF($AA282=1,$F282&amp;$AB282,$G282),IF(OR(BE$3=$D282,BE$3=$AC282,BE$3=$AE282),"",IF(BE$3=$AD282,$F282&amp;"R",BE281))))</f>
        <v/>
      </c>
      <c r="BF282" s="11" t="str">
        <f aca="false">IF($P282=0,BF281,IF(BF$3=$E282,IF($AA282=1,$F282&amp;$AB282,$G282),IF(OR(BF$3=$D282,BF$3=$AC282,BF$3=$AE282),"",IF(BF$3=$AD282,$F282&amp;"R",BF281))))</f>
        <v/>
      </c>
      <c r="BG282" s="11" t="str">
        <f aca="false">IF($P282=0,BG281,IF(BG$3=$E282,IF($AA282=1,$F282&amp;$AB282,$G282),IF(OR(BG$3=$D282,BG$3=$AC282,BG$3=$AE282),"",IF(BG$3=$AD282,$F282&amp;"R",BG281))))</f>
        <v/>
      </c>
      <c r="BH282" s="11" t="str">
        <f aca="false">IF($P282=0,BH281,IF(BH$3=$E282,IF($AA282=1,$F282&amp;$AB282,$G282),IF(OR(BH$3=$D282,BH$3=$AC282,BH$3=$AE282),"",IF(BH$3=$AD282,$F282&amp;"R",BH281))))</f>
        <v/>
      </c>
      <c r="BI282" s="11" t="str">
        <f aca="false">IF($P282=0,BI281,IF(BI$3=$E282,IF($AA282=1,$F282&amp;$AB282,$G282),IF(OR(BI$3=$D282,BI$3=$AC282,BI$3=$AE282),"",IF(BI$3=$AD282,$F282&amp;"R",BI281))))</f>
        <v/>
      </c>
      <c r="BJ282" s="11" t="str">
        <f aca="false">IF($P282=0,BJ281,IF(BJ$3=$E282,IF($AA282=1,$F282&amp;$AB282,$G282),IF(OR(BJ$3=$D282,BJ$3=$AC282,BJ$3=$AE282),"",IF(BJ$3=$AD282,$F282&amp;"R",BJ281))))</f>
        <v/>
      </c>
      <c r="BK282" s="11" t="str">
        <f aca="false">IF($P282=0,BK281,IF(BK$3=$E282,IF($AA282=1,$F282&amp;$AB282,$G282),IF(OR(BK$3=$D282,BK$3=$AC282,BK$3=$AE282),"",IF(BK$3=$AD282,$F282&amp;"R",BK281))))</f>
        <v/>
      </c>
      <c r="BL282" s="11" t="str">
        <f aca="false">IF($P282=0,BL281,IF(BL$3=$E282,IF($AA282=1,$F282&amp;$AB282,$G282),IF(OR(BL$3=$D282,BL$3=$AC282,BL$3=$AE282),"",IF(BL$3=$AD282,$F282&amp;"R",BL281))))</f>
        <v/>
      </c>
      <c r="BM282" s="11" t="str">
        <f aca="false">IF($P282=0,BM281,IF(BM$3=$E282,IF($AA282=1,$F282&amp;$AB282,$G282),IF(OR(BM$3=$D282,BM$3=$AC282,BM$3=$AE282),"",IF(BM$3=$AD282,$F282&amp;"R",BM281))))</f>
        <v/>
      </c>
      <c r="BN282" s="11" t="str">
        <f aca="false">IF($P282=0,BN281,IF(BN$3=$E282,IF($AA282=1,$F282&amp;$AB282,$G282),IF(OR(BN$3=$D282,BN$3=$AC282,BN$3=$AE282),"",IF(BN$3=$AD282,$F282&amp;"R",BN281))))</f>
        <v/>
      </c>
      <c r="BO282" s="11" t="str">
        <f aca="false">IF($P282=0,BO281,IF(BO$3=$E282,IF($AA282=1,$F282&amp;$AB282,$G282),IF(OR(BO$3=$D282,BO$3=$AC282,BO$3=$AE282),"",IF(BO$3=$AD282,$F282&amp;"R",BO281))))</f>
        <v/>
      </c>
      <c r="BP282" s="11" t="str">
        <f aca="false">IF($P282=0,BP281,IF(BP$3=$E282,IF($AA282=1,$F282&amp;$AB282,$G282),IF(OR(BP$3=$D282,BP$3=$AC282,BP$3=$AE282),"",IF(BP$3=$AD282,$F282&amp;"R",BP281))))</f>
        <v/>
      </c>
      <c r="BQ282" s="11" t="str">
        <f aca="false">IF($P282=0,BQ281,IF(BQ$3=$E282,IF($AA282=1,$F282&amp;$AB282,$G282),IF(OR(BQ$3=$D282,BQ$3=$AC282,BQ$3=$AE282),"",IF(BQ$3=$AD282,$F282&amp;"R",BQ281))))</f>
        <v/>
      </c>
      <c r="BR282" s="11" t="str">
        <f aca="false">IF($P282=0,BR281,IF(BR$3=$E282,IF($AA282=1,$F282&amp;$AB282,$G282),IF(OR(BR$3=$D282,BR$3=$AC282,BR$3=$AE282),"",IF(BR$3=$AD282,$F282&amp;"R",BR281))))</f>
        <v/>
      </c>
      <c r="BS282" s="11" t="str">
        <f aca="false">IF($P282=0,BS281,IF(BS$3=$E282,IF($AA282=1,$F282&amp;$AB282,$G282),IF(OR(BS$3=$D282,BS$3=$AC282,BS$3=$AE282),"",IF(BS$3=$AD282,$F282&amp;"R",BS281))))</f>
        <v/>
      </c>
      <c r="BT282" s="11" t="str">
        <f aca="false">IF($P282=0,BT281,IF(BT$3=$E282,IF($AA282=1,$F282&amp;$AB282,$G282),IF(OR(BT$3=$D282,BT$3=$AC282,BT$3=$AE282),"",IF(BT$3=$AD282,$F282&amp;"R",BT281))))</f>
        <v/>
      </c>
      <c r="BU282" s="11" t="str">
        <f aca="false">IF($P282=0,BU281,IF(BU$3=$E282,IF($AA282=1,$F282&amp;$AB282,$G282),IF(OR(BU$3=$D282,BU$3=$AC282,BU$3=$AE282),"",IF(BU$3=$AD282,$F282&amp;"R",BU281))))</f>
        <v/>
      </c>
      <c r="BV282" s="11" t="str">
        <f aca="false">IF($P282=0,BV281,IF(BV$3=$E282,IF($AA282=1,$F282&amp;$AB282,$G282),IF(OR(BV$3=$D282,BV$3=$AC282,BV$3=$AE282),"",IF(BV$3=$AD282,$F282&amp;"R",BV281))))</f>
        <v/>
      </c>
      <c r="BW282" s="11" t="str">
        <f aca="false">IF($P282=0,BW281,IF(BW$3=$E282,IF($AA282=1,$F282&amp;$AB282,$G282),IF(OR(BW$3=$D282,BW$3=$AC282,BW$3=$AE282),"",IF(BW$3=$AD282,$F282&amp;"R",BW281))))</f>
        <v/>
      </c>
      <c r="BX282" s="11" t="str">
        <f aca="false">IF($P282=0,BX281,IF(BX$3=$E282,IF($AA282=1,$F282&amp;$AB282,$G282),IF(OR(BX$3=$D282,BX$3=$AC282,BX$3=$AE282),"",IF(BX$3=$AD282,$F282&amp;"R",BX281))))</f>
        <v/>
      </c>
      <c r="BY282" s="11" t="str">
        <f aca="false">IF($P282=0,BY281,IF(BY$3=$E282,IF($AA282=1,$F282&amp;$AB282,$G282),IF(OR(BY$3=$D282,BY$3=$AC282,BY$3=$AE282),"",IF(BY$3=$AD282,$F282&amp;"R",BY281))))</f>
        <v/>
      </c>
      <c r="BZ282" s="11" t="str">
        <f aca="false">IF($P282=0,BZ281,IF(BZ$3=$E282,IF($AA282=1,$F282&amp;$AB282,$G282),IF(OR(BZ$3=$D282,BZ$3=$AC282,BZ$3=$AE282),"",IF(BZ$3=$AD282,$F282&amp;"R",BZ281))))</f>
        <v/>
      </c>
      <c r="CA282" s="11" t="str">
        <f aca="false">IF($P282=0,CA281,IF(CA$3=$E282,IF($AA282=1,$F282&amp;$AB282,$G282),IF(OR(CA$3=$D282,CA$3=$AC282,CA$3=$AE282),"",IF(CA$3=$AD282,$F282&amp;"R",CA281))))</f>
        <v/>
      </c>
      <c r="CB282" s="11" t="str">
        <f aca="false">IF($P282=0,CB281,IF(CB$3=$E282,IF($AA282=1,$F282&amp;$AB282,$G282),IF(OR(CB$3=$D282,CB$3=$AC282,CB$3=$AE282),"",IF(CB$3=$AD282,$F282&amp;"R",CB281))))</f>
        <v/>
      </c>
      <c r="CC282" s="11" t="str">
        <f aca="false">IF($P282=0,CC281,IF(CC$3=$E282,IF($AA282=1,$F282&amp;$AB282,$G282),IF(OR(CC$3=$D282,CC$3=$AC282,CC$3=$AE282),"",IF(CC$3=$AD282,$F282&amp;"R",CC281))))</f>
        <v/>
      </c>
      <c r="CD282" s="11" t="str">
        <f aca="false">IF($P282=0,CD281,IF(CD$3=$E282,IF($AA282=1,$F282&amp;$AB282,$G282),IF(OR(CD$3=$D282,CD$3=$AC282,CD$3=$AE282),"",IF(CD$3=$AD282,$F282&amp;"R",CD281))))</f>
        <v>bP</v>
      </c>
      <c r="CE282" s="11" t="str">
        <f aca="false">IF($P282=0,CE281,IF(CE$3=$E282,IF($AA282=1,$F282&amp;$AB282,$G282),IF(OR(CE$3=$D282,CE$3=$AC282,CE$3=$AE282),"",IF(CE$3=$AD282,$F282&amp;"R",CE281))))</f>
        <v>bP</v>
      </c>
      <c r="CF282" s="11" t="str">
        <f aca="false">IF($P282=0,CF281,IF(CF$3=$E282,IF($AA282=1,$F282&amp;$AB282,$G282),IF(OR(CF$3=$D282,CF$3=$AC282,CF$3=$AE282),"",IF(CF$3=$AD282,$F282&amp;"R",CF281))))</f>
        <v>bP</v>
      </c>
      <c r="CG282" s="11" t="str">
        <f aca="false">IF($P282=0,CG281,IF(CG$3=$E282,IF($AA282=1,$F282&amp;$AB282,$G282),IF(OR(CG$3=$D282,CG$3=$AC282,CG$3=$AE282),"",IF(CG$3=$AD282,$F282&amp;"R",CG281))))</f>
        <v>bP</v>
      </c>
      <c r="CH282" s="11" t="str">
        <f aca="false">IF($P282=0,CH281,IF(CH$3=$E282,IF($AA282=1,$F282&amp;$AB282,$G282),IF(OR(CH$3=$D282,CH$3=$AC282,CH$3=$AE282),"",IF(CH$3=$AD282,$F282&amp;"R",CH281))))</f>
        <v>bP</v>
      </c>
      <c r="CI282" s="11" t="str">
        <f aca="false">IF($P282=0,CI281,IF(CI$3=$E282,IF($AA282=1,$F282&amp;$AB282,$G282),IF(OR(CI$3=$D282,CI$3=$AC282,CI$3=$AE282),"",IF(CI$3=$AD282,$F282&amp;"R",CI281))))</f>
        <v>bP</v>
      </c>
      <c r="CJ282" s="11" t="str">
        <f aca="false">IF($P282=0,CJ281,IF(CJ$3=$E282,IF($AA282=1,$F282&amp;$AB282,$G282),IF(OR(CJ$3=$D282,CJ$3=$AC282,CJ$3=$AE282),"",IF(CJ$3=$AD282,$F282&amp;"R",CJ281))))</f>
        <v>bP</v>
      </c>
      <c r="CK282" s="11" t="str">
        <f aca="false">IF($P282=0,CK281,IF(CK$3=$E282,IF($AA282=1,$F282&amp;$AB282,$G282),IF(OR(CK$3=$D282,CK$3=$AC282,CK$3=$AE282),"",IF(CK$3=$AD282,$F282&amp;"R",CK281))))</f>
        <v>bP</v>
      </c>
      <c r="CL282" s="11" t="str">
        <f aca="false">IF($P282=0,CL281,IF(CL$3=$E282,IF($AA282=1,$F282&amp;$AB282,$G282),IF(OR(CL$3=$D282,CL$3=$AC282,CL$3=$AE282),"",IF(CL$3=$AD282,$F282&amp;"R",CL281))))</f>
        <v>bR</v>
      </c>
      <c r="CM282" s="11" t="str">
        <f aca="false">IF($P282=0,CM281,IF(CM$3=$E282,IF($AA282=1,$F282&amp;$AB282,$G282),IF(OR(CM$3=$D282,CM$3=$AC282,CM$3=$AE282),"",IF(CM$3=$AD282,$F282&amp;"R",CM281))))</f>
        <v>bN</v>
      </c>
      <c r="CN282" s="11" t="str">
        <f aca="false">IF($P282=0,CN281,IF(CN$3=$E282,IF($AA282=1,$F282&amp;$AB282,$G282),IF(OR(CN$3=$D282,CN$3=$AC282,CN$3=$AE282),"",IF(CN$3=$AD282,$F282&amp;"R",CN281))))</f>
        <v>bB</v>
      </c>
      <c r="CO282" s="11" t="str">
        <f aca="false">IF($P282=0,CO281,IF(CO$3=$E282,IF($AA282=1,$F282&amp;$AB282,$G282),IF(OR(CO$3=$D282,CO$3=$AC282,CO$3=$AE282),"",IF(CO$3=$AD282,$F282&amp;"R",CO281))))</f>
        <v>bQ</v>
      </c>
      <c r="CP282" s="11" t="str">
        <f aca="false">IF($P282=0,CP281,IF(CP$3=$E282,IF($AA282=1,$F282&amp;$AB282,$G282),IF(OR(CP$3=$D282,CP$3=$AC282,CP$3=$AE282),"",IF(CP$3=$AD282,$F282&amp;"R",CP281))))</f>
        <v>bK</v>
      </c>
      <c r="CQ282" s="11" t="str">
        <f aca="false">IF($P282=0,CQ281,IF(CQ$3=$E282,IF($AA282=1,$F282&amp;$AB282,$G282),IF(OR(CQ$3=$D282,CQ$3=$AC282,CQ$3=$AE282),"",IF(CQ$3=$AD282,$F282&amp;"R",CQ281))))</f>
        <v>bB</v>
      </c>
      <c r="CR282" s="11" t="str">
        <f aca="false">IF($P282=0,CR281,IF(CR$3=$E282,IF($AA282=1,$F282&amp;$AB282,$G282),IF(OR(CR$3=$D282,CR$3=$AC282,CR$3=$AE282),"",IF(CR$3=$AD282,$F282&amp;"R",CR281))))</f>
        <v>bN</v>
      </c>
      <c r="CS282" s="11" t="str">
        <f aca="false">IF($P282=0,CS281,IF(CS$3=$E282,IF($AA282=1,$F282&amp;$AB282,$G282),IF(OR(CS$3=$D282,CS$3=$AC282,CS$3=$AE282),"",IF(CS$3=$AD282,$F282&amp;"R",CS281))))</f>
        <v>bR</v>
      </c>
      <c r="CT282" s="11"/>
      <c r="CU282" s="11"/>
      <c r="CV282" s="11"/>
    </row>
    <row r="283" customFormat="false" ht="15" hidden="false" customHeight="false" outlineLevel="0" collapsed="false">
      <c r="A283" s="11" t="n">
        <v>278</v>
      </c>
      <c r="B283" s="11" t="str">
        <f aca="false">IF(Chess!$L$287="","",Chess!$L$287&amp;"")</f>
        <v/>
      </c>
      <c r="C283" s="11" t="str">
        <f aca="false">LOWER(SUBSTITUTE(SUBSTITUTE(SUBSTITUTE(SUBSTITUTE(TRIM($B283),"-",""),"=","")," ",""),"x",""))</f>
        <v/>
      </c>
      <c r="D283" s="11" t="n">
        <f aca="false">IF(LEN($C283)&lt;4,0,IFERROR(IF(AND(CODE(MID($C283,1,1))&gt;=97,CODE(MID($C283,1,1))&lt;=104,VALUE(MID($C283,2,1))&gt;=1,VALUE(MID($C283,2,1))&lt;=8),(VALUE(MID($C283,2,1))-1)*8+CODE(MID($C283,1,1))-96,0),0))</f>
        <v>0</v>
      </c>
      <c r="E283" s="11" t="n">
        <f aca="false">IF(LEN($C283)&lt;4,0,IFERROR(IF(AND(CODE(MID($C283,3,1))&gt;=97,CODE(MID($C283,3,1))&lt;=104,VALUE(MID($C283,4,1))&gt;=1,VALUE(MID($C283,4,1))&lt;=8),(VALUE(MID($C283,4,1))-1)*8+CODE(MID($C283,3,1))-96,0),0))</f>
        <v>0</v>
      </c>
      <c r="F283" s="11" t="str">
        <f aca="false">IF(MOD(SUM($P$5:$P282),2)=0,"w","b")</f>
        <v>w</v>
      </c>
      <c r="G283" s="11" t="str">
        <f aca="false">IF($D283=0,"",INDEX($AH282:$CS282,1,$D283)&amp;"")</f>
        <v/>
      </c>
      <c r="H283" s="11" t="str">
        <f aca="false">IF($E283=0,"",INDEX($AH282:$CS282,1,$E283)&amp;"")</f>
        <v/>
      </c>
      <c r="I283" s="11" t="n">
        <f aca="false">IF(OR($D283=0,$E283=0),0,MOD($E283-1,8)-MOD($D283-1,8))</f>
        <v>0</v>
      </c>
      <c r="J283" s="11" t="n">
        <f aca="false">IF(OR($D283=0,$E283=0),0,INT(($E283-1)/8)-INT(($D283-1)/8))</f>
        <v>0</v>
      </c>
      <c r="K283" s="11" t="str">
        <f aca="false">IF($G283="","",RIGHT($G283,1))</f>
        <v/>
      </c>
      <c r="L283" s="11" t="n">
        <f aca="false">IF(OR($D283=0,$E283=0),0,SUMPRODUCT(($AH$3:$CS$3&gt;MIN($D283,$E283))*($AH$3:$CS$3&lt;MAX($D283,$E283))*(MOD($AH$3:$CS$3-MIN($D283,$E283),MAX(1,ABS(SIGN($J283)*8+SIGN($I283))))=0)*($AH282:$CS282&lt;&gt;"")))</f>
        <v>0</v>
      </c>
      <c r="M283" s="11" t="n">
        <f aca="false">IF($K283&lt;&gt;"K",0,IFERROR(--AND($J283=0,ABS($I283)=2,$D283=IF($F283="w",5,61),IF($F283="w",$S282,$V282)=0,IF($I283=2,AND(IF($F283="w",$U282,$X282)=0,INDEX($AH282:$CS282,1,$D283+1)&amp;""="",INDEX($AH282:$CS282,1,$D283+2)&amp;""=""),AND(IF($F283="w",$T282,$W282)=0,INDEX($AH282:$CS282,1,$D283-1)&amp;""="",INDEX($AH282:$CS282,1,$D283-2)&amp;""="",INDEX($AH282:$CS282,1,$D283-3)&amp;""=""))),0))</f>
        <v>0</v>
      </c>
      <c r="N283" s="11" t="n">
        <f aca="false">IF($K283&lt;&gt;"P",0,IFERROR(--OR(AND($I283=0,$J283=IF($F283="w",1,-1),$H283=""),AND($I283=0,$J283=2*IF($F283="w",1,-1),$H283="",INT(($D283-1)/8)=IF($F283="w",1,6),INDEX($AH282:$CS282,1,MAX(1,MIN(64,$D283+8*IF($F283="w",1,-1))))&amp;""=""),AND(ABS($I283)=1,$J283=IF($F283="w",1,-1),$H283&lt;&gt;""),AND(ABS($I283)=1,$J283=IF($F283="w",1,-1),$H283="",$R282&gt;0,$E283=$R282)),0))</f>
        <v>0</v>
      </c>
      <c r="O283" s="11" t="n">
        <f aca="false">IF(OR($D283=0,$E283=0,$G283=""),0,IF($K283="N",--OR(AND(ABS($I283)=1,ABS($J283)=2),AND(ABS($I283)=2,ABS($J283)=1)),IF($K283="B",--AND(ABS($I283)=ABS($J283),$I283&lt;&gt;0,$L283=0),IF($K283="R",--AND(OR($I283=0,$J283=0),OR($I283&lt;&gt;0,$J283&lt;&gt;0),$L283=0),IF($K283="Q",--AND(OR(AND(ABS($I283)=ABS($J283),$I283&lt;&gt;0),AND(OR($I283=0,$J283=0),OR($I283&lt;&gt;0,$J283&lt;&gt;0))),$L283=0),IF($K283="K",--OR(MAX(ABS($I283),ABS($J283))=1,$M283=1),$N283))))))</f>
        <v>0</v>
      </c>
      <c r="P283" s="11" t="n">
        <f aca="false">IF($Q283="OK",1,0)</f>
        <v>0</v>
      </c>
      <c r="Q283" s="11" t="str">
        <f aca="false">IF($B283="","",IF(OR(COUNTIF($AH282:$CS282,"wK")=0,COUNTIF($AH282:$CS282,"bK")=0),"Game is over",IF(OR($D283=0,$E283=0),"Use the format e2e4",IF($G283="","No piece on that square",IF(LEFT($G283,1)&lt;&gt;$F283,"Not your piece ("&amp;IF($F283="w","White","Black")&amp;" to move)",IF($D283=$E283,"Piece must move",IF(AND($H283&lt;&gt;"",LEFT($H283,1)=$F283),"Cannot capture your own piece",IF($O283=0,"Illegal move for that piece (or path blocked)","OK"))))))))</f>
        <v/>
      </c>
      <c r="R283" s="11" t="n">
        <f aca="false">IF($P283=1,IF(AND($K283="P",ABS($J283)=2),($D283+$E283)/2,0),$R282)</f>
        <v>0</v>
      </c>
      <c r="S283" s="12" t="b">
        <f aca="false">--OR($S282=1,AND($P283=1,OR($D283=5,$E283=5)))</f>
        <v>0</v>
      </c>
      <c r="T283" s="12" t="b">
        <f aca="false">--OR($T282=1,AND($P283=1,OR($D283=1,$E283=1)))</f>
        <v>0</v>
      </c>
      <c r="U283" s="12" t="b">
        <f aca="false">--OR($U282=1,AND($P283=1,OR($D283=8,$E283=8)))</f>
        <v>0</v>
      </c>
      <c r="V283" s="12" t="b">
        <f aca="false">--OR($V282=1,AND($P283=1,OR($D283=61,$E283=61)))</f>
        <v>0</v>
      </c>
      <c r="W283" s="12" t="b">
        <f aca="false">--OR($W282=1,AND($P283=1,OR($D283=57,$E283=57)))</f>
        <v>0</v>
      </c>
      <c r="X283" s="12" t="b">
        <f aca="false">--OR($X282=1,AND($P283=1,OR($D283=64,$E283=64)))</f>
        <v>0</v>
      </c>
      <c r="Y283" s="12" t="b">
        <f aca="false">--AND($P283=1,$K283="K",ABS($I283)=2)</f>
        <v>0</v>
      </c>
      <c r="Z283" s="12" t="b">
        <f aca="false">--AND($P283=1,$K283="P",ABS($I283)=1,$H283="")</f>
        <v>0</v>
      </c>
      <c r="AA283" s="12" t="b">
        <f aca="false">--AND($P283=1,$K283="P",INT(($E283-1)/8)=IF($F283="w",7,0))</f>
        <v>0</v>
      </c>
      <c r="AB283" s="11" t="str">
        <f aca="false">IF(LEN($C283)&gt;=5,IF(ISNUMBER(FIND(MID($C283,5,1),"qrbn")),UPPER(MID($C283,5,1)),"Q"),"Q")</f>
        <v>Q</v>
      </c>
      <c r="AC283" s="11" t="n">
        <f aca="false">IF($Y283=1,IF($I283=2,$D283+3,$D283-4),0)</f>
        <v>0</v>
      </c>
      <c r="AD283" s="11" t="n">
        <f aca="false">IF($Y283=1,IF($I283=2,$D283+1,$D283-1),0)</f>
        <v>0</v>
      </c>
      <c r="AE283" s="11" t="n">
        <f aca="false">IF($Z283=1,$E283-8*IF($F283="w",1,-1),0)</f>
        <v>0</v>
      </c>
      <c r="AF283" s="11" t="str">
        <f aca="false">IF($B283="","",IF($P283=1,LOWER(INDEX($CV$2:$CV$13,MATCH($G283,$CU$2:$CU$13,0)))&amp;" "&amp;MID("abcdefgh",MOD($D283-1,8)+1,1)&amp;(INT(($D283-1)/8)+1)&amp;"→"&amp;MID("abcdefgh",MOD($E283-1,8)+1,1)&amp;(INT(($E283-1)/8)+1)&amp;IF(OR($H283&lt;&gt;"",$Z283=1)," ×","")&amp;IF($Y283=1," castles","")&amp;IF($Z283=1," e.p.","")&amp;IF($AA283=1," =" &amp;LOWER(INDEX($CV$2:$CV$13,MATCH($F283&amp;$AB283,$CU$2:$CU$13,0))),""),"X "&amp;$Q283))</f>
        <v/>
      </c>
      <c r="AG283" s="11"/>
      <c r="AH283" s="11" t="str">
        <f aca="false">IF($P283=0,AH282,IF(AH$3=$E283,IF($AA283=1,$F283&amp;$AB283,$G283),IF(OR(AH$3=$D283,AH$3=$AC283,AH$3=$AE283),"",IF(AH$3=$AD283,$F283&amp;"R",AH282))))</f>
        <v>wR</v>
      </c>
      <c r="AI283" s="11" t="str">
        <f aca="false">IF($P283=0,AI282,IF(AI$3=$E283,IF($AA283=1,$F283&amp;$AB283,$G283),IF(OR(AI$3=$D283,AI$3=$AC283,AI$3=$AE283),"",IF(AI$3=$AD283,$F283&amp;"R",AI282))))</f>
        <v>wN</v>
      </c>
      <c r="AJ283" s="11" t="str">
        <f aca="false">IF($P283=0,AJ282,IF(AJ$3=$E283,IF($AA283=1,$F283&amp;$AB283,$G283),IF(OR(AJ$3=$D283,AJ$3=$AC283,AJ$3=$AE283),"",IF(AJ$3=$AD283,$F283&amp;"R",AJ282))))</f>
        <v>wB</v>
      </c>
      <c r="AK283" s="11" t="str">
        <f aca="false">IF($P283=0,AK282,IF(AK$3=$E283,IF($AA283=1,$F283&amp;$AB283,$G283),IF(OR(AK$3=$D283,AK$3=$AC283,AK$3=$AE283),"",IF(AK$3=$AD283,$F283&amp;"R",AK282))))</f>
        <v>wQ</v>
      </c>
      <c r="AL283" s="11" t="str">
        <f aca="false">IF($P283=0,AL282,IF(AL$3=$E283,IF($AA283=1,$F283&amp;$AB283,$G283),IF(OR(AL$3=$D283,AL$3=$AC283,AL$3=$AE283),"",IF(AL$3=$AD283,$F283&amp;"R",AL282))))</f>
        <v>wK</v>
      </c>
      <c r="AM283" s="11" t="str">
        <f aca="false">IF($P283=0,AM282,IF(AM$3=$E283,IF($AA283=1,$F283&amp;$AB283,$G283),IF(OR(AM$3=$D283,AM$3=$AC283,AM$3=$AE283),"",IF(AM$3=$AD283,$F283&amp;"R",AM282))))</f>
        <v>wB</v>
      </c>
      <c r="AN283" s="11" t="str">
        <f aca="false">IF($P283=0,AN282,IF(AN$3=$E283,IF($AA283=1,$F283&amp;$AB283,$G283),IF(OR(AN$3=$D283,AN$3=$AC283,AN$3=$AE283),"",IF(AN$3=$AD283,$F283&amp;"R",AN282))))</f>
        <v>wN</v>
      </c>
      <c r="AO283" s="11" t="str">
        <f aca="false">IF($P283=0,AO282,IF(AO$3=$E283,IF($AA283=1,$F283&amp;$AB283,$G283),IF(OR(AO$3=$D283,AO$3=$AC283,AO$3=$AE283),"",IF(AO$3=$AD283,$F283&amp;"R",AO282))))</f>
        <v>wR</v>
      </c>
      <c r="AP283" s="11" t="str">
        <f aca="false">IF($P283=0,AP282,IF(AP$3=$E283,IF($AA283=1,$F283&amp;$AB283,$G283),IF(OR(AP$3=$D283,AP$3=$AC283,AP$3=$AE283),"",IF(AP$3=$AD283,$F283&amp;"R",AP282))))</f>
        <v>wP</v>
      </c>
      <c r="AQ283" s="11" t="str">
        <f aca="false">IF($P283=0,AQ282,IF(AQ$3=$E283,IF($AA283=1,$F283&amp;$AB283,$G283),IF(OR(AQ$3=$D283,AQ$3=$AC283,AQ$3=$AE283),"",IF(AQ$3=$AD283,$F283&amp;"R",AQ282))))</f>
        <v>wP</v>
      </c>
      <c r="AR283" s="11" t="str">
        <f aca="false">IF($P283=0,AR282,IF(AR$3=$E283,IF($AA283=1,$F283&amp;$AB283,$G283),IF(OR(AR$3=$D283,AR$3=$AC283,AR$3=$AE283),"",IF(AR$3=$AD283,$F283&amp;"R",AR282))))</f>
        <v>wP</v>
      </c>
      <c r="AS283" s="11" t="str">
        <f aca="false">IF($P283=0,AS282,IF(AS$3=$E283,IF($AA283=1,$F283&amp;$AB283,$G283),IF(OR(AS$3=$D283,AS$3=$AC283,AS$3=$AE283),"",IF(AS$3=$AD283,$F283&amp;"R",AS282))))</f>
        <v>wP</v>
      </c>
      <c r="AT283" s="11" t="str">
        <f aca="false">IF($P283=0,AT282,IF(AT$3=$E283,IF($AA283=1,$F283&amp;$AB283,$G283),IF(OR(AT$3=$D283,AT$3=$AC283,AT$3=$AE283),"",IF(AT$3=$AD283,$F283&amp;"R",AT282))))</f>
        <v>wP</v>
      </c>
      <c r="AU283" s="11" t="str">
        <f aca="false">IF($P283=0,AU282,IF(AU$3=$E283,IF($AA283=1,$F283&amp;$AB283,$G283),IF(OR(AU$3=$D283,AU$3=$AC283,AU$3=$AE283),"",IF(AU$3=$AD283,$F283&amp;"R",AU282))))</f>
        <v>wP</v>
      </c>
      <c r="AV283" s="11" t="str">
        <f aca="false">IF($P283=0,AV282,IF(AV$3=$E283,IF($AA283=1,$F283&amp;$AB283,$G283),IF(OR(AV$3=$D283,AV$3=$AC283,AV$3=$AE283),"",IF(AV$3=$AD283,$F283&amp;"R",AV282))))</f>
        <v>wP</v>
      </c>
      <c r="AW283" s="11" t="str">
        <f aca="false">IF($P283=0,AW282,IF(AW$3=$E283,IF($AA283=1,$F283&amp;$AB283,$G283),IF(OR(AW$3=$D283,AW$3=$AC283,AW$3=$AE283),"",IF(AW$3=$AD283,$F283&amp;"R",AW282))))</f>
        <v>wP</v>
      </c>
      <c r="AX283" s="11" t="str">
        <f aca="false">IF($P283=0,AX282,IF(AX$3=$E283,IF($AA283=1,$F283&amp;$AB283,$G283),IF(OR(AX$3=$D283,AX$3=$AC283,AX$3=$AE283),"",IF(AX$3=$AD283,$F283&amp;"R",AX282))))</f>
        <v/>
      </c>
      <c r="AY283" s="11" t="str">
        <f aca="false">IF($P283=0,AY282,IF(AY$3=$E283,IF($AA283=1,$F283&amp;$AB283,$G283),IF(OR(AY$3=$D283,AY$3=$AC283,AY$3=$AE283),"",IF(AY$3=$AD283,$F283&amp;"R",AY282))))</f>
        <v/>
      </c>
      <c r="AZ283" s="11" t="str">
        <f aca="false">IF($P283=0,AZ282,IF(AZ$3=$E283,IF($AA283=1,$F283&amp;$AB283,$G283),IF(OR(AZ$3=$D283,AZ$3=$AC283,AZ$3=$AE283),"",IF(AZ$3=$AD283,$F283&amp;"R",AZ282))))</f>
        <v/>
      </c>
      <c r="BA283" s="11" t="str">
        <f aca="false">IF($P283=0,BA282,IF(BA$3=$E283,IF($AA283=1,$F283&amp;$AB283,$G283),IF(OR(BA$3=$D283,BA$3=$AC283,BA$3=$AE283),"",IF(BA$3=$AD283,$F283&amp;"R",BA282))))</f>
        <v/>
      </c>
      <c r="BB283" s="11" t="str">
        <f aca="false">IF($P283=0,BB282,IF(BB$3=$E283,IF($AA283=1,$F283&amp;$AB283,$G283),IF(OR(BB$3=$D283,BB$3=$AC283,BB$3=$AE283),"",IF(BB$3=$AD283,$F283&amp;"R",BB282))))</f>
        <v/>
      </c>
      <c r="BC283" s="11" t="str">
        <f aca="false">IF($P283=0,BC282,IF(BC$3=$E283,IF($AA283=1,$F283&amp;$AB283,$G283),IF(OR(BC$3=$D283,BC$3=$AC283,BC$3=$AE283),"",IF(BC$3=$AD283,$F283&amp;"R",BC282))))</f>
        <v/>
      </c>
      <c r="BD283" s="11" t="str">
        <f aca="false">IF($P283=0,BD282,IF(BD$3=$E283,IF($AA283=1,$F283&amp;$AB283,$G283),IF(OR(BD$3=$D283,BD$3=$AC283,BD$3=$AE283),"",IF(BD$3=$AD283,$F283&amp;"R",BD282))))</f>
        <v/>
      </c>
      <c r="BE283" s="11" t="str">
        <f aca="false">IF($P283=0,BE282,IF(BE$3=$E283,IF($AA283=1,$F283&amp;$AB283,$G283),IF(OR(BE$3=$D283,BE$3=$AC283,BE$3=$AE283),"",IF(BE$3=$AD283,$F283&amp;"R",BE282))))</f>
        <v/>
      </c>
      <c r="BF283" s="11" t="str">
        <f aca="false">IF($P283=0,BF282,IF(BF$3=$E283,IF($AA283=1,$F283&amp;$AB283,$G283),IF(OR(BF$3=$D283,BF$3=$AC283,BF$3=$AE283),"",IF(BF$3=$AD283,$F283&amp;"R",BF282))))</f>
        <v/>
      </c>
      <c r="BG283" s="11" t="str">
        <f aca="false">IF($P283=0,BG282,IF(BG$3=$E283,IF($AA283=1,$F283&amp;$AB283,$G283),IF(OR(BG$3=$D283,BG$3=$AC283,BG$3=$AE283),"",IF(BG$3=$AD283,$F283&amp;"R",BG282))))</f>
        <v/>
      </c>
      <c r="BH283" s="11" t="str">
        <f aca="false">IF($P283=0,BH282,IF(BH$3=$E283,IF($AA283=1,$F283&amp;$AB283,$G283),IF(OR(BH$3=$D283,BH$3=$AC283,BH$3=$AE283),"",IF(BH$3=$AD283,$F283&amp;"R",BH282))))</f>
        <v/>
      </c>
      <c r="BI283" s="11" t="str">
        <f aca="false">IF($P283=0,BI282,IF(BI$3=$E283,IF($AA283=1,$F283&amp;$AB283,$G283),IF(OR(BI$3=$D283,BI$3=$AC283,BI$3=$AE283),"",IF(BI$3=$AD283,$F283&amp;"R",BI282))))</f>
        <v/>
      </c>
      <c r="BJ283" s="11" t="str">
        <f aca="false">IF($P283=0,BJ282,IF(BJ$3=$E283,IF($AA283=1,$F283&amp;$AB283,$G283),IF(OR(BJ$3=$D283,BJ$3=$AC283,BJ$3=$AE283),"",IF(BJ$3=$AD283,$F283&amp;"R",BJ282))))</f>
        <v/>
      </c>
      <c r="BK283" s="11" t="str">
        <f aca="false">IF($P283=0,BK282,IF(BK$3=$E283,IF($AA283=1,$F283&amp;$AB283,$G283),IF(OR(BK$3=$D283,BK$3=$AC283,BK$3=$AE283),"",IF(BK$3=$AD283,$F283&amp;"R",BK282))))</f>
        <v/>
      </c>
      <c r="BL283" s="11" t="str">
        <f aca="false">IF($P283=0,BL282,IF(BL$3=$E283,IF($AA283=1,$F283&amp;$AB283,$G283),IF(OR(BL$3=$D283,BL$3=$AC283,BL$3=$AE283),"",IF(BL$3=$AD283,$F283&amp;"R",BL282))))</f>
        <v/>
      </c>
      <c r="BM283" s="11" t="str">
        <f aca="false">IF($P283=0,BM282,IF(BM$3=$E283,IF($AA283=1,$F283&amp;$AB283,$G283),IF(OR(BM$3=$D283,BM$3=$AC283,BM$3=$AE283),"",IF(BM$3=$AD283,$F283&amp;"R",BM282))))</f>
        <v/>
      </c>
      <c r="BN283" s="11" t="str">
        <f aca="false">IF($P283=0,BN282,IF(BN$3=$E283,IF($AA283=1,$F283&amp;$AB283,$G283),IF(OR(BN$3=$D283,BN$3=$AC283,BN$3=$AE283),"",IF(BN$3=$AD283,$F283&amp;"R",BN282))))</f>
        <v/>
      </c>
      <c r="BO283" s="11" t="str">
        <f aca="false">IF($P283=0,BO282,IF(BO$3=$E283,IF($AA283=1,$F283&amp;$AB283,$G283),IF(OR(BO$3=$D283,BO$3=$AC283,BO$3=$AE283),"",IF(BO$3=$AD283,$F283&amp;"R",BO282))))</f>
        <v/>
      </c>
      <c r="BP283" s="11" t="str">
        <f aca="false">IF($P283=0,BP282,IF(BP$3=$E283,IF($AA283=1,$F283&amp;$AB283,$G283),IF(OR(BP$3=$D283,BP$3=$AC283,BP$3=$AE283),"",IF(BP$3=$AD283,$F283&amp;"R",BP282))))</f>
        <v/>
      </c>
      <c r="BQ283" s="11" t="str">
        <f aca="false">IF($P283=0,BQ282,IF(BQ$3=$E283,IF($AA283=1,$F283&amp;$AB283,$G283),IF(OR(BQ$3=$D283,BQ$3=$AC283,BQ$3=$AE283),"",IF(BQ$3=$AD283,$F283&amp;"R",BQ282))))</f>
        <v/>
      </c>
      <c r="BR283" s="11" t="str">
        <f aca="false">IF($P283=0,BR282,IF(BR$3=$E283,IF($AA283=1,$F283&amp;$AB283,$G283),IF(OR(BR$3=$D283,BR$3=$AC283,BR$3=$AE283),"",IF(BR$3=$AD283,$F283&amp;"R",BR282))))</f>
        <v/>
      </c>
      <c r="BS283" s="11" t="str">
        <f aca="false">IF($P283=0,BS282,IF(BS$3=$E283,IF($AA283=1,$F283&amp;$AB283,$G283),IF(OR(BS$3=$D283,BS$3=$AC283,BS$3=$AE283),"",IF(BS$3=$AD283,$F283&amp;"R",BS282))))</f>
        <v/>
      </c>
      <c r="BT283" s="11" t="str">
        <f aca="false">IF($P283=0,BT282,IF(BT$3=$E283,IF($AA283=1,$F283&amp;$AB283,$G283),IF(OR(BT$3=$D283,BT$3=$AC283,BT$3=$AE283),"",IF(BT$3=$AD283,$F283&amp;"R",BT282))))</f>
        <v/>
      </c>
      <c r="BU283" s="11" t="str">
        <f aca="false">IF($P283=0,BU282,IF(BU$3=$E283,IF($AA283=1,$F283&amp;$AB283,$G283),IF(OR(BU$3=$D283,BU$3=$AC283,BU$3=$AE283),"",IF(BU$3=$AD283,$F283&amp;"R",BU282))))</f>
        <v/>
      </c>
      <c r="BV283" s="11" t="str">
        <f aca="false">IF($P283=0,BV282,IF(BV$3=$E283,IF($AA283=1,$F283&amp;$AB283,$G283),IF(OR(BV$3=$D283,BV$3=$AC283,BV$3=$AE283),"",IF(BV$3=$AD283,$F283&amp;"R",BV282))))</f>
        <v/>
      </c>
      <c r="BW283" s="11" t="str">
        <f aca="false">IF($P283=0,BW282,IF(BW$3=$E283,IF($AA283=1,$F283&amp;$AB283,$G283),IF(OR(BW$3=$D283,BW$3=$AC283,BW$3=$AE283),"",IF(BW$3=$AD283,$F283&amp;"R",BW282))))</f>
        <v/>
      </c>
      <c r="BX283" s="11" t="str">
        <f aca="false">IF($P283=0,BX282,IF(BX$3=$E283,IF($AA283=1,$F283&amp;$AB283,$G283),IF(OR(BX$3=$D283,BX$3=$AC283,BX$3=$AE283),"",IF(BX$3=$AD283,$F283&amp;"R",BX282))))</f>
        <v/>
      </c>
      <c r="BY283" s="11" t="str">
        <f aca="false">IF($P283=0,BY282,IF(BY$3=$E283,IF($AA283=1,$F283&amp;$AB283,$G283),IF(OR(BY$3=$D283,BY$3=$AC283,BY$3=$AE283),"",IF(BY$3=$AD283,$F283&amp;"R",BY282))))</f>
        <v/>
      </c>
      <c r="BZ283" s="11" t="str">
        <f aca="false">IF($P283=0,BZ282,IF(BZ$3=$E283,IF($AA283=1,$F283&amp;$AB283,$G283),IF(OR(BZ$3=$D283,BZ$3=$AC283,BZ$3=$AE283),"",IF(BZ$3=$AD283,$F283&amp;"R",BZ282))))</f>
        <v/>
      </c>
      <c r="CA283" s="11" t="str">
        <f aca="false">IF($P283=0,CA282,IF(CA$3=$E283,IF($AA283=1,$F283&amp;$AB283,$G283),IF(OR(CA$3=$D283,CA$3=$AC283,CA$3=$AE283),"",IF(CA$3=$AD283,$F283&amp;"R",CA282))))</f>
        <v/>
      </c>
      <c r="CB283" s="11" t="str">
        <f aca="false">IF($P283=0,CB282,IF(CB$3=$E283,IF($AA283=1,$F283&amp;$AB283,$G283),IF(OR(CB$3=$D283,CB$3=$AC283,CB$3=$AE283),"",IF(CB$3=$AD283,$F283&amp;"R",CB282))))</f>
        <v/>
      </c>
      <c r="CC283" s="11" t="str">
        <f aca="false">IF($P283=0,CC282,IF(CC$3=$E283,IF($AA283=1,$F283&amp;$AB283,$G283),IF(OR(CC$3=$D283,CC$3=$AC283,CC$3=$AE283),"",IF(CC$3=$AD283,$F283&amp;"R",CC282))))</f>
        <v/>
      </c>
      <c r="CD283" s="11" t="str">
        <f aca="false">IF($P283=0,CD282,IF(CD$3=$E283,IF($AA283=1,$F283&amp;$AB283,$G283),IF(OR(CD$3=$D283,CD$3=$AC283,CD$3=$AE283),"",IF(CD$3=$AD283,$F283&amp;"R",CD282))))</f>
        <v>bP</v>
      </c>
      <c r="CE283" s="11" t="str">
        <f aca="false">IF($P283=0,CE282,IF(CE$3=$E283,IF($AA283=1,$F283&amp;$AB283,$G283),IF(OR(CE$3=$D283,CE$3=$AC283,CE$3=$AE283),"",IF(CE$3=$AD283,$F283&amp;"R",CE282))))</f>
        <v>bP</v>
      </c>
      <c r="CF283" s="11" t="str">
        <f aca="false">IF($P283=0,CF282,IF(CF$3=$E283,IF($AA283=1,$F283&amp;$AB283,$G283),IF(OR(CF$3=$D283,CF$3=$AC283,CF$3=$AE283),"",IF(CF$3=$AD283,$F283&amp;"R",CF282))))</f>
        <v>bP</v>
      </c>
      <c r="CG283" s="11" t="str">
        <f aca="false">IF($P283=0,CG282,IF(CG$3=$E283,IF($AA283=1,$F283&amp;$AB283,$G283),IF(OR(CG$3=$D283,CG$3=$AC283,CG$3=$AE283),"",IF(CG$3=$AD283,$F283&amp;"R",CG282))))</f>
        <v>bP</v>
      </c>
      <c r="CH283" s="11" t="str">
        <f aca="false">IF($P283=0,CH282,IF(CH$3=$E283,IF($AA283=1,$F283&amp;$AB283,$G283),IF(OR(CH$3=$D283,CH$3=$AC283,CH$3=$AE283),"",IF(CH$3=$AD283,$F283&amp;"R",CH282))))</f>
        <v>bP</v>
      </c>
      <c r="CI283" s="11" t="str">
        <f aca="false">IF($P283=0,CI282,IF(CI$3=$E283,IF($AA283=1,$F283&amp;$AB283,$G283),IF(OR(CI$3=$D283,CI$3=$AC283,CI$3=$AE283),"",IF(CI$3=$AD283,$F283&amp;"R",CI282))))</f>
        <v>bP</v>
      </c>
      <c r="CJ283" s="11" t="str">
        <f aca="false">IF($P283=0,CJ282,IF(CJ$3=$E283,IF($AA283=1,$F283&amp;$AB283,$G283),IF(OR(CJ$3=$D283,CJ$3=$AC283,CJ$3=$AE283),"",IF(CJ$3=$AD283,$F283&amp;"R",CJ282))))</f>
        <v>bP</v>
      </c>
      <c r="CK283" s="11" t="str">
        <f aca="false">IF($P283=0,CK282,IF(CK$3=$E283,IF($AA283=1,$F283&amp;$AB283,$G283),IF(OR(CK$3=$D283,CK$3=$AC283,CK$3=$AE283),"",IF(CK$3=$AD283,$F283&amp;"R",CK282))))</f>
        <v>bP</v>
      </c>
      <c r="CL283" s="11" t="str">
        <f aca="false">IF($P283=0,CL282,IF(CL$3=$E283,IF($AA283=1,$F283&amp;$AB283,$G283),IF(OR(CL$3=$D283,CL$3=$AC283,CL$3=$AE283),"",IF(CL$3=$AD283,$F283&amp;"R",CL282))))</f>
        <v>bR</v>
      </c>
      <c r="CM283" s="11" t="str">
        <f aca="false">IF($P283=0,CM282,IF(CM$3=$E283,IF($AA283=1,$F283&amp;$AB283,$G283),IF(OR(CM$3=$D283,CM$3=$AC283,CM$3=$AE283),"",IF(CM$3=$AD283,$F283&amp;"R",CM282))))</f>
        <v>bN</v>
      </c>
      <c r="CN283" s="11" t="str">
        <f aca="false">IF($P283=0,CN282,IF(CN$3=$E283,IF($AA283=1,$F283&amp;$AB283,$G283),IF(OR(CN$3=$D283,CN$3=$AC283,CN$3=$AE283),"",IF(CN$3=$AD283,$F283&amp;"R",CN282))))</f>
        <v>bB</v>
      </c>
      <c r="CO283" s="11" t="str">
        <f aca="false">IF($P283=0,CO282,IF(CO$3=$E283,IF($AA283=1,$F283&amp;$AB283,$G283),IF(OR(CO$3=$D283,CO$3=$AC283,CO$3=$AE283),"",IF(CO$3=$AD283,$F283&amp;"R",CO282))))</f>
        <v>bQ</v>
      </c>
      <c r="CP283" s="11" t="str">
        <f aca="false">IF($P283=0,CP282,IF(CP$3=$E283,IF($AA283=1,$F283&amp;$AB283,$G283),IF(OR(CP$3=$D283,CP$3=$AC283,CP$3=$AE283),"",IF(CP$3=$AD283,$F283&amp;"R",CP282))))</f>
        <v>bK</v>
      </c>
      <c r="CQ283" s="11" t="str">
        <f aca="false">IF($P283=0,CQ282,IF(CQ$3=$E283,IF($AA283=1,$F283&amp;$AB283,$G283),IF(OR(CQ$3=$D283,CQ$3=$AC283,CQ$3=$AE283),"",IF(CQ$3=$AD283,$F283&amp;"R",CQ282))))</f>
        <v>bB</v>
      </c>
      <c r="CR283" s="11" t="str">
        <f aca="false">IF($P283=0,CR282,IF(CR$3=$E283,IF($AA283=1,$F283&amp;$AB283,$G283),IF(OR(CR$3=$D283,CR$3=$AC283,CR$3=$AE283),"",IF(CR$3=$AD283,$F283&amp;"R",CR282))))</f>
        <v>bN</v>
      </c>
      <c r="CS283" s="11" t="str">
        <f aca="false">IF($P283=0,CS282,IF(CS$3=$E283,IF($AA283=1,$F283&amp;$AB283,$G283),IF(OR(CS$3=$D283,CS$3=$AC283,CS$3=$AE283),"",IF(CS$3=$AD283,$F283&amp;"R",CS282))))</f>
        <v>bR</v>
      </c>
      <c r="CT283" s="11"/>
      <c r="CU283" s="11"/>
      <c r="CV283" s="11"/>
    </row>
    <row r="284" customFormat="false" ht="15" hidden="false" customHeight="false" outlineLevel="0" collapsed="false">
      <c r="A284" s="11" t="n">
        <v>279</v>
      </c>
      <c r="B284" s="11" t="str">
        <f aca="false">IF(Chess!$L$288="","",Chess!$L$288&amp;"")</f>
        <v/>
      </c>
      <c r="C284" s="11" t="str">
        <f aca="false">LOWER(SUBSTITUTE(SUBSTITUTE(SUBSTITUTE(SUBSTITUTE(TRIM($B284),"-",""),"=","")," ",""),"x",""))</f>
        <v/>
      </c>
      <c r="D284" s="11" t="n">
        <f aca="false">IF(LEN($C284)&lt;4,0,IFERROR(IF(AND(CODE(MID($C284,1,1))&gt;=97,CODE(MID($C284,1,1))&lt;=104,VALUE(MID($C284,2,1))&gt;=1,VALUE(MID($C284,2,1))&lt;=8),(VALUE(MID($C284,2,1))-1)*8+CODE(MID($C284,1,1))-96,0),0))</f>
        <v>0</v>
      </c>
      <c r="E284" s="11" t="n">
        <f aca="false">IF(LEN($C284)&lt;4,0,IFERROR(IF(AND(CODE(MID($C284,3,1))&gt;=97,CODE(MID($C284,3,1))&lt;=104,VALUE(MID($C284,4,1))&gt;=1,VALUE(MID($C284,4,1))&lt;=8),(VALUE(MID($C284,4,1))-1)*8+CODE(MID($C284,3,1))-96,0),0))</f>
        <v>0</v>
      </c>
      <c r="F284" s="11" t="str">
        <f aca="false">IF(MOD(SUM($P$5:$P283),2)=0,"w","b")</f>
        <v>w</v>
      </c>
      <c r="G284" s="11" t="str">
        <f aca="false">IF($D284=0,"",INDEX($AH283:$CS283,1,$D284)&amp;"")</f>
        <v/>
      </c>
      <c r="H284" s="11" t="str">
        <f aca="false">IF($E284=0,"",INDEX($AH283:$CS283,1,$E284)&amp;"")</f>
        <v/>
      </c>
      <c r="I284" s="11" t="n">
        <f aca="false">IF(OR($D284=0,$E284=0),0,MOD($E284-1,8)-MOD($D284-1,8))</f>
        <v>0</v>
      </c>
      <c r="J284" s="11" t="n">
        <f aca="false">IF(OR($D284=0,$E284=0),0,INT(($E284-1)/8)-INT(($D284-1)/8))</f>
        <v>0</v>
      </c>
      <c r="K284" s="11" t="str">
        <f aca="false">IF($G284="","",RIGHT($G284,1))</f>
        <v/>
      </c>
      <c r="L284" s="11" t="n">
        <f aca="false">IF(OR($D284=0,$E284=0),0,SUMPRODUCT(($AH$3:$CS$3&gt;MIN($D284,$E284))*($AH$3:$CS$3&lt;MAX($D284,$E284))*(MOD($AH$3:$CS$3-MIN($D284,$E284),MAX(1,ABS(SIGN($J284)*8+SIGN($I284))))=0)*($AH283:$CS283&lt;&gt;"")))</f>
        <v>0</v>
      </c>
      <c r="M284" s="11" t="n">
        <f aca="false">IF($K284&lt;&gt;"K",0,IFERROR(--AND($J284=0,ABS($I284)=2,$D284=IF($F284="w",5,61),IF($F284="w",$S283,$V283)=0,IF($I284=2,AND(IF($F284="w",$U283,$X283)=0,INDEX($AH283:$CS283,1,$D284+1)&amp;""="",INDEX($AH283:$CS283,1,$D284+2)&amp;""=""),AND(IF($F284="w",$T283,$W283)=0,INDEX($AH283:$CS283,1,$D284-1)&amp;""="",INDEX($AH283:$CS283,1,$D284-2)&amp;""="",INDEX($AH283:$CS283,1,$D284-3)&amp;""=""))),0))</f>
        <v>0</v>
      </c>
      <c r="N284" s="11" t="n">
        <f aca="false">IF($K284&lt;&gt;"P",0,IFERROR(--OR(AND($I284=0,$J284=IF($F284="w",1,-1),$H284=""),AND($I284=0,$J284=2*IF($F284="w",1,-1),$H284="",INT(($D284-1)/8)=IF($F284="w",1,6),INDEX($AH283:$CS283,1,MAX(1,MIN(64,$D284+8*IF($F284="w",1,-1))))&amp;""=""),AND(ABS($I284)=1,$J284=IF($F284="w",1,-1),$H284&lt;&gt;""),AND(ABS($I284)=1,$J284=IF($F284="w",1,-1),$H284="",$R283&gt;0,$E284=$R283)),0))</f>
        <v>0</v>
      </c>
      <c r="O284" s="11" t="n">
        <f aca="false">IF(OR($D284=0,$E284=0,$G284=""),0,IF($K284="N",--OR(AND(ABS($I284)=1,ABS($J284)=2),AND(ABS($I284)=2,ABS($J284)=1)),IF($K284="B",--AND(ABS($I284)=ABS($J284),$I284&lt;&gt;0,$L284=0),IF($K284="R",--AND(OR($I284=0,$J284=0),OR($I284&lt;&gt;0,$J284&lt;&gt;0),$L284=0),IF($K284="Q",--AND(OR(AND(ABS($I284)=ABS($J284),$I284&lt;&gt;0),AND(OR($I284=0,$J284=0),OR($I284&lt;&gt;0,$J284&lt;&gt;0))),$L284=0),IF($K284="K",--OR(MAX(ABS($I284),ABS($J284))=1,$M284=1),$N284))))))</f>
        <v>0</v>
      </c>
      <c r="P284" s="11" t="n">
        <f aca="false">IF($Q284="OK",1,0)</f>
        <v>0</v>
      </c>
      <c r="Q284" s="11" t="str">
        <f aca="false">IF($B284="","",IF(OR(COUNTIF($AH283:$CS283,"wK")=0,COUNTIF($AH283:$CS283,"bK")=0),"Game is over",IF(OR($D284=0,$E284=0),"Use the format e2e4",IF($G284="","No piece on that square",IF(LEFT($G284,1)&lt;&gt;$F284,"Not your piece ("&amp;IF($F284="w","White","Black")&amp;" to move)",IF($D284=$E284,"Piece must move",IF(AND($H284&lt;&gt;"",LEFT($H284,1)=$F284),"Cannot capture your own piece",IF($O284=0,"Illegal move for that piece (or path blocked)","OK"))))))))</f>
        <v/>
      </c>
      <c r="R284" s="11" t="n">
        <f aca="false">IF($P284=1,IF(AND($K284="P",ABS($J284)=2),($D284+$E284)/2,0),$R283)</f>
        <v>0</v>
      </c>
      <c r="S284" s="12" t="b">
        <f aca="false">--OR($S283=1,AND($P284=1,OR($D284=5,$E284=5)))</f>
        <v>0</v>
      </c>
      <c r="T284" s="12" t="b">
        <f aca="false">--OR($T283=1,AND($P284=1,OR($D284=1,$E284=1)))</f>
        <v>0</v>
      </c>
      <c r="U284" s="12" t="b">
        <f aca="false">--OR($U283=1,AND($P284=1,OR($D284=8,$E284=8)))</f>
        <v>0</v>
      </c>
      <c r="V284" s="12" t="b">
        <f aca="false">--OR($V283=1,AND($P284=1,OR($D284=61,$E284=61)))</f>
        <v>0</v>
      </c>
      <c r="W284" s="12" t="b">
        <f aca="false">--OR($W283=1,AND($P284=1,OR($D284=57,$E284=57)))</f>
        <v>0</v>
      </c>
      <c r="X284" s="12" t="b">
        <f aca="false">--OR($X283=1,AND($P284=1,OR($D284=64,$E284=64)))</f>
        <v>0</v>
      </c>
      <c r="Y284" s="12" t="b">
        <f aca="false">--AND($P284=1,$K284="K",ABS($I284)=2)</f>
        <v>0</v>
      </c>
      <c r="Z284" s="12" t="b">
        <f aca="false">--AND($P284=1,$K284="P",ABS($I284)=1,$H284="")</f>
        <v>0</v>
      </c>
      <c r="AA284" s="12" t="b">
        <f aca="false">--AND($P284=1,$K284="P",INT(($E284-1)/8)=IF($F284="w",7,0))</f>
        <v>0</v>
      </c>
      <c r="AB284" s="11" t="str">
        <f aca="false">IF(LEN($C284)&gt;=5,IF(ISNUMBER(FIND(MID($C284,5,1),"qrbn")),UPPER(MID($C284,5,1)),"Q"),"Q")</f>
        <v>Q</v>
      </c>
      <c r="AC284" s="11" t="n">
        <f aca="false">IF($Y284=1,IF($I284=2,$D284+3,$D284-4),0)</f>
        <v>0</v>
      </c>
      <c r="AD284" s="11" t="n">
        <f aca="false">IF($Y284=1,IF($I284=2,$D284+1,$D284-1),0)</f>
        <v>0</v>
      </c>
      <c r="AE284" s="11" t="n">
        <f aca="false">IF($Z284=1,$E284-8*IF($F284="w",1,-1),0)</f>
        <v>0</v>
      </c>
      <c r="AF284" s="11" t="str">
        <f aca="false">IF($B284="","",IF($P284=1,LOWER(INDEX($CV$2:$CV$13,MATCH($G284,$CU$2:$CU$13,0)))&amp;" "&amp;MID("abcdefgh",MOD($D284-1,8)+1,1)&amp;(INT(($D284-1)/8)+1)&amp;"→"&amp;MID("abcdefgh",MOD($E284-1,8)+1,1)&amp;(INT(($E284-1)/8)+1)&amp;IF(OR($H284&lt;&gt;"",$Z284=1)," ×","")&amp;IF($Y284=1," castles","")&amp;IF($Z284=1," e.p.","")&amp;IF($AA284=1," =" &amp;LOWER(INDEX($CV$2:$CV$13,MATCH($F284&amp;$AB284,$CU$2:$CU$13,0))),""),"X "&amp;$Q284))</f>
        <v/>
      </c>
      <c r="AG284" s="11"/>
      <c r="AH284" s="11" t="str">
        <f aca="false">IF($P284=0,AH283,IF(AH$3=$E284,IF($AA284=1,$F284&amp;$AB284,$G284),IF(OR(AH$3=$D284,AH$3=$AC284,AH$3=$AE284),"",IF(AH$3=$AD284,$F284&amp;"R",AH283))))</f>
        <v>wR</v>
      </c>
      <c r="AI284" s="11" t="str">
        <f aca="false">IF($P284=0,AI283,IF(AI$3=$E284,IF($AA284=1,$F284&amp;$AB284,$G284),IF(OR(AI$3=$D284,AI$3=$AC284,AI$3=$AE284),"",IF(AI$3=$AD284,$F284&amp;"R",AI283))))</f>
        <v>wN</v>
      </c>
      <c r="AJ284" s="11" t="str">
        <f aca="false">IF($P284=0,AJ283,IF(AJ$3=$E284,IF($AA284=1,$F284&amp;$AB284,$G284),IF(OR(AJ$3=$D284,AJ$3=$AC284,AJ$3=$AE284),"",IF(AJ$3=$AD284,$F284&amp;"R",AJ283))))</f>
        <v>wB</v>
      </c>
      <c r="AK284" s="11" t="str">
        <f aca="false">IF($P284=0,AK283,IF(AK$3=$E284,IF($AA284=1,$F284&amp;$AB284,$G284),IF(OR(AK$3=$D284,AK$3=$AC284,AK$3=$AE284),"",IF(AK$3=$AD284,$F284&amp;"R",AK283))))</f>
        <v>wQ</v>
      </c>
      <c r="AL284" s="11" t="str">
        <f aca="false">IF($P284=0,AL283,IF(AL$3=$E284,IF($AA284=1,$F284&amp;$AB284,$G284),IF(OR(AL$3=$D284,AL$3=$AC284,AL$3=$AE284),"",IF(AL$3=$AD284,$F284&amp;"R",AL283))))</f>
        <v>wK</v>
      </c>
      <c r="AM284" s="11" t="str">
        <f aca="false">IF($P284=0,AM283,IF(AM$3=$E284,IF($AA284=1,$F284&amp;$AB284,$G284),IF(OR(AM$3=$D284,AM$3=$AC284,AM$3=$AE284),"",IF(AM$3=$AD284,$F284&amp;"R",AM283))))</f>
        <v>wB</v>
      </c>
      <c r="AN284" s="11" t="str">
        <f aca="false">IF($P284=0,AN283,IF(AN$3=$E284,IF($AA284=1,$F284&amp;$AB284,$G284),IF(OR(AN$3=$D284,AN$3=$AC284,AN$3=$AE284),"",IF(AN$3=$AD284,$F284&amp;"R",AN283))))</f>
        <v>wN</v>
      </c>
      <c r="AO284" s="11" t="str">
        <f aca="false">IF($P284=0,AO283,IF(AO$3=$E284,IF($AA284=1,$F284&amp;$AB284,$G284),IF(OR(AO$3=$D284,AO$3=$AC284,AO$3=$AE284),"",IF(AO$3=$AD284,$F284&amp;"R",AO283))))</f>
        <v>wR</v>
      </c>
      <c r="AP284" s="11" t="str">
        <f aca="false">IF($P284=0,AP283,IF(AP$3=$E284,IF($AA284=1,$F284&amp;$AB284,$G284),IF(OR(AP$3=$D284,AP$3=$AC284,AP$3=$AE284),"",IF(AP$3=$AD284,$F284&amp;"R",AP283))))</f>
        <v>wP</v>
      </c>
      <c r="AQ284" s="11" t="str">
        <f aca="false">IF($P284=0,AQ283,IF(AQ$3=$E284,IF($AA284=1,$F284&amp;$AB284,$G284),IF(OR(AQ$3=$D284,AQ$3=$AC284,AQ$3=$AE284),"",IF(AQ$3=$AD284,$F284&amp;"R",AQ283))))</f>
        <v>wP</v>
      </c>
      <c r="AR284" s="11" t="str">
        <f aca="false">IF($P284=0,AR283,IF(AR$3=$E284,IF($AA284=1,$F284&amp;$AB284,$G284),IF(OR(AR$3=$D284,AR$3=$AC284,AR$3=$AE284),"",IF(AR$3=$AD284,$F284&amp;"R",AR283))))</f>
        <v>wP</v>
      </c>
      <c r="AS284" s="11" t="str">
        <f aca="false">IF($P284=0,AS283,IF(AS$3=$E284,IF($AA284=1,$F284&amp;$AB284,$G284),IF(OR(AS$3=$D284,AS$3=$AC284,AS$3=$AE284),"",IF(AS$3=$AD284,$F284&amp;"R",AS283))))</f>
        <v>wP</v>
      </c>
      <c r="AT284" s="11" t="str">
        <f aca="false">IF($P284=0,AT283,IF(AT$3=$E284,IF($AA284=1,$F284&amp;$AB284,$G284),IF(OR(AT$3=$D284,AT$3=$AC284,AT$3=$AE284),"",IF(AT$3=$AD284,$F284&amp;"R",AT283))))</f>
        <v>wP</v>
      </c>
      <c r="AU284" s="11" t="str">
        <f aca="false">IF($P284=0,AU283,IF(AU$3=$E284,IF($AA284=1,$F284&amp;$AB284,$G284),IF(OR(AU$3=$D284,AU$3=$AC284,AU$3=$AE284),"",IF(AU$3=$AD284,$F284&amp;"R",AU283))))</f>
        <v>wP</v>
      </c>
      <c r="AV284" s="11" t="str">
        <f aca="false">IF($P284=0,AV283,IF(AV$3=$E284,IF($AA284=1,$F284&amp;$AB284,$G284),IF(OR(AV$3=$D284,AV$3=$AC284,AV$3=$AE284),"",IF(AV$3=$AD284,$F284&amp;"R",AV283))))</f>
        <v>wP</v>
      </c>
      <c r="AW284" s="11" t="str">
        <f aca="false">IF($P284=0,AW283,IF(AW$3=$E284,IF($AA284=1,$F284&amp;$AB284,$G284),IF(OR(AW$3=$D284,AW$3=$AC284,AW$3=$AE284),"",IF(AW$3=$AD284,$F284&amp;"R",AW283))))</f>
        <v>wP</v>
      </c>
      <c r="AX284" s="11" t="str">
        <f aca="false">IF($P284=0,AX283,IF(AX$3=$E284,IF($AA284=1,$F284&amp;$AB284,$G284),IF(OR(AX$3=$D284,AX$3=$AC284,AX$3=$AE284),"",IF(AX$3=$AD284,$F284&amp;"R",AX283))))</f>
        <v/>
      </c>
      <c r="AY284" s="11" t="str">
        <f aca="false">IF($P284=0,AY283,IF(AY$3=$E284,IF($AA284=1,$F284&amp;$AB284,$G284),IF(OR(AY$3=$D284,AY$3=$AC284,AY$3=$AE284),"",IF(AY$3=$AD284,$F284&amp;"R",AY283))))</f>
        <v/>
      </c>
      <c r="AZ284" s="11" t="str">
        <f aca="false">IF($P284=0,AZ283,IF(AZ$3=$E284,IF($AA284=1,$F284&amp;$AB284,$G284),IF(OR(AZ$3=$D284,AZ$3=$AC284,AZ$3=$AE284),"",IF(AZ$3=$AD284,$F284&amp;"R",AZ283))))</f>
        <v/>
      </c>
      <c r="BA284" s="11" t="str">
        <f aca="false">IF($P284=0,BA283,IF(BA$3=$E284,IF($AA284=1,$F284&amp;$AB284,$G284),IF(OR(BA$3=$D284,BA$3=$AC284,BA$3=$AE284),"",IF(BA$3=$AD284,$F284&amp;"R",BA283))))</f>
        <v/>
      </c>
      <c r="BB284" s="11" t="str">
        <f aca="false">IF($P284=0,BB283,IF(BB$3=$E284,IF($AA284=1,$F284&amp;$AB284,$G284),IF(OR(BB$3=$D284,BB$3=$AC284,BB$3=$AE284),"",IF(BB$3=$AD284,$F284&amp;"R",BB283))))</f>
        <v/>
      </c>
      <c r="BC284" s="11" t="str">
        <f aca="false">IF($P284=0,BC283,IF(BC$3=$E284,IF($AA284=1,$F284&amp;$AB284,$G284),IF(OR(BC$3=$D284,BC$3=$AC284,BC$3=$AE284),"",IF(BC$3=$AD284,$F284&amp;"R",BC283))))</f>
        <v/>
      </c>
      <c r="BD284" s="11" t="str">
        <f aca="false">IF($P284=0,BD283,IF(BD$3=$E284,IF($AA284=1,$F284&amp;$AB284,$G284),IF(OR(BD$3=$D284,BD$3=$AC284,BD$3=$AE284),"",IF(BD$3=$AD284,$F284&amp;"R",BD283))))</f>
        <v/>
      </c>
      <c r="BE284" s="11" t="str">
        <f aca="false">IF($P284=0,BE283,IF(BE$3=$E284,IF($AA284=1,$F284&amp;$AB284,$G284),IF(OR(BE$3=$D284,BE$3=$AC284,BE$3=$AE284),"",IF(BE$3=$AD284,$F284&amp;"R",BE283))))</f>
        <v/>
      </c>
      <c r="BF284" s="11" t="str">
        <f aca="false">IF($P284=0,BF283,IF(BF$3=$E284,IF($AA284=1,$F284&amp;$AB284,$G284),IF(OR(BF$3=$D284,BF$3=$AC284,BF$3=$AE284),"",IF(BF$3=$AD284,$F284&amp;"R",BF283))))</f>
        <v/>
      </c>
      <c r="BG284" s="11" t="str">
        <f aca="false">IF($P284=0,BG283,IF(BG$3=$E284,IF($AA284=1,$F284&amp;$AB284,$G284),IF(OR(BG$3=$D284,BG$3=$AC284,BG$3=$AE284),"",IF(BG$3=$AD284,$F284&amp;"R",BG283))))</f>
        <v/>
      </c>
      <c r="BH284" s="11" t="str">
        <f aca="false">IF($P284=0,BH283,IF(BH$3=$E284,IF($AA284=1,$F284&amp;$AB284,$G284),IF(OR(BH$3=$D284,BH$3=$AC284,BH$3=$AE284),"",IF(BH$3=$AD284,$F284&amp;"R",BH283))))</f>
        <v/>
      </c>
      <c r="BI284" s="11" t="str">
        <f aca="false">IF($P284=0,BI283,IF(BI$3=$E284,IF($AA284=1,$F284&amp;$AB284,$G284),IF(OR(BI$3=$D284,BI$3=$AC284,BI$3=$AE284),"",IF(BI$3=$AD284,$F284&amp;"R",BI283))))</f>
        <v/>
      </c>
      <c r="BJ284" s="11" t="str">
        <f aca="false">IF($P284=0,BJ283,IF(BJ$3=$E284,IF($AA284=1,$F284&amp;$AB284,$G284),IF(OR(BJ$3=$D284,BJ$3=$AC284,BJ$3=$AE284),"",IF(BJ$3=$AD284,$F284&amp;"R",BJ283))))</f>
        <v/>
      </c>
      <c r="BK284" s="11" t="str">
        <f aca="false">IF($P284=0,BK283,IF(BK$3=$E284,IF($AA284=1,$F284&amp;$AB284,$G284),IF(OR(BK$3=$D284,BK$3=$AC284,BK$3=$AE284),"",IF(BK$3=$AD284,$F284&amp;"R",BK283))))</f>
        <v/>
      </c>
      <c r="BL284" s="11" t="str">
        <f aca="false">IF($P284=0,BL283,IF(BL$3=$E284,IF($AA284=1,$F284&amp;$AB284,$G284),IF(OR(BL$3=$D284,BL$3=$AC284,BL$3=$AE284),"",IF(BL$3=$AD284,$F284&amp;"R",BL283))))</f>
        <v/>
      </c>
      <c r="BM284" s="11" t="str">
        <f aca="false">IF($P284=0,BM283,IF(BM$3=$E284,IF($AA284=1,$F284&amp;$AB284,$G284),IF(OR(BM$3=$D284,BM$3=$AC284,BM$3=$AE284),"",IF(BM$3=$AD284,$F284&amp;"R",BM283))))</f>
        <v/>
      </c>
      <c r="BN284" s="11" t="str">
        <f aca="false">IF($P284=0,BN283,IF(BN$3=$E284,IF($AA284=1,$F284&amp;$AB284,$G284),IF(OR(BN$3=$D284,BN$3=$AC284,BN$3=$AE284),"",IF(BN$3=$AD284,$F284&amp;"R",BN283))))</f>
        <v/>
      </c>
      <c r="BO284" s="11" t="str">
        <f aca="false">IF($P284=0,BO283,IF(BO$3=$E284,IF($AA284=1,$F284&amp;$AB284,$G284),IF(OR(BO$3=$D284,BO$3=$AC284,BO$3=$AE284),"",IF(BO$3=$AD284,$F284&amp;"R",BO283))))</f>
        <v/>
      </c>
      <c r="BP284" s="11" t="str">
        <f aca="false">IF($P284=0,BP283,IF(BP$3=$E284,IF($AA284=1,$F284&amp;$AB284,$G284),IF(OR(BP$3=$D284,BP$3=$AC284,BP$3=$AE284),"",IF(BP$3=$AD284,$F284&amp;"R",BP283))))</f>
        <v/>
      </c>
      <c r="BQ284" s="11" t="str">
        <f aca="false">IF($P284=0,BQ283,IF(BQ$3=$E284,IF($AA284=1,$F284&amp;$AB284,$G284),IF(OR(BQ$3=$D284,BQ$3=$AC284,BQ$3=$AE284),"",IF(BQ$3=$AD284,$F284&amp;"R",BQ283))))</f>
        <v/>
      </c>
      <c r="BR284" s="11" t="str">
        <f aca="false">IF($P284=0,BR283,IF(BR$3=$E284,IF($AA284=1,$F284&amp;$AB284,$G284),IF(OR(BR$3=$D284,BR$3=$AC284,BR$3=$AE284),"",IF(BR$3=$AD284,$F284&amp;"R",BR283))))</f>
        <v/>
      </c>
      <c r="BS284" s="11" t="str">
        <f aca="false">IF($P284=0,BS283,IF(BS$3=$E284,IF($AA284=1,$F284&amp;$AB284,$G284),IF(OR(BS$3=$D284,BS$3=$AC284,BS$3=$AE284),"",IF(BS$3=$AD284,$F284&amp;"R",BS283))))</f>
        <v/>
      </c>
      <c r="BT284" s="11" t="str">
        <f aca="false">IF($P284=0,BT283,IF(BT$3=$E284,IF($AA284=1,$F284&amp;$AB284,$G284),IF(OR(BT$3=$D284,BT$3=$AC284,BT$3=$AE284),"",IF(BT$3=$AD284,$F284&amp;"R",BT283))))</f>
        <v/>
      </c>
      <c r="BU284" s="11" t="str">
        <f aca="false">IF($P284=0,BU283,IF(BU$3=$E284,IF($AA284=1,$F284&amp;$AB284,$G284),IF(OR(BU$3=$D284,BU$3=$AC284,BU$3=$AE284),"",IF(BU$3=$AD284,$F284&amp;"R",BU283))))</f>
        <v/>
      </c>
      <c r="BV284" s="11" t="str">
        <f aca="false">IF($P284=0,BV283,IF(BV$3=$E284,IF($AA284=1,$F284&amp;$AB284,$G284),IF(OR(BV$3=$D284,BV$3=$AC284,BV$3=$AE284),"",IF(BV$3=$AD284,$F284&amp;"R",BV283))))</f>
        <v/>
      </c>
      <c r="BW284" s="11" t="str">
        <f aca="false">IF($P284=0,BW283,IF(BW$3=$E284,IF($AA284=1,$F284&amp;$AB284,$G284),IF(OR(BW$3=$D284,BW$3=$AC284,BW$3=$AE284),"",IF(BW$3=$AD284,$F284&amp;"R",BW283))))</f>
        <v/>
      </c>
      <c r="BX284" s="11" t="str">
        <f aca="false">IF($P284=0,BX283,IF(BX$3=$E284,IF($AA284=1,$F284&amp;$AB284,$G284),IF(OR(BX$3=$D284,BX$3=$AC284,BX$3=$AE284),"",IF(BX$3=$AD284,$F284&amp;"R",BX283))))</f>
        <v/>
      </c>
      <c r="BY284" s="11" t="str">
        <f aca="false">IF($P284=0,BY283,IF(BY$3=$E284,IF($AA284=1,$F284&amp;$AB284,$G284),IF(OR(BY$3=$D284,BY$3=$AC284,BY$3=$AE284),"",IF(BY$3=$AD284,$F284&amp;"R",BY283))))</f>
        <v/>
      </c>
      <c r="BZ284" s="11" t="str">
        <f aca="false">IF($P284=0,BZ283,IF(BZ$3=$E284,IF($AA284=1,$F284&amp;$AB284,$G284),IF(OR(BZ$3=$D284,BZ$3=$AC284,BZ$3=$AE284),"",IF(BZ$3=$AD284,$F284&amp;"R",BZ283))))</f>
        <v/>
      </c>
      <c r="CA284" s="11" t="str">
        <f aca="false">IF($P284=0,CA283,IF(CA$3=$E284,IF($AA284=1,$F284&amp;$AB284,$G284),IF(OR(CA$3=$D284,CA$3=$AC284,CA$3=$AE284),"",IF(CA$3=$AD284,$F284&amp;"R",CA283))))</f>
        <v/>
      </c>
      <c r="CB284" s="11" t="str">
        <f aca="false">IF($P284=0,CB283,IF(CB$3=$E284,IF($AA284=1,$F284&amp;$AB284,$G284),IF(OR(CB$3=$D284,CB$3=$AC284,CB$3=$AE284),"",IF(CB$3=$AD284,$F284&amp;"R",CB283))))</f>
        <v/>
      </c>
      <c r="CC284" s="11" t="str">
        <f aca="false">IF($P284=0,CC283,IF(CC$3=$E284,IF($AA284=1,$F284&amp;$AB284,$G284),IF(OR(CC$3=$D284,CC$3=$AC284,CC$3=$AE284),"",IF(CC$3=$AD284,$F284&amp;"R",CC283))))</f>
        <v/>
      </c>
      <c r="CD284" s="11" t="str">
        <f aca="false">IF($P284=0,CD283,IF(CD$3=$E284,IF($AA284=1,$F284&amp;$AB284,$G284),IF(OR(CD$3=$D284,CD$3=$AC284,CD$3=$AE284),"",IF(CD$3=$AD284,$F284&amp;"R",CD283))))</f>
        <v>bP</v>
      </c>
      <c r="CE284" s="11" t="str">
        <f aca="false">IF($P284=0,CE283,IF(CE$3=$E284,IF($AA284=1,$F284&amp;$AB284,$G284),IF(OR(CE$3=$D284,CE$3=$AC284,CE$3=$AE284),"",IF(CE$3=$AD284,$F284&amp;"R",CE283))))</f>
        <v>bP</v>
      </c>
      <c r="CF284" s="11" t="str">
        <f aca="false">IF($P284=0,CF283,IF(CF$3=$E284,IF($AA284=1,$F284&amp;$AB284,$G284),IF(OR(CF$3=$D284,CF$3=$AC284,CF$3=$AE284),"",IF(CF$3=$AD284,$F284&amp;"R",CF283))))</f>
        <v>bP</v>
      </c>
      <c r="CG284" s="11" t="str">
        <f aca="false">IF($P284=0,CG283,IF(CG$3=$E284,IF($AA284=1,$F284&amp;$AB284,$G284),IF(OR(CG$3=$D284,CG$3=$AC284,CG$3=$AE284),"",IF(CG$3=$AD284,$F284&amp;"R",CG283))))</f>
        <v>bP</v>
      </c>
      <c r="CH284" s="11" t="str">
        <f aca="false">IF($P284=0,CH283,IF(CH$3=$E284,IF($AA284=1,$F284&amp;$AB284,$G284),IF(OR(CH$3=$D284,CH$3=$AC284,CH$3=$AE284),"",IF(CH$3=$AD284,$F284&amp;"R",CH283))))</f>
        <v>bP</v>
      </c>
      <c r="CI284" s="11" t="str">
        <f aca="false">IF($P284=0,CI283,IF(CI$3=$E284,IF($AA284=1,$F284&amp;$AB284,$G284),IF(OR(CI$3=$D284,CI$3=$AC284,CI$3=$AE284),"",IF(CI$3=$AD284,$F284&amp;"R",CI283))))</f>
        <v>bP</v>
      </c>
      <c r="CJ284" s="11" t="str">
        <f aca="false">IF($P284=0,CJ283,IF(CJ$3=$E284,IF($AA284=1,$F284&amp;$AB284,$G284),IF(OR(CJ$3=$D284,CJ$3=$AC284,CJ$3=$AE284),"",IF(CJ$3=$AD284,$F284&amp;"R",CJ283))))</f>
        <v>bP</v>
      </c>
      <c r="CK284" s="11" t="str">
        <f aca="false">IF($P284=0,CK283,IF(CK$3=$E284,IF($AA284=1,$F284&amp;$AB284,$G284),IF(OR(CK$3=$D284,CK$3=$AC284,CK$3=$AE284),"",IF(CK$3=$AD284,$F284&amp;"R",CK283))))</f>
        <v>bP</v>
      </c>
      <c r="CL284" s="11" t="str">
        <f aca="false">IF($P284=0,CL283,IF(CL$3=$E284,IF($AA284=1,$F284&amp;$AB284,$G284),IF(OR(CL$3=$D284,CL$3=$AC284,CL$3=$AE284),"",IF(CL$3=$AD284,$F284&amp;"R",CL283))))</f>
        <v>bR</v>
      </c>
      <c r="CM284" s="11" t="str">
        <f aca="false">IF($P284=0,CM283,IF(CM$3=$E284,IF($AA284=1,$F284&amp;$AB284,$G284),IF(OR(CM$3=$D284,CM$3=$AC284,CM$3=$AE284),"",IF(CM$3=$AD284,$F284&amp;"R",CM283))))</f>
        <v>bN</v>
      </c>
      <c r="CN284" s="11" t="str">
        <f aca="false">IF($P284=0,CN283,IF(CN$3=$E284,IF($AA284=1,$F284&amp;$AB284,$G284),IF(OR(CN$3=$D284,CN$3=$AC284,CN$3=$AE284),"",IF(CN$3=$AD284,$F284&amp;"R",CN283))))</f>
        <v>bB</v>
      </c>
      <c r="CO284" s="11" t="str">
        <f aca="false">IF($P284=0,CO283,IF(CO$3=$E284,IF($AA284=1,$F284&amp;$AB284,$G284),IF(OR(CO$3=$D284,CO$3=$AC284,CO$3=$AE284),"",IF(CO$3=$AD284,$F284&amp;"R",CO283))))</f>
        <v>bQ</v>
      </c>
      <c r="CP284" s="11" t="str">
        <f aca="false">IF($P284=0,CP283,IF(CP$3=$E284,IF($AA284=1,$F284&amp;$AB284,$G284),IF(OR(CP$3=$D284,CP$3=$AC284,CP$3=$AE284),"",IF(CP$3=$AD284,$F284&amp;"R",CP283))))</f>
        <v>bK</v>
      </c>
      <c r="CQ284" s="11" t="str">
        <f aca="false">IF($P284=0,CQ283,IF(CQ$3=$E284,IF($AA284=1,$F284&amp;$AB284,$G284),IF(OR(CQ$3=$D284,CQ$3=$AC284,CQ$3=$AE284),"",IF(CQ$3=$AD284,$F284&amp;"R",CQ283))))</f>
        <v>bB</v>
      </c>
      <c r="CR284" s="11" t="str">
        <f aca="false">IF($P284=0,CR283,IF(CR$3=$E284,IF($AA284=1,$F284&amp;$AB284,$G284),IF(OR(CR$3=$D284,CR$3=$AC284,CR$3=$AE284),"",IF(CR$3=$AD284,$F284&amp;"R",CR283))))</f>
        <v>bN</v>
      </c>
      <c r="CS284" s="11" t="str">
        <f aca="false">IF($P284=0,CS283,IF(CS$3=$E284,IF($AA284=1,$F284&amp;$AB284,$G284),IF(OR(CS$3=$D284,CS$3=$AC284,CS$3=$AE284),"",IF(CS$3=$AD284,$F284&amp;"R",CS283))))</f>
        <v>bR</v>
      </c>
      <c r="CT284" s="11"/>
      <c r="CU284" s="11"/>
      <c r="CV284" s="11"/>
    </row>
    <row r="285" customFormat="false" ht="15" hidden="false" customHeight="false" outlineLevel="0" collapsed="false">
      <c r="A285" s="11" t="n">
        <v>280</v>
      </c>
      <c r="B285" s="11" t="str">
        <f aca="false">IF(Chess!$L$289="","",Chess!$L$289&amp;"")</f>
        <v/>
      </c>
      <c r="C285" s="11" t="str">
        <f aca="false">LOWER(SUBSTITUTE(SUBSTITUTE(SUBSTITUTE(SUBSTITUTE(TRIM($B285),"-",""),"=","")," ",""),"x",""))</f>
        <v/>
      </c>
      <c r="D285" s="11" t="n">
        <f aca="false">IF(LEN($C285)&lt;4,0,IFERROR(IF(AND(CODE(MID($C285,1,1))&gt;=97,CODE(MID($C285,1,1))&lt;=104,VALUE(MID($C285,2,1))&gt;=1,VALUE(MID($C285,2,1))&lt;=8),(VALUE(MID($C285,2,1))-1)*8+CODE(MID($C285,1,1))-96,0),0))</f>
        <v>0</v>
      </c>
      <c r="E285" s="11" t="n">
        <f aca="false">IF(LEN($C285)&lt;4,0,IFERROR(IF(AND(CODE(MID($C285,3,1))&gt;=97,CODE(MID($C285,3,1))&lt;=104,VALUE(MID($C285,4,1))&gt;=1,VALUE(MID($C285,4,1))&lt;=8),(VALUE(MID($C285,4,1))-1)*8+CODE(MID($C285,3,1))-96,0),0))</f>
        <v>0</v>
      </c>
      <c r="F285" s="11" t="str">
        <f aca="false">IF(MOD(SUM($P$5:$P284),2)=0,"w","b")</f>
        <v>w</v>
      </c>
      <c r="G285" s="11" t="str">
        <f aca="false">IF($D285=0,"",INDEX($AH284:$CS284,1,$D285)&amp;"")</f>
        <v/>
      </c>
      <c r="H285" s="11" t="str">
        <f aca="false">IF($E285=0,"",INDEX($AH284:$CS284,1,$E285)&amp;"")</f>
        <v/>
      </c>
      <c r="I285" s="11" t="n">
        <f aca="false">IF(OR($D285=0,$E285=0),0,MOD($E285-1,8)-MOD($D285-1,8))</f>
        <v>0</v>
      </c>
      <c r="J285" s="11" t="n">
        <f aca="false">IF(OR($D285=0,$E285=0),0,INT(($E285-1)/8)-INT(($D285-1)/8))</f>
        <v>0</v>
      </c>
      <c r="K285" s="11" t="str">
        <f aca="false">IF($G285="","",RIGHT($G285,1))</f>
        <v/>
      </c>
      <c r="L285" s="11" t="n">
        <f aca="false">IF(OR($D285=0,$E285=0),0,SUMPRODUCT(($AH$3:$CS$3&gt;MIN($D285,$E285))*($AH$3:$CS$3&lt;MAX($D285,$E285))*(MOD($AH$3:$CS$3-MIN($D285,$E285),MAX(1,ABS(SIGN($J285)*8+SIGN($I285))))=0)*($AH284:$CS284&lt;&gt;"")))</f>
        <v>0</v>
      </c>
      <c r="M285" s="11" t="n">
        <f aca="false">IF($K285&lt;&gt;"K",0,IFERROR(--AND($J285=0,ABS($I285)=2,$D285=IF($F285="w",5,61),IF($F285="w",$S284,$V284)=0,IF($I285=2,AND(IF($F285="w",$U284,$X284)=0,INDEX($AH284:$CS284,1,$D285+1)&amp;""="",INDEX($AH284:$CS284,1,$D285+2)&amp;""=""),AND(IF($F285="w",$T284,$W284)=0,INDEX($AH284:$CS284,1,$D285-1)&amp;""="",INDEX($AH284:$CS284,1,$D285-2)&amp;""="",INDEX($AH284:$CS284,1,$D285-3)&amp;""=""))),0))</f>
        <v>0</v>
      </c>
      <c r="N285" s="11" t="n">
        <f aca="false">IF($K285&lt;&gt;"P",0,IFERROR(--OR(AND($I285=0,$J285=IF($F285="w",1,-1),$H285=""),AND($I285=0,$J285=2*IF($F285="w",1,-1),$H285="",INT(($D285-1)/8)=IF($F285="w",1,6),INDEX($AH284:$CS284,1,MAX(1,MIN(64,$D285+8*IF($F285="w",1,-1))))&amp;""=""),AND(ABS($I285)=1,$J285=IF($F285="w",1,-1),$H285&lt;&gt;""),AND(ABS($I285)=1,$J285=IF($F285="w",1,-1),$H285="",$R284&gt;0,$E285=$R284)),0))</f>
        <v>0</v>
      </c>
      <c r="O285" s="11" t="n">
        <f aca="false">IF(OR($D285=0,$E285=0,$G285=""),0,IF($K285="N",--OR(AND(ABS($I285)=1,ABS($J285)=2),AND(ABS($I285)=2,ABS($J285)=1)),IF($K285="B",--AND(ABS($I285)=ABS($J285),$I285&lt;&gt;0,$L285=0),IF($K285="R",--AND(OR($I285=0,$J285=0),OR($I285&lt;&gt;0,$J285&lt;&gt;0),$L285=0),IF($K285="Q",--AND(OR(AND(ABS($I285)=ABS($J285),$I285&lt;&gt;0),AND(OR($I285=0,$J285=0),OR($I285&lt;&gt;0,$J285&lt;&gt;0))),$L285=0),IF($K285="K",--OR(MAX(ABS($I285),ABS($J285))=1,$M285=1),$N285))))))</f>
        <v>0</v>
      </c>
      <c r="P285" s="11" t="n">
        <f aca="false">IF($Q285="OK",1,0)</f>
        <v>0</v>
      </c>
      <c r="Q285" s="11" t="str">
        <f aca="false">IF($B285="","",IF(OR(COUNTIF($AH284:$CS284,"wK")=0,COUNTIF($AH284:$CS284,"bK")=0),"Game is over",IF(OR($D285=0,$E285=0),"Use the format e2e4",IF($G285="","No piece on that square",IF(LEFT($G285,1)&lt;&gt;$F285,"Not your piece ("&amp;IF($F285="w","White","Black")&amp;" to move)",IF($D285=$E285,"Piece must move",IF(AND($H285&lt;&gt;"",LEFT($H285,1)=$F285),"Cannot capture your own piece",IF($O285=0,"Illegal move for that piece (or path blocked)","OK"))))))))</f>
        <v/>
      </c>
      <c r="R285" s="11" t="n">
        <f aca="false">IF($P285=1,IF(AND($K285="P",ABS($J285)=2),($D285+$E285)/2,0),$R284)</f>
        <v>0</v>
      </c>
      <c r="S285" s="12" t="b">
        <f aca="false">--OR($S284=1,AND($P285=1,OR($D285=5,$E285=5)))</f>
        <v>0</v>
      </c>
      <c r="T285" s="12" t="b">
        <f aca="false">--OR($T284=1,AND($P285=1,OR($D285=1,$E285=1)))</f>
        <v>0</v>
      </c>
      <c r="U285" s="12" t="b">
        <f aca="false">--OR($U284=1,AND($P285=1,OR($D285=8,$E285=8)))</f>
        <v>0</v>
      </c>
      <c r="V285" s="12" t="b">
        <f aca="false">--OR($V284=1,AND($P285=1,OR($D285=61,$E285=61)))</f>
        <v>0</v>
      </c>
      <c r="W285" s="12" t="b">
        <f aca="false">--OR($W284=1,AND($P285=1,OR($D285=57,$E285=57)))</f>
        <v>0</v>
      </c>
      <c r="X285" s="12" t="b">
        <f aca="false">--OR($X284=1,AND($P285=1,OR($D285=64,$E285=64)))</f>
        <v>0</v>
      </c>
      <c r="Y285" s="12" t="b">
        <f aca="false">--AND($P285=1,$K285="K",ABS($I285)=2)</f>
        <v>0</v>
      </c>
      <c r="Z285" s="12" t="b">
        <f aca="false">--AND($P285=1,$K285="P",ABS($I285)=1,$H285="")</f>
        <v>0</v>
      </c>
      <c r="AA285" s="12" t="b">
        <f aca="false">--AND($P285=1,$K285="P",INT(($E285-1)/8)=IF($F285="w",7,0))</f>
        <v>0</v>
      </c>
      <c r="AB285" s="11" t="str">
        <f aca="false">IF(LEN($C285)&gt;=5,IF(ISNUMBER(FIND(MID($C285,5,1),"qrbn")),UPPER(MID($C285,5,1)),"Q"),"Q")</f>
        <v>Q</v>
      </c>
      <c r="AC285" s="11" t="n">
        <f aca="false">IF($Y285=1,IF($I285=2,$D285+3,$D285-4),0)</f>
        <v>0</v>
      </c>
      <c r="AD285" s="11" t="n">
        <f aca="false">IF($Y285=1,IF($I285=2,$D285+1,$D285-1),0)</f>
        <v>0</v>
      </c>
      <c r="AE285" s="11" t="n">
        <f aca="false">IF($Z285=1,$E285-8*IF($F285="w",1,-1),0)</f>
        <v>0</v>
      </c>
      <c r="AF285" s="11" t="str">
        <f aca="false">IF($B285="","",IF($P285=1,LOWER(INDEX($CV$2:$CV$13,MATCH($G285,$CU$2:$CU$13,0)))&amp;" "&amp;MID("abcdefgh",MOD($D285-1,8)+1,1)&amp;(INT(($D285-1)/8)+1)&amp;"→"&amp;MID("abcdefgh",MOD($E285-1,8)+1,1)&amp;(INT(($E285-1)/8)+1)&amp;IF(OR($H285&lt;&gt;"",$Z285=1)," ×","")&amp;IF($Y285=1," castles","")&amp;IF($Z285=1," e.p.","")&amp;IF($AA285=1," =" &amp;LOWER(INDEX($CV$2:$CV$13,MATCH($F285&amp;$AB285,$CU$2:$CU$13,0))),""),"X "&amp;$Q285))</f>
        <v/>
      </c>
      <c r="AG285" s="11"/>
      <c r="AH285" s="11" t="str">
        <f aca="false">IF($P285=0,AH284,IF(AH$3=$E285,IF($AA285=1,$F285&amp;$AB285,$G285),IF(OR(AH$3=$D285,AH$3=$AC285,AH$3=$AE285),"",IF(AH$3=$AD285,$F285&amp;"R",AH284))))</f>
        <v>wR</v>
      </c>
      <c r="AI285" s="11" t="str">
        <f aca="false">IF($P285=0,AI284,IF(AI$3=$E285,IF($AA285=1,$F285&amp;$AB285,$G285),IF(OR(AI$3=$D285,AI$3=$AC285,AI$3=$AE285),"",IF(AI$3=$AD285,$F285&amp;"R",AI284))))</f>
        <v>wN</v>
      </c>
      <c r="AJ285" s="11" t="str">
        <f aca="false">IF($P285=0,AJ284,IF(AJ$3=$E285,IF($AA285=1,$F285&amp;$AB285,$G285),IF(OR(AJ$3=$D285,AJ$3=$AC285,AJ$3=$AE285),"",IF(AJ$3=$AD285,$F285&amp;"R",AJ284))))</f>
        <v>wB</v>
      </c>
      <c r="AK285" s="11" t="str">
        <f aca="false">IF($P285=0,AK284,IF(AK$3=$E285,IF($AA285=1,$F285&amp;$AB285,$G285),IF(OR(AK$3=$D285,AK$3=$AC285,AK$3=$AE285),"",IF(AK$3=$AD285,$F285&amp;"R",AK284))))</f>
        <v>wQ</v>
      </c>
      <c r="AL285" s="11" t="str">
        <f aca="false">IF($P285=0,AL284,IF(AL$3=$E285,IF($AA285=1,$F285&amp;$AB285,$G285),IF(OR(AL$3=$D285,AL$3=$AC285,AL$3=$AE285),"",IF(AL$3=$AD285,$F285&amp;"R",AL284))))</f>
        <v>wK</v>
      </c>
      <c r="AM285" s="11" t="str">
        <f aca="false">IF($P285=0,AM284,IF(AM$3=$E285,IF($AA285=1,$F285&amp;$AB285,$G285),IF(OR(AM$3=$D285,AM$3=$AC285,AM$3=$AE285),"",IF(AM$3=$AD285,$F285&amp;"R",AM284))))</f>
        <v>wB</v>
      </c>
      <c r="AN285" s="11" t="str">
        <f aca="false">IF($P285=0,AN284,IF(AN$3=$E285,IF($AA285=1,$F285&amp;$AB285,$G285),IF(OR(AN$3=$D285,AN$3=$AC285,AN$3=$AE285),"",IF(AN$3=$AD285,$F285&amp;"R",AN284))))</f>
        <v>wN</v>
      </c>
      <c r="AO285" s="11" t="str">
        <f aca="false">IF($P285=0,AO284,IF(AO$3=$E285,IF($AA285=1,$F285&amp;$AB285,$G285),IF(OR(AO$3=$D285,AO$3=$AC285,AO$3=$AE285),"",IF(AO$3=$AD285,$F285&amp;"R",AO284))))</f>
        <v>wR</v>
      </c>
      <c r="AP285" s="11" t="str">
        <f aca="false">IF($P285=0,AP284,IF(AP$3=$E285,IF($AA285=1,$F285&amp;$AB285,$G285),IF(OR(AP$3=$D285,AP$3=$AC285,AP$3=$AE285),"",IF(AP$3=$AD285,$F285&amp;"R",AP284))))</f>
        <v>wP</v>
      </c>
      <c r="AQ285" s="11" t="str">
        <f aca="false">IF($P285=0,AQ284,IF(AQ$3=$E285,IF($AA285=1,$F285&amp;$AB285,$G285),IF(OR(AQ$3=$D285,AQ$3=$AC285,AQ$3=$AE285),"",IF(AQ$3=$AD285,$F285&amp;"R",AQ284))))</f>
        <v>wP</v>
      </c>
      <c r="AR285" s="11" t="str">
        <f aca="false">IF($P285=0,AR284,IF(AR$3=$E285,IF($AA285=1,$F285&amp;$AB285,$G285),IF(OR(AR$3=$D285,AR$3=$AC285,AR$3=$AE285),"",IF(AR$3=$AD285,$F285&amp;"R",AR284))))</f>
        <v>wP</v>
      </c>
      <c r="AS285" s="11" t="str">
        <f aca="false">IF($P285=0,AS284,IF(AS$3=$E285,IF($AA285=1,$F285&amp;$AB285,$G285),IF(OR(AS$3=$D285,AS$3=$AC285,AS$3=$AE285),"",IF(AS$3=$AD285,$F285&amp;"R",AS284))))</f>
        <v>wP</v>
      </c>
      <c r="AT285" s="11" t="str">
        <f aca="false">IF($P285=0,AT284,IF(AT$3=$E285,IF($AA285=1,$F285&amp;$AB285,$G285),IF(OR(AT$3=$D285,AT$3=$AC285,AT$3=$AE285),"",IF(AT$3=$AD285,$F285&amp;"R",AT284))))</f>
        <v>wP</v>
      </c>
      <c r="AU285" s="11" t="str">
        <f aca="false">IF($P285=0,AU284,IF(AU$3=$E285,IF($AA285=1,$F285&amp;$AB285,$G285),IF(OR(AU$3=$D285,AU$3=$AC285,AU$3=$AE285),"",IF(AU$3=$AD285,$F285&amp;"R",AU284))))</f>
        <v>wP</v>
      </c>
      <c r="AV285" s="11" t="str">
        <f aca="false">IF($P285=0,AV284,IF(AV$3=$E285,IF($AA285=1,$F285&amp;$AB285,$G285),IF(OR(AV$3=$D285,AV$3=$AC285,AV$3=$AE285),"",IF(AV$3=$AD285,$F285&amp;"R",AV284))))</f>
        <v>wP</v>
      </c>
      <c r="AW285" s="11" t="str">
        <f aca="false">IF($P285=0,AW284,IF(AW$3=$E285,IF($AA285=1,$F285&amp;$AB285,$G285),IF(OR(AW$3=$D285,AW$3=$AC285,AW$3=$AE285),"",IF(AW$3=$AD285,$F285&amp;"R",AW284))))</f>
        <v>wP</v>
      </c>
      <c r="AX285" s="11" t="str">
        <f aca="false">IF($P285=0,AX284,IF(AX$3=$E285,IF($AA285=1,$F285&amp;$AB285,$G285),IF(OR(AX$3=$D285,AX$3=$AC285,AX$3=$AE285),"",IF(AX$3=$AD285,$F285&amp;"R",AX284))))</f>
        <v/>
      </c>
      <c r="AY285" s="11" t="str">
        <f aca="false">IF($P285=0,AY284,IF(AY$3=$E285,IF($AA285=1,$F285&amp;$AB285,$G285),IF(OR(AY$3=$D285,AY$3=$AC285,AY$3=$AE285),"",IF(AY$3=$AD285,$F285&amp;"R",AY284))))</f>
        <v/>
      </c>
      <c r="AZ285" s="11" t="str">
        <f aca="false">IF($P285=0,AZ284,IF(AZ$3=$E285,IF($AA285=1,$F285&amp;$AB285,$G285),IF(OR(AZ$3=$D285,AZ$3=$AC285,AZ$3=$AE285),"",IF(AZ$3=$AD285,$F285&amp;"R",AZ284))))</f>
        <v/>
      </c>
      <c r="BA285" s="11" t="str">
        <f aca="false">IF($P285=0,BA284,IF(BA$3=$E285,IF($AA285=1,$F285&amp;$AB285,$G285),IF(OR(BA$3=$D285,BA$3=$AC285,BA$3=$AE285),"",IF(BA$3=$AD285,$F285&amp;"R",BA284))))</f>
        <v/>
      </c>
      <c r="BB285" s="11" t="str">
        <f aca="false">IF($P285=0,BB284,IF(BB$3=$E285,IF($AA285=1,$F285&amp;$AB285,$G285),IF(OR(BB$3=$D285,BB$3=$AC285,BB$3=$AE285),"",IF(BB$3=$AD285,$F285&amp;"R",BB284))))</f>
        <v/>
      </c>
      <c r="BC285" s="11" t="str">
        <f aca="false">IF($P285=0,BC284,IF(BC$3=$E285,IF($AA285=1,$F285&amp;$AB285,$G285),IF(OR(BC$3=$D285,BC$3=$AC285,BC$3=$AE285),"",IF(BC$3=$AD285,$F285&amp;"R",BC284))))</f>
        <v/>
      </c>
      <c r="BD285" s="11" t="str">
        <f aca="false">IF($P285=0,BD284,IF(BD$3=$E285,IF($AA285=1,$F285&amp;$AB285,$G285),IF(OR(BD$3=$D285,BD$3=$AC285,BD$3=$AE285),"",IF(BD$3=$AD285,$F285&amp;"R",BD284))))</f>
        <v/>
      </c>
      <c r="BE285" s="11" t="str">
        <f aca="false">IF($P285=0,BE284,IF(BE$3=$E285,IF($AA285=1,$F285&amp;$AB285,$G285),IF(OR(BE$3=$D285,BE$3=$AC285,BE$3=$AE285),"",IF(BE$3=$AD285,$F285&amp;"R",BE284))))</f>
        <v/>
      </c>
      <c r="BF285" s="11" t="str">
        <f aca="false">IF($P285=0,BF284,IF(BF$3=$E285,IF($AA285=1,$F285&amp;$AB285,$G285),IF(OR(BF$3=$D285,BF$3=$AC285,BF$3=$AE285),"",IF(BF$3=$AD285,$F285&amp;"R",BF284))))</f>
        <v/>
      </c>
      <c r="BG285" s="11" t="str">
        <f aca="false">IF($P285=0,BG284,IF(BG$3=$E285,IF($AA285=1,$F285&amp;$AB285,$G285),IF(OR(BG$3=$D285,BG$3=$AC285,BG$3=$AE285),"",IF(BG$3=$AD285,$F285&amp;"R",BG284))))</f>
        <v/>
      </c>
      <c r="BH285" s="11" t="str">
        <f aca="false">IF($P285=0,BH284,IF(BH$3=$E285,IF($AA285=1,$F285&amp;$AB285,$G285),IF(OR(BH$3=$D285,BH$3=$AC285,BH$3=$AE285),"",IF(BH$3=$AD285,$F285&amp;"R",BH284))))</f>
        <v/>
      </c>
      <c r="BI285" s="11" t="str">
        <f aca="false">IF($P285=0,BI284,IF(BI$3=$E285,IF($AA285=1,$F285&amp;$AB285,$G285),IF(OR(BI$3=$D285,BI$3=$AC285,BI$3=$AE285),"",IF(BI$3=$AD285,$F285&amp;"R",BI284))))</f>
        <v/>
      </c>
      <c r="BJ285" s="11" t="str">
        <f aca="false">IF($P285=0,BJ284,IF(BJ$3=$E285,IF($AA285=1,$F285&amp;$AB285,$G285),IF(OR(BJ$3=$D285,BJ$3=$AC285,BJ$3=$AE285),"",IF(BJ$3=$AD285,$F285&amp;"R",BJ284))))</f>
        <v/>
      </c>
      <c r="BK285" s="11" t="str">
        <f aca="false">IF($P285=0,BK284,IF(BK$3=$E285,IF($AA285=1,$F285&amp;$AB285,$G285),IF(OR(BK$3=$D285,BK$3=$AC285,BK$3=$AE285),"",IF(BK$3=$AD285,$F285&amp;"R",BK284))))</f>
        <v/>
      </c>
      <c r="BL285" s="11" t="str">
        <f aca="false">IF($P285=0,BL284,IF(BL$3=$E285,IF($AA285=1,$F285&amp;$AB285,$G285),IF(OR(BL$3=$D285,BL$3=$AC285,BL$3=$AE285),"",IF(BL$3=$AD285,$F285&amp;"R",BL284))))</f>
        <v/>
      </c>
      <c r="BM285" s="11" t="str">
        <f aca="false">IF($P285=0,BM284,IF(BM$3=$E285,IF($AA285=1,$F285&amp;$AB285,$G285),IF(OR(BM$3=$D285,BM$3=$AC285,BM$3=$AE285),"",IF(BM$3=$AD285,$F285&amp;"R",BM284))))</f>
        <v/>
      </c>
      <c r="BN285" s="11" t="str">
        <f aca="false">IF($P285=0,BN284,IF(BN$3=$E285,IF($AA285=1,$F285&amp;$AB285,$G285),IF(OR(BN$3=$D285,BN$3=$AC285,BN$3=$AE285),"",IF(BN$3=$AD285,$F285&amp;"R",BN284))))</f>
        <v/>
      </c>
      <c r="BO285" s="11" t="str">
        <f aca="false">IF($P285=0,BO284,IF(BO$3=$E285,IF($AA285=1,$F285&amp;$AB285,$G285),IF(OR(BO$3=$D285,BO$3=$AC285,BO$3=$AE285),"",IF(BO$3=$AD285,$F285&amp;"R",BO284))))</f>
        <v/>
      </c>
      <c r="BP285" s="11" t="str">
        <f aca="false">IF($P285=0,BP284,IF(BP$3=$E285,IF($AA285=1,$F285&amp;$AB285,$G285),IF(OR(BP$3=$D285,BP$3=$AC285,BP$3=$AE285),"",IF(BP$3=$AD285,$F285&amp;"R",BP284))))</f>
        <v/>
      </c>
      <c r="BQ285" s="11" t="str">
        <f aca="false">IF($P285=0,BQ284,IF(BQ$3=$E285,IF($AA285=1,$F285&amp;$AB285,$G285),IF(OR(BQ$3=$D285,BQ$3=$AC285,BQ$3=$AE285),"",IF(BQ$3=$AD285,$F285&amp;"R",BQ284))))</f>
        <v/>
      </c>
      <c r="BR285" s="11" t="str">
        <f aca="false">IF($P285=0,BR284,IF(BR$3=$E285,IF($AA285=1,$F285&amp;$AB285,$G285),IF(OR(BR$3=$D285,BR$3=$AC285,BR$3=$AE285),"",IF(BR$3=$AD285,$F285&amp;"R",BR284))))</f>
        <v/>
      </c>
      <c r="BS285" s="11" t="str">
        <f aca="false">IF($P285=0,BS284,IF(BS$3=$E285,IF($AA285=1,$F285&amp;$AB285,$G285),IF(OR(BS$3=$D285,BS$3=$AC285,BS$3=$AE285),"",IF(BS$3=$AD285,$F285&amp;"R",BS284))))</f>
        <v/>
      </c>
      <c r="BT285" s="11" t="str">
        <f aca="false">IF($P285=0,BT284,IF(BT$3=$E285,IF($AA285=1,$F285&amp;$AB285,$G285),IF(OR(BT$3=$D285,BT$3=$AC285,BT$3=$AE285),"",IF(BT$3=$AD285,$F285&amp;"R",BT284))))</f>
        <v/>
      </c>
      <c r="BU285" s="11" t="str">
        <f aca="false">IF($P285=0,BU284,IF(BU$3=$E285,IF($AA285=1,$F285&amp;$AB285,$G285),IF(OR(BU$3=$D285,BU$3=$AC285,BU$3=$AE285),"",IF(BU$3=$AD285,$F285&amp;"R",BU284))))</f>
        <v/>
      </c>
      <c r="BV285" s="11" t="str">
        <f aca="false">IF($P285=0,BV284,IF(BV$3=$E285,IF($AA285=1,$F285&amp;$AB285,$G285),IF(OR(BV$3=$D285,BV$3=$AC285,BV$3=$AE285),"",IF(BV$3=$AD285,$F285&amp;"R",BV284))))</f>
        <v/>
      </c>
      <c r="BW285" s="11" t="str">
        <f aca="false">IF($P285=0,BW284,IF(BW$3=$E285,IF($AA285=1,$F285&amp;$AB285,$G285),IF(OR(BW$3=$D285,BW$3=$AC285,BW$3=$AE285),"",IF(BW$3=$AD285,$F285&amp;"R",BW284))))</f>
        <v/>
      </c>
      <c r="BX285" s="11" t="str">
        <f aca="false">IF($P285=0,BX284,IF(BX$3=$E285,IF($AA285=1,$F285&amp;$AB285,$G285),IF(OR(BX$3=$D285,BX$3=$AC285,BX$3=$AE285),"",IF(BX$3=$AD285,$F285&amp;"R",BX284))))</f>
        <v/>
      </c>
      <c r="BY285" s="11" t="str">
        <f aca="false">IF($P285=0,BY284,IF(BY$3=$E285,IF($AA285=1,$F285&amp;$AB285,$G285),IF(OR(BY$3=$D285,BY$3=$AC285,BY$3=$AE285),"",IF(BY$3=$AD285,$F285&amp;"R",BY284))))</f>
        <v/>
      </c>
      <c r="BZ285" s="11" t="str">
        <f aca="false">IF($P285=0,BZ284,IF(BZ$3=$E285,IF($AA285=1,$F285&amp;$AB285,$G285),IF(OR(BZ$3=$D285,BZ$3=$AC285,BZ$3=$AE285),"",IF(BZ$3=$AD285,$F285&amp;"R",BZ284))))</f>
        <v/>
      </c>
      <c r="CA285" s="11" t="str">
        <f aca="false">IF($P285=0,CA284,IF(CA$3=$E285,IF($AA285=1,$F285&amp;$AB285,$G285),IF(OR(CA$3=$D285,CA$3=$AC285,CA$3=$AE285),"",IF(CA$3=$AD285,$F285&amp;"R",CA284))))</f>
        <v/>
      </c>
      <c r="CB285" s="11" t="str">
        <f aca="false">IF($P285=0,CB284,IF(CB$3=$E285,IF($AA285=1,$F285&amp;$AB285,$G285),IF(OR(CB$3=$D285,CB$3=$AC285,CB$3=$AE285),"",IF(CB$3=$AD285,$F285&amp;"R",CB284))))</f>
        <v/>
      </c>
      <c r="CC285" s="11" t="str">
        <f aca="false">IF($P285=0,CC284,IF(CC$3=$E285,IF($AA285=1,$F285&amp;$AB285,$G285),IF(OR(CC$3=$D285,CC$3=$AC285,CC$3=$AE285),"",IF(CC$3=$AD285,$F285&amp;"R",CC284))))</f>
        <v/>
      </c>
      <c r="CD285" s="11" t="str">
        <f aca="false">IF($P285=0,CD284,IF(CD$3=$E285,IF($AA285=1,$F285&amp;$AB285,$G285),IF(OR(CD$3=$D285,CD$3=$AC285,CD$3=$AE285),"",IF(CD$3=$AD285,$F285&amp;"R",CD284))))</f>
        <v>bP</v>
      </c>
      <c r="CE285" s="11" t="str">
        <f aca="false">IF($P285=0,CE284,IF(CE$3=$E285,IF($AA285=1,$F285&amp;$AB285,$G285),IF(OR(CE$3=$D285,CE$3=$AC285,CE$3=$AE285),"",IF(CE$3=$AD285,$F285&amp;"R",CE284))))</f>
        <v>bP</v>
      </c>
      <c r="CF285" s="11" t="str">
        <f aca="false">IF($P285=0,CF284,IF(CF$3=$E285,IF($AA285=1,$F285&amp;$AB285,$G285),IF(OR(CF$3=$D285,CF$3=$AC285,CF$3=$AE285),"",IF(CF$3=$AD285,$F285&amp;"R",CF284))))</f>
        <v>bP</v>
      </c>
      <c r="CG285" s="11" t="str">
        <f aca="false">IF($P285=0,CG284,IF(CG$3=$E285,IF($AA285=1,$F285&amp;$AB285,$G285),IF(OR(CG$3=$D285,CG$3=$AC285,CG$3=$AE285),"",IF(CG$3=$AD285,$F285&amp;"R",CG284))))</f>
        <v>bP</v>
      </c>
      <c r="CH285" s="11" t="str">
        <f aca="false">IF($P285=0,CH284,IF(CH$3=$E285,IF($AA285=1,$F285&amp;$AB285,$G285),IF(OR(CH$3=$D285,CH$3=$AC285,CH$3=$AE285),"",IF(CH$3=$AD285,$F285&amp;"R",CH284))))</f>
        <v>bP</v>
      </c>
      <c r="CI285" s="11" t="str">
        <f aca="false">IF($P285=0,CI284,IF(CI$3=$E285,IF($AA285=1,$F285&amp;$AB285,$G285),IF(OR(CI$3=$D285,CI$3=$AC285,CI$3=$AE285),"",IF(CI$3=$AD285,$F285&amp;"R",CI284))))</f>
        <v>bP</v>
      </c>
      <c r="CJ285" s="11" t="str">
        <f aca="false">IF($P285=0,CJ284,IF(CJ$3=$E285,IF($AA285=1,$F285&amp;$AB285,$G285),IF(OR(CJ$3=$D285,CJ$3=$AC285,CJ$3=$AE285),"",IF(CJ$3=$AD285,$F285&amp;"R",CJ284))))</f>
        <v>bP</v>
      </c>
      <c r="CK285" s="11" t="str">
        <f aca="false">IF($P285=0,CK284,IF(CK$3=$E285,IF($AA285=1,$F285&amp;$AB285,$G285),IF(OR(CK$3=$D285,CK$3=$AC285,CK$3=$AE285),"",IF(CK$3=$AD285,$F285&amp;"R",CK284))))</f>
        <v>bP</v>
      </c>
      <c r="CL285" s="11" t="str">
        <f aca="false">IF($P285=0,CL284,IF(CL$3=$E285,IF($AA285=1,$F285&amp;$AB285,$G285),IF(OR(CL$3=$D285,CL$3=$AC285,CL$3=$AE285),"",IF(CL$3=$AD285,$F285&amp;"R",CL284))))</f>
        <v>bR</v>
      </c>
      <c r="CM285" s="11" t="str">
        <f aca="false">IF($P285=0,CM284,IF(CM$3=$E285,IF($AA285=1,$F285&amp;$AB285,$G285),IF(OR(CM$3=$D285,CM$3=$AC285,CM$3=$AE285),"",IF(CM$3=$AD285,$F285&amp;"R",CM284))))</f>
        <v>bN</v>
      </c>
      <c r="CN285" s="11" t="str">
        <f aca="false">IF($P285=0,CN284,IF(CN$3=$E285,IF($AA285=1,$F285&amp;$AB285,$G285),IF(OR(CN$3=$D285,CN$3=$AC285,CN$3=$AE285),"",IF(CN$3=$AD285,$F285&amp;"R",CN284))))</f>
        <v>bB</v>
      </c>
      <c r="CO285" s="11" t="str">
        <f aca="false">IF($P285=0,CO284,IF(CO$3=$E285,IF($AA285=1,$F285&amp;$AB285,$G285),IF(OR(CO$3=$D285,CO$3=$AC285,CO$3=$AE285),"",IF(CO$3=$AD285,$F285&amp;"R",CO284))))</f>
        <v>bQ</v>
      </c>
      <c r="CP285" s="11" t="str">
        <f aca="false">IF($P285=0,CP284,IF(CP$3=$E285,IF($AA285=1,$F285&amp;$AB285,$G285),IF(OR(CP$3=$D285,CP$3=$AC285,CP$3=$AE285),"",IF(CP$3=$AD285,$F285&amp;"R",CP284))))</f>
        <v>bK</v>
      </c>
      <c r="CQ285" s="11" t="str">
        <f aca="false">IF($P285=0,CQ284,IF(CQ$3=$E285,IF($AA285=1,$F285&amp;$AB285,$G285),IF(OR(CQ$3=$D285,CQ$3=$AC285,CQ$3=$AE285),"",IF(CQ$3=$AD285,$F285&amp;"R",CQ284))))</f>
        <v>bB</v>
      </c>
      <c r="CR285" s="11" t="str">
        <f aca="false">IF($P285=0,CR284,IF(CR$3=$E285,IF($AA285=1,$F285&amp;$AB285,$G285),IF(OR(CR$3=$D285,CR$3=$AC285,CR$3=$AE285),"",IF(CR$3=$AD285,$F285&amp;"R",CR284))))</f>
        <v>bN</v>
      </c>
      <c r="CS285" s="11" t="str">
        <f aca="false">IF($P285=0,CS284,IF(CS$3=$E285,IF($AA285=1,$F285&amp;$AB285,$G285),IF(OR(CS$3=$D285,CS$3=$AC285,CS$3=$AE285),"",IF(CS$3=$AD285,$F285&amp;"R",CS284))))</f>
        <v>bR</v>
      </c>
      <c r="CT285" s="11"/>
      <c r="CU285" s="11"/>
      <c r="CV285" s="11"/>
    </row>
    <row r="286" customFormat="false" ht="15" hidden="false" customHeight="false" outlineLevel="0" collapsed="false">
      <c r="A286" s="11" t="n">
        <v>281</v>
      </c>
      <c r="B286" s="11" t="str">
        <f aca="false">IF(Chess!$L$290="","",Chess!$L$290&amp;"")</f>
        <v/>
      </c>
      <c r="C286" s="11" t="str">
        <f aca="false">LOWER(SUBSTITUTE(SUBSTITUTE(SUBSTITUTE(SUBSTITUTE(TRIM($B286),"-",""),"=","")," ",""),"x",""))</f>
        <v/>
      </c>
      <c r="D286" s="11" t="n">
        <f aca="false">IF(LEN($C286)&lt;4,0,IFERROR(IF(AND(CODE(MID($C286,1,1))&gt;=97,CODE(MID($C286,1,1))&lt;=104,VALUE(MID($C286,2,1))&gt;=1,VALUE(MID($C286,2,1))&lt;=8),(VALUE(MID($C286,2,1))-1)*8+CODE(MID($C286,1,1))-96,0),0))</f>
        <v>0</v>
      </c>
      <c r="E286" s="11" t="n">
        <f aca="false">IF(LEN($C286)&lt;4,0,IFERROR(IF(AND(CODE(MID($C286,3,1))&gt;=97,CODE(MID($C286,3,1))&lt;=104,VALUE(MID($C286,4,1))&gt;=1,VALUE(MID($C286,4,1))&lt;=8),(VALUE(MID($C286,4,1))-1)*8+CODE(MID($C286,3,1))-96,0),0))</f>
        <v>0</v>
      </c>
      <c r="F286" s="11" t="str">
        <f aca="false">IF(MOD(SUM($P$5:$P285),2)=0,"w","b")</f>
        <v>w</v>
      </c>
      <c r="G286" s="11" t="str">
        <f aca="false">IF($D286=0,"",INDEX($AH285:$CS285,1,$D286)&amp;"")</f>
        <v/>
      </c>
      <c r="H286" s="11" t="str">
        <f aca="false">IF($E286=0,"",INDEX($AH285:$CS285,1,$E286)&amp;"")</f>
        <v/>
      </c>
      <c r="I286" s="11" t="n">
        <f aca="false">IF(OR($D286=0,$E286=0),0,MOD($E286-1,8)-MOD($D286-1,8))</f>
        <v>0</v>
      </c>
      <c r="J286" s="11" t="n">
        <f aca="false">IF(OR($D286=0,$E286=0),0,INT(($E286-1)/8)-INT(($D286-1)/8))</f>
        <v>0</v>
      </c>
      <c r="K286" s="11" t="str">
        <f aca="false">IF($G286="","",RIGHT($G286,1))</f>
        <v/>
      </c>
      <c r="L286" s="11" t="n">
        <f aca="false">IF(OR($D286=0,$E286=0),0,SUMPRODUCT(($AH$3:$CS$3&gt;MIN($D286,$E286))*($AH$3:$CS$3&lt;MAX($D286,$E286))*(MOD($AH$3:$CS$3-MIN($D286,$E286),MAX(1,ABS(SIGN($J286)*8+SIGN($I286))))=0)*($AH285:$CS285&lt;&gt;"")))</f>
        <v>0</v>
      </c>
      <c r="M286" s="11" t="n">
        <f aca="false">IF($K286&lt;&gt;"K",0,IFERROR(--AND($J286=0,ABS($I286)=2,$D286=IF($F286="w",5,61),IF($F286="w",$S285,$V285)=0,IF($I286=2,AND(IF($F286="w",$U285,$X285)=0,INDEX($AH285:$CS285,1,$D286+1)&amp;""="",INDEX($AH285:$CS285,1,$D286+2)&amp;""=""),AND(IF($F286="w",$T285,$W285)=0,INDEX($AH285:$CS285,1,$D286-1)&amp;""="",INDEX($AH285:$CS285,1,$D286-2)&amp;""="",INDEX($AH285:$CS285,1,$D286-3)&amp;""=""))),0))</f>
        <v>0</v>
      </c>
      <c r="N286" s="11" t="n">
        <f aca="false">IF($K286&lt;&gt;"P",0,IFERROR(--OR(AND($I286=0,$J286=IF($F286="w",1,-1),$H286=""),AND($I286=0,$J286=2*IF($F286="w",1,-1),$H286="",INT(($D286-1)/8)=IF($F286="w",1,6),INDEX($AH285:$CS285,1,MAX(1,MIN(64,$D286+8*IF($F286="w",1,-1))))&amp;""=""),AND(ABS($I286)=1,$J286=IF($F286="w",1,-1),$H286&lt;&gt;""),AND(ABS($I286)=1,$J286=IF($F286="w",1,-1),$H286="",$R285&gt;0,$E286=$R285)),0))</f>
        <v>0</v>
      </c>
      <c r="O286" s="11" t="n">
        <f aca="false">IF(OR($D286=0,$E286=0,$G286=""),0,IF($K286="N",--OR(AND(ABS($I286)=1,ABS($J286)=2),AND(ABS($I286)=2,ABS($J286)=1)),IF($K286="B",--AND(ABS($I286)=ABS($J286),$I286&lt;&gt;0,$L286=0),IF($K286="R",--AND(OR($I286=0,$J286=0),OR($I286&lt;&gt;0,$J286&lt;&gt;0),$L286=0),IF($K286="Q",--AND(OR(AND(ABS($I286)=ABS($J286),$I286&lt;&gt;0),AND(OR($I286=0,$J286=0),OR($I286&lt;&gt;0,$J286&lt;&gt;0))),$L286=0),IF($K286="K",--OR(MAX(ABS($I286),ABS($J286))=1,$M286=1),$N286))))))</f>
        <v>0</v>
      </c>
      <c r="P286" s="11" t="n">
        <f aca="false">IF($Q286="OK",1,0)</f>
        <v>0</v>
      </c>
      <c r="Q286" s="11" t="str">
        <f aca="false">IF($B286="","",IF(OR(COUNTIF($AH285:$CS285,"wK")=0,COUNTIF($AH285:$CS285,"bK")=0),"Game is over",IF(OR($D286=0,$E286=0),"Use the format e2e4",IF($G286="","No piece on that square",IF(LEFT($G286,1)&lt;&gt;$F286,"Not your piece ("&amp;IF($F286="w","White","Black")&amp;" to move)",IF($D286=$E286,"Piece must move",IF(AND($H286&lt;&gt;"",LEFT($H286,1)=$F286),"Cannot capture your own piece",IF($O286=0,"Illegal move for that piece (or path blocked)","OK"))))))))</f>
        <v/>
      </c>
      <c r="R286" s="11" t="n">
        <f aca="false">IF($P286=1,IF(AND($K286="P",ABS($J286)=2),($D286+$E286)/2,0),$R285)</f>
        <v>0</v>
      </c>
      <c r="S286" s="12" t="b">
        <f aca="false">--OR($S285=1,AND($P286=1,OR($D286=5,$E286=5)))</f>
        <v>0</v>
      </c>
      <c r="T286" s="12" t="b">
        <f aca="false">--OR($T285=1,AND($P286=1,OR($D286=1,$E286=1)))</f>
        <v>0</v>
      </c>
      <c r="U286" s="12" t="b">
        <f aca="false">--OR($U285=1,AND($P286=1,OR($D286=8,$E286=8)))</f>
        <v>0</v>
      </c>
      <c r="V286" s="12" t="b">
        <f aca="false">--OR($V285=1,AND($P286=1,OR($D286=61,$E286=61)))</f>
        <v>0</v>
      </c>
      <c r="W286" s="12" t="b">
        <f aca="false">--OR($W285=1,AND($P286=1,OR($D286=57,$E286=57)))</f>
        <v>0</v>
      </c>
      <c r="X286" s="12" t="b">
        <f aca="false">--OR($X285=1,AND($P286=1,OR($D286=64,$E286=64)))</f>
        <v>0</v>
      </c>
      <c r="Y286" s="12" t="b">
        <f aca="false">--AND($P286=1,$K286="K",ABS($I286)=2)</f>
        <v>0</v>
      </c>
      <c r="Z286" s="12" t="b">
        <f aca="false">--AND($P286=1,$K286="P",ABS($I286)=1,$H286="")</f>
        <v>0</v>
      </c>
      <c r="AA286" s="12" t="b">
        <f aca="false">--AND($P286=1,$K286="P",INT(($E286-1)/8)=IF($F286="w",7,0))</f>
        <v>0</v>
      </c>
      <c r="AB286" s="11" t="str">
        <f aca="false">IF(LEN($C286)&gt;=5,IF(ISNUMBER(FIND(MID($C286,5,1),"qrbn")),UPPER(MID($C286,5,1)),"Q"),"Q")</f>
        <v>Q</v>
      </c>
      <c r="AC286" s="11" t="n">
        <f aca="false">IF($Y286=1,IF($I286=2,$D286+3,$D286-4),0)</f>
        <v>0</v>
      </c>
      <c r="AD286" s="11" t="n">
        <f aca="false">IF($Y286=1,IF($I286=2,$D286+1,$D286-1),0)</f>
        <v>0</v>
      </c>
      <c r="AE286" s="11" t="n">
        <f aca="false">IF($Z286=1,$E286-8*IF($F286="w",1,-1),0)</f>
        <v>0</v>
      </c>
      <c r="AF286" s="11" t="str">
        <f aca="false">IF($B286="","",IF($P286=1,LOWER(INDEX($CV$2:$CV$13,MATCH($G286,$CU$2:$CU$13,0)))&amp;" "&amp;MID("abcdefgh",MOD($D286-1,8)+1,1)&amp;(INT(($D286-1)/8)+1)&amp;"→"&amp;MID("abcdefgh",MOD($E286-1,8)+1,1)&amp;(INT(($E286-1)/8)+1)&amp;IF(OR($H286&lt;&gt;"",$Z286=1)," ×","")&amp;IF($Y286=1," castles","")&amp;IF($Z286=1," e.p.","")&amp;IF($AA286=1," =" &amp;LOWER(INDEX($CV$2:$CV$13,MATCH($F286&amp;$AB286,$CU$2:$CU$13,0))),""),"X "&amp;$Q286))</f>
        <v/>
      </c>
      <c r="AG286" s="11"/>
      <c r="AH286" s="11" t="str">
        <f aca="false">IF($P286=0,AH285,IF(AH$3=$E286,IF($AA286=1,$F286&amp;$AB286,$G286),IF(OR(AH$3=$D286,AH$3=$AC286,AH$3=$AE286),"",IF(AH$3=$AD286,$F286&amp;"R",AH285))))</f>
        <v>wR</v>
      </c>
      <c r="AI286" s="11" t="str">
        <f aca="false">IF($P286=0,AI285,IF(AI$3=$E286,IF($AA286=1,$F286&amp;$AB286,$G286),IF(OR(AI$3=$D286,AI$3=$AC286,AI$3=$AE286),"",IF(AI$3=$AD286,$F286&amp;"R",AI285))))</f>
        <v>wN</v>
      </c>
      <c r="AJ286" s="11" t="str">
        <f aca="false">IF($P286=0,AJ285,IF(AJ$3=$E286,IF($AA286=1,$F286&amp;$AB286,$G286),IF(OR(AJ$3=$D286,AJ$3=$AC286,AJ$3=$AE286),"",IF(AJ$3=$AD286,$F286&amp;"R",AJ285))))</f>
        <v>wB</v>
      </c>
      <c r="AK286" s="11" t="str">
        <f aca="false">IF($P286=0,AK285,IF(AK$3=$E286,IF($AA286=1,$F286&amp;$AB286,$G286),IF(OR(AK$3=$D286,AK$3=$AC286,AK$3=$AE286),"",IF(AK$3=$AD286,$F286&amp;"R",AK285))))</f>
        <v>wQ</v>
      </c>
      <c r="AL286" s="11" t="str">
        <f aca="false">IF($P286=0,AL285,IF(AL$3=$E286,IF($AA286=1,$F286&amp;$AB286,$G286),IF(OR(AL$3=$D286,AL$3=$AC286,AL$3=$AE286),"",IF(AL$3=$AD286,$F286&amp;"R",AL285))))</f>
        <v>wK</v>
      </c>
      <c r="AM286" s="11" t="str">
        <f aca="false">IF($P286=0,AM285,IF(AM$3=$E286,IF($AA286=1,$F286&amp;$AB286,$G286),IF(OR(AM$3=$D286,AM$3=$AC286,AM$3=$AE286),"",IF(AM$3=$AD286,$F286&amp;"R",AM285))))</f>
        <v>wB</v>
      </c>
      <c r="AN286" s="11" t="str">
        <f aca="false">IF($P286=0,AN285,IF(AN$3=$E286,IF($AA286=1,$F286&amp;$AB286,$G286),IF(OR(AN$3=$D286,AN$3=$AC286,AN$3=$AE286),"",IF(AN$3=$AD286,$F286&amp;"R",AN285))))</f>
        <v>wN</v>
      </c>
      <c r="AO286" s="11" t="str">
        <f aca="false">IF($P286=0,AO285,IF(AO$3=$E286,IF($AA286=1,$F286&amp;$AB286,$G286),IF(OR(AO$3=$D286,AO$3=$AC286,AO$3=$AE286),"",IF(AO$3=$AD286,$F286&amp;"R",AO285))))</f>
        <v>wR</v>
      </c>
      <c r="AP286" s="11" t="str">
        <f aca="false">IF($P286=0,AP285,IF(AP$3=$E286,IF($AA286=1,$F286&amp;$AB286,$G286),IF(OR(AP$3=$D286,AP$3=$AC286,AP$3=$AE286),"",IF(AP$3=$AD286,$F286&amp;"R",AP285))))</f>
        <v>wP</v>
      </c>
      <c r="AQ286" s="11" t="str">
        <f aca="false">IF($P286=0,AQ285,IF(AQ$3=$E286,IF($AA286=1,$F286&amp;$AB286,$G286),IF(OR(AQ$3=$D286,AQ$3=$AC286,AQ$3=$AE286),"",IF(AQ$3=$AD286,$F286&amp;"R",AQ285))))</f>
        <v>wP</v>
      </c>
      <c r="AR286" s="11" t="str">
        <f aca="false">IF($P286=0,AR285,IF(AR$3=$E286,IF($AA286=1,$F286&amp;$AB286,$G286),IF(OR(AR$3=$D286,AR$3=$AC286,AR$3=$AE286),"",IF(AR$3=$AD286,$F286&amp;"R",AR285))))</f>
        <v>wP</v>
      </c>
      <c r="AS286" s="11" t="str">
        <f aca="false">IF($P286=0,AS285,IF(AS$3=$E286,IF($AA286=1,$F286&amp;$AB286,$G286),IF(OR(AS$3=$D286,AS$3=$AC286,AS$3=$AE286),"",IF(AS$3=$AD286,$F286&amp;"R",AS285))))</f>
        <v>wP</v>
      </c>
      <c r="AT286" s="11" t="str">
        <f aca="false">IF($P286=0,AT285,IF(AT$3=$E286,IF($AA286=1,$F286&amp;$AB286,$G286),IF(OR(AT$3=$D286,AT$3=$AC286,AT$3=$AE286),"",IF(AT$3=$AD286,$F286&amp;"R",AT285))))</f>
        <v>wP</v>
      </c>
      <c r="AU286" s="11" t="str">
        <f aca="false">IF($P286=0,AU285,IF(AU$3=$E286,IF($AA286=1,$F286&amp;$AB286,$G286),IF(OR(AU$3=$D286,AU$3=$AC286,AU$3=$AE286),"",IF(AU$3=$AD286,$F286&amp;"R",AU285))))</f>
        <v>wP</v>
      </c>
      <c r="AV286" s="11" t="str">
        <f aca="false">IF($P286=0,AV285,IF(AV$3=$E286,IF($AA286=1,$F286&amp;$AB286,$G286),IF(OR(AV$3=$D286,AV$3=$AC286,AV$3=$AE286),"",IF(AV$3=$AD286,$F286&amp;"R",AV285))))</f>
        <v>wP</v>
      </c>
      <c r="AW286" s="11" t="str">
        <f aca="false">IF($P286=0,AW285,IF(AW$3=$E286,IF($AA286=1,$F286&amp;$AB286,$G286),IF(OR(AW$3=$D286,AW$3=$AC286,AW$3=$AE286),"",IF(AW$3=$AD286,$F286&amp;"R",AW285))))</f>
        <v>wP</v>
      </c>
      <c r="AX286" s="11" t="str">
        <f aca="false">IF($P286=0,AX285,IF(AX$3=$E286,IF($AA286=1,$F286&amp;$AB286,$G286),IF(OR(AX$3=$D286,AX$3=$AC286,AX$3=$AE286),"",IF(AX$3=$AD286,$F286&amp;"R",AX285))))</f>
        <v/>
      </c>
      <c r="AY286" s="11" t="str">
        <f aca="false">IF($P286=0,AY285,IF(AY$3=$E286,IF($AA286=1,$F286&amp;$AB286,$G286),IF(OR(AY$3=$D286,AY$3=$AC286,AY$3=$AE286),"",IF(AY$3=$AD286,$F286&amp;"R",AY285))))</f>
        <v/>
      </c>
      <c r="AZ286" s="11" t="str">
        <f aca="false">IF($P286=0,AZ285,IF(AZ$3=$E286,IF($AA286=1,$F286&amp;$AB286,$G286),IF(OR(AZ$3=$D286,AZ$3=$AC286,AZ$3=$AE286),"",IF(AZ$3=$AD286,$F286&amp;"R",AZ285))))</f>
        <v/>
      </c>
      <c r="BA286" s="11" t="str">
        <f aca="false">IF($P286=0,BA285,IF(BA$3=$E286,IF($AA286=1,$F286&amp;$AB286,$G286),IF(OR(BA$3=$D286,BA$3=$AC286,BA$3=$AE286),"",IF(BA$3=$AD286,$F286&amp;"R",BA285))))</f>
        <v/>
      </c>
      <c r="BB286" s="11" t="str">
        <f aca="false">IF($P286=0,BB285,IF(BB$3=$E286,IF($AA286=1,$F286&amp;$AB286,$G286),IF(OR(BB$3=$D286,BB$3=$AC286,BB$3=$AE286),"",IF(BB$3=$AD286,$F286&amp;"R",BB285))))</f>
        <v/>
      </c>
      <c r="BC286" s="11" t="str">
        <f aca="false">IF($P286=0,BC285,IF(BC$3=$E286,IF($AA286=1,$F286&amp;$AB286,$G286),IF(OR(BC$3=$D286,BC$3=$AC286,BC$3=$AE286),"",IF(BC$3=$AD286,$F286&amp;"R",BC285))))</f>
        <v/>
      </c>
      <c r="BD286" s="11" t="str">
        <f aca="false">IF($P286=0,BD285,IF(BD$3=$E286,IF($AA286=1,$F286&amp;$AB286,$G286),IF(OR(BD$3=$D286,BD$3=$AC286,BD$3=$AE286),"",IF(BD$3=$AD286,$F286&amp;"R",BD285))))</f>
        <v/>
      </c>
      <c r="BE286" s="11" t="str">
        <f aca="false">IF($P286=0,BE285,IF(BE$3=$E286,IF($AA286=1,$F286&amp;$AB286,$G286),IF(OR(BE$3=$D286,BE$3=$AC286,BE$3=$AE286),"",IF(BE$3=$AD286,$F286&amp;"R",BE285))))</f>
        <v/>
      </c>
      <c r="BF286" s="11" t="str">
        <f aca="false">IF($P286=0,BF285,IF(BF$3=$E286,IF($AA286=1,$F286&amp;$AB286,$G286),IF(OR(BF$3=$D286,BF$3=$AC286,BF$3=$AE286),"",IF(BF$3=$AD286,$F286&amp;"R",BF285))))</f>
        <v/>
      </c>
      <c r="BG286" s="11" t="str">
        <f aca="false">IF($P286=0,BG285,IF(BG$3=$E286,IF($AA286=1,$F286&amp;$AB286,$G286),IF(OR(BG$3=$D286,BG$3=$AC286,BG$3=$AE286),"",IF(BG$3=$AD286,$F286&amp;"R",BG285))))</f>
        <v/>
      </c>
      <c r="BH286" s="11" t="str">
        <f aca="false">IF($P286=0,BH285,IF(BH$3=$E286,IF($AA286=1,$F286&amp;$AB286,$G286),IF(OR(BH$3=$D286,BH$3=$AC286,BH$3=$AE286),"",IF(BH$3=$AD286,$F286&amp;"R",BH285))))</f>
        <v/>
      </c>
      <c r="BI286" s="11" t="str">
        <f aca="false">IF($P286=0,BI285,IF(BI$3=$E286,IF($AA286=1,$F286&amp;$AB286,$G286),IF(OR(BI$3=$D286,BI$3=$AC286,BI$3=$AE286),"",IF(BI$3=$AD286,$F286&amp;"R",BI285))))</f>
        <v/>
      </c>
      <c r="BJ286" s="11" t="str">
        <f aca="false">IF($P286=0,BJ285,IF(BJ$3=$E286,IF($AA286=1,$F286&amp;$AB286,$G286),IF(OR(BJ$3=$D286,BJ$3=$AC286,BJ$3=$AE286),"",IF(BJ$3=$AD286,$F286&amp;"R",BJ285))))</f>
        <v/>
      </c>
      <c r="BK286" s="11" t="str">
        <f aca="false">IF($P286=0,BK285,IF(BK$3=$E286,IF($AA286=1,$F286&amp;$AB286,$G286),IF(OR(BK$3=$D286,BK$3=$AC286,BK$3=$AE286),"",IF(BK$3=$AD286,$F286&amp;"R",BK285))))</f>
        <v/>
      </c>
      <c r="BL286" s="11" t="str">
        <f aca="false">IF($P286=0,BL285,IF(BL$3=$E286,IF($AA286=1,$F286&amp;$AB286,$G286),IF(OR(BL$3=$D286,BL$3=$AC286,BL$3=$AE286),"",IF(BL$3=$AD286,$F286&amp;"R",BL285))))</f>
        <v/>
      </c>
      <c r="BM286" s="11" t="str">
        <f aca="false">IF($P286=0,BM285,IF(BM$3=$E286,IF($AA286=1,$F286&amp;$AB286,$G286),IF(OR(BM$3=$D286,BM$3=$AC286,BM$3=$AE286),"",IF(BM$3=$AD286,$F286&amp;"R",BM285))))</f>
        <v/>
      </c>
      <c r="BN286" s="11" t="str">
        <f aca="false">IF($P286=0,BN285,IF(BN$3=$E286,IF($AA286=1,$F286&amp;$AB286,$G286),IF(OR(BN$3=$D286,BN$3=$AC286,BN$3=$AE286),"",IF(BN$3=$AD286,$F286&amp;"R",BN285))))</f>
        <v/>
      </c>
      <c r="BO286" s="11" t="str">
        <f aca="false">IF($P286=0,BO285,IF(BO$3=$E286,IF($AA286=1,$F286&amp;$AB286,$G286),IF(OR(BO$3=$D286,BO$3=$AC286,BO$3=$AE286),"",IF(BO$3=$AD286,$F286&amp;"R",BO285))))</f>
        <v/>
      </c>
      <c r="BP286" s="11" t="str">
        <f aca="false">IF($P286=0,BP285,IF(BP$3=$E286,IF($AA286=1,$F286&amp;$AB286,$G286),IF(OR(BP$3=$D286,BP$3=$AC286,BP$3=$AE286),"",IF(BP$3=$AD286,$F286&amp;"R",BP285))))</f>
        <v/>
      </c>
      <c r="BQ286" s="11" t="str">
        <f aca="false">IF($P286=0,BQ285,IF(BQ$3=$E286,IF($AA286=1,$F286&amp;$AB286,$G286),IF(OR(BQ$3=$D286,BQ$3=$AC286,BQ$3=$AE286),"",IF(BQ$3=$AD286,$F286&amp;"R",BQ285))))</f>
        <v/>
      </c>
      <c r="BR286" s="11" t="str">
        <f aca="false">IF($P286=0,BR285,IF(BR$3=$E286,IF($AA286=1,$F286&amp;$AB286,$G286),IF(OR(BR$3=$D286,BR$3=$AC286,BR$3=$AE286),"",IF(BR$3=$AD286,$F286&amp;"R",BR285))))</f>
        <v/>
      </c>
      <c r="BS286" s="11" t="str">
        <f aca="false">IF($P286=0,BS285,IF(BS$3=$E286,IF($AA286=1,$F286&amp;$AB286,$G286),IF(OR(BS$3=$D286,BS$3=$AC286,BS$3=$AE286),"",IF(BS$3=$AD286,$F286&amp;"R",BS285))))</f>
        <v/>
      </c>
      <c r="BT286" s="11" t="str">
        <f aca="false">IF($P286=0,BT285,IF(BT$3=$E286,IF($AA286=1,$F286&amp;$AB286,$G286),IF(OR(BT$3=$D286,BT$3=$AC286,BT$3=$AE286),"",IF(BT$3=$AD286,$F286&amp;"R",BT285))))</f>
        <v/>
      </c>
      <c r="BU286" s="11" t="str">
        <f aca="false">IF($P286=0,BU285,IF(BU$3=$E286,IF($AA286=1,$F286&amp;$AB286,$G286),IF(OR(BU$3=$D286,BU$3=$AC286,BU$3=$AE286),"",IF(BU$3=$AD286,$F286&amp;"R",BU285))))</f>
        <v/>
      </c>
      <c r="BV286" s="11" t="str">
        <f aca="false">IF($P286=0,BV285,IF(BV$3=$E286,IF($AA286=1,$F286&amp;$AB286,$G286),IF(OR(BV$3=$D286,BV$3=$AC286,BV$3=$AE286),"",IF(BV$3=$AD286,$F286&amp;"R",BV285))))</f>
        <v/>
      </c>
      <c r="BW286" s="11" t="str">
        <f aca="false">IF($P286=0,BW285,IF(BW$3=$E286,IF($AA286=1,$F286&amp;$AB286,$G286),IF(OR(BW$3=$D286,BW$3=$AC286,BW$3=$AE286),"",IF(BW$3=$AD286,$F286&amp;"R",BW285))))</f>
        <v/>
      </c>
      <c r="BX286" s="11" t="str">
        <f aca="false">IF($P286=0,BX285,IF(BX$3=$E286,IF($AA286=1,$F286&amp;$AB286,$G286),IF(OR(BX$3=$D286,BX$3=$AC286,BX$3=$AE286),"",IF(BX$3=$AD286,$F286&amp;"R",BX285))))</f>
        <v/>
      </c>
      <c r="BY286" s="11" t="str">
        <f aca="false">IF($P286=0,BY285,IF(BY$3=$E286,IF($AA286=1,$F286&amp;$AB286,$G286),IF(OR(BY$3=$D286,BY$3=$AC286,BY$3=$AE286),"",IF(BY$3=$AD286,$F286&amp;"R",BY285))))</f>
        <v/>
      </c>
      <c r="BZ286" s="11" t="str">
        <f aca="false">IF($P286=0,BZ285,IF(BZ$3=$E286,IF($AA286=1,$F286&amp;$AB286,$G286),IF(OR(BZ$3=$D286,BZ$3=$AC286,BZ$3=$AE286),"",IF(BZ$3=$AD286,$F286&amp;"R",BZ285))))</f>
        <v/>
      </c>
      <c r="CA286" s="11" t="str">
        <f aca="false">IF($P286=0,CA285,IF(CA$3=$E286,IF($AA286=1,$F286&amp;$AB286,$G286),IF(OR(CA$3=$D286,CA$3=$AC286,CA$3=$AE286),"",IF(CA$3=$AD286,$F286&amp;"R",CA285))))</f>
        <v/>
      </c>
      <c r="CB286" s="11" t="str">
        <f aca="false">IF($P286=0,CB285,IF(CB$3=$E286,IF($AA286=1,$F286&amp;$AB286,$G286),IF(OR(CB$3=$D286,CB$3=$AC286,CB$3=$AE286),"",IF(CB$3=$AD286,$F286&amp;"R",CB285))))</f>
        <v/>
      </c>
      <c r="CC286" s="11" t="str">
        <f aca="false">IF($P286=0,CC285,IF(CC$3=$E286,IF($AA286=1,$F286&amp;$AB286,$G286),IF(OR(CC$3=$D286,CC$3=$AC286,CC$3=$AE286),"",IF(CC$3=$AD286,$F286&amp;"R",CC285))))</f>
        <v/>
      </c>
      <c r="CD286" s="11" t="str">
        <f aca="false">IF($P286=0,CD285,IF(CD$3=$E286,IF($AA286=1,$F286&amp;$AB286,$G286),IF(OR(CD$3=$D286,CD$3=$AC286,CD$3=$AE286),"",IF(CD$3=$AD286,$F286&amp;"R",CD285))))</f>
        <v>bP</v>
      </c>
      <c r="CE286" s="11" t="str">
        <f aca="false">IF($P286=0,CE285,IF(CE$3=$E286,IF($AA286=1,$F286&amp;$AB286,$G286),IF(OR(CE$3=$D286,CE$3=$AC286,CE$3=$AE286),"",IF(CE$3=$AD286,$F286&amp;"R",CE285))))</f>
        <v>bP</v>
      </c>
      <c r="CF286" s="11" t="str">
        <f aca="false">IF($P286=0,CF285,IF(CF$3=$E286,IF($AA286=1,$F286&amp;$AB286,$G286),IF(OR(CF$3=$D286,CF$3=$AC286,CF$3=$AE286),"",IF(CF$3=$AD286,$F286&amp;"R",CF285))))</f>
        <v>bP</v>
      </c>
      <c r="CG286" s="11" t="str">
        <f aca="false">IF($P286=0,CG285,IF(CG$3=$E286,IF($AA286=1,$F286&amp;$AB286,$G286),IF(OR(CG$3=$D286,CG$3=$AC286,CG$3=$AE286),"",IF(CG$3=$AD286,$F286&amp;"R",CG285))))</f>
        <v>bP</v>
      </c>
      <c r="CH286" s="11" t="str">
        <f aca="false">IF($P286=0,CH285,IF(CH$3=$E286,IF($AA286=1,$F286&amp;$AB286,$G286),IF(OR(CH$3=$D286,CH$3=$AC286,CH$3=$AE286),"",IF(CH$3=$AD286,$F286&amp;"R",CH285))))</f>
        <v>bP</v>
      </c>
      <c r="CI286" s="11" t="str">
        <f aca="false">IF($P286=0,CI285,IF(CI$3=$E286,IF($AA286=1,$F286&amp;$AB286,$G286),IF(OR(CI$3=$D286,CI$3=$AC286,CI$3=$AE286),"",IF(CI$3=$AD286,$F286&amp;"R",CI285))))</f>
        <v>bP</v>
      </c>
      <c r="CJ286" s="11" t="str">
        <f aca="false">IF($P286=0,CJ285,IF(CJ$3=$E286,IF($AA286=1,$F286&amp;$AB286,$G286),IF(OR(CJ$3=$D286,CJ$3=$AC286,CJ$3=$AE286),"",IF(CJ$3=$AD286,$F286&amp;"R",CJ285))))</f>
        <v>bP</v>
      </c>
      <c r="CK286" s="11" t="str">
        <f aca="false">IF($P286=0,CK285,IF(CK$3=$E286,IF($AA286=1,$F286&amp;$AB286,$G286),IF(OR(CK$3=$D286,CK$3=$AC286,CK$3=$AE286),"",IF(CK$3=$AD286,$F286&amp;"R",CK285))))</f>
        <v>bP</v>
      </c>
      <c r="CL286" s="11" t="str">
        <f aca="false">IF($P286=0,CL285,IF(CL$3=$E286,IF($AA286=1,$F286&amp;$AB286,$G286),IF(OR(CL$3=$D286,CL$3=$AC286,CL$3=$AE286),"",IF(CL$3=$AD286,$F286&amp;"R",CL285))))</f>
        <v>bR</v>
      </c>
      <c r="CM286" s="11" t="str">
        <f aca="false">IF($P286=0,CM285,IF(CM$3=$E286,IF($AA286=1,$F286&amp;$AB286,$G286),IF(OR(CM$3=$D286,CM$3=$AC286,CM$3=$AE286),"",IF(CM$3=$AD286,$F286&amp;"R",CM285))))</f>
        <v>bN</v>
      </c>
      <c r="CN286" s="11" t="str">
        <f aca="false">IF($P286=0,CN285,IF(CN$3=$E286,IF($AA286=1,$F286&amp;$AB286,$G286),IF(OR(CN$3=$D286,CN$3=$AC286,CN$3=$AE286),"",IF(CN$3=$AD286,$F286&amp;"R",CN285))))</f>
        <v>bB</v>
      </c>
      <c r="CO286" s="11" t="str">
        <f aca="false">IF($P286=0,CO285,IF(CO$3=$E286,IF($AA286=1,$F286&amp;$AB286,$G286),IF(OR(CO$3=$D286,CO$3=$AC286,CO$3=$AE286),"",IF(CO$3=$AD286,$F286&amp;"R",CO285))))</f>
        <v>bQ</v>
      </c>
      <c r="CP286" s="11" t="str">
        <f aca="false">IF($P286=0,CP285,IF(CP$3=$E286,IF($AA286=1,$F286&amp;$AB286,$G286),IF(OR(CP$3=$D286,CP$3=$AC286,CP$3=$AE286),"",IF(CP$3=$AD286,$F286&amp;"R",CP285))))</f>
        <v>bK</v>
      </c>
      <c r="CQ286" s="11" t="str">
        <f aca="false">IF($P286=0,CQ285,IF(CQ$3=$E286,IF($AA286=1,$F286&amp;$AB286,$G286),IF(OR(CQ$3=$D286,CQ$3=$AC286,CQ$3=$AE286),"",IF(CQ$3=$AD286,$F286&amp;"R",CQ285))))</f>
        <v>bB</v>
      </c>
      <c r="CR286" s="11" t="str">
        <f aca="false">IF($P286=0,CR285,IF(CR$3=$E286,IF($AA286=1,$F286&amp;$AB286,$G286),IF(OR(CR$3=$D286,CR$3=$AC286,CR$3=$AE286),"",IF(CR$3=$AD286,$F286&amp;"R",CR285))))</f>
        <v>bN</v>
      </c>
      <c r="CS286" s="11" t="str">
        <f aca="false">IF($P286=0,CS285,IF(CS$3=$E286,IF($AA286=1,$F286&amp;$AB286,$G286),IF(OR(CS$3=$D286,CS$3=$AC286,CS$3=$AE286),"",IF(CS$3=$AD286,$F286&amp;"R",CS285))))</f>
        <v>bR</v>
      </c>
      <c r="CT286" s="11"/>
      <c r="CU286" s="11"/>
      <c r="CV286" s="11"/>
    </row>
    <row r="287" customFormat="false" ht="15" hidden="false" customHeight="false" outlineLevel="0" collapsed="false">
      <c r="A287" s="11" t="n">
        <v>282</v>
      </c>
      <c r="B287" s="11" t="str">
        <f aca="false">IF(Chess!$L$291="","",Chess!$L$291&amp;"")</f>
        <v/>
      </c>
      <c r="C287" s="11" t="str">
        <f aca="false">LOWER(SUBSTITUTE(SUBSTITUTE(SUBSTITUTE(SUBSTITUTE(TRIM($B287),"-",""),"=","")," ",""),"x",""))</f>
        <v/>
      </c>
      <c r="D287" s="11" t="n">
        <f aca="false">IF(LEN($C287)&lt;4,0,IFERROR(IF(AND(CODE(MID($C287,1,1))&gt;=97,CODE(MID($C287,1,1))&lt;=104,VALUE(MID($C287,2,1))&gt;=1,VALUE(MID($C287,2,1))&lt;=8),(VALUE(MID($C287,2,1))-1)*8+CODE(MID($C287,1,1))-96,0),0))</f>
        <v>0</v>
      </c>
      <c r="E287" s="11" t="n">
        <f aca="false">IF(LEN($C287)&lt;4,0,IFERROR(IF(AND(CODE(MID($C287,3,1))&gt;=97,CODE(MID($C287,3,1))&lt;=104,VALUE(MID($C287,4,1))&gt;=1,VALUE(MID($C287,4,1))&lt;=8),(VALUE(MID($C287,4,1))-1)*8+CODE(MID($C287,3,1))-96,0),0))</f>
        <v>0</v>
      </c>
      <c r="F287" s="11" t="str">
        <f aca="false">IF(MOD(SUM($P$5:$P286),2)=0,"w","b")</f>
        <v>w</v>
      </c>
      <c r="G287" s="11" t="str">
        <f aca="false">IF($D287=0,"",INDEX($AH286:$CS286,1,$D287)&amp;"")</f>
        <v/>
      </c>
      <c r="H287" s="11" t="str">
        <f aca="false">IF($E287=0,"",INDEX($AH286:$CS286,1,$E287)&amp;"")</f>
        <v/>
      </c>
      <c r="I287" s="11" t="n">
        <f aca="false">IF(OR($D287=0,$E287=0),0,MOD($E287-1,8)-MOD($D287-1,8))</f>
        <v>0</v>
      </c>
      <c r="J287" s="11" t="n">
        <f aca="false">IF(OR($D287=0,$E287=0),0,INT(($E287-1)/8)-INT(($D287-1)/8))</f>
        <v>0</v>
      </c>
      <c r="K287" s="11" t="str">
        <f aca="false">IF($G287="","",RIGHT($G287,1))</f>
        <v/>
      </c>
      <c r="L287" s="11" t="n">
        <f aca="false">IF(OR($D287=0,$E287=0),0,SUMPRODUCT(($AH$3:$CS$3&gt;MIN($D287,$E287))*($AH$3:$CS$3&lt;MAX($D287,$E287))*(MOD($AH$3:$CS$3-MIN($D287,$E287),MAX(1,ABS(SIGN($J287)*8+SIGN($I287))))=0)*($AH286:$CS286&lt;&gt;"")))</f>
        <v>0</v>
      </c>
      <c r="M287" s="11" t="n">
        <f aca="false">IF($K287&lt;&gt;"K",0,IFERROR(--AND($J287=0,ABS($I287)=2,$D287=IF($F287="w",5,61),IF($F287="w",$S286,$V286)=0,IF($I287=2,AND(IF($F287="w",$U286,$X286)=0,INDEX($AH286:$CS286,1,$D287+1)&amp;""="",INDEX($AH286:$CS286,1,$D287+2)&amp;""=""),AND(IF($F287="w",$T286,$W286)=0,INDEX($AH286:$CS286,1,$D287-1)&amp;""="",INDEX($AH286:$CS286,1,$D287-2)&amp;""="",INDEX($AH286:$CS286,1,$D287-3)&amp;""=""))),0))</f>
        <v>0</v>
      </c>
      <c r="N287" s="11" t="n">
        <f aca="false">IF($K287&lt;&gt;"P",0,IFERROR(--OR(AND($I287=0,$J287=IF($F287="w",1,-1),$H287=""),AND($I287=0,$J287=2*IF($F287="w",1,-1),$H287="",INT(($D287-1)/8)=IF($F287="w",1,6),INDEX($AH286:$CS286,1,MAX(1,MIN(64,$D287+8*IF($F287="w",1,-1))))&amp;""=""),AND(ABS($I287)=1,$J287=IF($F287="w",1,-1),$H287&lt;&gt;""),AND(ABS($I287)=1,$J287=IF($F287="w",1,-1),$H287="",$R286&gt;0,$E287=$R286)),0))</f>
        <v>0</v>
      </c>
      <c r="O287" s="11" t="n">
        <f aca="false">IF(OR($D287=0,$E287=0,$G287=""),0,IF($K287="N",--OR(AND(ABS($I287)=1,ABS($J287)=2),AND(ABS($I287)=2,ABS($J287)=1)),IF($K287="B",--AND(ABS($I287)=ABS($J287),$I287&lt;&gt;0,$L287=0),IF($K287="R",--AND(OR($I287=0,$J287=0),OR($I287&lt;&gt;0,$J287&lt;&gt;0),$L287=0),IF($K287="Q",--AND(OR(AND(ABS($I287)=ABS($J287),$I287&lt;&gt;0),AND(OR($I287=0,$J287=0),OR($I287&lt;&gt;0,$J287&lt;&gt;0))),$L287=0),IF($K287="K",--OR(MAX(ABS($I287),ABS($J287))=1,$M287=1),$N287))))))</f>
        <v>0</v>
      </c>
      <c r="P287" s="11" t="n">
        <f aca="false">IF($Q287="OK",1,0)</f>
        <v>0</v>
      </c>
      <c r="Q287" s="11" t="str">
        <f aca="false">IF($B287="","",IF(OR(COUNTIF($AH286:$CS286,"wK")=0,COUNTIF($AH286:$CS286,"bK")=0),"Game is over",IF(OR($D287=0,$E287=0),"Use the format e2e4",IF($G287="","No piece on that square",IF(LEFT($G287,1)&lt;&gt;$F287,"Not your piece ("&amp;IF($F287="w","White","Black")&amp;" to move)",IF($D287=$E287,"Piece must move",IF(AND($H287&lt;&gt;"",LEFT($H287,1)=$F287),"Cannot capture your own piece",IF($O287=0,"Illegal move for that piece (or path blocked)","OK"))))))))</f>
        <v/>
      </c>
      <c r="R287" s="11" t="n">
        <f aca="false">IF($P287=1,IF(AND($K287="P",ABS($J287)=2),($D287+$E287)/2,0),$R286)</f>
        <v>0</v>
      </c>
      <c r="S287" s="12" t="b">
        <f aca="false">--OR($S286=1,AND($P287=1,OR($D287=5,$E287=5)))</f>
        <v>0</v>
      </c>
      <c r="T287" s="12" t="b">
        <f aca="false">--OR($T286=1,AND($P287=1,OR($D287=1,$E287=1)))</f>
        <v>0</v>
      </c>
      <c r="U287" s="12" t="b">
        <f aca="false">--OR($U286=1,AND($P287=1,OR($D287=8,$E287=8)))</f>
        <v>0</v>
      </c>
      <c r="V287" s="12" t="b">
        <f aca="false">--OR($V286=1,AND($P287=1,OR($D287=61,$E287=61)))</f>
        <v>0</v>
      </c>
      <c r="W287" s="12" t="b">
        <f aca="false">--OR($W286=1,AND($P287=1,OR($D287=57,$E287=57)))</f>
        <v>0</v>
      </c>
      <c r="X287" s="12" t="b">
        <f aca="false">--OR($X286=1,AND($P287=1,OR($D287=64,$E287=64)))</f>
        <v>0</v>
      </c>
      <c r="Y287" s="12" t="b">
        <f aca="false">--AND($P287=1,$K287="K",ABS($I287)=2)</f>
        <v>0</v>
      </c>
      <c r="Z287" s="12" t="b">
        <f aca="false">--AND($P287=1,$K287="P",ABS($I287)=1,$H287="")</f>
        <v>0</v>
      </c>
      <c r="AA287" s="12" t="b">
        <f aca="false">--AND($P287=1,$K287="P",INT(($E287-1)/8)=IF($F287="w",7,0))</f>
        <v>0</v>
      </c>
      <c r="AB287" s="11" t="str">
        <f aca="false">IF(LEN($C287)&gt;=5,IF(ISNUMBER(FIND(MID($C287,5,1),"qrbn")),UPPER(MID($C287,5,1)),"Q"),"Q")</f>
        <v>Q</v>
      </c>
      <c r="AC287" s="11" t="n">
        <f aca="false">IF($Y287=1,IF($I287=2,$D287+3,$D287-4),0)</f>
        <v>0</v>
      </c>
      <c r="AD287" s="11" t="n">
        <f aca="false">IF($Y287=1,IF($I287=2,$D287+1,$D287-1),0)</f>
        <v>0</v>
      </c>
      <c r="AE287" s="11" t="n">
        <f aca="false">IF($Z287=1,$E287-8*IF($F287="w",1,-1),0)</f>
        <v>0</v>
      </c>
      <c r="AF287" s="11" t="str">
        <f aca="false">IF($B287="","",IF($P287=1,LOWER(INDEX($CV$2:$CV$13,MATCH($G287,$CU$2:$CU$13,0)))&amp;" "&amp;MID("abcdefgh",MOD($D287-1,8)+1,1)&amp;(INT(($D287-1)/8)+1)&amp;"→"&amp;MID("abcdefgh",MOD($E287-1,8)+1,1)&amp;(INT(($E287-1)/8)+1)&amp;IF(OR($H287&lt;&gt;"",$Z287=1)," ×","")&amp;IF($Y287=1," castles","")&amp;IF($Z287=1," e.p.","")&amp;IF($AA287=1," =" &amp;LOWER(INDEX($CV$2:$CV$13,MATCH($F287&amp;$AB287,$CU$2:$CU$13,0))),""),"X "&amp;$Q287))</f>
        <v/>
      </c>
      <c r="AG287" s="11"/>
      <c r="AH287" s="11" t="str">
        <f aca="false">IF($P287=0,AH286,IF(AH$3=$E287,IF($AA287=1,$F287&amp;$AB287,$G287),IF(OR(AH$3=$D287,AH$3=$AC287,AH$3=$AE287),"",IF(AH$3=$AD287,$F287&amp;"R",AH286))))</f>
        <v>wR</v>
      </c>
      <c r="AI287" s="11" t="str">
        <f aca="false">IF($P287=0,AI286,IF(AI$3=$E287,IF($AA287=1,$F287&amp;$AB287,$G287),IF(OR(AI$3=$D287,AI$3=$AC287,AI$3=$AE287),"",IF(AI$3=$AD287,$F287&amp;"R",AI286))))</f>
        <v>wN</v>
      </c>
      <c r="AJ287" s="11" t="str">
        <f aca="false">IF($P287=0,AJ286,IF(AJ$3=$E287,IF($AA287=1,$F287&amp;$AB287,$G287),IF(OR(AJ$3=$D287,AJ$3=$AC287,AJ$3=$AE287),"",IF(AJ$3=$AD287,$F287&amp;"R",AJ286))))</f>
        <v>wB</v>
      </c>
      <c r="AK287" s="11" t="str">
        <f aca="false">IF($P287=0,AK286,IF(AK$3=$E287,IF($AA287=1,$F287&amp;$AB287,$G287),IF(OR(AK$3=$D287,AK$3=$AC287,AK$3=$AE287),"",IF(AK$3=$AD287,$F287&amp;"R",AK286))))</f>
        <v>wQ</v>
      </c>
      <c r="AL287" s="11" t="str">
        <f aca="false">IF($P287=0,AL286,IF(AL$3=$E287,IF($AA287=1,$F287&amp;$AB287,$G287),IF(OR(AL$3=$D287,AL$3=$AC287,AL$3=$AE287),"",IF(AL$3=$AD287,$F287&amp;"R",AL286))))</f>
        <v>wK</v>
      </c>
      <c r="AM287" s="11" t="str">
        <f aca="false">IF($P287=0,AM286,IF(AM$3=$E287,IF($AA287=1,$F287&amp;$AB287,$G287),IF(OR(AM$3=$D287,AM$3=$AC287,AM$3=$AE287),"",IF(AM$3=$AD287,$F287&amp;"R",AM286))))</f>
        <v>wB</v>
      </c>
      <c r="AN287" s="11" t="str">
        <f aca="false">IF($P287=0,AN286,IF(AN$3=$E287,IF($AA287=1,$F287&amp;$AB287,$G287),IF(OR(AN$3=$D287,AN$3=$AC287,AN$3=$AE287),"",IF(AN$3=$AD287,$F287&amp;"R",AN286))))</f>
        <v>wN</v>
      </c>
      <c r="AO287" s="11" t="str">
        <f aca="false">IF($P287=0,AO286,IF(AO$3=$E287,IF($AA287=1,$F287&amp;$AB287,$G287),IF(OR(AO$3=$D287,AO$3=$AC287,AO$3=$AE287),"",IF(AO$3=$AD287,$F287&amp;"R",AO286))))</f>
        <v>wR</v>
      </c>
      <c r="AP287" s="11" t="str">
        <f aca="false">IF($P287=0,AP286,IF(AP$3=$E287,IF($AA287=1,$F287&amp;$AB287,$G287),IF(OR(AP$3=$D287,AP$3=$AC287,AP$3=$AE287),"",IF(AP$3=$AD287,$F287&amp;"R",AP286))))</f>
        <v>wP</v>
      </c>
      <c r="AQ287" s="11" t="str">
        <f aca="false">IF($P287=0,AQ286,IF(AQ$3=$E287,IF($AA287=1,$F287&amp;$AB287,$G287),IF(OR(AQ$3=$D287,AQ$3=$AC287,AQ$3=$AE287),"",IF(AQ$3=$AD287,$F287&amp;"R",AQ286))))</f>
        <v>wP</v>
      </c>
      <c r="AR287" s="11" t="str">
        <f aca="false">IF($P287=0,AR286,IF(AR$3=$E287,IF($AA287=1,$F287&amp;$AB287,$G287),IF(OR(AR$3=$D287,AR$3=$AC287,AR$3=$AE287),"",IF(AR$3=$AD287,$F287&amp;"R",AR286))))</f>
        <v>wP</v>
      </c>
      <c r="AS287" s="11" t="str">
        <f aca="false">IF($P287=0,AS286,IF(AS$3=$E287,IF($AA287=1,$F287&amp;$AB287,$G287),IF(OR(AS$3=$D287,AS$3=$AC287,AS$3=$AE287),"",IF(AS$3=$AD287,$F287&amp;"R",AS286))))</f>
        <v>wP</v>
      </c>
      <c r="AT287" s="11" t="str">
        <f aca="false">IF($P287=0,AT286,IF(AT$3=$E287,IF($AA287=1,$F287&amp;$AB287,$G287),IF(OR(AT$3=$D287,AT$3=$AC287,AT$3=$AE287),"",IF(AT$3=$AD287,$F287&amp;"R",AT286))))</f>
        <v>wP</v>
      </c>
      <c r="AU287" s="11" t="str">
        <f aca="false">IF($P287=0,AU286,IF(AU$3=$E287,IF($AA287=1,$F287&amp;$AB287,$G287),IF(OR(AU$3=$D287,AU$3=$AC287,AU$3=$AE287),"",IF(AU$3=$AD287,$F287&amp;"R",AU286))))</f>
        <v>wP</v>
      </c>
      <c r="AV287" s="11" t="str">
        <f aca="false">IF($P287=0,AV286,IF(AV$3=$E287,IF($AA287=1,$F287&amp;$AB287,$G287),IF(OR(AV$3=$D287,AV$3=$AC287,AV$3=$AE287),"",IF(AV$3=$AD287,$F287&amp;"R",AV286))))</f>
        <v>wP</v>
      </c>
      <c r="AW287" s="11" t="str">
        <f aca="false">IF($P287=0,AW286,IF(AW$3=$E287,IF($AA287=1,$F287&amp;$AB287,$G287),IF(OR(AW$3=$D287,AW$3=$AC287,AW$3=$AE287),"",IF(AW$3=$AD287,$F287&amp;"R",AW286))))</f>
        <v>wP</v>
      </c>
      <c r="AX287" s="11" t="str">
        <f aca="false">IF($P287=0,AX286,IF(AX$3=$E287,IF($AA287=1,$F287&amp;$AB287,$G287),IF(OR(AX$3=$D287,AX$3=$AC287,AX$3=$AE287),"",IF(AX$3=$AD287,$F287&amp;"R",AX286))))</f>
        <v/>
      </c>
      <c r="AY287" s="11" t="str">
        <f aca="false">IF($P287=0,AY286,IF(AY$3=$E287,IF($AA287=1,$F287&amp;$AB287,$G287),IF(OR(AY$3=$D287,AY$3=$AC287,AY$3=$AE287),"",IF(AY$3=$AD287,$F287&amp;"R",AY286))))</f>
        <v/>
      </c>
      <c r="AZ287" s="11" t="str">
        <f aca="false">IF($P287=0,AZ286,IF(AZ$3=$E287,IF($AA287=1,$F287&amp;$AB287,$G287),IF(OR(AZ$3=$D287,AZ$3=$AC287,AZ$3=$AE287),"",IF(AZ$3=$AD287,$F287&amp;"R",AZ286))))</f>
        <v/>
      </c>
      <c r="BA287" s="11" t="str">
        <f aca="false">IF($P287=0,BA286,IF(BA$3=$E287,IF($AA287=1,$F287&amp;$AB287,$G287),IF(OR(BA$3=$D287,BA$3=$AC287,BA$3=$AE287),"",IF(BA$3=$AD287,$F287&amp;"R",BA286))))</f>
        <v/>
      </c>
      <c r="BB287" s="11" t="str">
        <f aca="false">IF($P287=0,BB286,IF(BB$3=$E287,IF($AA287=1,$F287&amp;$AB287,$G287),IF(OR(BB$3=$D287,BB$3=$AC287,BB$3=$AE287),"",IF(BB$3=$AD287,$F287&amp;"R",BB286))))</f>
        <v/>
      </c>
      <c r="BC287" s="11" t="str">
        <f aca="false">IF($P287=0,BC286,IF(BC$3=$E287,IF($AA287=1,$F287&amp;$AB287,$G287),IF(OR(BC$3=$D287,BC$3=$AC287,BC$3=$AE287),"",IF(BC$3=$AD287,$F287&amp;"R",BC286))))</f>
        <v/>
      </c>
      <c r="BD287" s="11" t="str">
        <f aca="false">IF($P287=0,BD286,IF(BD$3=$E287,IF($AA287=1,$F287&amp;$AB287,$G287),IF(OR(BD$3=$D287,BD$3=$AC287,BD$3=$AE287),"",IF(BD$3=$AD287,$F287&amp;"R",BD286))))</f>
        <v/>
      </c>
      <c r="BE287" s="11" t="str">
        <f aca="false">IF($P287=0,BE286,IF(BE$3=$E287,IF($AA287=1,$F287&amp;$AB287,$G287),IF(OR(BE$3=$D287,BE$3=$AC287,BE$3=$AE287),"",IF(BE$3=$AD287,$F287&amp;"R",BE286))))</f>
        <v/>
      </c>
      <c r="BF287" s="11" t="str">
        <f aca="false">IF($P287=0,BF286,IF(BF$3=$E287,IF($AA287=1,$F287&amp;$AB287,$G287),IF(OR(BF$3=$D287,BF$3=$AC287,BF$3=$AE287),"",IF(BF$3=$AD287,$F287&amp;"R",BF286))))</f>
        <v/>
      </c>
      <c r="BG287" s="11" t="str">
        <f aca="false">IF($P287=0,BG286,IF(BG$3=$E287,IF($AA287=1,$F287&amp;$AB287,$G287),IF(OR(BG$3=$D287,BG$3=$AC287,BG$3=$AE287),"",IF(BG$3=$AD287,$F287&amp;"R",BG286))))</f>
        <v/>
      </c>
      <c r="BH287" s="11" t="str">
        <f aca="false">IF($P287=0,BH286,IF(BH$3=$E287,IF($AA287=1,$F287&amp;$AB287,$G287),IF(OR(BH$3=$D287,BH$3=$AC287,BH$3=$AE287),"",IF(BH$3=$AD287,$F287&amp;"R",BH286))))</f>
        <v/>
      </c>
      <c r="BI287" s="11" t="str">
        <f aca="false">IF($P287=0,BI286,IF(BI$3=$E287,IF($AA287=1,$F287&amp;$AB287,$G287),IF(OR(BI$3=$D287,BI$3=$AC287,BI$3=$AE287),"",IF(BI$3=$AD287,$F287&amp;"R",BI286))))</f>
        <v/>
      </c>
      <c r="BJ287" s="11" t="str">
        <f aca="false">IF($P287=0,BJ286,IF(BJ$3=$E287,IF($AA287=1,$F287&amp;$AB287,$G287),IF(OR(BJ$3=$D287,BJ$3=$AC287,BJ$3=$AE287),"",IF(BJ$3=$AD287,$F287&amp;"R",BJ286))))</f>
        <v/>
      </c>
      <c r="BK287" s="11" t="str">
        <f aca="false">IF($P287=0,BK286,IF(BK$3=$E287,IF($AA287=1,$F287&amp;$AB287,$G287),IF(OR(BK$3=$D287,BK$3=$AC287,BK$3=$AE287),"",IF(BK$3=$AD287,$F287&amp;"R",BK286))))</f>
        <v/>
      </c>
      <c r="BL287" s="11" t="str">
        <f aca="false">IF($P287=0,BL286,IF(BL$3=$E287,IF($AA287=1,$F287&amp;$AB287,$G287),IF(OR(BL$3=$D287,BL$3=$AC287,BL$3=$AE287),"",IF(BL$3=$AD287,$F287&amp;"R",BL286))))</f>
        <v/>
      </c>
      <c r="BM287" s="11" t="str">
        <f aca="false">IF($P287=0,BM286,IF(BM$3=$E287,IF($AA287=1,$F287&amp;$AB287,$G287),IF(OR(BM$3=$D287,BM$3=$AC287,BM$3=$AE287),"",IF(BM$3=$AD287,$F287&amp;"R",BM286))))</f>
        <v/>
      </c>
      <c r="BN287" s="11" t="str">
        <f aca="false">IF($P287=0,BN286,IF(BN$3=$E287,IF($AA287=1,$F287&amp;$AB287,$G287),IF(OR(BN$3=$D287,BN$3=$AC287,BN$3=$AE287),"",IF(BN$3=$AD287,$F287&amp;"R",BN286))))</f>
        <v/>
      </c>
      <c r="BO287" s="11" t="str">
        <f aca="false">IF($P287=0,BO286,IF(BO$3=$E287,IF($AA287=1,$F287&amp;$AB287,$G287),IF(OR(BO$3=$D287,BO$3=$AC287,BO$3=$AE287),"",IF(BO$3=$AD287,$F287&amp;"R",BO286))))</f>
        <v/>
      </c>
      <c r="BP287" s="11" t="str">
        <f aca="false">IF($P287=0,BP286,IF(BP$3=$E287,IF($AA287=1,$F287&amp;$AB287,$G287),IF(OR(BP$3=$D287,BP$3=$AC287,BP$3=$AE287),"",IF(BP$3=$AD287,$F287&amp;"R",BP286))))</f>
        <v/>
      </c>
      <c r="BQ287" s="11" t="str">
        <f aca="false">IF($P287=0,BQ286,IF(BQ$3=$E287,IF($AA287=1,$F287&amp;$AB287,$G287),IF(OR(BQ$3=$D287,BQ$3=$AC287,BQ$3=$AE287),"",IF(BQ$3=$AD287,$F287&amp;"R",BQ286))))</f>
        <v/>
      </c>
      <c r="BR287" s="11" t="str">
        <f aca="false">IF($P287=0,BR286,IF(BR$3=$E287,IF($AA287=1,$F287&amp;$AB287,$G287),IF(OR(BR$3=$D287,BR$3=$AC287,BR$3=$AE287),"",IF(BR$3=$AD287,$F287&amp;"R",BR286))))</f>
        <v/>
      </c>
      <c r="BS287" s="11" t="str">
        <f aca="false">IF($P287=0,BS286,IF(BS$3=$E287,IF($AA287=1,$F287&amp;$AB287,$G287),IF(OR(BS$3=$D287,BS$3=$AC287,BS$3=$AE287),"",IF(BS$3=$AD287,$F287&amp;"R",BS286))))</f>
        <v/>
      </c>
      <c r="BT287" s="11" t="str">
        <f aca="false">IF($P287=0,BT286,IF(BT$3=$E287,IF($AA287=1,$F287&amp;$AB287,$G287),IF(OR(BT$3=$D287,BT$3=$AC287,BT$3=$AE287),"",IF(BT$3=$AD287,$F287&amp;"R",BT286))))</f>
        <v/>
      </c>
      <c r="BU287" s="11" t="str">
        <f aca="false">IF($P287=0,BU286,IF(BU$3=$E287,IF($AA287=1,$F287&amp;$AB287,$G287),IF(OR(BU$3=$D287,BU$3=$AC287,BU$3=$AE287),"",IF(BU$3=$AD287,$F287&amp;"R",BU286))))</f>
        <v/>
      </c>
      <c r="BV287" s="11" t="str">
        <f aca="false">IF($P287=0,BV286,IF(BV$3=$E287,IF($AA287=1,$F287&amp;$AB287,$G287),IF(OR(BV$3=$D287,BV$3=$AC287,BV$3=$AE287),"",IF(BV$3=$AD287,$F287&amp;"R",BV286))))</f>
        <v/>
      </c>
      <c r="BW287" s="11" t="str">
        <f aca="false">IF($P287=0,BW286,IF(BW$3=$E287,IF($AA287=1,$F287&amp;$AB287,$G287),IF(OR(BW$3=$D287,BW$3=$AC287,BW$3=$AE287),"",IF(BW$3=$AD287,$F287&amp;"R",BW286))))</f>
        <v/>
      </c>
      <c r="BX287" s="11" t="str">
        <f aca="false">IF($P287=0,BX286,IF(BX$3=$E287,IF($AA287=1,$F287&amp;$AB287,$G287),IF(OR(BX$3=$D287,BX$3=$AC287,BX$3=$AE287),"",IF(BX$3=$AD287,$F287&amp;"R",BX286))))</f>
        <v/>
      </c>
      <c r="BY287" s="11" t="str">
        <f aca="false">IF($P287=0,BY286,IF(BY$3=$E287,IF($AA287=1,$F287&amp;$AB287,$G287),IF(OR(BY$3=$D287,BY$3=$AC287,BY$3=$AE287),"",IF(BY$3=$AD287,$F287&amp;"R",BY286))))</f>
        <v/>
      </c>
      <c r="BZ287" s="11" t="str">
        <f aca="false">IF($P287=0,BZ286,IF(BZ$3=$E287,IF($AA287=1,$F287&amp;$AB287,$G287),IF(OR(BZ$3=$D287,BZ$3=$AC287,BZ$3=$AE287),"",IF(BZ$3=$AD287,$F287&amp;"R",BZ286))))</f>
        <v/>
      </c>
      <c r="CA287" s="11" t="str">
        <f aca="false">IF($P287=0,CA286,IF(CA$3=$E287,IF($AA287=1,$F287&amp;$AB287,$G287),IF(OR(CA$3=$D287,CA$3=$AC287,CA$3=$AE287),"",IF(CA$3=$AD287,$F287&amp;"R",CA286))))</f>
        <v/>
      </c>
      <c r="CB287" s="11" t="str">
        <f aca="false">IF($P287=0,CB286,IF(CB$3=$E287,IF($AA287=1,$F287&amp;$AB287,$G287),IF(OR(CB$3=$D287,CB$3=$AC287,CB$3=$AE287),"",IF(CB$3=$AD287,$F287&amp;"R",CB286))))</f>
        <v/>
      </c>
      <c r="CC287" s="11" t="str">
        <f aca="false">IF($P287=0,CC286,IF(CC$3=$E287,IF($AA287=1,$F287&amp;$AB287,$G287),IF(OR(CC$3=$D287,CC$3=$AC287,CC$3=$AE287),"",IF(CC$3=$AD287,$F287&amp;"R",CC286))))</f>
        <v/>
      </c>
      <c r="CD287" s="11" t="str">
        <f aca="false">IF($P287=0,CD286,IF(CD$3=$E287,IF($AA287=1,$F287&amp;$AB287,$G287),IF(OR(CD$3=$D287,CD$3=$AC287,CD$3=$AE287),"",IF(CD$3=$AD287,$F287&amp;"R",CD286))))</f>
        <v>bP</v>
      </c>
      <c r="CE287" s="11" t="str">
        <f aca="false">IF($P287=0,CE286,IF(CE$3=$E287,IF($AA287=1,$F287&amp;$AB287,$G287),IF(OR(CE$3=$D287,CE$3=$AC287,CE$3=$AE287),"",IF(CE$3=$AD287,$F287&amp;"R",CE286))))</f>
        <v>bP</v>
      </c>
      <c r="CF287" s="11" t="str">
        <f aca="false">IF($P287=0,CF286,IF(CF$3=$E287,IF($AA287=1,$F287&amp;$AB287,$G287),IF(OR(CF$3=$D287,CF$3=$AC287,CF$3=$AE287),"",IF(CF$3=$AD287,$F287&amp;"R",CF286))))</f>
        <v>bP</v>
      </c>
      <c r="CG287" s="11" t="str">
        <f aca="false">IF($P287=0,CG286,IF(CG$3=$E287,IF($AA287=1,$F287&amp;$AB287,$G287),IF(OR(CG$3=$D287,CG$3=$AC287,CG$3=$AE287),"",IF(CG$3=$AD287,$F287&amp;"R",CG286))))</f>
        <v>bP</v>
      </c>
      <c r="CH287" s="11" t="str">
        <f aca="false">IF($P287=0,CH286,IF(CH$3=$E287,IF($AA287=1,$F287&amp;$AB287,$G287),IF(OR(CH$3=$D287,CH$3=$AC287,CH$3=$AE287),"",IF(CH$3=$AD287,$F287&amp;"R",CH286))))</f>
        <v>bP</v>
      </c>
      <c r="CI287" s="11" t="str">
        <f aca="false">IF($P287=0,CI286,IF(CI$3=$E287,IF($AA287=1,$F287&amp;$AB287,$G287),IF(OR(CI$3=$D287,CI$3=$AC287,CI$3=$AE287),"",IF(CI$3=$AD287,$F287&amp;"R",CI286))))</f>
        <v>bP</v>
      </c>
      <c r="CJ287" s="11" t="str">
        <f aca="false">IF($P287=0,CJ286,IF(CJ$3=$E287,IF($AA287=1,$F287&amp;$AB287,$G287),IF(OR(CJ$3=$D287,CJ$3=$AC287,CJ$3=$AE287),"",IF(CJ$3=$AD287,$F287&amp;"R",CJ286))))</f>
        <v>bP</v>
      </c>
      <c r="CK287" s="11" t="str">
        <f aca="false">IF($P287=0,CK286,IF(CK$3=$E287,IF($AA287=1,$F287&amp;$AB287,$G287),IF(OR(CK$3=$D287,CK$3=$AC287,CK$3=$AE287),"",IF(CK$3=$AD287,$F287&amp;"R",CK286))))</f>
        <v>bP</v>
      </c>
      <c r="CL287" s="11" t="str">
        <f aca="false">IF($P287=0,CL286,IF(CL$3=$E287,IF($AA287=1,$F287&amp;$AB287,$G287),IF(OR(CL$3=$D287,CL$3=$AC287,CL$3=$AE287),"",IF(CL$3=$AD287,$F287&amp;"R",CL286))))</f>
        <v>bR</v>
      </c>
      <c r="CM287" s="11" t="str">
        <f aca="false">IF($P287=0,CM286,IF(CM$3=$E287,IF($AA287=1,$F287&amp;$AB287,$G287),IF(OR(CM$3=$D287,CM$3=$AC287,CM$3=$AE287),"",IF(CM$3=$AD287,$F287&amp;"R",CM286))))</f>
        <v>bN</v>
      </c>
      <c r="CN287" s="11" t="str">
        <f aca="false">IF($P287=0,CN286,IF(CN$3=$E287,IF($AA287=1,$F287&amp;$AB287,$G287),IF(OR(CN$3=$D287,CN$3=$AC287,CN$3=$AE287),"",IF(CN$3=$AD287,$F287&amp;"R",CN286))))</f>
        <v>bB</v>
      </c>
      <c r="CO287" s="11" t="str">
        <f aca="false">IF($P287=0,CO286,IF(CO$3=$E287,IF($AA287=1,$F287&amp;$AB287,$G287),IF(OR(CO$3=$D287,CO$3=$AC287,CO$3=$AE287),"",IF(CO$3=$AD287,$F287&amp;"R",CO286))))</f>
        <v>bQ</v>
      </c>
      <c r="CP287" s="11" t="str">
        <f aca="false">IF($P287=0,CP286,IF(CP$3=$E287,IF($AA287=1,$F287&amp;$AB287,$G287),IF(OR(CP$3=$D287,CP$3=$AC287,CP$3=$AE287),"",IF(CP$3=$AD287,$F287&amp;"R",CP286))))</f>
        <v>bK</v>
      </c>
      <c r="CQ287" s="11" t="str">
        <f aca="false">IF($P287=0,CQ286,IF(CQ$3=$E287,IF($AA287=1,$F287&amp;$AB287,$G287),IF(OR(CQ$3=$D287,CQ$3=$AC287,CQ$3=$AE287),"",IF(CQ$3=$AD287,$F287&amp;"R",CQ286))))</f>
        <v>bB</v>
      </c>
      <c r="CR287" s="11" t="str">
        <f aca="false">IF($P287=0,CR286,IF(CR$3=$E287,IF($AA287=1,$F287&amp;$AB287,$G287),IF(OR(CR$3=$D287,CR$3=$AC287,CR$3=$AE287),"",IF(CR$3=$AD287,$F287&amp;"R",CR286))))</f>
        <v>bN</v>
      </c>
      <c r="CS287" s="11" t="str">
        <f aca="false">IF($P287=0,CS286,IF(CS$3=$E287,IF($AA287=1,$F287&amp;$AB287,$G287),IF(OR(CS$3=$D287,CS$3=$AC287,CS$3=$AE287),"",IF(CS$3=$AD287,$F287&amp;"R",CS286))))</f>
        <v>bR</v>
      </c>
      <c r="CT287" s="11"/>
      <c r="CU287" s="11"/>
      <c r="CV287" s="11"/>
    </row>
    <row r="288" customFormat="false" ht="15" hidden="false" customHeight="false" outlineLevel="0" collapsed="false">
      <c r="A288" s="11" t="n">
        <v>283</v>
      </c>
      <c r="B288" s="11" t="str">
        <f aca="false">IF(Chess!$L$292="","",Chess!$L$292&amp;"")</f>
        <v/>
      </c>
      <c r="C288" s="11" t="str">
        <f aca="false">LOWER(SUBSTITUTE(SUBSTITUTE(SUBSTITUTE(SUBSTITUTE(TRIM($B288),"-",""),"=","")," ",""),"x",""))</f>
        <v/>
      </c>
      <c r="D288" s="11" t="n">
        <f aca="false">IF(LEN($C288)&lt;4,0,IFERROR(IF(AND(CODE(MID($C288,1,1))&gt;=97,CODE(MID($C288,1,1))&lt;=104,VALUE(MID($C288,2,1))&gt;=1,VALUE(MID($C288,2,1))&lt;=8),(VALUE(MID($C288,2,1))-1)*8+CODE(MID($C288,1,1))-96,0),0))</f>
        <v>0</v>
      </c>
      <c r="E288" s="11" t="n">
        <f aca="false">IF(LEN($C288)&lt;4,0,IFERROR(IF(AND(CODE(MID($C288,3,1))&gt;=97,CODE(MID($C288,3,1))&lt;=104,VALUE(MID($C288,4,1))&gt;=1,VALUE(MID($C288,4,1))&lt;=8),(VALUE(MID($C288,4,1))-1)*8+CODE(MID($C288,3,1))-96,0),0))</f>
        <v>0</v>
      </c>
      <c r="F288" s="11" t="str">
        <f aca="false">IF(MOD(SUM($P$5:$P287),2)=0,"w","b")</f>
        <v>w</v>
      </c>
      <c r="G288" s="11" t="str">
        <f aca="false">IF($D288=0,"",INDEX($AH287:$CS287,1,$D288)&amp;"")</f>
        <v/>
      </c>
      <c r="H288" s="11" t="str">
        <f aca="false">IF($E288=0,"",INDEX($AH287:$CS287,1,$E288)&amp;"")</f>
        <v/>
      </c>
      <c r="I288" s="11" t="n">
        <f aca="false">IF(OR($D288=0,$E288=0),0,MOD($E288-1,8)-MOD($D288-1,8))</f>
        <v>0</v>
      </c>
      <c r="J288" s="11" t="n">
        <f aca="false">IF(OR($D288=0,$E288=0),0,INT(($E288-1)/8)-INT(($D288-1)/8))</f>
        <v>0</v>
      </c>
      <c r="K288" s="11" t="str">
        <f aca="false">IF($G288="","",RIGHT($G288,1))</f>
        <v/>
      </c>
      <c r="L288" s="11" t="n">
        <f aca="false">IF(OR($D288=0,$E288=0),0,SUMPRODUCT(($AH$3:$CS$3&gt;MIN($D288,$E288))*($AH$3:$CS$3&lt;MAX($D288,$E288))*(MOD($AH$3:$CS$3-MIN($D288,$E288),MAX(1,ABS(SIGN($J288)*8+SIGN($I288))))=0)*($AH287:$CS287&lt;&gt;"")))</f>
        <v>0</v>
      </c>
      <c r="M288" s="11" t="n">
        <f aca="false">IF($K288&lt;&gt;"K",0,IFERROR(--AND($J288=0,ABS($I288)=2,$D288=IF($F288="w",5,61),IF($F288="w",$S287,$V287)=0,IF($I288=2,AND(IF($F288="w",$U287,$X287)=0,INDEX($AH287:$CS287,1,$D288+1)&amp;""="",INDEX($AH287:$CS287,1,$D288+2)&amp;""=""),AND(IF($F288="w",$T287,$W287)=0,INDEX($AH287:$CS287,1,$D288-1)&amp;""="",INDEX($AH287:$CS287,1,$D288-2)&amp;""="",INDEX($AH287:$CS287,1,$D288-3)&amp;""=""))),0))</f>
        <v>0</v>
      </c>
      <c r="N288" s="11" t="n">
        <f aca="false">IF($K288&lt;&gt;"P",0,IFERROR(--OR(AND($I288=0,$J288=IF($F288="w",1,-1),$H288=""),AND($I288=0,$J288=2*IF($F288="w",1,-1),$H288="",INT(($D288-1)/8)=IF($F288="w",1,6),INDEX($AH287:$CS287,1,MAX(1,MIN(64,$D288+8*IF($F288="w",1,-1))))&amp;""=""),AND(ABS($I288)=1,$J288=IF($F288="w",1,-1),$H288&lt;&gt;""),AND(ABS($I288)=1,$J288=IF($F288="w",1,-1),$H288="",$R287&gt;0,$E288=$R287)),0))</f>
        <v>0</v>
      </c>
      <c r="O288" s="11" t="n">
        <f aca="false">IF(OR($D288=0,$E288=0,$G288=""),0,IF($K288="N",--OR(AND(ABS($I288)=1,ABS($J288)=2),AND(ABS($I288)=2,ABS($J288)=1)),IF($K288="B",--AND(ABS($I288)=ABS($J288),$I288&lt;&gt;0,$L288=0),IF($K288="R",--AND(OR($I288=0,$J288=0),OR($I288&lt;&gt;0,$J288&lt;&gt;0),$L288=0),IF($K288="Q",--AND(OR(AND(ABS($I288)=ABS($J288),$I288&lt;&gt;0),AND(OR($I288=0,$J288=0),OR($I288&lt;&gt;0,$J288&lt;&gt;0))),$L288=0),IF($K288="K",--OR(MAX(ABS($I288),ABS($J288))=1,$M288=1),$N288))))))</f>
        <v>0</v>
      </c>
      <c r="P288" s="11" t="n">
        <f aca="false">IF($Q288="OK",1,0)</f>
        <v>0</v>
      </c>
      <c r="Q288" s="11" t="str">
        <f aca="false">IF($B288="","",IF(OR(COUNTIF($AH287:$CS287,"wK")=0,COUNTIF($AH287:$CS287,"bK")=0),"Game is over",IF(OR($D288=0,$E288=0),"Use the format e2e4",IF($G288="","No piece on that square",IF(LEFT($G288,1)&lt;&gt;$F288,"Not your piece ("&amp;IF($F288="w","White","Black")&amp;" to move)",IF($D288=$E288,"Piece must move",IF(AND($H288&lt;&gt;"",LEFT($H288,1)=$F288),"Cannot capture your own piece",IF($O288=0,"Illegal move for that piece (or path blocked)","OK"))))))))</f>
        <v/>
      </c>
      <c r="R288" s="11" t="n">
        <f aca="false">IF($P288=1,IF(AND($K288="P",ABS($J288)=2),($D288+$E288)/2,0),$R287)</f>
        <v>0</v>
      </c>
      <c r="S288" s="12" t="b">
        <f aca="false">--OR($S287=1,AND($P288=1,OR($D288=5,$E288=5)))</f>
        <v>0</v>
      </c>
      <c r="T288" s="12" t="b">
        <f aca="false">--OR($T287=1,AND($P288=1,OR($D288=1,$E288=1)))</f>
        <v>0</v>
      </c>
      <c r="U288" s="12" t="b">
        <f aca="false">--OR($U287=1,AND($P288=1,OR($D288=8,$E288=8)))</f>
        <v>0</v>
      </c>
      <c r="V288" s="12" t="b">
        <f aca="false">--OR($V287=1,AND($P288=1,OR($D288=61,$E288=61)))</f>
        <v>0</v>
      </c>
      <c r="W288" s="12" t="b">
        <f aca="false">--OR($W287=1,AND($P288=1,OR($D288=57,$E288=57)))</f>
        <v>0</v>
      </c>
      <c r="X288" s="12" t="b">
        <f aca="false">--OR($X287=1,AND($P288=1,OR($D288=64,$E288=64)))</f>
        <v>0</v>
      </c>
      <c r="Y288" s="12" t="b">
        <f aca="false">--AND($P288=1,$K288="K",ABS($I288)=2)</f>
        <v>0</v>
      </c>
      <c r="Z288" s="12" t="b">
        <f aca="false">--AND($P288=1,$K288="P",ABS($I288)=1,$H288="")</f>
        <v>0</v>
      </c>
      <c r="AA288" s="12" t="b">
        <f aca="false">--AND($P288=1,$K288="P",INT(($E288-1)/8)=IF($F288="w",7,0))</f>
        <v>0</v>
      </c>
      <c r="AB288" s="11" t="str">
        <f aca="false">IF(LEN($C288)&gt;=5,IF(ISNUMBER(FIND(MID($C288,5,1),"qrbn")),UPPER(MID($C288,5,1)),"Q"),"Q")</f>
        <v>Q</v>
      </c>
      <c r="AC288" s="11" t="n">
        <f aca="false">IF($Y288=1,IF($I288=2,$D288+3,$D288-4),0)</f>
        <v>0</v>
      </c>
      <c r="AD288" s="11" t="n">
        <f aca="false">IF($Y288=1,IF($I288=2,$D288+1,$D288-1),0)</f>
        <v>0</v>
      </c>
      <c r="AE288" s="11" t="n">
        <f aca="false">IF($Z288=1,$E288-8*IF($F288="w",1,-1),0)</f>
        <v>0</v>
      </c>
      <c r="AF288" s="11" t="str">
        <f aca="false">IF($B288="","",IF($P288=1,LOWER(INDEX($CV$2:$CV$13,MATCH($G288,$CU$2:$CU$13,0)))&amp;" "&amp;MID("abcdefgh",MOD($D288-1,8)+1,1)&amp;(INT(($D288-1)/8)+1)&amp;"→"&amp;MID("abcdefgh",MOD($E288-1,8)+1,1)&amp;(INT(($E288-1)/8)+1)&amp;IF(OR($H288&lt;&gt;"",$Z288=1)," ×","")&amp;IF($Y288=1," castles","")&amp;IF($Z288=1," e.p.","")&amp;IF($AA288=1," =" &amp;LOWER(INDEX($CV$2:$CV$13,MATCH($F288&amp;$AB288,$CU$2:$CU$13,0))),""),"X "&amp;$Q288))</f>
        <v/>
      </c>
      <c r="AG288" s="11"/>
      <c r="AH288" s="11" t="str">
        <f aca="false">IF($P288=0,AH287,IF(AH$3=$E288,IF($AA288=1,$F288&amp;$AB288,$G288),IF(OR(AH$3=$D288,AH$3=$AC288,AH$3=$AE288),"",IF(AH$3=$AD288,$F288&amp;"R",AH287))))</f>
        <v>wR</v>
      </c>
      <c r="AI288" s="11" t="str">
        <f aca="false">IF($P288=0,AI287,IF(AI$3=$E288,IF($AA288=1,$F288&amp;$AB288,$G288),IF(OR(AI$3=$D288,AI$3=$AC288,AI$3=$AE288),"",IF(AI$3=$AD288,$F288&amp;"R",AI287))))</f>
        <v>wN</v>
      </c>
      <c r="AJ288" s="11" t="str">
        <f aca="false">IF($P288=0,AJ287,IF(AJ$3=$E288,IF($AA288=1,$F288&amp;$AB288,$G288),IF(OR(AJ$3=$D288,AJ$3=$AC288,AJ$3=$AE288),"",IF(AJ$3=$AD288,$F288&amp;"R",AJ287))))</f>
        <v>wB</v>
      </c>
      <c r="AK288" s="11" t="str">
        <f aca="false">IF($P288=0,AK287,IF(AK$3=$E288,IF($AA288=1,$F288&amp;$AB288,$G288),IF(OR(AK$3=$D288,AK$3=$AC288,AK$3=$AE288),"",IF(AK$3=$AD288,$F288&amp;"R",AK287))))</f>
        <v>wQ</v>
      </c>
      <c r="AL288" s="11" t="str">
        <f aca="false">IF($P288=0,AL287,IF(AL$3=$E288,IF($AA288=1,$F288&amp;$AB288,$G288),IF(OR(AL$3=$D288,AL$3=$AC288,AL$3=$AE288),"",IF(AL$3=$AD288,$F288&amp;"R",AL287))))</f>
        <v>wK</v>
      </c>
      <c r="AM288" s="11" t="str">
        <f aca="false">IF($P288=0,AM287,IF(AM$3=$E288,IF($AA288=1,$F288&amp;$AB288,$G288),IF(OR(AM$3=$D288,AM$3=$AC288,AM$3=$AE288),"",IF(AM$3=$AD288,$F288&amp;"R",AM287))))</f>
        <v>wB</v>
      </c>
      <c r="AN288" s="11" t="str">
        <f aca="false">IF($P288=0,AN287,IF(AN$3=$E288,IF($AA288=1,$F288&amp;$AB288,$G288),IF(OR(AN$3=$D288,AN$3=$AC288,AN$3=$AE288),"",IF(AN$3=$AD288,$F288&amp;"R",AN287))))</f>
        <v>wN</v>
      </c>
      <c r="AO288" s="11" t="str">
        <f aca="false">IF($P288=0,AO287,IF(AO$3=$E288,IF($AA288=1,$F288&amp;$AB288,$G288),IF(OR(AO$3=$D288,AO$3=$AC288,AO$3=$AE288),"",IF(AO$3=$AD288,$F288&amp;"R",AO287))))</f>
        <v>wR</v>
      </c>
      <c r="AP288" s="11" t="str">
        <f aca="false">IF($P288=0,AP287,IF(AP$3=$E288,IF($AA288=1,$F288&amp;$AB288,$G288),IF(OR(AP$3=$D288,AP$3=$AC288,AP$3=$AE288),"",IF(AP$3=$AD288,$F288&amp;"R",AP287))))</f>
        <v>wP</v>
      </c>
      <c r="AQ288" s="11" t="str">
        <f aca="false">IF($P288=0,AQ287,IF(AQ$3=$E288,IF($AA288=1,$F288&amp;$AB288,$G288),IF(OR(AQ$3=$D288,AQ$3=$AC288,AQ$3=$AE288),"",IF(AQ$3=$AD288,$F288&amp;"R",AQ287))))</f>
        <v>wP</v>
      </c>
      <c r="AR288" s="11" t="str">
        <f aca="false">IF($P288=0,AR287,IF(AR$3=$E288,IF($AA288=1,$F288&amp;$AB288,$G288),IF(OR(AR$3=$D288,AR$3=$AC288,AR$3=$AE288),"",IF(AR$3=$AD288,$F288&amp;"R",AR287))))</f>
        <v>wP</v>
      </c>
      <c r="AS288" s="11" t="str">
        <f aca="false">IF($P288=0,AS287,IF(AS$3=$E288,IF($AA288=1,$F288&amp;$AB288,$G288),IF(OR(AS$3=$D288,AS$3=$AC288,AS$3=$AE288),"",IF(AS$3=$AD288,$F288&amp;"R",AS287))))</f>
        <v>wP</v>
      </c>
      <c r="AT288" s="11" t="str">
        <f aca="false">IF($P288=0,AT287,IF(AT$3=$E288,IF($AA288=1,$F288&amp;$AB288,$G288),IF(OR(AT$3=$D288,AT$3=$AC288,AT$3=$AE288),"",IF(AT$3=$AD288,$F288&amp;"R",AT287))))</f>
        <v>wP</v>
      </c>
      <c r="AU288" s="11" t="str">
        <f aca="false">IF($P288=0,AU287,IF(AU$3=$E288,IF($AA288=1,$F288&amp;$AB288,$G288),IF(OR(AU$3=$D288,AU$3=$AC288,AU$3=$AE288),"",IF(AU$3=$AD288,$F288&amp;"R",AU287))))</f>
        <v>wP</v>
      </c>
      <c r="AV288" s="11" t="str">
        <f aca="false">IF($P288=0,AV287,IF(AV$3=$E288,IF($AA288=1,$F288&amp;$AB288,$G288),IF(OR(AV$3=$D288,AV$3=$AC288,AV$3=$AE288),"",IF(AV$3=$AD288,$F288&amp;"R",AV287))))</f>
        <v>wP</v>
      </c>
      <c r="AW288" s="11" t="str">
        <f aca="false">IF($P288=0,AW287,IF(AW$3=$E288,IF($AA288=1,$F288&amp;$AB288,$G288),IF(OR(AW$3=$D288,AW$3=$AC288,AW$3=$AE288),"",IF(AW$3=$AD288,$F288&amp;"R",AW287))))</f>
        <v>wP</v>
      </c>
      <c r="AX288" s="11" t="str">
        <f aca="false">IF($P288=0,AX287,IF(AX$3=$E288,IF($AA288=1,$F288&amp;$AB288,$G288),IF(OR(AX$3=$D288,AX$3=$AC288,AX$3=$AE288),"",IF(AX$3=$AD288,$F288&amp;"R",AX287))))</f>
        <v/>
      </c>
      <c r="AY288" s="11" t="str">
        <f aca="false">IF($P288=0,AY287,IF(AY$3=$E288,IF($AA288=1,$F288&amp;$AB288,$G288),IF(OR(AY$3=$D288,AY$3=$AC288,AY$3=$AE288),"",IF(AY$3=$AD288,$F288&amp;"R",AY287))))</f>
        <v/>
      </c>
      <c r="AZ288" s="11" t="str">
        <f aca="false">IF($P288=0,AZ287,IF(AZ$3=$E288,IF($AA288=1,$F288&amp;$AB288,$G288),IF(OR(AZ$3=$D288,AZ$3=$AC288,AZ$3=$AE288),"",IF(AZ$3=$AD288,$F288&amp;"R",AZ287))))</f>
        <v/>
      </c>
      <c r="BA288" s="11" t="str">
        <f aca="false">IF($P288=0,BA287,IF(BA$3=$E288,IF($AA288=1,$F288&amp;$AB288,$G288),IF(OR(BA$3=$D288,BA$3=$AC288,BA$3=$AE288),"",IF(BA$3=$AD288,$F288&amp;"R",BA287))))</f>
        <v/>
      </c>
      <c r="BB288" s="11" t="str">
        <f aca="false">IF($P288=0,BB287,IF(BB$3=$E288,IF($AA288=1,$F288&amp;$AB288,$G288),IF(OR(BB$3=$D288,BB$3=$AC288,BB$3=$AE288),"",IF(BB$3=$AD288,$F288&amp;"R",BB287))))</f>
        <v/>
      </c>
      <c r="BC288" s="11" t="str">
        <f aca="false">IF($P288=0,BC287,IF(BC$3=$E288,IF($AA288=1,$F288&amp;$AB288,$G288),IF(OR(BC$3=$D288,BC$3=$AC288,BC$3=$AE288),"",IF(BC$3=$AD288,$F288&amp;"R",BC287))))</f>
        <v/>
      </c>
      <c r="BD288" s="11" t="str">
        <f aca="false">IF($P288=0,BD287,IF(BD$3=$E288,IF($AA288=1,$F288&amp;$AB288,$G288),IF(OR(BD$3=$D288,BD$3=$AC288,BD$3=$AE288),"",IF(BD$3=$AD288,$F288&amp;"R",BD287))))</f>
        <v/>
      </c>
      <c r="BE288" s="11" t="str">
        <f aca="false">IF($P288=0,BE287,IF(BE$3=$E288,IF($AA288=1,$F288&amp;$AB288,$G288),IF(OR(BE$3=$D288,BE$3=$AC288,BE$3=$AE288),"",IF(BE$3=$AD288,$F288&amp;"R",BE287))))</f>
        <v/>
      </c>
      <c r="BF288" s="11" t="str">
        <f aca="false">IF($P288=0,BF287,IF(BF$3=$E288,IF($AA288=1,$F288&amp;$AB288,$G288),IF(OR(BF$3=$D288,BF$3=$AC288,BF$3=$AE288),"",IF(BF$3=$AD288,$F288&amp;"R",BF287))))</f>
        <v/>
      </c>
      <c r="BG288" s="11" t="str">
        <f aca="false">IF($P288=0,BG287,IF(BG$3=$E288,IF($AA288=1,$F288&amp;$AB288,$G288),IF(OR(BG$3=$D288,BG$3=$AC288,BG$3=$AE288),"",IF(BG$3=$AD288,$F288&amp;"R",BG287))))</f>
        <v/>
      </c>
      <c r="BH288" s="11" t="str">
        <f aca="false">IF($P288=0,BH287,IF(BH$3=$E288,IF($AA288=1,$F288&amp;$AB288,$G288),IF(OR(BH$3=$D288,BH$3=$AC288,BH$3=$AE288),"",IF(BH$3=$AD288,$F288&amp;"R",BH287))))</f>
        <v/>
      </c>
      <c r="BI288" s="11" t="str">
        <f aca="false">IF($P288=0,BI287,IF(BI$3=$E288,IF($AA288=1,$F288&amp;$AB288,$G288),IF(OR(BI$3=$D288,BI$3=$AC288,BI$3=$AE288),"",IF(BI$3=$AD288,$F288&amp;"R",BI287))))</f>
        <v/>
      </c>
      <c r="BJ288" s="11" t="str">
        <f aca="false">IF($P288=0,BJ287,IF(BJ$3=$E288,IF($AA288=1,$F288&amp;$AB288,$G288),IF(OR(BJ$3=$D288,BJ$3=$AC288,BJ$3=$AE288),"",IF(BJ$3=$AD288,$F288&amp;"R",BJ287))))</f>
        <v/>
      </c>
      <c r="BK288" s="11" t="str">
        <f aca="false">IF($P288=0,BK287,IF(BK$3=$E288,IF($AA288=1,$F288&amp;$AB288,$G288),IF(OR(BK$3=$D288,BK$3=$AC288,BK$3=$AE288),"",IF(BK$3=$AD288,$F288&amp;"R",BK287))))</f>
        <v/>
      </c>
      <c r="BL288" s="11" t="str">
        <f aca="false">IF($P288=0,BL287,IF(BL$3=$E288,IF($AA288=1,$F288&amp;$AB288,$G288),IF(OR(BL$3=$D288,BL$3=$AC288,BL$3=$AE288),"",IF(BL$3=$AD288,$F288&amp;"R",BL287))))</f>
        <v/>
      </c>
      <c r="BM288" s="11" t="str">
        <f aca="false">IF($P288=0,BM287,IF(BM$3=$E288,IF($AA288=1,$F288&amp;$AB288,$G288),IF(OR(BM$3=$D288,BM$3=$AC288,BM$3=$AE288),"",IF(BM$3=$AD288,$F288&amp;"R",BM287))))</f>
        <v/>
      </c>
      <c r="BN288" s="11" t="str">
        <f aca="false">IF($P288=0,BN287,IF(BN$3=$E288,IF($AA288=1,$F288&amp;$AB288,$G288),IF(OR(BN$3=$D288,BN$3=$AC288,BN$3=$AE288),"",IF(BN$3=$AD288,$F288&amp;"R",BN287))))</f>
        <v/>
      </c>
      <c r="BO288" s="11" t="str">
        <f aca="false">IF($P288=0,BO287,IF(BO$3=$E288,IF($AA288=1,$F288&amp;$AB288,$G288),IF(OR(BO$3=$D288,BO$3=$AC288,BO$3=$AE288),"",IF(BO$3=$AD288,$F288&amp;"R",BO287))))</f>
        <v/>
      </c>
      <c r="BP288" s="11" t="str">
        <f aca="false">IF($P288=0,BP287,IF(BP$3=$E288,IF($AA288=1,$F288&amp;$AB288,$G288),IF(OR(BP$3=$D288,BP$3=$AC288,BP$3=$AE288),"",IF(BP$3=$AD288,$F288&amp;"R",BP287))))</f>
        <v/>
      </c>
      <c r="BQ288" s="11" t="str">
        <f aca="false">IF($P288=0,BQ287,IF(BQ$3=$E288,IF($AA288=1,$F288&amp;$AB288,$G288),IF(OR(BQ$3=$D288,BQ$3=$AC288,BQ$3=$AE288),"",IF(BQ$3=$AD288,$F288&amp;"R",BQ287))))</f>
        <v/>
      </c>
      <c r="BR288" s="11" t="str">
        <f aca="false">IF($P288=0,BR287,IF(BR$3=$E288,IF($AA288=1,$F288&amp;$AB288,$G288),IF(OR(BR$3=$D288,BR$3=$AC288,BR$3=$AE288),"",IF(BR$3=$AD288,$F288&amp;"R",BR287))))</f>
        <v/>
      </c>
      <c r="BS288" s="11" t="str">
        <f aca="false">IF($P288=0,BS287,IF(BS$3=$E288,IF($AA288=1,$F288&amp;$AB288,$G288),IF(OR(BS$3=$D288,BS$3=$AC288,BS$3=$AE288),"",IF(BS$3=$AD288,$F288&amp;"R",BS287))))</f>
        <v/>
      </c>
      <c r="BT288" s="11" t="str">
        <f aca="false">IF($P288=0,BT287,IF(BT$3=$E288,IF($AA288=1,$F288&amp;$AB288,$G288),IF(OR(BT$3=$D288,BT$3=$AC288,BT$3=$AE288),"",IF(BT$3=$AD288,$F288&amp;"R",BT287))))</f>
        <v/>
      </c>
      <c r="BU288" s="11" t="str">
        <f aca="false">IF($P288=0,BU287,IF(BU$3=$E288,IF($AA288=1,$F288&amp;$AB288,$G288),IF(OR(BU$3=$D288,BU$3=$AC288,BU$3=$AE288),"",IF(BU$3=$AD288,$F288&amp;"R",BU287))))</f>
        <v/>
      </c>
      <c r="BV288" s="11" t="str">
        <f aca="false">IF($P288=0,BV287,IF(BV$3=$E288,IF($AA288=1,$F288&amp;$AB288,$G288),IF(OR(BV$3=$D288,BV$3=$AC288,BV$3=$AE288),"",IF(BV$3=$AD288,$F288&amp;"R",BV287))))</f>
        <v/>
      </c>
      <c r="BW288" s="11" t="str">
        <f aca="false">IF($P288=0,BW287,IF(BW$3=$E288,IF($AA288=1,$F288&amp;$AB288,$G288),IF(OR(BW$3=$D288,BW$3=$AC288,BW$3=$AE288),"",IF(BW$3=$AD288,$F288&amp;"R",BW287))))</f>
        <v/>
      </c>
      <c r="BX288" s="11" t="str">
        <f aca="false">IF($P288=0,BX287,IF(BX$3=$E288,IF($AA288=1,$F288&amp;$AB288,$G288),IF(OR(BX$3=$D288,BX$3=$AC288,BX$3=$AE288),"",IF(BX$3=$AD288,$F288&amp;"R",BX287))))</f>
        <v/>
      </c>
      <c r="BY288" s="11" t="str">
        <f aca="false">IF($P288=0,BY287,IF(BY$3=$E288,IF($AA288=1,$F288&amp;$AB288,$G288),IF(OR(BY$3=$D288,BY$3=$AC288,BY$3=$AE288),"",IF(BY$3=$AD288,$F288&amp;"R",BY287))))</f>
        <v/>
      </c>
      <c r="BZ288" s="11" t="str">
        <f aca="false">IF($P288=0,BZ287,IF(BZ$3=$E288,IF($AA288=1,$F288&amp;$AB288,$G288),IF(OR(BZ$3=$D288,BZ$3=$AC288,BZ$3=$AE288),"",IF(BZ$3=$AD288,$F288&amp;"R",BZ287))))</f>
        <v/>
      </c>
      <c r="CA288" s="11" t="str">
        <f aca="false">IF($P288=0,CA287,IF(CA$3=$E288,IF($AA288=1,$F288&amp;$AB288,$G288),IF(OR(CA$3=$D288,CA$3=$AC288,CA$3=$AE288),"",IF(CA$3=$AD288,$F288&amp;"R",CA287))))</f>
        <v/>
      </c>
      <c r="CB288" s="11" t="str">
        <f aca="false">IF($P288=0,CB287,IF(CB$3=$E288,IF($AA288=1,$F288&amp;$AB288,$G288),IF(OR(CB$3=$D288,CB$3=$AC288,CB$3=$AE288),"",IF(CB$3=$AD288,$F288&amp;"R",CB287))))</f>
        <v/>
      </c>
      <c r="CC288" s="11" t="str">
        <f aca="false">IF($P288=0,CC287,IF(CC$3=$E288,IF($AA288=1,$F288&amp;$AB288,$G288),IF(OR(CC$3=$D288,CC$3=$AC288,CC$3=$AE288),"",IF(CC$3=$AD288,$F288&amp;"R",CC287))))</f>
        <v/>
      </c>
      <c r="CD288" s="11" t="str">
        <f aca="false">IF($P288=0,CD287,IF(CD$3=$E288,IF($AA288=1,$F288&amp;$AB288,$G288),IF(OR(CD$3=$D288,CD$3=$AC288,CD$3=$AE288),"",IF(CD$3=$AD288,$F288&amp;"R",CD287))))</f>
        <v>bP</v>
      </c>
      <c r="CE288" s="11" t="str">
        <f aca="false">IF($P288=0,CE287,IF(CE$3=$E288,IF($AA288=1,$F288&amp;$AB288,$G288),IF(OR(CE$3=$D288,CE$3=$AC288,CE$3=$AE288),"",IF(CE$3=$AD288,$F288&amp;"R",CE287))))</f>
        <v>bP</v>
      </c>
      <c r="CF288" s="11" t="str">
        <f aca="false">IF($P288=0,CF287,IF(CF$3=$E288,IF($AA288=1,$F288&amp;$AB288,$G288),IF(OR(CF$3=$D288,CF$3=$AC288,CF$3=$AE288),"",IF(CF$3=$AD288,$F288&amp;"R",CF287))))</f>
        <v>bP</v>
      </c>
      <c r="CG288" s="11" t="str">
        <f aca="false">IF($P288=0,CG287,IF(CG$3=$E288,IF($AA288=1,$F288&amp;$AB288,$G288),IF(OR(CG$3=$D288,CG$3=$AC288,CG$3=$AE288),"",IF(CG$3=$AD288,$F288&amp;"R",CG287))))</f>
        <v>bP</v>
      </c>
      <c r="CH288" s="11" t="str">
        <f aca="false">IF($P288=0,CH287,IF(CH$3=$E288,IF($AA288=1,$F288&amp;$AB288,$G288),IF(OR(CH$3=$D288,CH$3=$AC288,CH$3=$AE288),"",IF(CH$3=$AD288,$F288&amp;"R",CH287))))</f>
        <v>bP</v>
      </c>
      <c r="CI288" s="11" t="str">
        <f aca="false">IF($P288=0,CI287,IF(CI$3=$E288,IF($AA288=1,$F288&amp;$AB288,$G288),IF(OR(CI$3=$D288,CI$3=$AC288,CI$3=$AE288),"",IF(CI$3=$AD288,$F288&amp;"R",CI287))))</f>
        <v>bP</v>
      </c>
      <c r="CJ288" s="11" t="str">
        <f aca="false">IF($P288=0,CJ287,IF(CJ$3=$E288,IF($AA288=1,$F288&amp;$AB288,$G288),IF(OR(CJ$3=$D288,CJ$3=$AC288,CJ$3=$AE288),"",IF(CJ$3=$AD288,$F288&amp;"R",CJ287))))</f>
        <v>bP</v>
      </c>
      <c r="CK288" s="11" t="str">
        <f aca="false">IF($P288=0,CK287,IF(CK$3=$E288,IF($AA288=1,$F288&amp;$AB288,$G288),IF(OR(CK$3=$D288,CK$3=$AC288,CK$3=$AE288),"",IF(CK$3=$AD288,$F288&amp;"R",CK287))))</f>
        <v>bP</v>
      </c>
      <c r="CL288" s="11" t="str">
        <f aca="false">IF($P288=0,CL287,IF(CL$3=$E288,IF($AA288=1,$F288&amp;$AB288,$G288),IF(OR(CL$3=$D288,CL$3=$AC288,CL$3=$AE288),"",IF(CL$3=$AD288,$F288&amp;"R",CL287))))</f>
        <v>bR</v>
      </c>
      <c r="CM288" s="11" t="str">
        <f aca="false">IF($P288=0,CM287,IF(CM$3=$E288,IF($AA288=1,$F288&amp;$AB288,$G288),IF(OR(CM$3=$D288,CM$3=$AC288,CM$3=$AE288),"",IF(CM$3=$AD288,$F288&amp;"R",CM287))))</f>
        <v>bN</v>
      </c>
      <c r="CN288" s="11" t="str">
        <f aca="false">IF($P288=0,CN287,IF(CN$3=$E288,IF($AA288=1,$F288&amp;$AB288,$G288),IF(OR(CN$3=$D288,CN$3=$AC288,CN$3=$AE288),"",IF(CN$3=$AD288,$F288&amp;"R",CN287))))</f>
        <v>bB</v>
      </c>
      <c r="CO288" s="11" t="str">
        <f aca="false">IF($P288=0,CO287,IF(CO$3=$E288,IF($AA288=1,$F288&amp;$AB288,$G288),IF(OR(CO$3=$D288,CO$3=$AC288,CO$3=$AE288),"",IF(CO$3=$AD288,$F288&amp;"R",CO287))))</f>
        <v>bQ</v>
      </c>
      <c r="CP288" s="11" t="str">
        <f aca="false">IF($P288=0,CP287,IF(CP$3=$E288,IF($AA288=1,$F288&amp;$AB288,$G288),IF(OR(CP$3=$D288,CP$3=$AC288,CP$3=$AE288),"",IF(CP$3=$AD288,$F288&amp;"R",CP287))))</f>
        <v>bK</v>
      </c>
      <c r="CQ288" s="11" t="str">
        <f aca="false">IF($P288=0,CQ287,IF(CQ$3=$E288,IF($AA288=1,$F288&amp;$AB288,$G288),IF(OR(CQ$3=$D288,CQ$3=$AC288,CQ$3=$AE288),"",IF(CQ$3=$AD288,$F288&amp;"R",CQ287))))</f>
        <v>bB</v>
      </c>
      <c r="CR288" s="11" t="str">
        <f aca="false">IF($P288=0,CR287,IF(CR$3=$E288,IF($AA288=1,$F288&amp;$AB288,$G288),IF(OR(CR$3=$D288,CR$3=$AC288,CR$3=$AE288),"",IF(CR$3=$AD288,$F288&amp;"R",CR287))))</f>
        <v>bN</v>
      </c>
      <c r="CS288" s="11" t="str">
        <f aca="false">IF($P288=0,CS287,IF(CS$3=$E288,IF($AA288=1,$F288&amp;$AB288,$G288),IF(OR(CS$3=$D288,CS$3=$AC288,CS$3=$AE288),"",IF(CS$3=$AD288,$F288&amp;"R",CS287))))</f>
        <v>bR</v>
      </c>
      <c r="CT288" s="11"/>
      <c r="CU288" s="11"/>
      <c r="CV288" s="11"/>
    </row>
    <row r="289" customFormat="false" ht="15" hidden="false" customHeight="false" outlineLevel="0" collapsed="false">
      <c r="A289" s="11" t="n">
        <v>284</v>
      </c>
      <c r="B289" s="11" t="str">
        <f aca="false">IF(Chess!$L$293="","",Chess!$L$293&amp;"")</f>
        <v/>
      </c>
      <c r="C289" s="11" t="str">
        <f aca="false">LOWER(SUBSTITUTE(SUBSTITUTE(SUBSTITUTE(SUBSTITUTE(TRIM($B289),"-",""),"=","")," ",""),"x",""))</f>
        <v/>
      </c>
      <c r="D289" s="11" t="n">
        <f aca="false">IF(LEN($C289)&lt;4,0,IFERROR(IF(AND(CODE(MID($C289,1,1))&gt;=97,CODE(MID($C289,1,1))&lt;=104,VALUE(MID($C289,2,1))&gt;=1,VALUE(MID($C289,2,1))&lt;=8),(VALUE(MID($C289,2,1))-1)*8+CODE(MID($C289,1,1))-96,0),0))</f>
        <v>0</v>
      </c>
      <c r="E289" s="11" t="n">
        <f aca="false">IF(LEN($C289)&lt;4,0,IFERROR(IF(AND(CODE(MID($C289,3,1))&gt;=97,CODE(MID($C289,3,1))&lt;=104,VALUE(MID($C289,4,1))&gt;=1,VALUE(MID($C289,4,1))&lt;=8),(VALUE(MID($C289,4,1))-1)*8+CODE(MID($C289,3,1))-96,0),0))</f>
        <v>0</v>
      </c>
      <c r="F289" s="11" t="str">
        <f aca="false">IF(MOD(SUM($P$5:$P288),2)=0,"w","b")</f>
        <v>w</v>
      </c>
      <c r="G289" s="11" t="str">
        <f aca="false">IF($D289=0,"",INDEX($AH288:$CS288,1,$D289)&amp;"")</f>
        <v/>
      </c>
      <c r="H289" s="11" t="str">
        <f aca="false">IF($E289=0,"",INDEX($AH288:$CS288,1,$E289)&amp;"")</f>
        <v/>
      </c>
      <c r="I289" s="11" t="n">
        <f aca="false">IF(OR($D289=0,$E289=0),0,MOD($E289-1,8)-MOD($D289-1,8))</f>
        <v>0</v>
      </c>
      <c r="J289" s="11" t="n">
        <f aca="false">IF(OR($D289=0,$E289=0),0,INT(($E289-1)/8)-INT(($D289-1)/8))</f>
        <v>0</v>
      </c>
      <c r="K289" s="11" t="str">
        <f aca="false">IF($G289="","",RIGHT($G289,1))</f>
        <v/>
      </c>
      <c r="L289" s="11" t="n">
        <f aca="false">IF(OR($D289=0,$E289=0),0,SUMPRODUCT(($AH$3:$CS$3&gt;MIN($D289,$E289))*($AH$3:$CS$3&lt;MAX($D289,$E289))*(MOD($AH$3:$CS$3-MIN($D289,$E289),MAX(1,ABS(SIGN($J289)*8+SIGN($I289))))=0)*($AH288:$CS288&lt;&gt;"")))</f>
        <v>0</v>
      </c>
      <c r="M289" s="11" t="n">
        <f aca="false">IF($K289&lt;&gt;"K",0,IFERROR(--AND($J289=0,ABS($I289)=2,$D289=IF($F289="w",5,61),IF($F289="w",$S288,$V288)=0,IF($I289=2,AND(IF($F289="w",$U288,$X288)=0,INDEX($AH288:$CS288,1,$D289+1)&amp;""="",INDEX($AH288:$CS288,1,$D289+2)&amp;""=""),AND(IF($F289="w",$T288,$W288)=0,INDEX($AH288:$CS288,1,$D289-1)&amp;""="",INDEX($AH288:$CS288,1,$D289-2)&amp;""="",INDEX($AH288:$CS288,1,$D289-3)&amp;""=""))),0))</f>
        <v>0</v>
      </c>
      <c r="N289" s="11" t="n">
        <f aca="false">IF($K289&lt;&gt;"P",0,IFERROR(--OR(AND($I289=0,$J289=IF($F289="w",1,-1),$H289=""),AND($I289=0,$J289=2*IF($F289="w",1,-1),$H289="",INT(($D289-1)/8)=IF($F289="w",1,6),INDEX($AH288:$CS288,1,MAX(1,MIN(64,$D289+8*IF($F289="w",1,-1))))&amp;""=""),AND(ABS($I289)=1,$J289=IF($F289="w",1,-1),$H289&lt;&gt;""),AND(ABS($I289)=1,$J289=IF($F289="w",1,-1),$H289="",$R288&gt;0,$E289=$R288)),0))</f>
        <v>0</v>
      </c>
      <c r="O289" s="11" t="n">
        <f aca="false">IF(OR($D289=0,$E289=0,$G289=""),0,IF($K289="N",--OR(AND(ABS($I289)=1,ABS($J289)=2),AND(ABS($I289)=2,ABS($J289)=1)),IF($K289="B",--AND(ABS($I289)=ABS($J289),$I289&lt;&gt;0,$L289=0),IF($K289="R",--AND(OR($I289=0,$J289=0),OR($I289&lt;&gt;0,$J289&lt;&gt;0),$L289=0),IF($K289="Q",--AND(OR(AND(ABS($I289)=ABS($J289),$I289&lt;&gt;0),AND(OR($I289=0,$J289=0),OR($I289&lt;&gt;0,$J289&lt;&gt;0))),$L289=0),IF($K289="K",--OR(MAX(ABS($I289),ABS($J289))=1,$M289=1),$N289))))))</f>
        <v>0</v>
      </c>
      <c r="P289" s="11" t="n">
        <f aca="false">IF($Q289="OK",1,0)</f>
        <v>0</v>
      </c>
      <c r="Q289" s="11" t="str">
        <f aca="false">IF($B289="","",IF(OR(COUNTIF($AH288:$CS288,"wK")=0,COUNTIF($AH288:$CS288,"bK")=0),"Game is over",IF(OR($D289=0,$E289=0),"Use the format e2e4",IF($G289="","No piece on that square",IF(LEFT($G289,1)&lt;&gt;$F289,"Not your piece ("&amp;IF($F289="w","White","Black")&amp;" to move)",IF($D289=$E289,"Piece must move",IF(AND($H289&lt;&gt;"",LEFT($H289,1)=$F289),"Cannot capture your own piece",IF($O289=0,"Illegal move for that piece (or path blocked)","OK"))))))))</f>
        <v/>
      </c>
      <c r="R289" s="11" t="n">
        <f aca="false">IF($P289=1,IF(AND($K289="P",ABS($J289)=2),($D289+$E289)/2,0),$R288)</f>
        <v>0</v>
      </c>
      <c r="S289" s="12" t="b">
        <f aca="false">--OR($S288=1,AND($P289=1,OR($D289=5,$E289=5)))</f>
        <v>0</v>
      </c>
      <c r="T289" s="12" t="b">
        <f aca="false">--OR($T288=1,AND($P289=1,OR($D289=1,$E289=1)))</f>
        <v>0</v>
      </c>
      <c r="U289" s="12" t="b">
        <f aca="false">--OR($U288=1,AND($P289=1,OR($D289=8,$E289=8)))</f>
        <v>0</v>
      </c>
      <c r="V289" s="12" t="b">
        <f aca="false">--OR($V288=1,AND($P289=1,OR($D289=61,$E289=61)))</f>
        <v>0</v>
      </c>
      <c r="W289" s="12" t="b">
        <f aca="false">--OR($W288=1,AND($P289=1,OR($D289=57,$E289=57)))</f>
        <v>0</v>
      </c>
      <c r="X289" s="12" t="b">
        <f aca="false">--OR($X288=1,AND($P289=1,OR($D289=64,$E289=64)))</f>
        <v>0</v>
      </c>
      <c r="Y289" s="12" t="b">
        <f aca="false">--AND($P289=1,$K289="K",ABS($I289)=2)</f>
        <v>0</v>
      </c>
      <c r="Z289" s="12" t="b">
        <f aca="false">--AND($P289=1,$K289="P",ABS($I289)=1,$H289="")</f>
        <v>0</v>
      </c>
      <c r="AA289" s="12" t="b">
        <f aca="false">--AND($P289=1,$K289="P",INT(($E289-1)/8)=IF($F289="w",7,0))</f>
        <v>0</v>
      </c>
      <c r="AB289" s="11" t="str">
        <f aca="false">IF(LEN($C289)&gt;=5,IF(ISNUMBER(FIND(MID($C289,5,1),"qrbn")),UPPER(MID($C289,5,1)),"Q"),"Q")</f>
        <v>Q</v>
      </c>
      <c r="AC289" s="11" t="n">
        <f aca="false">IF($Y289=1,IF($I289=2,$D289+3,$D289-4),0)</f>
        <v>0</v>
      </c>
      <c r="AD289" s="11" t="n">
        <f aca="false">IF($Y289=1,IF($I289=2,$D289+1,$D289-1),0)</f>
        <v>0</v>
      </c>
      <c r="AE289" s="11" t="n">
        <f aca="false">IF($Z289=1,$E289-8*IF($F289="w",1,-1),0)</f>
        <v>0</v>
      </c>
      <c r="AF289" s="11" t="str">
        <f aca="false">IF($B289="","",IF($P289=1,LOWER(INDEX($CV$2:$CV$13,MATCH($G289,$CU$2:$CU$13,0)))&amp;" "&amp;MID("abcdefgh",MOD($D289-1,8)+1,1)&amp;(INT(($D289-1)/8)+1)&amp;"→"&amp;MID("abcdefgh",MOD($E289-1,8)+1,1)&amp;(INT(($E289-1)/8)+1)&amp;IF(OR($H289&lt;&gt;"",$Z289=1)," ×","")&amp;IF($Y289=1," castles","")&amp;IF($Z289=1," e.p.","")&amp;IF($AA289=1," =" &amp;LOWER(INDEX($CV$2:$CV$13,MATCH($F289&amp;$AB289,$CU$2:$CU$13,0))),""),"X "&amp;$Q289))</f>
        <v/>
      </c>
      <c r="AG289" s="11"/>
      <c r="AH289" s="11" t="str">
        <f aca="false">IF($P289=0,AH288,IF(AH$3=$E289,IF($AA289=1,$F289&amp;$AB289,$G289),IF(OR(AH$3=$D289,AH$3=$AC289,AH$3=$AE289),"",IF(AH$3=$AD289,$F289&amp;"R",AH288))))</f>
        <v>wR</v>
      </c>
      <c r="AI289" s="11" t="str">
        <f aca="false">IF($P289=0,AI288,IF(AI$3=$E289,IF($AA289=1,$F289&amp;$AB289,$G289),IF(OR(AI$3=$D289,AI$3=$AC289,AI$3=$AE289),"",IF(AI$3=$AD289,$F289&amp;"R",AI288))))</f>
        <v>wN</v>
      </c>
      <c r="AJ289" s="11" t="str">
        <f aca="false">IF($P289=0,AJ288,IF(AJ$3=$E289,IF($AA289=1,$F289&amp;$AB289,$G289),IF(OR(AJ$3=$D289,AJ$3=$AC289,AJ$3=$AE289),"",IF(AJ$3=$AD289,$F289&amp;"R",AJ288))))</f>
        <v>wB</v>
      </c>
      <c r="AK289" s="11" t="str">
        <f aca="false">IF($P289=0,AK288,IF(AK$3=$E289,IF($AA289=1,$F289&amp;$AB289,$G289),IF(OR(AK$3=$D289,AK$3=$AC289,AK$3=$AE289),"",IF(AK$3=$AD289,$F289&amp;"R",AK288))))</f>
        <v>wQ</v>
      </c>
      <c r="AL289" s="11" t="str">
        <f aca="false">IF($P289=0,AL288,IF(AL$3=$E289,IF($AA289=1,$F289&amp;$AB289,$G289),IF(OR(AL$3=$D289,AL$3=$AC289,AL$3=$AE289),"",IF(AL$3=$AD289,$F289&amp;"R",AL288))))</f>
        <v>wK</v>
      </c>
      <c r="AM289" s="11" t="str">
        <f aca="false">IF($P289=0,AM288,IF(AM$3=$E289,IF($AA289=1,$F289&amp;$AB289,$G289),IF(OR(AM$3=$D289,AM$3=$AC289,AM$3=$AE289),"",IF(AM$3=$AD289,$F289&amp;"R",AM288))))</f>
        <v>wB</v>
      </c>
      <c r="AN289" s="11" t="str">
        <f aca="false">IF($P289=0,AN288,IF(AN$3=$E289,IF($AA289=1,$F289&amp;$AB289,$G289),IF(OR(AN$3=$D289,AN$3=$AC289,AN$3=$AE289),"",IF(AN$3=$AD289,$F289&amp;"R",AN288))))</f>
        <v>wN</v>
      </c>
      <c r="AO289" s="11" t="str">
        <f aca="false">IF($P289=0,AO288,IF(AO$3=$E289,IF($AA289=1,$F289&amp;$AB289,$G289),IF(OR(AO$3=$D289,AO$3=$AC289,AO$3=$AE289),"",IF(AO$3=$AD289,$F289&amp;"R",AO288))))</f>
        <v>wR</v>
      </c>
      <c r="AP289" s="11" t="str">
        <f aca="false">IF($P289=0,AP288,IF(AP$3=$E289,IF($AA289=1,$F289&amp;$AB289,$G289),IF(OR(AP$3=$D289,AP$3=$AC289,AP$3=$AE289),"",IF(AP$3=$AD289,$F289&amp;"R",AP288))))</f>
        <v>wP</v>
      </c>
      <c r="AQ289" s="11" t="str">
        <f aca="false">IF($P289=0,AQ288,IF(AQ$3=$E289,IF($AA289=1,$F289&amp;$AB289,$G289),IF(OR(AQ$3=$D289,AQ$3=$AC289,AQ$3=$AE289),"",IF(AQ$3=$AD289,$F289&amp;"R",AQ288))))</f>
        <v>wP</v>
      </c>
      <c r="AR289" s="11" t="str">
        <f aca="false">IF($P289=0,AR288,IF(AR$3=$E289,IF($AA289=1,$F289&amp;$AB289,$G289),IF(OR(AR$3=$D289,AR$3=$AC289,AR$3=$AE289),"",IF(AR$3=$AD289,$F289&amp;"R",AR288))))</f>
        <v>wP</v>
      </c>
      <c r="AS289" s="11" t="str">
        <f aca="false">IF($P289=0,AS288,IF(AS$3=$E289,IF($AA289=1,$F289&amp;$AB289,$G289),IF(OR(AS$3=$D289,AS$3=$AC289,AS$3=$AE289),"",IF(AS$3=$AD289,$F289&amp;"R",AS288))))</f>
        <v>wP</v>
      </c>
      <c r="AT289" s="11" t="str">
        <f aca="false">IF($P289=0,AT288,IF(AT$3=$E289,IF($AA289=1,$F289&amp;$AB289,$G289),IF(OR(AT$3=$D289,AT$3=$AC289,AT$3=$AE289),"",IF(AT$3=$AD289,$F289&amp;"R",AT288))))</f>
        <v>wP</v>
      </c>
      <c r="AU289" s="11" t="str">
        <f aca="false">IF($P289=0,AU288,IF(AU$3=$E289,IF($AA289=1,$F289&amp;$AB289,$G289),IF(OR(AU$3=$D289,AU$3=$AC289,AU$3=$AE289),"",IF(AU$3=$AD289,$F289&amp;"R",AU288))))</f>
        <v>wP</v>
      </c>
      <c r="AV289" s="11" t="str">
        <f aca="false">IF($P289=0,AV288,IF(AV$3=$E289,IF($AA289=1,$F289&amp;$AB289,$G289),IF(OR(AV$3=$D289,AV$3=$AC289,AV$3=$AE289),"",IF(AV$3=$AD289,$F289&amp;"R",AV288))))</f>
        <v>wP</v>
      </c>
      <c r="AW289" s="11" t="str">
        <f aca="false">IF($P289=0,AW288,IF(AW$3=$E289,IF($AA289=1,$F289&amp;$AB289,$G289),IF(OR(AW$3=$D289,AW$3=$AC289,AW$3=$AE289),"",IF(AW$3=$AD289,$F289&amp;"R",AW288))))</f>
        <v>wP</v>
      </c>
      <c r="AX289" s="11" t="str">
        <f aca="false">IF($P289=0,AX288,IF(AX$3=$E289,IF($AA289=1,$F289&amp;$AB289,$G289),IF(OR(AX$3=$D289,AX$3=$AC289,AX$3=$AE289),"",IF(AX$3=$AD289,$F289&amp;"R",AX288))))</f>
        <v/>
      </c>
      <c r="AY289" s="11" t="str">
        <f aca="false">IF($P289=0,AY288,IF(AY$3=$E289,IF($AA289=1,$F289&amp;$AB289,$G289),IF(OR(AY$3=$D289,AY$3=$AC289,AY$3=$AE289),"",IF(AY$3=$AD289,$F289&amp;"R",AY288))))</f>
        <v/>
      </c>
      <c r="AZ289" s="11" t="str">
        <f aca="false">IF($P289=0,AZ288,IF(AZ$3=$E289,IF($AA289=1,$F289&amp;$AB289,$G289),IF(OR(AZ$3=$D289,AZ$3=$AC289,AZ$3=$AE289),"",IF(AZ$3=$AD289,$F289&amp;"R",AZ288))))</f>
        <v/>
      </c>
      <c r="BA289" s="11" t="str">
        <f aca="false">IF($P289=0,BA288,IF(BA$3=$E289,IF($AA289=1,$F289&amp;$AB289,$G289),IF(OR(BA$3=$D289,BA$3=$AC289,BA$3=$AE289),"",IF(BA$3=$AD289,$F289&amp;"R",BA288))))</f>
        <v/>
      </c>
      <c r="BB289" s="11" t="str">
        <f aca="false">IF($P289=0,BB288,IF(BB$3=$E289,IF($AA289=1,$F289&amp;$AB289,$G289),IF(OR(BB$3=$D289,BB$3=$AC289,BB$3=$AE289),"",IF(BB$3=$AD289,$F289&amp;"R",BB288))))</f>
        <v/>
      </c>
      <c r="BC289" s="11" t="str">
        <f aca="false">IF($P289=0,BC288,IF(BC$3=$E289,IF($AA289=1,$F289&amp;$AB289,$G289),IF(OR(BC$3=$D289,BC$3=$AC289,BC$3=$AE289),"",IF(BC$3=$AD289,$F289&amp;"R",BC288))))</f>
        <v/>
      </c>
      <c r="BD289" s="11" t="str">
        <f aca="false">IF($P289=0,BD288,IF(BD$3=$E289,IF($AA289=1,$F289&amp;$AB289,$G289),IF(OR(BD$3=$D289,BD$3=$AC289,BD$3=$AE289),"",IF(BD$3=$AD289,$F289&amp;"R",BD288))))</f>
        <v/>
      </c>
      <c r="BE289" s="11" t="str">
        <f aca="false">IF($P289=0,BE288,IF(BE$3=$E289,IF($AA289=1,$F289&amp;$AB289,$G289),IF(OR(BE$3=$D289,BE$3=$AC289,BE$3=$AE289),"",IF(BE$3=$AD289,$F289&amp;"R",BE288))))</f>
        <v/>
      </c>
      <c r="BF289" s="11" t="str">
        <f aca="false">IF($P289=0,BF288,IF(BF$3=$E289,IF($AA289=1,$F289&amp;$AB289,$G289),IF(OR(BF$3=$D289,BF$3=$AC289,BF$3=$AE289),"",IF(BF$3=$AD289,$F289&amp;"R",BF288))))</f>
        <v/>
      </c>
      <c r="BG289" s="11" t="str">
        <f aca="false">IF($P289=0,BG288,IF(BG$3=$E289,IF($AA289=1,$F289&amp;$AB289,$G289),IF(OR(BG$3=$D289,BG$3=$AC289,BG$3=$AE289),"",IF(BG$3=$AD289,$F289&amp;"R",BG288))))</f>
        <v/>
      </c>
      <c r="BH289" s="11" t="str">
        <f aca="false">IF($P289=0,BH288,IF(BH$3=$E289,IF($AA289=1,$F289&amp;$AB289,$G289),IF(OR(BH$3=$D289,BH$3=$AC289,BH$3=$AE289),"",IF(BH$3=$AD289,$F289&amp;"R",BH288))))</f>
        <v/>
      </c>
      <c r="BI289" s="11" t="str">
        <f aca="false">IF($P289=0,BI288,IF(BI$3=$E289,IF($AA289=1,$F289&amp;$AB289,$G289),IF(OR(BI$3=$D289,BI$3=$AC289,BI$3=$AE289),"",IF(BI$3=$AD289,$F289&amp;"R",BI288))))</f>
        <v/>
      </c>
      <c r="BJ289" s="11" t="str">
        <f aca="false">IF($P289=0,BJ288,IF(BJ$3=$E289,IF($AA289=1,$F289&amp;$AB289,$G289),IF(OR(BJ$3=$D289,BJ$3=$AC289,BJ$3=$AE289),"",IF(BJ$3=$AD289,$F289&amp;"R",BJ288))))</f>
        <v/>
      </c>
      <c r="BK289" s="11" t="str">
        <f aca="false">IF($P289=0,BK288,IF(BK$3=$E289,IF($AA289=1,$F289&amp;$AB289,$G289),IF(OR(BK$3=$D289,BK$3=$AC289,BK$3=$AE289),"",IF(BK$3=$AD289,$F289&amp;"R",BK288))))</f>
        <v/>
      </c>
      <c r="BL289" s="11" t="str">
        <f aca="false">IF($P289=0,BL288,IF(BL$3=$E289,IF($AA289=1,$F289&amp;$AB289,$G289),IF(OR(BL$3=$D289,BL$3=$AC289,BL$3=$AE289),"",IF(BL$3=$AD289,$F289&amp;"R",BL288))))</f>
        <v/>
      </c>
      <c r="BM289" s="11" t="str">
        <f aca="false">IF($P289=0,BM288,IF(BM$3=$E289,IF($AA289=1,$F289&amp;$AB289,$G289),IF(OR(BM$3=$D289,BM$3=$AC289,BM$3=$AE289),"",IF(BM$3=$AD289,$F289&amp;"R",BM288))))</f>
        <v/>
      </c>
      <c r="BN289" s="11" t="str">
        <f aca="false">IF($P289=0,BN288,IF(BN$3=$E289,IF($AA289=1,$F289&amp;$AB289,$G289),IF(OR(BN$3=$D289,BN$3=$AC289,BN$3=$AE289),"",IF(BN$3=$AD289,$F289&amp;"R",BN288))))</f>
        <v/>
      </c>
      <c r="BO289" s="11" t="str">
        <f aca="false">IF($P289=0,BO288,IF(BO$3=$E289,IF($AA289=1,$F289&amp;$AB289,$G289),IF(OR(BO$3=$D289,BO$3=$AC289,BO$3=$AE289),"",IF(BO$3=$AD289,$F289&amp;"R",BO288))))</f>
        <v/>
      </c>
      <c r="BP289" s="11" t="str">
        <f aca="false">IF($P289=0,BP288,IF(BP$3=$E289,IF($AA289=1,$F289&amp;$AB289,$G289),IF(OR(BP$3=$D289,BP$3=$AC289,BP$3=$AE289),"",IF(BP$3=$AD289,$F289&amp;"R",BP288))))</f>
        <v/>
      </c>
      <c r="BQ289" s="11" t="str">
        <f aca="false">IF($P289=0,BQ288,IF(BQ$3=$E289,IF($AA289=1,$F289&amp;$AB289,$G289),IF(OR(BQ$3=$D289,BQ$3=$AC289,BQ$3=$AE289),"",IF(BQ$3=$AD289,$F289&amp;"R",BQ288))))</f>
        <v/>
      </c>
      <c r="BR289" s="11" t="str">
        <f aca="false">IF($P289=0,BR288,IF(BR$3=$E289,IF($AA289=1,$F289&amp;$AB289,$G289),IF(OR(BR$3=$D289,BR$3=$AC289,BR$3=$AE289),"",IF(BR$3=$AD289,$F289&amp;"R",BR288))))</f>
        <v/>
      </c>
      <c r="BS289" s="11" t="str">
        <f aca="false">IF($P289=0,BS288,IF(BS$3=$E289,IF($AA289=1,$F289&amp;$AB289,$G289),IF(OR(BS$3=$D289,BS$3=$AC289,BS$3=$AE289),"",IF(BS$3=$AD289,$F289&amp;"R",BS288))))</f>
        <v/>
      </c>
      <c r="BT289" s="11" t="str">
        <f aca="false">IF($P289=0,BT288,IF(BT$3=$E289,IF($AA289=1,$F289&amp;$AB289,$G289),IF(OR(BT$3=$D289,BT$3=$AC289,BT$3=$AE289),"",IF(BT$3=$AD289,$F289&amp;"R",BT288))))</f>
        <v/>
      </c>
      <c r="BU289" s="11" t="str">
        <f aca="false">IF($P289=0,BU288,IF(BU$3=$E289,IF($AA289=1,$F289&amp;$AB289,$G289),IF(OR(BU$3=$D289,BU$3=$AC289,BU$3=$AE289),"",IF(BU$3=$AD289,$F289&amp;"R",BU288))))</f>
        <v/>
      </c>
      <c r="BV289" s="11" t="str">
        <f aca="false">IF($P289=0,BV288,IF(BV$3=$E289,IF($AA289=1,$F289&amp;$AB289,$G289),IF(OR(BV$3=$D289,BV$3=$AC289,BV$3=$AE289),"",IF(BV$3=$AD289,$F289&amp;"R",BV288))))</f>
        <v/>
      </c>
      <c r="BW289" s="11" t="str">
        <f aca="false">IF($P289=0,BW288,IF(BW$3=$E289,IF($AA289=1,$F289&amp;$AB289,$G289),IF(OR(BW$3=$D289,BW$3=$AC289,BW$3=$AE289),"",IF(BW$3=$AD289,$F289&amp;"R",BW288))))</f>
        <v/>
      </c>
      <c r="BX289" s="11" t="str">
        <f aca="false">IF($P289=0,BX288,IF(BX$3=$E289,IF($AA289=1,$F289&amp;$AB289,$G289),IF(OR(BX$3=$D289,BX$3=$AC289,BX$3=$AE289),"",IF(BX$3=$AD289,$F289&amp;"R",BX288))))</f>
        <v/>
      </c>
      <c r="BY289" s="11" t="str">
        <f aca="false">IF($P289=0,BY288,IF(BY$3=$E289,IF($AA289=1,$F289&amp;$AB289,$G289),IF(OR(BY$3=$D289,BY$3=$AC289,BY$3=$AE289),"",IF(BY$3=$AD289,$F289&amp;"R",BY288))))</f>
        <v/>
      </c>
      <c r="BZ289" s="11" t="str">
        <f aca="false">IF($P289=0,BZ288,IF(BZ$3=$E289,IF($AA289=1,$F289&amp;$AB289,$G289),IF(OR(BZ$3=$D289,BZ$3=$AC289,BZ$3=$AE289),"",IF(BZ$3=$AD289,$F289&amp;"R",BZ288))))</f>
        <v/>
      </c>
      <c r="CA289" s="11" t="str">
        <f aca="false">IF($P289=0,CA288,IF(CA$3=$E289,IF($AA289=1,$F289&amp;$AB289,$G289),IF(OR(CA$3=$D289,CA$3=$AC289,CA$3=$AE289),"",IF(CA$3=$AD289,$F289&amp;"R",CA288))))</f>
        <v/>
      </c>
      <c r="CB289" s="11" t="str">
        <f aca="false">IF($P289=0,CB288,IF(CB$3=$E289,IF($AA289=1,$F289&amp;$AB289,$G289),IF(OR(CB$3=$D289,CB$3=$AC289,CB$3=$AE289),"",IF(CB$3=$AD289,$F289&amp;"R",CB288))))</f>
        <v/>
      </c>
      <c r="CC289" s="11" t="str">
        <f aca="false">IF($P289=0,CC288,IF(CC$3=$E289,IF($AA289=1,$F289&amp;$AB289,$G289),IF(OR(CC$3=$D289,CC$3=$AC289,CC$3=$AE289),"",IF(CC$3=$AD289,$F289&amp;"R",CC288))))</f>
        <v/>
      </c>
      <c r="CD289" s="11" t="str">
        <f aca="false">IF($P289=0,CD288,IF(CD$3=$E289,IF($AA289=1,$F289&amp;$AB289,$G289),IF(OR(CD$3=$D289,CD$3=$AC289,CD$3=$AE289),"",IF(CD$3=$AD289,$F289&amp;"R",CD288))))</f>
        <v>bP</v>
      </c>
      <c r="CE289" s="11" t="str">
        <f aca="false">IF($P289=0,CE288,IF(CE$3=$E289,IF($AA289=1,$F289&amp;$AB289,$G289),IF(OR(CE$3=$D289,CE$3=$AC289,CE$3=$AE289),"",IF(CE$3=$AD289,$F289&amp;"R",CE288))))</f>
        <v>bP</v>
      </c>
      <c r="CF289" s="11" t="str">
        <f aca="false">IF($P289=0,CF288,IF(CF$3=$E289,IF($AA289=1,$F289&amp;$AB289,$G289),IF(OR(CF$3=$D289,CF$3=$AC289,CF$3=$AE289),"",IF(CF$3=$AD289,$F289&amp;"R",CF288))))</f>
        <v>bP</v>
      </c>
      <c r="CG289" s="11" t="str">
        <f aca="false">IF($P289=0,CG288,IF(CG$3=$E289,IF($AA289=1,$F289&amp;$AB289,$G289),IF(OR(CG$3=$D289,CG$3=$AC289,CG$3=$AE289),"",IF(CG$3=$AD289,$F289&amp;"R",CG288))))</f>
        <v>bP</v>
      </c>
      <c r="CH289" s="11" t="str">
        <f aca="false">IF($P289=0,CH288,IF(CH$3=$E289,IF($AA289=1,$F289&amp;$AB289,$G289),IF(OR(CH$3=$D289,CH$3=$AC289,CH$3=$AE289),"",IF(CH$3=$AD289,$F289&amp;"R",CH288))))</f>
        <v>bP</v>
      </c>
      <c r="CI289" s="11" t="str">
        <f aca="false">IF($P289=0,CI288,IF(CI$3=$E289,IF($AA289=1,$F289&amp;$AB289,$G289),IF(OR(CI$3=$D289,CI$3=$AC289,CI$3=$AE289),"",IF(CI$3=$AD289,$F289&amp;"R",CI288))))</f>
        <v>bP</v>
      </c>
      <c r="CJ289" s="11" t="str">
        <f aca="false">IF($P289=0,CJ288,IF(CJ$3=$E289,IF($AA289=1,$F289&amp;$AB289,$G289),IF(OR(CJ$3=$D289,CJ$3=$AC289,CJ$3=$AE289),"",IF(CJ$3=$AD289,$F289&amp;"R",CJ288))))</f>
        <v>bP</v>
      </c>
      <c r="CK289" s="11" t="str">
        <f aca="false">IF($P289=0,CK288,IF(CK$3=$E289,IF($AA289=1,$F289&amp;$AB289,$G289),IF(OR(CK$3=$D289,CK$3=$AC289,CK$3=$AE289),"",IF(CK$3=$AD289,$F289&amp;"R",CK288))))</f>
        <v>bP</v>
      </c>
      <c r="CL289" s="11" t="str">
        <f aca="false">IF($P289=0,CL288,IF(CL$3=$E289,IF($AA289=1,$F289&amp;$AB289,$G289),IF(OR(CL$3=$D289,CL$3=$AC289,CL$3=$AE289),"",IF(CL$3=$AD289,$F289&amp;"R",CL288))))</f>
        <v>bR</v>
      </c>
      <c r="CM289" s="11" t="str">
        <f aca="false">IF($P289=0,CM288,IF(CM$3=$E289,IF($AA289=1,$F289&amp;$AB289,$G289),IF(OR(CM$3=$D289,CM$3=$AC289,CM$3=$AE289),"",IF(CM$3=$AD289,$F289&amp;"R",CM288))))</f>
        <v>bN</v>
      </c>
      <c r="CN289" s="11" t="str">
        <f aca="false">IF($P289=0,CN288,IF(CN$3=$E289,IF($AA289=1,$F289&amp;$AB289,$G289),IF(OR(CN$3=$D289,CN$3=$AC289,CN$3=$AE289),"",IF(CN$3=$AD289,$F289&amp;"R",CN288))))</f>
        <v>bB</v>
      </c>
      <c r="CO289" s="11" t="str">
        <f aca="false">IF($P289=0,CO288,IF(CO$3=$E289,IF($AA289=1,$F289&amp;$AB289,$G289),IF(OR(CO$3=$D289,CO$3=$AC289,CO$3=$AE289),"",IF(CO$3=$AD289,$F289&amp;"R",CO288))))</f>
        <v>bQ</v>
      </c>
      <c r="CP289" s="11" t="str">
        <f aca="false">IF($P289=0,CP288,IF(CP$3=$E289,IF($AA289=1,$F289&amp;$AB289,$G289),IF(OR(CP$3=$D289,CP$3=$AC289,CP$3=$AE289),"",IF(CP$3=$AD289,$F289&amp;"R",CP288))))</f>
        <v>bK</v>
      </c>
      <c r="CQ289" s="11" t="str">
        <f aca="false">IF($P289=0,CQ288,IF(CQ$3=$E289,IF($AA289=1,$F289&amp;$AB289,$G289),IF(OR(CQ$3=$D289,CQ$3=$AC289,CQ$3=$AE289),"",IF(CQ$3=$AD289,$F289&amp;"R",CQ288))))</f>
        <v>bB</v>
      </c>
      <c r="CR289" s="11" t="str">
        <f aca="false">IF($P289=0,CR288,IF(CR$3=$E289,IF($AA289=1,$F289&amp;$AB289,$G289),IF(OR(CR$3=$D289,CR$3=$AC289,CR$3=$AE289),"",IF(CR$3=$AD289,$F289&amp;"R",CR288))))</f>
        <v>bN</v>
      </c>
      <c r="CS289" s="11" t="str">
        <f aca="false">IF($P289=0,CS288,IF(CS$3=$E289,IF($AA289=1,$F289&amp;$AB289,$G289),IF(OR(CS$3=$D289,CS$3=$AC289,CS$3=$AE289),"",IF(CS$3=$AD289,$F289&amp;"R",CS288))))</f>
        <v>bR</v>
      </c>
      <c r="CT289" s="11"/>
      <c r="CU289" s="11"/>
      <c r="CV289" s="11"/>
    </row>
    <row r="290" customFormat="false" ht="15" hidden="false" customHeight="false" outlineLevel="0" collapsed="false">
      <c r="A290" s="11" t="n">
        <v>285</v>
      </c>
      <c r="B290" s="11" t="str">
        <f aca="false">IF(Chess!$L$294="","",Chess!$L$294&amp;"")</f>
        <v/>
      </c>
      <c r="C290" s="11" t="str">
        <f aca="false">LOWER(SUBSTITUTE(SUBSTITUTE(SUBSTITUTE(SUBSTITUTE(TRIM($B290),"-",""),"=","")," ",""),"x",""))</f>
        <v/>
      </c>
      <c r="D290" s="11" t="n">
        <f aca="false">IF(LEN($C290)&lt;4,0,IFERROR(IF(AND(CODE(MID($C290,1,1))&gt;=97,CODE(MID($C290,1,1))&lt;=104,VALUE(MID($C290,2,1))&gt;=1,VALUE(MID($C290,2,1))&lt;=8),(VALUE(MID($C290,2,1))-1)*8+CODE(MID($C290,1,1))-96,0),0))</f>
        <v>0</v>
      </c>
      <c r="E290" s="11" t="n">
        <f aca="false">IF(LEN($C290)&lt;4,0,IFERROR(IF(AND(CODE(MID($C290,3,1))&gt;=97,CODE(MID($C290,3,1))&lt;=104,VALUE(MID($C290,4,1))&gt;=1,VALUE(MID($C290,4,1))&lt;=8),(VALUE(MID($C290,4,1))-1)*8+CODE(MID($C290,3,1))-96,0),0))</f>
        <v>0</v>
      </c>
      <c r="F290" s="11" t="str">
        <f aca="false">IF(MOD(SUM($P$5:$P289),2)=0,"w","b")</f>
        <v>w</v>
      </c>
      <c r="G290" s="11" t="str">
        <f aca="false">IF($D290=0,"",INDEX($AH289:$CS289,1,$D290)&amp;"")</f>
        <v/>
      </c>
      <c r="H290" s="11" t="str">
        <f aca="false">IF($E290=0,"",INDEX($AH289:$CS289,1,$E290)&amp;"")</f>
        <v/>
      </c>
      <c r="I290" s="11" t="n">
        <f aca="false">IF(OR($D290=0,$E290=0),0,MOD($E290-1,8)-MOD($D290-1,8))</f>
        <v>0</v>
      </c>
      <c r="J290" s="11" t="n">
        <f aca="false">IF(OR($D290=0,$E290=0),0,INT(($E290-1)/8)-INT(($D290-1)/8))</f>
        <v>0</v>
      </c>
      <c r="K290" s="11" t="str">
        <f aca="false">IF($G290="","",RIGHT($G290,1))</f>
        <v/>
      </c>
      <c r="L290" s="11" t="n">
        <f aca="false">IF(OR($D290=0,$E290=0),0,SUMPRODUCT(($AH$3:$CS$3&gt;MIN($D290,$E290))*($AH$3:$CS$3&lt;MAX($D290,$E290))*(MOD($AH$3:$CS$3-MIN($D290,$E290),MAX(1,ABS(SIGN($J290)*8+SIGN($I290))))=0)*($AH289:$CS289&lt;&gt;"")))</f>
        <v>0</v>
      </c>
      <c r="M290" s="11" t="n">
        <f aca="false">IF($K290&lt;&gt;"K",0,IFERROR(--AND($J290=0,ABS($I290)=2,$D290=IF($F290="w",5,61),IF($F290="w",$S289,$V289)=0,IF($I290=2,AND(IF($F290="w",$U289,$X289)=0,INDEX($AH289:$CS289,1,$D290+1)&amp;""="",INDEX($AH289:$CS289,1,$D290+2)&amp;""=""),AND(IF($F290="w",$T289,$W289)=0,INDEX($AH289:$CS289,1,$D290-1)&amp;""="",INDEX($AH289:$CS289,1,$D290-2)&amp;""="",INDEX($AH289:$CS289,1,$D290-3)&amp;""=""))),0))</f>
        <v>0</v>
      </c>
      <c r="N290" s="11" t="n">
        <f aca="false">IF($K290&lt;&gt;"P",0,IFERROR(--OR(AND($I290=0,$J290=IF($F290="w",1,-1),$H290=""),AND($I290=0,$J290=2*IF($F290="w",1,-1),$H290="",INT(($D290-1)/8)=IF($F290="w",1,6),INDEX($AH289:$CS289,1,MAX(1,MIN(64,$D290+8*IF($F290="w",1,-1))))&amp;""=""),AND(ABS($I290)=1,$J290=IF($F290="w",1,-1),$H290&lt;&gt;""),AND(ABS($I290)=1,$J290=IF($F290="w",1,-1),$H290="",$R289&gt;0,$E290=$R289)),0))</f>
        <v>0</v>
      </c>
      <c r="O290" s="11" t="n">
        <f aca="false">IF(OR($D290=0,$E290=0,$G290=""),0,IF($K290="N",--OR(AND(ABS($I290)=1,ABS($J290)=2),AND(ABS($I290)=2,ABS($J290)=1)),IF($K290="B",--AND(ABS($I290)=ABS($J290),$I290&lt;&gt;0,$L290=0),IF($K290="R",--AND(OR($I290=0,$J290=0),OR($I290&lt;&gt;0,$J290&lt;&gt;0),$L290=0),IF($K290="Q",--AND(OR(AND(ABS($I290)=ABS($J290),$I290&lt;&gt;0),AND(OR($I290=0,$J290=0),OR($I290&lt;&gt;0,$J290&lt;&gt;0))),$L290=0),IF($K290="K",--OR(MAX(ABS($I290),ABS($J290))=1,$M290=1),$N290))))))</f>
        <v>0</v>
      </c>
      <c r="P290" s="11" t="n">
        <f aca="false">IF($Q290="OK",1,0)</f>
        <v>0</v>
      </c>
      <c r="Q290" s="11" t="str">
        <f aca="false">IF($B290="","",IF(OR(COUNTIF($AH289:$CS289,"wK")=0,COUNTIF($AH289:$CS289,"bK")=0),"Game is over",IF(OR($D290=0,$E290=0),"Use the format e2e4",IF($G290="","No piece on that square",IF(LEFT($G290,1)&lt;&gt;$F290,"Not your piece ("&amp;IF($F290="w","White","Black")&amp;" to move)",IF($D290=$E290,"Piece must move",IF(AND($H290&lt;&gt;"",LEFT($H290,1)=$F290),"Cannot capture your own piece",IF($O290=0,"Illegal move for that piece (or path blocked)","OK"))))))))</f>
        <v/>
      </c>
      <c r="R290" s="11" t="n">
        <f aca="false">IF($P290=1,IF(AND($K290="P",ABS($J290)=2),($D290+$E290)/2,0),$R289)</f>
        <v>0</v>
      </c>
      <c r="S290" s="12" t="b">
        <f aca="false">--OR($S289=1,AND($P290=1,OR($D290=5,$E290=5)))</f>
        <v>0</v>
      </c>
      <c r="T290" s="12" t="b">
        <f aca="false">--OR($T289=1,AND($P290=1,OR($D290=1,$E290=1)))</f>
        <v>0</v>
      </c>
      <c r="U290" s="12" t="b">
        <f aca="false">--OR($U289=1,AND($P290=1,OR($D290=8,$E290=8)))</f>
        <v>0</v>
      </c>
      <c r="V290" s="12" t="b">
        <f aca="false">--OR($V289=1,AND($P290=1,OR($D290=61,$E290=61)))</f>
        <v>0</v>
      </c>
      <c r="W290" s="12" t="b">
        <f aca="false">--OR($W289=1,AND($P290=1,OR($D290=57,$E290=57)))</f>
        <v>0</v>
      </c>
      <c r="X290" s="12" t="b">
        <f aca="false">--OR($X289=1,AND($P290=1,OR($D290=64,$E290=64)))</f>
        <v>0</v>
      </c>
      <c r="Y290" s="12" t="b">
        <f aca="false">--AND($P290=1,$K290="K",ABS($I290)=2)</f>
        <v>0</v>
      </c>
      <c r="Z290" s="12" t="b">
        <f aca="false">--AND($P290=1,$K290="P",ABS($I290)=1,$H290="")</f>
        <v>0</v>
      </c>
      <c r="AA290" s="12" t="b">
        <f aca="false">--AND($P290=1,$K290="P",INT(($E290-1)/8)=IF($F290="w",7,0))</f>
        <v>0</v>
      </c>
      <c r="AB290" s="11" t="str">
        <f aca="false">IF(LEN($C290)&gt;=5,IF(ISNUMBER(FIND(MID($C290,5,1),"qrbn")),UPPER(MID($C290,5,1)),"Q"),"Q")</f>
        <v>Q</v>
      </c>
      <c r="AC290" s="11" t="n">
        <f aca="false">IF($Y290=1,IF($I290=2,$D290+3,$D290-4),0)</f>
        <v>0</v>
      </c>
      <c r="AD290" s="11" t="n">
        <f aca="false">IF($Y290=1,IF($I290=2,$D290+1,$D290-1),0)</f>
        <v>0</v>
      </c>
      <c r="AE290" s="11" t="n">
        <f aca="false">IF($Z290=1,$E290-8*IF($F290="w",1,-1),0)</f>
        <v>0</v>
      </c>
      <c r="AF290" s="11" t="str">
        <f aca="false">IF($B290="","",IF($P290=1,LOWER(INDEX($CV$2:$CV$13,MATCH($G290,$CU$2:$CU$13,0)))&amp;" "&amp;MID("abcdefgh",MOD($D290-1,8)+1,1)&amp;(INT(($D290-1)/8)+1)&amp;"→"&amp;MID("abcdefgh",MOD($E290-1,8)+1,1)&amp;(INT(($E290-1)/8)+1)&amp;IF(OR($H290&lt;&gt;"",$Z290=1)," ×","")&amp;IF($Y290=1," castles","")&amp;IF($Z290=1," e.p.","")&amp;IF($AA290=1," =" &amp;LOWER(INDEX($CV$2:$CV$13,MATCH($F290&amp;$AB290,$CU$2:$CU$13,0))),""),"X "&amp;$Q290))</f>
        <v/>
      </c>
      <c r="AG290" s="11"/>
      <c r="AH290" s="11" t="str">
        <f aca="false">IF($P290=0,AH289,IF(AH$3=$E290,IF($AA290=1,$F290&amp;$AB290,$G290),IF(OR(AH$3=$D290,AH$3=$AC290,AH$3=$AE290),"",IF(AH$3=$AD290,$F290&amp;"R",AH289))))</f>
        <v>wR</v>
      </c>
      <c r="AI290" s="11" t="str">
        <f aca="false">IF($P290=0,AI289,IF(AI$3=$E290,IF($AA290=1,$F290&amp;$AB290,$G290),IF(OR(AI$3=$D290,AI$3=$AC290,AI$3=$AE290),"",IF(AI$3=$AD290,$F290&amp;"R",AI289))))</f>
        <v>wN</v>
      </c>
      <c r="AJ290" s="11" t="str">
        <f aca="false">IF($P290=0,AJ289,IF(AJ$3=$E290,IF($AA290=1,$F290&amp;$AB290,$G290),IF(OR(AJ$3=$D290,AJ$3=$AC290,AJ$3=$AE290),"",IF(AJ$3=$AD290,$F290&amp;"R",AJ289))))</f>
        <v>wB</v>
      </c>
      <c r="AK290" s="11" t="str">
        <f aca="false">IF($P290=0,AK289,IF(AK$3=$E290,IF($AA290=1,$F290&amp;$AB290,$G290),IF(OR(AK$3=$D290,AK$3=$AC290,AK$3=$AE290),"",IF(AK$3=$AD290,$F290&amp;"R",AK289))))</f>
        <v>wQ</v>
      </c>
      <c r="AL290" s="11" t="str">
        <f aca="false">IF($P290=0,AL289,IF(AL$3=$E290,IF($AA290=1,$F290&amp;$AB290,$G290),IF(OR(AL$3=$D290,AL$3=$AC290,AL$3=$AE290),"",IF(AL$3=$AD290,$F290&amp;"R",AL289))))</f>
        <v>wK</v>
      </c>
      <c r="AM290" s="11" t="str">
        <f aca="false">IF($P290=0,AM289,IF(AM$3=$E290,IF($AA290=1,$F290&amp;$AB290,$G290),IF(OR(AM$3=$D290,AM$3=$AC290,AM$3=$AE290),"",IF(AM$3=$AD290,$F290&amp;"R",AM289))))</f>
        <v>wB</v>
      </c>
      <c r="AN290" s="11" t="str">
        <f aca="false">IF($P290=0,AN289,IF(AN$3=$E290,IF($AA290=1,$F290&amp;$AB290,$G290),IF(OR(AN$3=$D290,AN$3=$AC290,AN$3=$AE290),"",IF(AN$3=$AD290,$F290&amp;"R",AN289))))</f>
        <v>wN</v>
      </c>
      <c r="AO290" s="11" t="str">
        <f aca="false">IF($P290=0,AO289,IF(AO$3=$E290,IF($AA290=1,$F290&amp;$AB290,$G290),IF(OR(AO$3=$D290,AO$3=$AC290,AO$3=$AE290),"",IF(AO$3=$AD290,$F290&amp;"R",AO289))))</f>
        <v>wR</v>
      </c>
      <c r="AP290" s="11" t="str">
        <f aca="false">IF($P290=0,AP289,IF(AP$3=$E290,IF($AA290=1,$F290&amp;$AB290,$G290),IF(OR(AP$3=$D290,AP$3=$AC290,AP$3=$AE290),"",IF(AP$3=$AD290,$F290&amp;"R",AP289))))</f>
        <v>wP</v>
      </c>
      <c r="AQ290" s="11" t="str">
        <f aca="false">IF($P290=0,AQ289,IF(AQ$3=$E290,IF($AA290=1,$F290&amp;$AB290,$G290),IF(OR(AQ$3=$D290,AQ$3=$AC290,AQ$3=$AE290),"",IF(AQ$3=$AD290,$F290&amp;"R",AQ289))))</f>
        <v>wP</v>
      </c>
      <c r="AR290" s="11" t="str">
        <f aca="false">IF($P290=0,AR289,IF(AR$3=$E290,IF($AA290=1,$F290&amp;$AB290,$G290),IF(OR(AR$3=$D290,AR$3=$AC290,AR$3=$AE290),"",IF(AR$3=$AD290,$F290&amp;"R",AR289))))</f>
        <v>wP</v>
      </c>
      <c r="AS290" s="11" t="str">
        <f aca="false">IF($P290=0,AS289,IF(AS$3=$E290,IF($AA290=1,$F290&amp;$AB290,$G290),IF(OR(AS$3=$D290,AS$3=$AC290,AS$3=$AE290),"",IF(AS$3=$AD290,$F290&amp;"R",AS289))))</f>
        <v>wP</v>
      </c>
      <c r="AT290" s="11" t="str">
        <f aca="false">IF($P290=0,AT289,IF(AT$3=$E290,IF($AA290=1,$F290&amp;$AB290,$G290),IF(OR(AT$3=$D290,AT$3=$AC290,AT$3=$AE290),"",IF(AT$3=$AD290,$F290&amp;"R",AT289))))</f>
        <v>wP</v>
      </c>
      <c r="AU290" s="11" t="str">
        <f aca="false">IF($P290=0,AU289,IF(AU$3=$E290,IF($AA290=1,$F290&amp;$AB290,$G290),IF(OR(AU$3=$D290,AU$3=$AC290,AU$3=$AE290),"",IF(AU$3=$AD290,$F290&amp;"R",AU289))))</f>
        <v>wP</v>
      </c>
      <c r="AV290" s="11" t="str">
        <f aca="false">IF($P290=0,AV289,IF(AV$3=$E290,IF($AA290=1,$F290&amp;$AB290,$G290),IF(OR(AV$3=$D290,AV$3=$AC290,AV$3=$AE290),"",IF(AV$3=$AD290,$F290&amp;"R",AV289))))</f>
        <v>wP</v>
      </c>
      <c r="AW290" s="11" t="str">
        <f aca="false">IF($P290=0,AW289,IF(AW$3=$E290,IF($AA290=1,$F290&amp;$AB290,$G290),IF(OR(AW$3=$D290,AW$3=$AC290,AW$3=$AE290),"",IF(AW$3=$AD290,$F290&amp;"R",AW289))))</f>
        <v>wP</v>
      </c>
      <c r="AX290" s="11" t="str">
        <f aca="false">IF($P290=0,AX289,IF(AX$3=$E290,IF($AA290=1,$F290&amp;$AB290,$G290),IF(OR(AX$3=$D290,AX$3=$AC290,AX$3=$AE290),"",IF(AX$3=$AD290,$F290&amp;"R",AX289))))</f>
        <v/>
      </c>
      <c r="AY290" s="11" t="str">
        <f aca="false">IF($P290=0,AY289,IF(AY$3=$E290,IF($AA290=1,$F290&amp;$AB290,$G290),IF(OR(AY$3=$D290,AY$3=$AC290,AY$3=$AE290),"",IF(AY$3=$AD290,$F290&amp;"R",AY289))))</f>
        <v/>
      </c>
      <c r="AZ290" s="11" t="str">
        <f aca="false">IF($P290=0,AZ289,IF(AZ$3=$E290,IF($AA290=1,$F290&amp;$AB290,$G290),IF(OR(AZ$3=$D290,AZ$3=$AC290,AZ$3=$AE290),"",IF(AZ$3=$AD290,$F290&amp;"R",AZ289))))</f>
        <v/>
      </c>
      <c r="BA290" s="11" t="str">
        <f aca="false">IF($P290=0,BA289,IF(BA$3=$E290,IF($AA290=1,$F290&amp;$AB290,$G290),IF(OR(BA$3=$D290,BA$3=$AC290,BA$3=$AE290),"",IF(BA$3=$AD290,$F290&amp;"R",BA289))))</f>
        <v/>
      </c>
      <c r="BB290" s="11" t="str">
        <f aca="false">IF($P290=0,BB289,IF(BB$3=$E290,IF($AA290=1,$F290&amp;$AB290,$G290),IF(OR(BB$3=$D290,BB$3=$AC290,BB$3=$AE290),"",IF(BB$3=$AD290,$F290&amp;"R",BB289))))</f>
        <v/>
      </c>
      <c r="BC290" s="11" t="str">
        <f aca="false">IF($P290=0,BC289,IF(BC$3=$E290,IF($AA290=1,$F290&amp;$AB290,$G290),IF(OR(BC$3=$D290,BC$3=$AC290,BC$3=$AE290),"",IF(BC$3=$AD290,$F290&amp;"R",BC289))))</f>
        <v/>
      </c>
      <c r="BD290" s="11" t="str">
        <f aca="false">IF($P290=0,BD289,IF(BD$3=$E290,IF($AA290=1,$F290&amp;$AB290,$G290),IF(OR(BD$3=$D290,BD$3=$AC290,BD$3=$AE290),"",IF(BD$3=$AD290,$F290&amp;"R",BD289))))</f>
        <v/>
      </c>
      <c r="BE290" s="11" t="str">
        <f aca="false">IF($P290=0,BE289,IF(BE$3=$E290,IF($AA290=1,$F290&amp;$AB290,$G290),IF(OR(BE$3=$D290,BE$3=$AC290,BE$3=$AE290),"",IF(BE$3=$AD290,$F290&amp;"R",BE289))))</f>
        <v/>
      </c>
      <c r="BF290" s="11" t="str">
        <f aca="false">IF($P290=0,BF289,IF(BF$3=$E290,IF($AA290=1,$F290&amp;$AB290,$G290),IF(OR(BF$3=$D290,BF$3=$AC290,BF$3=$AE290),"",IF(BF$3=$AD290,$F290&amp;"R",BF289))))</f>
        <v/>
      </c>
      <c r="BG290" s="11" t="str">
        <f aca="false">IF($P290=0,BG289,IF(BG$3=$E290,IF($AA290=1,$F290&amp;$AB290,$G290),IF(OR(BG$3=$D290,BG$3=$AC290,BG$3=$AE290),"",IF(BG$3=$AD290,$F290&amp;"R",BG289))))</f>
        <v/>
      </c>
      <c r="BH290" s="11" t="str">
        <f aca="false">IF($P290=0,BH289,IF(BH$3=$E290,IF($AA290=1,$F290&amp;$AB290,$G290),IF(OR(BH$3=$D290,BH$3=$AC290,BH$3=$AE290),"",IF(BH$3=$AD290,$F290&amp;"R",BH289))))</f>
        <v/>
      </c>
      <c r="BI290" s="11" t="str">
        <f aca="false">IF($P290=0,BI289,IF(BI$3=$E290,IF($AA290=1,$F290&amp;$AB290,$G290),IF(OR(BI$3=$D290,BI$3=$AC290,BI$3=$AE290),"",IF(BI$3=$AD290,$F290&amp;"R",BI289))))</f>
        <v/>
      </c>
      <c r="BJ290" s="11" t="str">
        <f aca="false">IF($P290=0,BJ289,IF(BJ$3=$E290,IF($AA290=1,$F290&amp;$AB290,$G290),IF(OR(BJ$3=$D290,BJ$3=$AC290,BJ$3=$AE290),"",IF(BJ$3=$AD290,$F290&amp;"R",BJ289))))</f>
        <v/>
      </c>
      <c r="BK290" s="11" t="str">
        <f aca="false">IF($P290=0,BK289,IF(BK$3=$E290,IF($AA290=1,$F290&amp;$AB290,$G290),IF(OR(BK$3=$D290,BK$3=$AC290,BK$3=$AE290),"",IF(BK$3=$AD290,$F290&amp;"R",BK289))))</f>
        <v/>
      </c>
      <c r="BL290" s="11" t="str">
        <f aca="false">IF($P290=0,BL289,IF(BL$3=$E290,IF($AA290=1,$F290&amp;$AB290,$G290),IF(OR(BL$3=$D290,BL$3=$AC290,BL$3=$AE290),"",IF(BL$3=$AD290,$F290&amp;"R",BL289))))</f>
        <v/>
      </c>
      <c r="BM290" s="11" t="str">
        <f aca="false">IF($P290=0,BM289,IF(BM$3=$E290,IF($AA290=1,$F290&amp;$AB290,$G290),IF(OR(BM$3=$D290,BM$3=$AC290,BM$3=$AE290),"",IF(BM$3=$AD290,$F290&amp;"R",BM289))))</f>
        <v/>
      </c>
      <c r="BN290" s="11" t="str">
        <f aca="false">IF($P290=0,BN289,IF(BN$3=$E290,IF($AA290=1,$F290&amp;$AB290,$G290),IF(OR(BN$3=$D290,BN$3=$AC290,BN$3=$AE290),"",IF(BN$3=$AD290,$F290&amp;"R",BN289))))</f>
        <v/>
      </c>
      <c r="BO290" s="11" t="str">
        <f aca="false">IF($P290=0,BO289,IF(BO$3=$E290,IF($AA290=1,$F290&amp;$AB290,$G290),IF(OR(BO$3=$D290,BO$3=$AC290,BO$3=$AE290),"",IF(BO$3=$AD290,$F290&amp;"R",BO289))))</f>
        <v/>
      </c>
      <c r="BP290" s="11" t="str">
        <f aca="false">IF($P290=0,BP289,IF(BP$3=$E290,IF($AA290=1,$F290&amp;$AB290,$G290),IF(OR(BP$3=$D290,BP$3=$AC290,BP$3=$AE290),"",IF(BP$3=$AD290,$F290&amp;"R",BP289))))</f>
        <v/>
      </c>
      <c r="BQ290" s="11" t="str">
        <f aca="false">IF($P290=0,BQ289,IF(BQ$3=$E290,IF($AA290=1,$F290&amp;$AB290,$G290),IF(OR(BQ$3=$D290,BQ$3=$AC290,BQ$3=$AE290),"",IF(BQ$3=$AD290,$F290&amp;"R",BQ289))))</f>
        <v/>
      </c>
      <c r="BR290" s="11" t="str">
        <f aca="false">IF($P290=0,BR289,IF(BR$3=$E290,IF($AA290=1,$F290&amp;$AB290,$G290),IF(OR(BR$3=$D290,BR$3=$AC290,BR$3=$AE290),"",IF(BR$3=$AD290,$F290&amp;"R",BR289))))</f>
        <v/>
      </c>
      <c r="BS290" s="11" t="str">
        <f aca="false">IF($P290=0,BS289,IF(BS$3=$E290,IF($AA290=1,$F290&amp;$AB290,$G290),IF(OR(BS$3=$D290,BS$3=$AC290,BS$3=$AE290),"",IF(BS$3=$AD290,$F290&amp;"R",BS289))))</f>
        <v/>
      </c>
      <c r="BT290" s="11" t="str">
        <f aca="false">IF($P290=0,BT289,IF(BT$3=$E290,IF($AA290=1,$F290&amp;$AB290,$G290),IF(OR(BT$3=$D290,BT$3=$AC290,BT$3=$AE290),"",IF(BT$3=$AD290,$F290&amp;"R",BT289))))</f>
        <v/>
      </c>
      <c r="BU290" s="11" t="str">
        <f aca="false">IF($P290=0,BU289,IF(BU$3=$E290,IF($AA290=1,$F290&amp;$AB290,$G290),IF(OR(BU$3=$D290,BU$3=$AC290,BU$3=$AE290),"",IF(BU$3=$AD290,$F290&amp;"R",BU289))))</f>
        <v/>
      </c>
      <c r="BV290" s="11" t="str">
        <f aca="false">IF($P290=0,BV289,IF(BV$3=$E290,IF($AA290=1,$F290&amp;$AB290,$G290),IF(OR(BV$3=$D290,BV$3=$AC290,BV$3=$AE290),"",IF(BV$3=$AD290,$F290&amp;"R",BV289))))</f>
        <v/>
      </c>
      <c r="BW290" s="11" t="str">
        <f aca="false">IF($P290=0,BW289,IF(BW$3=$E290,IF($AA290=1,$F290&amp;$AB290,$G290),IF(OR(BW$3=$D290,BW$3=$AC290,BW$3=$AE290),"",IF(BW$3=$AD290,$F290&amp;"R",BW289))))</f>
        <v/>
      </c>
      <c r="BX290" s="11" t="str">
        <f aca="false">IF($P290=0,BX289,IF(BX$3=$E290,IF($AA290=1,$F290&amp;$AB290,$G290),IF(OR(BX$3=$D290,BX$3=$AC290,BX$3=$AE290),"",IF(BX$3=$AD290,$F290&amp;"R",BX289))))</f>
        <v/>
      </c>
      <c r="BY290" s="11" t="str">
        <f aca="false">IF($P290=0,BY289,IF(BY$3=$E290,IF($AA290=1,$F290&amp;$AB290,$G290),IF(OR(BY$3=$D290,BY$3=$AC290,BY$3=$AE290),"",IF(BY$3=$AD290,$F290&amp;"R",BY289))))</f>
        <v/>
      </c>
      <c r="BZ290" s="11" t="str">
        <f aca="false">IF($P290=0,BZ289,IF(BZ$3=$E290,IF($AA290=1,$F290&amp;$AB290,$G290),IF(OR(BZ$3=$D290,BZ$3=$AC290,BZ$3=$AE290),"",IF(BZ$3=$AD290,$F290&amp;"R",BZ289))))</f>
        <v/>
      </c>
      <c r="CA290" s="11" t="str">
        <f aca="false">IF($P290=0,CA289,IF(CA$3=$E290,IF($AA290=1,$F290&amp;$AB290,$G290),IF(OR(CA$3=$D290,CA$3=$AC290,CA$3=$AE290),"",IF(CA$3=$AD290,$F290&amp;"R",CA289))))</f>
        <v/>
      </c>
      <c r="CB290" s="11" t="str">
        <f aca="false">IF($P290=0,CB289,IF(CB$3=$E290,IF($AA290=1,$F290&amp;$AB290,$G290),IF(OR(CB$3=$D290,CB$3=$AC290,CB$3=$AE290),"",IF(CB$3=$AD290,$F290&amp;"R",CB289))))</f>
        <v/>
      </c>
      <c r="CC290" s="11" t="str">
        <f aca="false">IF($P290=0,CC289,IF(CC$3=$E290,IF($AA290=1,$F290&amp;$AB290,$G290),IF(OR(CC$3=$D290,CC$3=$AC290,CC$3=$AE290),"",IF(CC$3=$AD290,$F290&amp;"R",CC289))))</f>
        <v/>
      </c>
      <c r="CD290" s="11" t="str">
        <f aca="false">IF($P290=0,CD289,IF(CD$3=$E290,IF($AA290=1,$F290&amp;$AB290,$G290),IF(OR(CD$3=$D290,CD$3=$AC290,CD$3=$AE290),"",IF(CD$3=$AD290,$F290&amp;"R",CD289))))</f>
        <v>bP</v>
      </c>
      <c r="CE290" s="11" t="str">
        <f aca="false">IF($P290=0,CE289,IF(CE$3=$E290,IF($AA290=1,$F290&amp;$AB290,$G290),IF(OR(CE$3=$D290,CE$3=$AC290,CE$3=$AE290),"",IF(CE$3=$AD290,$F290&amp;"R",CE289))))</f>
        <v>bP</v>
      </c>
      <c r="CF290" s="11" t="str">
        <f aca="false">IF($P290=0,CF289,IF(CF$3=$E290,IF($AA290=1,$F290&amp;$AB290,$G290),IF(OR(CF$3=$D290,CF$3=$AC290,CF$3=$AE290),"",IF(CF$3=$AD290,$F290&amp;"R",CF289))))</f>
        <v>bP</v>
      </c>
      <c r="CG290" s="11" t="str">
        <f aca="false">IF($P290=0,CG289,IF(CG$3=$E290,IF($AA290=1,$F290&amp;$AB290,$G290),IF(OR(CG$3=$D290,CG$3=$AC290,CG$3=$AE290),"",IF(CG$3=$AD290,$F290&amp;"R",CG289))))</f>
        <v>bP</v>
      </c>
      <c r="CH290" s="11" t="str">
        <f aca="false">IF($P290=0,CH289,IF(CH$3=$E290,IF($AA290=1,$F290&amp;$AB290,$G290),IF(OR(CH$3=$D290,CH$3=$AC290,CH$3=$AE290),"",IF(CH$3=$AD290,$F290&amp;"R",CH289))))</f>
        <v>bP</v>
      </c>
      <c r="CI290" s="11" t="str">
        <f aca="false">IF($P290=0,CI289,IF(CI$3=$E290,IF($AA290=1,$F290&amp;$AB290,$G290),IF(OR(CI$3=$D290,CI$3=$AC290,CI$3=$AE290),"",IF(CI$3=$AD290,$F290&amp;"R",CI289))))</f>
        <v>bP</v>
      </c>
      <c r="CJ290" s="11" t="str">
        <f aca="false">IF($P290=0,CJ289,IF(CJ$3=$E290,IF($AA290=1,$F290&amp;$AB290,$G290),IF(OR(CJ$3=$D290,CJ$3=$AC290,CJ$3=$AE290),"",IF(CJ$3=$AD290,$F290&amp;"R",CJ289))))</f>
        <v>bP</v>
      </c>
      <c r="CK290" s="11" t="str">
        <f aca="false">IF($P290=0,CK289,IF(CK$3=$E290,IF($AA290=1,$F290&amp;$AB290,$G290),IF(OR(CK$3=$D290,CK$3=$AC290,CK$3=$AE290),"",IF(CK$3=$AD290,$F290&amp;"R",CK289))))</f>
        <v>bP</v>
      </c>
      <c r="CL290" s="11" t="str">
        <f aca="false">IF($P290=0,CL289,IF(CL$3=$E290,IF($AA290=1,$F290&amp;$AB290,$G290),IF(OR(CL$3=$D290,CL$3=$AC290,CL$3=$AE290),"",IF(CL$3=$AD290,$F290&amp;"R",CL289))))</f>
        <v>bR</v>
      </c>
      <c r="CM290" s="11" t="str">
        <f aca="false">IF($P290=0,CM289,IF(CM$3=$E290,IF($AA290=1,$F290&amp;$AB290,$G290),IF(OR(CM$3=$D290,CM$3=$AC290,CM$3=$AE290),"",IF(CM$3=$AD290,$F290&amp;"R",CM289))))</f>
        <v>bN</v>
      </c>
      <c r="CN290" s="11" t="str">
        <f aca="false">IF($P290=0,CN289,IF(CN$3=$E290,IF($AA290=1,$F290&amp;$AB290,$G290),IF(OR(CN$3=$D290,CN$3=$AC290,CN$3=$AE290),"",IF(CN$3=$AD290,$F290&amp;"R",CN289))))</f>
        <v>bB</v>
      </c>
      <c r="CO290" s="11" t="str">
        <f aca="false">IF($P290=0,CO289,IF(CO$3=$E290,IF($AA290=1,$F290&amp;$AB290,$G290),IF(OR(CO$3=$D290,CO$3=$AC290,CO$3=$AE290),"",IF(CO$3=$AD290,$F290&amp;"R",CO289))))</f>
        <v>bQ</v>
      </c>
      <c r="CP290" s="11" t="str">
        <f aca="false">IF($P290=0,CP289,IF(CP$3=$E290,IF($AA290=1,$F290&amp;$AB290,$G290),IF(OR(CP$3=$D290,CP$3=$AC290,CP$3=$AE290),"",IF(CP$3=$AD290,$F290&amp;"R",CP289))))</f>
        <v>bK</v>
      </c>
      <c r="CQ290" s="11" t="str">
        <f aca="false">IF($P290=0,CQ289,IF(CQ$3=$E290,IF($AA290=1,$F290&amp;$AB290,$G290),IF(OR(CQ$3=$D290,CQ$3=$AC290,CQ$3=$AE290),"",IF(CQ$3=$AD290,$F290&amp;"R",CQ289))))</f>
        <v>bB</v>
      </c>
      <c r="CR290" s="11" t="str">
        <f aca="false">IF($P290=0,CR289,IF(CR$3=$E290,IF($AA290=1,$F290&amp;$AB290,$G290),IF(OR(CR$3=$D290,CR$3=$AC290,CR$3=$AE290),"",IF(CR$3=$AD290,$F290&amp;"R",CR289))))</f>
        <v>bN</v>
      </c>
      <c r="CS290" s="11" t="str">
        <f aca="false">IF($P290=0,CS289,IF(CS$3=$E290,IF($AA290=1,$F290&amp;$AB290,$G290),IF(OR(CS$3=$D290,CS$3=$AC290,CS$3=$AE290),"",IF(CS$3=$AD290,$F290&amp;"R",CS289))))</f>
        <v>bR</v>
      </c>
      <c r="CT290" s="11"/>
      <c r="CU290" s="11"/>
      <c r="CV290" s="11"/>
    </row>
    <row r="291" customFormat="false" ht="15" hidden="false" customHeight="false" outlineLevel="0" collapsed="false">
      <c r="A291" s="11" t="n">
        <v>286</v>
      </c>
      <c r="B291" s="11" t="str">
        <f aca="false">IF(Chess!$L$295="","",Chess!$L$295&amp;"")</f>
        <v/>
      </c>
      <c r="C291" s="11" t="str">
        <f aca="false">LOWER(SUBSTITUTE(SUBSTITUTE(SUBSTITUTE(SUBSTITUTE(TRIM($B291),"-",""),"=","")," ",""),"x",""))</f>
        <v/>
      </c>
      <c r="D291" s="11" t="n">
        <f aca="false">IF(LEN($C291)&lt;4,0,IFERROR(IF(AND(CODE(MID($C291,1,1))&gt;=97,CODE(MID($C291,1,1))&lt;=104,VALUE(MID($C291,2,1))&gt;=1,VALUE(MID($C291,2,1))&lt;=8),(VALUE(MID($C291,2,1))-1)*8+CODE(MID($C291,1,1))-96,0),0))</f>
        <v>0</v>
      </c>
      <c r="E291" s="11" t="n">
        <f aca="false">IF(LEN($C291)&lt;4,0,IFERROR(IF(AND(CODE(MID($C291,3,1))&gt;=97,CODE(MID($C291,3,1))&lt;=104,VALUE(MID($C291,4,1))&gt;=1,VALUE(MID($C291,4,1))&lt;=8),(VALUE(MID($C291,4,1))-1)*8+CODE(MID($C291,3,1))-96,0),0))</f>
        <v>0</v>
      </c>
      <c r="F291" s="11" t="str">
        <f aca="false">IF(MOD(SUM($P$5:$P290),2)=0,"w","b")</f>
        <v>w</v>
      </c>
      <c r="G291" s="11" t="str">
        <f aca="false">IF($D291=0,"",INDEX($AH290:$CS290,1,$D291)&amp;"")</f>
        <v/>
      </c>
      <c r="H291" s="11" t="str">
        <f aca="false">IF($E291=0,"",INDEX($AH290:$CS290,1,$E291)&amp;"")</f>
        <v/>
      </c>
      <c r="I291" s="11" t="n">
        <f aca="false">IF(OR($D291=0,$E291=0),0,MOD($E291-1,8)-MOD($D291-1,8))</f>
        <v>0</v>
      </c>
      <c r="J291" s="11" t="n">
        <f aca="false">IF(OR($D291=0,$E291=0),0,INT(($E291-1)/8)-INT(($D291-1)/8))</f>
        <v>0</v>
      </c>
      <c r="K291" s="11" t="str">
        <f aca="false">IF($G291="","",RIGHT($G291,1))</f>
        <v/>
      </c>
      <c r="L291" s="11" t="n">
        <f aca="false">IF(OR($D291=0,$E291=0),0,SUMPRODUCT(($AH$3:$CS$3&gt;MIN($D291,$E291))*($AH$3:$CS$3&lt;MAX($D291,$E291))*(MOD($AH$3:$CS$3-MIN($D291,$E291),MAX(1,ABS(SIGN($J291)*8+SIGN($I291))))=0)*($AH290:$CS290&lt;&gt;"")))</f>
        <v>0</v>
      </c>
      <c r="M291" s="11" t="n">
        <f aca="false">IF($K291&lt;&gt;"K",0,IFERROR(--AND($J291=0,ABS($I291)=2,$D291=IF($F291="w",5,61),IF($F291="w",$S290,$V290)=0,IF($I291=2,AND(IF($F291="w",$U290,$X290)=0,INDEX($AH290:$CS290,1,$D291+1)&amp;""="",INDEX($AH290:$CS290,1,$D291+2)&amp;""=""),AND(IF($F291="w",$T290,$W290)=0,INDEX($AH290:$CS290,1,$D291-1)&amp;""="",INDEX($AH290:$CS290,1,$D291-2)&amp;""="",INDEX($AH290:$CS290,1,$D291-3)&amp;""=""))),0))</f>
        <v>0</v>
      </c>
      <c r="N291" s="11" t="n">
        <f aca="false">IF($K291&lt;&gt;"P",0,IFERROR(--OR(AND($I291=0,$J291=IF($F291="w",1,-1),$H291=""),AND($I291=0,$J291=2*IF($F291="w",1,-1),$H291="",INT(($D291-1)/8)=IF($F291="w",1,6),INDEX($AH290:$CS290,1,MAX(1,MIN(64,$D291+8*IF($F291="w",1,-1))))&amp;""=""),AND(ABS($I291)=1,$J291=IF($F291="w",1,-1),$H291&lt;&gt;""),AND(ABS($I291)=1,$J291=IF($F291="w",1,-1),$H291="",$R290&gt;0,$E291=$R290)),0))</f>
        <v>0</v>
      </c>
      <c r="O291" s="11" t="n">
        <f aca="false">IF(OR($D291=0,$E291=0,$G291=""),0,IF($K291="N",--OR(AND(ABS($I291)=1,ABS($J291)=2),AND(ABS($I291)=2,ABS($J291)=1)),IF($K291="B",--AND(ABS($I291)=ABS($J291),$I291&lt;&gt;0,$L291=0),IF($K291="R",--AND(OR($I291=0,$J291=0),OR($I291&lt;&gt;0,$J291&lt;&gt;0),$L291=0),IF($K291="Q",--AND(OR(AND(ABS($I291)=ABS($J291),$I291&lt;&gt;0),AND(OR($I291=0,$J291=0),OR($I291&lt;&gt;0,$J291&lt;&gt;0))),$L291=0),IF($K291="K",--OR(MAX(ABS($I291),ABS($J291))=1,$M291=1),$N291))))))</f>
        <v>0</v>
      </c>
      <c r="P291" s="11" t="n">
        <f aca="false">IF($Q291="OK",1,0)</f>
        <v>0</v>
      </c>
      <c r="Q291" s="11" t="str">
        <f aca="false">IF($B291="","",IF(OR(COUNTIF($AH290:$CS290,"wK")=0,COUNTIF($AH290:$CS290,"bK")=0),"Game is over",IF(OR($D291=0,$E291=0),"Use the format e2e4",IF($G291="","No piece on that square",IF(LEFT($G291,1)&lt;&gt;$F291,"Not your piece ("&amp;IF($F291="w","White","Black")&amp;" to move)",IF($D291=$E291,"Piece must move",IF(AND($H291&lt;&gt;"",LEFT($H291,1)=$F291),"Cannot capture your own piece",IF($O291=0,"Illegal move for that piece (or path blocked)","OK"))))))))</f>
        <v/>
      </c>
      <c r="R291" s="11" t="n">
        <f aca="false">IF($P291=1,IF(AND($K291="P",ABS($J291)=2),($D291+$E291)/2,0),$R290)</f>
        <v>0</v>
      </c>
      <c r="S291" s="12" t="b">
        <f aca="false">--OR($S290=1,AND($P291=1,OR($D291=5,$E291=5)))</f>
        <v>0</v>
      </c>
      <c r="T291" s="12" t="b">
        <f aca="false">--OR($T290=1,AND($P291=1,OR($D291=1,$E291=1)))</f>
        <v>0</v>
      </c>
      <c r="U291" s="12" t="b">
        <f aca="false">--OR($U290=1,AND($P291=1,OR($D291=8,$E291=8)))</f>
        <v>0</v>
      </c>
      <c r="V291" s="12" t="b">
        <f aca="false">--OR($V290=1,AND($P291=1,OR($D291=61,$E291=61)))</f>
        <v>0</v>
      </c>
      <c r="W291" s="12" t="b">
        <f aca="false">--OR($W290=1,AND($P291=1,OR($D291=57,$E291=57)))</f>
        <v>0</v>
      </c>
      <c r="X291" s="12" t="b">
        <f aca="false">--OR($X290=1,AND($P291=1,OR($D291=64,$E291=64)))</f>
        <v>0</v>
      </c>
      <c r="Y291" s="12" t="b">
        <f aca="false">--AND($P291=1,$K291="K",ABS($I291)=2)</f>
        <v>0</v>
      </c>
      <c r="Z291" s="12" t="b">
        <f aca="false">--AND($P291=1,$K291="P",ABS($I291)=1,$H291="")</f>
        <v>0</v>
      </c>
      <c r="AA291" s="12" t="b">
        <f aca="false">--AND($P291=1,$K291="P",INT(($E291-1)/8)=IF($F291="w",7,0))</f>
        <v>0</v>
      </c>
      <c r="AB291" s="11" t="str">
        <f aca="false">IF(LEN($C291)&gt;=5,IF(ISNUMBER(FIND(MID($C291,5,1),"qrbn")),UPPER(MID($C291,5,1)),"Q"),"Q")</f>
        <v>Q</v>
      </c>
      <c r="AC291" s="11" t="n">
        <f aca="false">IF($Y291=1,IF($I291=2,$D291+3,$D291-4),0)</f>
        <v>0</v>
      </c>
      <c r="AD291" s="11" t="n">
        <f aca="false">IF($Y291=1,IF($I291=2,$D291+1,$D291-1),0)</f>
        <v>0</v>
      </c>
      <c r="AE291" s="11" t="n">
        <f aca="false">IF($Z291=1,$E291-8*IF($F291="w",1,-1),0)</f>
        <v>0</v>
      </c>
      <c r="AF291" s="11" t="str">
        <f aca="false">IF($B291="","",IF($P291=1,LOWER(INDEX($CV$2:$CV$13,MATCH($G291,$CU$2:$CU$13,0)))&amp;" "&amp;MID("abcdefgh",MOD($D291-1,8)+1,1)&amp;(INT(($D291-1)/8)+1)&amp;"→"&amp;MID("abcdefgh",MOD($E291-1,8)+1,1)&amp;(INT(($E291-1)/8)+1)&amp;IF(OR($H291&lt;&gt;"",$Z291=1)," ×","")&amp;IF($Y291=1," castles","")&amp;IF($Z291=1," e.p.","")&amp;IF($AA291=1," =" &amp;LOWER(INDEX($CV$2:$CV$13,MATCH($F291&amp;$AB291,$CU$2:$CU$13,0))),""),"X "&amp;$Q291))</f>
        <v/>
      </c>
      <c r="AG291" s="11"/>
      <c r="AH291" s="11" t="str">
        <f aca="false">IF($P291=0,AH290,IF(AH$3=$E291,IF($AA291=1,$F291&amp;$AB291,$G291),IF(OR(AH$3=$D291,AH$3=$AC291,AH$3=$AE291),"",IF(AH$3=$AD291,$F291&amp;"R",AH290))))</f>
        <v>wR</v>
      </c>
      <c r="AI291" s="11" t="str">
        <f aca="false">IF($P291=0,AI290,IF(AI$3=$E291,IF($AA291=1,$F291&amp;$AB291,$G291),IF(OR(AI$3=$D291,AI$3=$AC291,AI$3=$AE291),"",IF(AI$3=$AD291,$F291&amp;"R",AI290))))</f>
        <v>wN</v>
      </c>
      <c r="AJ291" s="11" t="str">
        <f aca="false">IF($P291=0,AJ290,IF(AJ$3=$E291,IF($AA291=1,$F291&amp;$AB291,$G291),IF(OR(AJ$3=$D291,AJ$3=$AC291,AJ$3=$AE291),"",IF(AJ$3=$AD291,$F291&amp;"R",AJ290))))</f>
        <v>wB</v>
      </c>
      <c r="AK291" s="11" t="str">
        <f aca="false">IF($P291=0,AK290,IF(AK$3=$E291,IF($AA291=1,$F291&amp;$AB291,$G291),IF(OR(AK$3=$D291,AK$3=$AC291,AK$3=$AE291),"",IF(AK$3=$AD291,$F291&amp;"R",AK290))))</f>
        <v>wQ</v>
      </c>
      <c r="AL291" s="11" t="str">
        <f aca="false">IF($P291=0,AL290,IF(AL$3=$E291,IF($AA291=1,$F291&amp;$AB291,$G291),IF(OR(AL$3=$D291,AL$3=$AC291,AL$3=$AE291),"",IF(AL$3=$AD291,$F291&amp;"R",AL290))))</f>
        <v>wK</v>
      </c>
      <c r="AM291" s="11" t="str">
        <f aca="false">IF($P291=0,AM290,IF(AM$3=$E291,IF($AA291=1,$F291&amp;$AB291,$G291),IF(OR(AM$3=$D291,AM$3=$AC291,AM$3=$AE291),"",IF(AM$3=$AD291,$F291&amp;"R",AM290))))</f>
        <v>wB</v>
      </c>
      <c r="AN291" s="11" t="str">
        <f aca="false">IF($P291=0,AN290,IF(AN$3=$E291,IF($AA291=1,$F291&amp;$AB291,$G291),IF(OR(AN$3=$D291,AN$3=$AC291,AN$3=$AE291),"",IF(AN$3=$AD291,$F291&amp;"R",AN290))))</f>
        <v>wN</v>
      </c>
      <c r="AO291" s="11" t="str">
        <f aca="false">IF($P291=0,AO290,IF(AO$3=$E291,IF($AA291=1,$F291&amp;$AB291,$G291),IF(OR(AO$3=$D291,AO$3=$AC291,AO$3=$AE291),"",IF(AO$3=$AD291,$F291&amp;"R",AO290))))</f>
        <v>wR</v>
      </c>
      <c r="AP291" s="11" t="str">
        <f aca="false">IF($P291=0,AP290,IF(AP$3=$E291,IF($AA291=1,$F291&amp;$AB291,$G291),IF(OR(AP$3=$D291,AP$3=$AC291,AP$3=$AE291),"",IF(AP$3=$AD291,$F291&amp;"R",AP290))))</f>
        <v>wP</v>
      </c>
      <c r="AQ291" s="11" t="str">
        <f aca="false">IF($P291=0,AQ290,IF(AQ$3=$E291,IF($AA291=1,$F291&amp;$AB291,$G291),IF(OR(AQ$3=$D291,AQ$3=$AC291,AQ$3=$AE291),"",IF(AQ$3=$AD291,$F291&amp;"R",AQ290))))</f>
        <v>wP</v>
      </c>
      <c r="AR291" s="11" t="str">
        <f aca="false">IF($P291=0,AR290,IF(AR$3=$E291,IF($AA291=1,$F291&amp;$AB291,$G291),IF(OR(AR$3=$D291,AR$3=$AC291,AR$3=$AE291),"",IF(AR$3=$AD291,$F291&amp;"R",AR290))))</f>
        <v>wP</v>
      </c>
      <c r="AS291" s="11" t="str">
        <f aca="false">IF($P291=0,AS290,IF(AS$3=$E291,IF($AA291=1,$F291&amp;$AB291,$G291),IF(OR(AS$3=$D291,AS$3=$AC291,AS$3=$AE291),"",IF(AS$3=$AD291,$F291&amp;"R",AS290))))</f>
        <v>wP</v>
      </c>
      <c r="AT291" s="11" t="str">
        <f aca="false">IF($P291=0,AT290,IF(AT$3=$E291,IF($AA291=1,$F291&amp;$AB291,$G291),IF(OR(AT$3=$D291,AT$3=$AC291,AT$3=$AE291),"",IF(AT$3=$AD291,$F291&amp;"R",AT290))))</f>
        <v>wP</v>
      </c>
      <c r="AU291" s="11" t="str">
        <f aca="false">IF($P291=0,AU290,IF(AU$3=$E291,IF($AA291=1,$F291&amp;$AB291,$G291),IF(OR(AU$3=$D291,AU$3=$AC291,AU$3=$AE291),"",IF(AU$3=$AD291,$F291&amp;"R",AU290))))</f>
        <v>wP</v>
      </c>
      <c r="AV291" s="11" t="str">
        <f aca="false">IF($P291=0,AV290,IF(AV$3=$E291,IF($AA291=1,$F291&amp;$AB291,$G291),IF(OR(AV$3=$D291,AV$3=$AC291,AV$3=$AE291),"",IF(AV$3=$AD291,$F291&amp;"R",AV290))))</f>
        <v>wP</v>
      </c>
      <c r="AW291" s="11" t="str">
        <f aca="false">IF($P291=0,AW290,IF(AW$3=$E291,IF($AA291=1,$F291&amp;$AB291,$G291),IF(OR(AW$3=$D291,AW$3=$AC291,AW$3=$AE291),"",IF(AW$3=$AD291,$F291&amp;"R",AW290))))</f>
        <v>wP</v>
      </c>
      <c r="AX291" s="11" t="str">
        <f aca="false">IF($P291=0,AX290,IF(AX$3=$E291,IF($AA291=1,$F291&amp;$AB291,$G291),IF(OR(AX$3=$D291,AX$3=$AC291,AX$3=$AE291),"",IF(AX$3=$AD291,$F291&amp;"R",AX290))))</f>
        <v/>
      </c>
      <c r="AY291" s="11" t="str">
        <f aca="false">IF($P291=0,AY290,IF(AY$3=$E291,IF($AA291=1,$F291&amp;$AB291,$G291),IF(OR(AY$3=$D291,AY$3=$AC291,AY$3=$AE291),"",IF(AY$3=$AD291,$F291&amp;"R",AY290))))</f>
        <v/>
      </c>
      <c r="AZ291" s="11" t="str">
        <f aca="false">IF($P291=0,AZ290,IF(AZ$3=$E291,IF($AA291=1,$F291&amp;$AB291,$G291),IF(OR(AZ$3=$D291,AZ$3=$AC291,AZ$3=$AE291),"",IF(AZ$3=$AD291,$F291&amp;"R",AZ290))))</f>
        <v/>
      </c>
      <c r="BA291" s="11" t="str">
        <f aca="false">IF($P291=0,BA290,IF(BA$3=$E291,IF($AA291=1,$F291&amp;$AB291,$G291),IF(OR(BA$3=$D291,BA$3=$AC291,BA$3=$AE291),"",IF(BA$3=$AD291,$F291&amp;"R",BA290))))</f>
        <v/>
      </c>
      <c r="BB291" s="11" t="str">
        <f aca="false">IF($P291=0,BB290,IF(BB$3=$E291,IF($AA291=1,$F291&amp;$AB291,$G291),IF(OR(BB$3=$D291,BB$3=$AC291,BB$3=$AE291),"",IF(BB$3=$AD291,$F291&amp;"R",BB290))))</f>
        <v/>
      </c>
      <c r="BC291" s="11" t="str">
        <f aca="false">IF($P291=0,BC290,IF(BC$3=$E291,IF($AA291=1,$F291&amp;$AB291,$G291),IF(OR(BC$3=$D291,BC$3=$AC291,BC$3=$AE291),"",IF(BC$3=$AD291,$F291&amp;"R",BC290))))</f>
        <v/>
      </c>
      <c r="BD291" s="11" t="str">
        <f aca="false">IF($P291=0,BD290,IF(BD$3=$E291,IF($AA291=1,$F291&amp;$AB291,$G291),IF(OR(BD$3=$D291,BD$3=$AC291,BD$3=$AE291),"",IF(BD$3=$AD291,$F291&amp;"R",BD290))))</f>
        <v/>
      </c>
      <c r="BE291" s="11" t="str">
        <f aca="false">IF($P291=0,BE290,IF(BE$3=$E291,IF($AA291=1,$F291&amp;$AB291,$G291),IF(OR(BE$3=$D291,BE$3=$AC291,BE$3=$AE291),"",IF(BE$3=$AD291,$F291&amp;"R",BE290))))</f>
        <v/>
      </c>
      <c r="BF291" s="11" t="str">
        <f aca="false">IF($P291=0,BF290,IF(BF$3=$E291,IF($AA291=1,$F291&amp;$AB291,$G291),IF(OR(BF$3=$D291,BF$3=$AC291,BF$3=$AE291),"",IF(BF$3=$AD291,$F291&amp;"R",BF290))))</f>
        <v/>
      </c>
      <c r="BG291" s="11" t="str">
        <f aca="false">IF($P291=0,BG290,IF(BG$3=$E291,IF($AA291=1,$F291&amp;$AB291,$G291),IF(OR(BG$3=$D291,BG$3=$AC291,BG$3=$AE291),"",IF(BG$3=$AD291,$F291&amp;"R",BG290))))</f>
        <v/>
      </c>
      <c r="BH291" s="11" t="str">
        <f aca="false">IF($P291=0,BH290,IF(BH$3=$E291,IF($AA291=1,$F291&amp;$AB291,$G291),IF(OR(BH$3=$D291,BH$3=$AC291,BH$3=$AE291),"",IF(BH$3=$AD291,$F291&amp;"R",BH290))))</f>
        <v/>
      </c>
      <c r="BI291" s="11" t="str">
        <f aca="false">IF($P291=0,BI290,IF(BI$3=$E291,IF($AA291=1,$F291&amp;$AB291,$G291),IF(OR(BI$3=$D291,BI$3=$AC291,BI$3=$AE291),"",IF(BI$3=$AD291,$F291&amp;"R",BI290))))</f>
        <v/>
      </c>
      <c r="BJ291" s="11" t="str">
        <f aca="false">IF($P291=0,BJ290,IF(BJ$3=$E291,IF($AA291=1,$F291&amp;$AB291,$G291),IF(OR(BJ$3=$D291,BJ$3=$AC291,BJ$3=$AE291),"",IF(BJ$3=$AD291,$F291&amp;"R",BJ290))))</f>
        <v/>
      </c>
      <c r="BK291" s="11" t="str">
        <f aca="false">IF($P291=0,BK290,IF(BK$3=$E291,IF($AA291=1,$F291&amp;$AB291,$G291),IF(OR(BK$3=$D291,BK$3=$AC291,BK$3=$AE291),"",IF(BK$3=$AD291,$F291&amp;"R",BK290))))</f>
        <v/>
      </c>
      <c r="BL291" s="11" t="str">
        <f aca="false">IF($P291=0,BL290,IF(BL$3=$E291,IF($AA291=1,$F291&amp;$AB291,$G291),IF(OR(BL$3=$D291,BL$3=$AC291,BL$3=$AE291),"",IF(BL$3=$AD291,$F291&amp;"R",BL290))))</f>
        <v/>
      </c>
      <c r="BM291" s="11" t="str">
        <f aca="false">IF($P291=0,BM290,IF(BM$3=$E291,IF($AA291=1,$F291&amp;$AB291,$G291),IF(OR(BM$3=$D291,BM$3=$AC291,BM$3=$AE291),"",IF(BM$3=$AD291,$F291&amp;"R",BM290))))</f>
        <v/>
      </c>
      <c r="BN291" s="11" t="str">
        <f aca="false">IF($P291=0,BN290,IF(BN$3=$E291,IF($AA291=1,$F291&amp;$AB291,$G291),IF(OR(BN$3=$D291,BN$3=$AC291,BN$3=$AE291),"",IF(BN$3=$AD291,$F291&amp;"R",BN290))))</f>
        <v/>
      </c>
      <c r="BO291" s="11" t="str">
        <f aca="false">IF($P291=0,BO290,IF(BO$3=$E291,IF($AA291=1,$F291&amp;$AB291,$G291),IF(OR(BO$3=$D291,BO$3=$AC291,BO$3=$AE291),"",IF(BO$3=$AD291,$F291&amp;"R",BO290))))</f>
        <v/>
      </c>
      <c r="BP291" s="11" t="str">
        <f aca="false">IF($P291=0,BP290,IF(BP$3=$E291,IF($AA291=1,$F291&amp;$AB291,$G291),IF(OR(BP$3=$D291,BP$3=$AC291,BP$3=$AE291),"",IF(BP$3=$AD291,$F291&amp;"R",BP290))))</f>
        <v/>
      </c>
      <c r="BQ291" s="11" t="str">
        <f aca="false">IF($P291=0,BQ290,IF(BQ$3=$E291,IF($AA291=1,$F291&amp;$AB291,$G291),IF(OR(BQ$3=$D291,BQ$3=$AC291,BQ$3=$AE291),"",IF(BQ$3=$AD291,$F291&amp;"R",BQ290))))</f>
        <v/>
      </c>
      <c r="BR291" s="11" t="str">
        <f aca="false">IF($P291=0,BR290,IF(BR$3=$E291,IF($AA291=1,$F291&amp;$AB291,$G291),IF(OR(BR$3=$D291,BR$3=$AC291,BR$3=$AE291),"",IF(BR$3=$AD291,$F291&amp;"R",BR290))))</f>
        <v/>
      </c>
      <c r="BS291" s="11" t="str">
        <f aca="false">IF($P291=0,BS290,IF(BS$3=$E291,IF($AA291=1,$F291&amp;$AB291,$G291),IF(OR(BS$3=$D291,BS$3=$AC291,BS$3=$AE291),"",IF(BS$3=$AD291,$F291&amp;"R",BS290))))</f>
        <v/>
      </c>
      <c r="BT291" s="11" t="str">
        <f aca="false">IF($P291=0,BT290,IF(BT$3=$E291,IF($AA291=1,$F291&amp;$AB291,$G291),IF(OR(BT$3=$D291,BT$3=$AC291,BT$3=$AE291),"",IF(BT$3=$AD291,$F291&amp;"R",BT290))))</f>
        <v/>
      </c>
      <c r="BU291" s="11" t="str">
        <f aca="false">IF($P291=0,BU290,IF(BU$3=$E291,IF($AA291=1,$F291&amp;$AB291,$G291),IF(OR(BU$3=$D291,BU$3=$AC291,BU$3=$AE291),"",IF(BU$3=$AD291,$F291&amp;"R",BU290))))</f>
        <v/>
      </c>
      <c r="BV291" s="11" t="str">
        <f aca="false">IF($P291=0,BV290,IF(BV$3=$E291,IF($AA291=1,$F291&amp;$AB291,$G291),IF(OR(BV$3=$D291,BV$3=$AC291,BV$3=$AE291),"",IF(BV$3=$AD291,$F291&amp;"R",BV290))))</f>
        <v/>
      </c>
      <c r="BW291" s="11" t="str">
        <f aca="false">IF($P291=0,BW290,IF(BW$3=$E291,IF($AA291=1,$F291&amp;$AB291,$G291),IF(OR(BW$3=$D291,BW$3=$AC291,BW$3=$AE291),"",IF(BW$3=$AD291,$F291&amp;"R",BW290))))</f>
        <v/>
      </c>
      <c r="BX291" s="11" t="str">
        <f aca="false">IF($P291=0,BX290,IF(BX$3=$E291,IF($AA291=1,$F291&amp;$AB291,$G291),IF(OR(BX$3=$D291,BX$3=$AC291,BX$3=$AE291),"",IF(BX$3=$AD291,$F291&amp;"R",BX290))))</f>
        <v/>
      </c>
      <c r="BY291" s="11" t="str">
        <f aca="false">IF($P291=0,BY290,IF(BY$3=$E291,IF($AA291=1,$F291&amp;$AB291,$G291),IF(OR(BY$3=$D291,BY$3=$AC291,BY$3=$AE291),"",IF(BY$3=$AD291,$F291&amp;"R",BY290))))</f>
        <v/>
      </c>
      <c r="BZ291" s="11" t="str">
        <f aca="false">IF($P291=0,BZ290,IF(BZ$3=$E291,IF($AA291=1,$F291&amp;$AB291,$G291),IF(OR(BZ$3=$D291,BZ$3=$AC291,BZ$3=$AE291),"",IF(BZ$3=$AD291,$F291&amp;"R",BZ290))))</f>
        <v/>
      </c>
      <c r="CA291" s="11" t="str">
        <f aca="false">IF($P291=0,CA290,IF(CA$3=$E291,IF($AA291=1,$F291&amp;$AB291,$G291),IF(OR(CA$3=$D291,CA$3=$AC291,CA$3=$AE291),"",IF(CA$3=$AD291,$F291&amp;"R",CA290))))</f>
        <v/>
      </c>
      <c r="CB291" s="11" t="str">
        <f aca="false">IF($P291=0,CB290,IF(CB$3=$E291,IF($AA291=1,$F291&amp;$AB291,$G291),IF(OR(CB$3=$D291,CB$3=$AC291,CB$3=$AE291),"",IF(CB$3=$AD291,$F291&amp;"R",CB290))))</f>
        <v/>
      </c>
      <c r="CC291" s="11" t="str">
        <f aca="false">IF($P291=0,CC290,IF(CC$3=$E291,IF($AA291=1,$F291&amp;$AB291,$G291),IF(OR(CC$3=$D291,CC$3=$AC291,CC$3=$AE291),"",IF(CC$3=$AD291,$F291&amp;"R",CC290))))</f>
        <v/>
      </c>
      <c r="CD291" s="11" t="str">
        <f aca="false">IF($P291=0,CD290,IF(CD$3=$E291,IF($AA291=1,$F291&amp;$AB291,$G291),IF(OR(CD$3=$D291,CD$3=$AC291,CD$3=$AE291),"",IF(CD$3=$AD291,$F291&amp;"R",CD290))))</f>
        <v>bP</v>
      </c>
      <c r="CE291" s="11" t="str">
        <f aca="false">IF($P291=0,CE290,IF(CE$3=$E291,IF($AA291=1,$F291&amp;$AB291,$G291),IF(OR(CE$3=$D291,CE$3=$AC291,CE$3=$AE291),"",IF(CE$3=$AD291,$F291&amp;"R",CE290))))</f>
        <v>bP</v>
      </c>
      <c r="CF291" s="11" t="str">
        <f aca="false">IF($P291=0,CF290,IF(CF$3=$E291,IF($AA291=1,$F291&amp;$AB291,$G291),IF(OR(CF$3=$D291,CF$3=$AC291,CF$3=$AE291),"",IF(CF$3=$AD291,$F291&amp;"R",CF290))))</f>
        <v>bP</v>
      </c>
      <c r="CG291" s="11" t="str">
        <f aca="false">IF($P291=0,CG290,IF(CG$3=$E291,IF($AA291=1,$F291&amp;$AB291,$G291),IF(OR(CG$3=$D291,CG$3=$AC291,CG$3=$AE291),"",IF(CG$3=$AD291,$F291&amp;"R",CG290))))</f>
        <v>bP</v>
      </c>
      <c r="CH291" s="11" t="str">
        <f aca="false">IF($P291=0,CH290,IF(CH$3=$E291,IF($AA291=1,$F291&amp;$AB291,$G291),IF(OR(CH$3=$D291,CH$3=$AC291,CH$3=$AE291),"",IF(CH$3=$AD291,$F291&amp;"R",CH290))))</f>
        <v>bP</v>
      </c>
      <c r="CI291" s="11" t="str">
        <f aca="false">IF($P291=0,CI290,IF(CI$3=$E291,IF($AA291=1,$F291&amp;$AB291,$G291),IF(OR(CI$3=$D291,CI$3=$AC291,CI$3=$AE291),"",IF(CI$3=$AD291,$F291&amp;"R",CI290))))</f>
        <v>bP</v>
      </c>
      <c r="CJ291" s="11" t="str">
        <f aca="false">IF($P291=0,CJ290,IF(CJ$3=$E291,IF($AA291=1,$F291&amp;$AB291,$G291),IF(OR(CJ$3=$D291,CJ$3=$AC291,CJ$3=$AE291),"",IF(CJ$3=$AD291,$F291&amp;"R",CJ290))))</f>
        <v>bP</v>
      </c>
      <c r="CK291" s="11" t="str">
        <f aca="false">IF($P291=0,CK290,IF(CK$3=$E291,IF($AA291=1,$F291&amp;$AB291,$G291),IF(OR(CK$3=$D291,CK$3=$AC291,CK$3=$AE291),"",IF(CK$3=$AD291,$F291&amp;"R",CK290))))</f>
        <v>bP</v>
      </c>
      <c r="CL291" s="11" t="str">
        <f aca="false">IF($P291=0,CL290,IF(CL$3=$E291,IF($AA291=1,$F291&amp;$AB291,$G291),IF(OR(CL$3=$D291,CL$3=$AC291,CL$3=$AE291),"",IF(CL$3=$AD291,$F291&amp;"R",CL290))))</f>
        <v>bR</v>
      </c>
      <c r="CM291" s="11" t="str">
        <f aca="false">IF($P291=0,CM290,IF(CM$3=$E291,IF($AA291=1,$F291&amp;$AB291,$G291),IF(OR(CM$3=$D291,CM$3=$AC291,CM$3=$AE291),"",IF(CM$3=$AD291,$F291&amp;"R",CM290))))</f>
        <v>bN</v>
      </c>
      <c r="CN291" s="11" t="str">
        <f aca="false">IF($P291=0,CN290,IF(CN$3=$E291,IF($AA291=1,$F291&amp;$AB291,$G291),IF(OR(CN$3=$D291,CN$3=$AC291,CN$3=$AE291),"",IF(CN$3=$AD291,$F291&amp;"R",CN290))))</f>
        <v>bB</v>
      </c>
      <c r="CO291" s="11" t="str">
        <f aca="false">IF($P291=0,CO290,IF(CO$3=$E291,IF($AA291=1,$F291&amp;$AB291,$G291),IF(OR(CO$3=$D291,CO$3=$AC291,CO$3=$AE291),"",IF(CO$3=$AD291,$F291&amp;"R",CO290))))</f>
        <v>bQ</v>
      </c>
      <c r="CP291" s="11" t="str">
        <f aca="false">IF($P291=0,CP290,IF(CP$3=$E291,IF($AA291=1,$F291&amp;$AB291,$G291),IF(OR(CP$3=$D291,CP$3=$AC291,CP$3=$AE291),"",IF(CP$3=$AD291,$F291&amp;"R",CP290))))</f>
        <v>bK</v>
      </c>
      <c r="CQ291" s="11" t="str">
        <f aca="false">IF($P291=0,CQ290,IF(CQ$3=$E291,IF($AA291=1,$F291&amp;$AB291,$G291),IF(OR(CQ$3=$D291,CQ$3=$AC291,CQ$3=$AE291),"",IF(CQ$3=$AD291,$F291&amp;"R",CQ290))))</f>
        <v>bB</v>
      </c>
      <c r="CR291" s="11" t="str">
        <f aca="false">IF($P291=0,CR290,IF(CR$3=$E291,IF($AA291=1,$F291&amp;$AB291,$G291),IF(OR(CR$3=$D291,CR$3=$AC291,CR$3=$AE291),"",IF(CR$3=$AD291,$F291&amp;"R",CR290))))</f>
        <v>bN</v>
      </c>
      <c r="CS291" s="11" t="str">
        <f aca="false">IF($P291=0,CS290,IF(CS$3=$E291,IF($AA291=1,$F291&amp;$AB291,$G291),IF(OR(CS$3=$D291,CS$3=$AC291,CS$3=$AE291),"",IF(CS$3=$AD291,$F291&amp;"R",CS290))))</f>
        <v>bR</v>
      </c>
      <c r="CT291" s="11"/>
      <c r="CU291" s="11"/>
      <c r="CV291" s="11"/>
    </row>
    <row r="292" customFormat="false" ht="15" hidden="false" customHeight="false" outlineLevel="0" collapsed="false">
      <c r="A292" s="11" t="n">
        <v>287</v>
      </c>
      <c r="B292" s="11" t="str">
        <f aca="false">IF(Chess!$L$296="","",Chess!$L$296&amp;"")</f>
        <v/>
      </c>
      <c r="C292" s="11" t="str">
        <f aca="false">LOWER(SUBSTITUTE(SUBSTITUTE(SUBSTITUTE(SUBSTITUTE(TRIM($B292),"-",""),"=","")," ",""),"x",""))</f>
        <v/>
      </c>
      <c r="D292" s="11" t="n">
        <f aca="false">IF(LEN($C292)&lt;4,0,IFERROR(IF(AND(CODE(MID($C292,1,1))&gt;=97,CODE(MID($C292,1,1))&lt;=104,VALUE(MID($C292,2,1))&gt;=1,VALUE(MID($C292,2,1))&lt;=8),(VALUE(MID($C292,2,1))-1)*8+CODE(MID($C292,1,1))-96,0),0))</f>
        <v>0</v>
      </c>
      <c r="E292" s="11" t="n">
        <f aca="false">IF(LEN($C292)&lt;4,0,IFERROR(IF(AND(CODE(MID($C292,3,1))&gt;=97,CODE(MID($C292,3,1))&lt;=104,VALUE(MID($C292,4,1))&gt;=1,VALUE(MID($C292,4,1))&lt;=8),(VALUE(MID($C292,4,1))-1)*8+CODE(MID($C292,3,1))-96,0),0))</f>
        <v>0</v>
      </c>
      <c r="F292" s="11" t="str">
        <f aca="false">IF(MOD(SUM($P$5:$P291),2)=0,"w","b")</f>
        <v>w</v>
      </c>
      <c r="G292" s="11" t="str">
        <f aca="false">IF($D292=0,"",INDEX($AH291:$CS291,1,$D292)&amp;"")</f>
        <v/>
      </c>
      <c r="H292" s="11" t="str">
        <f aca="false">IF($E292=0,"",INDEX($AH291:$CS291,1,$E292)&amp;"")</f>
        <v/>
      </c>
      <c r="I292" s="11" t="n">
        <f aca="false">IF(OR($D292=0,$E292=0),0,MOD($E292-1,8)-MOD($D292-1,8))</f>
        <v>0</v>
      </c>
      <c r="J292" s="11" t="n">
        <f aca="false">IF(OR($D292=0,$E292=0),0,INT(($E292-1)/8)-INT(($D292-1)/8))</f>
        <v>0</v>
      </c>
      <c r="K292" s="11" t="str">
        <f aca="false">IF($G292="","",RIGHT($G292,1))</f>
        <v/>
      </c>
      <c r="L292" s="11" t="n">
        <f aca="false">IF(OR($D292=0,$E292=0),0,SUMPRODUCT(($AH$3:$CS$3&gt;MIN($D292,$E292))*($AH$3:$CS$3&lt;MAX($D292,$E292))*(MOD($AH$3:$CS$3-MIN($D292,$E292),MAX(1,ABS(SIGN($J292)*8+SIGN($I292))))=0)*($AH291:$CS291&lt;&gt;"")))</f>
        <v>0</v>
      </c>
      <c r="M292" s="11" t="n">
        <f aca="false">IF($K292&lt;&gt;"K",0,IFERROR(--AND($J292=0,ABS($I292)=2,$D292=IF($F292="w",5,61),IF($F292="w",$S291,$V291)=0,IF($I292=2,AND(IF($F292="w",$U291,$X291)=0,INDEX($AH291:$CS291,1,$D292+1)&amp;""="",INDEX($AH291:$CS291,1,$D292+2)&amp;""=""),AND(IF($F292="w",$T291,$W291)=0,INDEX($AH291:$CS291,1,$D292-1)&amp;""="",INDEX($AH291:$CS291,1,$D292-2)&amp;""="",INDEX($AH291:$CS291,1,$D292-3)&amp;""=""))),0))</f>
        <v>0</v>
      </c>
      <c r="N292" s="11" t="n">
        <f aca="false">IF($K292&lt;&gt;"P",0,IFERROR(--OR(AND($I292=0,$J292=IF($F292="w",1,-1),$H292=""),AND($I292=0,$J292=2*IF($F292="w",1,-1),$H292="",INT(($D292-1)/8)=IF($F292="w",1,6),INDEX($AH291:$CS291,1,MAX(1,MIN(64,$D292+8*IF($F292="w",1,-1))))&amp;""=""),AND(ABS($I292)=1,$J292=IF($F292="w",1,-1),$H292&lt;&gt;""),AND(ABS($I292)=1,$J292=IF($F292="w",1,-1),$H292="",$R291&gt;0,$E292=$R291)),0))</f>
        <v>0</v>
      </c>
      <c r="O292" s="11" t="n">
        <f aca="false">IF(OR($D292=0,$E292=0,$G292=""),0,IF($K292="N",--OR(AND(ABS($I292)=1,ABS($J292)=2),AND(ABS($I292)=2,ABS($J292)=1)),IF($K292="B",--AND(ABS($I292)=ABS($J292),$I292&lt;&gt;0,$L292=0),IF($K292="R",--AND(OR($I292=0,$J292=0),OR($I292&lt;&gt;0,$J292&lt;&gt;0),$L292=0),IF($K292="Q",--AND(OR(AND(ABS($I292)=ABS($J292),$I292&lt;&gt;0),AND(OR($I292=0,$J292=0),OR($I292&lt;&gt;0,$J292&lt;&gt;0))),$L292=0),IF($K292="K",--OR(MAX(ABS($I292),ABS($J292))=1,$M292=1),$N292))))))</f>
        <v>0</v>
      </c>
      <c r="P292" s="11" t="n">
        <f aca="false">IF($Q292="OK",1,0)</f>
        <v>0</v>
      </c>
      <c r="Q292" s="11" t="str">
        <f aca="false">IF($B292="","",IF(OR(COUNTIF($AH291:$CS291,"wK")=0,COUNTIF($AH291:$CS291,"bK")=0),"Game is over",IF(OR($D292=0,$E292=0),"Use the format e2e4",IF($G292="","No piece on that square",IF(LEFT($G292,1)&lt;&gt;$F292,"Not your piece ("&amp;IF($F292="w","White","Black")&amp;" to move)",IF($D292=$E292,"Piece must move",IF(AND($H292&lt;&gt;"",LEFT($H292,1)=$F292),"Cannot capture your own piece",IF($O292=0,"Illegal move for that piece (or path blocked)","OK"))))))))</f>
        <v/>
      </c>
      <c r="R292" s="11" t="n">
        <f aca="false">IF($P292=1,IF(AND($K292="P",ABS($J292)=2),($D292+$E292)/2,0),$R291)</f>
        <v>0</v>
      </c>
      <c r="S292" s="12" t="b">
        <f aca="false">--OR($S291=1,AND($P292=1,OR($D292=5,$E292=5)))</f>
        <v>0</v>
      </c>
      <c r="T292" s="12" t="b">
        <f aca="false">--OR($T291=1,AND($P292=1,OR($D292=1,$E292=1)))</f>
        <v>0</v>
      </c>
      <c r="U292" s="12" t="b">
        <f aca="false">--OR($U291=1,AND($P292=1,OR($D292=8,$E292=8)))</f>
        <v>0</v>
      </c>
      <c r="V292" s="12" t="b">
        <f aca="false">--OR($V291=1,AND($P292=1,OR($D292=61,$E292=61)))</f>
        <v>0</v>
      </c>
      <c r="W292" s="12" t="b">
        <f aca="false">--OR($W291=1,AND($P292=1,OR($D292=57,$E292=57)))</f>
        <v>0</v>
      </c>
      <c r="X292" s="12" t="b">
        <f aca="false">--OR($X291=1,AND($P292=1,OR($D292=64,$E292=64)))</f>
        <v>0</v>
      </c>
      <c r="Y292" s="12" t="b">
        <f aca="false">--AND($P292=1,$K292="K",ABS($I292)=2)</f>
        <v>0</v>
      </c>
      <c r="Z292" s="12" t="b">
        <f aca="false">--AND($P292=1,$K292="P",ABS($I292)=1,$H292="")</f>
        <v>0</v>
      </c>
      <c r="AA292" s="12" t="b">
        <f aca="false">--AND($P292=1,$K292="P",INT(($E292-1)/8)=IF($F292="w",7,0))</f>
        <v>0</v>
      </c>
      <c r="AB292" s="11" t="str">
        <f aca="false">IF(LEN($C292)&gt;=5,IF(ISNUMBER(FIND(MID($C292,5,1),"qrbn")),UPPER(MID($C292,5,1)),"Q"),"Q")</f>
        <v>Q</v>
      </c>
      <c r="AC292" s="11" t="n">
        <f aca="false">IF($Y292=1,IF($I292=2,$D292+3,$D292-4),0)</f>
        <v>0</v>
      </c>
      <c r="AD292" s="11" t="n">
        <f aca="false">IF($Y292=1,IF($I292=2,$D292+1,$D292-1),0)</f>
        <v>0</v>
      </c>
      <c r="AE292" s="11" t="n">
        <f aca="false">IF($Z292=1,$E292-8*IF($F292="w",1,-1),0)</f>
        <v>0</v>
      </c>
      <c r="AF292" s="11" t="str">
        <f aca="false">IF($B292="","",IF($P292=1,LOWER(INDEX($CV$2:$CV$13,MATCH($G292,$CU$2:$CU$13,0)))&amp;" "&amp;MID("abcdefgh",MOD($D292-1,8)+1,1)&amp;(INT(($D292-1)/8)+1)&amp;"→"&amp;MID("abcdefgh",MOD($E292-1,8)+1,1)&amp;(INT(($E292-1)/8)+1)&amp;IF(OR($H292&lt;&gt;"",$Z292=1)," ×","")&amp;IF($Y292=1," castles","")&amp;IF($Z292=1," e.p.","")&amp;IF($AA292=1," =" &amp;LOWER(INDEX($CV$2:$CV$13,MATCH($F292&amp;$AB292,$CU$2:$CU$13,0))),""),"X "&amp;$Q292))</f>
        <v/>
      </c>
      <c r="AG292" s="11"/>
      <c r="AH292" s="11" t="str">
        <f aca="false">IF($P292=0,AH291,IF(AH$3=$E292,IF($AA292=1,$F292&amp;$AB292,$G292),IF(OR(AH$3=$D292,AH$3=$AC292,AH$3=$AE292),"",IF(AH$3=$AD292,$F292&amp;"R",AH291))))</f>
        <v>wR</v>
      </c>
      <c r="AI292" s="11" t="str">
        <f aca="false">IF($P292=0,AI291,IF(AI$3=$E292,IF($AA292=1,$F292&amp;$AB292,$G292),IF(OR(AI$3=$D292,AI$3=$AC292,AI$3=$AE292),"",IF(AI$3=$AD292,$F292&amp;"R",AI291))))</f>
        <v>wN</v>
      </c>
      <c r="AJ292" s="11" t="str">
        <f aca="false">IF($P292=0,AJ291,IF(AJ$3=$E292,IF($AA292=1,$F292&amp;$AB292,$G292),IF(OR(AJ$3=$D292,AJ$3=$AC292,AJ$3=$AE292),"",IF(AJ$3=$AD292,$F292&amp;"R",AJ291))))</f>
        <v>wB</v>
      </c>
      <c r="AK292" s="11" t="str">
        <f aca="false">IF($P292=0,AK291,IF(AK$3=$E292,IF($AA292=1,$F292&amp;$AB292,$G292),IF(OR(AK$3=$D292,AK$3=$AC292,AK$3=$AE292),"",IF(AK$3=$AD292,$F292&amp;"R",AK291))))</f>
        <v>wQ</v>
      </c>
      <c r="AL292" s="11" t="str">
        <f aca="false">IF($P292=0,AL291,IF(AL$3=$E292,IF($AA292=1,$F292&amp;$AB292,$G292),IF(OR(AL$3=$D292,AL$3=$AC292,AL$3=$AE292),"",IF(AL$3=$AD292,$F292&amp;"R",AL291))))</f>
        <v>wK</v>
      </c>
      <c r="AM292" s="11" t="str">
        <f aca="false">IF($P292=0,AM291,IF(AM$3=$E292,IF($AA292=1,$F292&amp;$AB292,$G292),IF(OR(AM$3=$D292,AM$3=$AC292,AM$3=$AE292),"",IF(AM$3=$AD292,$F292&amp;"R",AM291))))</f>
        <v>wB</v>
      </c>
      <c r="AN292" s="11" t="str">
        <f aca="false">IF($P292=0,AN291,IF(AN$3=$E292,IF($AA292=1,$F292&amp;$AB292,$G292),IF(OR(AN$3=$D292,AN$3=$AC292,AN$3=$AE292),"",IF(AN$3=$AD292,$F292&amp;"R",AN291))))</f>
        <v>wN</v>
      </c>
      <c r="AO292" s="11" t="str">
        <f aca="false">IF($P292=0,AO291,IF(AO$3=$E292,IF($AA292=1,$F292&amp;$AB292,$G292),IF(OR(AO$3=$D292,AO$3=$AC292,AO$3=$AE292),"",IF(AO$3=$AD292,$F292&amp;"R",AO291))))</f>
        <v>wR</v>
      </c>
      <c r="AP292" s="11" t="str">
        <f aca="false">IF($P292=0,AP291,IF(AP$3=$E292,IF($AA292=1,$F292&amp;$AB292,$G292),IF(OR(AP$3=$D292,AP$3=$AC292,AP$3=$AE292),"",IF(AP$3=$AD292,$F292&amp;"R",AP291))))</f>
        <v>wP</v>
      </c>
      <c r="AQ292" s="11" t="str">
        <f aca="false">IF($P292=0,AQ291,IF(AQ$3=$E292,IF($AA292=1,$F292&amp;$AB292,$G292),IF(OR(AQ$3=$D292,AQ$3=$AC292,AQ$3=$AE292),"",IF(AQ$3=$AD292,$F292&amp;"R",AQ291))))</f>
        <v>wP</v>
      </c>
      <c r="AR292" s="11" t="str">
        <f aca="false">IF($P292=0,AR291,IF(AR$3=$E292,IF($AA292=1,$F292&amp;$AB292,$G292),IF(OR(AR$3=$D292,AR$3=$AC292,AR$3=$AE292),"",IF(AR$3=$AD292,$F292&amp;"R",AR291))))</f>
        <v>wP</v>
      </c>
      <c r="AS292" s="11" t="str">
        <f aca="false">IF($P292=0,AS291,IF(AS$3=$E292,IF($AA292=1,$F292&amp;$AB292,$G292),IF(OR(AS$3=$D292,AS$3=$AC292,AS$3=$AE292),"",IF(AS$3=$AD292,$F292&amp;"R",AS291))))</f>
        <v>wP</v>
      </c>
      <c r="AT292" s="11" t="str">
        <f aca="false">IF($P292=0,AT291,IF(AT$3=$E292,IF($AA292=1,$F292&amp;$AB292,$G292),IF(OR(AT$3=$D292,AT$3=$AC292,AT$3=$AE292),"",IF(AT$3=$AD292,$F292&amp;"R",AT291))))</f>
        <v>wP</v>
      </c>
      <c r="AU292" s="11" t="str">
        <f aca="false">IF($P292=0,AU291,IF(AU$3=$E292,IF($AA292=1,$F292&amp;$AB292,$G292),IF(OR(AU$3=$D292,AU$3=$AC292,AU$3=$AE292),"",IF(AU$3=$AD292,$F292&amp;"R",AU291))))</f>
        <v>wP</v>
      </c>
      <c r="AV292" s="11" t="str">
        <f aca="false">IF($P292=0,AV291,IF(AV$3=$E292,IF($AA292=1,$F292&amp;$AB292,$G292),IF(OR(AV$3=$D292,AV$3=$AC292,AV$3=$AE292),"",IF(AV$3=$AD292,$F292&amp;"R",AV291))))</f>
        <v>wP</v>
      </c>
      <c r="AW292" s="11" t="str">
        <f aca="false">IF($P292=0,AW291,IF(AW$3=$E292,IF($AA292=1,$F292&amp;$AB292,$G292),IF(OR(AW$3=$D292,AW$3=$AC292,AW$3=$AE292),"",IF(AW$3=$AD292,$F292&amp;"R",AW291))))</f>
        <v>wP</v>
      </c>
      <c r="AX292" s="11" t="str">
        <f aca="false">IF($P292=0,AX291,IF(AX$3=$E292,IF($AA292=1,$F292&amp;$AB292,$G292),IF(OR(AX$3=$D292,AX$3=$AC292,AX$3=$AE292),"",IF(AX$3=$AD292,$F292&amp;"R",AX291))))</f>
        <v/>
      </c>
      <c r="AY292" s="11" t="str">
        <f aca="false">IF($P292=0,AY291,IF(AY$3=$E292,IF($AA292=1,$F292&amp;$AB292,$G292),IF(OR(AY$3=$D292,AY$3=$AC292,AY$3=$AE292),"",IF(AY$3=$AD292,$F292&amp;"R",AY291))))</f>
        <v/>
      </c>
      <c r="AZ292" s="11" t="str">
        <f aca="false">IF($P292=0,AZ291,IF(AZ$3=$E292,IF($AA292=1,$F292&amp;$AB292,$G292),IF(OR(AZ$3=$D292,AZ$3=$AC292,AZ$3=$AE292),"",IF(AZ$3=$AD292,$F292&amp;"R",AZ291))))</f>
        <v/>
      </c>
      <c r="BA292" s="11" t="str">
        <f aca="false">IF($P292=0,BA291,IF(BA$3=$E292,IF($AA292=1,$F292&amp;$AB292,$G292),IF(OR(BA$3=$D292,BA$3=$AC292,BA$3=$AE292),"",IF(BA$3=$AD292,$F292&amp;"R",BA291))))</f>
        <v/>
      </c>
      <c r="BB292" s="11" t="str">
        <f aca="false">IF($P292=0,BB291,IF(BB$3=$E292,IF($AA292=1,$F292&amp;$AB292,$G292),IF(OR(BB$3=$D292,BB$3=$AC292,BB$3=$AE292),"",IF(BB$3=$AD292,$F292&amp;"R",BB291))))</f>
        <v/>
      </c>
      <c r="BC292" s="11" t="str">
        <f aca="false">IF($P292=0,BC291,IF(BC$3=$E292,IF($AA292=1,$F292&amp;$AB292,$G292),IF(OR(BC$3=$D292,BC$3=$AC292,BC$3=$AE292),"",IF(BC$3=$AD292,$F292&amp;"R",BC291))))</f>
        <v/>
      </c>
      <c r="BD292" s="11" t="str">
        <f aca="false">IF($P292=0,BD291,IF(BD$3=$E292,IF($AA292=1,$F292&amp;$AB292,$G292),IF(OR(BD$3=$D292,BD$3=$AC292,BD$3=$AE292),"",IF(BD$3=$AD292,$F292&amp;"R",BD291))))</f>
        <v/>
      </c>
      <c r="BE292" s="11" t="str">
        <f aca="false">IF($P292=0,BE291,IF(BE$3=$E292,IF($AA292=1,$F292&amp;$AB292,$G292),IF(OR(BE$3=$D292,BE$3=$AC292,BE$3=$AE292),"",IF(BE$3=$AD292,$F292&amp;"R",BE291))))</f>
        <v/>
      </c>
      <c r="BF292" s="11" t="str">
        <f aca="false">IF($P292=0,BF291,IF(BF$3=$E292,IF($AA292=1,$F292&amp;$AB292,$G292),IF(OR(BF$3=$D292,BF$3=$AC292,BF$3=$AE292),"",IF(BF$3=$AD292,$F292&amp;"R",BF291))))</f>
        <v/>
      </c>
      <c r="BG292" s="11" t="str">
        <f aca="false">IF($P292=0,BG291,IF(BG$3=$E292,IF($AA292=1,$F292&amp;$AB292,$G292),IF(OR(BG$3=$D292,BG$3=$AC292,BG$3=$AE292),"",IF(BG$3=$AD292,$F292&amp;"R",BG291))))</f>
        <v/>
      </c>
      <c r="BH292" s="11" t="str">
        <f aca="false">IF($P292=0,BH291,IF(BH$3=$E292,IF($AA292=1,$F292&amp;$AB292,$G292),IF(OR(BH$3=$D292,BH$3=$AC292,BH$3=$AE292),"",IF(BH$3=$AD292,$F292&amp;"R",BH291))))</f>
        <v/>
      </c>
      <c r="BI292" s="11" t="str">
        <f aca="false">IF($P292=0,BI291,IF(BI$3=$E292,IF($AA292=1,$F292&amp;$AB292,$G292),IF(OR(BI$3=$D292,BI$3=$AC292,BI$3=$AE292),"",IF(BI$3=$AD292,$F292&amp;"R",BI291))))</f>
        <v/>
      </c>
      <c r="BJ292" s="11" t="str">
        <f aca="false">IF($P292=0,BJ291,IF(BJ$3=$E292,IF($AA292=1,$F292&amp;$AB292,$G292),IF(OR(BJ$3=$D292,BJ$3=$AC292,BJ$3=$AE292),"",IF(BJ$3=$AD292,$F292&amp;"R",BJ291))))</f>
        <v/>
      </c>
      <c r="BK292" s="11" t="str">
        <f aca="false">IF($P292=0,BK291,IF(BK$3=$E292,IF($AA292=1,$F292&amp;$AB292,$G292),IF(OR(BK$3=$D292,BK$3=$AC292,BK$3=$AE292),"",IF(BK$3=$AD292,$F292&amp;"R",BK291))))</f>
        <v/>
      </c>
      <c r="BL292" s="11" t="str">
        <f aca="false">IF($P292=0,BL291,IF(BL$3=$E292,IF($AA292=1,$F292&amp;$AB292,$G292),IF(OR(BL$3=$D292,BL$3=$AC292,BL$3=$AE292),"",IF(BL$3=$AD292,$F292&amp;"R",BL291))))</f>
        <v/>
      </c>
      <c r="BM292" s="11" t="str">
        <f aca="false">IF($P292=0,BM291,IF(BM$3=$E292,IF($AA292=1,$F292&amp;$AB292,$G292),IF(OR(BM$3=$D292,BM$3=$AC292,BM$3=$AE292),"",IF(BM$3=$AD292,$F292&amp;"R",BM291))))</f>
        <v/>
      </c>
      <c r="BN292" s="11" t="str">
        <f aca="false">IF($P292=0,BN291,IF(BN$3=$E292,IF($AA292=1,$F292&amp;$AB292,$G292),IF(OR(BN$3=$D292,BN$3=$AC292,BN$3=$AE292),"",IF(BN$3=$AD292,$F292&amp;"R",BN291))))</f>
        <v/>
      </c>
      <c r="BO292" s="11" t="str">
        <f aca="false">IF($P292=0,BO291,IF(BO$3=$E292,IF($AA292=1,$F292&amp;$AB292,$G292),IF(OR(BO$3=$D292,BO$3=$AC292,BO$3=$AE292),"",IF(BO$3=$AD292,$F292&amp;"R",BO291))))</f>
        <v/>
      </c>
      <c r="BP292" s="11" t="str">
        <f aca="false">IF($P292=0,BP291,IF(BP$3=$E292,IF($AA292=1,$F292&amp;$AB292,$G292),IF(OR(BP$3=$D292,BP$3=$AC292,BP$3=$AE292),"",IF(BP$3=$AD292,$F292&amp;"R",BP291))))</f>
        <v/>
      </c>
      <c r="BQ292" s="11" t="str">
        <f aca="false">IF($P292=0,BQ291,IF(BQ$3=$E292,IF($AA292=1,$F292&amp;$AB292,$G292),IF(OR(BQ$3=$D292,BQ$3=$AC292,BQ$3=$AE292),"",IF(BQ$3=$AD292,$F292&amp;"R",BQ291))))</f>
        <v/>
      </c>
      <c r="BR292" s="11" t="str">
        <f aca="false">IF($P292=0,BR291,IF(BR$3=$E292,IF($AA292=1,$F292&amp;$AB292,$G292),IF(OR(BR$3=$D292,BR$3=$AC292,BR$3=$AE292),"",IF(BR$3=$AD292,$F292&amp;"R",BR291))))</f>
        <v/>
      </c>
      <c r="BS292" s="11" t="str">
        <f aca="false">IF($P292=0,BS291,IF(BS$3=$E292,IF($AA292=1,$F292&amp;$AB292,$G292),IF(OR(BS$3=$D292,BS$3=$AC292,BS$3=$AE292),"",IF(BS$3=$AD292,$F292&amp;"R",BS291))))</f>
        <v/>
      </c>
      <c r="BT292" s="11" t="str">
        <f aca="false">IF($P292=0,BT291,IF(BT$3=$E292,IF($AA292=1,$F292&amp;$AB292,$G292),IF(OR(BT$3=$D292,BT$3=$AC292,BT$3=$AE292),"",IF(BT$3=$AD292,$F292&amp;"R",BT291))))</f>
        <v/>
      </c>
      <c r="BU292" s="11" t="str">
        <f aca="false">IF($P292=0,BU291,IF(BU$3=$E292,IF($AA292=1,$F292&amp;$AB292,$G292),IF(OR(BU$3=$D292,BU$3=$AC292,BU$3=$AE292),"",IF(BU$3=$AD292,$F292&amp;"R",BU291))))</f>
        <v/>
      </c>
      <c r="BV292" s="11" t="str">
        <f aca="false">IF($P292=0,BV291,IF(BV$3=$E292,IF($AA292=1,$F292&amp;$AB292,$G292),IF(OR(BV$3=$D292,BV$3=$AC292,BV$3=$AE292),"",IF(BV$3=$AD292,$F292&amp;"R",BV291))))</f>
        <v/>
      </c>
      <c r="BW292" s="11" t="str">
        <f aca="false">IF($P292=0,BW291,IF(BW$3=$E292,IF($AA292=1,$F292&amp;$AB292,$G292),IF(OR(BW$3=$D292,BW$3=$AC292,BW$3=$AE292),"",IF(BW$3=$AD292,$F292&amp;"R",BW291))))</f>
        <v/>
      </c>
      <c r="BX292" s="11" t="str">
        <f aca="false">IF($P292=0,BX291,IF(BX$3=$E292,IF($AA292=1,$F292&amp;$AB292,$G292),IF(OR(BX$3=$D292,BX$3=$AC292,BX$3=$AE292),"",IF(BX$3=$AD292,$F292&amp;"R",BX291))))</f>
        <v/>
      </c>
      <c r="BY292" s="11" t="str">
        <f aca="false">IF($P292=0,BY291,IF(BY$3=$E292,IF($AA292=1,$F292&amp;$AB292,$G292),IF(OR(BY$3=$D292,BY$3=$AC292,BY$3=$AE292),"",IF(BY$3=$AD292,$F292&amp;"R",BY291))))</f>
        <v/>
      </c>
      <c r="BZ292" s="11" t="str">
        <f aca="false">IF($P292=0,BZ291,IF(BZ$3=$E292,IF($AA292=1,$F292&amp;$AB292,$G292),IF(OR(BZ$3=$D292,BZ$3=$AC292,BZ$3=$AE292),"",IF(BZ$3=$AD292,$F292&amp;"R",BZ291))))</f>
        <v/>
      </c>
      <c r="CA292" s="11" t="str">
        <f aca="false">IF($P292=0,CA291,IF(CA$3=$E292,IF($AA292=1,$F292&amp;$AB292,$G292),IF(OR(CA$3=$D292,CA$3=$AC292,CA$3=$AE292),"",IF(CA$3=$AD292,$F292&amp;"R",CA291))))</f>
        <v/>
      </c>
      <c r="CB292" s="11" t="str">
        <f aca="false">IF($P292=0,CB291,IF(CB$3=$E292,IF($AA292=1,$F292&amp;$AB292,$G292),IF(OR(CB$3=$D292,CB$3=$AC292,CB$3=$AE292),"",IF(CB$3=$AD292,$F292&amp;"R",CB291))))</f>
        <v/>
      </c>
      <c r="CC292" s="11" t="str">
        <f aca="false">IF($P292=0,CC291,IF(CC$3=$E292,IF($AA292=1,$F292&amp;$AB292,$G292),IF(OR(CC$3=$D292,CC$3=$AC292,CC$3=$AE292),"",IF(CC$3=$AD292,$F292&amp;"R",CC291))))</f>
        <v/>
      </c>
      <c r="CD292" s="11" t="str">
        <f aca="false">IF($P292=0,CD291,IF(CD$3=$E292,IF($AA292=1,$F292&amp;$AB292,$G292),IF(OR(CD$3=$D292,CD$3=$AC292,CD$3=$AE292),"",IF(CD$3=$AD292,$F292&amp;"R",CD291))))</f>
        <v>bP</v>
      </c>
      <c r="CE292" s="11" t="str">
        <f aca="false">IF($P292=0,CE291,IF(CE$3=$E292,IF($AA292=1,$F292&amp;$AB292,$G292),IF(OR(CE$3=$D292,CE$3=$AC292,CE$3=$AE292),"",IF(CE$3=$AD292,$F292&amp;"R",CE291))))</f>
        <v>bP</v>
      </c>
      <c r="CF292" s="11" t="str">
        <f aca="false">IF($P292=0,CF291,IF(CF$3=$E292,IF($AA292=1,$F292&amp;$AB292,$G292),IF(OR(CF$3=$D292,CF$3=$AC292,CF$3=$AE292),"",IF(CF$3=$AD292,$F292&amp;"R",CF291))))</f>
        <v>bP</v>
      </c>
      <c r="CG292" s="11" t="str">
        <f aca="false">IF($P292=0,CG291,IF(CG$3=$E292,IF($AA292=1,$F292&amp;$AB292,$G292),IF(OR(CG$3=$D292,CG$3=$AC292,CG$3=$AE292),"",IF(CG$3=$AD292,$F292&amp;"R",CG291))))</f>
        <v>bP</v>
      </c>
      <c r="CH292" s="11" t="str">
        <f aca="false">IF($P292=0,CH291,IF(CH$3=$E292,IF($AA292=1,$F292&amp;$AB292,$G292),IF(OR(CH$3=$D292,CH$3=$AC292,CH$3=$AE292),"",IF(CH$3=$AD292,$F292&amp;"R",CH291))))</f>
        <v>bP</v>
      </c>
      <c r="CI292" s="11" t="str">
        <f aca="false">IF($P292=0,CI291,IF(CI$3=$E292,IF($AA292=1,$F292&amp;$AB292,$G292),IF(OR(CI$3=$D292,CI$3=$AC292,CI$3=$AE292),"",IF(CI$3=$AD292,$F292&amp;"R",CI291))))</f>
        <v>bP</v>
      </c>
      <c r="CJ292" s="11" t="str">
        <f aca="false">IF($P292=0,CJ291,IF(CJ$3=$E292,IF($AA292=1,$F292&amp;$AB292,$G292),IF(OR(CJ$3=$D292,CJ$3=$AC292,CJ$3=$AE292),"",IF(CJ$3=$AD292,$F292&amp;"R",CJ291))))</f>
        <v>bP</v>
      </c>
      <c r="CK292" s="11" t="str">
        <f aca="false">IF($P292=0,CK291,IF(CK$3=$E292,IF($AA292=1,$F292&amp;$AB292,$G292),IF(OR(CK$3=$D292,CK$3=$AC292,CK$3=$AE292),"",IF(CK$3=$AD292,$F292&amp;"R",CK291))))</f>
        <v>bP</v>
      </c>
      <c r="CL292" s="11" t="str">
        <f aca="false">IF($P292=0,CL291,IF(CL$3=$E292,IF($AA292=1,$F292&amp;$AB292,$G292),IF(OR(CL$3=$D292,CL$3=$AC292,CL$3=$AE292),"",IF(CL$3=$AD292,$F292&amp;"R",CL291))))</f>
        <v>bR</v>
      </c>
      <c r="CM292" s="11" t="str">
        <f aca="false">IF($P292=0,CM291,IF(CM$3=$E292,IF($AA292=1,$F292&amp;$AB292,$G292),IF(OR(CM$3=$D292,CM$3=$AC292,CM$3=$AE292),"",IF(CM$3=$AD292,$F292&amp;"R",CM291))))</f>
        <v>bN</v>
      </c>
      <c r="CN292" s="11" t="str">
        <f aca="false">IF($P292=0,CN291,IF(CN$3=$E292,IF($AA292=1,$F292&amp;$AB292,$G292),IF(OR(CN$3=$D292,CN$3=$AC292,CN$3=$AE292),"",IF(CN$3=$AD292,$F292&amp;"R",CN291))))</f>
        <v>bB</v>
      </c>
      <c r="CO292" s="11" t="str">
        <f aca="false">IF($P292=0,CO291,IF(CO$3=$E292,IF($AA292=1,$F292&amp;$AB292,$G292),IF(OR(CO$3=$D292,CO$3=$AC292,CO$3=$AE292),"",IF(CO$3=$AD292,$F292&amp;"R",CO291))))</f>
        <v>bQ</v>
      </c>
      <c r="CP292" s="11" t="str">
        <f aca="false">IF($P292=0,CP291,IF(CP$3=$E292,IF($AA292=1,$F292&amp;$AB292,$G292),IF(OR(CP$3=$D292,CP$3=$AC292,CP$3=$AE292),"",IF(CP$3=$AD292,$F292&amp;"R",CP291))))</f>
        <v>bK</v>
      </c>
      <c r="CQ292" s="11" t="str">
        <f aca="false">IF($P292=0,CQ291,IF(CQ$3=$E292,IF($AA292=1,$F292&amp;$AB292,$G292),IF(OR(CQ$3=$D292,CQ$3=$AC292,CQ$3=$AE292),"",IF(CQ$3=$AD292,$F292&amp;"R",CQ291))))</f>
        <v>bB</v>
      </c>
      <c r="CR292" s="11" t="str">
        <f aca="false">IF($P292=0,CR291,IF(CR$3=$E292,IF($AA292=1,$F292&amp;$AB292,$G292),IF(OR(CR$3=$D292,CR$3=$AC292,CR$3=$AE292),"",IF(CR$3=$AD292,$F292&amp;"R",CR291))))</f>
        <v>bN</v>
      </c>
      <c r="CS292" s="11" t="str">
        <f aca="false">IF($P292=0,CS291,IF(CS$3=$E292,IF($AA292=1,$F292&amp;$AB292,$G292),IF(OR(CS$3=$D292,CS$3=$AC292,CS$3=$AE292),"",IF(CS$3=$AD292,$F292&amp;"R",CS291))))</f>
        <v>bR</v>
      </c>
      <c r="CT292" s="11"/>
      <c r="CU292" s="11"/>
      <c r="CV292" s="11"/>
    </row>
    <row r="293" customFormat="false" ht="15" hidden="false" customHeight="false" outlineLevel="0" collapsed="false">
      <c r="A293" s="11" t="n">
        <v>288</v>
      </c>
      <c r="B293" s="11" t="str">
        <f aca="false">IF(Chess!$L$297="","",Chess!$L$297&amp;"")</f>
        <v/>
      </c>
      <c r="C293" s="11" t="str">
        <f aca="false">LOWER(SUBSTITUTE(SUBSTITUTE(SUBSTITUTE(SUBSTITUTE(TRIM($B293),"-",""),"=","")," ",""),"x",""))</f>
        <v/>
      </c>
      <c r="D293" s="11" t="n">
        <f aca="false">IF(LEN($C293)&lt;4,0,IFERROR(IF(AND(CODE(MID($C293,1,1))&gt;=97,CODE(MID($C293,1,1))&lt;=104,VALUE(MID($C293,2,1))&gt;=1,VALUE(MID($C293,2,1))&lt;=8),(VALUE(MID($C293,2,1))-1)*8+CODE(MID($C293,1,1))-96,0),0))</f>
        <v>0</v>
      </c>
      <c r="E293" s="11" t="n">
        <f aca="false">IF(LEN($C293)&lt;4,0,IFERROR(IF(AND(CODE(MID($C293,3,1))&gt;=97,CODE(MID($C293,3,1))&lt;=104,VALUE(MID($C293,4,1))&gt;=1,VALUE(MID($C293,4,1))&lt;=8),(VALUE(MID($C293,4,1))-1)*8+CODE(MID($C293,3,1))-96,0),0))</f>
        <v>0</v>
      </c>
      <c r="F293" s="11" t="str">
        <f aca="false">IF(MOD(SUM($P$5:$P292),2)=0,"w","b")</f>
        <v>w</v>
      </c>
      <c r="G293" s="11" t="str">
        <f aca="false">IF($D293=0,"",INDEX($AH292:$CS292,1,$D293)&amp;"")</f>
        <v/>
      </c>
      <c r="H293" s="11" t="str">
        <f aca="false">IF($E293=0,"",INDEX($AH292:$CS292,1,$E293)&amp;"")</f>
        <v/>
      </c>
      <c r="I293" s="11" t="n">
        <f aca="false">IF(OR($D293=0,$E293=0),0,MOD($E293-1,8)-MOD($D293-1,8))</f>
        <v>0</v>
      </c>
      <c r="J293" s="11" t="n">
        <f aca="false">IF(OR($D293=0,$E293=0),0,INT(($E293-1)/8)-INT(($D293-1)/8))</f>
        <v>0</v>
      </c>
      <c r="K293" s="11" t="str">
        <f aca="false">IF($G293="","",RIGHT($G293,1))</f>
        <v/>
      </c>
      <c r="L293" s="11" t="n">
        <f aca="false">IF(OR($D293=0,$E293=0),0,SUMPRODUCT(($AH$3:$CS$3&gt;MIN($D293,$E293))*($AH$3:$CS$3&lt;MAX($D293,$E293))*(MOD($AH$3:$CS$3-MIN($D293,$E293),MAX(1,ABS(SIGN($J293)*8+SIGN($I293))))=0)*($AH292:$CS292&lt;&gt;"")))</f>
        <v>0</v>
      </c>
      <c r="M293" s="11" t="n">
        <f aca="false">IF($K293&lt;&gt;"K",0,IFERROR(--AND($J293=0,ABS($I293)=2,$D293=IF($F293="w",5,61),IF($F293="w",$S292,$V292)=0,IF($I293=2,AND(IF($F293="w",$U292,$X292)=0,INDEX($AH292:$CS292,1,$D293+1)&amp;""="",INDEX($AH292:$CS292,1,$D293+2)&amp;""=""),AND(IF($F293="w",$T292,$W292)=0,INDEX($AH292:$CS292,1,$D293-1)&amp;""="",INDEX($AH292:$CS292,1,$D293-2)&amp;""="",INDEX($AH292:$CS292,1,$D293-3)&amp;""=""))),0))</f>
        <v>0</v>
      </c>
      <c r="N293" s="11" t="n">
        <f aca="false">IF($K293&lt;&gt;"P",0,IFERROR(--OR(AND($I293=0,$J293=IF($F293="w",1,-1),$H293=""),AND($I293=0,$J293=2*IF($F293="w",1,-1),$H293="",INT(($D293-1)/8)=IF($F293="w",1,6),INDEX($AH292:$CS292,1,MAX(1,MIN(64,$D293+8*IF($F293="w",1,-1))))&amp;""=""),AND(ABS($I293)=1,$J293=IF($F293="w",1,-1),$H293&lt;&gt;""),AND(ABS($I293)=1,$J293=IF($F293="w",1,-1),$H293="",$R292&gt;0,$E293=$R292)),0))</f>
        <v>0</v>
      </c>
      <c r="O293" s="11" t="n">
        <f aca="false">IF(OR($D293=0,$E293=0,$G293=""),0,IF($K293="N",--OR(AND(ABS($I293)=1,ABS($J293)=2),AND(ABS($I293)=2,ABS($J293)=1)),IF($K293="B",--AND(ABS($I293)=ABS($J293),$I293&lt;&gt;0,$L293=0),IF($K293="R",--AND(OR($I293=0,$J293=0),OR($I293&lt;&gt;0,$J293&lt;&gt;0),$L293=0),IF($K293="Q",--AND(OR(AND(ABS($I293)=ABS($J293),$I293&lt;&gt;0),AND(OR($I293=0,$J293=0),OR($I293&lt;&gt;0,$J293&lt;&gt;0))),$L293=0),IF($K293="K",--OR(MAX(ABS($I293),ABS($J293))=1,$M293=1),$N293))))))</f>
        <v>0</v>
      </c>
      <c r="P293" s="11" t="n">
        <f aca="false">IF($Q293="OK",1,0)</f>
        <v>0</v>
      </c>
      <c r="Q293" s="11" t="str">
        <f aca="false">IF($B293="","",IF(OR(COUNTIF($AH292:$CS292,"wK")=0,COUNTIF($AH292:$CS292,"bK")=0),"Game is over",IF(OR($D293=0,$E293=0),"Use the format e2e4",IF($G293="","No piece on that square",IF(LEFT($G293,1)&lt;&gt;$F293,"Not your piece ("&amp;IF($F293="w","White","Black")&amp;" to move)",IF($D293=$E293,"Piece must move",IF(AND($H293&lt;&gt;"",LEFT($H293,1)=$F293),"Cannot capture your own piece",IF($O293=0,"Illegal move for that piece (or path blocked)","OK"))))))))</f>
        <v/>
      </c>
      <c r="R293" s="11" t="n">
        <f aca="false">IF($P293=1,IF(AND($K293="P",ABS($J293)=2),($D293+$E293)/2,0),$R292)</f>
        <v>0</v>
      </c>
      <c r="S293" s="12" t="b">
        <f aca="false">--OR($S292=1,AND($P293=1,OR($D293=5,$E293=5)))</f>
        <v>0</v>
      </c>
      <c r="T293" s="12" t="b">
        <f aca="false">--OR($T292=1,AND($P293=1,OR($D293=1,$E293=1)))</f>
        <v>0</v>
      </c>
      <c r="U293" s="12" t="b">
        <f aca="false">--OR($U292=1,AND($P293=1,OR($D293=8,$E293=8)))</f>
        <v>0</v>
      </c>
      <c r="V293" s="12" t="b">
        <f aca="false">--OR($V292=1,AND($P293=1,OR($D293=61,$E293=61)))</f>
        <v>0</v>
      </c>
      <c r="W293" s="12" t="b">
        <f aca="false">--OR($W292=1,AND($P293=1,OR($D293=57,$E293=57)))</f>
        <v>0</v>
      </c>
      <c r="X293" s="12" t="b">
        <f aca="false">--OR($X292=1,AND($P293=1,OR($D293=64,$E293=64)))</f>
        <v>0</v>
      </c>
      <c r="Y293" s="12" t="b">
        <f aca="false">--AND($P293=1,$K293="K",ABS($I293)=2)</f>
        <v>0</v>
      </c>
      <c r="Z293" s="12" t="b">
        <f aca="false">--AND($P293=1,$K293="P",ABS($I293)=1,$H293="")</f>
        <v>0</v>
      </c>
      <c r="AA293" s="12" t="b">
        <f aca="false">--AND($P293=1,$K293="P",INT(($E293-1)/8)=IF($F293="w",7,0))</f>
        <v>0</v>
      </c>
      <c r="AB293" s="11" t="str">
        <f aca="false">IF(LEN($C293)&gt;=5,IF(ISNUMBER(FIND(MID($C293,5,1),"qrbn")),UPPER(MID($C293,5,1)),"Q"),"Q")</f>
        <v>Q</v>
      </c>
      <c r="AC293" s="11" t="n">
        <f aca="false">IF($Y293=1,IF($I293=2,$D293+3,$D293-4),0)</f>
        <v>0</v>
      </c>
      <c r="AD293" s="11" t="n">
        <f aca="false">IF($Y293=1,IF($I293=2,$D293+1,$D293-1),0)</f>
        <v>0</v>
      </c>
      <c r="AE293" s="11" t="n">
        <f aca="false">IF($Z293=1,$E293-8*IF($F293="w",1,-1),0)</f>
        <v>0</v>
      </c>
      <c r="AF293" s="11" t="str">
        <f aca="false">IF($B293="","",IF($P293=1,LOWER(INDEX($CV$2:$CV$13,MATCH($G293,$CU$2:$CU$13,0)))&amp;" "&amp;MID("abcdefgh",MOD($D293-1,8)+1,1)&amp;(INT(($D293-1)/8)+1)&amp;"→"&amp;MID("abcdefgh",MOD($E293-1,8)+1,1)&amp;(INT(($E293-1)/8)+1)&amp;IF(OR($H293&lt;&gt;"",$Z293=1)," ×","")&amp;IF($Y293=1," castles","")&amp;IF($Z293=1," e.p.","")&amp;IF($AA293=1," =" &amp;LOWER(INDEX($CV$2:$CV$13,MATCH($F293&amp;$AB293,$CU$2:$CU$13,0))),""),"X "&amp;$Q293))</f>
        <v/>
      </c>
      <c r="AG293" s="11"/>
      <c r="AH293" s="11" t="str">
        <f aca="false">IF($P293=0,AH292,IF(AH$3=$E293,IF($AA293=1,$F293&amp;$AB293,$G293),IF(OR(AH$3=$D293,AH$3=$AC293,AH$3=$AE293),"",IF(AH$3=$AD293,$F293&amp;"R",AH292))))</f>
        <v>wR</v>
      </c>
      <c r="AI293" s="11" t="str">
        <f aca="false">IF($P293=0,AI292,IF(AI$3=$E293,IF($AA293=1,$F293&amp;$AB293,$G293),IF(OR(AI$3=$D293,AI$3=$AC293,AI$3=$AE293),"",IF(AI$3=$AD293,$F293&amp;"R",AI292))))</f>
        <v>wN</v>
      </c>
      <c r="AJ293" s="11" t="str">
        <f aca="false">IF($P293=0,AJ292,IF(AJ$3=$E293,IF($AA293=1,$F293&amp;$AB293,$G293),IF(OR(AJ$3=$D293,AJ$3=$AC293,AJ$3=$AE293),"",IF(AJ$3=$AD293,$F293&amp;"R",AJ292))))</f>
        <v>wB</v>
      </c>
      <c r="AK293" s="11" t="str">
        <f aca="false">IF($P293=0,AK292,IF(AK$3=$E293,IF($AA293=1,$F293&amp;$AB293,$G293),IF(OR(AK$3=$D293,AK$3=$AC293,AK$3=$AE293),"",IF(AK$3=$AD293,$F293&amp;"R",AK292))))</f>
        <v>wQ</v>
      </c>
      <c r="AL293" s="11" t="str">
        <f aca="false">IF($P293=0,AL292,IF(AL$3=$E293,IF($AA293=1,$F293&amp;$AB293,$G293),IF(OR(AL$3=$D293,AL$3=$AC293,AL$3=$AE293),"",IF(AL$3=$AD293,$F293&amp;"R",AL292))))</f>
        <v>wK</v>
      </c>
      <c r="AM293" s="11" t="str">
        <f aca="false">IF($P293=0,AM292,IF(AM$3=$E293,IF($AA293=1,$F293&amp;$AB293,$G293),IF(OR(AM$3=$D293,AM$3=$AC293,AM$3=$AE293),"",IF(AM$3=$AD293,$F293&amp;"R",AM292))))</f>
        <v>wB</v>
      </c>
      <c r="AN293" s="11" t="str">
        <f aca="false">IF($P293=0,AN292,IF(AN$3=$E293,IF($AA293=1,$F293&amp;$AB293,$G293),IF(OR(AN$3=$D293,AN$3=$AC293,AN$3=$AE293),"",IF(AN$3=$AD293,$F293&amp;"R",AN292))))</f>
        <v>wN</v>
      </c>
      <c r="AO293" s="11" t="str">
        <f aca="false">IF($P293=0,AO292,IF(AO$3=$E293,IF($AA293=1,$F293&amp;$AB293,$G293),IF(OR(AO$3=$D293,AO$3=$AC293,AO$3=$AE293),"",IF(AO$3=$AD293,$F293&amp;"R",AO292))))</f>
        <v>wR</v>
      </c>
      <c r="AP293" s="11" t="str">
        <f aca="false">IF($P293=0,AP292,IF(AP$3=$E293,IF($AA293=1,$F293&amp;$AB293,$G293),IF(OR(AP$3=$D293,AP$3=$AC293,AP$3=$AE293),"",IF(AP$3=$AD293,$F293&amp;"R",AP292))))</f>
        <v>wP</v>
      </c>
      <c r="AQ293" s="11" t="str">
        <f aca="false">IF($P293=0,AQ292,IF(AQ$3=$E293,IF($AA293=1,$F293&amp;$AB293,$G293),IF(OR(AQ$3=$D293,AQ$3=$AC293,AQ$3=$AE293),"",IF(AQ$3=$AD293,$F293&amp;"R",AQ292))))</f>
        <v>wP</v>
      </c>
      <c r="AR293" s="11" t="str">
        <f aca="false">IF($P293=0,AR292,IF(AR$3=$E293,IF($AA293=1,$F293&amp;$AB293,$G293),IF(OR(AR$3=$D293,AR$3=$AC293,AR$3=$AE293),"",IF(AR$3=$AD293,$F293&amp;"R",AR292))))</f>
        <v>wP</v>
      </c>
      <c r="AS293" s="11" t="str">
        <f aca="false">IF($P293=0,AS292,IF(AS$3=$E293,IF($AA293=1,$F293&amp;$AB293,$G293),IF(OR(AS$3=$D293,AS$3=$AC293,AS$3=$AE293),"",IF(AS$3=$AD293,$F293&amp;"R",AS292))))</f>
        <v>wP</v>
      </c>
      <c r="AT293" s="11" t="str">
        <f aca="false">IF($P293=0,AT292,IF(AT$3=$E293,IF($AA293=1,$F293&amp;$AB293,$G293),IF(OR(AT$3=$D293,AT$3=$AC293,AT$3=$AE293),"",IF(AT$3=$AD293,$F293&amp;"R",AT292))))</f>
        <v>wP</v>
      </c>
      <c r="AU293" s="11" t="str">
        <f aca="false">IF($P293=0,AU292,IF(AU$3=$E293,IF($AA293=1,$F293&amp;$AB293,$G293),IF(OR(AU$3=$D293,AU$3=$AC293,AU$3=$AE293),"",IF(AU$3=$AD293,$F293&amp;"R",AU292))))</f>
        <v>wP</v>
      </c>
      <c r="AV293" s="11" t="str">
        <f aca="false">IF($P293=0,AV292,IF(AV$3=$E293,IF($AA293=1,$F293&amp;$AB293,$G293),IF(OR(AV$3=$D293,AV$3=$AC293,AV$3=$AE293),"",IF(AV$3=$AD293,$F293&amp;"R",AV292))))</f>
        <v>wP</v>
      </c>
      <c r="AW293" s="11" t="str">
        <f aca="false">IF($P293=0,AW292,IF(AW$3=$E293,IF($AA293=1,$F293&amp;$AB293,$G293),IF(OR(AW$3=$D293,AW$3=$AC293,AW$3=$AE293),"",IF(AW$3=$AD293,$F293&amp;"R",AW292))))</f>
        <v>wP</v>
      </c>
      <c r="AX293" s="11" t="str">
        <f aca="false">IF($P293=0,AX292,IF(AX$3=$E293,IF($AA293=1,$F293&amp;$AB293,$G293),IF(OR(AX$3=$D293,AX$3=$AC293,AX$3=$AE293),"",IF(AX$3=$AD293,$F293&amp;"R",AX292))))</f>
        <v/>
      </c>
      <c r="AY293" s="11" t="str">
        <f aca="false">IF($P293=0,AY292,IF(AY$3=$E293,IF($AA293=1,$F293&amp;$AB293,$G293),IF(OR(AY$3=$D293,AY$3=$AC293,AY$3=$AE293),"",IF(AY$3=$AD293,$F293&amp;"R",AY292))))</f>
        <v/>
      </c>
      <c r="AZ293" s="11" t="str">
        <f aca="false">IF($P293=0,AZ292,IF(AZ$3=$E293,IF($AA293=1,$F293&amp;$AB293,$G293),IF(OR(AZ$3=$D293,AZ$3=$AC293,AZ$3=$AE293),"",IF(AZ$3=$AD293,$F293&amp;"R",AZ292))))</f>
        <v/>
      </c>
      <c r="BA293" s="11" t="str">
        <f aca="false">IF($P293=0,BA292,IF(BA$3=$E293,IF($AA293=1,$F293&amp;$AB293,$G293),IF(OR(BA$3=$D293,BA$3=$AC293,BA$3=$AE293),"",IF(BA$3=$AD293,$F293&amp;"R",BA292))))</f>
        <v/>
      </c>
      <c r="BB293" s="11" t="str">
        <f aca="false">IF($P293=0,BB292,IF(BB$3=$E293,IF($AA293=1,$F293&amp;$AB293,$G293),IF(OR(BB$3=$D293,BB$3=$AC293,BB$3=$AE293),"",IF(BB$3=$AD293,$F293&amp;"R",BB292))))</f>
        <v/>
      </c>
      <c r="BC293" s="11" t="str">
        <f aca="false">IF($P293=0,BC292,IF(BC$3=$E293,IF($AA293=1,$F293&amp;$AB293,$G293),IF(OR(BC$3=$D293,BC$3=$AC293,BC$3=$AE293),"",IF(BC$3=$AD293,$F293&amp;"R",BC292))))</f>
        <v/>
      </c>
      <c r="BD293" s="11" t="str">
        <f aca="false">IF($P293=0,BD292,IF(BD$3=$E293,IF($AA293=1,$F293&amp;$AB293,$G293),IF(OR(BD$3=$D293,BD$3=$AC293,BD$3=$AE293),"",IF(BD$3=$AD293,$F293&amp;"R",BD292))))</f>
        <v/>
      </c>
      <c r="BE293" s="11" t="str">
        <f aca="false">IF($P293=0,BE292,IF(BE$3=$E293,IF($AA293=1,$F293&amp;$AB293,$G293),IF(OR(BE$3=$D293,BE$3=$AC293,BE$3=$AE293),"",IF(BE$3=$AD293,$F293&amp;"R",BE292))))</f>
        <v/>
      </c>
      <c r="BF293" s="11" t="str">
        <f aca="false">IF($P293=0,BF292,IF(BF$3=$E293,IF($AA293=1,$F293&amp;$AB293,$G293),IF(OR(BF$3=$D293,BF$3=$AC293,BF$3=$AE293),"",IF(BF$3=$AD293,$F293&amp;"R",BF292))))</f>
        <v/>
      </c>
      <c r="BG293" s="11" t="str">
        <f aca="false">IF($P293=0,BG292,IF(BG$3=$E293,IF($AA293=1,$F293&amp;$AB293,$G293),IF(OR(BG$3=$D293,BG$3=$AC293,BG$3=$AE293),"",IF(BG$3=$AD293,$F293&amp;"R",BG292))))</f>
        <v/>
      </c>
      <c r="BH293" s="11" t="str">
        <f aca="false">IF($P293=0,BH292,IF(BH$3=$E293,IF($AA293=1,$F293&amp;$AB293,$G293),IF(OR(BH$3=$D293,BH$3=$AC293,BH$3=$AE293),"",IF(BH$3=$AD293,$F293&amp;"R",BH292))))</f>
        <v/>
      </c>
      <c r="BI293" s="11" t="str">
        <f aca="false">IF($P293=0,BI292,IF(BI$3=$E293,IF($AA293=1,$F293&amp;$AB293,$G293),IF(OR(BI$3=$D293,BI$3=$AC293,BI$3=$AE293),"",IF(BI$3=$AD293,$F293&amp;"R",BI292))))</f>
        <v/>
      </c>
      <c r="BJ293" s="11" t="str">
        <f aca="false">IF($P293=0,BJ292,IF(BJ$3=$E293,IF($AA293=1,$F293&amp;$AB293,$G293),IF(OR(BJ$3=$D293,BJ$3=$AC293,BJ$3=$AE293),"",IF(BJ$3=$AD293,$F293&amp;"R",BJ292))))</f>
        <v/>
      </c>
      <c r="BK293" s="11" t="str">
        <f aca="false">IF($P293=0,BK292,IF(BK$3=$E293,IF($AA293=1,$F293&amp;$AB293,$G293),IF(OR(BK$3=$D293,BK$3=$AC293,BK$3=$AE293),"",IF(BK$3=$AD293,$F293&amp;"R",BK292))))</f>
        <v/>
      </c>
      <c r="BL293" s="11" t="str">
        <f aca="false">IF($P293=0,BL292,IF(BL$3=$E293,IF($AA293=1,$F293&amp;$AB293,$G293),IF(OR(BL$3=$D293,BL$3=$AC293,BL$3=$AE293),"",IF(BL$3=$AD293,$F293&amp;"R",BL292))))</f>
        <v/>
      </c>
      <c r="BM293" s="11" t="str">
        <f aca="false">IF($P293=0,BM292,IF(BM$3=$E293,IF($AA293=1,$F293&amp;$AB293,$G293),IF(OR(BM$3=$D293,BM$3=$AC293,BM$3=$AE293),"",IF(BM$3=$AD293,$F293&amp;"R",BM292))))</f>
        <v/>
      </c>
      <c r="BN293" s="11" t="str">
        <f aca="false">IF($P293=0,BN292,IF(BN$3=$E293,IF($AA293=1,$F293&amp;$AB293,$G293),IF(OR(BN$3=$D293,BN$3=$AC293,BN$3=$AE293),"",IF(BN$3=$AD293,$F293&amp;"R",BN292))))</f>
        <v/>
      </c>
      <c r="BO293" s="11" t="str">
        <f aca="false">IF($P293=0,BO292,IF(BO$3=$E293,IF($AA293=1,$F293&amp;$AB293,$G293),IF(OR(BO$3=$D293,BO$3=$AC293,BO$3=$AE293),"",IF(BO$3=$AD293,$F293&amp;"R",BO292))))</f>
        <v/>
      </c>
      <c r="BP293" s="11" t="str">
        <f aca="false">IF($P293=0,BP292,IF(BP$3=$E293,IF($AA293=1,$F293&amp;$AB293,$G293),IF(OR(BP$3=$D293,BP$3=$AC293,BP$3=$AE293),"",IF(BP$3=$AD293,$F293&amp;"R",BP292))))</f>
        <v/>
      </c>
      <c r="BQ293" s="11" t="str">
        <f aca="false">IF($P293=0,BQ292,IF(BQ$3=$E293,IF($AA293=1,$F293&amp;$AB293,$G293),IF(OR(BQ$3=$D293,BQ$3=$AC293,BQ$3=$AE293),"",IF(BQ$3=$AD293,$F293&amp;"R",BQ292))))</f>
        <v/>
      </c>
      <c r="BR293" s="11" t="str">
        <f aca="false">IF($P293=0,BR292,IF(BR$3=$E293,IF($AA293=1,$F293&amp;$AB293,$G293),IF(OR(BR$3=$D293,BR$3=$AC293,BR$3=$AE293),"",IF(BR$3=$AD293,$F293&amp;"R",BR292))))</f>
        <v/>
      </c>
      <c r="BS293" s="11" t="str">
        <f aca="false">IF($P293=0,BS292,IF(BS$3=$E293,IF($AA293=1,$F293&amp;$AB293,$G293),IF(OR(BS$3=$D293,BS$3=$AC293,BS$3=$AE293),"",IF(BS$3=$AD293,$F293&amp;"R",BS292))))</f>
        <v/>
      </c>
      <c r="BT293" s="11" t="str">
        <f aca="false">IF($P293=0,BT292,IF(BT$3=$E293,IF($AA293=1,$F293&amp;$AB293,$G293),IF(OR(BT$3=$D293,BT$3=$AC293,BT$3=$AE293),"",IF(BT$3=$AD293,$F293&amp;"R",BT292))))</f>
        <v/>
      </c>
      <c r="BU293" s="11" t="str">
        <f aca="false">IF($P293=0,BU292,IF(BU$3=$E293,IF($AA293=1,$F293&amp;$AB293,$G293),IF(OR(BU$3=$D293,BU$3=$AC293,BU$3=$AE293),"",IF(BU$3=$AD293,$F293&amp;"R",BU292))))</f>
        <v/>
      </c>
      <c r="BV293" s="11" t="str">
        <f aca="false">IF($P293=0,BV292,IF(BV$3=$E293,IF($AA293=1,$F293&amp;$AB293,$G293),IF(OR(BV$3=$D293,BV$3=$AC293,BV$3=$AE293),"",IF(BV$3=$AD293,$F293&amp;"R",BV292))))</f>
        <v/>
      </c>
      <c r="BW293" s="11" t="str">
        <f aca="false">IF($P293=0,BW292,IF(BW$3=$E293,IF($AA293=1,$F293&amp;$AB293,$G293),IF(OR(BW$3=$D293,BW$3=$AC293,BW$3=$AE293),"",IF(BW$3=$AD293,$F293&amp;"R",BW292))))</f>
        <v/>
      </c>
      <c r="BX293" s="11" t="str">
        <f aca="false">IF($P293=0,BX292,IF(BX$3=$E293,IF($AA293=1,$F293&amp;$AB293,$G293),IF(OR(BX$3=$D293,BX$3=$AC293,BX$3=$AE293),"",IF(BX$3=$AD293,$F293&amp;"R",BX292))))</f>
        <v/>
      </c>
      <c r="BY293" s="11" t="str">
        <f aca="false">IF($P293=0,BY292,IF(BY$3=$E293,IF($AA293=1,$F293&amp;$AB293,$G293),IF(OR(BY$3=$D293,BY$3=$AC293,BY$3=$AE293),"",IF(BY$3=$AD293,$F293&amp;"R",BY292))))</f>
        <v/>
      </c>
      <c r="BZ293" s="11" t="str">
        <f aca="false">IF($P293=0,BZ292,IF(BZ$3=$E293,IF($AA293=1,$F293&amp;$AB293,$G293),IF(OR(BZ$3=$D293,BZ$3=$AC293,BZ$3=$AE293),"",IF(BZ$3=$AD293,$F293&amp;"R",BZ292))))</f>
        <v/>
      </c>
      <c r="CA293" s="11" t="str">
        <f aca="false">IF($P293=0,CA292,IF(CA$3=$E293,IF($AA293=1,$F293&amp;$AB293,$G293),IF(OR(CA$3=$D293,CA$3=$AC293,CA$3=$AE293),"",IF(CA$3=$AD293,$F293&amp;"R",CA292))))</f>
        <v/>
      </c>
      <c r="CB293" s="11" t="str">
        <f aca="false">IF($P293=0,CB292,IF(CB$3=$E293,IF($AA293=1,$F293&amp;$AB293,$G293),IF(OR(CB$3=$D293,CB$3=$AC293,CB$3=$AE293),"",IF(CB$3=$AD293,$F293&amp;"R",CB292))))</f>
        <v/>
      </c>
      <c r="CC293" s="11" t="str">
        <f aca="false">IF($P293=0,CC292,IF(CC$3=$E293,IF($AA293=1,$F293&amp;$AB293,$G293),IF(OR(CC$3=$D293,CC$3=$AC293,CC$3=$AE293),"",IF(CC$3=$AD293,$F293&amp;"R",CC292))))</f>
        <v/>
      </c>
      <c r="CD293" s="11" t="str">
        <f aca="false">IF($P293=0,CD292,IF(CD$3=$E293,IF($AA293=1,$F293&amp;$AB293,$G293),IF(OR(CD$3=$D293,CD$3=$AC293,CD$3=$AE293),"",IF(CD$3=$AD293,$F293&amp;"R",CD292))))</f>
        <v>bP</v>
      </c>
      <c r="CE293" s="11" t="str">
        <f aca="false">IF($P293=0,CE292,IF(CE$3=$E293,IF($AA293=1,$F293&amp;$AB293,$G293),IF(OR(CE$3=$D293,CE$3=$AC293,CE$3=$AE293),"",IF(CE$3=$AD293,$F293&amp;"R",CE292))))</f>
        <v>bP</v>
      </c>
      <c r="CF293" s="11" t="str">
        <f aca="false">IF($P293=0,CF292,IF(CF$3=$E293,IF($AA293=1,$F293&amp;$AB293,$G293),IF(OR(CF$3=$D293,CF$3=$AC293,CF$3=$AE293),"",IF(CF$3=$AD293,$F293&amp;"R",CF292))))</f>
        <v>bP</v>
      </c>
      <c r="CG293" s="11" t="str">
        <f aca="false">IF($P293=0,CG292,IF(CG$3=$E293,IF($AA293=1,$F293&amp;$AB293,$G293),IF(OR(CG$3=$D293,CG$3=$AC293,CG$3=$AE293),"",IF(CG$3=$AD293,$F293&amp;"R",CG292))))</f>
        <v>bP</v>
      </c>
      <c r="CH293" s="11" t="str">
        <f aca="false">IF($P293=0,CH292,IF(CH$3=$E293,IF($AA293=1,$F293&amp;$AB293,$G293),IF(OR(CH$3=$D293,CH$3=$AC293,CH$3=$AE293),"",IF(CH$3=$AD293,$F293&amp;"R",CH292))))</f>
        <v>bP</v>
      </c>
      <c r="CI293" s="11" t="str">
        <f aca="false">IF($P293=0,CI292,IF(CI$3=$E293,IF($AA293=1,$F293&amp;$AB293,$G293),IF(OR(CI$3=$D293,CI$3=$AC293,CI$3=$AE293),"",IF(CI$3=$AD293,$F293&amp;"R",CI292))))</f>
        <v>bP</v>
      </c>
      <c r="CJ293" s="11" t="str">
        <f aca="false">IF($P293=0,CJ292,IF(CJ$3=$E293,IF($AA293=1,$F293&amp;$AB293,$G293),IF(OR(CJ$3=$D293,CJ$3=$AC293,CJ$3=$AE293),"",IF(CJ$3=$AD293,$F293&amp;"R",CJ292))))</f>
        <v>bP</v>
      </c>
      <c r="CK293" s="11" t="str">
        <f aca="false">IF($P293=0,CK292,IF(CK$3=$E293,IF($AA293=1,$F293&amp;$AB293,$G293),IF(OR(CK$3=$D293,CK$3=$AC293,CK$3=$AE293),"",IF(CK$3=$AD293,$F293&amp;"R",CK292))))</f>
        <v>bP</v>
      </c>
      <c r="CL293" s="11" t="str">
        <f aca="false">IF($P293=0,CL292,IF(CL$3=$E293,IF($AA293=1,$F293&amp;$AB293,$G293),IF(OR(CL$3=$D293,CL$3=$AC293,CL$3=$AE293),"",IF(CL$3=$AD293,$F293&amp;"R",CL292))))</f>
        <v>bR</v>
      </c>
      <c r="CM293" s="11" t="str">
        <f aca="false">IF($P293=0,CM292,IF(CM$3=$E293,IF($AA293=1,$F293&amp;$AB293,$G293),IF(OR(CM$3=$D293,CM$3=$AC293,CM$3=$AE293),"",IF(CM$3=$AD293,$F293&amp;"R",CM292))))</f>
        <v>bN</v>
      </c>
      <c r="CN293" s="11" t="str">
        <f aca="false">IF($P293=0,CN292,IF(CN$3=$E293,IF($AA293=1,$F293&amp;$AB293,$G293),IF(OR(CN$3=$D293,CN$3=$AC293,CN$3=$AE293),"",IF(CN$3=$AD293,$F293&amp;"R",CN292))))</f>
        <v>bB</v>
      </c>
      <c r="CO293" s="11" t="str">
        <f aca="false">IF($P293=0,CO292,IF(CO$3=$E293,IF($AA293=1,$F293&amp;$AB293,$G293),IF(OR(CO$3=$D293,CO$3=$AC293,CO$3=$AE293),"",IF(CO$3=$AD293,$F293&amp;"R",CO292))))</f>
        <v>bQ</v>
      </c>
      <c r="CP293" s="11" t="str">
        <f aca="false">IF($P293=0,CP292,IF(CP$3=$E293,IF($AA293=1,$F293&amp;$AB293,$G293),IF(OR(CP$3=$D293,CP$3=$AC293,CP$3=$AE293),"",IF(CP$3=$AD293,$F293&amp;"R",CP292))))</f>
        <v>bK</v>
      </c>
      <c r="CQ293" s="11" t="str">
        <f aca="false">IF($P293=0,CQ292,IF(CQ$3=$E293,IF($AA293=1,$F293&amp;$AB293,$G293),IF(OR(CQ$3=$D293,CQ$3=$AC293,CQ$3=$AE293),"",IF(CQ$3=$AD293,$F293&amp;"R",CQ292))))</f>
        <v>bB</v>
      </c>
      <c r="CR293" s="11" t="str">
        <f aca="false">IF($P293=0,CR292,IF(CR$3=$E293,IF($AA293=1,$F293&amp;$AB293,$G293),IF(OR(CR$3=$D293,CR$3=$AC293,CR$3=$AE293),"",IF(CR$3=$AD293,$F293&amp;"R",CR292))))</f>
        <v>bN</v>
      </c>
      <c r="CS293" s="11" t="str">
        <f aca="false">IF($P293=0,CS292,IF(CS$3=$E293,IF($AA293=1,$F293&amp;$AB293,$G293),IF(OR(CS$3=$D293,CS$3=$AC293,CS$3=$AE293),"",IF(CS$3=$AD293,$F293&amp;"R",CS292))))</f>
        <v>bR</v>
      </c>
      <c r="CT293" s="11"/>
      <c r="CU293" s="11"/>
      <c r="CV293" s="11"/>
    </row>
    <row r="294" customFormat="false" ht="15" hidden="false" customHeight="false" outlineLevel="0" collapsed="false">
      <c r="A294" s="11" t="n">
        <v>289</v>
      </c>
      <c r="B294" s="11" t="str">
        <f aca="false">IF(Chess!$L$298="","",Chess!$L$298&amp;"")</f>
        <v/>
      </c>
      <c r="C294" s="11" t="str">
        <f aca="false">LOWER(SUBSTITUTE(SUBSTITUTE(SUBSTITUTE(SUBSTITUTE(TRIM($B294),"-",""),"=","")," ",""),"x",""))</f>
        <v/>
      </c>
      <c r="D294" s="11" t="n">
        <f aca="false">IF(LEN($C294)&lt;4,0,IFERROR(IF(AND(CODE(MID($C294,1,1))&gt;=97,CODE(MID($C294,1,1))&lt;=104,VALUE(MID($C294,2,1))&gt;=1,VALUE(MID($C294,2,1))&lt;=8),(VALUE(MID($C294,2,1))-1)*8+CODE(MID($C294,1,1))-96,0),0))</f>
        <v>0</v>
      </c>
      <c r="E294" s="11" t="n">
        <f aca="false">IF(LEN($C294)&lt;4,0,IFERROR(IF(AND(CODE(MID($C294,3,1))&gt;=97,CODE(MID($C294,3,1))&lt;=104,VALUE(MID($C294,4,1))&gt;=1,VALUE(MID($C294,4,1))&lt;=8),(VALUE(MID($C294,4,1))-1)*8+CODE(MID($C294,3,1))-96,0),0))</f>
        <v>0</v>
      </c>
      <c r="F294" s="11" t="str">
        <f aca="false">IF(MOD(SUM($P$5:$P293),2)=0,"w","b")</f>
        <v>w</v>
      </c>
      <c r="G294" s="11" t="str">
        <f aca="false">IF($D294=0,"",INDEX($AH293:$CS293,1,$D294)&amp;"")</f>
        <v/>
      </c>
      <c r="H294" s="11" t="str">
        <f aca="false">IF($E294=0,"",INDEX($AH293:$CS293,1,$E294)&amp;"")</f>
        <v/>
      </c>
      <c r="I294" s="11" t="n">
        <f aca="false">IF(OR($D294=0,$E294=0),0,MOD($E294-1,8)-MOD($D294-1,8))</f>
        <v>0</v>
      </c>
      <c r="J294" s="11" t="n">
        <f aca="false">IF(OR($D294=0,$E294=0),0,INT(($E294-1)/8)-INT(($D294-1)/8))</f>
        <v>0</v>
      </c>
      <c r="K294" s="11" t="str">
        <f aca="false">IF($G294="","",RIGHT($G294,1))</f>
        <v/>
      </c>
      <c r="L294" s="11" t="n">
        <f aca="false">IF(OR($D294=0,$E294=0),0,SUMPRODUCT(($AH$3:$CS$3&gt;MIN($D294,$E294))*($AH$3:$CS$3&lt;MAX($D294,$E294))*(MOD($AH$3:$CS$3-MIN($D294,$E294),MAX(1,ABS(SIGN($J294)*8+SIGN($I294))))=0)*($AH293:$CS293&lt;&gt;"")))</f>
        <v>0</v>
      </c>
      <c r="M294" s="11" t="n">
        <f aca="false">IF($K294&lt;&gt;"K",0,IFERROR(--AND($J294=0,ABS($I294)=2,$D294=IF($F294="w",5,61),IF($F294="w",$S293,$V293)=0,IF($I294=2,AND(IF($F294="w",$U293,$X293)=0,INDEX($AH293:$CS293,1,$D294+1)&amp;""="",INDEX($AH293:$CS293,1,$D294+2)&amp;""=""),AND(IF($F294="w",$T293,$W293)=0,INDEX($AH293:$CS293,1,$D294-1)&amp;""="",INDEX($AH293:$CS293,1,$D294-2)&amp;""="",INDEX($AH293:$CS293,1,$D294-3)&amp;""=""))),0))</f>
        <v>0</v>
      </c>
      <c r="N294" s="11" t="n">
        <f aca="false">IF($K294&lt;&gt;"P",0,IFERROR(--OR(AND($I294=0,$J294=IF($F294="w",1,-1),$H294=""),AND($I294=0,$J294=2*IF($F294="w",1,-1),$H294="",INT(($D294-1)/8)=IF($F294="w",1,6),INDEX($AH293:$CS293,1,MAX(1,MIN(64,$D294+8*IF($F294="w",1,-1))))&amp;""=""),AND(ABS($I294)=1,$J294=IF($F294="w",1,-1),$H294&lt;&gt;""),AND(ABS($I294)=1,$J294=IF($F294="w",1,-1),$H294="",$R293&gt;0,$E294=$R293)),0))</f>
        <v>0</v>
      </c>
      <c r="O294" s="11" t="n">
        <f aca="false">IF(OR($D294=0,$E294=0,$G294=""),0,IF($K294="N",--OR(AND(ABS($I294)=1,ABS($J294)=2),AND(ABS($I294)=2,ABS($J294)=1)),IF($K294="B",--AND(ABS($I294)=ABS($J294),$I294&lt;&gt;0,$L294=0),IF($K294="R",--AND(OR($I294=0,$J294=0),OR($I294&lt;&gt;0,$J294&lt;&gt;0),$L294=0),IF($K294="Q",--AND(OR(AND(ABS($I294)=ABS($J294),$I294&lt;&gt;0),AND(OR($I294=0,$J294=0),OR($I294&lt;&gt;0,$J294&lt;&gt;0))),$L294=0),IF($K294="K",--OR(MAX(ABS($I294),ABS($J294))=1,$M294=1),$N294))))))</f>
        <v>0</v>
      </c>
      <c r="P294" s="11" t="n">
        <f aca="false">IF($Q294="OK",1,0)</f>
        <v>0</v>
      </c>
      <c r="Q294" s="11" t="str">
        <f aca="false">IF($B294="","",IF(OR(COUNTIF($AH293:$CS293,"wK")=0,COUNTIF($AH293:$CS293,"bK")=0),"Game is over",IF(OR($D294=0,$E294=0),"Use the format e2e4",IF($G294="","No piece on that square",IF(LEFT($G294,1)&lt;&gt;$F294,"Not your piece ("&amp;IF($F294="w","White","Black")&amp;" to move)",IF($D294=$E294,"Piece must move",IF(AND($H294&lt;&gt;"",LEFT($H294,1)=$F294),"Cannot capture your own piece",IF($O294=0,"Illegal move for that piece (or path blocked)","OK"))))))))</f>
        <v/>
      </c>
      <c r="R294" s="11" t="n">
        <f aca="false">IF($P294=1,IF(AND($K294="P",ABS($J294)=2),($D294+$E294)/2,0),$R293)</f>
        <v>0</v>
      </c>
      <c r="S294" s="12" t="b">
        <f aca="false">--OR($S293=1,AND($P294=1,OR($D294=5,$E294=5)))</f>
        <v>0</v>
      </c>
      <c r="T294" s="12" t="b">
        <f aca="false">--OR($T293=1,AND($P294=1,OR($D294=1,$E294=1)))</f>
        <v>0</v>
      </c>
      <c r="U294" s="12" t="b">
        <f aca="false">--OR($U293=1,AND($P294=1,OR($D294=8,$E294=8)))</f>
        <v>0</v>
      </c>
      <c r="V294" s="12" t="b">
        <f aca="false">--OR($V293=1,AND($P294=1,OR($D294=61,$E294=61)))</f>
        <v>0</v>
      </c>
      <c r="W294" s="12" t="b">
        <f aca="false">--OR($W293=1,AND($P294=1,OR($D294=57,$E294=57)))</f>
        <v>0</v>
      </c>
      <c r="X294" s="12" t="b">
        <f aca="false">--OR($X293=1,AND($P294=1,OR($D294=64,$E294=64)))</f>
        <v>0</v>
      </c>
      <c r="Y294" s="12" t="b">
        <f aca="false">--AND($P294=1,$K294="K",ABS($I294)=2)</f>
        <v>0</v>
      </c>
      <c r="Z294" s="12" t="b">
        <f aca="false">--AND($P294=1,$K294="P",ABS($I294)=1,$H294="")</f>
        <v>0</v>
      </c>
      <c r="AA294" s="12" t="b">
        <f aca="false">--AND($P294=1,$K294="P",INT(($E294-1)/8)=IF($F294="w",7,0))</f>
        <v>0</v>
      </c>
      <c r="AB294" s="11" t="str">
        <f aca="false">IF(LEN($C294)&gt;=5,IF(ISNUMBER(FIND(MID($C294,5,1),"qrbn")),UPPER(MID($C294,5,1)),"Q"),"Q")</f>
        <v>Q</v>
      </c>
      <c r="AC294" s="11" t="n">
        <f aca="false">IF($Y294=1,IF($I294=2,$D294+3,$D294-4),0)</f>
        <v>0</v>
      </c>
      <c r="AD294" s="11" t="n">
        <f aca="false">IF($Y294=1,IF($I294=2,$D294+1,$D294-1),0)</f>
        <v>0</v>
      </c>
      <c r="AE294" s="11" t="n">
        <f aca="false">IF($Z294=1,$E294-8*IF($F294="w",1,-1),0)</f>
        <v>0</v>
      </c>
      <c r="AF294" s="11" t="str">
        <f aca="false">IF($B294="","",IF($P294=1,LOWER(INDEX($CV$2:$CV$13,MATCH($G294,$CU$2:$CU$13,0)))&amp;" "&amp;MID("abcdefgh",MOD($D294-1,8)+1,1)&amp;(INT(($D294-1)/8)+1)&amp;"→"&amp;MID("abcdefgh",MOD($E294-1,8)+1,1)&amp;(INT(($E294-1)/8)+1)&amp;IF(OR($H294&lt;&gt;"",$Z294=1)," ×","")&amp;IF($Y294=1," castles","")&amp;IF($Z294=1," e.p.","")&amp;IF($AA294=1," =" &amp;LOWER(INDEX($CV$2:$CV$13,MATCH($F294&amp;$AB294,$CU$2:$CU$13,0))),""),"X "&amp;$Q294))</f>
        <v/>
      </c>
      <c r="AG294" s="11"/>
      <c r="AH294" s="11" t="str">
        <f aca="false">IF($P294=0,AH293,IF(AH$3=$E294,IF($AA294=1,$F294&amp;$AB294,$G294),IF(OR(AH$3=$D294,AH$3=$AC294,AH$3=$AE294),"",IF(AH$3=$AD294,$F294&amp;"R",AH293))))</f>
        <v>wR</v>
      </c>
      <c r="AI294" s="11" t="str">
        <f aca="false">IF($P294=0,AI293,IF(AI$3=$E294,IF($AA294=1,$F294&amp;$AB294,$G294),IF(OR(AI$3=$D294,AI$3=$AC294,AI$3=$AE294),"",IF(AI$3=$AD294,$F294&amp;"R",AI293))))</f>
        <v>wN</v>
      </c>
      <c r="AJ294" s="11" t="str">
        <f aca="false">IF($P294=0,AJ293,IF(AJ$3=$E294,IF($AA294=1,$F294&amp;$AB294,$G294),IF(OR(AJ$3=$D294,AJ$3=$AC294,AJ$3=$AE294),"",IF(AJ$3=$AD294,$F294&amp;"R",AJ293))))</f>
        <v>wB</v>
      </c>
      <c r="AK294" s="11" t="str">
        <f aca="false">IF($P294=0,AK293,IF(AK$3=$E294,IF($AA294=1,$F294&amp;$AB294,$G294),IF(OR(AK$3=$D294,AK$3=$AC294,AK$3=$AE294),"",IF(AK$3=$AD294,$F294&amp;"R",AK293))))</f>
        <v>wQ</v>
      </c>
      <c r="AL294" s="11" t="str">
        <f aca="false">IF($P294=0,AL293,IF(AL$3=$E294,IF($AA294=1,$F294&amp;$AB294,$G294),IF(OR(AL$3=$D294,AL$3=$AC294,AL$3=$AE294),"",IF(AL$3=$AD294,$F294&amp;"R",AL293))))</f>
        <v>wK</v>
      </c>
      <c r="AM294" s="11" t="str">
        <f aca="false">IF($P294=0,AM293,IF(AM$3=$E294,IF($AA294=1,$F294&amp;$AB294,$G294),IF(OR(AM$3=$D294,AM$3=$AC294,AM$3=$AE294),"",IF(AM$3=$AD294,$F294&amp;"R",AM293))))</f>
        <v>wB</v>
      </c>
      <c r="AN294" s="11" t="str">
        <f aca="false">IF($P294=0,AN293,IF(AN$3=$E294,IF($AA294=1,$F294&amp;$AB294,$G294),IF(OR(AN$3=$D294,AN$3=$AC294,AN$3=$AE294),"",IF(AN$3=$AD294,$F294&amp;"R",AN293))))</f>
        <v>wN</v>
      </c>
      <c r="AO294" s="11" t="str">
        <f aca="false">IF($P294=0,AO293,IF(AO$3=$E294,IF($AA294=1,$F294&amp;$AB294,$G294),IF(OR(AO$3=$D294,AO$3=$AC294,AO$3=$AE294),"",IF(AO$3=$AD294,$F294&amp;"R",AO293))))</f>
        <v>wR</v>
      </c>
      <c r="AP294" s="11" t="str">
        <f aca="false">IF($P294=0,AP293,IF(AP$3=$E294,IF($AA294=1,$F294&amp;$AB294,$G294),IF(OR(AP$3=$D294,AP$3=$AC294,AP$3=$AE294),"",IF(AP$3=$AD294,$F294&amp;"R",AP293))))</f>
        <v>wP</v>
      </c>
      <c r="AQ294" s="11" t="str">
        <f aca="false">IF($P294=0,AQ293,IF(AQ$3=$E294,IF($AA294=1,$F294&amp;$AB294,$G294),IF(OR(AQ$3=$D294,AQ$3=$AC294,AQ$3=$AE294),"",IF(AQ$3=$AD294,$F294&amp;"R",AQ293))))</f>
        <v>wP</v>
      </c>
      <c r="AR294" s="11" t="str">
        <f aca="false">IF($P294=0,AR293,IF(AR$3=$E294,IF($AA294=1,$F294&amp;$AB294,$G294),IF(OR(AR$3=$D294,AR$3=$AC294,AR$3=$AE294),"",IF(AR$3=$AD294,$F294&amp;"R",AR293))))</f>
        <v>wP</v>
      </c>
      <c r="AS294" s="11" t="str">
        <f aca="false">IF($P294=0,AS293,IF(AS$3=$E294,IF($AA294=1,$F294&amp;$AB294,$G294),IF(OR(AS$3=$D294,AS$3=$AC294,AS$3=$AE294),"",IF(AS$3=$AD294,$F294&amp;"R",AS293))))</f>
        <v>wP</v>
      </c>
      <c r="AT294" s="11" t="str">
        <f aca="false">IF($P294=0,AT293,IF(AT$3=$E294,IF($AA294=1,$F294&amp;$AB294,$G294),IF(OR(AT$3=$D294,AT$3=$AC294,AT$3=$AE294),"",IF(AT$3=$AD294,$F294&amp;"R",AT293))))</f>
        <v>wP</v>
      </c>
      <c r="AU294" s="11" t="str">
        <f aca="false">IF($P294=0,AU293,IF(AU$3=$E294,IF($AA294=1,$F294&amp;$AB294,$G294),IF(OR(AU$3=$D294,AU$3=$AC294,AU$3=$AE294),"",IF(AU$3=$AD294,$F294&amp;"R",AU293))))</f>
        <v>wP</v>
      </c>
      <c r="AV294" s="11" t="str">
        <f aca="false">IF($P294=0,AV293,IF(AV$3=$E294,IF($AA294=1,$F294&amp;$AB294,$G294),IF(OR(AV$3=$D294,AV$3=$AC294,AV$3=$AE294),"",IF(AV$3=$AD294,$F294&amp;"R",AV293))))</f>
        <v>wP</v>
      </c>
      <c r="AW294" s="11" t="str">
        <f aca="false">IF($P294=0,AW293,IF(AW$3=$E294,IF($AA294=1,$F294&amp;$AB294,$G294),IF(OR(AW$3=$D294,AW$3=$AC294,AW$3=$AE294),"",IF(AW$3=$AD294,$F294&amp;"R",AW293))))</f>
        <v>wP</v>
      </c>
      <c r="AX294" s="11" t="str">
        <f aca="false">IF($P294=0,AX293,IF(AX$3=$E294,IF($AA294=1,$F294&amp;$AB294,$G294),IF(OR(AX$3=$D294,AX$3=$AC294,AX$3=$AE294),"",IF(AX$3=$AD294,$F294&amp;"R",AX293))))</f>
        <v/>
      </c>
      <c r="AY294" s="11" t="str">
        <f aca="false">IF($P294=0,AY293,IF(AY$3=$E294,IF($AA294=1,$F294&amp;$AB294,$G294),IF(OR(AY$3=$D294,AY$3=$AC294,AY$3=$AE294),"",IF(AY$3=$AD294,$F294&amp;"R",AY293))))</f>
        <v/>
      </c>
      <c r="AZ294" s="11" t="str">
        <f aca="false">IF($P294=0,AZ293,IF(AZ$3=$E294,IF($AA294=1,$F294&amp;$AB294,$G294),IF(OR(AZ$3=$D294,AZ$3=$AC294,AZ$3=$AE294),"",IF(AZ$3=$AD294,$F294&amp;"R",AZ293))))</f>
        <v/>
      </c>
      <c r="BA294" s="11" t="str">
        <f aca="false">IF($P294=0,BA293,IF(BA$3=$E294,IF($AA294=1,$F294&amp;$AB294,$G294),IF(OR(BA$3=$D294,BA$3=$AC294,BA$3=$AE294),"",IF(BA$3=$AD294,$F294&amp;"R",BA293))))</f>
        <v/>
      </c>
      <c r="BB294" s="11" t="str">
        <f aca="false">IF($P294=0,BB293,IF(BB$3=$E294,IF($AA294=1,$F294&amp;$AB294,$G294),IF(OR(BB$3=$D294,BB$3=$AC294,BB$3=$AE294),"",IF(BB$3=$AD294,$F294&amp;"R",BB293))))</f>
        <v/>
      </c>
      <c r="BC294" s="11" t="str">
        <f aca="false">IF($P294=0,BC293,IF(BC$3=$E294,IF($AA294=1,$F294&amp;$AB294,$G294),IF(OR(BC$3=$D294,BC$3=$AC294,BC$3=$AE294),"",IF(BC$3=$AD294,$F294&amp;"R",BC293))))</f>
        <v/>
      </c>
      <c r="BD294" s="11" t="str">
        <f aca="false">IF($P294=0,BD293,IF(BD$3=$E294,IF($AA294=1,$F294&amp;$AB294,$G294),IF(OR(BD$3=$D294,BD$3=$AC294,BD$3=$AE294),"",IF(BD$3=$AD294,$F294&amp;"R",BD293))))</f>
        <v/>
      </c>
      <c r="BE294" s="11" t="str">
        <f aca="false">IF($P294=0,BE293,IF(BE$3=$E294,IF($AA294=1,$F294&amp;$AB294,$G294),IF(OR(BE$3=$D294,BE$3=$AC294,BE$3=$AE294),"",IF(BE$3=$AD294,$F294&amp;"R",BE293))))</f>
        <v/>
      </c>
      <c r="BF294" s="11" t="str">
        <f aca="false">IF($P294=0,BF293,IF(BF$3=$E294,IF($AA294=1,$F294&amp;$AB294,$G294),IF(OR(BF$3=$D294,BF$3=$AC294,BF$3=$AE294),"",IF(BF$3=$AD294,$F294&amp;"R",BF293))))</f>
        <v/>
      </c>
      <c r="BG294" s="11" t="str">
        <f aca="false">IF($P294=0,BG293,IF(BG$3=$E294,IF($AA294=1,$F294&amp;$AB294,$G294),IF(OR(BG$3=$D294,BG$3=$AC294,BG$3=$AE294),"",IF(BG$3=$AD294,$F294&amp;"R",BG293))))</f>
        <v/>
      </c>
      <c r="BH294" s="11" t="str">
        <f aca="false">IF($P294=0,BH293,IF(BH$3=$E294,IF($AA294=1,$F294&amp;$AB294,$G294),IF(OR(BH$3=$D294,BH$3=$AC294,BH$3=$AE294),"",IF(BH$3=$AD294,$F294&amp;"R",BH293))))</f>
        <v/>
      </c>
      <c r="BI294" s="11" t="str">
        <f aca="false">IF($P294=0,BI293,IF(BI$3=$E294,IF($AA294=1,$F294&amp;$AB294,$G294),IF(OR(BI$3=$D294,BI$3=$AC294,BI$3=$AE294),"",IF(BI$3=$AD294,$F294&amp;"R",BI293))))</f>
        <v/>
      </c>
      <c r="BJ294" s="11" t="str">
        <f aca="false">IF($P294=0,BJ293,IF(BJ$3=$E294,IF($AA294=1,$F294&amp;$AB294,$G294),IF(OR(BJ$3=$D294,BJ$3=$AC294,BJ$3=$AE294),"",IF(BJ$3=$AD294,$F294&amp;"R",BJ293))))</f>
        <v/>
      </c>
      <c r="BK294" s="11" t="str">
        <f aca="false">IF($P294=0,BK293,IF(BK$3=$E294,IF($AA294=1,$F294&amp;$AB294,$G294),IF(OR(BK$3=$D294,BK$3=$AC294,BK$3=$AE294),"",IF(BK$3=$AD294,$F294&amp;"R",BK293))))</f>
        <v/>
      </c>
      <c r="BL294" s="11" t="str">
        <f aca="false">IF($P294=0,BL293,IF(BL$3=$E294,IF($AA294=1,$F294&amp;$AB294,$G294),IF(OR(BL$3=$D294,BL$3=$AC294,BL$3=$AE294),"",IF(BL$3=$AD294,$F294&amp;"R",BL293))))</f>
        <v/>
      </c>
      <c r="BM294" s="11" t="str">
        <f aca="false">IF($P294=0,BM293,IF(BM$3=$E294,IF($AA294=1,$F294&amp;$AB294,$G294),IF(OR(BM$3=$D294,BM$3=$AC294,BM$3=$AE294),"",IF(BM$3=$AD294,$F294&amp;"R",BM293))))</f>
        <v/>
      </c>
      <c r="BN294" s="11" t="str">
        <f aca="false">IF($P294=0,BN293,IF(BN$3=$E294,IF($AA294=1,$F294&amp;$AB294,$G294),IF(OR(BN$3=$D294,BN$3=$AC294,BN$3=$AE294),"",IF(BN$3=$AD294,$F294&amp;"R",BN293))))</f>
        <v/>
      </c>
      <c r="BO294" s="11" t="str">
        <f aca="false">IF($P294=0,BO293,IF(BO$3=$E294,IF($AA294=1,$F294&amp;$AB294,$G294),IF(OR(BO$3=$D294,BO$3=$AC294,BO$3=$AE294),"",IF(BO$3=$AD294,$F294&amp;"R",BO293))))</f>
        <v/>
      </c>
      <c r="BP294" s="11" t="str">
        <f aca="false">IF($P294=0,BP293,IF(BP$3=$E294,IF($AA294=1,$F294&amp;$AB294,$G294),IF(OR(BP$3=$D294,BP$3=$AC294,BP$3=$AE294),"",IF(BP$3=$AD294,$F294&amp;"R",BP293))))</f>
        <v/>
      </c>
      <c r="BQ294" s="11" t="str">
        <f aca="false">IF($P294=0,BQ293,IF(BQ$3=$E294,IF($AA294=1,$F294&amp;$AB294,$G294),IF(OR(BQ$3=$D294,BQ$3=$AC294,BQ$3=$AE294),"",IF(BQ$3=$AD294,$F294&amp;"R",BQ293))))</f>
        <v/>
      </c>
      <c r="BR294" s="11" t="str">
        <f aca="false">IF($P294=0,BR293,IF(BR$3=$E294,IF($AA294=1,$F294&amp;$AB294,$G294),IF(OR(BR$3=$D294,BR$3=$AC294,BR$3=$AE294),"",IF(BR$3=$AD294,$F294&amp;"R",BR293))))</f>
        <v/>
      </c>
      <c r="BS294" s="11" t="str">
        <f aca="false">IF($P294=0,BS293,IF(BS$3=$E294,IF($AA294=1,$F294&amp;$AB294,$G294),IF(OR(BS$3=$D294,BS$3=$AC294,BS$3=$AE294),"",IF(BS$3=$AD294,$F294&amp;"R",BS293))))</f>
        <v/>
      </c>
      <c r="BT294" s="11" t="str">
        <f aca="false">IF($P294=0,BT293,IF(BT$3=$E294,IF($AA294=1,$F294&amp;$AB294,$G294),IF(OR(BT$3=$D294,BT$3=$AC294,BT$3=$AE294),"",IF(BT$3=$AD294,$F294&amp;"R",BT293))))</f>
        <v/>
      </c>
      <c r="BU294" s="11" t="str">
        <f aca="false">IF($P294=0,BU293,IF(BU$3=$E294,IF($AA294=1,$F294&amp;$AB294,$G294),IF(OR(BU$3=$D294,BU$3=$AC294,BU$3=$AE294),"",IF(BU$3=$AD294,$F294&amp;"R",BU293))))</f>
        <v/>
      </c>
      <c r="BV294" s="11" t="str">
        <f aca="false">IF($P294=0,BV293,IF(BV$3=$E294,IF($AA294=1,$F294&amp;$AB294,$G294),IF(OR(BV$3=$D294,BV$3=$AC294,BV$3=$AE294),"",IF(BV$3=$AD294,$F294&amp;"R",BV293))))</f>
        <v/>
      </c>
      <c r="BW294" s="11" t="str">
        <f aca="false">IF($P294=0,BW293,IF(BW$3=$E294,IF($AA294=1,$F294&amp;$AB294,$G294),IF(OR(BW$3=$D294,BW$3=$AC294,BW$3=$AE294),"",IF(BW$3=$AD294,$F294&amp;"R",BW293))))</f>
        <v/>
      </c>
      <c r="BX294" s="11" t="str">
        <f aca="false">IF($P294=0,BX293,IF(BX$3=$E294,IF($AA294=1,$F294&amp;$AB294,$G294),IF(OR(BX$3=$D294,BX$3=$AC294,BX$3=$AE294),"",IF(BX$3=$AD294,$F294&amp;"R",BX293))))</f>
        <v/>
      </c>
      <c r="BY294" s="11" t="str">
        <f aca="false">IF($P294=0,BY293,IF(BY$3=$E294,IF($AA294=1,$F294&amp;$AB294,$G294),IF(OR(BY$3=$D294,BY$3=$AC294,BY$3=$AE294),"",IF(BY$3=$AD294,$F294&amp;"R",BY293))))</f>
        <v/>
      </c>
      <c r="BZ294" s="11" t="str">
        <f aca="false">IF($P294=0,BZ293,IF(BZ$3=$E294,IF($AA294=1,$F294&amp;$AB294,$G294),IF(OR(BZ$3=$D294,BZ$3=$AC294,BZ$3=$AE294),"",IF(BZ$3=$AD294,$F294&amp;"R",BZ293))))</f>
        <v/>
      </c>
      <c r="CA294" s="11" t="str">
        <f aca="false">IF($P294=0,CA293,IF(CA$3=$E294,IF($AA294=1,$F294&amp;$AB294,$G294),IF(OR(CA$3=$D294,CA$3=$AC294,CA$3=$AE294),"",IF(CA$3=$AD294,$F294&amp;"R",CA293))))</f>
        <v/>
      </c>
      <c r="CB294" s="11" t="str">
        <f aca="false">IF($P294=0,CB293,IF(CB$3=$E294,IF($AA294=1,$F294&amp;$AB294,$G294),IF(OR(CB$3=$D294,CB$3=$AC294,CB$3=$AE294),"",IF(CB$3=$AD294,$F294&amp;"R",CB293))))</f>
        <v/>
      </c>
      <c r="CC294" s="11" t="str">
        <f aca="false">IF($P294=0,CC293,IF(CC$3=$E294,IF($AA294=1,$F294&amp;$AB294,$G294),IF(OR(CC$3=$D294,CC$3=$AC294,CC$3=$AE294),"",IF(CC$3=$AD294,$F294&amp;"R",CC293))))</f>
        <v/>
      </c>
      <c r="CD294" s="11" t="str">
        <f aca="false">IF($P294=0,CD293,IF(CD$3=$E294,IF($AA294=1,$F294&amp;$AB294,$G294),IF(OR(CD$3=$D294,CD$3=$AC294,CD$3=$AE294),"",IF(CD$3=$AD294,$F294&amp;"R",CD293))))</f>
        <v>bP</v>
      </c>
      <c r="CE294" s="11" t="str">
        <f aca="false">IF($P294=0,CE293,IF(CE$3=$E294,IF($AA294=1,$F294&amp;$AB294,$G294),IF(OR(CE$3=$D294,CE$3=$AC294,CE$3=$AE294),"",IF(CE$3=$AD294,$F294&amp;"R",CE293))))</f>
        <v>bP</v>
      </c>
      <c r="CF294" s="11" t="str">
        <f aca="false">IF($P294=0,CF293,IF(CF$3=$E294,IF($AA294=1,$F294&amp;$AB294,$G294),IF(OR(CF$3=$D294,CF$3=$AC294,CF$3=$AE294),"",IF(CF$3=$AD294,$F294&amp;"R",CF293))))</f>
        <v>bP</v>
      </c>
      <c r="CG294" s="11" t="str">
        <f aca="false">IF($P294=0,CG293,IF(CG$3=$E294,IF($AA294=1,$F294&amp;$AB294,$G294),IF(OR(CG$3=$D294,CG$3=$AC294,CG$3=$AE294),"",IF(CG$3=$AD294,$F294&amp;"R",CG293))))</f>
        <v>bP</v>
      </c>
      <c r="CH294" s="11" t="str">
        <f aca="false">IF($P294=0,CH293,IF(CH$3=$E294,IF($AA294=1,$F294&amp;$AB294,$G294),IF(OR(CH$3=$D294,CH$3=$AC294,CH$3=$AE294),"",IF(CH$3=$AD294,$F294&amp;"R",CH293))))</f>
        <v>bP</v>
      </c>
      <c r="CI294" s="11" t="str">
        <f aca="false">IF($P294=0,CI293,IF(CI$3=$E294,IF($AA294=1,$F294&amp;$AB294,$G294),IF(OR(CI$3=$D294,CI$3=$AC294,CI$3=$AE294),"",IF(CI$3=$AD294,$F294&amp;"R",CI293))))</f>
        <v>bP</v>
      </c>
      <c r="CJ294" s="11" t="str">
        <f aca="false">IF($P294=0,CJ293,IF(CJ$3=$E294,IF($AA294=1,$F294&amp;$AB294,$G294),IF(OR(CJ$3=$D294,CJ$3=$AC294,CJ$3=$AE294),"",IF(CJ$3=$AD294,$F294&amp;"R",CJ293))))</f>
        <v>bP</v>
      </c>
      <c r="CK294" s="11" t="str">
        <f aca="false">IF($P294=0,CK293,IF(CK$3=$E294,IF($AA294=1,$F294&amp;$AB294,$G294),IF(OR(CK$3=$D294,CK$3=$AC294,CK$3=$AE294),"",IF(CK$3=$AD294,$F294&amp;"R",CK293))))</f>
        <v>bP</v>
      </c>
      <c r="CL294" s="11" t="str">
        <f aca="false">IF($P294=0,CL293,IF(CL$3=$E294,IF($AA294=1,$F294&amp;$AB294,$G294),IF(OR(CL$3=$D294,CL$3=$AC294,CL$3=$AE294),"",IF(CL$3=$AD294,$F294&amp;"R",CL293))))</f>
        <v>bR</v>
      </c>
      <c r="CM294" s="11" t="str">
        <f aca="false">IF($P294=0,CM293,IF(CM$3=$E294,IF($AA294=1,$F294&amp;$AB294,$G294),IF(OR(CM$3=$D294,CM$3=$AC294,CM$3=$AE294),"",IF(CM$3=$AD294,$F294&amp;"R",CM293))))</f>
        <v>bN</v>
      </c>
      <c r="CN294" s="11" t="str">
        <f aca="false">IF($P294=0,CN293,IF(CN$3=$E294,IF($AA294=1,$F294&amp;$AB294,$G294),IF(OR(CN$3=$D294,CN$3=$AC294,CN$3=$AE294),"",IF(CN$3=$AD294,$F294&amp;"R",CN293))))</f>
        <v>bB</v>
      </c>
      <c r="CO294" s="11" t="str">
        <f aca="false">IF($P294=0,CO293,IF(CO$3=$E294,IF($AA294=1,$F294&amp;$AB294,$G294),IF(OR(CO$3=$D294,CO$3=$AC294,CO$3=$AE294),"",IF(CO$3=$AD294,$F294&amp;"R",CO293))))</f>
        <v>bQ</v>
      </c>
      <c r="CP294" s="11" t="str">
        <f aca="false">IF($P294=0,CP293,IF(CP$3=$E294,IF($AA294=1,$F294&amp;$AB294,$G294),IF(OR(CP$3=$D294,CP$3=$AC294,CP$3=$AE294),"",IF(CP$3=$AD294,$F294&amp;"R",CP293))))</f>
        <v>bK</v>
      </c>
      <c r="CQ294" s="11" t="str">
        <f aca="false">IF($P294=0,CQ293,IF(CQ$3=$E294,IF($AA294=1,$F294&amp;$AB294,$G294),IF(OR(CQ$3=$D294,CQ$3=$AC294,CQ$3=$AE294),"",IF(CQ$3=$AD294,$F294&amp;"R",CQ293))))</f>
        <v>bB</v>
      </c>
      <c r="CR294" s="11" t="str">
        <f aca="false">IF($P294=0,CR293,IF(CR$3=$E294,IF($AA294=1,$F294&amp;$AB294,$G294),IF(OR(CR$3=$D294,CR$3=$AC294,CR$3=$AE294),"",IF(CR$3=$AD294,$F294&amp;"R",CR293))))</f>
        <v>bN</v>
      </c>
      <c r="CS294" s="11" t="str">
        <f aca="false">IF($P294=0,CS293,IF(CS$3=$E294,IF($AA294=1,$F294&amp;$AB294,$G294),IF(OR(CS$3=$D294,CS$3=$AC294,CS$3=$AE294),"",IF(CS$3=$AD294,$F294&amp;"R",CS293))))</f>
        <v>bR</v>
      </c>
      <c r="CT294" s="11"/>
      <c r="CU294" s="11"/>
      <c r="CV294" s="11"/>
    </row>
    <row r="295" customFormat="false" ht="15" hidden="false" customHeight="false" outlineLevel="0" collapsed="false">
      <c r="A295" s="11" t="n">
        <v>290</v>
      </c>
      <c r="B295" s="11" t="str">
        <f aca="false">IF(Chess!$L$299="","",Chess!$L$299&amp;"")</f>
        <v/>
      </c>
      <c r="C295" s="11" t="str">
        <f aca="false">LOWER(SUBSTITUTE(SUBSTITUTE(SUBSTITUTE(SUBSTITUTE(TRIM($B295),"-",""),"=","")," ",""),"x",""))</f>
        <v/>
      </c>
      <c r="D295" s="11" t="n">
        <f aca="false">IF(LEN($C295)&lt;4,0,IFERROR(IF(AND(CODE(MID($C295,1,1))&gt;=97,CODE(MID($C295,1,1))&lt;=104,VALUE(MID($C295,2,1))&gt;=1,VALUE(MID($C295,2,1))&lt;=8),(VALUE(MID($C295,2,1))-1)*8+CODE(MID($C295,1,1))-96,0),0))</f>
        <v>0</v>
      </c>
      <c r="E295" s="11" t="n">
        <f aca="false">IF(LEN($C295)&lt;4,0,IFERROR(IF(AND(CODE(MID($C295,3,1))&gt;=97,CODE(MID($C295,3,1))&lt;=104,VALUE(MID($C295,4,1))&gt;=1,VALUE(MID($C295,4,1))&lt;=8),(VALUE(MID($C295,4,1))-1)*8+CODE(MID($C295,3,1))-96,0),0))</f>
        <v>0</v>
      </c>
      <c r="F295" s="11" t="str">
        <f aca="false">IF(MOD(SUM($P$5:$P294),2)=0,"w","b")</f>
        <v>w</v>
      </c>
      <c r="G295" s="11" t="str">
        <f aca="false">IF($D295=0,"",INDEX($AH294:$CS294,1,$D295)&amp;"")</f>
        <v/>
      </c>
      <c r="H295" s="11" t="str">
        <f aca="false">IF($E295=0,"",INDEX($AH294:$CS294,1,$E295)&amp;"")</f>
        <v/>
      </c>
      <c r="I295" s="11" t="n">
        <f aca="false">IF(OR($D295=0,$E295=0),0,MOD($E295-1,8)-MOD($D295-1,8))</f>
        <v>0</v>
      </c>
      <c r="J295" s="11" t="n">
        <f aca="false">IF(OR($D295=0,$E295=0),0,INT(($E295-1)/8)-INT(($D295-1)/8))</f>
        <v>0</v>
      </c>
      <c r="K295" s="11" t="str">
        <f aca="false">IF($G295="","",RIGHT($G295,1))</f>
        <v/>
      </c>
      <c r="L295" s="11" t="n">
        <f aca="false">IF(OR($D295=0,$E295=0),0,SUMPRODUCT(($AH$3:$CS$3&gt;MIN($D295,$E295))*($AH$3:$CS$3&lt;MAX($D295,$E295))*(MOD($AH$3:$CS$3-MIN($D295,$E295),MAX(1,ABS(SIGN($J295)*8+SIGN($I295))))=0)*($AH294:$CS294&lt;&gt;"")))</f>
        <v>0</v>
      </c>
      <c r="M295" s="11" t="n">
        <f aca="false">IF($K295&lt;&gt;"K",0,IFERROR(--AND($J295=0,ABS($I295)=2,$D295=IF($F295="w",5,61),IF($F295="w",$S294,$V294)=0,IF($I295=2,AND(IF($F295="w",$U294,$X294)=0,INDEX($AH294:$CS294,1,$D295+1)&amp;""="",INDEX($AH294:$CS294,1,$D295+2)&amp;""=""),AND(IF($F295="w",$T294,$W294)=0,INDEX($AH294:$CS294,1,$D295-1)&amp;""="",INDEX($AH294:$CS294,1,$D295-2)&amp;""="",INDEX($AH294:$CS294,1,$D295-3)&amp;""=""))),0))</f>
        <v>0</v>
      </c>
      <c r="N295" s="11" t="n">
        <f aca="false">IF($K295&lt;&gt;"P",0,IFERROR(--OR(AND($I295=0,$J295=IF($F295="w",1,-1),$H295=""),AND($I295=0,$J295=2*IF($F295="w",1,-1),$H295="",INT(($D295-1)/8)=IF($F295="w",1,6),INDEX($AH294:$CS294,1,MAX(1,MIN(64,$D295+8*IF($F295="w",1,-1))))&amp;""=""),AND(ABS($I295)=1,$J295=IF($F295="w",1,-1),$H295&lt;&gt;""),AND(ABS($I295)=1,$J295=IF($F295="w",1,-1),$H295="",$R294&gt;0,$E295=$R294)),0))</f>
        <v>0</v>
      </c>
      <c r="O295" s="11" t="n">
        <f aca="false">IF(OR($D295=0,$E295=0,$G295=""),0,IF($K295="N",--OR(AND(ABS($I295)=1,ABS($J295)=2),AND(ABS($I295)=2,ABS($J295)=1)),IF($K295="B",--AND(ABS($I295)=ABS($J295),$I295&lt;&gt;0,$L295=0),IF($K295="R",--AND(OR($I295=0,$J295=0),OR($I295&lt;&gt;0,$J295&lt;&gt;0),$L295=0),IF($K295="Q",--AND(OR(AND(ABS($I295)=ABS($J295),$I295&lt;&gt;0),AND(OR($I295=0,$J295=0),OR($I295&lt;&gt;0,$J295&lt;&gt;0))),$L295=0),IF($K295="K",--OR(MAX(ABS($I295),ABS($J295))=1,$M295=1),$N295))))))</f>
        <v>0</v>
      </c>
      <c r="P295" s="11" t="n">
        <f aca="false">IF($Q295="OK",1,0)</f>
        <v>0</v>
      </c>
      <c r="Q295" s="11" t="str">
        <f aca="false">IF($B295="","",IF(OR(COUNTIF($AH294:$CS294,"wK")=0,COUNTIF($AH294:$CS294,"bK")=0),"Game is over",IF(OR($D295=0,$E295=0),"Use the format e2e4",IF($G295="","No piece on that square",IF(LEFT($G295,1)&lt;&gt;$F295,"Not your piece ("&amp;IF($F295="w","White","Black")&amp;" to move)",IF($D295=$E295,"Piece must move",IF(AND($H295&lt;&gt;"",LEFT($H295,1)=$F295),"Cannot capture your own piece",IF($O295=0,"Illegal move for that piece (or path blocked)","OK"))))))))</f>
        <v/>
      </c>
      <c r="R295" s="11" t="n">
        <f aca="false">IF($P295=1,IF(AND($K295="P",ABS($J295)=2),($D295+$E295)/2,0),$R294)</f>
        <v>0</v>
      </c>
      <c r="S295" s="12" t="b">
        <f aca="false">--OR($S294=1,AND($P295=1,OR($D295=5,$E295=5)))</f>
        <v>0</v>
      </c>
      <c r="T295" s="12" t="b">
        <f aca="false">--OR($T294=1,AND($P295=1,OR($D295=1,$E295=1)))</f>
        <v>0</v>
      </c>
      <c r="U295" s="12" t="b">
        <f aca="false">--OR($U294=1,AND($P295=1,OR($D295=8,$E295=8)))</f>
        <v>0</v>
      </c>
      <c r="V295" s="12" t="b">
        <f aca="false">--OR($V294=1,AND($P295=1,OR($D295=61,$E295=61)))</f>
        <v>0</v>
      </c>
      <c r="W295" s="12" t="b">
        <f aca="false">--OR($W294=1,AND($P295=1,OR($D295=57,$E295=57)))</f>
        <v>0</v>
      </c>
      <c r="X295" s="12" t="b">
        <f aca="false">--OR($X294=1,AND($P295=1,OR($D295=64,$E295=64)))</f>
        <v>0</v>
      </c>
      <c r="Y295" s="12" t="b">
        <f aca="false">--AND($P295=1,$K295="K",ABS($I295)=2)</f>
        <v>0</v>
      </c>
      <c r="Z295" s="12" t="b">
        <f aca="false">--AND($P295=1,$K295="P",ABS($I295)=1,$H295="")</f>
        <v>0</v>
      </c>
      <c r="AA295" s="12" t="b">
        <f aca="false">--AND($P295=1,$K295="P",INT(($E295-1)/8)=IF($F295="w",7,0))</f>
        <v>0</v>
      </c>
      <c r="AB295" s="11" t="str">
        <f aca="false">IF(LEN($C295)&gt;=5,IF(ISNUMBER(FIND(MID($C295,5,1),"qrbn")),UPPER(MID($C295,5,1)),"Q"),"Q")</f>
        <v>Q</v>
      </c>
      <c r="AC295" s="11" t="n">
        <f aca="false">IF($Y295=1,IF($I295=2,$D295+3,$D295-4),0)</f>
        <v>0</v>
      </c>
      <c r="AD295" s="11" t="n">
        <f aca="false">IF($Y295=1,IF($I295=2,$D295+1,$D295-1),0)</f>
        <v>0</v>
      </c>
      <c r="AE295" s="11" t="n">
        <f aca="false">IF($Z295=1,$E295-8*IF($F295="w",1,-1),0)</f>
        <v>0</v>
      </c>
      <c r="AF295" s="11" t="str">
        <f aca="false">IF($B295="","",IF($P295=1,LOWER(INDEX($CV$2:$CV$13,MATCH($G295,$CU$2:$CU$13,0)))&amp;" "&amp;MID("abcdefgh",MOD($D295-1,8)+1,1)&amp;(INT(($D295-1)/8)+1)&amp;"→"&amp;MID("abcdefgh",MOD($E295-1,8)+1,1)&amp;(INT(($E295-1)/8)+1)&amp;IF(OR($H295&lt;&gt;"",$Z295=1)," ×","")&amp;IF($Y295=1," castles","")&amp;IF($Z295=1," e.p.","")&amp;IF($AA295=1," =" &amp;LOWER(INDEX($CV$2:$CV$13,MATCH($F295&amp;$AB295,$CU$2:$CU$13,0))),""),"X "&amp;$Q295))</f>
        <v/>
      </c>
      <c r="AG295" s="11"/>
      <c r="AH295" s="11" t="str">
        <f aca="false">IF($P295=0,AH294,IF(AH$3=$E295,IF($AA295=1,$F295&amp;$AB295,$G295),IF(OR(AH$3=$D295,AH$3=$AC295,AH$3=$AE295),"",IF(AH$3=$AD295,$F295&amp;"R",AH294))))</f>
        <v>wR</v>
      </c>
      <c r="AI295" s="11" t="str">
        <f aca="false">IF($P295=0,AI294,IF(AI$3=$E295,IF($AA295=1,$F295&amp;$AB295,$G295),IF(OR(AI$3=$D295,AI$3=$AC295,AI$3=$AE295),"",IF(AI$3=$AD295,$F295&amp;"R",AI294))))</f>
        <v>wN</v>
      </c>
      <c r="AJ295" s="11" t="str">
        <f aca="false">IF($P295=0,AJ294,IF(AJ$3=$E295,IF($AA295=1,$F295&amp;$AB295,$G295),IF(OR(AJ$3=$D295,AJ$3=$AC295,AJ$3=$AE295),"",IF(AJ$3=$AD295,$F295&amp;"R",AJ294))))</f>
        <v>wB</v>
      </c>
      <c r="AK295" s="11" t="str">
        <f aca="false">IF($P295=0,AK294,IF(AK$3=$E295,IF($AA295=1,$F295&amp;$AB295,$G295),IF(OR(AK$3=$D295,AK$3=$AC295,AK$3=$AE295),"",IF(AK$3=$AD295,$F295&amp;"R",AK294))))</f>
        <v>wQ</v>
      </c>
      <c r="AL295" s="11" t="str">
        <f aca="false">IF($P295=0,AL294,IF(AL$3=$E295,IF($AA295=1,$F295&amp;$AB295,$G295),IF(OR(AL$3=$D295,AL$3=$AC295,AL$3=$AE295),"",IF(AL$3=$AD295,$F295&amp;"R",AL294))))</f>
        <v>wK</v>
      </c>
      <c r="AM295" s="11" t="str">
        <f aca="false">IF($P295=0,AM294,IF(AM$3=$E295,IF($AA295=1,$F295&amp;$AB295,$G295),IF(OR(AM$3=$D295,AM$3=$AC295,AM$3=$AE295),"",IF(AM$3=$AD295,$F295&amp;"R",AM294))))</f>
        <v>wB</v>
      </c>
      <c r="AN295" s="11" t="str">
        <f aca="false">IF($P295=0,AN294,IF(AN$3=$E295,IF($AA295=1,$F295&amp;$AB295,$G295),IF(OR(AN$3=$D295,AN$3=$AC295,AN$3=$AE295),"",IF(AN$3=$AD295,$F295&amp;"R",AN294))))</f>
        <v>wN</v>
      </c>
      <c r="AO295" s="11" t="str">
        <f aca="false">IF($P295=0,AO294,IF(AO$3=$E295,IF($AA295=1,$F295&amp;$AB295,$G295),IF(OR(AO$3=$D295,AO$3=$AC295,AO$3=$AE295),"",IF(AO$3=$AD295,$F295&amp;"R",AO294))))</f>
        <v>wR</v>
      </c>
      <c r="AP295" s="11" t="str">
        <f aca="false">IF($P295=0,AP294,IF(AP$3=$E295,IF($AA295=1,$F295&amp;$AB295,$G295),IF(OR(AP$3=$D295,AP$3=$AC295,AP$3=$AE295),"",IF(AP$3=$AD295,$F295&amp;"R",AP294))))</f>
        <v>wP</v>
      </c>
      <c r="AQ295" s="11" t="str">
        <f aca="false">IF($P295=0,AQ294,IF(AQ$3=$E295,IF($AA295=1,$F295&amp;$AB295,$G295),IF(OR(AQ$3=$D295,AQ$3=$AC295,AQ$3=$AE295),"",IF(AQ$3=$AD295,$F295&amp;"R",AQ294))))</f>
        <v>wP</v>
      </c>
      <c r="AR295" s="11" t="str">
        <f aca="false">IF($P295=0,AR294,IF(AR$3=$E295,IF($AA295=1,$F295&amp;$AB295,$G295),IF(OR(AR$3=$D295,AR$3=$AC295,AR$3=$AE295),"",IF(AR$3=$AD295,$F295&amp;"R",AR294))))</f>
        <v>wP</v>
      </c>
      <c r="AS295" s="11" t="str">
        <f aca="false">IF($P295=0,AS294,IF(AS$3=$E295,IF($AA295=1,$F295&amp;$AB295,$G295),IF(OR(AS$3=$D295,AS$3=$AC295,AS$3=$AE295),"",IF(AS$3=$AD295,$F295&amp;"R",AS294))))</f>
        <v>wP</v>
      </c>
      <c r="AT295" s="11" t="str">
        <f aca="false">IF($P295=0,AT294,IF(AT$3=$E295,IF($AA295=1,$F295&amp;$AB295,$G295),IF(OR(AT$3=$D295,AT$3=$AC295,AT$3=$AE295),"",IF(AT$3=$AD295,$F295&amp;"R",AT294))))</f>
        <v>wP</v>
      </c>
      <c r="AU295" s="11" t="str">
        <f aca="false">IF($P295=0,AU294,IF(AU$3=$E295,IF($AA295=1,$F295&amp;$AB295,$G295),IF(OR(AU$3=$D295,AU$3=$AC295,AU$3=$AE295),"",IF(AU$3=$AD295,$F295&amp;"R",AU294))))</f>
        <v>wP</v>
      </c>
      <c r="AV295" s="11" t="str">
        <f aca="false">IF($P295=0,AV294,IF(AV$3=$E295,IF($AA295=1,$F295&amp;$AB295,$G295),IF(OR(AV$3=$D295,AV$3=$AC295,AV$3=$AE295),"",IF(AV$3=$AD295,$F295&amp;"R",AV294))))</f>
        <v>wP</v>
      </c>
      <c r="AW295" s="11" t="str">
        <f aca="false">IF($P295=0,AW294,IF(AW$3=$E295,IF($AA295=1,$F295&amp;$AB295,$G295),IF(OR(AW$3=$D295,AW$3=$AC295,AW$3=$AE295),"",IF(AW$3=$AD295,$F295&amp;"R",AW294))))</f>
        <v>wP</v>
      </c>
      <c r="AX295" s="11" t="str">
        <f aca="false">IF($P295=0,AX294,IF(AX$3=$E295,IF($AA295=1,$F295&amp;$AB295,$G295),IF(OR(AX$3=$D295,AX$3=$AC295,AX$3=$AE295),"",IF(AX$3=$AD295,$F295&amp;"R",AX294))))</f>
        <v/>
      </c>
      <c r="AY295" s="11" t="str">
        <f aca="false">IF($P295=0,AY294,IF(AY$3=$E295,IF($AA295=1,$F295&amp;$AB295,$G295),IF(OR(AY$3=$D295,AY$3=$AC295,AY$3=$AE295),"",IF(AY$3=$AD295,$F295&amp;"R",AY294))))</f>
        <v/>
      </c>
      <c r="AZ295" s="11" t="str">
        <f aca="false">IF($P295=0,AZ294,IF(AZ$3=$E295,IF($AA295=1,$F295&amp;$AB295,$G295),IF(OR(AZ$3=$D295,AZ$3=$AC295,AZ$3=$AE295),"",IF(AZ$3=$AD295,$F295&amp;"R",AZ294))))</f>
        <v/>
      </c>
      <c r="BA295" s="11" t="str">
        <f aca="false">IF($P295=0,BA294,IF(BA$3=$E295,IF($AA295=1,$F295&amp;$AB295,$G295),IF(OR(BA$3=$D295,BA$3=$AC295,BA$3=$AE295),"",IF(BA$3=$AD295,$F295&amp;"R",BA294))))</f>
        <v/>
      </c>
      <c r="BB295" s="11" t="str">
        <f aca="false">IF($P295=0,BB294,IF(BB$3=$E295,IF($AA295=1,$F295&amp;$AB295,$G295),IF(OR(BB$3=$D295,BB$3=$AC295,BB$3=$AE295),"",IF(BB$3=$AD295,$F295&amp;"R",BB294))))</f>
        <v/>
      </c>
      <c r="BC295" s="11" t="str">
        <f aca="false">IF($P295=0,BC294,IF(BC$3=$E295,IF($AA295=1,$F295&amp;$AB295,$G295),IF(OR(BC$3=$D295,BC$3=$AC295,BC$3=$AE295),"",IF(BC$3=$AD295,$F295&amp;"R",BC294))))</f>
        <v/>
      </c>
      <c r="BD295" s="11" t="str">
        <f aca="false">IF($P295=0,BD294,IF(BD$3=$E295,IF($AA295=1,$F295&amp;$AB295,$G295),IF(OR(BD$3=$D295,BD$3=$AC295,BD$3=$AE295),"",IF(BD$3=$AD295,$F295&amp;"R",BD294))))</f>
        <v/>
      </c>
      <c r="BE295" s="11" t="str">
        <f aca="false">IF($P295=0,BE294,IF(BE$3=$E295,IF($AA295=1,$F295&amp;$AB295,$G295),IF(OR(BE$3=$D295,BE$3=$AC295,BE$3=$AE295),"",IF(BE$3=$AD295,$F295&amp;"R",BE294))))</f>
        <v/>
      </c>
      <c r="BF295" s="11" t="str">
        <f aca="false">IF($P295=0,BF294,IF(BF$3=$E295,IF($AA295=1,$F295&amp;$AB295,$G295),IF(OR(BF$3=$D295,BF$3=$AC295,BF$3=$AE295),"",IF(BF$3=$AD295,$F295&amp;"R",BF294))))</f>
        <v/>
      </c>
      <c r="BG295" s="11" t="str">
        <f aca="false">IF($P295=0,BG294,IF(BG$3=$E295,IF($AA295=1,$F295&amp;$AB295,$G295),IF(OR(BG$3=$D295,BG$3=$AC295,BG$3=$AE295),"",IF(BG$3=$AD295,$F295&amp;"R",BG294))))</f>
        <v/>
      </c>
      <c r="BH295" s="11" t="str">
        <f aca="false">IF($P295=0,BH294,IF(BH$3=$E295,IF($AA295=1,$F295&amp;$AB295,$G295),IF(OR(BH$3=$D295,BH$3=$AC295,BH$3=$AE295),"",IF(BH$3=$AD295,$F295&amp;"R",BH294))))</f>
        <v/>
      </c>
      <c r="BI295" s="11" t="str">
        <f aca="false">IF($P295=0,BI294,IF(BI$3=$E295,IF($AA295=1,$F295&amp;$AB295,$G295),IF(OR(BI$3=$D295,BI$3=$AC295,BI$3=$AE295),"",IF(BI$3=$AD295,$F295&amp;"R",BI294))))</f>
        <v/>
      </c>
      <c r="BJ295" s="11" t="str">
        <f aca="false">IF($P295=0,BJ294,IF(BJ$3=$E295,IF($AA295=1,$F295&amp;$AB295,$G295),IF(OR(BJ$3=$D295,BJ$3=$AC295,BJ$3=$AE295),"",IF(BJ$3=$AD295,$F295&amp;"R",BJ294))))</f>
        <v/>
      </c>
      <c r="BK295" s="11" t="str">
        <f aca="false">IF($P295=0,BK294,IF(BK$3=$E295,IF($AA295=1,$F295&amp;$AB295,$G295),IF(OR(BK$3=$D295,BK$3=$AC295,BK$3=$AE295),"",IF(BK$3=$AD295,$F295&amp;"R",BK294))))</f>
        <v/>
      </c>
      <c r="BL295" s="11" t="str">
        <f aca="false">IF($P295=0,BL294,IF(BL$3=$E295,IF($AA295=1,$F295&amp;$AB295,$G295),IF(OR(BL$3=$D295,BL$3=$AC295,BL$3=$AE295),"",IF(BL$3=$AD295,$F295&amp;"R",BL294))))</f>
        <v/>
      </c>
      <c r="BM295" s="11" t="str">
        <f aca="false">IF($P295=0,BM294,IF(BM$3=$E295,IF($AA295=1,$F295&amp;$AB295,$G295),IF(OR(BM$3=$D295,BM$3=$AC295,BM$3=$AE295),"",IF(BM$3=$AD295,$F295&amp;"R",BM294))))</f>
        <v/>
      </c>
      <c r="BN295" s="11" t="str">
        <f aca="false">IF($P295=0,BN294,IF(BN$3=$E295,IF($AA295=1,$F295&amp;$AB295,$G295),IF(OR(BN$3=$D295,BN$3=$AC295,BN$3=$AE295),"",IF(BN$3=$AD295,$F295&amp;"R",BN294))))</f>
        <v/>
      </c>
      <c r="BO295" s="11" t="str">
        <f aca="false">IF($P295=0,BO294,IF(BO$3=$E295,IF($AA295=1,$F295&amp;$AB295,$G295),IF(OR(BO$3=$D295,BO$3=$AC295,BO$3=$AE295),"",IF(BO$3=$AD295,$F295&amp;"R",BO294))))</f>
        <v/>
      </c>
      <c r="BP295" s="11" t="str">
        <f aca="false">IF($P295=0,BP294,IF(BP$3=$E295,IF($AA295=1,$F295&amp;$AB295,$G295),IF(OR(BP$3=$D295,BP$3=$AC295,BP$3=$AE295),"",IF(BP$3=$AD295,$F295&amp;"R",BP294))))</f>
        <v/>
      </c>
      <c r="BQ295" s="11" t="str">
        <f aca="false">IF($P295=0,BQ294,IF(BQ$3=$E295,IF($AA295=1,$F295&amp;$AB295,$G295),IF(OR(BQ$3=$D295,BQ$3=$AC295,BQ$3=$AE295),"",IF(BQ$3=$AD295,$F295&amp;"R",BQ294))))</f>
        <v/>
      </c>
      <c r="BR295" s="11" t="str">
        <f aca="false">IF($P295=0,BR294,IF(BR$3=$E295,IF($AA295=1,$F295&amp;$AB295,$G295),IF(OR(BR$3=$D295,BR$3=$AC295,BR$3=$AE295),"",IF(BR$3=$AD295,$F295&amp;"R",BR294))))</f>
        <v/>
      </c>
      <c r="BS295" s="11" t="str">
        <f aca="false">IF($P295=0,BS294,IF(BS$3=$E295,IF($AA295=1,$F295&amp;$AB295,$G295),IF(OR(BS$3=$D295,BS$3=$AC295,BS$3=$AE295),"",IF(BS$3=$AD295,$F295&amp;"R",BS294))))</f>
        <v/>
      </c>
      <c r="BT295" s="11" t="str">
        <f aca="false">IF($P295=0,BT294,IF(BT$3=$E295,IF($AA295=1,$F295&amp;$AB295,$G295),IF(OR(BT$3=$D295,BT$3=$AC295,BT$3=$AE295),"",IF(BT$3=$AD295,$F295&amp;"R",BT294))))</f>
        <v/>
      </c>
      <c r="BU295" s="11" t="str">
        <f aca="false">IF($P295=0,BU294,IF(BU$3=$E295,IF($AA295=1,$F295&amp;$AB295,$G295),IF(OR(BU$3=$D295,BU$3=$AC295,BU$3=$AE295),"",IF(BU$3=$AD295,$F295&amp;"R",BU294))))</f>
        <v/>
      </c>
      <c r="BV295" s="11" t="str">
        <f aca="false">IF($P295=0,BV294,IF(BV$3=$E295,IF($AA295=1,$F295&amp;$AB295,$G295),IF(OR(BV$3=$D295,BV$3=$AC295,BV$3=$AE295),"",IF(BV$3=$AD295,$F295&amp;"R",BV294))))</f>
        <v/>
      </c>
      <c r="BW295" s="11" t="str">
        <f aca="false">IF($P295=0,BW294,IF(BW$3=$E295,IF($AA295=1,$F295&amp;$AB295,$G295),IF(OR(BW$3=$D295,BW$3=$AC295,BW$3=$AE295),"",IF(BW$3=$AD295,$F295&amp;"R",BW294))))</f>
        <v/>
      </c>
      <c r="BX295" s="11" t="str">
        <f aca="false">IF($P295=0,BX294,IF(BX$3=$E295,IF($AA295=1,$F295&amp;$AB295,$G295),IF(OR(BX$3=$D295,BX$3=$AC295,BX$3=$AE295),"",IF(BX$3=$AD295,$F295&amp;"R",BX294))))</f>
        <v/>
      </c>
      <c r="BY295" s="11" t="str">
        <f aca="false">IF($P295=0,BY294,IF(BY$3=$E295,IF($AA295=1,$F295&amp;$AB295,$G295),IF(OR(BY$3=$D295,BY$3=$AC295,BY$3=$AE295),"",IF(BY$3=$AD295,$F295&amp;"R",BY294))))</f>
        <v/>
      </c>
      <c r="BZ295" s="11" t="str">
        <f aca="false">IF($P295=0,BZ294,IF(BZ$3=$E295,IF($AA295=1,$F295&amp;$AB295,$G295),IF(OR(BZ$3=$D295,BZ$3=$AC295,BZ$3=$AE295),"",IF(BZ$3=$AD295,$F295&amp;"R",BZ294))))</f>
        <v/>
      </c>
      <c r="CA295" s="11" t="str">
        <f aca="false">IF($P295=0,CA294,IF(CA$3=$E295,IF($AA295=1,$F295&amp;$AB295,$G295),IF(OR(CA$3=$D295,CA$3=$AC295,CA$3=$AE295),"",IF(CA$3=$AD295,$F295&amp;"R",CA294))))</f>
        <v/>
      </c>
      <c r="CB295" s="11" t="str">
        <f aca="false">IF($P295=0,CB294,IF(CB$3=$E295,IF($AA295=1,$F295&amp;$AB295,$G295),IF(OR(CB$3=$D295,CB$3=$AC295,CB$3=$AE295),"",IF(CB$3=$AD295,$F295&amp;"R",CB294))))</f>
        <v/>
      </c>
      <c r="CC295" s="11" t="str">
        <f aca="false">IF($P295=0,CC294,IF(CC$3=$E295,IF($AA295=1,$F295&amp;$AB295,$G295),IF(OR(CC$3=$D295,CC$3=$AC295,CC$3=$AE295),"",IF(CC$3=$AD295,$F295&amp;"R",CC294))))</f>
        <v/>
      </c>
      <c r="CD295" s="11" t="str">
        <f aca="false">IF($P295=0,CD294,IF(CD$3=$E295,IF($AA295=1,$F295&amp;$AB295,$G295),IF(OR(CD$3=$D295,CD$3=$AC295,CD$3=$AE295),"",IF(CD$3=$AD295,$F295&amp;"R",CD294))))</f>
        <v>bP</v>
      </c>
      <c r="CE295" s="11" t="str">
        <f aca="false">IF($P295=0,CE294,IF(CE$3=$E295,IF($AA295=1,$F295&amp;$AB295,$G295),IF(OR(CE$3=$D295,CE$3=$AC295,CE$3=$AE295),"",IF(CE$3=$AD295,$F295&amp;"R",CE294))))</f>
        <v>bP</v>
      </c>
      <c r="CF295" s="11" t="str">
        <f aca="false">IF($P295=0,CF294,IF(CF$3=$E295,IF($AA295=1,$F295&amp;$AB295,$G295),IF(OR(CF$3=$D295,CF$3=$AC295,CF$3=$AE295),"",IF(CF$3=$AD295,$F295&amp;"R",CF294))))</f>
        <v>bP</v>
      </c>
      <c r="CG295" s="11" t="str">
        <f aca="false">IF($P295=0,CG294,IF(CG$3=$E295,IF($AA295=1,$F295&amp;$AB295,$G295),IF(OR(CG$3=$D295,CG$3=$AC295,CG$3=$AE295),"",IF(CG$3=$AD295,$F295&amp;"R",CG294))))</f>
        <v>bP</v>
      </c>
      <c r="CH295" s="11" t="str">
        <f aca="false">IF($P295=0,CH294,IF(CH$3=$E295,IF($AA295=1,$F295&amp;$AB295,$G295),IF(OR(CH$3=$D295,CH$3=$AC295,CH$3=$AE295),"",IF(CH$3=$AD295,$F295&amp;"R",CH294))))</f>
        <v>bP</v>
      </c>
      <c r="CI295" s="11" t="str">
        <f aca="false">IF($P295=0,CI294,IF(CI$3=$E295,IF($AA295=1,$F295&amp;$AB295,$G295),IF(OR(CI$3=$D295,CI$3=$AC295,CI$3=$AE295),"",IF(CI$3=$AD295,$F295&amp;"R",CI294))))</f>
        <v>bP</v>
      </c>
      <c r="CJ295" s="11" t="str">
        <f aca="false">IF($P295=0,CJ294,IF(CJ$3=$E295,IF($AA295=1,$F295&amp;$AB295,$G295),IF(OR(CJ$3=$D295,CJ$3=$AC295,CJ$3=$AE295),"",IF(CJ$3=$AD295,$F295&amp;"R",CJ294))))</f>
        <v>bP</v>
      </c>
      <c r="CK295" s="11" t="str">
        <f aca="false">IF($P295=0,CK294,IF(CK$3=$E295,IF($AA295=1,$F295&amp;$AB295,$G295),IF(OR(CK$3=$D295,CK$3=$AC295,CK$3=$AE295),"",IF(CK$3=$AD295,$F295&amp;"R",CK294))))</f>
        <v>bP</v>
      </c>
      <c r="CL295" s="11" t="str">
        <f aca="false">IF($P295=0,CL294,IF(CL$3=$E295,IF($AA295=1,$F295&amp;$AB295,$G295),IF(OR(CL$3=$D295,CL$3=$AC295,CL$3=$AE295),"",IF(CL$3=$AD295,$F295&amp;"R",CL294))))</f>
        <v>bR</v>
      </c>
      <c r="CM295" s="11" t="str">
        <f aca="false">IF($P295=0,CM294,IF(CM$3=$E295,IF($AA295=1,$F295&amp;$AB295,$G295),IF(OR(CM$3=$D295,CM$3=$AC295,CM$3=$AE295),"",IF(CM$3=$AD295,$F295&amp;"R",CM294))))</f>
        <v>bN</v>
      </c>
      <c r="CN295" s="11" t="str">
        <f aca="false">IF($P295=0,CN294,IF(CN$3=$E295,IF($AA295=1,$F295&amp;$AB295,$G295),IF(OR(CN$3=$D295,CN$3=$AC295,CN$3=$AE295),"",IF(CN$3=$AD295,$F295&amp;"R",CN294))))</f>
        <v>bB</v>
      </c>
      <c r="CO295" s="11" t="str">
        <f aca="false">IF($P295=0,CO294,IF(CO$3=$E295,IF($AA295=1,$F295&amp;$AB295,$G295),IF(OR(CO$3=$D295,CO$3=$AC295,CO$3=$AE295),"",IF(CO$3=$AD295,$F295&amp;"R",CO294))))</f>
        <v>bQ</v>
      </c>
      <c r="CP295" s="11" t="str">
        <f aca="false">IF($P295=0,CP294,IF(CP$3=$E295,IF($AA295=1,$F295&amp;$AB295,$G295),IF(OR(CP$3=$D295,CP$3=$AC295,CP$3=$AE295),"",IF(CP$3=$AD295,$F295&amp;"R",CP294))))</f>
        <v>bK</v>
      </c>
      <c r="CQ295" s="11" t="str">
        <f aca="false">IF($P295=0,CQ294,IF(CQ$3=$E295,IF($AA295=1,$F295&amp;$AB295,$G295),IF(OR(CQ$3=$D295,CQ$3=$AC295,CQ$3=$AE295),"",IF(CQ$3=$AD295,$F295&amp;"R",CQ294))))</f>
        <v>bB</v>
      </c>
      <c r="CR295" s="11" t="str">
        <f aca="false">IF($P295=0,CR294,IF(CR$3=$E295,IF($AA295=1,$F295&amp;$AB295,$G295),IF(OR(CR$3=$D295,CR$3=$AC295,CR$3=$AE295),"",IF(CR$3=$AD295,$F295&amp;"R",CR294))))</f>
        <v>bN</v>
      </c>
      <c r="CS295" s="11" t="str">
        <f aca="false">IF($P295=0,CS294,IF(CS$3=$E295,IF($AA295=1,$F295&amp;$AB295,$G295),IF(OR(CS$3=$D295,CS$3=$AC295,CS$3=$AE295),"",IF(CS$3=$AD295,$F295&amp;"R",CS294))))</f>
        <v>bR</v>
      </c>
      <c r="CT295" s="11"/>
      <c r="CU295" s="11"/>
      <c r="CV295" s="11"/>
    </row>
    <row r="296" customFormat="false" ht="15" hidden="false" customHeight="false" outlineLevel="0" collapsed="false">
      <c r="A296" s="11" t="n">
        <v>291</v>
      </c>
      <c r="B296" s="11" t="str">
        <f aca="false">IF(Chess!$L$300="","",Chess!$L$300&amp;"")</f>
        <v/>
      </c>
      <c r="C296" s="11" t="str">
        <f aca="false">LOWER(SUBSTITUTE(SUBSTITUTE(SUBSTITUTE(SUBSTITUTE(TRIM($B296),"-",""),"=","")," ",""),"x",""))</f>
        <v/>
      </c>
      <c r="D296" s="11" t="n">
        <f aca="false">IF(LEN($C296)&lt;4,0,IFERROR(IF(AND(CODE(MID($C296,1,1))&gt;=97,CODE(MID($C296,1,1))&lt;=104,VALUE(MID($C296,2,1))&gt;=1,VALUE(MID($C296,2,1))&lt;=8),(VALUE(MID($C296,2,1))-1)*8+CODE(MID($C296,1,1))-96,0),0))</f>
        <v>0</v>
      </c>
      <c r="E296" s="11" t="n">
        <f aca="false">IF(LEN($C296)&lt;4,0,IFERROR(IF(AND(CODE(MID($C296,3,1))&gt;=97,CODE(MID($C296,3,1))&lt;=104,VALUE(MID($C296,4,1))&gt;=1,VALUE(MID($C296,4,1))&lt;=8),(VALUE(MID($C296,4,1))-1)*8+CODE(MID($C296,3,1))-96,0),0))</f>
        <v>0</v>
      </c>
      <c r="F296" s="11" t="str">
        <f aca="false">IF(MOD(SUM($P$5:$P295),2)=0,"w","b")</f>
        <v>w</v>
      </c>
      <c r="G296" s="11" t="str">
        <f aca="false">IF($D296=0,"",INDEX($AH295:$CS295,1,$D296)&amp;"")</f>
        <v/>
      </c>
      <c r="H296" s="11" t="str">
        <f aca="false">IF($E296=0,"",INDEX($AH295:$CS295,1,$E296)&amp;"")</f>
        <v/>
      </c>
      <c r="I296" s="11" t="n">
        <f aca="false">IF(OR($D296=0,$E296=0),0,MOD($E296-1,8)-MOD($D296-1,8))</f>
        <v>0</v>
      </c>
      <c r="J296" s="11" t="n">
        <f aca="false">IF(OR($D296=0,$E296=0),0,INT(($E296-1)/8)-INT(($D296-1)/8))</f>
        <v>0</v>
      </c>
      <c r="K296" s="11" t="str">
        <f aca="false">IF($G296="","",RIGHT($G296,1))</f>
        <v/>
      </c>
      <c r="L296" s="11" t="n">
        <f aca="false">IF(OR($D296=0,$E296=0),0,SUMPRODUCT(($AH$3:$CS$3&gt;MIN($D296,$E296))*($AH$3:$CS$3&lt;MAX($D296,$E296))*(MOD($AH$3:$CS$3-MIN($D296,$E296),MAX(1,ABS(SIGN($J296)*8+SIGN($I296))))=0)*($AH295:$CS295&lt;&gt;"")))</f>
        <v>0</v>
      </c>
      <c r="M296" s="11" t="n">
        <f aca="false">IF($K296&lt;&gt;"K",0,IFERROR(--AND($J296=0,ABS($I296)=2,$D296=IF($F296="w",5,61),IF($F296="w",$S295,$V295)=0,IF($I296=2,AND(IF($F296="w",$U295,$X295)=0,INDEX($AH295:$CS295,1,$D296+1)&amp;""="",INDEX($AH295:$CS295,1,$D296+2)&amp;""=""),AND(IF($F296="w",$T295,$W295)=0,INDEX($AH295:$CS295,1,$D296-1)&amp;""="",INDEX($AH295:$CS295,1,$D296-2)&amp;""="",INDEX($AH295:$CS295,1,$D296-3)&amp;""=""))),0))</f>
        <v>0</v>
      </c>
      <c r="N296" s="11" t="n">
        <f aca="false">IF($K296&lt;&gt;"P",0,IFERROR(--OR(AND($I296=0,$J296=IF($F296="w",1,-1),$H296=""),AND($I296=0,$J296=2*IF($F296="w",1,-1),$H296="",INT(($D296-1)/8)=IF($F296="w",1,6),INDEX($AH295:$CS295,1,MAX(1,MIN(64,$D296+8*IF($F296="w",1,-1))))&amp;""=""),AND(ABS($I296)=1,$J296=IF($F296="w",1,-1),$H296&lt;&gt;""),AND(ABS($I296)=1,$J296=IF($F296="w",1,-1),$H296="",$R295&gt;0,$E296=$R295)),0))</f>
        <v>0</v>
      </c>
      <c r="O296" s="11" t="n">
        <f aca="false">IF(OR($D296=0,$E296=0,$G296=""),0,IF($K296="N",--OR(AND(ABS($I296)=1,ABS($J296)=2),AND(ABS($I296)=2,ABS($J296)=1)),IF($K296="B",--AND(ABS($I296)=ABS($J296),$I296&lt;&gt;0,$L296=0),IF($K296="R",--AND(OR($I296=0,$J296=0),OR($I296&lt;&gt;0,$J296&lt;&gt;0),$L296=0),IF($K296="Q",--AND(OR(AND(ABS($I296)=ABS($J296),$I296&lt;&gt;0),AND(OR($I296=0,$J296=0),OR($I296&lt;&gt;0,$J296&lt;&gt;0))),$L296=0),IF($K296="K",--OR(MAX(ABS($I296),ABS($J296))=1,$M296=1),$N296))))))</f>
        <v>0</v>
      </c>
      <c r="P296" s="11" t="n">
        <f aca="false">IF($Q296="OK",1,0)</f>
        <v>0</v>
      </c>
      <c r="Q296" s="11" t="str">
        <f aca="false">IF($B296="","",IF(OR(COUNTIF($AH295:$CS295,"wK")=0,COUNTIF($AH295:$CS295,"bK")=0),"Game is over",IF(OR($D296=0,$E296=0),"Use the format e2e4",IF($G296="","No piece on that square",IF(LEFT($G296,1)&lt;&gt;$F296,"Not your piece ("&amp;IF($F296="w","White","Black")&amp;" to move)",IF($D296=$E296,"Piece must move",IF(AND($H296&lt;&gt;"",LEFT($H296,1)=$F296),"Cannot capture your own piece",IF($O296=0,"Illegal move for that piece (or path blocked)","OK"))))))))</f>
        <v/>
      </c>
      <c r="R296" s="11" t="n">
        <f aca="false">IF($P296=1,IF(AND($K296="P",ABS($J296)=2),($D296+$E296)/2,0),$R295)</f>
        <v>0</v>
      </c>
      <c r="S296" s="12" t="b">
        <f aca="false">--OR($S295=1,AND($P296=1,OR($D296=5,$E296=5)))</f>
        <v>0</v>
      </c>
      <c r="T296" s="12" t="b">
        <f aca="false">--OR($T295=1,AND($P296=1,OR($D296=1,$E296=1)))</f>
        <v>0</v>
      </c>
      <c r="U296" s="12" t="b">
        <f aca="false">--OR($U295=1,AND($P296=1,OR($D296=8,$E296=8)))</f>
        <v>0</v>
      </c>
      <c r="V296" s="12" t="b">
        <f aca="false">--OR($V295=1,AND($P296=1,OR($D296=61,$E296=61)))</f>
        <v>0</v>
      </c>
      <c r="W296" s="12" t="b">
        <f aca="false">--OR($W295=1,AND($P296=1,OR($D296=57,$E296=57)))</f>
        <v>0</v>
      </c>
      <c r="X296" s="12" t="b">
        <f aca="false">--OR($X295=1,AND($P296=1,OR($D296=64,$E296=64)))</f>
        <v>0</v>
      </c>
      <c r="Y296" s="12" t="b">
        <f aca="false">--AND($P296=1,$K296="K",ABS($I296)=2)</f>
        <v>0</v>
      </c>
      <c r="Z296" s="12" t="b">
        <f aca="false">--AND($P296=1,$K296="P",ABS($I296)=1,$H296="")</f>
        <v>0</v>
      </c>
      <c r="AA296" s="12" t="b">
        <f aca="false">--AND($P296=1,$K296="P",INT(($E296-1)/8)=IF($F296="w",7,0))</f>
        <v>0</v>
      </c>
      <c r="AB296" s="11" t="str">
        <f aca="false">IF(LEN($C296)&gt;=5,IF(ISNUMBER(FIND(MID($C296,5,1),"qrbn")),UPPER(MID($C296,5,1)),"Q"),"Q")</f>
        <v>Q</v>
      </c>
      <c r="AC296" s="11" t="n">
        <f aca="false">IF($Y296=1,IF($I296=2,$D296+3,$D296-4),0)</f>
        <v>0</v>
      </c>
      <c r="AD296" s="11" t="n">
        <f aca="false">IF($Y296=1,IF($I296=2,$D296+1,$D296-1),0)</f>
        <v>0</v>
      </c>
      <c r="AE296" s="11" t="n">
        <f aca="false">IF($Z296=1,$E296-8*IF($F296="w",1,-1),0)</f>
        <v>0</v>
      </c>
      <c r="AF296" s="11" t="str">
        <f aca="false">IF($B296="","",IF($P296=1,LOWER(INDEX($CV$2:$CV$13,MATCH($G296,$CU$2:$CU$13,0)))&amp;" "&amp;MID("abcdefgh",MOD($D296-1,8)+1,1)&amp;(INT(($D296-1)/8)+1)&amp;"→"&amp;MID("abcdefgh",MOD($E296-1,8)+1,1)&amp;(INT(($E296-1)/8)+1)&amp;IF(OR($H296&lt;&gt;"",$Z296=1)," ×","")&amp;IF($Y296=1," castles","")&amp;IF($Z296=1," e.p.","")&amp;IF($AA296=1," =" &amp;LOWER(INDEX($CV$2:$CV$13,MATCH($F296&amp;$AB296,$CU$2:$CU$13,0))),""),"X "&amp;$Q296))</f>
        <v/>
      </c>
      <c r="AG296" s="11"/>
      <c r="AH296" s="11" t="str">
        <f aca="false">IF($P296=0,AH295,IF(AH$3=$E296,IF($AA296=1,$F296&amp;$AB296,$G296),IF(OR(AH$3=$D296,AH$3=$AC296,AH$3=$AE296),"",IF(AH$3=$AD296,$F296&amp;"R",AH295))))</f>
        <v>wR</v>
      </c>
      <c r="AI296" s="11" t="str">
        <f aca="false">IF($P296=0,AI295,IF(AI$3=$E296,IF($AA296=1,$F296&amp;$AB296,$G296),IF(OR(AI$3=$D296,AI$3=$AC296,AI$3=$AE296),"",IF(AI$3=$AD296,$F296&amp;"R",AI295))))</f>
        <v>wN</v>
      </c>
      <c r="AJ296" s="11" t="str">
        <f aca="false">IF($P296=0,AJ295,IF(AJ$3=$E296,IF($AA296=1,$F296&amp;$AB296,$G296),IF(OR(AJ$3=$D296,AJ$3=$AC296,AJ$3=$AE296),"",IF(AJ$3=$AD296,$F296&amp;"R",AJ295))))</f>
        <v>wB</v>
      </c>
      <c r="AK296" s="11" t="str">
        <f aca="false">IF($P296=0,AK295,IF(AK$3=$E296,IF($AA296=1,$F296&amp;$AB296,$G296),IF(OR(AK$3=$D296,AK$3=$AC296,AK$3=$AE296),"",IF(AK$3=$AD296,$F296&amp;"R",AK295))))</f>
        <v>wQ</v>
      </c>
      <c r="AL296" s="11" t="str">
        <f aca="false">IF($P296=0,AL295,IF(AL$3=$E296,IF($AA296=1,$F296&amp;$AB296,$G296),IF(OR(AL$3=$D296,AL$3=$AC296,AL$3=$AE296),"",IF(AL$3=$AD296,$F296&amp;"R",AL295))))</f>
        <v>wK</v>
      </c>
      <c r="AM296" s="11" t="str">
        <f aca="false">IF($P296=0,AM295,IF(AM$3=$E296,IF($AA296=1,$F296&amp;$AB296,$G296),IF(OR(AM$3=$D296,AM$3=$AC296,AM$3=$AE296),"",IF(AM$3=$AD296,$F296&amp;"R",AM295))))</f>
        <v>wB</v>
      </c>
      <c r="AN296" s="11" t="str">
        <f aca="false">IF($P296=0,AN295,IF(AN$3=$E296,IF($AA296=1,$F296&amp;$AB296,$G296),IF(OR(AN$3=$D296,AN$3=$AC296,AN$3=$AE296),"",IF(AN$3=$AD296,$F296&amp;"R",AN295))))</f>
        <v>wN</v>
      </c>
      <c r="AO296" s="11" t="str">
        <f aca="false">IF($P296=0,AO295,IF(AO$3=$E296,IF($AA296=1,$F296&amp;$AB296,$G296),IF(OR(AO$3=$D296,AO$3=$AC296,AO$3=$AE296),"",IF(AO$3=$AD296,$F296&amp;"R",AO295))))</f>
        <v>wR</v>
      </c>
      <c r="AP296" s="11" t="str">
        <f aca="false">IF($P296=0,AP295,IF(AP$3=$E296,IF($AA296=1,$F296&amp;$AB296,$G296),IF(OR(AP$3=$D296,AP$3=$AC296,AP$3=$AE296),"",IF(AP$3=$AD296,$F296&amp;"R",AP295))))</f>
        <v>wP</v>
      </c>
      <c r="AQ296" s="11" t="str">
        <f aca="false">IF($P296=0,AQ295,IF(AQ$3=$E296,IF($AA296=1,$F296&amp;$AB296,$G296),IF(OR(AQ$3=$D296,AQ$3=$AC296,AQ$3=$AE296),"",IF(AQ$3=$AD296,$F296&amp;"R",AQ295))))</f>
        <v>wP</v>
      </c>
      <c r="AR296" s="11" t="str">
        <f aca="false">IF($P296=0,AR295,IF(AR$3=$E296,IF($AA296=1,$F296&amp;$AB296,$G296),IF(OR(AR$3=$D296,AR$3=$AC296,AR$3=$AE296),"",IF(AR$3=$AD296,$F296&amp;"R",AR295))))</f>
        <v>wP</v>
      </c>
      <c r="AS296" s="11" t="str">
        <f aca="false">IF($P296=0,AS295,IF(AS$3=$E296,IF($AA296=1,$F296&amp;$AB296,$G296),IF(OR(AS$3=$D296,AS$3=$AC296,AS$3=$AE296),"",IF(AS$3=$AD296,$F296&amp;"R",AS295))))</f>
        <v>wP</v>
      </c>
      <c r="AT296" s="11" t="str">
        <f aca="false">IF($P296=0,AT295,IF(AT$3=$E296,IF($AA296=1,$F296&amp;$AB296,$G296),IF(OR(AT$3=$D296,AT$3=$AC296,AT$3=$AE296),"",IF(AT$3=$AD296,$F296&amp;"R",AT295))))</f>
        <v>wP</v>
      </c>
      <c r="AU296" s="11" t="str">
        <f aca="false">IF($P296=0,AU295,IF(AU$3=$E296,IF($AA296=1,$F296&amp;$AB296,$G296),IF(OR(AU$3=$D296,AU$3=$AC296,AU$3=$AE296),"",IF(AU$3=$AD296,$F296&amp;"R",AU295))))</f>
        <v>wP</v>
      </c>
      <c r="AV296" s="11" t="str">
        <f aca="false">IF($P296=0,AV295,IF(AV$3=$E296,IF($AA296=1,$F296&amp;$AB296,$G296),IF(OR(AV$3=$D296,AV$3=$AC296,AV$3=$AE296),"",IF(AV$3=$AD296,$F296&amp;"R",AV295))))</f>
        <v>wP</v>
      </c>
      <c r="AW296" s="11" t="str">
        <f aca="false">IF($P296=0,AW295,IF(AW$3=$E296,IF($AA296=1,$F296&amp;$AB296,$G296),IF(OR(AW$3=$D296,AW$3=$AC296,AW$3=$AE296),"",IF(AW$3=$AD296,$F296&amp;"R",AW295))))</f>
        <v>wP</v>
      </c>
      <c r="AX296" s="11" t="str">
        <f aca="false">IF($P296=0,AX295,IF(AX$3=$E296,IF($AA296=1,$F296&amp;$AB296,$G296),IF(OR(AX$3=$D296,AX$3=$AC296,AX$3=$AE296),"",IF(AX$3=$AD296,$F296&amp;"R",AX295))))</f>
        <v/>
      </c>
      <c r="AY296" s="11" t="str">
        <f aca="false">IF($P296=0,AY295,IF(AY$3=$E296,IF($AA296=1,$F296&amp;$AB296,$G296),IF(OR(AY$3=$D296,AY$3=$AC296,AY$3=$AE296),"",IF(AY$3=$AD296,$F296&amp;"R",AY295))))</f>
        <v/>
      </c>
      <c r="AZ296" s="11" t="str">
        <f aca="false">IF($P296=0,AZ295,IF(AZ$3=$E296,IF($AA296=1,$F296&amp;$AB296,$G296),IF(OR(AZ$3=$D296,AZ$3=$AC296,AZ$3=$AE296),"",IF(AZ$3=$AD296,$F296&amp;"R",AZ295))))</f>
        <v/>
      </c>
      <c r="BA296" s="11" t="str">
        <f aca="false">IF($P296=0,BA295,IF(BA$3=$E296,IF($AA296=1,$F296&amp;$AB296,$G296),IF(OR(BA$3=$D296,BA$3=$AC296,BA$3=$AE296),"",IF(BA$3=$AD296,$F296&amp;"R",BA295))))</f>
        <v/>
      </c>
      <c r="BB296" s="11" t="str">
        <f aca="false">IF($P296=0,BB295,IF(BB$3=$E296,IF($AA296=1,$F296&amp;$AB296,$G296),IF(OR(BB$3=$D296,BB$3=$AC296,BB$3=$AE296),"",IF(BB$3=$AD296,$F296&amp;"R",BB295))))</f>
        <v/>
      </c>
      <c r="BC296" s="11" t="str">
        <f aca="false">IF($P296=0,BC295,IF(BC$3=$E296,IF($AA296=1,$F296&amp;$AB296,$G296),IF(OR(BC$3=$D296,BC$3=$AC296,BC$3=$AE296),"",IF(BC$3=$AD296,$F296&amp;"R",BC295))))</f>
        <v/>
      </c>
      <c r="BD296" s="11" t="str">
        <f aca="false">IF($P296=0,BD295,IF(BD$3=$E296,IF($AA296=1,$F296&amp;$AB296,$G296),IF(OR(BD$3=$D296,BD$3=$AC296,BD$3=$AE296),"",IF(BD$3=$AD296,$F296&amp;"R",BD295))))</f>
        <v/>
      </c>
      <c r="BE296" s="11" t="str">
        <f aca="false">IF($P296=0,BE295,IF(BE$3=$E296,IF($AA296=1,$F296&amp;$AB296,$G296),IF(OR(BE$3=$D296,BE$3=$AC296,BE$3=$AE296),"",IF(BE$3=$AD296,$F296&amp;"R",BE295))))</f>
        <v/>
      </c>
      <c r="BF296" s="11" t="str">
        <f aca="false">IF($P296=0,BF295,IF(BF$3=$E296,IF($AA296=1,$F296&amp;$AB296,$G296),IF(OR(BF$3=$D296,BF$3=$AC296,BF$3=$AE296),"",IF(BF$3=$AD296,$F296&amp;"R",BF295))))</f>
        <v/>
      </c>
      <c r="BG296" s="11" t="str">
        <f aca="false">IF($P296=0,BG295,IF(BG$3=$E296,IF($AA296=1,$F296&amp;$AB296,$G296),IF(OR(BG$3=$D296,BG$3=$AC296,BG$3=$AE296),"",IF(BG$3=$AD296,$F296&amp;"R",BG295))))</f>
        <v/>
      </c>
      <c r="BH296" s="11" t="str">
        <f aca="false">IF($P296=0,BH295,IF(BH$3=$E296,IF($AA296=1,$F296&amp;$AB296,$G296),IF(OR(BH$3=$D296,BH$3=$AC296,BH$3=$AE296),"",IF(BH$3=$AD296,$F296&amp;"R",BH295))))</f>
        <v/>
      </c>
      <c r="BI296" s="11" t="str">
        <f aca="false">IF($P296=0,BI295,IF(BI$3=$E296,IF($AA296=1,$F296&amp;$AB296,$G296),IF(OR(BI$3=$D296,BI$3=$AC296,BI$3=$AE296),"",IF(BI$3=$AD296,$F296&amp;"R",BI295))))</f>
        <v/>
      </c>
      <c r="BJ296" s="11" t="str">
        <f aca="false">IF($P296=0,BJ295,IF(BJ$3=$E296,IF($AA296=1,$F296&amp;$AB296,$G296),IF(OR(BJ$3=$D296,BJ$3=$AC296,BJ$3=$AE296),"",IF(BJ$3=$AD296,$F296&amp;"R",BJ295))))</f>
        <v/>
      </c>
      <c r="BK296" s="11" t="str">
        <f aca="false">IF($P296=0,BK295,IF(BK$3=$E296,IF($AA296=1,$F296&amp;$AB296,$G296),IF(OR(BK$3=$D296,BK$3=$AC296,BK$3=$AE296),"",IF(BK$3=$AD296,$F296&amp;"R",BK295))))</f>
        <v/>
      </c>
      <c r="BL296" s="11" t="str">
        <f aca="false">IF($P296=0,BL295,IF(BL$3=$E296,IF($AA296=1,$F296&amp;$AB296,$G296),IF(OR(BL$3=$D296,BL$3=$AC296,BL$3=$AE296),"",IF(BL$3=$AD296,$F296&amp;"R",BL295))))</f>
        <v/>
      </c>
      <c r="BM296" s="11" t="str">
        <f aca="false">IF($P296=0,BM295,IF(BM$3=$E296,IF($AA296=1,$F296&amp;$AB296,$G296),IF(OR(BM$3=$D296,BM$3=$AC296,BM$3=$AE296),"",IF(BM$3=$AD296,$F296&amp;"R",BM295))))</f>
        <v/>
      </c>
      <c r="BN296" s="11" t="str">
        <f aca="false">IF($P296=0,BN295,IF(BN$3=$E296,IF($AA296=1,$F296&amp;$AB296,$G296),IF(OR(BN$3=$D296,BN$3=$AC296,BN$3=$AE296),"",IF(BN$3=$AD296,$F296&amp;"R",BN295))))</f>
        <v/>
      </c>
      <c r="BO296" s="11" t="str">
        <f aca="false">IF($P296=0,BO295,IF(BO$3=$E296,IF($AA296=1,$F296&amp;$AB296,$G296),IF(OR(BO$3=$D296,BO$3=$AC296,BO$3=$AE296),"",IF(BO$3=$AD296,$F296&amp;"R",BO295))))</f>
        <v/>
      </c>
      <c r="BP296" s="11" t="str">
        <f aca="false">IF($P296=0,BP295,IF(BP$3=$E296,IF($AA296=1,$F296&amp;$AB296,$G296),IF(OR(BP$3=$D296,BP$3=$AC296,BP$3=$AE296),"",IF(BP$3=$AD296,$F296&amp;"R",BP295))))</f>
        <v/>
      </c>
      <c r="BQ296" s="11" t="str">
        <f aca="false">IF($P296=0,BQ295,IF(BQ$3=$E296,IF($AA296=1,$F296&amp;$AB296,$G296),IF(OR(BQ$3=$D296,BQ$3=$AC296,BQ$3=$AE296),"",IF(BQ$3=$AD296,$F296&amp;"R",BQ295))))</f>
        <v/>
      </c>
      <c r="BR296" s="11" t="str">
        <f aca="false">IF($P296=0,BR295,IF(BR$3=$E296,IF($AA296=1,$F296&amp;$AB296,$G296),IF(OR(BR$3=$D296,BR$3=$AC296,BR$3=$AE296),"",IF(BR$3=$AD296,$F296&amp;"R",BR295))))</f>
        <v/>
      </c>
      <c r="BS296" s="11" t="str">
        <f aca="false">IF($P296=0,BS295,IF(BS$3=$E296,IF($AA296=1,$F296&amp;$AB296,$G296),IF(OR(BS$3=$D296,BS$3=$AC296,BS$3=$AE296),"",IF(BS$3=$AD296,$F296&amp;"R",BS295))))</f>
        <v/>
      </c>
      <c r="BT296" s="11" t="str">
        <f aca="false">IF($P296=0,BT295,IF(BT$3=$E296,IF($AA296=1,$F296&amp;$AB296,$G296),IF(OR(BT$3=$D296,BT$3=$AC296,BT$3=$AE296),"",IF(BT$3=$AD296,$F296&amp;"R",BT295))))</f>
        <v/>
      </c>
      <c r="BU296" s="11" t="str">
        <f aca="false">IF($P296=0,BU295,IF(BU$3=$E296,IF($AA296=1,$F296&amp;$AB296,$G296),IF(OR(BU$3=$D296,BU$3=$AC296,BU$3=$AE296),"",IF(BU$3=$AD296,$F296&amp;"R",BU295))))</f>
        <v/>
      </c>
      <c r="BV296" s="11" t="str">
        <f aca="false">IF($P296=0,BV295,IF(BV$3=$E296,IF($AA296=1,$F296&amp;$AB296,$G296),IF(OR(BV$3=$D296,BV$3=$AC296,BV$3=$AE296),"",IF(BV$3=$AD296,$F296&amp;"R",BV295))))</f>
        <v/>
      </c>
      <c r="BW296" s="11" t="str">
        <f aca="false">IF($P296=0,BW295,IF(BW$3=$E296,IF($AA296=1,$F296&amp;$AB296,$G296),IF(OR(BW$3=$D296,BW$3=$AC296,BW$3=$AE296),"",IF(BW$3=$AD296,$F296&amp;"R",BW295))))</f>
        <v/>
      </c>
      <c r="BX296" s="11" t="str">
        <f aca="false">IF($P296=0,BX295,IF(BX$3=$E296,IF($AA296=1,$F296&amp;$AB296,$G296),IF(OR(BX$3=$D296,BX$3=$AC296,BX$3=$AE296),"",IF(BX$3=$AD296,$F296&amp;"R",BX295))))</f>
        <v/>
      </c>
      <c r="BY296" s="11" t="str">
        <f aca="false">IF($P296=0,BY295,IF(BY$3=$E296,IF($AA296=1,$F296&amp;$AB296,$G296),IF(OR(BY$3=$D296,BY$3=$AC296,BY$3=$AE296),"",IF(BY$3=$AD296,$F296&amp;"R",BY295))))</f>
        <v/>
      </c>
      <c r="BZ296" s="11" t="str">
        <f aca="false">IF($P296=0,BZ295,IF(BZ$3=$E296,IF($AA296=1,$F296&amp;$AB296,$G296),IF(OR(BZ$3=$D296,BZ$3=$AC296,BZ$3=$AE296),"",IF(BZ$3=$AD296,$F296&amp;"R",BZ295))))</f>
        <v/>
      </c>
      <c r="CA296" s="11" t="str">
        <f aca="false">IF($P296=0,CA295,IF(CA$3=$E296,IF($AA296=1,$F296&amp;$AB296,$G296),IF(OR(CA$3=$D296,CA$3=$AC296,CA$3=$AE296),"",IF(CA$3=$AD296,$F296&amp;"R",CA295))))</f>
        <v/>
      </c>
      <c r="CB296" s="11" t="str">
        <f aca="false">IF($P296=0,CB295,IF(CB$3=$E296,IF($AA296=1,$F296&amp;$AB296,$G296),IF(OR(CB$3=$D296,CB$3=$AC296,CB$3=$AE296),"",IF(CB$3=$AD296,$F296&amp;"R",CB295))))</f>
        <v/>
      </c>
      <c r="CC296" s="11" t="str">
        <f aca="false">IF($P296=0,CC295,IF(CC$3=$E296,IF($AA296=1,$F296&amp;$AB296,$G296),IF(OR(CC$3=$D296,CC$3=$AC296,CC$3=$AE296),"",IF(CC$3=$AD296,$F296&amp;"R",CC295))))</f>
        <v/>
      </c>
      <c r="CD296" s="11" t="str">
        <f aca="false">IF($P296=0,CD295,IF(CD$3=$E296,IF($AA296=1,$F296&amp;$AB296,$G296),IF(OR(CD$3=$D296,CD$3=$AC296,CD$3=$AE296),"",IF(CD$3=$AD296,$F296&amp;"R",CD295))))</f>
        <v>bP</v>
      </c>
      <c r="CE296" s="11" t="str">
        <f aca="false">IF($P296=0,CE295,IF(CE$3=$E296,IF($AA296=1,$F296&amp;$AB296,$G296),IF(OR(CE$3=$D296,CE$3=$AC296,CE$3=$AE296),"",IF(CE$3=$AD296,$F296&amp;"R",CE295))))</f>
        <v>bP</v>
      </c>
      <c r="CF296" s="11" t="str">
        <f aca="false">IF($P296=0,CF295,IF(CF$3=$E296,IF($AA296=1,$F296&amp;$AB296,$G296),IF(OR(CF$3=$D296,CF$3=$AC296,CF$3=$AE296),"",IF(CF$3=$AD296,$F296&amp;"R",CF295))))</f>
        <v>bP</v>
      </c>
      <c r="CG296" s="11" t="str">
        <f aca="false">IF($P296=0,CG295,IF(CG$3=$E296,IF($AA296=1,$F296&amp;$AB296,$G296),IF(OR(CG$3=$D296,CG$3=$AC296,CG$3=$AE296),"",IF(CG$3=$AD296,$F296&amp;"R",CG295))))</f>
        <v>bP</v>
      </c>
      <c r="CH296" s="11" t="str">
        <f aca="false">IF($P296=0,CH295,IF(CH$3=$E296,IF($AA296=1,$F296&amp;$AB296,$G296),IF(OR(CH$3=$D296,CH$3=$AC296,CH$3=$AE296),"",IF(CH$3=$AD296,$F296&amp;"R",CH295))))</f>
        <v>bP</v>
      </c>
      <c r="CI296" s="11" t="str">
        <f aca="false">IF($P296=0,CI295,IF(CI$3=$E296,IF($AA296=1,$F296&amp;$AB296,$G296),IF(OR(CI$3=$D296,CI$3=$AC296,CI$3=$AE296),"",IF(CI$3=$AD296,$F296&amp;"R",CI295))))</f>
        <v>bP</v>
      </c>
      <c r="CJ296" s="11" t="str">
        <f aca="false">IF($P296=0,CJ295,IF(CJ$3=$E296,IF($AA296=1,$F296&amp;$AB296,$G296),IF(OR(CJ$3=$D296,CJ$3=$AC296,CJ$3=$AE296),"",IF(CJ$3=$AD296,$F296&amp;"R",CJ295))))</f>
        <v>bP</v>
      </c>
      <c r="CK296" s="11" t="str">
        <f aca="false">IF($P296=0,CK295,IF(CK$3=$E296,IF($AA296=1,$F296&amp;$AB296,$G296),IF(OR(CK$3=$D296,CK$3=$AC296,CK$3=$AE296),"",IF(CK$3=$AD296,$F296&amp;"R",CK295))))</f>
        <v>bP</v>
      </c>
      <c r="CL296" s="11" t="str">
        <f aca="false">IF($P296=0,CL295,IF(CL$3=$E296,IF($AA296=1,$F296&amp;$AB296,$G296),IF(OR(CL$3=$D296,CL$3=$AC296,CL$3=$AE296),"",IF(CL$3=$AD296,$F296&amp;"R",CL295))))</f>
        <v>bR</v>
      </c>
      <c r="CM296" s="11" t="str">
        <f aca="false">IF($P296=0,CM295,IF(CM$3=$E296,IF($AA296=1,$F296&amp;$AB296,$G296),IF(OR(CM$3=$D296,CM$3=$AC296,CM$3=$AE296),"",IF(CM$3=$AD296,$F296&amp;"R",CM295))))</f>
        <v>bN</v>
      </c>
      <c r="CN296" s="11" t="str">
        <f aca="false">IF($P296=0,CN295,IF(CN$3=$E296,IF($AA296=1,$F296&amp;$AB296,$G296),IF(OR(CN$3=$D296,CN$3=$AC296,CN$3=$AE296),"",IF(CN$3=$AD296,$F296&amp;"R",CN295))))</f>
        <v>bB</v>
      </c>
      <c r="CO296" s="11" t="str">
        <f aca="false">IF($P296=0,CO295,IF(CO$3=$E296,IF($AA296=1,$F296&amp;$AB296,$G296),IF(OR(CO$3=$D296,CO$3=$AC296,CO$3=$AE296),"",IF(CO$3=$AD296,$F296&amp;"R",CO295))))</f>
        <v>bQ</v>
      </c>
      <c r="CP296" s="11" t="str">
        <f aca="false">IF($P296=0,CP295,IF(CP$3=$E296,IF($AA296=1,$F296&amp;$AB296,$G296),IF(OR(CP$3=$D296,CP$3=$AC296,CP$3=$AE296),"",IF(CP$3=$AD296,$F296&amp;"R",CP295))))</f>
        <v>bK</v>
      </c>
      <c r="CQ296" s="11" t="str">
        <f aca="false">IF($P296=0,CQ295,IF(CQ$3=$E296,IF($AA296=1,$F296&amp;$AB296,$G296),IF(OR(CQ$3=$D296,CQ$3=$AC296,CQ$3=$AE296),"",IF(CQ$3=$AD296,$F296&amp;"R",CQ295))))</f>
        <v>bB</v>
      </c>
      <c r="CR296" s="11" t="str">
        <f aca="false">IF($P296=0,CR295,IF(CR$3=$E296,IF($AA296=1,$F296&amp;$AB296,$G296),IF(OR(CR$3=$D296,CR$3=$AC296,CR$3=$AE296),"",IF(CR$3=$AD296,$F296&amp;"R",CR295))))</f>
        <v>bN</v>
      </c>
      <c r="CS296" s="11" t="str">
        <f aca="false">IF($P296=0,CS295,IF(CS$3=$E296,IF($AA296=1,$F296&amp;$AB296,$G296),IF(OR(CS$3=$D296,CS$3=$AC296,CS$3=$AE296),"",IF(CS$3=$AD296,$F296&amp;"R",CS295))))</f>
        <v>bR</v>
      </c>
      <c r="CT296" s="11"/>
      <c r="CU296" s="11"/>
      <c r="CV296" s="11"/>
    </row>
    <row r="297" customFormat="false" ht="15" hidden="false" customHeight="false" outlineLevel="0" collapsed="false">
      <c r="A297" s="11" t="n">
        <v>292</v>
      </c>
      <c r="B297" s="11" t="str">
        <f aca="false">IF(Chess!$L$301="","",Chess!$L$301&amp;"")</f>
        <v/>
      </c>
      <c r="C297" s="11" t="str">
        <f aca="false">LOWER(SUBSTITUTE(SUBSTITUTE(SUBSTITUTE(SUBSTITUTE(TRIM($B297),"-",""),"=","")," ",""),"x",""))</f>
        <v/>
      </c>
      <c r="D297" s="11" t="n">
        <f aca="false">IF(LEN($C297)&lt;4,0,IFERROR(IF(AND(CODE(MID($C297,1,1))&gt;=97,CODE(MID($C297,1,1))&lt;=104,VALUE(MID($C297,2,1))&gt;=1,VALUE(MID($C297,2,1))&lt;=8),(VALUE(MID($C297,2,1))-1)*8+CODE(MID($C297,1,1))-96,0),0))</f>
        <v>0</v>
      </c>
      <c r="E297" s="11" t="n">
        <f aca="false">IF(LEN($C297)&lt;4,0,IFERROR(IF(AND(CODE(MID($C297,3,1))&gt;=97,CODE(MID($C297,3,1))&lt;=104,VALUE(MID($C297,4,1))&gt;=1,VALUE(MID($C297,4,1))&lt;=8),(VALUE(MID($C297,4,1))-1)*8+CODE(MID($C297,3,1))-96,0),0))</f>
        <v>0</v>
      </c>
      <c r="F297" s="11" t="str">
        <f aca="false">IF(MOD(SUM($P$5:$P296),2)=0,"w","b")</f>
        <v>w</v>
      </c>
      <c r="G297" s="11" t="str">
        <f aca="false">IF($D297=0,"",INDEX($AH296:$CS296,1,$D297)&amp;"")</f>
        <v/>
      </c>
      <c r="H297" s="11" t="str">
        <f aca="false">IF($E297=0,"",INDEX($AH296:$CS296,1,$E297)&amp;"")</f>
        <v/>
      </c>
      <c r="I297" s="11" t="n">
        <f aca="false">IF(OR($D297=0,$E297=0),0,MOD($E297-1,8)-MOD($D297-1,8))</f>
        <v>0</v>
      </c>
      <c r="J297" s="11" t="n">
        <f aca="false">IF(OR($D297=0,$E297=0),0,INT(($E297-1)/8)-INT(($D297-1)/8))</f>
        <v>0</v>
      </c>
      <c r="K297" s="11" t="str">
        <f aca="false">IF($G297="","",RIGHT($G297,1))</f>
        <v/>
      </c>
      <c r="L297" s="11" t="n">
        <f aca="false">IF(OR($D297=0,$E297=0),0,SUMPRODUCT(($AH$3:$CS$3&gt;MIN($D297,$E297))*($AH$3:$CS$3&lt;MAX($D297,$E297))*(MOD($AH$3:$CS$3-MIN($D297,$E297),MAX(1,ABS(SIGN($J297)*8+SIGN($I297))))=0)*($AH296:$CS296&lt;&gt;"")))</f>
        <v>0</v>
      </c>
      <c r="M297" s="11" t="n">
        <f aca="false">IF($K297&lt;&gt;"K",0,IFERROR(--AND($J297=0,ABS($I297)=2,$D297=IF($F297="w",5,61),IF($F297="w",$S296,$V296)=0,IF($I297=2,AND(IF($F297="w",$U296,$X296)=0,INDEX($AH296:$CS296,1,$D297+1)&amp;""="",INDEX($AH296:$CS296,1,$D297+2)&amp;""=""),AND(IF($F297="w",$T296,$W296)=0,INDEX($AH296:$CS296,1,$D297-1)&amp;""="",INDEX($AH296:$CS296,1,$D297-2)&amp;""="",INDEX($AH296:$CS296,1,$D297-3)&amp;""=""))),0))</f>
        <v>0</v>
      </c>
      <c r="N297" s="11" t="n">
        <f aca="false">IF($K297&lt;&gt;"P",0,IFERROR(--OR(AND($I297=0,$J297=IF($F297="w",1,-1),$H297=""),AND($I297=0,$J297=2*IF($F297="w",1,-1),$H297="",INT(($D297-1)/8)=IF($F297="w",1,6),INDEX($AH296:$CS296,1,MAX(1,MIN(64,$D297+8*IF($F297="w",1,-1))))&amp;""=""),AND(ABS($I297)=1,$J297=IF($F297="w",1,-1),$H297&lt;&gt;""),AND(ABS($I297)=1,$J297=IF($F297="w",1,-1),$H297="",$R296&gt;0,$E297=$R296)),0))</f>
        <v>0</v>
      </c>
      <c r="O297" s="11" t="n">
        <f aca="false">IF(OR($D297=0,$E297=0,$G297=""),0,IF($K297="N",--OR(AND(ABS($I297)=1,ABS($J297)=2),AND(ABS($I297)=2,ABS($J297)=1)),IF($K297="B",--AND(ABS($I297)=ABS($J297),$I297&lt;&gt;0,$L297=0),IF($K297="R",--AND(OR($I297=0,$J297=0),OR($I297&lt;&gt;0,$J297&lt;&gt;0),$L297=0),IF($K297="Q",--AND(OR(AND(ABS($I297)=ABS($J297),$I297&lt;&gt;0),AND(OR($I297=0,$J297=0),OR($I297&lt;&gt;0,$J297&lt;&gt;0))),$L297=0),IF($K297="K",--OR(MAX(ABS($I297),ABS($J297))=1,$M297=1),$N297))))))</f>
        <v>0</v>
      </c>
      <c r="P297" s="11" t="n">
        <f aca="false">IF($Q297="OK",1,0)</f>
        <v>0</v>
      </c>
      <c r="Q297" s="11" t="str">
        <f aca="false">IF($B297="","",IF(OR(COUNTIF($AH296:$CS296,"wK")=0,COUNTIF($AH296:$CS296,"bK")=0),"Game is over",IF(OR($D297=0,$E297=0),"Use the format e2e4",IF($G297="","No piece on that square",IF(LEFT($G297,1)&lt;&gt;$F297,"Not your piece ("&amp;IF($F297="w","White","Black")&amp;" to move)",IF($D297=$E297,"Piece must move",IF(AND($H297&lt;&gt;"",LEFT($H297,1)=$F297),"Cannot capture your own piece",IF($O297=0,"Illegal move for that piece (or path blocked)","OK"))))))))</f>
        <v/>
      </c>
      <c r="R297" s="11" t="n">
        <f aca="false">IF($P297=1,IF(AND($K297="P",ABS($J297)=2),($D297+$E297)/2,0),$R296)</f>
        <v>0</v>
      </c>
      <c r="S297" s="12" t="b">
        <f aca="false">--OR($S296=1,AND($P297=1,OR($D297=5,$E297=5)))</f>
        <v>0</v>
      </c>
      <c r="T297" s="12" t="b">
        <f aca="false">--OR($T296=1,AND($P297=1,OR($D297=1,$E297=1)))</f>
        <v>0</v>
      </c>
      <c r="U297" s="12" t="b">
        <f aca="false">--OR($U296=1,AND($P297=1,OR($D297=8,$E297=8)))</f>
        <v>0</v>
      </c>
      <c r="V297" s="12" t="b">
        <f aca="false">--OR($V296=1,AND($P297=1,OR($D297=61,$E297=61)))</f>
        <v>0</v>
      </c>
      <c r="W297" s="12" t="b">
        <f aca="false">--OR($W296=1,AND($P297=1,OR($D297=57,$E297=57)))</f>
        <v>0</v>
      </c>
      <c r="X297" s="12" t="b">
        <f aca="false">--OR($X296=1,AND($P297=1,OR($D297=64,$E297=64)))</f>
        <v>0</v>
      </c>
      <c r="Y297" s="12" t="b">
        <f aca="false">--AND($P297=1,$K297="K",ABS($I297)=2)</f>
        <v>0</v>
      </c>
      <c r="Z297" s="12" t="b">
        <f aca="false">--AND($P297=1,$K297="P",ABS($I297)=1,$H297="")</f>
        <v>0</v>
      </c>
      <c r="AA297" s="12" t="b">
        <f aca="false">--AND($P297=1,$K297="P",INT(($E297-1)/8)=IF($F297="w",7,0))</f>
        <v>0</v>
      </c>
      <c r="AB297" s="11" t="str">
        <f aca="false">IF(LEN($C297)&gt;=5,IF(ISNUMBER(FIND(MID($C297,5,1),"qrbn")),UPPER(MID($C297,5,1)),"Q"),"Q")</f>
        <v>Q</v>
      </c>
      <c r="AC297" s="11" t="n">
        <f aca="false">IF($Y297=1,IF($I297=2,$D297+3,$D297-4),0)</f>
        <v>0</v>
      </c>
      <c r="AD297" s="11" t="n">
        <f aca="false">IF($Y297=1,IF($I297=2,$D297+1,$D297-1),0)</f>
        <v>0</v>
      </c>
      <c r="AE297" s="11" t="n">
        <f aca="false">IF($Z297=1,$E297-8*IF($F297="w",1,-1),0)</f>
        <v>0</v>
      </c>
      <c r="AF297" s="11" t="str">
        <f aca="false">IF($B297="","",IF($P297=1,LOWER(INDEX($CV$2:$CV$13,MATCH($G297,$CU$2:$CU$13,0)))&amp;" "&amp;MID("abcdefgh",MOD($D297-1,8)+1,1)&amp;(INT(($D297-1)/8)+1)&amp;"→"&amp;MID("abcdefgh",MOD($E297-1,8)+1,1)&amp;(INT(($E297-1)/8)+1)&amp;IF(OR($H297&lt;&gt;"",$Z297=1)," ×","")&amp;IF($Y297=1," castles","")&amp;IF($Z297=1," e.p.","")&amp;IF($AA297=1," =" &amp;LOWER(INDEX($CV$2:$CV$13,MATCH($F297&amp;$AB297,$CU$2:$CU$13,0))),""),"X "&amp;$Q297))</f>
        <v/>
      </c>
      <c r="AG297" s="11"/>
      <c r="AH297" s="11" t="str">
        <f aca="false">IF($P297=0,AH296,IF(AH$3=$E297,IF($AA297=1,$F297&amp;$AB297,$G297),IF(OR(AH$3=$D297,AH$3=$AC297,AH$3=$AE297),"",IF(AH$3=$AD297,$F297&amp;"R",AH296))))</f>
        <v>wR</v>
      </c>
      <c r="AI297" s="11" t="str">
        <f aca="false">IF($P297=0,AI296,IF(AI$3=$E297,IF($AA297=1,$F297&amp;$AB297,$G297),IF(OR(AI$3=$D297,AI$3=$AC297,AI$3=$AE297),"",IF(AI$3=$AD297,$F297&amp;"R",AI296))))</f>
        <v>wN</v>
      </c>
      <c r="AJ297" s="11" t="str">
        <f aca="false">IF($P297=0,AJ296,IF(AJ$3=$E297,IF($AA297=1,$F297&amp;$AB297,$G297),IF(OR(AJ$3=$D297,AJ$3=$AC297,AJ$3=$AE297),"",IF(AJ$3=$AD297,$F297&amp;"R",AJ296))))</f>
        <v>wB</v>
      </c>
      <c r="AK297" s="11" t="str">
        <f aca="false">IF($P297=0,AK296,IF(AK$3=$E297,IF($AA297=1,$F297&amp;$AB297,$G297),IF(OR(AK$3=$D297,AK$3=$AC297,AK$3=$AE297),"",IF(AK$3=$AD297,$F297&amp;"R",AK296))))</f>
        <v>wQ</v>
      </c>
      <c r="AL297" s="11" t="str">
        <f aca="false">IF($P297=0,AL296,IF(AL$3=$E297,IF($AA297=1,$F297&amp;$AB297,$G297),IF(OR(AL$3=$D297,AL$3=$AC297,AL$3=$AE297),"",IF(AL$3=$AD297,$F297&amp;"R",AL296))))</f>
        <v>wK</v>
      </c>
      <c r="AM297" s="11" t="str">
        <f aca="false">IF($P297=0,AM296,IF(AM$3=$E297,IF($AA297=1,$F297&amp;$AB297,$G297),IF(OR(AM$3=$D297,AM$3=$AC297,AM$3=$AE297),"",IF(AM$3=$AD297,$F297&amp;"R",AM296))))</f>
        <v>wB</v>
      </c>
      <c r="AN297" s="11" t="str">
        <f aca="false">IF($P297=0,AN296,IF(AN$3=$E297,IF($AA297=1,$F297&amp;$AB297,$G297),IF(OR(AN$3=$D297,AN$3=$AC297,AN$3=$AE297),"",IF(AN$3=$AD297,$F297&amp;"R",AN296))))</f>
        <v>wN</v>
      </c>
      <c r="AO297" s="11" t="str">
        <f aca="false">IF($P297=0,AO296,IF(AO$3=$E297,IF($AA297=1,$F297&amp;$AB297,$G297),IF(OR(AO$3=$D297,AO$3=$AC297,AO$3=$AE297),"",IF(AO$3=$AD297,$F297&amp;"R",AO296))))</f>
        <v>wR</v>
      </c>
      <c r="AP297" s="11" t="str">
        <f aca="false">IF($P297=0,AP296,IF(AP$3=$E297,IF($AA297=1,$F297&amp;$AB297,$G297),IF(OR(AP$3=$D297,AP$3=$AC297,AP$3=$AE297),"",IF(AP$3=$AD297,$F297&amp;"R",AP296))))</f>
        <v>wP</v>
      </c>
      <c r="AQ297" s="11" t="str">
        <f aca="false">IF($P297=0,AQ296,IF(AQ$3=$E297,IF($AA297=1,$F297&amp;$AB297,$G297),IF(OR(AQ$3=$D297,AQ$3=$AC297,AQ$3=$AE297),"",IF(AQ$3=$AD297,$F297&amp;"R",AQ296))))</f>
        <v>wP</v>
      </c>
      <c r="AR297" s="11" t="str">
        <f aca="false">IF($P297=0,AR296,IF(AR$3=$E297,IF($AA297=1,$F297&amp;$AB297,$G297),IF(OR(AR$3=$D297,AR$3=$AC297,AR$3=$AE297),"",IF(AR$3=$AD297,$F297&amp;"R",AR296))))</f>
        <v>wP</v>
      </c>
      <c r="AS297" s="11" t="str">
        <f aca="false">IF($P297=0,AS296,IF(AS$3=$E297,IF($AA297=1,$F297&amp;$AB297,$G297),IF(OR(AS$3=$D297,AS$3=$AC297,AS$3=$AE297),"",IF(AS$3=$AD297,$F297&amp;"R",AS296))))</f>
        <v>wP</v>
      </c>
      <c r="AT297" s="11" t="str">
        <f aca="false">IF($P297=0,AT296,IF(AT$3=$E297,IF($AA297=1,$F297&amp;$AB297,$G297),IF(OR(AT$3=$D297,AT$3=$AC297,AT$3=$AE297),"",IF(AT$3=$AD297,$F297&amp;"R",AT296))))</f>
        <v>wP</v>
      </c>
      <c r="AU297" s="11" t="str">
        <f aca="false">IF($P297=0,AU296,IF(AU$3=$E297,IF($AA297=1,$F297&amp;$AB297,$G297),IF(OR(AU$3=$D297,AU$3=$AC297,AU$3=$AE297),"",IF(AU$3=$AD297,$F297&amp;"R",AU296))))</f>
        <v>wP</v>
      </c>
      <c r="AV297" s="11" t="str">
        <f aca="false">IF($P297=0,AV296,IF(AV$3=$E297,IF($AA297=1,$F297&amp;$AB297,$G297),IF(OR(AV$3=$D297,AV$3=$AC297,AV$3=$AE297),"",IF(AV$3=$AD297,$F297&amp;"R",AV296))))</f>
        <v>wP</v>
      </c>
      <c r="AW297" s="11" t="str">
        <f aca="false">IF($P297=0,AW296,IF(AW$3=$E297,IF($AA297=1,$F297&amp;$AB297,$G297),IF(OR(AW$3=$D297,AW$3=$AC297,AW$3=$AE297),"",IF(AW$3=$AD297,$F297&amp;"R",AW296))))</f>
        <v>wP</v>
      </c>
      <c r="AX297" s="11" t="str">
        <f aca="false">IF($P297=0,AX296,IF(AX$3=$E297,IF($AA297=1,$F297&amp;$AB297,$G297),IF(OR(AX$3=$D297,AX$3=$AC297,AX$3=$AE297),"",IF(AX$3=$AD297,$F297&amp;"R",AX296))))</f>
        <v/>
      </c>
      <c r="AY297" s="11" t="str">
        <f aca="false">IF($P297=0,AY296,IF(AY$3=$E297,IF($AA297=1,$F297&amp;$AB297,$G297),IF(OR(AY$3=$D297,AY$3=$AC297,AY$3=$AE297),"",IF(AY$3=$AD297,$F297&amp;"R",AY296))))</f>
        <v/>
      </c>
      <c r="AZ297" s="11" t="str">
        <f aca="false">IF($P297=0,AZ296,IF(AZ$3=$E297,IF($AA297=1,$F297&amp;$AB297,$G297),IF(OR(AZ$3=$D297,AZ$3=$AC297,AZ$3=$AE297),"",IF(AZ$3=$AD297,$F297&amp;"R",AZ296))))</f>
        <v/>
      </c>
      <c r="BA297" s="11" t="str">
        <f aca="false">IF($P297=0,BA296,IF(BA$3=$E297,IF($AA297=1,$F297&amp;$AB297,$G297),IF(OR(BA$3=$D297,BA$3=$AC297,BA$3=$AE297),"",IF(BA$3=$AD297,$F297&amp;"R",BA296))))</f>
        <v/>
      </c>
      <c r="BB297" s="11" t="str">
        <f aca="false">IF($P297=0,BB296,IF(BB$3=$E297,IF($AA297=1,$F297&amp;$AB297,$G297),IF(OR(BB$3=$D297,BB$3=$AC297,BB$3=$AE297),"",IF(BB$3=$AD297,$F297&amp;"R",BB296))))</f>
        <v/>
      </c>
      <c r="BC297" s="11" t="str">
        <f aca="false">IF($P297=0,BC296,IF(BC$3=$E297,IF($AA297=1,$F297&amp;$AB297,$G297),IF(OR(BC$3=$D297,BC$3=$AC297,BC$3=$AE297),"",IF(BC$3=$AD297,$F297&amp;"R",BC296))))</f>
        <v/>
      </c>
      <c r="BD297" s="11" t="str">
        <f aca="false">IF($P297=0,BD296,IF(BD$3=$E297,IF($AA297=1,$F297&amp;$AB297,$G297),IF(OR(BD$3=$D297,BD$3=$AC297,BD$3=$AE297),"",IF(BD$3=$AD297,$F297&amp;"R",BD296))))</f>
        <v/>
      </c>
      <c r="BE297" s="11" t="str">
        <f aca="false">IF($P297=0,BE296,IF(BE$3=$E297,IF($AA297=1,$F297&amp;$AB297,$G297),IF(OR(BE$3=$D297,BE$3=$AC297,BE$3=$AE297),"",IF(BE$3=$AD297,$F297&amp;"R",BE296))))</f>
        <v/>
      </c>
      <c r="BF297" s="11" t="str">
        <f aca="false">IF($P297=0,BF296,IF(BF$3=$E297,IF($AA297=1,$F297&amp;$AB297,$G297),IF(OR(BF$3=$D297,BF$3=$AC297,BF$3=$AE297),"",IF(BF$3=$AD297,$F297&amp;"R",BF296))))</f>
        <v/>
      </c>
      <c r="BG297" s="11" t="str">
        <f aca="false">IF($P297=0,BG296,IF(BG$3=$E297,IF($AA297=1,$F297&amp;$AB297,$G297),IF(OR(BG$3=$D297,BG$3=$AC297,BG$3=$AE297),"",IF(BG$3=$AD297,$F297&amp;"R",BG296))))</f>
        <v/>
      </c>
      <c r="BH297" s="11" t="str">
        <f aca="false">IF($P297=0,BH296,IF(BH$3=$E297,IF($AA297=1,$F297&amp;$AB297,$G297),IF(OR(BH$3=$D297,BH$3=$AC297,BH$3=$AE297),"",IF(BH$3=$AD297,$F297&amp;"R",BH296))))</f>
        <v/>
      </c>
      <c r="BI297" s="11" t="str">
        <f aca="false">IF($P297=0,BI296,IF(BI$3=$E297,IF($AA297=1,$F297&amp;$AB297,$G297),IF(OR(BI$3=$D297,BI$3=$AC297,BI$3=$AE297),"",IF(BI$3=$AD297,$F297&amp;"R",BI296))))</f>
        <v/>
      </c>
      <c r="BJ297" s="11" t="str">
        <f aca="false">IF($P297=0,BJ296,IF(BJ$3=$E297,IF($AA297=1,$F297&amp;$AB297,$G297),IF(OR(BJ$3=$D297,BJ$3=$AC297,BJ$3=$AE297),"",IF(BJ$3=$AD297,$F297&amp;"R",BJ296))))</f>
        <v/>
      </c>
      <c r="BK297" s="11" t="str">
        <f aca="false">IF($P297=0,BK296,IF(BK$3=$E297,IF($AA297=1,$F297&amp;$AB297,$G297),IF(OR(BK$3=$D297,BK$3=$AC297,BK$3=$AE297),"",IF(BK$3=$AD297,$F297&amp;"R",BK296))))</f>
        <v/>
      </c>
      <c r="BL297" s="11" t="str">
        <f aca="false">IF($P297=0,BL296,IF(BL$3=$E297,IF($AA297=1,$F297&amp;$AB297,$G297),IF(OR(BL$3=$D297,BL$3=$AC297,BL$3=$AE297),"",IF(BL$3=$AD297,$F297&amp;"R",BL296))))</f>
        <v/>
      </c>
      <c r="BM297" s="11" t="str">
        <f aca="false">IF($P297=0,BM296,IF(BM$3=$E297,IF($AA297=1,$F297&amp;$AB297,$G297),IF(OR(BM$3=$D297,BM$3=$AC297,BM$3=$AE297),"",IF(BM$3=$AD297,$F297&amp;"R",BM296))))</f>
        <v/>
      </c>
      <c r="BN297" s="11" t="str">
        <f aca="false">IF($P297=0,BN296,IF(BN$3=$E297,IF($AA297=1,$F297&amp;$AB297,$G297),IF(OR(BN$3=$D297,BN$3=$AC297,BN$3=$AE297),"",IF(BN$3=$AD297,$F297&amp;"R",BN296))))</f>
        <v/>
      </c>
      <c r="BO297" s="11" t="str">
        <f aca="false">IF($P297=0,BO296,IF(BO$3=$E297,IF($AA297=1,$F297&amp;$AB297,$G297),IF(OR(BO$3=$D297,BO$3=$AC297,BO$3=$AE297),"",IF(BO$3=$AD297,$F297&amp;"R",BO296))))</f>
        <v/>
      </c>
      <c r="BP297" s="11" t="str">
        <f aca="false">IF($P297=0,BP296,IF(BP$3=$E297,IF($AA297=1,$F297&amp;$AB297,$G297),IF(OR(BP$3=$D297,BP$3=$AC297,BP$3=$AE297),"",IF(BP$3=$AD297,$F297&amp;"R",BP296))))</f>
        <v/>
      </c>
      <c r="BQ297" s="11" t="str">
        <f aca="false">IF($P297=0,BQ296,IF(BQ$3=$E297,IF($AA297=1,$F297&amp;$AB297,$G297),IF(OR(BQ$3=$D297,BQ$3=$AC297,BQ$3=$AE297),"",IF(BQ$3=$AD297,$F297&amp;"R",BQ296))))</f>
        <v/>
      </c>
      <c r="BR297" s="11" t="str">
        <f aca="false">IF($P297=0,BR296,IF(BR$3=$E297,IF($AA297=1,$F297&amp;$AB297,$G297),IF(OR(BR$3=$D297,BR$3=$AC297,BR$3=$AE297),"",IF(BR$3=$AD297,$F297&amp;"R",BR296))))</f>
        <v/>
      </c>
      <c r="BS297" s="11" t="str">
        <f aca="false">IF($P297=0,BS296,IF(BS$3=$E297,IF($AA297=1,$F297&amp;$AB297,$G297),IF(OR(BS$3=$D297,BS$3=$AC297,BS$3=$AE297),"",IF(BS$3=$AD297,$F297&amp;"R",BS296))))</f>
        <v/>
      </c>
      <c r="BT297" s="11" t="str">
        <f aca="false">IF($P297=0,BT296,IF(BT$3=$E297,IF($AA297=1,$F297&amp;$AB297,$G297),IF(OR(BT$3=$D297,BT$3=$AC297,BT$3=$AE297),"",IF(BT$3=$AD297,$F297&amp;"R",BT296))))</f>
        <v/>
      </c>
      <c r="BU297" s="11" t="str">
        <f aca="false">IF($P297=0,BU296,IF(BU$3=$E297,IF($AA297=1,$F297&amp;$AB297,$G297),IF(OR(BU$3=$D297,BU$3=$AC297,BU$3=$AE297),"",IF(BU$3=$AD297,$F297&amp;"R",BU296))))</f>
        <v/>
      </c>
      <c r="BV297" s="11" t="str">
        <f aca="false">IF($P297=0,BV296,IF(BV$3=$E297,IF($AA297=1,$F297&amp;$AB297,$G297),IF(OR(BV$3=$D297,BV$3=$AC297,BV$3=$AE297),"",IF(BV$3=$AD297,$F297&amp;"R",BV296))))</f>
        <v/>
      </c>
      <c r="BW297" s="11" t="str">
        <f aca="false">IF($P297=0,BW296,IF(BW$3=$E297,IF($AA297=1,$F297&amp;$AB297,$G297),IF(OR(BW$3=$D297,BW$3=$AC297,BW$3=$AE297),"",IF(BW$3=$AD297,$F297&amp;"R",BW296))))</f>
        <v/>
      </c>
      <c r="BX297" s="11" t="str">
        <f aca="false">IF($P297=0,BX296,IF(BX$3=$E297,IF($AA297=1,$F297&amp;$AB297,$G297),IF(OR(BX$3=$D297,BX$3=$AC297,BX$3=$AE297),"",IF(BX$3=$AD297,$F297&amp;"R",BX296))))</f>
        <v/>
      </c>
      <c r="BY297" s="11" t="str">
        <f aca="false">IF($P297=0,BY296,IF(BY$3=$E297,IF($AA297=1,$F297&amp;$AB297,$G297),IF(OR(BY$3=$D297,BY$3=$AC297,BY$3=$AE297),"",IF(BY$3=$AD297,$F297&amp;"R",BY296))))</f>
        <v/>
      </c>
      <c r="BZ297" s="11" t="str">
        <f aca="false">IF($P297=0,BZ296,IF(BZ$3=$E297,IF($AA297=1,$F297&amp;$AB297,$G297),IF(OR(BZ$3=$D297,BZ$3=$AC297,BZ$3=$AE297),"",IF(BZ$3=$AD297,$F297&amp;"R",BZ296))))</f>
        <v/>
      </c>
      <c r="CA297" s="11" t="str">
        <f aca="false">IF($P297=0,CA296,IF(CA$3=$E297,IF($AA297=1,$F297&amp;$AB297,$G297),IF(OR(CA$3=$D297,CA$3=$AC297,CA$3=$AE297),"",IF(CA$3=$AD297,$F297&amp;"R",CA296))))</f>
        <v/>
      </c>
      <c r="CB297" s="11" t="str">
        <f aca="false">IF($P297=0,CB296,IF(CB$3=$E297,IF($AA297=1,$F297&amp;$AB297,$G297),IF(OR(CB$3=$D297,CB$3=$AC297,CB$3=$AE297),"",IF(CB$3=$AD297,$F297&amp;"R",CB296))))</f>
        <v/>
      </c>
      <c r="CC297" s="11" t="str">
        <f aca="false">IF($P297=0,CC296,IF(CC$3=$E297,IF($AA297=1,$F297&amp;$AB297,$G297),IF(OR(CC$3=$D297,CC$3=$AC297,CC$3=$AE297),"",IF(CC$3=$AD297,$F297&amp;"R",CC296))))</f>
        <v/>
      </c>
      <c r="CD297" s="11" t="str">
        <f aca="false">IF($P297=0,CD296,IF(CD$3=$E297,IF($AA297=1,$F297&amp;$AB297,$G297),IF(OR(CD$3=$D297,CD$3=$AC297,CD$3=$AE297),"",IF(CD$3=$AD297,$F297&amp;"R",CD296))))</f>
        <v>bP</v>
      </c>
      <c r="CE297" s="11" t="str">
        <f aca="false">IF($P297=0,CE296,IF(CE$3=$E297,IF($AA297=1,$F297&amp;$AB297,$G297),IF(OR(CE$3=$D297,CE$3=$AC297,CE$3=$AE297),"",IF(CE$3=$AD297,$F297&amp;"R",CE296))))</f>
        <v>bP</v>
      </c>
      <c r="CF297" s="11" t="str">
        <f aca="false">IF($P297=0,CF296,IF(CF$3=$E297,IF($AA297=1,$F297&amp;$AB297,$G297),IF(OR(CF$3=$D297,CF$3=$AC297,CF$3=$AE297),"",IF(CF$3=$AD297,$F297&amp;"R",CF296))))</f>
        <v>bP</v>
      </c>
      <c r="CG297" s="11" t="str">
        <f aca="false">IF($P297=0,CG296,IF(CG$3=$E297,IF($AA297=1,$F297&amp;$AB297,$G297),IF(OR(CG$3=$D297,CG$3=$AC297,CG$3=$AE297),"",IF(CG$3=$AD297,$F297&amp;"R",CG296))))</f>
        <v>bP</v>
      </c>
      <c r="CH297" s="11" t="str">
        <f aca="false">IF($P297=0,CH296,IF(CH$3=$E297,IF($AA297=1,$F297&amp;$AB297,$G297),IF(OR(CH$3=$D297,CH$3=$AC297,CH$3=$AE297),"",IF(CH$3=$AD297,$F297&amp;"R",CH296))))</f>
        <v>bP</v>
      </c>
      <c r="CI297" s="11" t="str">
        <f aca="false">IF($P297=0,CI296,IF(CI$3=$E297,IF($AA297=1,$F297&amp;$AB297,$G297),IF(OR(CI$3=$D297,CI$3=$AC297,CI$3=$AE297),"",IF(CI$3=$AD297,$F297&amp;"R",CI296))))</f>
        <v>bP</v>
      </c>
      <c r="CJ297" s="11" t="str">
        <f aca="false">IF($P297=0,CJ296,IF(CJ$3=$E297,IF($AA297=1,$F297&amp;$AB297,$G297),IF(OR(CJ$3=$D297,CJ$3=$AC297,CJ$3=$AE297),"",IF(CJ$3=$AD297,$F297&amp;"R",CJ296))))</f>
        <v>bP</v>
      </c>
      <c r="CK297" s="11" t="str">
        <f aca="false">IF($P297=0,CK296,IF(CK$3=$E297,IF($AA297=1,$F297&amp;$AB297,$G297),IF(OR(CK$3=$D297,CK$3=$AC297,CK$3=$AE297),"",IF(CK$3=$AD297,$F297&amp;"R",CK296))))</f>
        <v>bP</v>
      </c>
      <c r="CL297" s="11" t="str">
        <f aca="false">IF($P297=0,CL296,IF(CL$3=$E297,IF($AA297=1,$F297&amp;$AB297,$G297),IF(OR(CL$3=$D297,CL$3=$AC297,CL$3=$AE297),"",IF(CL$3=$AD297,$F297&amp;"R",CL296))))</f>
        <v>bR</v>
      </c>
      <c r="CM297" s="11" t="str">
        <f aca="false">IF($P297=0,CM296,IF(CM$3=$E297,IF($AA297=1,$F297&amp;$AB297,$G297),IF(OR(CM$3=$D297,CM$3=$AC297,CM$3=$AE297),"",IF(CM$3=$AD297,$F297&amp;"R",CM296))))</f>
        <v>bN</v>
      </c>
      <c r="CN297" s="11" t="str">
        <f aca="false">IF($P297=0,CN296,IF(CN$3=$E297,IF($AA297=1,$F297&amp;$AB297,$G297),IF(OR(CN$3=$D297,CN$3=$AC297,CN$3=$AE297),"",IF(CN$3=$AD297,$F297&amp;"R",CN296))))</f>
        <v>bB</v>
      </c>
      <c r="CO297" s="11" t="str">
        <f aca="false">IF($P297=0,CO296,IF(CO$3=$E297,IF($AA297=1,$F297&amp;$AB297,$G297),IF(OR(CO$3=$D297,CO$3=$AC297,CO$3=$AE297),"",IF(CO$3=$AD297,$F297&amp;"R",CO296))))</f>
        <v>bQ</v>
      </c>
      <c r="CP297" s="11" t="str">
        <f aca="false">IF($P297=0,CP296,IF(CP$3=$E297,IF($AA297=1,$F297&amp;$AB297,$G297),IF(OR(CP$3=$D297,CP$3=$AC297,CP$3=$AE297),"",IF(CP$3=$AD297,$F297&amp;"R",CP296))))</f>
        <v>bK</v>
      </c>
      <c r="CQ297" s="11" t="str">
        <f aca="false">IF($P297=0,CQ296,IF(CQ$3=$E297,IF($AA297=1,$F297&amp;$AB297,$G297),IF(OR(CQ$3=$D297,CQ$3=$AC297,CQ$3=$AE297),"",IF(CQ$3=$AD297,$F297&amp;"R",CQ296))))</f>
        <v>bB</v>
      </c>
      <c r="CR297" s="11" t="str">
        <f aca="false">IF($P297=0,CR296,IF(CR$3=$E297,IF($AA297=1,$F297&amp;$AB297,$G297),IF(OR(CR$3=$D297,CR$3=$AC297,CR$3=$AE297),"",IF(CR$3=$AD297,$F297&amp;"R",CR296))))</f>
        <v>bN</v>
      </c>
      <c r="CS297" s="11" t="str">
        <f aca="false">IF($P297=0,CS296,IF(CS$3=$E297,IF($AA297=1,$F297&amp;$AB297,$G297),IF(OR(CS$3=$D297,CS$3=$AC297,CS$3=$AE297),"",IF(CS$3=$AD297,$F297&amp;"R",CS296))))</f>
        <v>bR</v>
      </c>
      <c r="CT297" s="11"/>
      <c r="CU297" s="11"/>
      <c r="CV297" s="11"/>
    </row>
    <row r="298" customFormat="false" ht="15" hidden="false" customHeight="false" outlineLevel="0" collapsed="false">
      <c r="A298" s="11" t="n">
        <v>293</v>
      </c>
      <c r="B298" s="11" t="str">
        <f aca="false">IF(Chess!$L$302="","",Chess!$L$302&amp;"")</f>
        <v/>
      </c>
      <c r="C298" s="11" t="str">
        <f aca="false">LOWER(SUBSTITUTE(SUBSTITUTE(SUBSTITUTE(SUBSTITUTE(TRIM($B298),"-",""),"=","")," ",""),"x",""))</f>
        <v/>
      </c>
      <c r="D298" s="11" t="n">
        <f aca="false">IF(LEN($C298)&lt;4,0,IFERROR(IF(AND(CODE(MID($C298,1,1))&gt;=97,CODE(MID($C298,1,1))&lt;=104,VALUE(MID($C298,2,1))&gt;=1,VALUE(MID($C298,2,1))&lt;=8),(VALUE(MID($C298,2,1))-1)*8+CODE(MID($C298,1,1))-96,0),0))</f>
        <v>0</v>
      </c>
      <c r="E298" s="11" t="n">
        <f aca="false">IF(LEN($C298)&lt;4,0,IFERROR(IF(AND(CODE(MID($C298,3,1))&gt;=97,CODE(MID($C298,3,1))&lt;=104,VALUE(MID($C298,4,1))&gt;=1,VALUE(MID($C298,4,1))&lt;=8),(VALUE(MID($C298,4,1))-1)*8+CODE(MID($C298,3,1))-96,0),0))</f>
        <v>0</v>
      </c>
      <c r="F298" s="11" t="str">
        <f aca="false">IF(MOD(SUM($P$5:$P297),2)=0,"w","b")</f>
        <v>w</v>
      </c>
      <c r="G298" s="11" t="str">
        <f aca="false">IF($D298=0,"",INDEX($AH297:$CS297,1,$D298)&amp;"")</f>
        <v/>
      </c>
      <c r="H298" s="11" t="str">
        <f aca="false">IF($E298=0,"",INDEX($AH297:$CS297,1,$E298)&amp;"")</f>
        <v/>
      </c>
      <c r="I298" s="11" t="n">
        <f aca="false">IF(OR($D298=0,$E298=0),0,MOD($E298-1,8)-MOD($D298-1,8))</f>
        <v>0</v>
      </c>
      <c r="J298" s="11" t="n">
        <f aca="false">IF(OR($D298=0,$E298=0),0,INT(($E298-1)/8)-INT(($D298-1)/8))</f>
        <v>0</v>
      </c>
      <c r="K298" s="11" t="str">
        <f aca="false">IF($G298="","",RIGHT($G298,1))</f>
        <v/>
      </c>
      <c r="L298" s="11" t="n">
        <f aca="false">IF(OR($D298=0,$E298=0),0,SUMPRODUCT(($AH$3:$CS$3&gt;MIN($D298,$E298))*($AH$3:$CS$3&lt;MAX($D298,$E298))*(MOD($AH$3:$CS$3-MIN($D298,$E298),MAX(1,ABS(SIGN($J298)*8+SIGN($I298))))=0)*($AH297:$CS297&lt;&gt;"")))</f>
        <v>0</v>
      </c>
      <c r="M298" s="11" t="n">
        <f aca="false">IF($K298&lt;&gt;"K",0,IFERROR(--AND($J298=0,ABS($I298)=2,$D298=IF($F298="w",5,61),IF($F298="w",$S297,$V297)=0,IF($I298=2,AND(IF($F298="w",$U297,$X297)=0,INDEX($AH297:$CS297,1,$D298+1)&amp;""="",INDEX($AH297:$CS297,1,$D298+2)&amp;""=""),AND(IF($F298="w",$T297,$W297)=0,INDEX($AH297:$CS297,1,$D298-1)&amp;""="",INDEX($AH297:$CS297,1,$D298-2)&amp;""="",INDEX($AH297:$CS297,1,$D298-3)&amp;""=""))),0))</f>
        <v>0</v>
      </c>
      <c r="N298" s="11" t="n">
        <f aca="false">IF($K298&lt;&gt;"P",0,IFERROR(--OR(AND($I298=0,$J298=IF($F298="w",1,-1),$H298=""),AND($I298=0,$J298=2*IF($F298="w",1,-1),$H298="",INT(($D298-1)/8)=IF($F298="w",1,6),INDEX($AH297:$CS297,1,MAX(1,MIN(64,$D298+8*IF($F298="w",1,-1))))&amp;""=""),AND(ABS($I298)=1,$J298=IF($F298="w",1,-1),$H298&lt;&gt;""),AND(ABS($I298)=1,$J298=IF($F298="w",1,-1),$H298="",$R297&gt;0,$E298=$R297)),0))</f>
        <v>0</v>
      </c>
      <c r="O298" s="11" t="n">
        <f aca="false">IF(OR($D298=0,$E298=0,$G298=""),0,IF($K298="N",--OR(AND(ABS($I298)=1,ABS($J298)=2),AND(ABS($I298)=2,ABS($J298)=1)),IF($K298="B",--AND(ABS($I298)=ABS($J298),$I298&lt;&gt;0,$L298=0),IF($K298="R",--AND(OR($I298=0,$J298=0),OR($I298&lt;&gt;0,$J298&lt;&gt;0),$L298=0),IF($K298="Q",--AND(OR(AND(ABS($I298)=ABS($J298),$I298&lt;&gt;0),AND(OR($I298=0,$J298=0),OR($I298&lt;&gt;0,$J298&lt;&gt;0))),$L298=0),IF($K298="K",--OR(MAX(ABS($I298),ABS($J298))=1,$M298=1),$N298))))))</f>
        <v>0</v>
      </c>
      <c r="P298" s="11" t="n">
        <f aca="false">IF($Q298="OK",1,0)</f>
        <v>0</v>
      </c>
      <c r="Q298" s="11" t="str">
        <f aca="false">IF($B298="","",IF(OR(COUNTIF($AH297:$CS297,"wK")=0,COUNTIF($AH297:$CS297,"bK")=0),"Game is over",IF(OR($D298=0,$E298=0),"Use the format e2e4",IF($G298="","No piece on that square",IF(LEFT($G298,1)&lt;&gt;$F298,"Not your piece ("&amp;IF($F298="w","White","Black")&amp;" to move)",IF($D298=$E298,"Piece must move",IF(AND($H298&lt;&gt;"",LEFT($H298,1)=$F298),"Cannot capture your own piece",IF($O298=0,"Illegal move for that piece (or path blocked)","OK"))))))))</f>
        <v/>
      </c>
      <c r="R298" s="11" t="n">
        <f aca="false">IF($P298=1,IF(AND($K298="P",ABS($J298)=2),($D298+$E298)/2,0),$R297)</f>
        <v>0</v>
      </c>
      <c r="S298" s="12" t="b">
        <f aca="false">--OR($S297=1,AND($P298=1,OR($D298=5,$E298=5)))</f>
        <v>0</v>
      </c>
      <c r="T298" s="12" t="b">
        <f aca="false">--OR($T297=1,AND($P298=1,OR($D298=1,$E298=1)))</f>
        <v>0</v>
      </c>
      <c r="U298" s="12" t="b">
        <f aca="false">--OR($U297=1,AND($P298=1,OR($D298=8,$E298=8)))</f>
        <v>0</v>
      </c>
      <c r="V298" s="12" t="b">
        <f aca="false">--OR($V297=1,AND($P298=1,OR($D298=61,$E298=61)))</f>
        <v>0</v>
      </c>
      <c r="W298" s="12" t="b">
        <f aca="false">--OR($W297=1,AND($P298=1,OR($D298=57,$E298=57)))</f>
        <v>0</v>
      </c>
      <c r="X298" s="12" t="b">
        <f aca="false">--OR($X297=1,AND($P298=1,OR($D298=64,$E298=64)))</f>
        <v>0</v>
      </c>
      <c r="Y298" s="12" t="b">
        <f aca="false">--AND($P298=1,$K298="K",ABS($I298)=2)</f>
        <v>0</v>
      </c>
      <c r="Z298" s="12" t="b">
        <f aca="false">--AND($P298=1,$K298="P",ABS($I298)=1,$H298="")</f>
        <v>0</v>
      </c>
      <c r="AA298" s="12" t="b">
        <f aca="false">--AND($P298=1,$K298="P",INT(($E298-1)/8)=IF($F298="w",7,0))</f>
        <v>0</v>
      </c>
      <c r="AB298" s="11" t="str">
        <f aca="false">IF(LEN($C298)&gt;=5,IF(ISNUMBER(FIND(MID($C298,5,1),"qrbn")),UPPER(MID($C298,5,1)),"Q"),"Q")</f>
        <v>Q</v>
      </c>
      <c r="AC298" s="11" t="n">
        <f aca="false">IF($Y298=1,IF($I298=2,$D298+3,$D298-4),0)</f>
        <v>0</v>
      </c>
      <c r="AD298" s="11" t="n">
        <f aca="false">IF($Y298=1,IF($I298=2,$D298+1,$D298-1),0)</f>
        <v>0</v>
      </c>
      <c r="AE298" s="11" t="n">
        <f aca="false">IF($Z298=1,$E298-8*IF($F298="w",1,-1),0)</f>
        <v>0</v>
      </c>
      <c r="AF298" s="11" t="str">
        <f aca="false">IF($B298="","",IF($P298=1,LOWER(INDEX($CV$2:$CV$13,MATCH($G298,$CU$2:$CU$13,0)))&amp;" "&amp;MID("abcdefgh",MOD($D298-1,8)+1,1)&amp;(INT(($D298-1)/8)+1)&amp;"→"&amp;MID("abcdefgh",MOD($E298-1,8)+1,1)&amp;(INT(($E298-1)/8)+1)&amp;IF(OR($H298&lt;&gt;"",$Z298=1)," ×","")&amp;IF($Y298=1," castles","")&amp;IF($Z298=1," e.p.","")&amp;IF($AA298=1," =" &amp;LOWER(INDEX($CV$2:$CV$13,MATCH($F298&amp;$AB298,$CU$2:$CU$13,0))),""),"X "&amp;$Q298))</f>
        <v/>
      </c>
      <c r="AG298" s="11"/>
      <c r="AH298" s="11" t="str">
        <f aca="false">IF($P298=0,AH297,IF(AH$3=$E298,IF($AA298=1,$F298&amp;$AB298,$G298),IF(OR(AH$3=$D298,AH$3=$AC298,AH$3=$AE298),"",IF(AH$3=$AD298,$F298&amp;"R",AH297))))</f>
        <v>wR</v>
      </c>
      <c r="AI298" s="11" t="str">
        <f aca="false">IF($P298=0,AI297,IF(AI$3=$E298,IF($AA298=1,$F298&amp;$AB298,$G298),IF(OR(AI$3=$D298,AI$3=$AC298,AI$3=$AE298),"",IF(AI$3=$AD298,$F298&amp;"R",AI297))))</f>
        <v>wN</v>
      </c>
      <c r="AJ298" s="11" t="str">
        <f aca="false">IF($P298=0,AJ297,IF(AJ$3=$E298,IF($AA298=1,$F298&amp;$AB298,$G298),IF(OR(AJ$3=$D298,AJ$3=$AC298,AJ$3=$AE298),"",IF(AJ$3=$AD298,$F298&amp;"R",AJ297))))</f>
        <v>wB</v>
      </c>
      <c r="AK298" s="11" t="str">
        <f aca="false">IF($P298=0,AK297,IF(AK$3=$E298,IF($AA298=1,$F298&amp;$AB298,$G298),IF(OR(AK$3=$D298,AK$3=$AC298,AK$3=$AE298),"",IF(AK$3=$AD298,$F298&amp;"R",AK297))))</f>
        <v>wQ</v>
      </c>
      <c r="AL298" s="11" t="str">
        <f aca="false">IF($P298=0,AL297,IF(AL$3=$E298,IF($AA298=1,$F298&amp;$AB298,$G298),IF(OR(AL$3=$D298,AL$3=$AC298,AL$3=$AE298),"",IF(AL$3=$AD298,$F298&amp;"R",AL297))))</f>
        <v>wK</v>
      </c>
      <c r="AM298" s="11" t="str">
        <f aca="false">IF($P298=0,AM297,IF(AM$3=$E298,IF($AA298=1,$F298&amp;$AB298,$G298),IF(OR(AM$3=$D298,AM$3=$AC298,AM$3=$AE298),"",IF(AM$3=$AD298,$F298&amp;"R",AM297))))</f>
        <v>wB</v>
      </c>
      <c r="AN298" s="11" t="str">
        <f aca="false">IF($P298=0,AN297,IF(AN$3=$E298,IF($AA298=1,$F298&amp;$AB298,$G298),IF(OR(AN$3=$D298,AN$3=$AC298,AN$3=$AE298),"",IF(AN$3=$AD298,$F298&amp;"R",AN297))))</f>
        <v>wN</v>
      </c>
      <c r="AO298" s="11" t="str">
        <f aca="false">IF($P298=0,AO297,IF(AO$3=$E298,IF($AA298=1,$F298&amp;$AB298,$G298),IF(OR(AO$3=$D298,AO$3=$AC298,AO$3=$AE298),"",IF(AO$3=$AD298,$F298&amp;"R",AO297))))</f>
        <v>wR</v>
      </c>
      <c r="AP298" s="11" t="str">
        <f aca="false">IF($P298=0,AP297,IF(AP$3=$E298,IF($AA298=1,$F298&amp;$AB298,$G298),IF(OR(AP$3=$D298,AP$3=$AC298,AP$3=$AE298),"",IF(AP$3=$AD298,$F298&amp;"R",AP297))))</f>
        <v>wP</v>
      </c>
      <c r="AQ298" s="11" t="str">
        <f aca="false">IF($P298=0,AQ297,IF(AQ$3=$E298,IF($AA298=1,$F298&amp;$AB298,$G298),IF(OR(AQ$3=$D298,AQ$3=$AC298,AQ$3=$AE298),"",IF(AQ$3=$AD298,$F298&amp;"R",AQ297))))</f>
        <v>wP</v>
      </c>
      <c r="AR298" s="11" t="str">
        <f aca="false">IF($P298=0,AR297,IF(AR$3=$E298,IF($AA298=1,$F298&amp;$AB298,$G298),IF(OR(AR$3=$D298,AR$3=$AC298,AR$3=$AE298),"",IF(AR$3=$AD298,$F298&amp;"R",AR297))))</f>
        <v>wP</v>
      </c>
      <c r="AS298" s="11" t="str">
        <f aca="false">IF($P298=0,AS297,IF(AS$3=$E298,IF($AA298=1,$F298&amp;$AB298,$G298),IF(OR(AS$3=$D298,AS$3=$AC298,AS$3=$AE298),"",IF(AS$3=$AD298,$F298&amp;"R",AS297))))</f>
        <v>wP</v>
      </c>
      <c r="AT298" s="11" t="str">
        <f aca="false">IF($P298=0,AT297,IF(AT$3=$E298,IF($AA298=1,$F298&amp;$AB298,$G298),IF(OR(AT$3=$D298,AT$3=$AC298,AT$3=$AE298),"",IF(AT$3=$AD298,$F298&amp;"R",AT297))))</f>
        <v>wP</v>
      </c>
      <c r="AU298" s="11" t="str">
        <f aca="false">IF($P298=0,AU297,IF(AU$3=$E298,IF($AA298=1,$F298&amp;$AB298,$G298),IF(OR(AU$3=$D298,AU$3=$AC298,AU$3=$AE298),"",IF(AU$3=$AD298,$F298&amp;"R",AU297))))</f>
        <v>wP</v>
      </c>
      <c r="AV298" s="11" t="str">
        <f aca="false">IF($P298=0,AV297,IF(AV$3=$E298,IF($AA298=1,$F298&amp;$AB298,$G298),IF(OR(AV$3=$D298,AV$3=$AC298,AV$3=$AE298),"",IF(AV$3=$AD298,$F298&amp;"R",AV297))))</f>
        <v>wP</v>
      </c>
      <c r="AW298" s="11" t="str">
        <f aca="false">IF($P298=0,AW297,IF(AW$3=$E298,IF($AA298=1,$F298&amp;$AB298,$G298),IF(OR(AW$3=$D298,AW$3=$AC298,AW$3=$AE298),"",IF(AW$3=$AD298,$F298&amp;"R",AW297))))</f>
        <v>wP</v>
      </c>
      <c r="AX298" s="11" t="str">
        <f aca="false">IF($P298=0,AX297,IF(AX$3=$E298,IF($AA298=1,$F298&amp;$AB298,$G298),IF(OR(AX$3=$D298,AX$3=$AC298,AX$3=$AE298),"",IF(AX$3=$AD298,$F298&amp;"R",AX297))))</f>
        <v/>
      </c>
      <c r="AY298" s="11" t="str">
        <f aca="false">IF($P298=0,AY297,IF(AY$3=$E298,IF($AA298=1,$F298&amp;$AB298,$G298),IF(OR(AY$3=$D298,AY$3=$AC298,AY$3=$AE298),"",IF(AY$3=$AD298,$F298&amp;"R",AY297))))</f>
        <v/>
      </c>
      <c r="AZ298" s="11" t="str">
        <f aca="false">IF($P298=0,AZ297,IF(AZ$3=$E298,IF($AA298=1,$F298&amp;$AB298,$G298),IF(OR(AZ$3=$D298,AZ$3=$AC298,AZ$3=$AE298),"",IF(AZ$3=$AD298,$F298&amp;"R",AZ297))))</f>
        <v/>
      </c>
      <c r="BA298" s="11" t="str">
        <f aca="false">IF($P298=0,BA297,IF(BA$3=$E298,IF($AA298=1,$F298&amp;$AB298,$G298),IF(OR(BA$3=$D298,BA$3=$AC298,BA$3=$AE298),"",IF(BA$3=$AD298,$F298&amp;"R",BA297))))</f>
        <v/>
      </c>
      <c r="BB298" s="11" t="str">
        <f aca="false">IF($P298=0,BB297,IF(BB$3=$E298,IF($AA298=1,$F298&amp;$AB298,$G298),IF(OR(BB$3=$D298,BB$3=$AC298,BB$3=$AE298),"",IF(BB$3=$AD298,$F298&amp;"R",BB297))))</f>
        <v/>
      </c>
      <c r="BC298" s="11" t="str">
        <f aca="false">IF($P298=0,BC297,IF(BC$3=$E298,IF($AA298=1,$F298&amp;$AB298,$G298),IF(OR(BC$3=$D298,BC$3=$AC298,BC$3=$AE298),"",IF(BC$3=$AD298,$F298&amp;"R",BC297))))</f>
        <v/>
      </c>
      <c r="BD298" s="11" t="str">
        <f aca="false">IF($P298=0,BD297,IF(BD$3=$E298,IF($AA298=1,$F298&amp;$AB298,$G298),IF(OR(BD$3=$D298,BD$3=$AC298,BD$3=$AE298),"",IF(BD$3=$AD298,$F298&amp;"R",BD297))))</f>
        <v/>
      </c>
      <c r="BE298" s="11" t="str">
        <f aca="false">IF($P298=0,BE297,IF(BE$3=$E298,IF($AA298=1,$F298&amp;$AB298,$G298),IF(OR(BE$3=$D298,BE$3=$AC298,BE$3=$AE298),"",IF(BE$3=$AD298,$F298&amp;"R",BE297))))</f>
        <v/>
      </c>
      <c r="BF298" s="11" t="str">
        <f aca="false">IF($P298=0,BF297,IF(BF$3=$E298,IF($AA298=1,$F298&amp;$AB298,$G298),IF(OR(BF$3=$D298,BF$3=$AC298,BF$3=$AE298),"",IF(BF$3=$AD298,$F298&amp;"R",BF297))))</f>
        <v/>
      </c>
      <c r="BG298" s="11" t="str">
        <f aca="false">IF($P298=0,BG297,IF(BG$3=$E298,IF($AA298=1,$F298&amp;$AB298,$G298),IF(OR(BG$3=$D298,BG$3=$AC298,BG$3=$AE298),"",IF(BG$3=$AD298,$F298&amp;"R",BG297))))</f>
        <v/>
      </c>
      <c r="BH298" s="11" t="str">
        <f aca="false">IF($P298=0,BH297,IF(BH$3=$E298,IF($AA298=1,$F298&amp;$AB298,$G298),IF(OR(BH$3=$D298,BH$3=$AC298,BH$3=$AE298),"",IF(BH$3=$AD298,$F298&amp;"R",BH297))))</f>
        <v/>
      </c>
      <c r="BI298" s="11" t="str">
        <f aca="false">IF($P298=0,BI297,IF(BI$3=$E298,IF($AA298=1,$F298&amp;$AB298,$G298),IF(OR(BI$3=$D298,BI$3=$AC298,BI$3=$AE298),"",IF(BI$3=$AD298,$F298&amp;"R",BI297))))</f>
        <v/>
      </c>
      <c r="BJ298" s="11" t="str">
        <f aca="false">IF($P298=0,BJ297,IF(BJ$3=$E298,IF($AA298=1,$F298&amp;$AB298,$G298),IF(OR(BJ$3=$D298,BJ$3=$AC298,BJ$3=$AE298),"",IF(BJ$3=$AD298,$F298&amp;"R",BJ297))))</f>
        <v/>
      </c>
      <c r="BK298" s="11" t="str">
        <f aca="false">IF($P298=0,BK297,IF(BK$3=$E298,IF($AA298=1,$F298&amp;$AB298,$G298),IF(OR(BK$3=$D298,BK$3=$AC298,BK$3=$AE298),"",IF(BK$3=$AD298,$F298&amp;"R",BK297))))</f>
        <v/>
      </c>
      <c r="BL298" s="11" t="str">
        <f aca="false">IF($P298=0,BL297,IF(BL$3=$E298,IF($AA298=1,$F298&amp;$AB298,$G298),IF(OR(BL$3=$D298,BL$3=$AC298,BL$3=$AE298),"",IF(BL$3=$AD298,$F298&amp;"R",BL297))))</f>
        <v/>
      </c>
      <c r="BM298" s="11" t="str">
        <f aca="false">IF($P298=0,BM297,IF(BM$3=$E298,IF($AA298=1,$F298&amp;$AB298,$G298),IF(OR(BM$3=$D298,BM$3=$AC298,BM$3=$AE298),"",IF(BM$3=$AD298,$F298&amp;"R",BM297))))</f>
        <v/>
      </c>
      <c r="BN298" s="11" t="str">
        <f aca="false">IF($P298=0,BN297,IF(BN$3=$E298,IF($AA298=1,$F298&amp;$AB298,$G298),IF(OR(BN$3=$D298,BN$3=$AC298,BN$3=$AE298),"",IF(BN$3=$AD298,$F298&amp;"R",BN297))))</f>
        <v/>
      </c>
      <c r="BO298" s="11" t="str">
        <f aca="false">IF($P298=0,BO297,IF(BO$3=$E298,IF($AA298=1,$F298&amp;$AB298,$G298),IF(OR(BO$3=$D298,BO$3=$AC298,BO$3=$AE298),"",IF(BO$3=$AD298,$F298&amp;"R",BO297))))</f>
        <v/>
      </c>
      <c r="BP298" s="11" t="str">
        <f aca="false">IF($P298=0,BP297,IF(BP$3=$E298,IF($AA298=1,$F298&amp;$AB298,$G298),IF(OR(BP$3=$D298,BP$3=$AC298,BP$3=$AE298),"",IF(BP$3=$AD298,$F298&amp;"R",BP297))))</f>
        <v/>
      </c>
      <c r="BQ298" s="11" t="str">
        <f aca="false">IF($P298=0,BQ297,IF(BQ$3=$E298,IF($AA298=1,$F298&amp;$AB298,$G298),IF(OR(BQ$3=$D298,BQ$3=$AC298,BQ$3=$AE298),"",IF(BQ$3=$AD298,$F298&amp;"R",BQ297))))</f>
        <v/>
      </c>
      <c r="BR298" s="11" t="str">
        <f aca="false">IF($P298=0,BR297,IF(BR$3=$E298,IF($AA298=1,$F298&amp;$AB298,$G298),IF(OR(BR$3=$D298,BR$3=$AC298,BR$3=$AE298),"",IF(BR$3=$AD298,$F298&amp;"R",BR297))))</f>
        <v/>
      </c>
      <c r="BS298" s="11" t="str">
        <f aca="false">IF($P298=0,BS297,IF(BS$3=$E298,IF($AA298=1,$F298&amp;$AB298,$G298),IF(OR(BS$3=$D298,BS$3=$AC298,BS$3=$AE298),"",IF(BS$3=$AD298,$F298&amp;"R",BS297))))</f>
        <v/>
      </c>
      <c r="BT298" s="11" t="str">
        <f aca="false">IF($P298=0,BT297,IF(BT$3=$E298,IF($AA298=1,$F298&amp;$AB298,$G298),IF(OR(BT$3=$D298,BT$3=$AC298,BT$3=$AE298),"",IF(BT$3=$AD298,$F298&amp;"R",BT297))))</f>
        <v/>
      </c>
      <c r="BU298" s="11" t="str">
        <f aca="false">IF($P298=0,BU297,IF(BU$3=$E298,IF($AA298=1,$F298&amp;$AB298,$G298),IF(OR(BU$3=$D298,BU$3=$AC298,BU$3=$AE298),"",IF(BU$3=$AD298,$F298&amp;"R",BU297))))</f>
        <v/>
      </c>
      <c r="BV298" s="11" t="str">
        <f aca="false">IF($P298=0,BV297,IF(BV$3=$E298,IF($AA298=1,$F298&amp;$AB298,$G298),IF(OR(BV$3=$D298,BV$3=$AC298,BV$3=$AE298),"",IF(BV$3=$AD298,$F298&amp;"R",BV297))))</f>
        <v/>
      </c>
      <c r="BW298" s="11" t="str">
        <f aca="false">IF($P298=0,BW297,IF(BW$3=$E298,IF($AA298=1,$F298&amp;$AB298,$G298),IF(OR(BW$3=$D298,BW$3=$AC298,BW$3=$AE298),"",IF(BW$3=$AD298,$F298&amp;"R",BW297))))</f>
        <v/>
      </c>
      <c r="BX298" s="11" t="str">
        <f aca="false">IF($P298=0,BX297,IF(BX$3=$E298,IF($AA298=1,$F298&amp;$AB298,$G298),IF(OR(BX$3=$D298,BX$3=$AC298,BX$3=$AE298),"",IF(BX$3=$AD298,$F298&amp;"R",BX297))))</f>
        <v/>
      </c>
      <c r="BY298" s="11" t="str">
        <f aca="false">IF($P298=0,BY297,IF(BY$3=$E298,IF($AA298=1,$F298&amp;$AB298,$G298),IF(OR(BY$3=$D298,BY$3=$AC298,BY$3=$AE298),"",IF(BY$3=$AD298,$F298&amp;"R",BY297))))</f>
        <v/>
      </c>
      <c r="BZ298" s="11" t="str">
        <f aca="false">IF($P298=0,BZ297,IF(BZ$3=$E298,IF($AA298=1,$F298&amp;$AB298,$G298),IF(OR(BZ$3=$D298,BZ$3=$AC298,BZ$3=$AE298),"",IF(BZ$3=$AD298,$F298&amp;"R",BZ297))))</f>
        <v/>
      </c>
      <c r="CA298" s="11" t="str">
        <f aca="false">IF($P298=0,CA297,IF(CA$3=$E298,IF($AA298=1,$F298&amp;$AB298,$G298),IF(OR(CA$3=$D298,CA$3=$AC298,CA$3=$AE298),"",IF(CA$3=$AD298,$F298&amp;"R",CA297))))</f>
        <v/>
      </c>
      <c r="CB298" s="11" t="str">
        <f aca="false">IF($P298=0,CB297,IF(CB$3=$E298,IF($AA298=1,$F298&amp;$AB298,$G298),IF(OR(CB$3=$D298,CB$3=$AC298,CB$3=$AE298),"",IF(CB$3=$AD298,$F298&amp;"R",CB297))))</f>
        <v/>
      </c>
      <c r="CC298" s="11" t="str">
        <f aca="false">IF($P298=0,CC297,IF(CC$3=$E298,IF($AA298=1,$F298&amp;$AB298,$G298),IF(OR(CC$3=$D298,CC$3=$AC298,CC$3=$AE298),"",IF(CC$3=$AD298,$F298&amp;"R",CC297))))</f>
        <v/>
      </c>
      <c r="CD298" s="11" t="str">
        <f aca="false">IF($P298=0,CD297,IF(CD$3=$E298,IF($AA298=1,$F298&amp;$AB298,$G298),IF(OR(CD$3=$D298,CD$3=$AC298,CD$3=$AE298),"",IF(CD$3=$AD298,$F298&amp;"R",CD297))))</f>
        <v>bP</v>
      </c>
      <c r="CE298" s="11" t="str">
        <f aca="false">IF($P298=0,CE297,IF(CE$3=$E298,IF($AA298=1,$F298&amp;$AB298,$G298),IF(OR(CE$3=$D298,CE$3=$AC298,CE$3=$AE298),"",IF(CE$3=$AD298,$F298&amp;"R",CE297))))</f>
        <v>bP</v>
      </c>
      <c r="CF298" s="11" t="str">
        <f aca="false">IF($P298=0,CF297,IF(CF$3=$E298,IF($AA298=1,$F298&amp;$AB298,$G298),IF(OR(CF$3=$D298,CF$3=$AC298,CF$3=$AE298),"",IF(CF$3=$AD298,$F298&amp;"R",CF297))))</f>
        <v>bP</v>
      </c>
      <c r="CG298" s="11" t="str">
        <f aca="false">IF($P298=0,CG297,IF(CG$3=$E298,IF($AA298=1,$F298&amp;$AB298,$G298),IF(OR(CG$3=$D298,CG$3=$AC298,CG$3=$AE298),"",IF(CG$3=$AD298,$F298&amp;"R",CG297))))</f>
        <v>bP</v>
      </c>
      <c r="CH298" s="11" t="str">
        <f aca="false">IF($P298=0,CH297,IF(CH$3=$E298,IF($AA298=1,$F298&amp;$AB298,$G298),IF(OR(CH$3=$D298,CH$3=$AC298,CH$3=$AE298),"",IF(CH$3=$AD298,$F298&amp;"R",CH297))))</f>
        <v>bP</v>
      </c>
      <c r="CI298" s="11" t="str">
        <f aca="false">IF($P298=0,CI297,IF(CI$3=$E298,IF($AA298=1,$F298&amp;$AB298,$G298),IF(OR(CI$3=$D298,CI$3=$AC298,CI$3=$AE298),"",IF(CI$3=$AD298,$F298&amp;"R",CI297))))</f>
        <v>bP</v>
      </c>
      <c r="CJ298" s="11" t="str">
        <f aca="false">IF($P298=0,CJ297,IF(CJ$3=$E298,IF($AA298=1,$F298&amp;$AB298,$G298),IF(OR(CJ$3=$D298,CJ$3=$AC298,CJ$3=$AE298),"",IF(CJ$3=$AD298,$F298&amp;"R",CJ297))))</f>
        <v>bP</v>
      </c>
      <c r="CK298" s="11" t="str">
        <f aca="false">IF($P298=0,CK297,IF(CK$3=$E298,IF($AA298=1,$F298&amp;$AB298,$G298),IF(OR(CK$3=$D298,CK$3=$AC298,CK$3=$AE298),"",IF(CK$3=$AD298,$F298&amp;"R",CK297))))</f>
        <v>bP</v>
      </c>
      <c r="CL298" s="11" t="str">
        <f aca="false">IF($P298=0,CL297,IF(CL$3=$E298,IF($AA298=1,$F298&amp;$AB298,$G298),IF(OR(CL$3=$D298,CL$3=$AC298,CL$3=$AE298),"",IF(CL$3=$AD298,$F298&amp;"R",CL297))))</f>
        <v>bR</v>
      </c>
      <c r="CM298" s="11" t="str">
        <f aca="false">IF($P298=0,CM297,IF(CM$3=$E298,IF($AA298=1,$F298&amp;$AB298,$G298),IF(OR(CM$3=$D298,CM$3=$AC298,CM$3=$AE298),"",IF(CM$3=$AD298,$F298&amp;"R",CM297))))</f>
        <v>bN</v>
      </c>
      <c r="CN298" s="11" t="str">
        <f aca="false">IF($P298=0,CN297,IF(CN$3=$E298,IF($AA298=1,$F298&amp;$AB298,$G298),IF(OR(CN$3=$D298,CN$3=$AC298,CN$3=$AE298),"",IF(CN$3=$AD298,$F298&amp;"R",CN297))))</f>
        <v>bB</v>
      </c>
      <c r="CO298" s="11" t="str">
        <f aca="false">IF($P298=0,CO297,IF(CO$3=$E298,IF($AA298=1,$F298&amp;$AB298,$G298),IF(OR(CO$3=$D298,CO$3=$AC298,CO$3=$AE298),"",IF(CO$3=$AD298,$F298&amp;"R",CO297))))</f>
        <v>bQ</v>
      </c>
      <c r="CP298" s="11" t="str">
        <f aca="false">IF($P298=0,CP297,IF(CP$3=$E298,IF($AA298=1,$F298&amp;$AB298,$G298),IF(OR(CP$3=$D298,CP$3=$AC298,CP$3=$AE298),"",IF(CP$3=$AD298,$F298&amp;"R",CP297))))</f>
        <v>bK</v>
      </c>
      <c r="CQ298" s="11" t="str">
        <f aca="false">IF($P298=0,CQ297,IF(CQ$3=$E298,IF($AA298=1,$F298&amp;$AB298,$G298),IF(OR(CQ$3=$D298,CQ$3=$AC298,CQ$3=$AE298),"",IF(CQ$3=$AD298,$F298&amp;"R",CQ297))))</f>
        <v>bB</v>
      </c>
      <c r="CR298" s="11" t="str">
        <f aca="false">IF($P298=0,CR297,IF(CR$3=$E298,IF($AA298=1,$F298&amp;$AB298,$G298),IF(OR(CR$3=$D298,CR$3=$AC298,CR$3=$AE298),"",IF(CR$3=$AD298,$F298&amp;"R",CR297))))</f>
        <v>bN</v>
      </c>
      <c r="CS298" s="11" t="str">
        <f aca="false">IF($P298=0,CS297,IF(CS$3=$E298,IF($AA298=1,$F298&amp;$AB298,$G298),IF(OR(CS$3=$D298,CS$3=$AC298,CS$3=$AE298),"",IF(CS$3=$AD298,$F298&amp;"R",CS297))))</f>
        <v>bR</v>
      </c>
      <c r="CT298" s="11"/>
      <c r="CU298" s="11"/>
      <c r="CV298" s="11"/>
    </row>
    <row r="299" customFormat="false" ht="15" hidden="false" customHeight="false" outlineLevel="0" collapsed="false">
      <c r="A299" s="11" t="n">
        <v>294</v>
      </c>
      <c r="B299" s="11" t="str">
        <f aca="false">IF(Chess!$L$303="","",Chess!$L$303&amp;"")</f>
        <v/>
      </c>
      <c r="C299" s="11" t="str">
        <f aca="false">LOWER(SUBSTITUTE(SUBSTITUTE(SUBSTITUTE(SUBSTITUTE(TRIM($B299),"-",""),"=","")," ",""),"x",""))</f>
        <v/>
      </c>
      <c r="D299" s="11" t="n">
        <f aca="false">IF(LEN($C299)&lt;4,0,IFERROR(IF(AND(CODE(MID($C299,1,1))&gt;=97,CODE(MID($C299,1,1))&lt;=104,VALUE(MID($C299,2,1))&gt;=1,VALUE(MID($C299,2,1))&lt;=8),(VALUE(MID($C299,2,1))-1)*8+CODE(MID($C299,1,1))-96,0),0))</f>
        <v>0</v>
      </c>
      <c r="E299" s="11" t="n">
        <f aca="false">IF(LEN($C299)&lt;4,0,IFERROR(IF(AND(CODE(MID($C299,3,1))&gt;=97,CODE(MID($C299,3,1))&lt;=104,VALUE(MID($C299,4,1))&gt;=1,VALUE(MID($C299,4,1))&lt;=8),(VALUE(MID($C299,4,1))-1)*8+CODE(MID($C299,3,1))-96,0),0))</f>
        <v>0</v>
      </c>
      <c r="F299" s="11" t="str">
        <f aca="false">IF(MOD(SUM($P$5:$P298),2)=0,"w","b")</f>
        <v>w</v>
      </c>
      <c r="G299" s="11" t="str">
        <f aca="false">IF($D299=0,"",INDEX($AH298:$CS298,1,$D299)&amp;"")</f>
        <v/>
      </c>
      <c r="H299" s="11" t="str">
        <f aca="false">IF($E299=0,"",INDEX($AH298:$CS298,1,$E299)&amp;"")</f>
        <v/>
      </c>
      <c r="I299" s="11" t="n">
        <f aca="false">IF(OR($D299=0,$E299=0),0,MOD($E299-1,8)-MOD($D299-1,8))</f>
        <v>0</v>
      </c>
      <c r="J299" s="11" t="n">
        <f aca="false">IF(OR($D299=0,$E299=0),0,INT(($E299-1)/8)-INT(($D299-1)/8))</f>
        <v>0</v>
      </c>
      <c r="K299" s="11" t="str">
        <f aca="false">IF($G299="","",RIGHT($G299,1))</f>
        <v/>
      </c>
      <c r="L299" s="11" t="n">
        <f aca="false">IF(OR($D299=0,$E299=0),0,SUMPRODUCT(($AH$3:$CS$3&gt;MIN($D299,$E299))*($AH$3:$CS$3&lt;MAX($D299,$E299))*(MOD($AH$3:$CS$3-MIN($D299,$E299),MAX(1,ABS(SIGN($J299)*8+SIGN($I299))))=0)*($AH298:$CS298&lt;&gt;"")))</f>
        <v>0</v>
      </c>
      <c r="M299" s="11" t="n">
        <f aca="false">IF($K299&lt;&gt;"K",0,IFERROR(--AND($J299=0,ABS($I299)=2,$D299=IF($F299="w",5,61),IF($F299="w",$S298,$V298)=0,IF($I299=2,AND(IF($F299="w",$U298,$X298)=0,INDEX($AH298:$CS298,1,$D299+1)&amp;""="",INDEX($AH298:$CS298,1,$D299+2)&amp;""=""),AND(IF($F299="w",$T298,$W298)=0,INDEX($AH298:$CS298,1,$D299-1)&amp;""="",INDEX($AH298:$CS298,1,$D299-2)&amp;""="",INDEX($AH298:$CS298,1,$D299-3)&amp;""=""))),0))</f>
        <v>0</v>
      </c>
      <c r="N299" s="11" t="n">
        <f aca="false">IF($K299&lt;&gt;"P",0,IFERROR(--OR(AND($I299=0,$J299=IF($F299="w",1,-1),$H299=""),AND($I299=0,$J299=2*IF($F299="w",1,-1),$H299="",INT(($D299-1)/8)=IF($F299="w",1,6),INDEX($AH298:$CS298,1,MAX(1,MIN(64,$D299+8*IF($F299="w",1,-1))))&amp;""=""),AND(ABS($I299)=1,$J299=IF($F299="w",1,-1),$H299&lt;&gt;""),AND(ABS($I299)=1,$J299=IF($F299="w",1,-1),$H299="",$R298&gt;0,$E299=$R298)),0))</f>
        <v>0</v>
      </c>
      <c r="O299" s="11" t="n">
        <f aca="false">IF(OR($D299=0,$E299=0,$G299=""),0,IF($K299="N",--OR(AND(ABS($I299)=1,ABS($J299)=2),AND(ABS($I299)=2,ABS($J299)=1)),IF($K299="B",--AND(ABS($I299)=ABS($J299),$I299&lt;&gt;0,$L299=0),IF($K299="R",--AND(OR($I299=0,$J299=0),OR($I299&lt;&gt;0,$J299&lt;&gt;0),$L299=0),IF($K299="Q",--AND(OR(AND(ABS($I299)=ABS($J299),$I299&lt;&gt;0),AND(OR($I299=0,$J299=0),OR($I299&lt;&gt;0,$J299&lt;&gt;0))),$L299=0),IF($K299="K",--OR(MAX(ABS($I299),ABS($J299))=1,$M299=1),$N299))))))</f>
        <v>0</v>
      </c>
      <c r="P299" s="11" t="n">
        <f aca="false">IF($Q299="OK",1,0)</f>
        <v>0</v>
      </c>
      <c r="Q299" s="11" t="str">
        <f aca="false">IF($B299="","",IF(OR(COUNTIF($AH298:$CS298,"wK")=0,COUNTIF($AH298:$CS298,"bK")=0),"Game is over",IF(OR($D299=0,$E299=0),"Use the format e2e4",IF($G299="","No piece on that square",IF(LEFT($G299,1)&lt;&gt;$F299,"Not your piece ("&amp;IF($F299="w","White","Black")&amp;" to move)",IF($D299=$E299,"Piece must move",IF(AND($H299&lt;&gt;"",LEFT($H299,1)=$F299),"Cannot capture your own piece",IF($O299=0,"Illegal move for that piece (or path blocked)","OK"))))))))</f>
        <v/>
      </c>
      <c r="R299" s="11" t="n">
        <f aca="false">IF($P299=1,IF(AND($K299="P",ABS($J299)=2),($D299+$E299)/2,0),$R298)</f>
        <v>0</v>
      </c>
      <c r="S299" s="12" t="b">
        <f aca="false">--OR($S298=1,AND($P299=1,OR($D299=5,$E299=5)))</f>
        <v>0</v>
      </c>
      <c r="T299" s="12" t="b">
        <f aca="false">--OR($T298=1,AND($P299=1,OR($D299=1,$E299=1)))</f>
        <v>0</v>
      </c>
      <c r="U299" s="12" t="b">
        <f aca="false">--OR($U298=1,AND($P299=1,OR($D299=8,$E299=8)))</f>
        <v>0</v>
      </c>
      <c r="V299" s="12" t="b">
        <f aca="false">--OR($V298=1,AND($P299=1,OR($D299=61,$E299=61)))</f>
        <v>0</v>
      </c>
      <c r="W299" s="12" t="b">
        <f aca="false">--OR($W298=1,AND($P299=1,OR($D299=57,$E299=57)))</f>
        <v>0</v>
      </c>
      <c r="X299" s="12" t="b">
        <f aca="false">--OR($X298=1,AND($P299=1,OR($D299=64,$E299=64)))</f>
        <v>0</v>
      </c>
      <c r="Y299" s="12" t="b">
        <f aca="false">--AND($P299=1,$K299="K",ABS($I299)=2)</f>
        <v>0</v>
      </c>
      <c r="Z299" s="12" t="b">
        <f aca="false">--AND($P299=1,$K299="P",ABS($I299)=1,$H299="")</f>
        <v>0</v>
      </c>
      <c r="AA299" s="12" t="b">
        <f aca="false">--AND($P299=1,$K299="P",INT(($E299-1)/8)=IF($F299="w",7,0))</f>
        <v>0</v>
      </c>
      <c r="AB299" s="11" t="str">
        <f aca="false">IF(LEN($C299)&gt;=5,IF(ISNUMBER(FIND(MID($C299,5,1),"qrbn")),UPPER(MID($C299,5,1)),"Q"),"Q")</f>
        <v>Q</v>
      </c>
      <c r="AC299" s="11" t="n">
        <f aca="false">IF($Y299=1,IF($I299=2,$D299+3,$D299-4),0)</f>
        <v>0</v>
      </c>
      <c r="AD299" s="11" t="n">
        <f aca="false">IF($Y299=1,IF($I299=2,$D299+1,$D299-1),0)</f>
        <v>0</v>
      </c>
      <c r="AE299" s="11" t="n">
        <f aca="false">IF($Z299=1,$E299-8*IF($F299="w",1,-1),0)</f>
        <v>0</v>
      </c>
      <c r="AF299" s="11" t="str">
        <f aca="false">IF($B299="","",IF($P299=1,LOWER(INDEX($CV$2:$CV$13,MATCH($G299,$CU$2:$CU$13,0)))&amp;" "&amp;MID("abcdefgh",MOD($D299-1,8)+1,1)&amp;(INT(($D299-1)/8)+1)&amp;"→"&amp;MID("abcdefgh",MOD($E299-1,8)+1,1)&amp;(INT(($E299-1)/8)+1)&amp;IF(OR($H299&lt;&gt;"",$Z299=1)," ×","")&amp;IF($Y299=1," castles","")&amp;IF($Z299=1," e.p.","")&amp;IF($AA299=1," =" &amp;LOWER(INDEX($CV$2:$CV$13,MATCH($F299&amp;$AB299,$CU$2:$CU$13,0))),""),"X "&amp;$Q299))</f>
        <v/>
      </c>
      <c r="AG299" s="11"/>
      <c r="AH299" s="11" t="str">
        <f aca="false">IF($P299=0,AH298,IF(AH$3=$E299,IF($AA299=1,$F299&amp;$AB299,$G299),IF(OR(AH$3=$D299,AH$3=$AC299,AH$3=$AE299),"",IF(AH$3=$AD299,$F299&amp;"R",AH298))))</f>
        <v>wR</v>
      </c>
      <c r="AI299" s="11" t="str">
        <f aca="false">IF($P299=0,AI298,IF(AI$3=$E299,IF($AA299=1,$F299&amp;$AB299,$G299),IF(OR(AI$3=$D299,AI$3=$AC299,AI$3=$AE299),"",IF(AI$3=$AD299,$F299&amp;"R",AI298))))</f>
        <v>wN</v>
      </c>
      <c r="AJ299" s="11" t="str">
        <f aca="false">IF($P299=0,AJ298,IF(AJ$3=$E299,IF($AA299=1,$F299&amp;$AB299,$G299),IF(OR(AJ$3=$D299,AJ$3=$AC299,AJ$3=$AE299),"",IF(AJ$3=$AD299,$F299&amp;"R",AJ298))))</f>
        <v>wB</v>
      </c>
      <c r="AK299" s="11" t="str">
        <f aca="false">IF($P299=0,AK298,IF(AK$3=$E299,IF($AA299=1,$F299&amp;$AB299,$G299),IF(OR(AK$3=$D299,AK$3=$AC299,AK$3=$AE299),"",IF(AK$3=$AD299,$F299&amp;"R",AK298))))</f>
        <v>wQ</v>
      </c>
      <c r="AL299" s="11" t="str">
        <f aca="false">IF($P299=0,AL298,IF(AL$3=$E299,IF($AA299=1,$F299&amp;$AB299,$G299),IF(OR(AL$3=$D299,AL$3=$AC299,AL$3=$AE299),"",IF(AL$3=$AD299,$F299&amp;"R",AL298))))</f>
        <v>wK</v>
      </c>
      <c r="AM299" s="11" t="str">
        <f aca="false">IF($P299=0,AM298,IF(AM$3=$E299,IF($AA299=1,$F299&amp;$AB299,$G299),IF(OR(AM$3=$D299,AM$3=$AC299,AM$3=$AE299),"",IF(AM$3=$AD299,$F299&amp;"R",AM298))))</f>
        <v>wB</v>
      </c>
      <c r="AN299" s="11" t="str">
        <f aca="false">IF($P299=0,AN298,IF(AN$3=$E299,IF($AA299=1,$F299&amp;$AB299,$G299),IF(OR(AN$3=$D299,AN$3=$AC299,AN$3=$AE299),"",IF(AN$3=$AD299,$F299&amp;"R",AN298))))</f>
        <v>wN</v>
      </c>
      <c r="AO299" s="11" t="str">
        <f aca="false">IF($P299=0,AO298,IF(AO$3=$E299,IF($AA299=1,$F299&amp;$AB299,$G299),IF(OR(AO$3=$D299,AO$3=$AC299,AO$3=$AE299),"",IF(AO$3=$AD299,$F299&amp;"R",AO298))))</f>
        <v>wR</v>
      </c>
      <c r="AP299" s="11" t="str">
        <f aca="false">IF($P299=0,AP298,IF(AP$3=$E299,IF($AA299=1,$F299&amp;$AB299,$G299),IF(OR(AP$3=$D299,AP$3=$AC299,AP$3=$AE299),"",IF(AP$3=$AD299,$F299&amp;"R",AP298))))</f>
        <v>wP</v>
      </c>
      <c r="AQ299" s="11" t="str">
        <f aca="false">IF($P299=0,AQ298,IF(AQ$3=$E299,IF($AA299=1,$F299&amp;$AB299,$G299),IF(OR(AQ$3=$D299,AQ$3=$AC299,AQ$3=$AE299),"",IF(AQ$3=$AD299,$F299&amp;"R",AQ298))))</f>
        <v>wP</v>
      </c>
      <c r="AR299" s="11" t="str">
        <f aca="false">IF($P299=0,AR298,IF(AR$3=$E299,IF($AA299=1,$F299&amp;$AB299,$G299),IF(OR(AR$3=$D299,AR$3=$AC299,AR$3=$AE299),"",IF(AR$3=$AD299,$F299&amp;"R",AR298))))</f>
        <v>wP</v>
      </c>
      <c r="AS299" s="11" t="str">
        <f aca="false">IF($P299=0,AS298,IF(AS$3=$E299,IF($AA299=1,$F299&amp;$AB299,$G299),IF(OR(AS$3=$D299,AS$3=$AC299,AS$3=$AE299),"",IF(AS$3=$AD299,$F299&amp;"R",AS298))))</f>
        <v>wP</v>
      </c>
      <c r="AT299" s="11" t="str">
        <f aca="false">IF($P299=0,AT298,IF(AT$3=$E299,IF($AA299=1,$F299&amp;$AB299,$G299),IF(OR(AT$3=$D299,AT$3=$AC299,AT$3=$AE299),"",IF(AT$3=$AD299,$F299&amp;"R",AT298))))</f>
        <v>wP</v>
      </c>
      <c r="AU299" s="11" t="str">
        <f aca="false">IF($P299=0,AU298,IF(AU$3=$E299,IF($AA299=1,$F299&amp;$AB299,$G299),IF(OR(AU$3=$D299,AU$3=$AC299,AU$3=$AE299),"",IF(AU$3=$AD299,$F299&amp;"R",AU298))))</f>
        <v>wP</v>
      </c>
      <c r="AV299" s="11" t="str">
        <f aca="false">IF($P299=0,AV298,IF(AV$3=$E299,IF($AA299=1,$F299&amp;$AB299,$G299),IF(OR(AV$3=$D299,AV$3=$AC299,AV$3=$AE299),"",IF(AV$3=$AD299,$F299&amp;"R",AV298))))</f>
        <v>wP</v>
      </c>
      <c r="AW299" s="11" t="str">
        <f aca="false">IF($P299=0,AW298,IF(AW$3=$E299,IF($AA299=1,$F299&amp;$AB299,$G299),IF(OR(AW$3=$D299,AW$3=$AC299,AW$3=$AE299),"",IF(AW$3=$AD299,$F299&amp;"R",AW298))))</f>
        <v>wP</v>
      </c>
      <c r="AX299" s="11" t="str">
        <f aca="false">IF($P299=0,AX298,IF(AX$3=$E299,IF($AA299=1,$F299&amp;$AB299,$G299),IF(OR(AX$3=$D299,AX$3=$AC299,AX$3=$AE299),"",IF(AX$3=$AD299,$F299&amp;"R",AX298))))</f>
        <v/>
      </c>
      <c r="AY299" s="11" t="str">
        <f aca="false">IF($P299=0,AY298,IF(AY$3=$E299,IF($AA299=1,$F299&amp;$AB299,$G299),IF(OR(AY$3=$D299,AY$3=$AC299,AY$3=$AE299),"",IF(AY$3=$AD299,$F299&amp;"R",AY298))))</f>
        <v/>
      </c>
      <c r="AZ299" s="11" t="str">
        <f aca="false">IF($P299=0,AZ298,IF(AZ$3=$E299,IF($AA299=1,$F299&amp;$AB299,$G299),IF(OR(AZ$3=$D299,AZ$3=$AC299,AZ$3=$AE299),"",IF(AZ$3=$AD299,$F299&amp;"R",AZ298))))</f>
        <v/>
      </c>
      <c r="BA299" s="11" t="str">
        <f aca="false">IF($P299=0,BA298,IF(BA$3=$E299,IF($AA299=1,$F299&amp;$AB299,$G299),IF(OR(BA$3=$D299,BA$3=$AC299,BA$3=$AE299),"",IF(BA$3=$AD299,$F299&amp;"R",BA298))))</f>
        <v/>
      </c>
      <c r="BB299" s="11" t="str">
        <f aca="false">IF($P299=0,BB298,IF(BB$3=$E299,IF($AA299=1,$F299&amp;$AB299,$G299),IF(OR(BB$3=$D299,BB$3=$AC299,BB$3=$AE299),"",IF(BB$3=$AD299,$F299&amp;"R",BB298))))</f>
        <v/>
      </c>
      <c r="BC299" s="11" t="str">
        <f aca="false">IF($P299=0,BC298,IF(BC$3=$E299,IF($AA299=1,$F299&amp;$AB299,$G299),IF(OR(BC$3=$D299,BC$3=$AC299,BC$3=$AE299),"",IF(BC$3=$AD299,$F299&amp;"R",BC298))))</f>
        <v/>
      </c>
      <c r="BD299" s="11" t="str">
        <f aca="false">IF($P299=0,BD298,IF(BD$3=$E299,IF($AA299=1,$F299&amp;$AB299,$G299),IF(OR(BD$3=$D299,BD$3=$AC299,BD$3=$AE299),"",IF(BD$3=$AD299,$F299&amp;"R",BD298))))</f>
        <v/>
      </c>
      <c r="BE299" s="11" t="str">
        <f aca="false">IF($P299=0,BE298,IF(BE$3=$E299,IF($AA299=1,$F299&amp;$AB299,$G299),IF(OR(BE$3=$D299,BE$3=$AC299,BE$3=$AE299),"",IF(BE$3=$AD299,$F299&amp;"R",BE298))))</f>
        <v/>
      </c>
      <c r="BF299" s="11" t="str">
        <f aca="false">IF($P299=0,BF298,IF(BF$3=$E299,IF($AA299=1,$F299&amp;$AB299,$G299),IF(OR(BF$3=$D299,BF$3=$AC299,BF$3=$AE299),"",IF(BF$3=$AD299,$F299&amp;"R",BF298))))</f>
        <v/>
      </c>
      <c r="BG299" s="11" t="str">
        <f aca="false">IF($P299=0,BG298,IF(BG$3=$E299,IF($AA299=1,$F299&amp;$AB299,$G299),IF(OR(BG$3=$D299,BG$3=$AC299,BG$3=$AE299),"",IF(BG$3=$AD299,$F299&amp;"R",BG298))))</f>
        <v/>
      </c>
      <c r="BH299" s="11" t="str">
        <f aca="false">IF($P299=0,BH298,IF(BH$3=$E299,IF($AA299=1,$F299&amp;$AB299,$G299),IF(OR(BH$3=$D299,BH$3=$AC299,BH$3=$AE299),"",IF(BH$3=$AD299,$F299&amp;"R",BH298))))</f>
        <v/>
      </c>
      <c r="BI299" s="11" t="str">
        <f aca="false">IF($P299=0,BI298,IF(BI$3=$E299,IF($AA299=1,$F299&amp;$AB299,$G299),IF(OR(BI$3=$D299,BI$3=$AC299,BI$3=$AE299),"",IF(BI$3=$AD299,$F299&amp;"R",BI298))))</f>
        <v/>
      </c>
      <c r="BJ299" s="11" t="str">
        <f aca="false">IF($P299=0,BJ298,IF(BJ$3=$E299,IF($AA299=1,$F299&amp;$AB299,$G299),IF(OR(BJ$3=$D299,BJ$3=$AC299,BJ$3=$AE299),"",IF(BJ$3=$AD299,$F299&amp;"R",BJ298))))</f>
        <v/>
      </c>
      <c r="BK299" s="11" t="str">
        <f aca="false">IF($P299=0,BK298,IF(BK$3=$E299,IF($AA299=1,$F299&amp;$AB299,$G299),IF(OR(BK$3=$D299,BK$3=$AC299,BK$3=$AE299),"",IF(BK$3=$AD299,$F299&amp;"R",BK298))))</f>
        <v/>
      </c>
      <c r="BL299" s="11" t="str">
        <f aca="false">IF($P299=0,BL298,IF(BL$3=$E299,IF($AA299=1,$F299&amp;$AB299,$G299),IF(OR(BL$3=$D299,BL$3=$AC299,BL$3=$AE299),"",IF(BL$3=$AD299,$F299&amp;"R",BL298))))</f>
        <v/>
      </c>
      <c r="BM299" s="11" t="str">
        <f aca="false">IF($P299=0,BM298,IF(BM$3=$E299,IF($AA299=1,$F299&amp;$AB299,$G299),IF(OR(BM$3=$D299,BM$3=$AC299,BM$3=$AE299),"",IF(BM$3=$AD299,$F299&amp;"R",BM298))))</f>
        <v/>
      </c>
      <c r="BN299" s="11" t="str">
        <f aca="false">IF($P299=0,BN298,IF(BN$3=$E299,IF($AA299=1,$F299&amp;$AB299,$G299),IF(OR(BN$3=$D299,BN$3=$AC299,BN$3=$AE299),"",IF(BN$3=$AD299,$F299&amp;"R",BN298))))</f>
        <v/>
      </c>
      <c r="BO299" s="11" t="str">
        <f aca="false">IF($P299=0,BO298,IF(BO$3=$E299,IF($AA299=1,$F299&amp;$AB299,$G299),IF(OR(BO$3=$D299,BO$3=$AC299,BO$3=$AE299),"",IF(BO$3=$AD299,$F299&amp;"R",BO298))))</f>
        <v/>
      </c>
      <c r="BP299" s="11" t="str">
        <f aca="false">IF($P299=0,BP298,IF(BP$3=$E299,IF($AA299=1,$F299&amp;$AB299,$G299),IF(OR(BP$3=$D299,BP$3=$AC299,BP$3=$AE299),"",IF(BP$3=$AD299,$F299&amp;"R",BP298))))</f>
        <v/>
      </c>
      <c r="BQ299" s="11" t="str">
        <f aca="false">IF($P299=0,BQ298,IF(BQ$3=$E299,IF($AA299=1,$F299&amp;$AB299,$G299),IF(OR(BQ$3=$D299,BQ$3=$AC299,BQ$3=$AE299),"",IF(BQ$3=$AD299,$F299&amp;"R",BQ298))))</f>
        <v/>
      </c>
      <c r="BR299" s="11" t="str">
        <f aca="false">IF($P299=0,BR298,IF(BR$3=$E299,IF($AA299=1,$F299&amp;$AB299,$G299),IF(OR(BR$3=$D299,BR$3=$AC299,BR$3=$AE299),"",IF(BR$3=$AD299,$F299&amp;"R",BR298))))</f>
        <v/>
      </c>
      <c r="BS299" s="11" t="str">
        <f aca="false">IF($P299=0,BS298,IF(BS$3=$E299,IF($AA299=1,$F299&amp;$AB299,$G299),IF(OR(BS$3=$D299,BS$3=$AC299,BS$3=$AE299),"",IF(BS$3=$AD299,$F299&amp;"R",BS298))))</f>
        <v/>
      </c>
      <c r="BT299" s="11" t="str">
        <f aca="false">IF($P299=0,BT298,IF(BT$3=$E299,IF($AA299=1,$F299&amp;$AB299,$G299),IF(OR(BT$3=$D299,BT$3=$AC299,BT$3=$AE299),"",IF(BT$3=$AD299,$F299&amp;"R",BT298))))</f>
        <v/>
      </c>
      <c r="BU299" s="11" t="str">
        <f aca="false">IF($P299=0,BU298,IF(BU$3=$E299,IF($AA299=1,$F299&amp;$AB299,$G299),IF(OR(BU$3=$D299,BU$3=$AC299,BU$3=$AE299),"",IF(BU$3=$AD299,$F299&amp;"R",BU298))))</f>
        <v/>
      </c>
      <c r="BV299" s="11" t="str">
        <f aca="false">IF($P299=0,BV298,IF(BV$3=$E299,IF($AA299=1,$F299&amp;$AB299,$G299),IF(OR(BV$3=$D299,BV$3=$AC299,BV$3=$AE299),"",IF(BV$3=$AD299,$F299&amp;"R",BV298))))</f>
        <v/>
      </c>
      <c r="BW299" s="11" t="str">
        <f aca="false">IF($P299=0,BW298,IF(BW$3=$E299,IF($AA299=1,$F299&amp;$AB299,$G299),IF(OR(BW$3=$D299,BW$3=$AC299,BW$3=$AE299),"",IF(BW$3=$AD299,$F299&amp;"R",BW298))))</f>
        <v/>
      </c>
      <c r="BX299" s="11" t="str">
        <f aca="false">IF($P299=0,BX298,IF(BX$3=$E299,IF($AA299=1,$F299&amp;$AB299,$G299),IF(OR(BX$3=$D299,BX$3=$AC299,BX$3=$AE299),"",IF(BX$3=$AD299,$F299&amp;"R",BX298))))</f>
        <v/>
      </c>
      <c r="BY299" s="11" t="str">
        <f aca="false">IF($P299=0,BY298,IF(BY$3=$E299,IF($AA299=1,$F299&amp;$AB299,$G299),IF(OR(BY$3=$D299,BY$3=$AC299,BY$3=$AE299),"",IF(BY$3=$AD299,$F299&amp;"R",BY298))))</f>
        <v/>
      </c>
      <c r="BZ299" s="11" t="str">
        <f aca="false">IF($P299=0,BZ298,IF(BZ$3=$E299,IF($AA299=1,$F299&amp;$AB299,$G299),IF(OR(BZ$3=$D299,BZ$3=$AC299,BZ$3=$AE299),"",IF(BZ$3=$AD299,$F299&amp;"R",BZ298))))</f>
        <v/>
      </c>
      <c r="CA299" s="11" t="str">
        <f aca="false">IF($P299=0,CA298,IF(CA$3=$E299,IF($AA299=1,$F299&amp;$AB299,$G299),IF(OR(CA$3=$D299,CA$3=$AC299,CA$3=$AE299),"",IF(CA$3=$AD299,$F299&amp;"R",CA298))))</f>
        <v/>
      </c>
      <c r="CB299" s="11" t="str">
        <f aca="false">IF($P299=0,CB298,IF(CB$3=$E299,IF($AA299=1,$F299&amp;$AB299,$G299),IF(OR(CB$3=$D299,CB$3=$AC299,CB$3=$AE299),"",IF(CB$3=$AD299,$F299&amp;"R",CB298))))</f>
        <v/>
      </c>
      <c r="CC299" s="11" t="str">
        <f aca="false">IF($P299=0,CC298,IF(CC$3=$E299,IF($AA299=1,$F299&amp;$AB299,$G299),IF(OR(CC$3=$D299,CC$3=$AC299,CC$3=$AE299),"",IF(CC$3=$AD299,$F299&amp;"R",CC298))))</f>
        <v/>
      </c>
      <c r="CD299" s="11" t="str">
        <f aca="false">IF($P299=0,CD298,IF(CD$3=$E299,IF($AA299=1,$F299&amp;$AB299,$G299),IF(OR(CD$3=$D299,CD$3=$AC299,CD$3=$AE299),"",IF(CD$3=$AD299,$F299&amp;"R",CD298))))</f>
        <v>bP</v>
      </c>
      <c r="CE299" s="11" t="str">
        <f aca="false">IF($P299=0,CE298,IF(CE$3=$E299,IF($AA299=1,$F299&amp;$AB299,$G299),IF(OR(CE$3=$D299,CE$3=$AC299,CE$3=$AE299),"",IF(CE$3=$AD299,$F299&amp;"R",CE298))))</f>
        <v>bP</v>
      </c>
      <c r="CF299" s="11" t="str">
        <f aca="false">IF($P299=0,CF298,IF(CF$3=$E299,IF($AA299=1,$F299&amp;$AB299,$G299),IF(OR(CF$3=$D299,CF$3=$AC299,CF$3=$AE299),"",IF(CF$3=$AD299,$F299&amp;"R",CF298))))</f>
        <v>bP</v>
      </c>
      <c r="CG299" s="11" t="str">
        <f aca="false">IF($P299=0,CG298,IF(CG$3=$E299,IF($AA299=1,$F299&amp;$AB299,$G299),IF(OR(CG$3=$D299,CG$3=$AC299,CG$3=$AE299),"",IF(CG$3=$AD299,$F299&amp;"R",CG298))))</f>
        <v>bP</v>
      </c>
      <c r="CH299" s="11" t="str">
        <f aca="false">IF($P299=0,CH298,IF(CH$3=$E299,IF($AA299=1,$F299&amp;$AB299,$G299),IF(OR(CH$3=$D299,CH$3=$AC299,CH$3=$AE299),"",IF(CH$3=$AD299,$F299&amp;"R",CH298))))</f>
        <v>bP</v>
      </c>
      <c r="CI299" s="11" t="str">
        <f aca="false">IF($P299=0,CI298,IF(CI$3=$E299,IF($AA299=1,$F299&amp;$AB299,$G299),IF(OR(CI$3=$D299,CI$3=$AC299,CI$3=$AE299),"",IF(CI$3=$AD299,$F299&amp;"R",CI298))))</f>
        <v>bP</v>
      </c>
      <c r="CJ299" s="11" t="str">
        <f aca="false">IF($P299=0,CJ298,IF(CJ$3=$E299,IF($AA299=1,$F299&amp;$AB299,$G299),IF(OR(CJ$3=$D299,CJ$3=$AC299,CJ$3=$AE299),"",IF(CJ$3=$AD299,$F299&amp;"R",CJ298))))</f>
        <v>bP</v>
      </c>
      <c r="CK299" s="11" t="str">
        <f aca="false">IF($P299=0,CK298,IF(CK$3=$E299,IF($AA299=1,$F299&amp;$AB299,$G299),IF(OR(CK$3=$D299,CK$3=$AC299,CK$3=$AE299),"",IF(CK$3=$AD299,$F299&amp;"R",CK298))))</f>
        <v>bP</v>
      </c>
      <c r="CL299" s="11" t="str">
        <f aca="false">IF($P299=0,CL298,IF(CL$3=$E299,IF($AA299=1,$F299&amp;$AB299,$G299),IF(OR(CL$3=$D299,CL$3=$AC299,CL$3=$AE299),"",IF(CL$3=$AD299,$F299&amp;"R",CL298))))</f>
        <v>bR</v>
      </c>
      <c r="CM299" s="11" t="str">
        <f aca="false">IF($P299=0,CM298,IF(CM$3=$E299,IF($AA299=1,$F299&amp;$AB299,$G299),IF(OR(CM$3=$D299,CM$3=$AC299,CM$3=$AE299),"",IF(CM$3=$AD299,$F299&amp;"R",CM298))))</f>
        <v>bN</v>
      </c>
      <c r="CN299" s="11" t="str">
        <f aca="false">IF($P299=0,CN298,IF(CN$3=$E299,IF($AA299=1,$F299&amp;$AB299,$G299),IF(OR(CN$3=$D299,CN$3=$AC299,CN$3=$AE299),"",IF(CN$3=$AD299,$F299&amp;"R",CN298))))</f>
        <v>bB</v>
      </c>
      <c r="CO299" s="11" t="str">
        <f aca="false">IF($P299=0,CO298,IF(CO$3=$E299,IF($AA299=1,$F299&amp;$AB299,$G299),IF(OR(CO$3=$D299,CO$3=$AC299,CO$3=$AE299),"",IF(CO$3=$AD299,$F299&amp;"R",CO298))))</f>
        <v>bQ</v>
      </c>
      <c r="CP299" s="11" t="str">
        <f aca="false">IF($P299=0,CP298,IF(CP$3=$E299,IF($AA299=1,$F299&amp;$AB299,$G299),IF(OR(CP$3=$D299,CP$3=$AC299,CP$3=$AE299),"",IF(CP$3=$AD299,$F299&amp;"R",CP298))))</f>
        <v>bK</v>
      </c>
      <c r="CQ299" s="11" t="str">
        <f aca="false">IF($P299=0,CQ298,IF(CQ$3=$E299,IF($AA299=1,$F299&amp;$AB299,$G299),IF(OR(CQ$3=$D299,CQ$3=$AC299,CQ$3=$AE299),"",IF(CQ$3=$AD299,$F299&amp;"R",CQ298))))</f>
        <v>bB</v>
      </c>
      <c r="CR299" s="11" t="str">
        <f aca="false">IF($P299=0,CR298,IF(CR$3=$E299,IF($AA299=1,$F299&amp;$AB299,$G299),IF(OR(CR$3=$D299,CR$3=$AC299,CR$3=$AE299),"",IF(CR$3=$AD299,$F299&amp;"R",CR298))))</f>
        <v>bN</v>
      </c>
      <c r="CS299" s="11" t="str">
        <f aca="false">IF($P299=0,CS298,IF(CS$3=$E299,IF($AA299=1,$F299&amp;$AB299,$G299),IF(OR(CS$3=$D299,CS$3=$AC299,CS$3=$AE299),"",IF(CS$3=$AD299,$F299&amp;"R",CS298))))</f>
        <v>bR</v>
      </c>
      <c r="CT299" s="11"/>
      <c r="CU299" s="11"/>
      <c r="CV299" s="11"/>
    </row>
    <row r="300" customFormat="false" ht="15" hidden="false" customHeight="false" outlineLevel="0" collapsed="false">
      <c r="A300" s="11" t="n">
        <v>295</v>
      </c>
      <c r="B300" s="11" t="str">
        <f aca="false">IF(Chess!$L$304="","",Chess!$L$304&amp;"")</f>
        <v/>
      </c>
      <c r="C300" s="11" t="str">
        <f aca="false">LOWER(SUBSTITUTE(SUBSTITUTE(SUBSTITUTE(SUBSTITUTE(TRIM($B300),"-",""),"=","")," ",""),"x",""))</f>
        <v/>
      </c>
      <c r="D300" s="11" t="n">
        <f aca="false">IF(LEN($C300)&lt;4,0,IFERROR(IF(AND(CODE(MID($C300,1,1))&gt;=97,CODE(MID($C300,1,1))&lt;=104,VALUE(MID($C300,2,1))&gt;=1,VALUE(MID($C300,2,1))&lt;=8),(VALUE(MID($C300,2,1))-1)*8+CODE(MID($C300,1,1))-96,0),0))</f>
        <v>0</v>
      </c>
      <c r="E300" s="11" t="n">
        <f aca="false">IF(LEN($C300)&lt;4,0,IFERROR(IF(AND(CODE(MID($C300,3,1))&gt;=97,CODE(MID($C300,3,1))&lt;=104,VALUE(MID($C300,4,1))&gt;=1,VALUE(MID($C300,4,1))&lt;=8),(VALUE(MID($C300,4,1))-1)*8+CODE(MID($C300,3,1))-96,0),0))</f>
        <v>0</v>
      </c>
      <c r="F300" s="11" t="str">
        <f aca="false">IF(MOD(SUM($P$5:$P299),2)=0,"w","b")</f>
        <v>w</v>
      </c>
      <c r="G300" s="11" t="str">
        <f aca="false">IF($D300=0,"",INDEX($AH299:$CS299,1,$D300)&amp;"")</f>
        <v/>
      </c>
      <c r="H300" s="11" t="str">
        <f aca="false">IF($E300=0,"",INDEX($AH299:$CS299,1,$E300)&amp;"")</f>
        <v/>
      </c>
      <c r="I300" s="11" t="n">
        <f aca="false">IF(OR($D300=0,$E300=0),0,MOD($E300-1,8)-MOD($D300-1,8))</f>
        <v>0</v>
      </c>
      <c r="J300" s="11" t="n">
        <f aca="false">IF(OR($D300=0,$E300=0),0,INT(($E300-1)/8)-INT(($D300-1)/8))</f>
        <v>0</v>
      </c>
      <c r="K300" s="11" t="str">
        <f aca="false">IF($G300="","",RIGHT($G300,1))</f>
        <v/>
      </c>
      <c r="L300" s="11" t="n">
        <f aca="false">IF(OR($D300=0,$E300=0),0,SUMPRODUCT(($AH$3:$CS$3&gt;MIN($D300,$E300))*($AH$3:$CS$3&lt;MAX($D300,$E300))*(MOD($AH$3:$CS$3-MIN($D300,$E300),MAX(1,ABS(SIGN($J300)*8+SIGN($I300))))=0)*($AH299:$CS299&lt;&gt;"")))</f>
        <v>0</v>
      </c>
      <c r="M300" s="11" t="n">
        <f aca="false">IF($K300&lt;&gt;"K",0,IFERROR(--AND($J300=0,ABS($I300)=2,$D300=IF($F300="w",5,61),IF($F300="w",$S299,$V299)=0,IF($I300=2,AND(IF($F300="w",$U299,$X299)=0,INDEX($AH299:$CS299,1,$D300+1)&amp;""="",INDEX($AH299:$CS299,1,$D300+2)&amp;""=""),AND(IF($F300="w",$T299,$W299)=0,INDEX($AH299:$CS299,1,$D300-1)&amp;""="",INDEX($AH299:$CS299,1,$D300-2)&amp;""="",INDEX($AH299:$CS299,1,$D300-3)&amp;""=""))),0))</f>
        <v>0</v>
      </c>
      <c r="N300" s="11" t="n">
        <f aca="false">IF($K300&lt;&gt;"P",0,IFERROR(--OR(AND($I300=0,$J300=IF($F300="w",1,-1),$H300=""),AND($I300=0,$J300=2*IF($F300="w",1,-1),$H300="",INT(($D300-1)/8)=IF($F300="w",1,6),INDEX($AH299:$CS299,1,MAX(1,MIN(64,$D300+8*IF($F300="w",1,-1))))&amp;""=""),AND(ABS($I300)=1,$J300=IF($F300="w",1,-1),$H300&lt;&gt;""),AND(ABS($I300)=1,$J300=IF($F300="w",1,-1),$H300="",$R299&gt;0,$E300=$R299)),0))</f>
        <v>0</v>
      </c>
      <c r="O300" s="11" t="n">
        <f aca="false">IF(OR($D300=0,$E300=0,$G300=""),0,IF($K300="N",--OR(AND(ABS($I300)=1,ABS($J300)=2),AND(ABS($I300)=2,ABS($J300)=1)),IF($K300="B",--AND(ABS($I300)=ABS($J300),$I300&lt;&gt;0,$L300=0),IF($K300="R",--AND(OR($I300=0,$J300=0),OR($I300&lt;&gt;0,$J300&lt;&gt;0),$L300=0),IF($K300="Q",--AND(OR(AND(ABS($I300)=ABS($J300),$I300&lt;&gt;0),AND(OR($I300=0,$J300=0),OR($I300&lt;&gt;0,$J300&lt;&gt;0))),$L300=0),IF($K300="K",--OR(MAX(ABS($I300),ABS($J300))=1,$M300=1),$N300))))))</f>
        <v>0</v>
      </c>
      <c r="P300" s="11" t="n">
        <f aca="false">IF($Q300="OK",1,0)</f>
        <v>0</v>
      </c>
      <c r="Q300" s="11" t="str">
        <f aca="false">IF($B300="","",IF(OR(COUNTIF($AH299:$CS299,"wK")=0,COUNTIF($AH299:$CS299,"bK")=0),"Game is over",IF(OR($D300=0,$E300=0),"Use the format e2e4",IF($G300="","No piece on that square",IF(LEFT($G300,1)&lt;&gt;$F300,"Not your piece ("&amp;IF($F300="w","White","Black")&amp;" to move)",IF($D300=$E300,"Piece must move",IF(AND($H300&lt;&gt;"",LEFT($H300,1)=$F300),"Cannot capture your own piece",IF($O300=0,"Illegal move for that piece (or path blocked)","OK"))))))))</f>
        <v/>
      </c>
      <c r="R300" s="11" t="n">
        <f aca="false">IF($P300=1,IF(AND($K300="P",ABS($J300)=2),($D300+$E300)/2,0),$R299)</f>
        <v>0</v>
      </c>
      <c r="S300" s="12" t="b">
        <f aca="false">--OR($S299=1,AND($P300=1,OR($D300=5,$E300=5)))</f>
        <v>0</v>
      </c>
      <c r="T300" s="12" t="b">
        <f aca="false">--OR($T299=1,AND($P300=1,OR($D300=1,$E300=1)))</f>
        <v>0</v>
      </c>
      <c r="U300" s="12" t="b">
        <f aca="false">--OR($U299=1,AND($P300=1,OR($D300=8,$E300=8)))</f>
        <v>0</v>
      </c>
      <c r="V300" s="12" t="b">
        <f aca="false">--OR($V299=1,AND($P300=1,OR($D300=61,$E300=61)))</f>
        <v>0</v>
      </c>
      <c r="W300" s="12" t="b">
        <f aca="false">--OR($W299=1,AND($P300=1,OR($D300=57,$E300=57)))</f>
        <v>0</v>
      </c>
      <c r="X300" s="12" t="b">
        <f aca="false">--OR($X299=1,AND($P300=1,OR($D300=64,$E300=64)))</f>
        <v>0</v>
      </c>
      <c r="Y300" s="12" t="b">
        <f aca="false">--AND($P300=1,$K300="K",ABS($I300)=2)</f>
        <v>0</v>
      </c>
      <c r="Z300" s="12" t="b">
        <f aca="false">--AND($P300=1,$K300="P",ABS($I300)=1,$H300="")</f>
        <v>0</v>
      </c>
      <c r="AA300" s="12" t="b">
        <f aca="false">--AND($P300=1,$K300="P",INT(($E300-1)/8)=IF($F300="w",7,0))</f>
        <v>0</v>
      </c>
      <c r="AB300" s="11" t="str">
        <f aca="false">IF(LEN($C300)&gt;=5,IF(ISNUMBER(FIND(MID($C300,5,1),"qrbn")),UPPER(MID($C300,5,1)),"Q"),"Q")</f>
        <v>Q</v>
      </c>
      <c r="AC300" s="11" t="n">
        <f aca="false">IF($Y300=1,IF($I300=2,$D300+3,$D300-4),0)</f>
        <v>0</v>
      </c>
      <c r="AD300" s="11" t="n">
        <f aca="false">IF($Y300=1,IF($I300=2,$D300+1,$D300-1),0)</f>
        <v>0</v>
      </c>
      <c r="AE300" s="11" t="n">
        <f aca="false">IF($Z300=1,$E300-8*IF($F300="w",1,-1),0)</f>
        <v>0</v>
      </c>
      <c r="AF300" s="11" t="str">
        <f aca="false">IF($B300="","",IF($P300=1,LOWER(INDEX($CV$2:$CV$13,MATCH($G300,$CU$2:$CU$13,0)))&amp;" "&amp;MID("abcdefgh",MOD($D300-1,8)+1,1)&amp;(INT(($D300-1)/8)+1)&amp;"→"&amp;MID("abcdefgh",MOD($E300-1,8)+1,1)&amp;(INT(($E300-1)/8)+1)&amp;IF(OR($H300&lt;&gt;"",$Z300=1)," ×","")&amp;IF($Y300=1," castles","")&amp;IF($Z300=1," e.p.","")&amp;IF($AA300=1," =" &amp;LOWER(INDEX($CV$2:$CV$13,MATCH($F300&amp;$AB300,$CU$2:$CU$13,0))),""),"X "&amp;$Q300))</f>
        <v/>
      </c>
      <c r="AG300" s="11"/>
      <c r="AH300" s="11" t="str">
        <f aca="false">IF($P300=0,AH299,IF(AH$3=$E300,IF($AA300=1,$F300&amp;$AB300,$G300),IF(OR(AH$3=$D300,AH$3=$AC300,AH$3=$AE300),"",IF(AH$3=$AD300,$F300&amp;"R",AH299))))</f>
        <v>wR</v>
      </c>
      <c r="AI300" s="11" t="str">
        <f aca="false">IF($P300=0,AI299,IF(AI$3=$E300,IF($AA300=1,$F300&amp;$AB300,$G300),IF(OR(AI$3=$D300,AI$3=$AC300,AI$3=$AE300),"",IF(AI$3=$AD300,$F300&amp;"R",AI299))))</f>
        <v>wN</v>
      </c>
      <c r="AJ300" s="11" t="str">
        <f aca="false">IF($P300=0,AJ299,IF(AJ$3=$E300,IF($AA300=1,$F300&amp;$AB300,$G300),IF(OR(AJ$3=$D300,AJ$3=$AC300,AJ$3=$AE300),"",IF(AJ$3=$AD300,$F300&amp;"R",AJ299))))</f>
        <v>wB</v>
      </c>
      <c r="AK300" s="11" t="str">
        <f aca="false">IF($P300=0,AK299,IF(AK$3=$E300,IF($AA300=1,$F300&amp;$AB300,$G300),IF(OR(AK$3=$D300,AK$3=$AC300,AK$3=$AE300),"",IF(AK$3=$AD300,$F300&amp;"R",AK299))))</f>
        <v>wQ</v>
      </c>
      <c r="AL300" s="11" t="str">
        <f aca="false">IF($P300=0,AL299,IF(AL$3=$E300,IF($AA300=1,$F300&amp;$AB300,$G300),IF(OR(AL$3=$D300,AL$3=$AC300,AL$3=$AE300),"",IF(AL$3=$AD300,$F300&amp;"R",AL299))))</f>
        <v>wK</v>
      </c>
      <c r="AM300" s="11" t="str">
        <f aca="false">IF($P300=0,AM299,IF(AM$3=$E300,IF($AA300=1,$F300&amp;$AB300,$G300),IF(OR(AM$3=$D300,AM$3=$AC300,AM$3=$AE300),"",IF(AM$3=$AD300,$F300&amp;"R",AM299))))</f>
        <v>wB</v>
      </c>
      <c r="AN300" s="11" t="str">
        <f aca="false">IF($P300=0,AN299,IF(AN$3=$E300,IF($AA300=1,$F300&amp;$AB300,$G300),IF(OR(AN$3=$D300,AN$3=$AC300,AN$3=$AE300),"",IF(AN$3=$AD300,$F300&amp;"R",AN299))))</f>
        <v>wN</v>
      </c>
      <c r="AO300" s="11" t="str">
        <f aca="false">IF($P300=0,AO299,IF(AO$3=$E300,IF($AA300=1,$F300&amp;$AB300,$G300),IF(OR(AO$3=$D300,AO$3=$AC300,AO$3=$AE300),"",IF(AO$3=$AD300,$F300&amp;"R",AO299))))</f>
        <v>wR</v>
      </c>
      <c r="AP300" s="11" t="str">
        <f aca="false">IF($P300=0,AP299,IF(AP$3=$E300,IF($AA300=1,$F300&amp;$AB300,$G300),IF(OR(AP$3=$D300,AP$3=$AC300,AP$3=$AE300),"",IF(AP$3=$AD300,$F300&amp;"R",AP299))))</f>
        <v>wP</v>
      </c>
      <c r="AQ300" s="11" t="str">
        <f aca="false">IF($P300=0,AQ299,IF(AQ$3=$E300,IF($AA300=1,$F300&amp;$AB300,$G300),IF(OR(AQ$3=$D300,AQ$3=$AC300,AQ$3=$AE300),"",IF(AQ$3=$AD300,$F300&amp;"R",AQ299))))</f>
        <v>wP</v>
      </c>
      <c r="AR300" s="11" t="str">
        <f aca="false">IF($P300=0,AR299,IF(AR$3=$E300,IF($AA300=1,$F300&amp;$AB300,$G300),IF(OR(AR$3=$D300,AR$3=$AC300,AR$3=$AE300),"",IF(AR$3=$AD300,$F300&amp;"R",AR299))))</f>
        <v>wP</v>
      </c>
      <c r="AS300" s="11" t="str">
        <f aca="false">IF($P300=0,AS299,IF(AS$3=$E300,IF($AA300=1,$F300&amp;$AB300,$G300),IF(OR(AS$3=$D300,AS$3=$AC300,AS$3=$AE300),"",IF(AS$3=$AD300,$F300&amp;"R",AS299))))</f>
        <v>wP</v>
      </c>
      <c r="AT300" s="11" t="str">
        <f aca="false">IF($P300=0,AT299,IF(AT$3=$E300,IF($AA300=1,$F300&amp;$AB300,$G300),IF(OR(AT$3=$D300,AT$3=$AC300,AT$3=$AE300),"",IF(AT$3=$AD300,$F300&amp;"R",AT299))))</f>
        <v>wP</v>
      </c>
      <c r="AU300" s="11" t="str">
        <f aca="false">IF($P300=0,AU299,IF(AU$3=$E300,IF($AA300=1,$F300&amp;$AB300,$G300),IF(OR(AU$3=$D300,AU$3=$AC300,AU$3=$AE300),"",IF(AU$3=$AD300,$F300&amp;"R",AU299))))</f>
        <v>wP</v>
      </c>
      <c r="AV300" s="11" t="str">
        <f aca="false">IF($P300=0,AV299,IF(AV$3=$E300,IF($AA300=1,$F300&amp;$AB300,$G300),IF(OR(AV$3=$D300,AV$3=$AC300,AV$3=$AE300),"",IF(AV$3=$AD300,$F300&amp;"R",AV299))))</f>
        <v>wP</v>
      </c>
      <c r="AW300" s="11" t="str">
        <f aca="false">IF($P300=0,AW299,IF(AW$3=$E300,IF($AA300=1,$F300&amp;$AB300,$G300),IF(OR(AW$3=$D300,AW$3=$AC300,AW$3=$AE300),"",IF(AW$3=$AD300,$F300&amp;"R",AW299))))</f>
        <v>wP</v>
      </c>
      <c r="AX300" s="11" t="str">
        <f aca="false">IF($P300=0,AX299,IF(AX$3=$E300,IF($AA300=1,$F300&amp;$AB300,$G300),IF(OR(AX$3=$D300,AX$3=$AC300,AX$3=$AE300),"",IF(AX$3=$AD300,$F300&amp;"R",AX299))))</f>
        <v/>
      </c>
      <c r="AY300" s="11" t="str">
        <f aca="false">IF($P300=0,AY299,IF(AY$3=$E300,IF($AA300=1,$F300&amp;$AB300,$G300),IF(OR(AY$3=$D300,AY$3=$AC300,AY$3=$AE300),"",IF(AY$3=$AD300,$F300&amp;"R",AY299))))</f>
        <v/>
      </c>
      <c r="AZ300" s="11" t="str">
        <f aca="false">IF($P300=0,AZ299,IF(AZ$3=$E300,IF($AA300=1,$F300&amp;$AB300,$G300),IF(OR(AZ$3=$D300,AZ$3=$AC300,AZ$3=$AE300),"",IF(AZ$3=$AD300,$F300&amp;"R",AZ299))))</f>
        <v/>
      </c>
      <c r="BA300" s="11" t="str">
        <f aca="false">IF($P300=0,BA299,IF(BA$3=$E300,IF($AA300=1,$F300&amp;$AB300,$G300),IF(OR(BA$3=$D300,BA$3=$AC300,BA$3=$AE300),"",IF(BA$3=$AD300,$F300&amp;"R",BA299))))</f>
        <v/>
      </c>
      <c r="BB300" s="11" t="str">
        <f aca="false">IF($P300=0,BB299,IF(BB$3=$E300,IF($AA300=1,$F300&amp;$AB300,$G300),IF(OR(BB$3=$D300,BB$3=$AC300,BB$3=$AE300),"",IF(BB$3=$AD300,$F300&amp;"R",BB299))))</f>
        <v/>
      </c>
      <c r="BC300" s="11" t="str">
        <f aca="false">IF($P300=0,BC299,IF(BC$3=$E300,IF($AA300=1,$F300&amp;$AB300,$G300),IF(OR(BC$3=$D300,BC$3=$AC300,BC$3=$AE300),"",IF(BC$3=$AD300,$F300&amp;"R",BC299))))</f>
        <v/>
      </c>
      <c r="BD300" s="11" t="str">
        <f aca="false">IF($P300=0,BD299,IF(BD$3=$E300,IF($AA300=1,$F300&amp;$AB300,$G300),IF(OR(BD$3=$D300,BD$3=$AC300,BD$3=$AE300),"",IF(BD$3=$AD300,$F300&amp;"R",BD299))))</f>
        <v/>
      </c>
      <c r="BE300" s="11" t="str">
        <f aca="false">IF($P300=0,BE299,IF(BE$3=$E300,IF($AA300=1,$F300&amp;$AB300,$G300),IF(OR(BE$3=$D300,BE$3=$AC300,BE$3=$AE300),"",IF(BE$3=$AD300,$F300&amp;"R",BE299))))</f>
        <v/>
      </c>
      <c r="BF300" s="11" t="str">
        <f aca="false">IF($P300=0,BF299,IF(BF$3=$E300,IF($AA300=1,$F300&amp;$AB300,$G300),IF(OR(BF$3=$D300,BF$3=$AC300,BF$3=$AE300),"",IF(BF$3=$AD300,$F300&amp;"R",BF299))))</f>
        <v/>
      </c>
      <c r="BG300" s="11" t="str">
        <f aca="false">IF($P300=0,BG299,IF(BG$3=$E300,IF($AA300=1,$F300&amp;$AB300,$G300),IF(OR(BG$3=$D300,BG$3=$AC300,BG$3=$AE300),"",IF(BG$3=$AD300,$F300&amp;"R",BG299))))</f>
        <v/>
      </c>
      <c r="BH300" s="11" t="str">
        <f aca="false">IF($P300=0,BH299,IF(BH$3=$E300,IF($AA300=1,$F300&amp;$AB300,$G300),IF(OR(BH$3=$D300,BH$3=$AC300,BH$3=$AE300),"",IF(BH$3=$AD300,$F300&amp;"R",BH299))))</f>
        <v/>
      </c>
      <c r="BI300" s="11" t="str">
        <f aca="false">IF($P300=0,BI299,IF(BI$3=$E300,IF($AA300=1,$F300&amp;$AB300,$G300),IF(OR(BI$3=$D300,BI$3=$AC300,BI$3=$AE300),"",IF(BI$3=$AD300,$F300&amp;"R",BI299))))</f>
        <v/>
      </c>
      <c r="BJ300" s="11" t="str">
        <f aca="false">IF($P300=0,BJ299,IF(BJ$3=$E300,IF($AA300=1,$F300&amp;$AB300,$G300),IF(OR(BJ$3=$D300,BJ$3=$AC300,BJ$3=$AE300),"",IF(BJ$3=$AD300,$F300&amp;"R",BJ299))))</f>
        <v/>
      </c>
      <c r="BK300" s="11" t="str">
        <f aca="false">IF($P300=0,BK299,IF(BK$3=$E300,IF($AA300=1,$F300&amp;$AB300,$G300),IF(OR(BK$3=$D300,BK$3=$AC300,BK$3=$AE300),"",IF(BK$3=$AD300,$F300&amp;"R",BK299))))</f>
        <v/>
      </c>
      <c r="BL300" s="11" t="str">
        <f aca="false">IF($P300=0,BL299,IF(BL$3=$E300,IF($AA300=1,$F300&amp;$AB300,$G300),IF(OR(BL$3=$D300,BL$3=$AC300,BL$3=$AE300),"",IF(BL$3=$AD300,$F300&amp;"R",BL299))))</f>
        <v/>
      </c>
      <c r="BM300" s="11" t="str">
        <f aca="false">IF($P300=0,BM299,IF(BM$3=$E300,IF($AA300=1,$F300&amp;$AB300,$G300),IF(OR(BM$3=$D300,BM$3=$AC300,BM$3=$AE300),"",IF(BM$3=$AD300,$F300&amp;"R",BM299))))</f>
        <v/>
      </c>
      <c r="BN300" s="11" t="str">
        <f aca="false">IF($P300=0,BN299,IF(BN$3=$E300,IF($AA300=1,$F300&amp;$AB300,$G300),IF(OR(BN$3=$D300,BN$3=$AC300,BN$3=$AE300),"",IF(BN$3=$AD300,$F300&amp;"R",BN299))))</f>
        <v/>
      </c>
      <c r="BO300" s="11" t="str">
        <f aca="false">IF($P300=0,BO299,IF(BO$3=$E300,IF($AA300=1,$F300&amp;$AB300,$G300),IF(OR(BO$3=$D300,BO$3=$AC300,BO$3=$AE300),"",IF(BO$3=$AD300,$F300&amp;"R",BO299))))</f>
        <v/>
      </c>
      <c r="BP300" s="11" t="str">
        <f aca="false">IF($P300=0,BP299,IF(BP$3=$E300,IF($AA300=1,$F300&amp;$AB300,$G300),IF(OR(BP$3=$D300,BP$3=$AC300,BP$3=$AE300),"",IF(BP$3=$AD300,$F300&amp;"R",BP299))))</f>
        <v/>
      </c>
      <c r="BQ300" s="11" t="str">
        <f aca="false">IF($P300=0,BQ299,IF(BQ$3=$E300,IF($AA300=1,$F300&amp;$AB300,$G300),IF(OR(BQ$3=$D300,BQ$3=$AC300,BQ$3=$AE300),"",IF(BQ$3=$AD300,$F300&amp;"R",BQ299))))</f>
        <v/>
      </c>
      <c r="BR300" s="11" t="str">
        <f aca="false">IF($P300=0,BR299,IF(BR$3=$E300,IF($AA300=1,$F300&amp;$AB300,$G300),IF(OR(BR$3=$D300,BR$3=$AC300,BR$3=$AE300),"",IF(BR$3=$AD300,$F300&amp;"R",BR299))))</f>
        <v/>
      </c>
      <c r="BS300" s="11" t="str">
        <f aca="false">IF($P300=0,BS299,IF(BS$3=$E300,IF($AA300=1,$F300&amp;$AB300,$G300),IF(OR(BS$3=$D300,BS$3=$AC300,BS$3=$AE300),"",IF(BS$3=$AD300,$F300&amp;"R",BS299))))</f>
        <v/>
      </c>
      <c r="BT300" s="11" t="str">
        <f aca="false">IF($P300=0,BT299,IF(BT$3=$E300,IF($AA300=1,$F300&amp;$AB300,$G300),IF(OR(BT$3=$D300,BT$3=$AC300,BT$3=$AE300),"",IF(BT$3=$AD300,$F300&amp;"R",BT299))))</f>
        <v/>
      </c>
      <c r="BU300" s="11" t="str">
        <f aca="false">IF($P300=0,BU299,IF(BU$3=$E300,IF($AA300=1,$F300&amp;$AB300,$G300),IF(OR(BU$3=$D300,BU$3=$AC300,BU$3=$AE300),"",IF(BU$3=$AD300,$F300&amp;"R",BU299))))</f>
        <v/>
      </c>
      <c r="BV300" s="11" t="str">
        <f aca="false">IF($P300=0,BV299,IF(BV$3=$E300,IF($AA300=1,$F300&amp;$AB300,$G300),IF(OR(BV$3=$D300,BV$3=$AC300,BV$3=$AE300),"",IF(BV$3=$AD300,$F300&amp;"R",BV299))))</f>
        <v/>
      </c>
      <c r="BW300" s="11" t="str">
        <f aca="false">IF($P300=0,BW299,IF(BW$3=$E300,IF($AA300=1,$F300&amp;$AB300,$G300),IF(OR(BW$3=$D300,BW$3=$AC300,BW$3=$AE300),"",IF(BW$3=$AD300,$F300&amp;"R",BW299))))</f>
        <v/>
      </c>
      <c r="BX300" s="11" t="str">
        <f aca="false">IF($P300=0,BX299,IF(BX$3=$E300,IF($AA300=1,$F300&amp;$AB300,$G300),IF(OR(BX$3=$D300,BX$3=$AC300,BX$3=$AE300),"",IF(BX$3=$AD300,$F300&amp;"R",BX299))))</f>
        <v/>
      </c>
      <c r="BY300" s="11" t="str">
        <f aca="false">IF($P300=0,BY299,IF(BY$3=$E300,IF($AA300=1,$F300&amp;$AB300,$G300),IF(OR(BY$3=$D300,BY$3=$AC300,BY$3=$AE300),"",IF(BY$3=$AD300,$F300&amp;"R",BY299))))</f>
        <v/>
      </c>
      <c r="BZ300" s="11" t="str">
        <f aca="false">IF($P300=0,BZ299,IF(BZ$3=$E300,IF($AA300=1,$F300&amp;$AB300,$G300),IF(OR(BZ$3=$D300,BZ$3=$AC300,BZ$3=$AE300),"",IF(BZ$3=$AD300,$F300&amp;"R",BZ299))))</f>
        <v/>
      </c>
      <c r="CA300" s="11" t="str">
        <f aca="false">IF($P300=0,CA299,IF(CA$3=$E300,IF($AA300=1,$F300&amp;$AB300,$G300),IF(OR(CA$3=$D300,CA$3=$AC300,CA$3=$AE300),"",IF(CA$3=$AD300,$F300&amp;"R",CA299))))</f>
        <v/>
      </c>
      <c r="CB300" s="11" t="str">
        <f aca="false">IF($P300=0,CB299,IF(CB$3=$E300,IF($AA300=1,$F300&amp;$AB300,$G300),IF(OR(CB$3=$D300,CB$3=$AC300,CB$3=$AE300),"",IF(CB$3=$AD300,$F300&amp;"R",CB299))))</f>
        <v/>
      </c>
      <c r="CC300" s="11" t="str">
        <f aca="false">IF($P300=0,CC299,IF(CC$3=$E300,IF($AA300=1,$F300&amp;$AB300,$G300),IF(OR(CC$3=$D300,CC$3=$AC300,CC$3=$AE300),"",IF(CC$3=$AD300,$F300&amp;"R",CC299))))</f>
        <v/>
      </c>
      <c r="CD300" s="11" t="str">
        <f aca="false">IF($P300=0,CD299,IF(CD$3=$E300,IF($AA300=1,$F300&amp;$AB300,$G300),IF(OR(CD$3=$D300,CD$3=$AC300,CD$3=$AE300),"",IF(CD$3=$AD300,$F300&amp;"R",CD299))))</f>
        <v>bP</v>
      </c>
      <c r="CE300" s="11" t="str">
        <f aca="false">IF($P300=0,CE299,IF(CE$3=$E300,IF($AA300=1,$F300&amp;$AB300,$G300),IF(OR(CE$3=$D300,CE$3=$AC300,CE$3=$AE300),"",IF(CE$3=$AD300,$F300&amp;"R",CE299))))</f>
        <v>bP</v>
      </c>
      <c r="CF300" s="11" t="str">
        <f aca="false">IF($P300=0,CF299,IF(CF$3=$E300,IF($AA300=1,$F300&amp;$AB300,$G300),IF(OR(CF$3=$D300,CF$3=$AC300,CF$3=$AE300),"",IF(CF$3=$AD300,$F300&amp;"R",CF299))))</f>
        <v>bP</v>
      </c>
      <c r="CG300" s="11" t="str">
        <f aca="false">IF($P300=0,CG299,IF(CG$3=$E300,IF($AA300=1,$F300&amp;$AB300,$G300),IF(OR(CG$3=$D300,CG$3=$AC300,CG$3=$AE300),"",IF(CG$3=$AD300,$F300&amp;"R",CG299))))</f>
        <v>bP</v>
      </c>
      <c r="CH300" s="11" t="str">
        <f aca="false">IF($P300=0,CH299,IF(CH$3=$E300,IF($AA300=1,$F300&amp;$AB300,$G300),IF(OR(CH$3=$D300,CH$3=$AC300,CH$3=$AE300),"",IF(CH$3=$AD300,$F300&amp;"R",CH299))))</f>
        <v>bP</v>
      </c>
      <c r="CI300" s="11" t="str">
        <f aca="false">IF($P300=0,CI299,IF(CI$3=$E300,IF($AA300=1,$F300&amp;$AB300,$G300),IF(OR(CI$3=$D300,CI$3=$AC300,CI$3=$AE300),"",IF(CI$3=$AD300,$F300&amp;"R",CI299))))</f>
        <v>bP</v>
      </c>
      <c r="CJ300" s="11" t="str">
        <f aca="false">IF($P300=0,CJ299,IF(CJ$3=$E300,IF($AA300=1,$F300&amp;$AB300,$G300),IF(OR(CJ$3=$D300,CJ$3=$AC300,CJ$3=$AE300),"",IF(CJ$3=$AD300,$F300&amp;"R",CJ299))))</f>
        <v>bP</v>
      </c>
      <c r="CK300" s="11" t="str">
        <f aca="false">IF($P300=0,CK299,IF(CK$3=$E300,IF($AA300=1,$F300&amp;$AB300,$G300),IF(OR(CK$3=$D300,CK$3=$AC300,CK$3=$AE300),"",IF(CK$3=$AD300,$F300&amp;"R",CK299))))</f>
        <v>bP</v>
      </c>
      <c r="CL300" s="11" t="str">
        <f aca="false">IF($P300=0,CL299,IF(CL$3=$E300,IF($AA300=1,$F300&amp;$AB300,$G300),IF(OR(CL$3=$D300,CL$3=$AC300,CL$3=$AE300),"",IF(CL$3=$AD300,$F300&amp;"R",CL299))))</f>
        <v>bR</v>
      </c>
      <c r="CM300" s="11" t="str">
        <f aca="false">IF($P300=0,CM299,IF(CM$3=$E300,IF($AA300=1,$F300&amp;$AB300,$G300),IF(OR(CM$3=$D300,CM$3=$AC300,CM$3=$AE300),"",IF(CM$3=$AD300,$F300&amp;"R",CM299))))</f>
        <v>bN</v>
      </c>
      <c r="CN300" s="11" t="str">
        <f aca="false">IF($P300=0,CN299,IF(CN$3=$E300,IF($AA300=1,$F300&amp;$AB300,$G300),IF(OR(CN$3=$D300,CN$3=$AC300,CN$3=$AE300),"",IF(CN$3=$AD300,$F300&amp;"R",CN299))))</f>
        <v>bB</v>
      </c>
      <c r="CO300" s="11" t="str">
        <f aca="false">IF($P300=0,CO299,IF(CO$3=$E300,IF($AA300=1,$F300&amp;$AB300,$G300),IF(OR(CO$3=$D300,CO$3=$AC300,CO$3=$AE300),"",IF(CO$3=$AD300,$F300&amp;"R",CO299))))</f>
        <v>bQ</v>
      </c>
      <c r="CP300" s="11" t="str">
        <f aca="false">IF($P300=0,CP299,IF(CP$3=$E300,IF($AA300=1,$F300&amp;$AB300,$G300),IF(OR(CP$3=$D300,CP$3=$AC300,CP$3=$AE300),"",IF(CP$3=$AD300,$F300&amp;"R",CP299))))</f>
        <v>bK</v>
      </c>
      <c r="CQ300" s="11" t="str">
        <f aca="false">IF($P300=0,CQ299,IF(CQ$3=$E300,IF($AA300=1,$F300&amp;$AB300,$G300),IF(OR(CQ$3=$D300,CQ$3=$AC300,CQ$3=$AE300),"",IF(CQ$3=$AD300,$F300&amp;"R",CQ299))))</f>
        <v>bB</v>
      </c>
      <c r="CR300" s="11" t="str">
        <f aca="false">IF($P300=0,CR299,IF(CR$3=$E300,IF($AA300=1,$F300&amp;$AB300,$G300),IF(OR(CR$3=$D300,CR$3=$AC300,CR$3=$AE300),"",IF(CR$3=$AD300,$F300&amp;"R",CR299))))</f>
        <v>bN</v>
      </c>
      <c r="CS300" s="11" t="str">
        <f aca="false">IF($P300=0,CS299,IF(CS$3=$E300,IF($AA300=1,$F300&amp;$AB300,$G300),IF(OR(CS$3=$D300,CS$3=$AC300,CS$3=$AE300),"",IF(CS$3=$AD300,$F300&amp;"R",CS299))))</f>
        <v>bR</v>
      </c>
      <c r="CT300" s="11"/>
      <c r="CU300" s="11"/>
      <c r="CV300" s="11"/>
    </row>
    <row r="301" customFormat="false" ht="15" hidden="false" customHeight="false" outlineLevel="0" collapsed="false">
      <c r="A301" s="11" t="n">
        <v>296</v>
      </c>
      <c r="B301" s="11" t="str">
        <f aca="false">IF(Chess!$L$305="","",Chess!$L$305&amp;"")</f>
        <v/>
      </c>
      <c r="C301" s="11" t="str">
        <f aca="false">LOWER(SUBSTITUTE(SUBSTITUTE(SUBSTITUTE(SUBSTITUTE(TRIM($B301),"-",""),"=","")," ",""),"x",""))</f>
        <v/>
      </c>
      <c r="D301" s="11" t="n">
        <f aca="false">IF(LEN($C301)&lt;4,0,IFERROR(IF(AND(CODE(MID($C301,1,1))&gt;=97,CODE(MID($C301,1,1))&lt;=104,VALUE(MID($C301,2,1))&gt;=1,VALUE(MID($C301,2,1))&lt;=8),(VALUE(MID($C301,2,1))-1)*8+CODE(MID($C301,1,1))-96,0),0))</f>
        <v>0</v>
      </c>
      <c r="E301" s="11" t="n">
        <f aca="false">IF(LEN($C301)&lt;4,0,IFERROR(IF(AND(CODE(MID($C301,3,1))&gt;=97,CODE(MID($C301,3,1))&lt;=104,VALUE(MID($C301,4,1))&gt;=1,VALUE(MID($C301,4,1))&lt;=8),(VALUE(MID($C301,4,1))-1)*8+CODE(MID($C301,3,1))-96,0),0))</f>
        <v>0</v>
      </c>
      <c r="F301" s="11" t="str">
        <f aca="false">IF(MOD(SUM($P$5:$P300),2)=0,"w","b")</f>
        <v>w</v>
      </c>
      <c r="G301" s="11" t="str">
        <f aca="false">IF($D301=0,"",INDEX($AH300:$CS300,1,$D301)&amp;"")</f>
        <v/>
      </c>
      <c r="H301" s="11" t="str">
        <f aca="false">IF($E301=0,"",INDEX($AH300:$CS300,1,$E301)&amp;"")</f>
        <v/>
      </c>
      <c r="I301" s="11" t="n">
        <f aca="false">IF(OR($D301=0,$E301=0),0,MOD($E301-1,8)-MOD($D301-1,8))</f>
        <v>0</v>
      </c>
      <c r="J301" s="11" t="n">
        <f aca="false">IF(OR($D301=0,$E301=0),0,INT(($E301-1)/8)-INT(($D301-1)/8))</f>
        <v>0</v>
      </c>
      <c r="K301" s="11" t="str">
        <f aca="false">IF($G301="","",RIGHT($G301,1))</f>
        <v/>
      </c>
      <c r="L301" s="11" t="n">
        <f aca="false">IF(OR($D301=0,$E301=0),0,SUMPRODUCT(($AH$3:$CS$3&gt;MIN($D301,$E301))*($AH$3:$CS$3&lt;MAX($D301,$E301))*(MOD($AH$3:$CS$3-MIN($D301,$E301),MAX(1,ABS(SIGN($J301)*8+SIGN($I301))))=0)*($AH300:$CS300&lt;&gt;"")))</f>
        <v>0</v>
      </c>
      <c r="M301" s="11" t="n">
        <f aca="false">IF($K301&lt;&gt;"K",0,IFERROR(--AND($J301=0,ABS($I301)=2,$D301=IF($F301="w",5,61),IF($F301="w",$S300,$V300)=0,IF($I301=2,AND(IF($F301="w",$U300,$X300)=0,INDEX($AH300:$CS300,1,$D301+1)&amp;""="",INDEX($AH300:$CS300,1,$D301+2)&amp;""=""),AND(IF($F301="w",$T300,$W300)=0,INDEX($AH300:$CS300,1,$D301-1)&amp;""="",INDEX($AH300:$CS300,1,$D301-2)&amp;""="",INDEX($AH300:$CS300,1,$D301-3)&amp;""=""))),0))</f>
        <v>0</v>
      </c>
      <c r="N301" s="11" t="n">
        <f aca="false">IF($K301&lt;&gt;"P",0,IFERROR(--OR(AND($I301=0,$J301=IF($F301="w",1,-1),$H301=""),AND($I301=0,$J301=2*IF($F301="w",1,-1),$H301="",INT(($D301-1)/8)=IF($F301="w",1,6),INDEX($AH300:$CS300,1,MAX(1,MIN(64,$D301+8*IF($F301="w",1,-1))))&amp;""=""),AND(ABS($I301)=1,$J301=IF($F301="w",1,-1),$H301&lt;&gt;""),AND(ABS($I301)=1,$J301=IF($F301="w",1,-1),$H301="",$R300&gt;0,$E301=$R300)),0))</f>
        <v>0</v>
      </c>
      <c r="O301" s="11" t="n">
        <f aca="false">IF(OR($D301=0,$E301=0,$G301=""),0,IF($K301="N",--OR(AND(ABS($I301)=1,ABS($J301)=2),AND(ABS($I301)=2,ABS($J301)=1)),IF($K301="B",--AND(ABS($I301)=ABS($J301),$I301&lt;&gt;0,$L301=0),IF($K301="R",--AND(OR($I301=0,$J301=0),OR($I301&lt;&gt;0,$J301&lt;&gt;0),$L301=0),IF($K301="Q",--AND(OR(AND(ABS($I301)=ABS($J301),$I301&lt;&gt;0),AND(OR($I301=0,$J301=0),OR($I301&lt;&gt;0,$J301&lt;&gt;0))),$L301=0),IF($K301="K",--OR(MAX(ABS($I301),ABS($J301))=1,$M301=1),$N301))))))</f>
        <v>0</v>
      </c>
      <c r="P301" s="11" t="n">
        <f aca="false">IF($Q301="OK",1,0)</f>
        <v>0</v>
      </c>
      <c r="Q301" s="11" t="str">
        <f aca="false">IF($B301="","",IF(OR(COUNTIF($AH300:$CS300,"wK")=0,COUNTIF($AH300:$CS300,"bK")=0),"Game is over",IF(OR($D301=0,$E301=0),"Use the format e2e4",IF($G301="","No piece on that square",IF(LEFT($G301,1)&lt;&gt;$F301,"Not your piece ("&amp;IF($F301="w","White","Black")&amp;" to move)",IF($D301=$E301,"Piece must move",IF(AND($H301&lt;&gt;"",LEFT($H301,1)=$F301),"Cannot capture your own piece",IF($O301=0,"Illegal move for that piece (or path blocked)","OK"))))))))</f>
        <v/>
      </c>
      <c r="R301" s="11" t="n">
        <f aca="false">IF($P301=1,IF(AND($K301="P",ABS($J301)=2),($D301+$E301)/2,0),$R300)</f>
        <v>0</v>
      </c>
      <c r="S301" s="12" t="b">
        <f aca="false">--OR($S300=1,AND($P301=1,OR($D301=5,$E301=5)))</f>
        <v>0</v>
      </c>
      <c r="T301" s="12" t="b">
        <f aca="false">--OR($T300=1,AND($P301=1,OR($D301=1,$E301=1)))</f>
        <v>0</v>
      </c>
      <c r="U301" s="12" t="b">
        <f aca="false">--OR($U300=1,AND($P301=1,OR($D301=8,$E301=8)))</f>
        <v>0</v>
      </c>
      <c r="V301" s="12" t="b">
        <f aca="false">--OR($V300=1,AND($P301=1,OR($D301=61,$E301=61)))</f>
        <v>0</v>
      </c>
      <c r="W301" s="12" t="b">
        <f aca="false">--OR($W300=1,AND($P301=1,OR($D301=57,$E301=57)))</f>
        <v>0</v>
      </c>
      <c r="X301" s="12" t="b">
        <f aca="false">--OR($X300=1,AND($P301=1,OR($D301=64,$E301=64)))</f>
        <v>0</v>
      </c>
      <c r="Y301" s="12" t="b">
        <f aca="false">--AND($P301=1,$K301="K",ABS($I301)=2)</f>
        <v>0</v>
      </c>
      <c r="Z301" s="12" t="b">
        <f aca="false">--AND($P301=1,$K301="P",ABS($I301)=1,$H301="")</f>
        <v>0</v>
      </c>
      <c r="AA301" s="12" t="b">
        <f aca="false">--AND($P301=1,$K301="P",INT(($E301-1)/8)=IF($F301="w",7,0))</f>
        <v>0</v>
      </c>
      <c r="AB301" s="11" t="str">
        <f aca="false">IF(LEN($C301)&gt;=5,IF(ISNUMBER(FIND(MID($C301,5,1),"qrbn")),UPPER(MID($C301,5,1)),"Q"),"Q")</f>
        <v>Q</v>
      </c>
      <c r="AC301" s="11" t="n">
        <f aca="false">IF($Y301=1,IF($I301=2,$D301+3,$D301-4),0)</f>
        <v>0</v>
      </c>
      <c r="AD301" s="11" t="n">
        <f aca="false">IF($Y301=1,IF($I301=2,$D301+1,$D301-1),0)</f>
        <v>0</v>
      </c>
      <c r="AE301" s="11" t="n">
        <f aca="false">IF($Z301=1,$E301-8*IF($F301="w",1,-1),0)</f>
        <v>0</v>
      </c>
      <c r="AF301" s="11" t="str">
        <f aca="false">IF($B301="","",IF($P301=1,LOWER(INDEX($CV$2:$CV$13,MATCH($G301,$CU$2:$CU$13,0)))&amp;" "&amp;MID("abcdefgh",MOD($D301-1,8)+1,1)&amp;(INT(($D301-1)/8)+1)&amp;"→"&amp;MID("abcdefgh",MOD($E301-1,8)+1,1)&amp;(INT(($E301-1)/8)+1)&amp;IF(OR($H301&lt;&gt;"",$Z301=1)," ×","")&amp;IF($Y301=1," castles","")&amp;IF($Z301=1," e.p.","")&amp;IF($AA301=1," =" &amp;LOWER(INDEX($CV$2:$CV$13,MATCH($F301&amp;$AB301,$CU$2:$CU$13,0))),""),"X "&amp;$Q301))</f>
        <v/>
      </c>
      <c r="AG301" s="11"/>
      <c r="AH301" s="11" t="str">
        <f aca="false">IF($P301=0,AH300,IF(AH$3=$E301,IF($AA301=1,$F301&amp;$AB301,$G301),IF(OR(AH$3=$D301,AH$3=$AC301,AH$3=$AE301),"",IF(AH$3=$AD301,$F301&amp;"R",AH300))))</f>
        <v>wR</v>
      </c>
      <c r="AI301" s="11" t="str">
        <f aca="false">IF($P301=0,AI300,IF(AI$3=$E301,IF($AA301=1,$F301&amp;$AB301,$G301),IF(OR(AI$3=$D301,AI$3=$AC301,AI$3=$AE301),"",IF(AI$3=$AD301,$F301&amp;"R",AI300))))</f>
        <v>wN</v>
      </c>
      <c r="AJ301" s="11" t="str">
        <f aca="false">IF($P301=0,AJ300,IF(AJ$3=$E301,IF($AA301=1,$F301&amp;$AB301,$G301),IF(OR(AJ$3=$D301,AJ$3=$AC301,AJ$3=$AE301),"",IF(AJ$3=$AD301,$F301&amp;"R",AJ300))))</f>
        <v>wB</v>
      </c>
      <c r="AK301" s="11" t="str">
        <f aca="false">IF($P301=0,AK300,IF(AK$3=$E301,IF($AA301=1,$F301&amp;$AB301,$G301),IF(OR(AK$3=$D301,AK$3=$AC301,AK$3=$AE301),"",IF(AK$3=$AD301,$F301&amp;"R",AK300))))</f>
        <v>wQ</v>
      </c>
      <c r="AL301" s="11" t="str">
        <f aca="false">IF($P301=0,AL300,IF(AL$3=$E301,IF($AA301=1,$F301&amp;$AB301,$G301),IF(OR(AL$3=$D301,AL$3=$AC301,AL$3=$AE301),"",IF(AL$3=$AD301,$F301&amp;"R",AL300))))</f>
        <v>wK</v>
      </c>
      <c r="AM301" s="11" t="str">
        <f aca="false">IF($P301=0,AM300,IF(AM$3=$E301,IF($AA301=1,$F301&amp;$AB301,$G301),IF(OR(AM$3=$D301,AM$3=$AC301,AM$3=$AE301),"",IF(AM$3=$AD301,$F301&amp;"R",AM300))))</f>
        <v>wB</v>
      </c>
      <c r="AN301" s="11" t="str">
        <f aca="false">IF($P301=0,AN300,IF(AN$3=$E301,IF($AA301=1,$F301&amp;$AB301,$G301),IF(OR(AN$3=$D301,AN$3=$AC301,AN$3=$AE301),"",IF(AN$3=$AD301,$F301&amp;"R",AN300))))</f>
        <v>wN</v>
      </c>
      <c r="AO301" s="11" t="str">
        <f aca="false">IF($P301=0,AO300,IF(AO$3=$E301,IF($AA301=1,$F301&amp;$AB301,$G301),IF(OR(AO$3=$D301,AO$3=$AC301,AO$3=$AE301),"",IF(AO$3=$AD301,$F301&amp;"R",AO300))))</f>
        <v>wR</v>
      </c>
      <c r="AP301" s="11" t="str">
        <f aca="false">IF($P301=0,AP300,IF(AP$3=$E301,IF($AA301=1,$F301&amp;$AB301,$G301),IF(OR(AP$3=$D301,AP$3=$AC301,AP$3=$AE301),"",IF(AP$3=$AD301,$F301&amp;"R",AP300))))</f>
        <v>wP</v>
      </c>
      <c r="AQ301" s="11" t="str">
        <f aca="false">IF($P301=0,AQ300,IF(AQ$3=$E301,IF($AA301=1,$F301&amp;$AB301,$G301),IF(OR(AQ$3=$D301,AQ$3=$AC301,AQ$3=$AE301),"",IF(AQ$3=$AD301,$F301&amp;"R",AQ300))))</f>
        <v>wP</v>
      </c>
      <c r="AR301" s="11" t="str">
        <f aca="false">IF($P301=0,AR300,IF(AR$3=$E301,IF($AA301=1,$F301&amp;$AB301,$G301),IF(OR(AR$3=$D301,AR$3=$AC301,AR$3=$AE301),"",IF(AR$3=$AD301,$F301&amp;"R",AR300))))</f>
        <v>wP</v>
      </c>
      <c r="AS301" s="11" t="str">
        <f aca="false">IF($P301=0,AS300,IF(AS$3=$E301,IF($AA301=1,$F301&amp;$AB301,$G301),IF(OR(AS$3=$D301,AS$3=$AC301,AS$3=$AE301),"",IF(AS$3=$AD301,$F301&amp;"R",AS300))))</f>
        <v>wP</v>
      </c>
      <c r="AT301" s="11" t="str">
        <f aca="false">IF($P301=0,AT300,IF(AT$3=$E301,IF($AA301=1,$F301&amp;$AB301,$G301),IF(OR(AT$3=$D301,AT$3=$AC301,AT$3=$AE301),"",IF(AT$3=$AD301,$F301&amp;"R",AT300))))</f>
        <v>wP</v>
      </c>
      <c r="AU301" s="11" t="str">
        <f aca="false">IF($P301=0,AU300,IF(AU$3=$E301,IF($AA301=1,$F301&amp;$AB301,$G301),IF(OR(AU$3=$D301,AU$3=$AC301,AU$3=$AE301),"",IF(AU$3=$AD301,$F301&amp;"R",AU300))))</f>
        <v>wP</v>
      </c>
      <c r="AV301" s="11" t="str">
        <f aca="false">IF($P301=0,AV300,IF(AV$3=$E301,IF($AA301=1,$F301&amp;$AB301,$G301),IF(OR(AV$3=$D301,AV$3=$AC301,AV$3=$AE301),"",IF(AV$3=$AD301,$F301&amp;"R",AV300))))</f>
        <v>wP</v>
      </c>
      <c r="AW301" s="11" t="str">
        <f aca="false">IF($P301=0,AW300,IF(AW$3=$E301,IF($AA301=1,$F301&amp;$AB301,$G301),IF(OR(AW$3=$D301,AW$3=$AC301,AW$3=$AE301),"",IF(AW$3=$AD301,$F301&amp;"R",AW300))))</f>
        <v>wP</v>
      </c>
      <c r="AX301" s="11" t="str">
        <f aca="false">IF($P301=0,AX300,IF(AX$3=$E301,IF($AA301=1,$F301&amp;$AB301,$G301),IF(OR(AX$3=$D301,AX$3=$AC301,AX$3=$AE301),"",IF(AX$3=$AD301,$F301&amp;"R",AX300))))</f>
        <v/>
      </c>
      <c r="AY301" s="11" t="str">
        <f aca="false">IF($P301=0,AY300,IF(AY$3=$E301,IF($AA301=1,$F301&amp;$AB301,$G301),IF(OR(AY$3=$D301,AY$3=$AC301,AY$3=$AE301),"",IF(AY$3=$AD301,$F301&amp;"R",AY300))))</f>
        <v/>
      </c>
      <c r="AZ301" s="11" t="str">
        <f aca="false">IF($P301=0,AZ300,IF(AZ$3=$E301,IF($AA301=1,$F301&amp;$AB301,$G301),IF(OR(AZ$3=$D301,AZ$3=$AC301,AZ$3=$AE301),"",IF(AZ$3=$AD301,$F301&amp;"R",AZ300))))</f>
        <v/>
      </c>
      <c r="BA301" s="11" t="str">
        <f aca="false">IF($P301=0,BA300,IF(BA$3=$E301,IF($AA301=1,$F301&amp;$AB301,$G301),IF(OR(BA$3=$D301,BA$3=$AC301,BA$3=$AE301),"",IF(BA$3=$AD301,$F301&amp;"R",BA300))))</f>
        <v/>
      </c>
      <c r="BB301" s="11" t="str">
        <f aca="false">IF($P301=0,BB300,IF(BB$3=$E301,IF($AA301=1,$F301&amp;$AB301,$G301),IF(OR(BB$3=$D301,BB$3=$AC301,BB$3=$AE301),"",IF(BB$3=$AD301,$F301&amp;"R",BB300))))</f>
        <v/>
      </c>
      <c r="BC301" s="11" t="str">
        <f aca="false">IF($P301=0,BC300,IF(BC$3=$E301,IF($AA301=1,$F301&amp;$AB301,$G301),IF(OR(BC$3=$D301,BC$3=$AC301,BC$3=$AE301),"",IF(BC$3=$AD301,$F301&amp;"R",BC300))))</f>
        <v/>
      </c>
      <c r="BD301" s="11" t="str">
        <f aca="false">IF($P301=0,BD300,IF(BD$3=$E301,IF($AA301=1,$F301&amp;$AB301,$G301),IF(OR(BD$3=$D301,BD$3=$AC301,BD$3=$AE301),"",IF(BD$3=$AD301,$F301&amp;"R",BD300))))</f>
        <v/>
      </c>
      <c r="BE301" s="11" t="str">
        <f aca="false">IF($P301=0,BE300,IF(BE$3=$E301,IF($AA301=1,$F301&amp;$AB301,$G301),IF(OR(BE$3=$D301,BE$3=$AC301,BE$3=$AE301),"",IF(BE$3=$AD301,$F301&amp;"R",BE300))))</f>
        <v/>
      </c>
      <c r="BF301" s="11" t="str">
        <f aca="false">IF($P301=0,BF300,IF(BF$3=$E301,IF($AA301=1,$F301&amp;$AB301,$G301),IF(OR(BF$3=$D301,BF$3=$AC301,BF$3=$AE301),"",IF(BF$3=$AD301,$F301&amp;"R",BF300))))</f>
        <v/>
      </c>
      <c r="BG301" s="11" t="str">
        <f aca="false">IF($P301=0,BG300,IF(BG$3=$E301,IF($AA301=1,$F301&amp;$AB301,$G301),IF(OR(BG$3=$D301,BG$3=$AC301,BG$3=$AE301),"",IF(BG$3=$AD301,$F301&amp;"R",BG300))))</f>
        <v/>
      </c>
      <c r="BH301" s="11" t="str">
        <f aca="false">IF($P301=0,BH300,IF(BH$3=$E301,IF($AA301=1,$F301&amp;$AB301,$G301),IF(OR(BH$3=$D301,BH$3=$AC301,BH$3=$AE301),"",IF(BH$3=$AD301,$F301&amp;"R",BH300))))</f>
        <v/>
      </c>
      <c r="BI301" s="11" t="str">
        <f aca="false">IF($P301=0,BI300,IF(BI$3=$E301,IF($AA301=1,$F301&amp;$AB301,$G301),IF(OR(BI$3=$D301,BI$3=$AC301,BI$3=$AE301),"",IF(BI$3=$AD301,$F301&amp;"R",BI300))))</f>
        <v/>
      </c>
      <c r="BJ301" s="11" t="str">
        <f aca="false">IF($P301=0,BJ300,IF(BJ$3=$E301,IF($AA301=1,$F301&amp;$AB301,$G301),IF(OR(BJ$3=$D301,BJ$3=$AC301,BJ$3=$AE301),"",IF(BJ$3=$AD301,$F301&amp;"R",BJ300))))</f>
        <v/>
      </c>
      <c r="BK301" s="11" t="str">
        <f aca="false">IF($P301=0,BK300,IF(BK$3=$E301,IF($AA301=1,$F301&amp;$AB301,$G301),IF(OR(BK$3=$D301,BK$3=$AC301,BK$3=$AE301),"",IF(BK$3=$AD301,$F301&amp;"R",BK300))))</f>
        <v/>
      </c>
      <c r="BL301" s="11" t="str">
        <f aca="false">IF($P301=0,BL300,IF(BL$3=$E301,IF($AA301=1,$F301&amp;$AB301,$G301),IF(OR(BL$3=$D301,BL$3=$AC301,BL$3=$AE301),"",IF(BL$3=$AD301,$F301&amp;"R",BL300))))</f>
        <v/>
      </c>
      <c r="BM301" s="11" t="str">
        <f aca="false">IF($P301=0,BM300,IF(BM$3=$E301,IF($AA301=1,$F301&amp;$AB301,$G301),IF(OR(BM$3=$D301,BM$3=$AC301,BM$3=$AE301),"",IF(BM$3=$AD301,$F301&amp;"R",BM300))))</f>
        <v/>
      </c>
      <c r="BN301" s="11" t="str">
        <f aca="false">IF($P301=0,BN300,IF(BN$3=$E301,IF($AA301=1,$F301&amp;$AB301,$G301),IF(OR(BN$3=$D301,BN$3=$AC301,BN$3=$AE301),"",IF(BN$3=$AD301,$F301&amp;"R",BN300))))</f>
        <v/>
      </c>
      <c r="BO301" s="11" t="str">
        <f aca="false">IF($P301=0,BO300,IF(BO$3=$E301,IF($AA301=1,$F301&amp;$AB301,$G301),IF(OR(BO$3=$D301,BO$3=$AC301,BO$3=$AE301),"",IF(BO$3=$AD301,$F301&amp;"R",BO300))))</f>
        <v/>
      </c>
      <c r="BP301" s="11" t="str">
        <f aca="false">IF($P301=0,BP300,IF(BP$3=$E301,IF($AA301=1,$F301&amp;$AB301,$G301),IF(OR(BP$3=$D301,BP$3=$AC301,BP$3=$AE301),"",IF(BP$3=$AD301,$F301&amp;"R",BP300))))</f>
        <v/>
      </c>
      <c r="BQ301" s="11" t="str">
        <f aca="false">IF($P301=0,BQ300,IF(BQ$3=$E301,IF($AA301=1,$F301&amp;$AB301,$G301),IF(OR(BQ$3=$D301,BQ$3=$AC301,BQ$3=$AE301),"",IF(BQ$3=$AD301,$F301&amp;"R",BQ300))))</f>
        <v/>
      </c>
      <c r="BR301" s="11" t="str">
        <f aca="false">IF($P301=0,BR300,IF(BR$3=$E301,IF($AA301=1,$F301&amp;$AB301,$G301),IF(OR(BR$3=$D301,BR$3=$AC301,BR$3=$AE301),"",IF(BR$3=$AD301,$F301&amp;"R",BR300))))</f>
        <v/>
      </c>
      <c r="BS301" s="11" t="str">
        <f aca="false">IF($P301=0,BS300,IF(BS$3=$E301,IF($AA301=1,$F301&amp;$AB301,$G301),IF(OR(BS$3=$D301,BS$3=$AC301,BS$3=$AE301),"",IF(BS$3=$AD301,$F301&amp;"R",BS300))))</f>
        <v/>
      </c>
      <c r="BT301" s="11" t="str">
        <f aca="false">IF($P301=0,BT300,IF(BT$3=$E301,IF($AA301=1,$F301&amp;$AB301,$G301),IF(OR(BT$3=$D301,BT$3=$AC301,BT$3=$AE301),"",IF(BT$3=$AD301,$F301&amp;"R",BT300))))</f>
        <v/>
      </c>
      <c r="BU301" s="11" t="str">
        <f aca="false">IF($P301=0,BU300,IF(BU$3=$E301,IF($AA301=1,$F301&amp;$AB301,$G301),IF(OR(BU$3=$D301,BU$3=$AC301,BU$3=$AE301),"",IF(BU$3=$AD301,$F301&amp;"R",BU300))))</f>
        <v/>
      </c>
      <c r="BV301" s="11" t="str">
        <f aca="false">IF($P301=0,BV300,IF(BV$3=$E301,IF($AA301=1,$F301&amp;$AB301,$G301),IF(OR(BV$3=$D301,BV$3=$AC301,BV$3=$AE301),"",IF(BV$3=$AD301,$F301&amp;"R",BV300))))</f>
        <v/>
      </c>
      <c r="BW301" s="11" t="str">
        <f aca="false">IF($P301=0,BW300,IF(BW$3=$E301,IF($AA301=1,$F301&amp;$AB301,$G301),IF(OR(BW$3=$D301,BW$3=$AC301,BW$3=$AE301),"",IF(BW$3=$AD301,$F301&amp;"R",BW300))))</f>
        <v/>
      </c>
      <c r="BX301" s="11" t="str">
        <f aca="false">IF($P301=0,BX300,IF(BX$3=$E301,IF($AA301=1,$F301&amp;$AB301,$G301),IF(OR(BX$3=$D301,BX$3=$AC301,BX$3=$AE301),"",IF(BX$3=$AD301,$F301&amp;"R",BX300))))</f>
        <v/>
      </c>
      <c r="BY301" s="11" t="str">
        <f aca="false">IF($P301=0,BY300,IF(BY$3=$E301,IF($AA301=1,$F301&amp;$AB301,$G301),IF(OR(BY$3=$D301,BY$3=$AC301,BY$3=$AE301),"",IF(BY$3=$AD301,$F301&amp;"R",BY300))))</f>
        <v/>
      </c>
      <c r="BZ301" s="11" t="str">
        <f aca="false">IF($P301=0,BZ300,IF(BZ$3=$E301,IF($AA301=1,$F301&amp;$AB301,$G301),IF(OR(BZ$3=$D301,BZ$3=$AC301,BZ$3=$AE301),"",IF(BZ$3=$AD301,$F301&amp;"R",BZ300))))</f>
        <v/>
      </c>
      <c r="CA301" s="11" t="str">
        <f aca="false">IF($P301=0,CA300,IF(CA$3=$E301,IF($AA301=1,$F301&amp;$AB301,$G301),IF(OR(CA$3=$D301,CA$3=$AC301,CA$3=$AE301),"",IF(CA$3=$AD301,$F301&amp;"R",CA300))))</f>
        <v/>
      </c>
      <c r="CB301" s="11" t="str">
        <f aca="false">IF($P301=0,CB300,IF(CB$3=$E301,IF($AA301=1,$F301&amp;$AB301,$G301),IF(OR(CB$3=$D301,CB$3=$AC301,CB$3=$AE301),"",IF(CB$3=$AD301,$F301&amp;"R",CB300))))</f>
        <v/>
      </c>
      <c r="CC301" s="11" t="str">
        <f aca="false">IF($P301=0,CC300,IF(CC$3=$E301,IF($AA301=1,$F301&amp;$AB301,$G301),IF(OR(CC$3=$D301,CC$3=$AC301,CC$3=$AE301),"",IF(CC$3=$AD301,$F301&amp;"R",CC300))))</f>
        <v/>
      </c>
      <c r="CD301" s="11" t="str">
        <f aca="false">IF($P301=0,CD300,IF(CD$3=$E301,IF($AA301=1,$F301&amp;$AB301,$G301),IF(OR(CD$3=$D301,CD$3=$AC301,CD$3=$AE301),"",IF(CD$3=$AD301,$F301&amp;"R",CD300))))</f>
        <v>bP</v>
      </c>
      <c r="CE301" s="11" t="str">
        <f aca="false">IF($P301=0,CE300,IF(CE$3=$E301,IF($AA301=1,$F301&amp;$AB301,$G301),IF(OR(CE$3=$D301,CE$3=$AC301,CE$3=$AE301),"",IF(CE$3=$AD301,$F301&amp;"R",CE300))))</f>
        <v>bP</v>
      </c>
      <c r="CF301" s="11" t="str">
        <f aca="false">IF($P301=0,CF300,IF(CF$3=$E301,IF($AA301=1,$F301&amp;$AB301,$G301),IF(OR(CF$3=$D301,CF$3=$AC301,CF$3=$AE301),"",IF(CF$3=$AD301,$F301&amp;"R",CF300))))</f>
        <v>bP</v>
      </c>
      <c r="CG301" s="11" t="str">
        <f aca="false">IF($P301=0,CG300,IF(CG$3=$E301,IF($AA301=1,$F301&amp;$AB301,$G301),IF(OR(CG$3=$D301,CG$3=$AC301,CG$3=$AE301),"",IF(CG$3=$AD301,$F301&amp;"R",CG300))))</f>
        <v>bP</v>
      </c>
      <c r="CH301" s="11" t="str">
        <f aca="false">IF($P301=0,CH300,IF(CH$3=$E301,IF($AA301=1,$F301&amp;$AB301,$G301),IF(OR(CH$3=$D301,CH$3=$AC301,CH$3=$AE301),"",IF(CH$3=$AD301,$F301&amp;"R",CH300))))</f>
        <v>bP</v>
      </c>
      <c r="CI301" s="11" t="str">
        <f aca="false">IF($P301=0,CI300,IF(CI$3=$E301,IF($AA301=1,$F301&amp;$AB301,$G301),IF(OR(CI$3=$D301,CI$3=$AC301,CI$3=$AE301),"",IF(CI$3=$AD301,$F301&amp;"R",CI300))))</f>
        <v>bP</v>
      </c>
      <c r="CJ301" s="11" t="str">
        <f aca="false">IF($P301=0,CJ300,IF(CJ$3=$E301,IF($AA301=1,$F301&amp;$AB301,$G301),IF(OR(CJ$3=$D301,CJ$3=$AC301,CJ$3=$AE301),"",IF(CJ$3=$AD301,$F301&amp;"R",CJ300))))</f>
        <v>bP</v>
      </c>
      <c r="CK301" s="11" t="str">
        <f aca="false">IF($P301=0,CK300,IF(CK$3=$E301,IF($AA301=1,$F301&amp;$AB301,$G301),IF(OR(CK$3=$D301,CK$3=$AC301,CK$3=$AE301),"",IF(CK$3=$AD301,$F301&amp;"R",CK300))))</f>
        <v>bP</v>
      </c>
      <c r="CL301" s="11" t="str">
        <f aca="false">IF($P301=0,CL300,IF(CL$3=$E301,IF($AA301=1,$F301&amp;$AB301,$G301),IF(OR(CL$3=$D301,CL$3=$AC301,CL$3=$AE301),"",IF(CL$3=$AD301,$F301&amp;"R",CL300))))</f>
        <v>bR</v>
      </c>
      <c r="CM301" s="11" t="str">
        <f aca="false">IF($P301=0,CM300,IF(CM$3=$E301,IF($AA301=1,$F301&amp;$AB301,$G301),IF(OR(CM$3=$D301,CM$3=$AC301,CM$3=$AE301),"",IF(CM$3=$AD301,$F301&amp;"R",CM300))))</f>
        <v>bN</v>
      </c>
      <c r="CN301" s="11" t="str">
        <f aca="false">IF($P301=0,CN300,IF(CN$3=$E301,IF($AA301=1,$F301&amp;$AB301,$G301),IF(OR(CN$3=$D301,CN$3=$AC301,CN$3=$AE301),"",IF(CN$3=$AD301,$F301&amp;"R",CN300))))</f>
        <v>bB</v>
      </c>
      <c r="CO301" s="11" t="str">
        <f aca="false">IF($P301=0,CO300,IF(CO$3=$E301,IF($AA301=1,$F301&amp;$AB301,$G301),IF(OR(CO$3=$D301,CO$3=$AC301,CO$3=$AE301),"",IF(CO$3=$AD301,$F301&amp;"R",CO300))))</f>
        <v>bQ</v>
      </c>
      <c r="CP301" s="11" t="str">
        <f aca="false">IF($P301=0,CP300,IF(CP$3=$E301,IF($AA301=1,$F301&amp;$AB301,$G301),IF(OR(CP$3=$D301,CP$3=$AC301,CP$3=$AE301),"",IF(CP$3=$AD301,$F301&amp;"R",CP300))))</f>
        <v>bK</v>
      </c>
      <c r="CQ301" s="11" t="str">
        <f aca="false">IF($P301=0,CQ300,IF(CQ$3=$E301,IF($AA301=1,$F301&amp;$AB301,$G301),IF(OR(CQ$3=$D301,CQ$3=$AC301,CQ$3=$AE301),"",IF(CQ$3=$AD301,$F301&amp;"R",CQ300))))</f>
        <v>bB</v>
      </c>
      <c r="CR301" s="11" t="str">
        <f aca="false">IF($P301=0,CR300,IF(CR$3=$E301,IF($AA301=1,$F301&amp;$AB301,$G301),IF(OR(CR$3=$D301,CR$3=$AC301,CR$3=$AE301),"",IF(CR$3=$AD301,$F301&amp;"R",CR300))))</f>
        <v>bN</v>
      </c>
      <c r="CS301" s="11" t="str">
        <f aca="false">IF($P301=0,CS300,IF(CS$3=$E301,IF($AA301=1,$F301&amp;$AB301,$G301),IF(OR(CS$3=$D301,CS$3=$AC301,CS$3=$AE301),"",IF(CS$3=$AD301,$F301&amp;"R",CS300))))</f>
        <v>bR</v>
      </c>
      <c r="CT301" s="11"/>
      <c r="CU301" s="11"/>
      <c r="CV301" s="11"/>
    </row>
    <row r="302" customFormat="false" ht="15" hidden="false" customHeight="false" outlineLevel="0" collapsed="false">
      <c r="A302" s="11" t="n">
        <v>297</v>
      </c>
      <c r="B302" s="11" t="str">
        <f aca="false">IF(Chess!$L$306="","",Chess!$L$306&amp;"")</f>
        <v/>
      </c>
      <c r="C302" s="11" t="str">
        <f aca="false">LOWER(SUBSTITUTE(SUBSTITUTE(SUBSTITUTE(SUBSTITUTE(TRIM($B302),"-",""),"=","")," ",""),"x",""))</f>
        <v/>
      </c>
      <c r="D302" s="11" t="n">
        <f aca="false">IF(LEN($C302)&lt;4,0,IFERROR(IF(AND(CODE(MID($C302,1,1))&gt;=97,CODE(MID($C302,1,1))&lt;=104,VALUE(MID($C302,2,1))&gt;=1,VALUE(MID($C302,2,1))&lt;=8),(VALUE(MID($C302,2,1))-1)*8+CODE(MID($C302,1,1))-96,0),0))</f>
        <v>0</v>
      </c>
      <c r="E302" s="11" t="n">
        <f aca="false">IF(LEN($C302)&lt;4,0,IFERROR(IF(AND(CODE(MID($C302,3,1))&gt;=97,CODE(MID($C302,3,1))&lt;=104,VALUE(MID($C302,4,1))&gt;=1,VALUE(MID($C302,4,1))&lt;=8),(VALUE(MID($C302,4,1))-1)*8+CODE(MID($C302,3,1))-96,0),0))</f>
        <v>0</v>
      </c>
      <c r="F302" s="11" t="str">
        <f aca="false">IF(MOD(SUM($P$5:$P301),2)=0,"w","b")</f>
        <v>w</v>
      </c>
      <c r="G302" s="11" t="str">
        <f aca="false">IF($D302=0,"",INDEX($AH301:$CS301,1,$D302)&amp;"")</f>
        <v/>
      </c>
      <c r="H302" s="11" t="str">
        <f aca="false">IF($E302=0,"",INDEX($AH301:$CS301,1,$E302)&amp;"")</f>
        <v/>
      </c>
      <c r="I302" s="11" t="n">
        <f aca="false">IF(OR($D302=0,$E302=0),0,MOD($E302-1,8)-MOD($D302-1,8))</f>
        <v>0</v>
      </c>
      <c r="J302" s="11" t="n">
        <f aca="false">IF(OR($D302=0,$E302=0),0,INT(($E302-1)/8)-INT(($D302-1)/8))</f>
        <v>0</v>
      </c>
      <c r="K302" s="11" t="str">
        <f aca="false">IF($G302="","",RIGHT($G302,1))</f>
        <v/>
      </c>
      <c r="L302" s="11" t="n">
        <f aca="false">IF(OR($D302=0,$E302=0),0,SUMPRODUCT(($AH$3:$CS$3&gt;MIN($D302,$E302))*($AH$3:$CS$3&lt;MAX($D302,$E302))*(MOD($AH$3:$CS$3-MIN($D302,$E302),MAX(1,ABS(SIGN($J302)*8+SIGN($I302))))=0)*($AH301:$CS301&lt;&gt;"")))</f>
        <v>0</v>
      </c>
      <c r="M302" s="11" t="n">
        <f aca="false">IF($K302&lt;&gt;"K",0,IFERROR(--AND($J302=0,ABS($I302)=2,$D302=IF($F302="w",5,61),IF($F302="w",$S301,$V301)=0,IF($I302=2,AND(IF($F302="w",$U301,$X301)=0,INDEX($AH301:$CS301,1,$D302+1)&amp;""="",INDEX($AH301:$CS301,1,$D302+2)&amp;""=""),AND(IF($F302="w",$T301,$W301)=0,INDEX($AH301:$CS301,1,$D302-1)&amp;""="",INDEX($AH301:$CS301,1,$D302-2)&amp;""="",INDEX($AH301:$CS301,1,$D302-3)&amp;""=""))),0))</f>
        <v>0</v>
      </c>
      <c r="N302" s="11" t="n">
        <f aca="false">IF($K302&lt;&gt;"P",0,IFERROR(--OR(AND($I302=0,$J302=IF($F302="w",1,-1),$H302=""),AND($I302=0,$J302=2*IF($F302="w",1,-1),$H302="",INT(($D302-1)/8)=IF($F302="w",1,6),INDEX($AH301:$CS301,1,MAX(1,MIN(64,$D302+8*IF($F302="w",1,-1))))&amp;""=""),AND(ABS($I302)=1,$J302=IF($F302="w",1,-1),$H302&lt;&gt;""),AND(ABS($I302)=1,$J302=IF($F302="w",1,-1),$H302="",$R301&gt;0,$E302=$R301)),0))</f>
        <v>0</v>
      </c>
      <c r="O302" s="11" t="n">
        <f aca="false">IF(OR($D302=0,$E302=0,$G302=""),0,IF($K302="N",--OR(AND(ABS($I302)=1,ABS($J302)=2),AND(ABS($I302)=2,ABS($J302)=1)),IF($K302="B",--AND(ABS($I302)=ABS($J302),$I302&lt;&gt;0,$L302=0),IF($K302="R",--AND(OR($I302=0,$J302=0),OR($I302&lt;&gt;0,$J302&lt;&gt;0),$L302=0),IF($K302="Q",--AND(OR(AND(ABS($I302)=ABS($J302),$I302&lt;&gt;0),AND(OR($I302=0,$J302=0),OR($I302&lt;&gt;0,$J302&lt;&gt;0))),$L302=0),IF($K302="K",--OR(MAX(ABS($I302),ABS($J302))=1,$M302=1),$N302))))))</f>
        <v>0</v>
      </c>
      <c r="P302" s="11" t="n">
        <f aca="false">IF($Q302="OK",1,0)</f>
        <v>0</v>
      </c>
      <c r="Q302" s="11" t="str">
        <f aca="false">IF($B302="","",IF(OR(COUNTIF($AH301:$CS301,"wK")=0,COUNTIF($AH301:$CS301,"bK")=0),"Game is over",IF(OR($D302=0,$E302=0),"Use the format e2e4",IF($G302="","No piece on that square",IF(LEFT($G302,1)&lt;&gt;$F302,"Not your piece ("&amp;IF($F302="w","White","Black")&amp;" to move)",IF($D302=$E302,"Piece must move",IF(AND($H302&lt;&gt;"",LEFT($H302,1)=$F302),"Cannot capture your own piece",IF($O302=0,"Illegal move for that piece (or path blocked)","OK"))))))))</f>
        <v/>
      </c>
      <c r="R302" s="11" t="n">
        <f aca="false">IF($P302=1,IF(AND($K302="P",ABS($J302)=2),($D302+$E302)/2,0),$R301)</f>
        <v>0</v>
      </c>
      <c r="S302" s="12" t="b">
        <f aca="false">--OR($S301=1,AND($P302=1,OR($D302=5,$E302=5)))</f>
        <v>0</v>
      </c>
      <c r="T302" s="12" t="b">
        <f aca="false">--OR($T301=1,AND($P302=1,OR($D302=1,$E302=1)))</f>
        <v>0</v>
      </c>
      <c r="U302" s="12" t="b">
        <f aca="false">--OR($U301=1,AND($P302=1,OR($D302=8,$E302=8)))</f>
        <v>0</v>
      </c>
      <c r="V302" s="12" t="b">
        <f aca="false">--OR($V301=1,AND($P302=1,OR($D302=61,$E302=61)))</f>
        <v>0</v>
      </c>
      <c r="W302" s="12" t="b">
        <f aca="false">--OR($W301=1,AND($P302=1,OR($D302=57,$E302=57)))</f>
        <v>0</v>
      </c>
      <c r="X302" s="12" t="b">
        <f aca="false">--OR($X301=1,AND($P302=1,OR($D302=64,$E302=64)))</f>
        <v>0</v>
      </c>
      <c r="Y302" s="12" t="b">
        <f aca="false">--AND($P302=1,$K302="K",ABS($I302)=2)</f>
        <v>0</v>
      </c>
      <c r="Z302" s="12" t="b">
        <f aca="false">--AND($P302=1,$K302="P",ABS($I302)=1,$H302="")</f>
        <v>0</v>
      </c>
      <c r="AA302" s="12" t="b">
        <f aca="false">--AND($P302=1,$K302="P",INT(($E302-1)/8)=IF($F302="w",7,0))</f>
        <v>0</v>
      </c>
      <c r="AB302" s="11" t="str">
        <f aca="false">IF(LEN($C302)&gt;=5,IF(ISNUMBER(FIND(MID($C302,5,1),"qrbn")),UPPER(MID($C302,5,1)),"Q"),"Q")</f>
        <v>Q</v>
      </c>
      <c r="AC302" s="11" t="n">
        <f aca="false">IF($Y302=1,IF($I302=2,$D302+3,$D302-4),0)</f>
        <v>0</v>
      </c>
      <c r="AD302" s="11" t="n">
        <f aca="false">IF($Y302=1,IF($I302=2,$D302+1,$D302-1),0)</f>
        <v>0</v>
      </c>
      <c r="AE302" s="11" t="n">
        <f aca="false">IF($Z302=1,$E302-8*IF($F302="w",1,-1),0)</f>
        <v>0</v>
      </c>
      <c r="AF302" s="11" t="str">
        <f aca="false">IF($B302="","",IF($P302=1,LOWER(INDEX($CV$2:$CV$13,MATCH($G302,$CU$2:$CU$13,0)))&amp;" "&amp;MID("abcdefgh",MOD($D302-1,8)+1,1)&amp;(INT(($D302-1)/8)+1)&amp;"→"&amp;MID("abcdefgh",MOD($E302-1,8)+1,1)&amp;(INT(($E302-1)/8)+1)&amp;IF(OR($H302&lt;&gt;"",$Z302=1)," ×","")&amp;IF($Y302=1," castles","")&amp;IF($Z302=1," e.p.","")&amp;IF($AA302=1," =" &amp;LOWER(INDEX($CV$2:$CV$13,MATCH($F302&amp;$AB302,$CU$2:$CU$13,0))),""),"X "&amp;$Q302))</f>
        <v/>
      </c>
      <c r="AG302" s="11"/>
      <c r="AH302" s="11" t="str">
        <f aca="false">IF($P302=0,AH301,IF(AH$3=$E302,IF($AA302=1,$F302&amp;$AB302,$G302),IF(OR(AH$3=$D302,AH$3=$AC302,AH$3=$AE302),"",IF(AH$3=$AD302,$F302&amp;"R",AH301))))</f>
        <v>wR</v>
      </c>
      <c r="AI302" s="11" t="str">
        <f aca="false">IF($P302=0,AI301,IF(AI$3=$E302,IF($AA302=1,$F302&amp;$AB302,$G302),IF(OR(AI$3=$D302,AI$3=$AC302,AI$3=$AE302),"",IF(AI$3=$AD302,$F302&amp;"R",AI301))))</f>
        <v>wN</v>
      </c>
      <c r="AJ302" s="11" t="str">
        <f aca="false">IF($P302=0,AJ301,IF(AJ$3=$E302,IF($AA302=1,$F302&amp;$AB302,$G302),IF(OR(AJ$3=$D302,AJ$3=$AC302,AJ$3=$AE302),"",IF(AJ$3=$AD302,$F302&amp;"R",AJ301))))</f>
        <v>wB</v>
      </c>
      <c r="AK302" s="11" t="str">
        <f aca="false">IF($P302=0,AK301,IF(AK$3=$E302,IF($AA302=1,$F302&amp;$AB302,$G302),IF(OR(AK$3=$D302,AK$3=$AC302,AK$3=$AE302),"",IF(AK$3=$AD302,$F302&amp;"R",AK301))))</f>
        <v>wQ</v>
      </c>
      <c r="AL302" s="11" t="str">
        <f aca="false">IF($P302=0,AL301,IF(AL$3=$E302,IF($AA302=1,$F302&amp;$AB302,$G302),IF(OR(AL$3=$D302,AL$3=$AC302,AL$3=$AE302),"",IF(AL$3=$AD302,$F302&amp;"R",AL301))))</f>
        <v>wK</v>
      </c>
      <c r="AM302" s="11" t="str">
        <f aca="false">IF($P302=0,AM301,IF(AM$3=$E302,IF($AA302=1,$F302&amp;$AB302,$G302),IF(OR(AM$3=$D302,AM$3=$AC302,AM$3=$AE302),"",IF(AM$3=$AD302,$F302&amp;"R",AM301))))</f>
        <v>wB</v>
      </c>
      <c r="AN302" s="11" t="str">
        <f aca="false">IF($P302=0,AN301,IF(AN$3=$E302,IF($AA302=1,$F302&amp;$AB302,$G302),IF(OR(AN$3=$D302,AN$3=$AC302,AN$3=$AE302),"",IF(AN$3=$AD302,$F302&amp;"R",AN301))))</f>
        <v>wN</v>
      </c>
      <c r="AO302" s="11" t="str">
        <f aca="false">IF($P302=0,AO301,IF(AO$3=$E302,IF($AA302=1,$F302&amp;$AB302,$G302),IF(OR(AO$3=$D302,AO$3=$AC302,AO$3=$AE302),"",IF(AO$3=$AD302,$F302&amp;"R",AO301))))</f>
        <v>wR</v>
      </c>
      <c r="AP302" s="11" t="str">
        <f aca="false">IF($P302=0,AP301,IF(AP$3=$E302,IF($AA302=1,$F302&amp;$AB302,$G302),IF(OR(AP$3=$D302,AP$3=$AC302,AP$3=$AE302),"",IF(AP$3=$AD302,$F302&amp;"R",AP301))))</f>
        <v>wP</v>
      </c>
      <c r="AQ302" s="11" t="str">
        <f aca="false">IF($P302=0,AQ301,IF(AQ$3=$E302,IF($AA302=1,$F302&amp;$AB302,$G302),IF(OR(AQ$3=$D302,AQ$3=$AC302,AQ$3=$AE302),"",IF(AQ$3=$AD302,$F302&amp;"R",AQ301))))</f>
        <v>wP</v>
      </c>
      <c r="AR302" s="11" t="str">
        <f aca="false">IF($P302=0,AR301,IF(AR$3=$E302,IF($AA302=1,$F302&amp;$AB302,$G302),IF(OR(AR$3=$D302,AR$3=$AC302,AR$3=$AE302),"",IF(AR$3=$AD302,$F302&amp;"R",AR301))))</f>
        <v>wP</v>
      </c>
      <c r="AS302" s="11" t="str">
        <f aca="false">IF($P302=0,AS301,IF(AS$3=$E302,IF($AA302=1,$F302&amp;$AB302,$G302),IF(OR(AS$3=$D302,AS$3=$AC302,AS$3=$AE302),"",IF(AS$3=$AD302,$F302&amp;"R",AS301))))</f>
        <v>wP</v>
      </c>
      <c r="AT302" s="11" t="str">
        <f aca="false">IF($P302=0,AT301,IF(AT$3=$E302,IF($AA302=1,$F302&amp;$AB302,$G302),IF(OR(AT$3=$D302,AT$3=$AC302,AT$3=$AE302),"",IF(AT$3=$AD302,$F302&amp;"R",AT301))))</f>
        <v>wP</v>
      </c>
      <c r="AU302" s="11" t="str">
        <f aca="false">IF($P302=0,AU301,IF(AU$3=$E302,IF($AA302=1,$F302&amp;$AB302,$G302),IF(OR(AU$3=$D302,AU$3=$AC302,AU$3=$AE302),"",IF(AU$3=$AD302,$F302&amp;"R",AU301))))</f>
        <v>wP</v>
      </c>
      <c r="AV302" s="11" t="str">
        <f aca="false">IF($P302=0,AV301,IF(AV$3=$E302,IF($AA302=1,$F302&amp;$AB302,$G302),IF(OR(AV$3=$D302,AV$3=$AC302,AV$3=$AE302),"",IF(AV$3=$AD302,$F302&amp;"R",AV301))))</f>
        <v>wP</v>
      </c>
      <c r="AW302" s="11" t="str">
        <f aca="false">IF($P302=0,AW301,IF(AW$3=$E302,IF($AA302=1,$F302&amp;$AB302,$G302),IF(OR(AW$3=$D302,AW$3=$AC302,AW$3=$AE302),"",IF(AW$3=$AD302,$F302&amp;"R",AW301))))</f>
        <v>wP</v>
      </c>
      <c r="AX302" s="11" t="str">
        <f aca="false">IF($P302=0,AX301,IF(AX$3=$E302,IF($AA302=1,$F302&amp;$AB302,$G302),IF(OR(AX$3=$D302,AX$3=$AC302,AX$3=$AE302),"",IF(AX$3=$AD302,$F302&amp;"R",AX301))))</f>
        <v/>
      </c>
      <c r="AY302" s="11" t="str">
        <f aca="false">IF($P302=0,AY301,IF(AY$3=$E302,IF($AA302=1,$F302&amp;$AB302,$G302),IF(OR(AY$3=$D302,AY$3=$AC302,AY$3=$AE302),"",IF(AY$3=$AD302,$F302&amp;"R",AY301))))</f>
        <v/>
      </c>
      <c r="AZ302" s="11" t="str">
        <f aca="false">IF($P302=0,AZ301,IF(AZ$3=$E302,IF($AA302=1,$F302&amp;$AB302,$G302),IF(OR(AZ$3=$D302,AZ$3=$AC302,AZ$3=$AE302),"",IF(AZ$3=$AD302,$F302&amp;"R",AZ301))))</f>
        <v/>
      </c>
      <c r="BA302" s="11" t="str">
        <f aca="false">IF($P302=0,BA301,IF(BA$3=$E302,IF($AA302=1,$F302&amp;$AB302,$G302),IF(OR(BA$3=$D302,BA$3=$AC302,BA$3=$AE302),"",IF(BA$3=$AD302,$F302&amp;"R",BA301))))</f>
        <v/>
      </c>
      <c r="BB302" s="11" t="str">
        <f aca="false">IF($P302=0,BB301,IF(BB$3=$E302,IF($AA302=1,$F302&amp;$AB302,$G302),IF(OR(BB$3=$D302,BB$3=$AC302,BB$3=$AE302),"",IF(BB$3=$AD302,$F302&amp;"R",BB301))))</f>
        <v/>
      </c>
      <c r="BC302" s="11" t="str">
        <f aca="false">IF($P302=0,BC301,IF(BC$3=$E302,IF($AA302=1,$F302&amp;$AB302,$G302),IF(OR(BC$3=$D302,BC$3=$AC302,BC$3=$AE302),"",IF(BC$3=$AD302,$F302&amp;"R",BC301))))</f>
        <v/>
      </c>
      <c r="BD302" s="11" t="str">
        <f aca="false">IF($P302=0,BD301,IF(BD$3=$E302,IF($AA302=1,$F302&amp;$AB302,$G302),IF(OR(BD$3=$D302,BD$3=$AC302,BD$3=$AE302),"",IF(BD$3=$AD302,$F302&amp;"R",BD301))))</f>
        <v/>
      </c>
      <c r="BE302" s="11" t="str">
        <f aca="false">IF($P302=0,BE301,IF(BE$3=$E302,IF($AA302=1,$F302&amp;$AB302,$G302),IF(OR(BE$3=$D302,BE$3=$AC302,BE$3=$AE302),"",IF(BE$3=$AD302,$F302&amp;"R",BE301))))</f>
        <v/>
      </c>
      <c r="BF302" s="11" t="str">
        <f aca="false">IF($P302=0,BF301,IF(BF$3=$E302,IF($AA302=1,$F302&amp;$AB302,$G302),IF(OR(BF$3=$D302,BF$3=$AC302,BF$3=$AE302),"",IF(BF$3=$AD302,$F302&amp;"R",BF301))))</f>
        <v/>
      </c>
      <c r="BG302" s="11" t="str">
        <f aca="false">IF($P302=0,BG301,IF(BG$3=$E302,IF($AA302=1,$F302&amp;$AB302,$G302),IF(OR(BG$3=$D302,BG$3=$AC302,BG$3=$AE302),"",IF(BG$3=$AD302,$F302&amp;"R",BG301))))</f>
        <v/>
      </c>
      <c r="BH302" s="11" t="str">
        <f aca="false">IF($P302=0,BH301,IF(BH$3=$E302,IF($AA302=1,$F302&amp;$AB302,$G302),IF(OR(BH$3=$D302,BH$3=$AC302,BH$3=$AE302),"",IF(BH$3=$AD302,$F302&amp;"R",BH301))))</f>
        <v/>
      </c>
      <c r="BI302" s="11" t="str">
        <f aca="false">IF($P302=0,BI301,IF(BI$3=$E302,IF($AA302=1,$F302&amp;$AB302,$G302),IF(OR(BI$3=$D302,BI$3=$AC302,BI$3=$AE302),"",IF(BI$3=$AD302,$F302&amp;"R",BI301))))</f>
        <v/>
      </c>
      <c r="BJ302" s="11" t="str">
        <f aca="false">IF($P302=0,BJ301,IF(BJ$3=$E302,IF($AA302=1,$F302&amp;$AB302,$G302),IF(OR(BJ$3=$D302,BJ$3=$AC302,BJ$3=$AE302),"",IF(BJ$3=$AD302,$F302&amp;"R",BJ301))))</f>
        <v/>
      </c>
      <c r="BK302" s="11" t="str">
        <f aca="false">IF($P302=0,BK301,IF(BK$3=$E302,IF($AA302=1,$F302&amp;$AB302,$G302),IF(OR(BK$3=$D302,BK$3=$AC302,BK$3=$AE302),"",IF(BK$3=$AD302,$F302&amp;"R",BK301))))</f>
        <v/>
      </c>
      <c r="BL302" s="11" t="str">
        <f aca="false">IF($P302=0,BL301,IF(BL$3=$E302,IF($AA302=1,$F302&amp;$AB302,$G302),IF(OR(BL$3=$D302,BL$3=$AC302,BL$3=$AE302),"",IF(BL$3=$AD302,$F302&amp;"R",BL301))))</f>
        <v/>
      </c>
      <c r="BM302" s="11" t="str">
        <f aca="false">IF($P302=0,BM301,IF(BM$3=$E302,IF($AA302=1,$F302&amp;$AB302,$G302),IF(OR(BM$3=$D302,BM$3=$AC302,BM$3=$AE302),"",IF(BM$3=$AD302,$F302&amp;"R",BM301))))</f>
        <v/>
      </c>
      <c r="BN302" s="11" t="str">
        <f aca="false">IF($P302=0,BN301,IF(BN$3=$E302,IF($AA302=1,$F302&amp;$AB302,$G302),IF(OR(BN$3=$D302,BN$3=$AC302,BN$3=$AE302),"",IF(BN$3=$AD302,$F302&amp;"R",BN301))))</f>
        <v/>
      </c>
      <c r="BO302" s="11" t="str">
        <f aca="false">IF($P302=0,BO301,IF(BO$3=$E302,IF($AA302=1,$F302&amp;$AB302,$G302),IF(OR(BO$3=$D302,BO$3=$AC302,BO$3=$AE302),"",IF(BO$3=$AD302,$F302&amp;"R",BO301))))</f>
        <v/>
      </c>
      <c r="BP302" s="11" t="str">
        <f aca="false">IF($P302=0,BP301,IF(BP$3=$E302,IF($AA302=1,$F302&amp;$AB302,$G302),IF(OR(BP$3=$D302,BP$3=$AC302,BP$3=$AE302),"",IF(BP$3=$AD302,$F302&amp;"R",BP301))))</f>
        <v/>
      </c>
      <c r="BQ302" s="11" t="str">
        <f aca="false">IF($P302=0,BQ301,IF(BQ$3=$E302,IF($AA302=1,$F302&amp;$AB302,$G302),IF(OR(BQ$3=$D302,BQ$3=$AC302,BQ$3=$AE302),"",IF(BQ$3=$AD302,$F302&amp;"R",BQ301))))</f>
        <v/>
      </c>
      <c r="BR302" s="11" t="str">
        <f aca="false">IF($P302=0,BR301,IF(BR$3=$E302,IF($AA302=1,$F302&amp;$AB302,$G302),IF(OR(BR$3=$D302,BR$3=$AC302,BR$3=$AE302),"",IF(BR$3=$AD302,$F302&amp;"R",BR301))))</f>
        <v/>
      </c>
      <c r="BS302" s="11" t="str">
        <f aca="false">IF($P302=0,BS301,IF(BS$3=$E302,IF($AA302=1,$F302&amp;$AB302,$G302),IF(OR(BS$3=$D302,BS$3=$AC302,BS$3=$AE302),"",IF(BS$3=$AD302,$F302&amp;"R",BS301))))</f>
        <v/>
      </c>
      <c r="BT302" s="11" t="str">
        <f aca="false">IF($P302=0,BT301,IF(BT$3=$E302,IF($AA302=1,$F302&amp;$AB302,$G302),IF(OR(BT$3=$D302,BT$3=$AC302,BT$3=$AE302),"",IF(BT$3=$AD302,$F302&amp;"R",BT301))))</f>
        <v/>
      </c>
      <c r="BU302" s="11" t="str">
        <f aca="false">IF($P302=0,BU301,IF(BU$3=$E302,IF($AA302=1,$F302&amp;$AB302,$G302),IF(OR(BU$3=$D302,BU$3=$AC302,BU$3=$AE302),"",IF(BU$3=$AD302,$F302&amp;"R",BU301))))</f>
        <v/>
      </c>
      <c r="BV302" s="11" t="str">
        <f aca="false">IF($P302=0,BV301,IF(BV$3=$E302,IF($AA302=1,$F302&amp;$AB302,$G302),IF(OR(BV$3=$D302,BV$3=$AC302,BV$3=$AE302),"",IF(BV$3=$AD302,$F302&amp;"R",BV301))))</f>
        <v/>
      </c>
      <c r="BW302" s="11" t="str">
        <f aca="false">IF($P302=0,BW301,IF(BW$3=$E302,IF($AA302=1,$F302&amp;$AB302,$G302),IF(OR(BW$3=$D302,BW$3=$AC302,BW$3=$AE302),"",IF(BW$3=$AD302,$F302&amp;"R",BW301))))</f>
        <v/>
      </c>
      <c r="BX302" s="11" t="str">
        <f aca="false">IF($P302=0,BX301,IF(BX$3=$E302,IF($AA302=1,$F302&amp;$AB302,$G302),IF(OR(BX$3=$D302,BX$3=$AC302,BX$3=$AE302),"",IF(BX$3=$AD302,$F302&amp;"R",BX301))))</f>
        <v/>
      </c>
      <c r="BY302" s="11" t="str">
        <f aca="false">IF($P302=0,BY301,IF(BY$3=$E302,IF($AA302=1,$F302&amp;$AB302,$G302),IF(OR(BY$3=$D302,BY$3=$AC302,BY$3=$AE302),"",IF(BY$3=$AD302,$F302&amp;"R",BY301))))</f>
        <v/>
      </c>
      <c r="BZ302" s="11" t="str">
        <f aca="false">IF($P302=0,BZ301,IF(BZ$3=$E302,IF($AA302=1,$F302&amp;$AB302,$G302),IF(OR(BZ$3=$D302,BZ$3=$AC302,BZ$3=$AE302),"",IF(BZ$3=$AD302,$F302&amp;"R",BZ301))))</f>
        <v/>
      </c>
      <c r="CA302" s="11" t="str">
        <f aca="false">IF($P302=0,CA301,IF(CA$3=$E302,IF($AA302=1,$F302&amp;$AB302,$G302),IF(OR(CA$3=$D302,CA$3=$AC302,CA$3=$AE302),"",IF(CA$3=$AD302,$F302&amp;"R",CA301))))</f>
        <v/>
      </c>
      <c r="CB302" s="11" t="str">
        <f aca="false">IF($P302=0,CB301,IF(CB$3=$E302,IF($AA302=1,$F302&amp;$AB302,$G302),IF(OR(CB$3=$D302,CB$3=$AC302,CB$3=$AE302),"",IF(CB$3=$AD302,$F302&amp;"R",CB301))))</f>
        <v/>
      </c>
      <c r="CC302" s="11" t="str">
        <f aca="false">IF($P302=0,CC301,IF(CC$3=$E302,IF($AA302=1,$F302&amp;$AB302,$G302),IF(OR(CC$3=$D302,CC$3=$AC302,CC$3=$AE302),"",IF(CC$3=$AD302,$F302&amp;"R",CC301))))</f>
        <v/>
      </c>
      <c r="CD302" s="11" t="str">
        <f aca="false">IF($P302=0,CD301,IF(CD$3=$E302,IF($AA302=1,$F302&amp;$AB302,$G302),IF(OR(CD$3=$D302,CD$3=$AC302,CD$3=$AE302),"",IF(CD$3=$AD302,$F302&amp;"R",CD301))))</f>
        <v>bP</v>
      </c>
      <c r="CE302" s="11" t="str">
        <f aca="false">IF($P302=0,CE301,IF(CE$3=$E302,IF($AA302=1,$F302&amp;$AB302,$G302),IF(OR(CE$3=$D302,CE$3=$AC302,CE$3=$AE302),"",IF(CE$3=$AD302,$F302&amp;"R",CE301))))</f>
        <v>bP</v>
      </c>
      <c r="CF302" s="11" t="str">
        <f aca="false">IF($P302=0,CF301,IF(CF$3=$E302,IF($AA302=1,$F302&amp;$AB302,$G302),IF(OR(CF$3=$D302,CF$3=$AC302,CF$3=$AE302),"",IF(CF$3=$AD302,$F302&amp;"R",CF301))))</f>
        <v>bP</v>
      </c>
      <c r="CG302" s="11" t="str">
        <f aca="false">IF($P302=0,CG301,IF(CG$3=$E302,IF($AA302=1,$F302&amp;$AB302,$G302),IF(OR(CG$3=$D302,CG$3=$AC302,CG$3=$AE302),"",IF(CG$3=$AD302,$F302&amp;"R",CG301))))</f>
        <v>bP</v>
      </c>
      <c r="CH302" s="11" t="str">
        <f aca="false">IF($P302=0,CH301,IF(CH$3=$E302,IF($AA302=1,$F302&amp;$AB302,$G302),IF(OR(CH$3=$D302,CH$3=$AC302,CH$3=$AE302),"",IF(CH$3=$AD302,$F302&amp;"R",CH301))))</f>
        <v>bP</v>
      </c>
      <c r="CI302" s="11" t="str">
        <f aca="false">IF($P302=0,CI301,IF(CI$3=$E302,IF($AA302=1,$F302&amp;$AB302,$G302),IF(OR(CI$3=$D302,CI$3=$AC302,CI$3=$AE302),"",IF(CI$3=$AD302,$F302&amp;"R",CI301))))</f>
        <v>bP</v>
      </c>
      <c r="CJ302" s="11" t="str">
        <f aca="false">IF($P302=0,CJ301,IF(CJ$3=$E302,IF($AA302=1,$F302&amp;$AB302,$G302),IF(OR(CJ$3=$D302,CJ$3=$AC302,CJ$3=$AE302),"",IF(CJ$3=$AD302,$F302&amp;"R",CJ301))))</f>
        <v>bP</v>
      </c>
      <c r="CK302" s="11" t="str">
        <f aca="false">IF($P302=0,CK301,IF(CK$3=$E302,IF($AA302=1,$F302&amp;$AB302,$G302),IF(OR(CK$3=$D302,CK$3=$AC302,CK$3=$AE302),"",IF(CK$3=$AD302,$F302&amp;"R",CK301))))</f>
        <v>bP</v>
      </c>
      <c r="CL302" s="11" t="str">
        <f aca="false">IF($P302=0,CL301,IF(CL$3=$E302,IF($AA302=1,$F302&amp;$AB302,$G302),IF(OR(CL$3=$D302,CL$3=$AC302,CL$3=$AE302),"",IF(CL$3=$AD302,$F302&amp;"R",CL301))))</f>
        <v>bR</v>
      </c>
      <c r="CM302" s="11" t="str">
        <f aca="false">IF($P302=0,CM301,IF(CM$3=$E302,IF($AA302=1,$F302&amp;$AB302,$G302),IF(OR(CM$3=$D302,CM$3=$AC302,CM$3=$AE302),"",IF(CM$3=$AD302,$F302&amp;"R",CM301))))</f>
        <v>bN</v>
      </c>
      <c r="CN302" s="11" t="str">
        <f aca="false">IF($P302=0,CN301,IF(CN$3=$E302,IF($AA302=1,$F302&amp;$AB302,$G302),IF(OR(CN$3=$D302,CN$3=$AC302,CN$3=$AE302),"",IF(CN$3=$AD302,$F302&amp;"R",CN301))))</f>
        <v>bB</v>
      </c>
      <c r="CO302" s="11" t="str">
        <f aca="false">IF($P302=0,CO301,IF(CO$3=$E302,IF($AA302=1,$F302&amp;$AB302,$G302),IF(OR(CO$3=$D302,CO$3=$AC302,CO$3=$AE302),"",IF(CO$3=$AD302,$F302&amp;"R",CO301))))</f>
        <v>bQ</v>
      </c>
      <c r="CP302" s="11" t="str">
        <f aca="false">IF($P302=0,CP301,IF(CP$3=$E302,IF($AA302=1,$F302&amp;$AB302,$G302),IF(OR(CP$3=$D302,CP$3=$AC302,CP$3=$AE302),"",IF(CP$3=$AD302,$F302&amp;"R",CP301))))</f>
        <v>bK</v>
      </c>
      <c r="CQ302" s="11" t="str">
        <f aca="false">IF($P302=0,CQ301,IF(CQ$3=$E302,IF($AA302=1,$F302&amp;$AB302,$G302),IF(OR(CQ$3=$D302,CQ$3=$AC302,CQ$3=$AE302),"",IF(CQ$3=$AD302,$F302&amp;"R",CQ301))))</f>
        <v>bB</v>
      </c>
      <c r="CR302" s="11" t="str">
        <f aca="false">IF($P302=0,CR301,IF(CR$3=$E302,IF($AA302=1,$F302&amp;$AB302,$G302),IF(OR(CR$3=$D302,CR$3=$AC302,CR$3=$AE302),"",IF(CR$3=$AD302,$F302&amp;"R",CR301))))</f>
        <v>bN</v>
      </c>
      <c r="CS302" s="11" t="str">
        <f aca="false">IF($P302=0,CS301,IF(CS$3=$E302,IF($AA302=1,$F302&amp;$AB302,$G302),IF(OR(CS$3=$D302,CS$3=$AC302,CS$3=$AE302),"",IF(CS$3=$AD302,$F302&amp;"R",CS301))))</f>
        <v>bR</v>
      </c>
      <c r="CT302" s="11"/>
      <c r="CU302" s="11"/>
      <c r="CV302" s="11"/>
    </row>
    <row r="303" customFormat="false" ht="15" hidden="false" customHeight="false" outlineLevel="0" collapsed="false">
      <c r="A303" s="11" t="n">
        <v>298</v>
      </c>
      <c r="B303" s="11" t="str">
        <f aca="false">IF(Chess!$L$307="","",Chess!$L$307&amp;"")</f>
        <v/>
      </c>
      <c r="C303" s="11" t="str">
        <f aca="false">LOWER(SUBSTITUTE(SUBSTITUTE(SUBSTITUTE(SUBSTITUTE(TRIM($B303),"-",""),"=","")," ",""),"x",""))</f>
        <v/>
      </c>
      <c r="D303" s="11" t="n">
        <f aca="false">IF(LEN($C303)&lt;4,0,IFERROR(IF(AND(CODE(MID($C303,1,1))&gt;=97,CODE(MID($C303,1,1))&lt;=104,VALUE(MID($C303,2,1))&gt;=1,VALUE(MID($C303,2,1))&lt;=8),(VALUE(MID($C303,2,1))-1)*8+CODE(MID($C303,1,1))-96,0),0))</f>
        <v>0</v>
      </c>
      <c r="E303" s="11" t="n">
        <f aca="false">IF(LEN($C303)&lt;4,0,IFERROR(IF(AND(CODE(MID($C303,3,1))&gt;=97,CODE(MID($C303,3,1))&lt;=104,VALUE(MID($C303,4,1))&gt;=1,VALUE(MID($C303,4,1))&lt;=8),(VALUE(MID($C303,4,1))-1)*8+CODE(MID($C303,3,1))-96,0),0))</f>
        <v>0</v>
      </c>
      <c r="F303" s="11" t="str">
        <f aca="false">IF(MOD(SUM($P$5:$P302),2)=0,"w","b")</f>
        <v>w</v>
      </c>
      <c r="G303" s="11" t="str">
        <f aca="false">IF($D303=0,"",INDEX($AH302:$CS302,1,$D303)&amp;"")</f>
        <v/>
      </c>
      <c r="H303" s="11" t="str">
        <f aca="false">IF($E303=0,"",INDEX($AH302:$CS302,1,$E303)&amp;"")</f>
        <v/>
      </c>
      <c r="I303" s="11" t="n">
        <f aca="false">IF(OR($D303=0,$E303=0),0,MOD($E303-1,8)-MOD($D303-1,8))</f>
        <v>0</v>
      </c>
      <c r="J303" s="11" t="n">
        <f aca="false">IF(OR($D303=0,$E303=0),0,INT(($E303-1)/8)-INT(($D303-1)/8))</f>
        <v>0</v>
      </c>
      <c r="K303" s="11" t="str">
        <f aca="false">IF($G303="","",RIGHT($G303,1))</f>
        <v/>
      </c>
      <c r="L303" s="11" t="n">
        <f aca="false">IF(OR($D303=0,$E303=0),0,SUMPRODUCT(($AH$3:$CS$3&gt;MIN($D303,$E303))*($AH$3:$CS$3&lt;MAX($D303,$E303))*(MOD($AH$3:$CS$3-MIN($D303,$E303),MAX(1,ABS(SIGN($J303)*8+SIGN($I303))))=0)*($AH302:$CS302&lt;&gt;"")))</f>
        <v>0</v>
      </c>
      <c r="M303" s="11" t="n">
        <f aca="false">IF($K303&lt;&gt;"K",0,IFERROR(--AND($J303=0,ABS($I303)=2,$D303=IF($F303="w",5,61),IF($F303="w",$S302,$V302)=0,IF($I303=2,AND(IF($F303="w",$U302,$X302)=0,INDEX($AH302:$CS302,1,$D303+1)&amp;""="",INDEX($AH302:$CS302,1,$D303+2)&amp;""=""),AND(IF($F303="w",$T302,$W302)=0,INDEX($AH302:$CS302,1,$D303-1)&amp;""="",INDEX($AH302:$CS302,1,$D303-2)&amp;""="",INDEX($AH302:$CS302,1,$D303-3)&amp;""=""))),0))</f>
        <v>0</v>
      </c>
      <c r="N303" s="11" t="n">
        <f aca="false">IF($K303&lt;&gt;"P",0,IFERROR(--OR(AND($I303=0,$J303=IF($F303="w",1,-1),$H303=""),AND($I303=0,$J303=2*IF($F303="w",1,-1),$H303="",INT(($D303-1)/8)=IF($F303="w",1,6),INDEX($AH302:$CS302,1,MAX(1,MIN(64,$D303+8*IF($F303="w",1,-1))))&amp;""=""),AND(ABS($I303)=1,$J303=IF($F303="w",1,-1),$H303&lt;&gt;""),AND(ABS($I303)=1,$J303=IF($F303="w",1,-1),$H303="",$R302&gt;0,$E303=$R302)),0))</f>
        <v>0</v>
      </c>
      <c r="O303" s="11" t="n">
        <f aca="false">IF(OR($D303=0,$E303=0,$G303=""),0,IF($K303="N",--OR(AND(ABS($I303)=1,ABS($J303)=2),AND(ABS($I303)=2,ABS($J303)=1)),IF($K303="B",--AND(ABS($I303)=ABS($J303),$I303&lt;&gt;0,$L303=0),IF($K303="R",--AND(OR($I303=0,$J303=0),OR($I303&lt;&gt;0,$J303&lt;&gt;0),$L303=0),IF($K303="Q",--AND(OR(AND(ABS($I303)=ABS($J303),$I303&lt;&gt;0),AND(OR($I303=0,$J303=0),OR($I303&lt;&gt;0,$J303&lt;&gt;0))),$L303=0),IF($K303="K",--OR(MAX(ABS($I303),ABS($J303))=1,$M303=1),$N303))))))</f>
        <v>0</v>
      </c>
      <c r="P303" s="11" t="n">
        <f aca="false">IF($Q303="OK",1,0)</f>
        <v>0</v>
      </c>
      <c r="Q303" s="11" t="str">
        <f aca="false">IF($B303="","",IF(OR(COUNTIF($AH302:$CS302,"wK")=0,COUNTIF($AH302:$CS302,"bK")=0),"Game is over",IF(OR($D303=0,$E303=0),"Use the format e2e4",IF($G303="","No piece on that square",IF(LEFT($G303,1)&lt;&gt;$F303,"Not your piece ("&amp;IF($F303="w","White","Black")&amp;" to move)",IF($D303=$E303,"Piece must move",IF(AND($H303&lt;&gt;"",LEFT($H303,1)=$F303),"Cannot capture your own piece",IF($O303=0,"Illegal move for that piece (or path blocked)","OK"))))))))</f>
        <v/>
      </c>
      <c r="R303" s="11" t="n">
        <f aca="false">IF($P303=1,IF(AND($K303="P",ABS($J303)=2),($D303+$E303)/2,0),$R302)</f>
        <v>0</v>
      </c>
      <c r="S303" s="12" t="b">
        <f aca="false">--OR($S302=1,AND($P303=1,OR($D303=5,$E303=5)))</f>
        <v>0</v>
      </c>
      <c r="T303" s="12" t="b">
        <f aca="false">--OR($T302=1,AND($P303=1,OR($D303=1,$E303=1)))</f>
        <v>0</v>
      </c>
      <c r="U303" s="12" t="b">
        <f aca="false">--OR($U302=1,AND($P303=1,OR($D303=8,$E303=8)))</f>
        <v>0</v>
      </c>
      <c r="V303" s="12" t="b">
        <f aca="false">--OR($V302=1,AND($P303=1,OR($D303=61,$E303=61)))</f>
        <v>0</v>
      </c>
      <c r="W303" s="12" t="b">
        <f aca="false">--OR($W302=1,AND($P303=1,OR($D303=57,$E303=57)))</f>
        <v>0</v>
      </c>
      <c r="X303" s="12" t="b">
        <f aca="false">--OR($X302=1,AND($P303=1,OR($D303=64,$E303=64)))</f>
        <v>0</v>
      </c>
      <c r="Y303" s="12" t="b">
        <f aca="false">--AND($P303=1,$K303="K",ABS($I303)=2)</f>
        <v>0</v>
      </c>
      <c r="Z303" s="12" t="b">
        <f aca="false">--AND($P303=1,$K303="P",ABS($I303)=1,$H303="")</f>
        <v>0</v>
      </c>
      <c r="AA303" s="12" t="b">
        <f aca="false">--AND($P303=1,$K303="P",INT(($E303-1)/8)=IF($F303="w",7,0))</f>
        <v>0</v>
      </c>
      <c r="AB303" s="11" t="str">
        <f aca="false">IF(LEN($C303)&gt;=5,IF(ISNUMBER(FIND(MID($C303,5,1),"qrbn")),UPPER(MID($C303,5,1)),"Q"),"Q")</f>
        <v>Q</v>
      </c>
      <c r="AC303" s="11" t="n">
        <f aca="false">IF($Y303=1,IF($I303=2,$D303+3,$D303-4),0)</f>
        <v>0</v>
      </c>
      <c r="AD303" s="11" t="n">
        <f aca="false">IF($Y303=1,IF($I303=2,$D303+1,$D303-1),0)</f>
        <v>0</v>
      </c>
      <c r="AE303" s="11" t="n">
        <f aca="false">IF($Z303=1,$E303-8*IF($F303="w",1,-1),0)</f>
        <v>0</v>
      </c>
      <c r="AF303" s="11" t="str">
        <f aca="false">IF($B303="","",IF($P303=1,LOWER(INDEX($CV$2:$CV$13,MATCH($G303,$CU$2:$CU$13,0)))&amp;" "&amp;MID("abcdefgh",MOD($D303-1,8)+1,1)&amp;(INT(($D303-1)/8)+1)&amp;"→"&amp;MID("abcdefgh",MOD($E303-1,8)+1,1)&amp;(INT(($E303-1)/8)+1)&amp;IF(OR($H303&lt;&gt;"",$Z303=1)," ×","")&amp;IF($Y303=1," castles","")&amp;IF($Z303=1," e.p.","")&amp;IF($AA303=1," =" &amp;LOWER(INDEX($CV$2:$CV$13,MATCH($F303&amp;$AB303,$CU$2:$CU$13,0))),""),"X "&amp;$Q303))</f>
        <v/>
      </c>
      <c r="AG303" s="11"/>
      <c r="AH303" s="11" t="str">
        <f aca="false">IF($P303=0,AH302,IF(AH$3=$E303,IF($AA303=1,$F303&amp;$AB303,$G303),IF(OR(AH$3=$D303,AH$3=$AC303,AH$3=$AE303),"",IF(AH$3=$AD303,$F303&amp;"R",AH302))))</f>
        <v>wR</v>
      </c>
      <c r="AI303" s="11" t="str">
        <f aca="false">IF($P303=0,AI302,IF(AI$3=$E303,IF($AA303=1,$F303&amp;$AB303,$G303),IF(OR(AI$3=$D303,AI$3=$AC303,AI$3=$AE303),"",IF(AI$3=$AD303,$F303&amp;"R",AI302))))</f>
        <v>wN</v>
      </c>
      <c r="AJ303" s="11" t="str">
        <f aca="false">IF($P303=0,AJ302,IF(AJ$3=$E303,IF($AA303=1,$F303&amp;$AB303,$G303),IF(OR(AJ$3=$D303,AJ$3=$AC303,AJ$3=$AE303),"",IF(AJ$3=$AD303,$F303&amp;"R",AJ302))))</f>
        <v>wB</v>
      </c>
      <c r="AK303" s="11" t="str">
        <f aca="false">IF($P303=0,AK302,IF(AK$3=$E303,IF($AA303=1,$F303&amp;$AB303,$G303),IF(OR(AK$3=$D303,AK$3=$AC303,AK$3=$AE303),"",IF(AK$3=$AD303,$F303&amp;"R",AK302))))</f>
        <v>wQ</v>
      </c>
      <c r="AL303" s="11" t="str">
        <f aca="false">IF($P303=0,AL302,IF(AL$3=$E303,IF($AA303=1,$F303&amp;$AB303,$G303),IF(OR(AL$3=$D303,AL$3=$AC303,AL$3=$AE303),"",IF(AL$3=$AD303,$F303&amp;"R",AL302))))</f>
        <v>wK</v>
      </c>
      <c r="AM303" s="11" t="str">
        <f aca="false">IF($P303=0,AM302,IF(AM$3=$E303,IF($AA303=1,$F303&amp;$AB303,$G303),IF(OR(AM$3=$D303,AM$3=$AC303,AM$3=$AE303),"",IF(AM$3=$AD303,$F303&amp;"R",AM302))))</f>
        <v>wB</v>
      </c>
      <c r="AN303" s="11" t="str">
        <f aca="false">IF($P303=0,AN302,IF(AN$3=$E303,IF($AA303=1,$F303&amp;$AB303,$G303),IF(OR(AN$3=$D303,AN$3=$AC303,AN$3=$AE303),"",IF(AN$3=$AD303,$F303&amp;"R",AN302))))</f>
        <v>wN</v>
      </c>
      <c r="AO303" s="11" t="str">
        <f aca="false">IF($P303=0,AO302,IF(AO$3=$E303,IF($AA303=1,$F303&amp;$AB303,$G303),IF(OR(AO$3=$D303,AO$3=$AC303,AO$3=$AE303),"",IF(AO$3=$AD303,$F303&amp;"R",AO302))))</f>
        <v>wR</v>
      </c>
      <c r="AP303" s="11" t="str">
        <f aca="false">IF($P303=0,AP302,IF(AP$3=$E303,IF($AA303=1,$F303&amp;$AB303,$G303),IF(OR(AP$3=$D303,AP$3=$AC303,AP$3=$AE303),"",IF(AP$3=$AD303,$F303&amp;"R",AP302))))</f>
        <v>wP</v>
      </c>
      <c r="AQ303" s="11" t="str">
        <f aca="false">IF($P303=0,AQ302,IF(AQ$3=$E303,IF($AA303=1,$F303&amp;$AB303,$G303),IF(OR(AQ$3=$D303,AQ$3=$AC303,AQ$3=$AE303),"",IF(AQ$3=$AD303,$F303&amp;"R",AQ302))))</f>
        <v>wP</v>
      </c>
      <c r="AR303" s="11" t="str">
        <f aca="false">IF($P303=0,AR302,IF(AR$3=$E303,IF($AA303=1,$F303&amp;$AB303,$G303),IF(OR(AR$3=$D303,AR$3=$AC303,AR$3=$AE303),"",IF(AR$3=$AD303,$F303&amp;"R",AR302))))</f>
        <v>wP</v>
      </c>
      <c r="AS303" s="11" t="str">
        <f aca="false">IF($P303=0,AS302,IF(AS$3=$E303,IF($AA303=1,$F303&amp;$AB303,$G303),IF(OR(AS$3=$D303,AS$3=$AC303,AS$3=$AE303),"",IF(AS$3=$AD303,$F303&amp;"R",AS302))))</f>
        <v>wP</v>
      </c>
      <c r="AT303" s="11" t="str">
        <f aca="false">IF($P303=0,AT302,IF(AT$3=$E303,IF($AA303=1,$F303&amp;$AB303,$G303),IF(OR(AT$3=$D303,AT$3=$AC303,AT$3=$AE303),"",IF(AT$3=$AD303,$F303&amp;"R",AT302))))</f>
        <v>wP</v>
      </c>
      <c r="AU303" s="11" t="str">
        <f aca="false">IF($P303=0,AU302,IF(AU$3=$E303,IF($AA303=1,$F303&amp;$AB303,$G303),IF(OR(AU$3=$D303,AU$3=$AC303,AU$3=$AE303),"",IF(AU$3=$AD303,$F303&amp;"R",AU302))))</f>
        <v>wP</v>
      </c>
      <c r="AV303" s="11" t="str">
        <f aca="false">IF($P303=0,AV302,IF(AV$3=$E303,IF($AA303=1,$F303&amp;$AB303,$G303),IF(OR(AV$3=$D303,AV$3=$AC303,AV$3=$AE303),"",IF(AV$3=$AD303,$F303&amp;"R",AV302))))</f>
        <v>wP</v>
      </c>
      <c r="AW303" s="11" t="str">
        <f aca="false">IF($P303=0,AW302,IF(AW$3=$E303,IF($AA303=1,$F303&amp;$AB303,$G303),IF(OR(AW$3=$D303,AW$3=$AC303,AW$3=$AE303),"",IF(AW$3=$AD303,$F303&amp;"R",AW302))))</f>
        <v>wP</v>
      </c>
      <c r="AX303" s="11" t="str">
        <f aca="false">IF($P303=0,AX302,IF(AX$3=$E303,IF($AA303=1,$F303&amp;$AB303,$G303),IF(OR(AX$3=$D303,AX$3=$AC303,AX$3=$AE303),"",IF(AX$3=$AD303,$F303&amp;"R",AX302))))</f>
        <v/>
      </c>
      <c r="AY303" s="11" t="str">
        <f aca="false">IF($P303=0,AY302,IF(AY$3=$E303,IF($AA303=1,$F303&amp;$AB303,$G303),IF(OR(AY$3=$D303,AY$3=$AC303,AY$3=$AE303),"",IF(AY$3=$AD303,$F303&amp;"R",AY302))))</f>
        <v/>
      </c>
      <c r="AZ303" s="11" t="str">
        <f aca="false">IF($P303=0,AZ302,IF(AZ$3=$E303,IF($AA303=1,$F303&amp;$AB303,$G303),IF(OR(AZ$3=$D303,AZ$3=$AC303,AZ$3=$AE303),"",IF(AZ$3=$AD303,$F303&amp;"R",AZ302))))</f>
        <v/>
      </c>
      <c r="BA303" s="11" t="str">
        <f aca="false">IF($P303=0,BA302,IF(BA$3=$E303,IF($AA303=1,$F303&amp;$AB303,$G303),IF(OR(BA$3=$D303,BA$3=$AC303,BA$3=$AE303),"",IF(BA$3=$AD303,$F303&amp;"R",BA302))))</f>
        <v/>
      </c>
      <c r="BB303" s="11" t="str">
        <f aca="false">IF($P303=0,BB302,IF(BB$3=$E303,IF($AA303=1,$F303&amp;$AB303,$G303),IF(OR(BB$3=$D303,BB$3=$AC303,BB$3=$AE303),"",IF(BB$3=$AD303,$F303&amp;"R",BB302))))</f>
        <v/>
      </c>
      <c r="BC303" s="11" t="str">
        <f aca="false">IF($P303=0,BC302,IF(BC$3=$E303,IF($AA303=1,$F303&amp;$AB303,$G303),IF(OR(BC$3=$D303,BC$3=$AC303,BC$3=$AE303),"",IF(BC$3=$AD303,$F303&amp;"R",BC302))))</f>
        <v/>
      </c>
      <c r="BD303" s="11" t="str">
        <f aca="false">IF($P303=0,BD302,IF(BD$3=$E303,IF($AA303=1,$F303&amp;$AB303,$G303),IF(OR(BD$3=$D303,BD$3=$AC303,BD$3=$AE303),"",IF(BD$3=$AD303,$F303&amp;"R",BD302))))</f>
        <v/>
      </c>
      <c r="BE303" s="11" t="str">
        <f aca="false">IF($P303=0,BE302,IF(BE$3=$E303,IF($AA303=1,$F303&amp;$AB303,$G303),IF(OR(BE$3=$D303,BE$3=$AC303,BE$3=$AE303),"",IF(BE$3=$AD303,$F303&amp;"R",BE302))))</f>
        <v/>
      </c>
      <c r="BF303" s="11" t="str">
        <f aca="false">IF($P303=0,BF302,IF(BF$3=$E303,IF($AA303=1,$F303&amp;$AB303,$G303),IF(OR(BF$3=$D303,BF$3=$AC303,BF$3=$AE303),"",IF(BF$3=$AD303,$F303&amp;"R",BF302))))</f>
        <v/>
      </c>
      <c r="BG303" s="11" t="str">
        <f aca="false">IF($P303=0,BG302,IF(BG$3=$E303,IF($AA303=1,$F303&amp;$AB303,$G303),IF(OR(BG$3=$D303,BG$3=$AC303,BG$3=$AE303),"",IF(BG$3=$AD303,$F303&amp;"R",BG302))))</f>
        <v/>
      </c>
      <c r="BH303" s="11" t="str">
        <f aca="false">IF($P303=0,BH302,IF(BH$3=$E303,IF($AA303=1,$F303&amp;$AB303,$G303),IF(OR(BH$3=$D303,BH$3=$AC303,BH$3=$AE303),"",IF(BH$3=$AD303,$F303&amp;"R",BH302))))</f>
        <v/>
      </c>
      <c r="BI303" s="11" t="str">
        <f aca="false">IF($P303=0,BI302,IF(BI$3=$E303,IF($AA303=1,$F303&amp;$AB303,$G303),IF(OR(BI$3=$D303,BI$3=$AC303,BI$3=$AE303),"",IF(BI$3=$AD303,$F303&amp;"R",BI302))))</f>
        <v/>
      </c>
      <c r="BJ303" s="11" t="str">
        <f aca="false">IF($P303=0,BJ302,IF(BJ$3=$E303,IF($AA303=1,$F303&amp;$AB303,$G303),IF(OR(BJ$3=$D303,BJ$3=$AC303,BJ$3=$AE303),"",IF(BJ$3=$AD303,$F303&amp;"R",BJ302))))</f>
        <v/>
      </c>
      <c r="BK303" s="11" t="str">
        <f aca="false">IF($P303=0,BK302,IF(BK$3=$E303,IF($AA303=1,$F303&amp;$AB303,$G303),IF(OR(BK$3=$D303,BK$3=$AC303,BK$3=$AE303),"",IF(BK$3=$AD303,$F303&amp;"R",BK302))))</f>
        <v/>
      </c>
      <c r="BL303" s="11" t="str">
        <f aca="false">IF($P303=0,BL302,IF(BL$3=$E303,IF($AA303=1,$F303&amp;$AB303,$G303),IF(OR(BL$3=$D303,BL$3=$AC303,BL$3=$AE303),"",IF(BL$3=$AD303,$F303&amp;"R",BL302))))</f>
        <v/>
      </c>
      <c r="BM303" s="11" t="str">
        <f aca="false">IF($P303=0,BM302,IF(BM$3=$E303,IF($AA303=1,$F303&amp;$AB303,$G303),IF(OR(BM$3=$D303,BM$3=$AC303,BM$3=$AE303),"",IF(BM$3=$AD303,$F303&amp;"R",BM302))))</f>
        <v/>
      </c>
      <c r="BN303" s="11" t="str">
        <f aca="false">IF($P303=0,BN302,IF(BN$3=$E303,IF($AA303=1,$F303&amp;$AB303,$G303),IF(OR(BN$3=$D303,BN$3=$AC303,BN$3=$AE303),"",IF(BN$3=$AD303,$F303&amp;"R",BN302))))</f>
        <v/>
      </c>
      <c r="BO303" s="11" t="str">
        <f aca="false">IF($P303=0,BO302,IF(BO$3=$E303,IF($AA303=1,$F303&amp;$AB303,$G303),IF(OR(BO$3=$D303,BO$3=$AC303,BO$3=$AE303),"",IF(BO$3=$AD303,$F303&amp;"R",BO302))))</f>
        <v/>
      </c>
      <c r="BP303" s="11" t="str">
        <f aca="false">IF($P303=0,BP302,IF(BP$3=$E303,IF($AA303=1,$F303&amp;$AB303,$G303),IF(OR(BP$3=$D303,BP$3=$AC303,BP$3=$AE303),"",IF(BP$3=$AD303,$F303&amp;"R",BP302))))</f>
        <v/>
      </c>
      <c r="BQ303" s="11" t="str">
        <f aca="false">IF($P303=0,BQ302,IF(BQ$3=$E303,IF($AA303=1,$F303&amp;$AB303,$G303),IF(OR(BQ$3=$D303,BQ$3=$AC303,BQ$3=$AE303),"",IF(BQ$3=$AD303,$F303&amp;"R",BQ302))))</f>
        <v/>
      </c>
      <c r="BR303" s="11" t="str">
        <f aca="false">IF($P303=0,BR302,IF(BR$3=$E303,IF($AA303=1,$F303&amp;$AB303,$G303),IF(OR(BR$3=$D303,BR$3=$AC303,BR$3=$AE303),"",IF(BR$3=$AD303,$F303&amp;"R",BR302))))</f>
        <v/>
      </c>
      <c r="BS303" s="11" t="str">
        <f aca="false">IF($P303=0,BS302,IF(BS$3=$E303,IF($AA303=1,$F303&amp;$AB303,$G303),IF(OR(BS$3=$D303,BS$3=$AC303,BS$3=$AE303),"",IF(BS$3=$AD303,$F303&amp;"R",BS302))))</f>
        <v/>
      </c>
      <c r="BT303" s="11" t="str">
        <f aca="false">IF($P303=0,BT302,IF(BT$3=$E303,IF($AA303=1,$F303&amp;$AB303,$G303),IF(OR(BT$3=$D303,BT$3=$AC303,BT$3=$AE303),"",IF(BT$3=$AD303,$F303&amp;"R",BT302))))</f>
        <v/>
      </c>
      <c r="BU303" s="11" t="str">
        <f aca="false">IF($P303=0,BU302,IF(BU$3=$E303,IF($AA303=1,$F303&amp;$AB303,$G303),IF(OR(BU$3=$D303,BU$3=$AC303,BU$3=$AE303),"",IF(BU$3=$AD303,$F303&amp;"R",BU302))))</f>
        <v/>
      </c>
      <c r="BV303" s="11" t="str">
        <f aca="false">IF($P303=0,BV302,IF(BV$3=$E303,IF($AA303=1,$F303&amp;$AB303,$G303),IF(OR(BV$3=$D303,BV$3=$AC303,BV$3=$AE303),"",IF(BV$3=$AD303,$F303&amp;"R",BV302))))</f>
        <v/>
      </c>
      <c r="BW303" s="11" t="str">
        <f aca="false">IF($P303=0,BW302,IF(BW$3=$E303,IF($AA303=1,$F303&amp;$AB303,$G303),IF(OR(BW$3=$D303,BW$3=$AC303,BW$3=$AE303),"",IF(BW$3=$AD303,$F303&amp;"R",BW302))))</f>
        <v/>
      </c>
      <c r="BX303" s="11" t="str">
        <f aca="false">IF($P303=0,BX302,IF(BX$3=$E303,IF($AA303=1,$F303&amp;$AB303,$G303),IF(OR(BX$3=$D303,BX$3=$AC303,BX$3=$AE303),"",IF(BX$3=$AD303,$F303&amp;"R",BX302))))</f>
        <v/>
      </c>
      <c r="BY303" s="11" t="str">
        <f aca="false">IF($P303=0,BY302,IF(BY$3=$E303,IF($AA303=1,$F303&amp;$AB303,$G303),IF(OR(BY$3=$D303,BY$3=$AC303,BY$3=$AE303),"",IF(BY$3=$AD303,$F303&amp;"R",BY302))))</f>
        <v/>
      </c>
      <c r="BZ303" s="11" t="str">
        <f aca="false">IF($P303=0,BZ302,IF(BZ$3=$E303,IF($AA303=1,$F303&amp;$AB303,$G303),IF(OR(BZ$3=$D303,BZ$3=$AC303,BZ$3=$AE303),"",IF(BZ$3=$AD303,$F303&amp;"R",BZ302))))</f>
        <v/>
      </c>
      <c r="CA303" s="11" t="str">
        <f aca="false">IF($P303=0,CA302,IF(CA$3=$E303,IF($AA303=1,$F303&amp;$AB303,$G303),IF(OR(CA$3=$D303,CA$3=$AC303,CA$3=$AE303),"",IF(CA$3=$AD303,$F303&amp;"R",CA302))))</f>
        <v/>
      </c>
      <c r="CB303" s="11" t="str">
        <f aca="false">IF($P303=0,CB302,IF(CB$3=$E303,IF($AA303=1,$F303&amp;$AB303,$G303),IF(OR(CB$3=$D303,CB$3=$AC303,CB$3=$AE303),"",IF(CB$3=$AD303,$F303&amp;"R",CB302))))</f>
        <v/>
      </c>
      <c r="CC303" s="11" t="str">
        <f aca="false">IF($P303=0,CC302,IF(CC$3=$E303,IF($AA303=1,$F303&amp;$AB303,$G303),IF(OR(CC$3=$D303,CC$3=$AC303,CC$3=$AE303),"",IF(CC$3=$AD303,$F303&amp;"R",CC302))))</f>
        <v/>
      </c>
      <c r="CD303" s="11" t="str">
        <f aca="false">IF($P303=0,CD302,IF(CD$3=$E303,IF($AA303=1,$F303&amp;$AB303,$G303),IF(OR(CD$3=$D303,CD$3=$AC303,CD$3=$AE303),"",IF(CD$3=$AD303,$F303&amp;"R",CD302))))</f>
        <v>bP</v>
      </c>
      <c r="CE303" s="11" t="str">
        <f aca="false">IF($P303=0,CE302,IF(CE$3=$E303,IF($AA303=1,$F303&amp;$AB303,$G303),IF(OR(CE$3=$D303,CE$3=$AC303,CE$3=$AE303),"",IF(CE$3=$AD303,$F303&amp;"R",CE302))))</f>
        <v>bP</v>
      </c>
      <c r="CF303" s="11" t="str">
        <f aca="false">IF($P303=0,CF302,IF(CF$3=$E303,IF($AA303=1,$F303&amp;$AB303,$G303),IF(OR(CF$3=$D303,CF$3=$AC303,CF$3=$AE303),"",IF(CF$3=$AD303,$F303&amp;"R",CF302))))</f>
        <v>bP</v>
      </c>
      <c r="CG303" s="11" t="str">
        <f aca="false">IF($P303=0,CG302,IF(CG$3=$E303,IF($AA303=1,$F303&amp;$AB303,$G303),IF(OR(CG$3=$D303,CG$3=$AC303,CG$3=$AE303),"",IF(CG$3=$AD303,$F303&amp;"R",CG302))))</f>
        <v>bP</v>
      </c>
      <c r="CH303" s="11" t="str">
        <f aca="false">IF($P303=0,CH302,IF(CH$3=$E303,IF($AA303=1,$F303&amp;$AB303,$G303),IF(OR(CH$3=$D303,CH$3=$AC303,CH$3=$AE303),"",IF(CH$3=$AD303,$F303&amp;"R",CH302))))</f>
        <v>bP</v>
      </c>
      <c r="CI303" s="11" t="str">
        <f aca="false">IF($P303=0,CI302,IF(CI$3=$E303,IF($AA303=1,$F303&amp;$AB303,$G303),IF(OR(CI$3=$D303,CI$3=$AC303,CI$3=$AE303),"",IF(CI$3=$AD303,$F303&amp;"R",CI302))))</f>
        <v>bP</v>
      </c>
      <c r="CJ303" s="11" t="str">
        <f aca="false">IF($P303=0,CJ302,IF(CJ$3=$E303,IF($AA303=1,$F303&amp;$AB303,$G303),IF(OR(CJ$3=$D303,CJ$3=$AC303,CJ$3=$AE303),"",IF(CJ$3=$AD303,$F303&amp;"R",CJ302))))</f>
        <v>bP</v>
      </c>
      <c r="CK303" s="11" t="str">
        <f aca="false">IF($P303=0,CK302,IF(CK$3=$E303,IF($AA303=1,$F303&amp;$AB303,$G303),IF(OR(CK$3=$D303,CK$3=$AC303,CK$3=$AE303),"",IF(CK$3=$AD303,$F303&amp;"R",CK302))))</f>
        <v>bP</v>
      </c>
      <c r="CL303" s="11" t="str">
        <f aca="false">IF($P303=0,CL302,IF(CL$3=$E303,IF($AA303=1,$F303&amp;$AB303,$G303),IF(OR(CL$3=$D303,CL$3=$AC303,CL$3=$AE303),"",IF(CL$3=$AD303,$F303&amp;"R",CL302))))</f>
        <v>bR</v>
      </c>
      <c r="CM303" s="11" t="str">
        <f aca="false">IF($P303=0,CM302,IF(CM$3=$E303,IF($AA303=1,$F303&amp;$AB303,$G303),IF(OR(CM$3=$D303,CM$3=$AC303,CM$3=$AE303),"",IF(CM$3=$AD303,$F303&amp;"R",CM302))))</f>
        <v>bN</v>
      </c>
      <c r="CN303" s="11" t="str">
        <f aca="false">IF($P303=0,CN302,IF(CN$3=$E303,IF($AA303=1,$F303&amp;$AB303,$G303),IF(OR(CN$3=$D303,CN$3=$AC303,CN$3=$AE303),"",IF(CN$3=$AD303,$F303&amp;"R",CN302))))</f>
        <v>bB</v>
      </c>
      <c r="CO303" s="11" t="str">
        <f aca="false">IF($P303=0,CO302,IF(CO$3=$E303,IF($AA303=1,$F303&amp;$AB303,$G303),IF(OR(CO$3=$D303,CO$3=$AC303,CO$3=$AE303),"",IF(CO$3=$AD303,$F303&amp;"R",CO302))))</f>
        <v>bQ</v>
      </c>
      <c r="CP303" s="11" t="str">
        <f aca="false">IF($P303=0,CP302,IF(CP$3=$E303,IF($AA303=1,$F303&amp;$AB303,$G303),IF(OR(CP$3=$D303,CP$3=$AC303,CP$3=$AE303),"",IF(CP$3=$AD303,$F303&amp;"R",CP302))))</f>
        <v>bK</v>
      </c>
      <c r="CQ303" s="11" t="str">
        <f aca="false">IF($P303=0,CQ302,IF(CQ$3=$E303,IF($AA303=1,$F303&amp;$AB303,$G303),IF(OR(CQ$3=$D303,CQ$3=$AC303,CQ$3=$AE303),"",IF(CQ$3=$AD303,$F303&amp;"R",CQ302))))</f>
        <v>bB</v>
      </c>
      <c r="CR303" s="11" t="str">
        <f aca="false">IF($P303=0,CR302,IF(CR$3=$E303,IF($AA303=1,$F303&amp;$AB303,$G303),IF(OR(CR$3=$D303,CR$3=$AC303,CR$3=$AE303),"",IF(CR$3=$AD303,$F303&amp;"R",CR302))))</f>
        <v>bN</v>
      </c>
      <c r="CS303" s="11" t="str">
        <f aca="false">IF($P303=0,CS302,IF(CS$3=$E303,IF($AA303=1,$F303&amp;$AB303,$G303),IF(OR(CS$3=$D303,CS$3=$AC303,CS$3=$AE303),"",IF(CS$3=$AD303,$F303&amp;"R",CS302))))</f>
        <v>bR</v>
      </c>
      <c r="CT303" s="11"/>
      <c r="CU303" s="11"/>
      <c r="CV303" s="11"/>
    </row>
    <row r="304" customFormat="false" ht="15" hidden="false" customHeight="false" outlineLevel="0" collapsed="false">
      <c r="A304" s="11" t="n">
        <v>299</v>
      </c>
      <c r="B304" s="11" t="str">
        <f aca="false">IF(Chess!$L$308="","",Chess!$L$308&amp;"")</f>
        <v/>
      </c>
      <c r="C304" s="11" t="str">
        <f aca="false">LOWER(SUBSTITUTE(SUBSTITUTE(SUBSTITUTE(SUBSTITUTE(TRIM($B304),"-",""),"=","")," ",""),"x",""))</f>
        <v/>
      </c>
      <c r="D304" s="11" t="n">
        <f aca="false">IF(LEN($C304)&lt;4,0,IFERROR(IF(AND(CODE(MID($C304,1,1))&gt;=97,CODE(MID($C304,1,1))&lt;=104,VALUE(MID($C304,2,1))&gt;=1,VALUE(MID($C304,2,1))&lt;=8),(VALUE(MID($C304,2,1))-1)*8+CODE(MID($C304,1,1))-96,0),0))</f>
        <v>0</v>
      </c>
      <c r="E304" s="11" t="n">
        <f aca="false">IF(LEN($C304)&lt;4,0,IFERROR(IF(AND(CODE(MID($C304,3,1))&gt;=97,CODE(MID($C304,3,1))&lt;=104,VALUE(MID($C304,4,1))&gt;=1,VALUE(MID($C304,4,1))&lt;=8),(VALUE(MID($C304,4,1))-1)*8+CODE(MID($C304,3,1))-96,0),0))</f>
        <v>0</v>
      </c>
      <c r="F304" s="11" t="str">
        <f aca="false">IF(MOD(SUM($P$5:$P303),2)=0,"w","b")</f>
        <v>w</v>
      </c>
      <c r="G304" s="11" t="str">
        <f aca="false">IF($D304=0,"",INDEX($AH303:$CS303,1,$D304)&amp;"")</f>
        <v/>
      </c>
      <c r="H304" s="11" t="str">
        <f aca="false">IF($E304=0,"",INDEX($AH303:$CS303,1,$E304)&amp;"")</f>
        <v/>
      </c>
      <c r="I304" s="11" t="n">
        <f aca="false">IF(OR($D304=0,$E304=0),0,MOD($E304-1,8)-MOD($D304-1,8))</f>
        <v>0</v>
      </c>
      <c r="J304" s="11" t="n">
        <f aca="false">IF(OR($D304=0,$E304=0),0,INT(($E304-1)/8)-INT(($D304-1)/8))</f>
        <v>0</v>
      </c>
      <c r="K304" s="11" t="str">
        <f aca="false">IF($G304="","",RIGHT($G304,1))</f>
        <v/>
      </c>
      <c r="L304" s="11" t="n">
        <f aca="false">IF(OR($D304=0,$E304=0),0,SUMPRODUCT(($AH$3:$CS$3&gt;MIN($D304,$E304))*($AH$3:$CS$3&lt;MAX($D304,$E304))*(MOD($AH$3:$CS$3-MIN($D304,$E304),MAX(1,ABS(SIGN($J304)*8+SIGN($I304))))=0)*($AH303:$CS303&lt;&gt;"")))</f>
        <v>0</v>
      </c>
      <c r="M304" s="11" t="n">
        <f aca="false">IF($K304&lt;&gt;"K",0,IFERROR(--AND($J304=0,ABS($I304)=2,$D304=IF($F304="w",5,61),IF($F304="w",$S303,$V303)=0,IF($I304=2,AND(IF($F304="w",$U303,$X303)=0,INDEX($AH303:$CS303,1,$D304+1)&amp;""="",INDEX($AH303:$CS303,1,$D304+2)&amp;""=""),AND(IF($F304="w",$T303,$W303)=0,INDEX($AH303:$CS303,1,$D304-1)&amp;""="",INDEX($AH303:$CS303,1,$D304-2)&amp;""="",INDEX($AH303:$CS303,1,$D304-3)&amp;""=""))),0))</f>
        <v>0</v>
      </c>
      <c r="N304" s="11" t="n">
        <f aca="false">IF($K304&lt;&gt;"P",0,IFERROR(--OR(AND($I304=0,$J304=IF($F304="w",1,-1),$H304=""),AND($I304=0,$J304=2*IF($F304="w",1,-1),$H304="",INT(($D304-1)/8)=IF($F304="w",1,6),INDEX($AH303:$CS303,1,MAX(1,MIN(64,$D304+8*IF($F304="w",1,-1))))&amp;""=""),AND(ABS($I304)=1,$J304=IF($F304="w",1,-1),$H304&lt;&gt;""),AND(ABS($I304)=1,$J304=IF($F304="w",1,-1),$H304="",$R303&gt;0,$E304=$R303)),0))</f>
        <v>0</v>
      </c>
      <c r="O304" s="11" t="n">
        <f aca="false">IF(OR($D304=0,$E304=0,$G304=""),0,IF($K304="N",--OR(AND(ABS($I304)=1,ABS($J304)=2),AND(ABS($I304)=2,ABS($J304)=1)),IF($K304="B",--AND(ABS($I304)=ABS($J304),$I304&lt;&gt;0,$L304=0),IF($K304="R",--AND(OR($I304=0,$J304=0),OR($I304&lt;&gt;0,$J304&lt;&gt;0),$L304=0),IF($K304="Q",--AND(OR(AND(ABS($I304)=ABS($J304),$I304&lt;&gt;0),AND(OR($I304=0,$J304=0),OR($I304&lt;&gt;0,$J304&lt;&gt;0))),$L304=0),IF($K304="K",--OR(MAX(ABS($I304),ABS($J304))=1,$M304=1),$N304))))))</f>
        <v>0</v>
      </c>
      <c r="P304" s="11" t="n">
        <f aca="false">IF($Q304="OK",1,0)</f>
        <v>0</v>
      </c>
      <c r="Q304" s="11" t="str">
        <f aca="false">IF($B304="","",IF(OR(COUNTIF($AH303:$CS303,"wK")=0,COUNTIF($AH303:$CS303,"bK")=0),"Game is over",IF(OR($D304=0,$E304=0),"Use the format e2e4",IF($G304="","No piece on that square",IF(LEFT($G304,1)&lt;&gt;$F304,"Not your piece ("&amp;IF($F304="w","White","Black")&amp;" to move)",IF($D304=$E304,"Piece must move",IF(AND($H304&lt;&gt;"",LEFT($H304,1)=$F304),"Cannot capture your own piece",IF($O304=0,"Illegal move for that piece (or path blocked)","OK"))))))))</f>
        <v/>
      </c>
      <c r="R304" s="11" t="n">
        <f aca="false">IF($P304=1,IF(AND($K304="P",ABS($J304)=2),($D304+$E304)/2,0),$R303)</f>
        <v>0</v>
      </c>
      <c r="S304" s="12" t="b">
        <f aca="false">--OR($S303=1,AND($P304=1,OR($D304=5,$E304=5)))</f>
        <v>0</v>
      </c>
      <c r="T304" s="12" t="b">
        <f aca="false">--OR($T303=1,AND($P304=1,OR($D304=1,$E304=1)))</f>
        <v>0</v>
      </c>
      <c r="U304" s="12" t="b">
        <f aca="false">--OR($U303=1,AND($P304=1,OR($D304=8,$E304=8)))</f>
        <v>0</v>
      </c>
      <c r="V304" s="12" t="b">
        <f aca="false">--OR($V303=1,AND($P304=1,OR($D304=61,$E304=61)))</f>
        <v>0</v>
      </c>
      <c r="W304" s="12" t="b">
        <f aca="false">--OR($W303=1,AND($P304=1,OR($D304=57,$E304=57)))</f>
        <v>0</v>
      </c>
      <c r="X304" s="12" t="b">
        <f aca="false">--OR($X303=1,AND($P304=1,OR($D304=64,$E304=64)))</f>
        <v>0</v>
      </c>
      <c r="Y304" s="12" t="b">
        <f aca="false">--AND($P304=1,$K304="K",ABS($I304)=2)</f>
        <v>0</v>
      </c>
      <c r="Z304" s="12" t="b">
        <f aca="false">--AND($P304=1,$K304="P",ABS($I304)=1,$H304="")</f>
        <v>0</v>
      </c>
      <c r="AA304" s="12" t="b">
        <f aca="false">--AND($P304=1,$K304="P",INT(($E304-1)/8)=IF($F304="w",7,0))</f>
        <v>0</v>
      </c>
      <c r="AB304" s="11" t="str">
        <f aca="false">IF(LEN($C304)&gt;=5,IF(ISNUMBER(FIND(MID($C304,5,1),"qrbn")),UPPER(MID($C304,5,1)),"Q"),"Q")</f>
        <v>Q</v>
      </c>
      <c r="AC304" s="11" t="n">
        <f aca="false">IF($Y304=1,IF($I304=2,$D304+3,$D304-4),0)</f>
        <v>0</v>
      </c>
      <c r="AD304" s="11" t="n">
        <f aca="false">IF($Y304=1,IF($I304=2,$D304+1,$D304-1),0)</f>
        <v>0</v>
      </c>
      <c r="AE304" s="11" t="n">
        <f aca="false">IF($Z304=1,$E304-8*IF($F304="w",1,-1),0)</f>
        <v>0</v>
      </c>
      <c r="AF304" s="11" t="str">
        <f aca="false">IF($B304="","",IF($P304=1,LOWER(INDEX($CV$2:$CV$13,MATCH($G304,$CU$2:$CU$13,0)))&amp;" "&amp;MID("abcdefgh",MOD($D304-1,8)+1,1)&amp;(INT(($D304-1)/8)+1)&amp;"→"&amp;MID("abcdefgh",MOD($E304-1,8)+1,1)&amp;(INT(($E304-1)/8)+1)&amp;IF(OR($H304&lt;&gt;"",$Z304=1)," ×","")&amp;IF($Y304=1," castles","")&amp;IF($Z304=1," e.p.","")&amp;IF($AA304=1," =" &amp;LOWER(INDEX($CV$2:$CV$13,MATCH($F304&amp;$AB304,$CU$2:$CU$13,0))),""),"X "&amp;$Q304))</f>
        <v/>
      </c>
      <c r="AG304" s="11"/>
      <c r="AH304" s="11" t="str">
        <f aca="false">IF($P304=0,AH303,IF(AH$3=$E304,IF($AA304=1,$F304&amp;$AB304,$G304),IF(OR(AH$3=$D304,AH$3=$AC304,AH$3=$AE304),"",IF(AH$3=$AD304,$F304&amp;"R",AH303))))</f>
        <v>wR</v>
      </c>
      <c r="AI304" s="11" t="str">
        <f aca="false">IF($P304=0,AI303,IF(AI$3=$E304,IF($AA304=1,$F304&amp;$AB304,$G304),IF(OR(AI$3=$D304,AI$3=$AC304,AI$3=$AE304),"",IF(AI$3=$AD304,$F304&amp;"R",AI303))))</f>
        <v>wN</v>
      </c>
      <c r="AJ304" s="11" t="str">
        <f aca="false">IF($P304=0,AJ303,IF(AJ$3=$E304,IF($AA304=1,$F304&amp;$AB304,$G304),IF(OR(AJ$3=$D304,AJ$3=$AC304,AJ$3=$AE304),"",IF(AJ$3=$AD304,$F304&amp;"R",AJ303))))</f>
        <v>wB</v>
      </c>
      <c r="AK304" s="11" t="str">
        <f aca="false">IF($P304=0,AK303,IF(AK$3=$E304,IF($AA304=1,$F304&amp;$AB304,$G304),IF(OR(AK$3=$D304,AK$3=$AC304,AK$3=$AE304),"",IF(AK$3=$AD304,$F304&amp;"R",AK303))))</f>
        <v>wQ</v>
      </c>
      <c r="AL304" s="11" t="str">
        <f aca="false">IF($P304=0,AL303,IF(AL$3=$E304,IF($AA304=1,$F304&amp;$AB304,$G304),IF(OR(AL$3=$D304,AL$3=$AC304,AL$3=$AE304),"",IF(AL$3=$AD304,$F304&amp;"R",AL303))))</f>
        <v>wK</v>
      </c>
      <c r="AM304" s="11" t="str">
        <f aca="false">IF($P304=0,AM303,IF(AM$3=$E304,IF($AA304=1,$F304&amp;$AB304,$G304),IF(OR(AM$3=$D304,AM$3=$AC304,AM$3=$AE304),"",IF(AM$3=$AD304,$F304&amp;"R",AM303))))</f>
        <v>wB</v>
      </c>
      <c r="AN304" s="11" t="str">
        <f aca="false">IF($P304=0,AN303,IF(AN$3=$E304,IF($AA304=1,$F304&amp;$AB304,$G304),IF(OR(AN$3=$D304,AN$3=$AC304,AN$3=$AE304),"",IF(AN$3=$AD304,$F304&amp;"R",AN303))))</f>
        <v>wN</v>
      </c>
      <c r="AO304" s="11" t="str">
        <f aca="false">IF($P304=0,AO303,IF(AO$3=$E304,IF($AA304=1,$F304&amp;$AB304,$G304),IF(OR(AO$3=$D304,AO$3=$AC304,AO$3=$AE304),"",IF(AO$3=$AD304,$F304&amp;"R",AO303))))</f>
        <v>wR</v>
      </c>
      <c r="AP304" s="11" t="str">
        <f aca="false">IF($P304=0,AP303,IF(AP$3=$E304,IF($AA304=1,$F304&amp;$AB304,$G304),IF(OR(AP$3=$D304,AP$3=$AC304,AP$3=$AE304),"",IF(AP$3=$AD304,$F304&amp;"R",AP303))))</f>
        <v>wP</v>
      </c>
      <c r="AQ304" s="11" t="str">
        <f aca="false">IF($P304=0,AQ303,IF(AQ$3=$E304,IF($AA304=1,$F304&amp;$AB304,$G304),IF(OR(AQ$3=$D304,AQ$3=$AC304,AQ$3=$AE304),"",IF(AQ$3=$AD304,$F304&amp;"R",AQ303))))</f>
        <v>wP</v>
      </c>
      <c r="AR304" s="11" t="str">
        <f aca="false">IF($P304=0,AR303,IF(AR$3=$E304,IF($AA304=1,$F304&amp;$AB304,$G304),IF(OR(AR$3=$D304,AR$3=$AC304,AR$3=$AE304),"",IF(AR$3=$AD304,$F304&amp;"R",AR303))))</f>
        <v>wP</v>
      </c>
      <c r="AS304" s="11" t="str">
        <f aca="false">IF($P304=0,AS303,IF(AS$3=$E304,IF($AA304=1,$F304&amp;$AB304,$G304),IF(OR(AS$3=$D304,AS$3=$AC304,AS$3=$AE304),"",IF(AS$3=$AD304,$F304&amp;"R",AS303))))</f>
        <v>wP</v>
      </c>
      <c r="AT304" s="11" t="str">
        <f aca="false">IF($P304=0,AT303,IF(AT$3=$E304,IF($AA304=1,$F304&amp;$AB304,$G304),IF(OR(AT$3=$D304,AT$3=$AC304,AT$3=$AE304),"",IF(AT$3=$AD304,$F304&amp;"R",AT303))))</f>
        <v>wP</v>
      </c>
      <c r="AU304" s="11" t="str">
        <f aca="false">IF($P304=0,AU303,IF(AU$3=$E304,IF($AA304=1,$F304&amp;$AB304,$G304),IF(OR(AU$3=$D304,AU$3=$AC304,AU$3=$AE304),"",IF(AU$3=$AD304,$F304&amp;"R",AU303))))</f>
        <v>wP</v>
      </c>
      <c r="AV304" s="11" t="str">
        <f aca="false">IF($P304=0,AV303,IF(AV$3=$E304,IF($AA304=1,$F304&amp;$AB304,$G304),IF(OR(AV$3=$D304,AV$3=$AC304,AV$3=$AE304),"",IF(AV$3=$AD304,$F304&amp;"R",AV303))))</f>
        <v>wP</v>
      </c>
      <c r="AW304" s="11" t="str">
        <f aca="false">IF($P304=0,AW303,IF(AW$3=$E304,IF($AA304=1,$F304&amp;$AB304,$G304),IF(OR(AW$3=$D304,AW$3=$AC304,AW$3=$AE304),"",IF(AW$3=$AD304,$F304&amp;"R",AW303))))</f>
        <v>wP</v>
      </c>
      <c r="AX304" s="11" t="str">
        <f aca="false">IF($P304=0,AX303,IF(AX$3=$E304,IF($AA304=1,$F304&amp;$AB304,$G304),IF(OR(AX$3=$D304,AX$3=$AC304,AX$3=$AE304),"",IF(AX$3=$AD304,$F304&amp;"R",AX303))))</f>
        <v/>
      </c>
      <c r="AY304" s="11" t="str">
        <f aca="false">IF($P304=0,AY303,IF(AY$3=$E304,IF($AA304=1,$F304&amp;$AB304,$G304),IF(OR(AY$3=$D304,AY$3=$AC304,AY$3=$AE304),"",IF(AY$3=$AD304,$F304&amp;"R",AY303))))</f>
        <v/>
      </c>
      <c r="AZ304" s="11" t="str">
        <f aca="false">IF($P304=0,AZ303,IF(AZ$3=$E304,IF($AA304=1,$F304&amp;$AB304,$G304),IF(OR(AZ$3=$D304,AZ$3=$AC304,AZ$3=$AE304),"",IF(AZ$3=$AD304,$F304&amp;"R",AZ303))))</f>
        <v/>
      </c>
      <c r="BA304" s="11" t="str">
        <f aca="false">IF($P304=0,BA303,IF(BA$3=$E304,IF($AA304=1,$F304&amp;$AB304,$G304),IF(OR(BA$3=$D304,BA$3=$AC304,BA$3=$AE304),"",IF(BA$3=$AD304,$F304&amp;"R",BA303))))</f>
        <v/>
      </c>
      <c r="BB304" s="11" t="str">
        <f aca="false">IF($P304=0,BB303,IF(BB$3=$E304,IF($AA304=1,$F304&amp;$AB304,$G304),IF(OR(BB$3=$D304,BB$3=$AC304,BB$3=$AE304),"",IF(BB$3=$AD304,$F304&amp;"R",BB303))))</f>
        <v/>
      </c>
      <c r="BC304" s="11" t="str">
        <f aca="false">IF($P304=0,BC303,IF(BC$3=$E304,IF($AA304=1,$F304&amp;$AB304,$G304),IF(OR(BC$3=$D304,BC$3=$AC304,BC$3=$AE304),"",IF(BC$3=$AD304,$F304&amp;"R",BC303))))</f>
        <v/>
      </c>
      <c r="BD304" s="11" t="str">
        <f aca="false">IF($P304=0,BD303,IF(BD$3=$E304,IF($AA304=1,$F304&amp;$AB304,$G304),IF(OR(BD$3=$D304,BD$3=$AC304,BD$3=$AE304),"",IF(BD$3=$AD304,$F304&amp;"R",BD303))))</f>
        <v/>
      </c>
      <c r="BE304" s="11" t="str">
        <f aca="false">IF($P304=0,BE303,IF(BE$3=$E304,IF($AA304=1,$F304&amp;$AB304,$G304),IF(OR(BE$3=$D304,BE$3=$AC304,BE$3=$AE304),"",IF(BE$3=$AD304,$F304&amp;"R",BE303))))</f>
        <v/>
      </c>
      <c r="BF304" s="11" t="str">
        <f aca="false">IF($P304=0,BF303,IF(BF$3=$E304,IF($AA304=1,$F304&amp;$AB304,$G304),IF(OR(BF$3=$D304,BF$3=$AC304,BF$3=$AE304),"",IF(BF$3=$AD304,$F304&amp;"R",BF303))))</f>
        <v/>
      </c>
      <c r="BG304" s="11" t="str">
        <f aca="false">IF($P304=0,BG303,IF(BG$3=$E304,IF($AA304=1,$F304&amp;$AB304,$G304),IF(OR(BG$3=$D304,BG$3=$AC304,BG$3=$AE304),"",IF(BG$3=$AD304,$F304&amp;"R",BG303))))</f>
        <v/>
      </c>
      <c r="BH304" s="11" t="str">
        <f aca="false">IF($P304=0,BH303,IF(BH$3=$E304,IF($AA304=1,$F304&amp;$AB304,$G304),IF(OR(BH$3=$D304,BH$3=$AC304,BH$3=$AE304),"",IF(BH$3=$AD304,$F304&amp;"R",BH303))))</f>
        <v/>
      </c>
      <c r="BI304" s="11" t="str">
        <f aca="false">IF($P304=0,BI303,IF(BI$3=$E304,IF($AA304=1,$F304&amp;$AB304,$G304),IF(OR(BI$3=$D304,BI$3=$AC304,BI$3=$AE304),"",IF(BI$3=$AD304,$F304&amp;"R",BI303))))</f>
        <v/>
      </c>
      <c r="BJ304" s="11" t="str">
        <f aca="false">IF($P304=0,BJ303,IF(BJ$3=$E304,IF($AA304=1,$F304&amp;$AB304,$G304),IF(OR(BJ$3=$D304,BJ$3=$AC304,BJ$3=$AE304),"",IF(BJ$3=$AD304,$F304&amp;"R",BJ303))))</f>
        <v/>
      </c>
      <c r="BK304" s="11" t="str">
        <f aca="false">IF($P304=0,BK303,IF(BK$3=$E304,IF($AA304=1,$F304&amp;$AB304,$G304),IF(OR(BK$3=$D304,BK$3=$AC304,BK$3=$AE304),"",IF(BK$3=$AD304,$F304&amp;"R",BK303))))</f>
        <v/>
      </c>
      <c r="BL304" s="11" t="str">
        <f aca="false">IF($P304=0,BL303,IF(BL$3=$E304,IF($AA304=1,$F304&amp;$AB304,$G304),IF(OR(BL$3=$D304,BL$3=$AC304,BL$3=$AE304),"",IF(BL$3=$AD304,$F304&amp;"R",BL303))))</f>
        <v/>
      </c>
      <c r="BM304" s="11" t="str">
        <f aca="false">IF($P304=0,BM303,IF(BM$3=$E304,IF($AA304=1,$F304&amp;$AB304,$G304),IF(OR(BM$3=$D304,BM$3=$AC304,BM$3=$AE304),"",IF(BM$3=$AD304,$F304&amp;"R",BM303))))</f>
        <v/>
      </c>
      <c r="BN304" s="11" t="str">
        <f aca="false">IF($P304=0,BN303,IF(BN$3=$E304,IF($AA304=1,$F304&amp;$AB304,$G304),IF(OR(BN$3=$D304,BN$3=$AC304,BN$3=$AE304),"",IF(BN$3=$AD304,$F304&amp;"R",BN303))))</f>
        <v/>
      </c>
      <c r="BO304" s="11" t="str">
        <f aca="false">IF($P304=0,BO303,IF(BO$3=$E304,IF($AA304=1,$F304&amp;$AB304,$G304),IF(OR(BO$3=$D304,BO$3=$AC304,BO$3=$AE304),"",IF(BO$3=$AD304,$F304&amp;"R",BO303))))</f>
        <v/>
      </c>
      <c r="BP304" s="11" t="str">
        <f aca="false">IF($P304=0,BP303,IF(BP$3=$E304,IF($AA304=1,$F304&amp;$AB304,$G304),IF(OR(BP$3=$D304,BP$3=$AC304,BP$3=$AE304),"",IF(BP$3=$AD304,$F304&amp;"R",BP303))))</f>
        <v/>
      </c>
      <c r="BQ304" s="11" t="str">
        <f aca="false">IF($P304=0,BQ303,IF(BQ$3=$E304,IF($AA304=1,$F304&amp;$AB304,$G304),IF(OR(BQ$3=$D304,BQ$3=$AC304,BQ$3=$AE304),"",IF(BQ$3=$AD304,$F304&amp;"R",BQ303))))</f>
        <v/>
      </c>
      <c r="BR304" s="11" t="str">
        <f aca="false">IF($P304=0,BR303,IF(BR$3=$E304,IF($AA304=1,$F304&amp;$AB304,$G304),IF(OR(BR$3=$D304,BR$3=$AC304,BR$3=$AE304),"",IF(BR$3=$AD304,$F304&amp;"R",BR303))))</f>
        <v/>
      </c>
      <c r="BS304" s="11" t="str">
        <f aca="false">IF($P304=0,BS303,IF(BS$3=$E304,IF($AA304=1,$F304&amp;$AB304,$G304),IF(OR(BS$3=$D304,BS$3=$AC304,BS$3=$AE304),"",IF(BS$3=$AD304,$F304&amp;"R",BS303))))</f>
        <v/>
      </c>
      <c r="BT304" s="11" t="str">
        <f aca="false">IF($P304=0,BT303,IF(BT$3=$E304,IF($AA304=1,$F304&amp;$AB304,$G304),IF(OR(BT$3=$D304,BT$3=$AC304,BT$3=$AE304),"",IF(BT$3=$AD304,$F304&amp;"R",BT303))))</f>
        <v/>
      </c>
      <c r="BU304" s="11" t="str">
        <f aca="false">IF($P304=0,BU303,IF(BU$3=$E304,IF($AA304=1,$F304&amp;$AB304,$G304),IF(OR(BU$3=$D304,BU$3=$AC304,BU$3=$AE304),"",IF(BU$3=$AD304,$F304&amp;"R",BU303))))</f>
        <v/>
      </c>
      <c r="BV304" s="11" t="str">
        <f aca="false">IF($P304=0,BV303,IF(BV$3=$E304,IF($AA304=1,$F304&amp;$AB304,$G304),IF(OR(BV$3=$D304,BV$3=$AC304,BV$3=$AE304),"",IF(BV$3=$AD304,$F304&amp;"R",BV303))))</f>
        <v/>
      </c>
      <c r="BW304" s="11" t="str">
        <f aca="false">IF($P304=0,BW303,IF(BW$3=$E304,IF($AA304=1,$F304&amp;$AB304,$G304),IF(OR(BW$3=$D304,BW$3=$AC304,BW$3=$AE304),"",IF(BW$3=$AD304,$F304&amp;"R",BW303))))</f>
        <v/>
      </c>
      <c r="BX304" s="11" t="str">
        <f aca="false">IF($P304=0,BX303,IF(BX$3=$E304,IF($AA304=1,$F304&amp;$AB304,$G304),IF(OR(BX$3=$D304,BX$3=$AC304,BX$3=$AE304),"",IF(BX$3=$AD304,$F304&amp;"R",BX303))))</f>
        <v/>
      </c>
      <c r="BY304" s="11" t="str">
        <f aca="false">IF($P304=0,BY303,IF(BY$3=$E304,IF($AA304=1,$F304&amp;$AB304,$G304),IF(OR(BY$3=$D304,BY$3=$AC304,BY$3=$AE304),"",IF(BY$3=$AD304,$F304&amp;"R",BY303))))</f>
        <v/>
      </c>
      <c r="BZ304" s="11" t="str">
        <f aca="false">IF($P304=0,BZ303,IF(BZ$3=$E304,IF($AA304=1,$F304&amp;$AB304,$G304),IF(OR(BZ$3=$D304,BZ$3=$AC304,BZ$3=$AE304),"",IF(BZ$3=$AD304,$F304&amp;"R",BZ303))))</f>
        <v/>
      </c>
      <c r="CA304" s="11" t="str">
        <f aca="false">IF($P304=0,CA303,IF(CA$3=$E304,IF($AA304=1,$F304&amp;$AB304,$G304),IF(OR(CA$3=$D304,CA$3=$AC304,CA$3=$AE304),"",IF(CA$3=$AD304,$F304&amp;"R",CA303))))</f>
        <v/>
      </c>
      <c r="CB304" s="11" t="str">
        <f aca="false">IF($P304=0,CB303,IF(CB$3=$E304,IF($AA304=1,$F304&amp;$AB304,$G304),IF(OR(CB$3=$D304,CB$3=$AC304,CB$3=$AE304),"",IF(CB$3=$AD304,$F304&amp;"R",CB303))))</f>
        <v/>
      </c>
      <c r="CC304" s="11" t="str">
        <f aca="false">IF($P304=0,CC303,IF(CC$3=$E304,IF($AA304=1,$F304&amp;$AB304,$G304),IF(OR(CC$3=$D304,CC$3=$AC304,CC$3=$AE304),"",IF(CC$3=$AD304,$F304&amp;"R",CC303))))</f>
        <v/>
      </c>
      <c r="CD304" s="11" t="str">
        <f aca="false">IF($P304=0,CD303,IF(CD$3=$E304,IF($AA304=1,$F304&amp;$AB304,$G304),IF(OR(CD$3=$D304,CD$3=$AC304,CD$3=$AE304),"",IF(CD$3=$AD304,$F304&amp;"R",CD303))))</f>
        <v>bP</v>
      </c>
      <c r="CE304" s="11" t="str">
        <f aca="false">IF($P304=0,CE303,IF(CE$3=$E304,IF($AA304=1,$F304&amp;$AB304,$G304),IF(OR(CE$3=$D304,CE$3=$AC304,CE$3=$AE304),"",IF(CE$3=$AD304,$F304&amp;"R",CE303))))</f>
        <v>bP</v>
      </c>
      <c r="CF304" s="11" t="str">
        <f aca="false">IF($P304=0,CF303,IF(CF$3=$E304,IF($AA304=1,$F304&amp;$AB304,$G304),IF(OR(CF$3=$D304,CF$3=$AC304,CF$3=$AE304),"",IF(CF$3=$AD304,$F304&amp;"R",CF303))))</f>
        <v>bP</v>
      </c>
      <c r="CG304" s="11" t="str">
        <f aca="false">IF($P304=0,CG303,IF(CG$3=$E304,IF($AA304=1,$F304&amp;$AB304,$G304),IF(OR(CG$3=$D304,CG$3=$AC304,CG$3=$AE304),"",IF(CG$3=$AD304,$F304&amp;"R",CG303))))</f>
        <v>bP</v>
      </c>
      <c r="CH304" s="11" t="str">
        <f aca="false">IF($P304=0,CH303,IF(CH$3=$E304,IF($AA304=1,$F304&amp;$AB304,$G304),IF(OR(CH$3=$D304,CH$3=$AC304,CH$3=$AE304),"",IF(CH$3=$AD304,$F304&amp;"R",CH303))))</f>
        <v>bP</v>
      </c>
      <c r="CI304" s="11" t="str">
        <f aca="false">IF($P304=0,CI303,IF(CI$3=$E304,IF($AA304=1,$F304&amp;$AB304,$G304),IF(OR(CI$3=$D304,CI$3=$AC304,CI$3=$AE304),"",IF(CI$3=$AD304,$F304&amp;"R",CI303))))</f>
        <v>bP</v>
      </c>
      <c r="CJ304" s="11" t="str">
        <f aca="false">IF($P304=0,CJ303,IF(CJ$3=$E304,IF($AA304=1,$F304&amp;$AB304,$G304),IF(OR(CJ$3=$D304,CJ$3=$AC304,CJ$3=$AE304),"",IF(CJ$3=$AD304,$F304&amp;"R",CJ303))))</f>
        <v>bP</v>
      </c>
      <c r="CK304" s="11" t="str">
        <f aca="false">IF($P304=0,CK303,IF(CK$3=$E304,IF($AA304=1,$F304&amp;$AB304,$G304),IF(OR(CK$3=$D304,CK$3=$AC304,CK$3=$AE304),"",IF(CK$3=$AD304,$F304&amp;"R",CK303))))</f>
        <v>bP</v>
      </c>
      <c r="CL304" s="11" t="str">
        <f aca="false">IF($P304=0,CL303,IF(CL$3=$E304,IF($AA304=1,$F304&amp;$AB304,$G304),IF(OR(CL$3=$D304,CL$3=$AC304,CL$3=$AE304),"",IF(CL$3=$AD304,$F304&amp;"R",CL303))))</f>
        <v>bR</v>
      </c>
      <c r="CM304" s="11" t="str">
        <f aca="false">IF($P304=0,CM303,IF(CM$3=$E304,IF($AA304=1,$F304&amp;$AB304,$G304),IF(OR(CM$3=$D304,CM$3=$AC304,CM$3=$AE304),"",IF(CM$3=$AD304,$F304&amp;"R",CM303))))</f>
        <v>bN</v>
      </c>
      <c r="CN304" s="11" t="str">
        <f aca="false">IF($P304=0,CN303,IF(CN$3=$E304,IF($AA304=1,$F304&amp;$AB304,$G304),IF(OR(CN$3=$D304,CN$3=$AC304,CN$3=$AE304),"",IF(CN$3=$AD304,$F304&amp;"R",CN303))))</f>
        <v>bB</v>
      </c>
      <c r="CO304" s="11" t="str">
        <f aca="false">IF($P304=0,CO303,IF(CO$3=$E304,IF($AA304=1,$F304&amp;$AB304,$G304),IF(OR(CO$3=$D304,CO$3=$AC304,CO$3=$AE304),"",IF(CO$3=$AD304,$F304&amp;"R",CO303))))</f>
        <v>bQ</v>
      </c>
      <c r="CP304" s="11" t="str">
        <f aca="false">IF($P304=0,CP303,IF(CP$3=$E304,IF($AA304=1,$F304&amp;$AB304,$G304),IF(OR(CP$3=$D304,CP$3=$AC304,CP$3=$AE304),"",IF(CP$3=$AD304,$F304&amp;"R",CP303))))</f>
        <v>bK</v>
      </c>
      <c r="CQ304" s="11" t="str">
        <f aca="false">IF($P304=0,CQ303,IF(CQ$3=$E304,IF($AA304=1,$F304&amp;$AB304,$G304),IF(OR(CQ$3=$D304,CQ$3=$AC304,CQ$3=$AE304),"",IF(CQ$3=$AD304,$F304&amp;"R",CQ303))))</f>
        <v>bB</v>
      </c>
      <c r="CR304" s="11" t="str">
        <f aca="false">IF($P304=0,CR303,IF(CR$3=$E304,IF($AA304=1,$F304&amp;$AB304,$G304),IF(OR(CR$3=$D304,CR$3=$AC304,CR$3=$AE304),"",IF(CR$3=$AD304,$F304&amp;"R",CR303))))</f>
        <v>bN</v>
      </c>
      <c r="CS304" s="11" t="str">
        <f aca="false">IF($P304=0,CS303,IF(CS$3=$E304,IF($AA304=1,$F304&amp;$AB304,$G304),IF(OR(CS$3=$D304,CS$3=$AC304,CS$3=$AE304),"",IF(CS$3=$AD304,$F304&amp;"R",CS303))))</f>
        <v>bR</v>
      </c>
      <c r="CT304" s="11"/>
      <c r="CU304" s="11"/>
      <c r="CV304" s="11"/>
    </row>
    <row r="305" customFormat="false" ht="15" hidden="false" customHeight="false" outlineLevel="0" collapsed="false">
      <c r="A305" s="11" t="n">
        <v>300</v>
      </c>
      <c r="B305" s="11" t="str">
        <f aca="false">IF(Chess!$L$309="","",Chess!$L$309&amp;"")</f>
        <v/>
      </c>
      <c r="C305" s="11" t="str">
        <f aca="false">LOWER(SUBSTITUTE(SUBSTITUTE(SUBSTITUTE(SUBSTITUTE(TRIM($B305),"-",""),"=","")," ",""),"x",""))</f>
        <v/>
      </c>
      <c r="D305" s="11" t="n">
        <f aca="false">IF(LEN($C305)&lt;4,0,IFERROR(IF(AND(CODE(MID($C305,1,1))&gt;=97,CODE(MID($C305,1,1))&lt;=104,VALUE(MID($C305,2,1))&gt;=1,VALUE(MID($C305,2,1))&lt;=8),(VALUE(MID($C305,2,1))-1)*8+CODE(MID($C305,1,1))-96,0),0))</f>
        <v>0</v>
      </c>
      <c r="E305" s="11" t="n">
        <f aca="false">IF(LEN($C305)&lt;4,0,IFERROR(IF(AND(CODE(MID($C305,3,1))&gt;=97,CODE(MID($C305,3,1))&lt;=104,VALUE(MID($C305,4,1))&gt;=1,VALUE(MID($C305,4,1))&lt;=8),(VALUE(MID($C305,4,1))-1)*8+CODE(MID($C305,3,1))-96,0),0))</f>
        <v>0</v>
      </c>
      <c r="F305" s="11" t="str">
        <f aca="false">IF(MOD(SUM($P$5:$P304),2)=0,"w","b")</f>
        <v>w</v>
      </c>
      <c r="G305" s="11" t="str">
        <f aca="false">IF($D305=0,"",INDEX($AH304:$CS304,1,$D305)&amp;"")</f>
        <v/>
      </c>
      <c r="H305" s="11" t="str">
        <f aca="false">IF($E305=0,"",INDEX($AH304:$CS304,1,$E305)&amp;"")</f>
        <v/>
      </c>
      <c r="I305" s="11" t="n">
        <f aca="false">IF(OR($D305=0,$E305=0),0,MOD($E305-1,8)-MOD($D305-1,8))</f>
        <v>0</v>
      </c>
      <c r="J305" s="11" t="n">
        <f aca="false">IF(OR($D305=0,$E305=0),0,INT(($E305-1)/8)-INT(($D305-1)/8))</f>
        <v>0</v>
      </c>
      <c r="K305" s="11" t="str">
        <f aca="false">IF($G305="","",RIGHT($G305,1))</f>
        <v/>
      </c>
      <c r="L305" s="11" t="n">
        <f aca="false">IF(OR($D305=0,$E305=0),0,SUMPRODUCT(($AH$3:$CS$3&gt;MIN($D305,$E305))*($AH$3:$CS$3&lt;MAX($D305,$E305))*(MOD($AH$3:$CS$3-MIN($D305,$E305),MAX(1,ABS(SIGN($J305)*8+SIGN($I305))))=0)*($AH304:$CS304&lt;&gt;"")))</f>
        <v>0</v>
      </c>
      <c r="M305" s="11" t="n">
        <f aca="false">IF($K305&lt;&gt;"K",0,IFERROR(--AND($J305=0,ABS($I305)=2,$D305=IF($F305="w",5,61),IF($F305="w",$S304,$V304)=0,IF($I305=2,AND(IF($F305="w",$U304,$X304)=0,INDEX($AH304:$CS304,1,$D305+1)&amp;""="",INDEX($AH304:$CS304,1,$D305+2)&amp;""=""),AND(IF($F305="w",$T304,$W304)=0,INDEX($AH304:$CS304,1,$D305-1)&amp;""="",INDEX($AH304:$CS304,1,$D305-2)&amp;""="",INDEX($AH304:$CS304,1,$D305-3)&amp;""=""))),0))</f>
        <v>0</v>
      </c>
      <c r="N305" s="11" t="n">
        <f aca="false">IF($K305&lt;&gt;"P",0,IFERROR(--OR(AND($I305=0,$J305=IF($F305="w",1,-1),$H305=""),AND($I305=0,$J305=2*IF($F305="w",1,-1),$H305="",INT(($D305-1)/8)=IF($F305="w",1,6),INDEX($AH304:$CS304,1,MAX(1,MIN(64,$D305+8*IF($F305="w",1,-1))))&amp;""=""),AND(ABS($I305)=1,$J305=IF($F305="w",1,-1),$H305&lt;&gt;""),AND(ABS($I305)=1,$J305=IF($F305="w",1,-1),$H305="",$R304&gt;0,$E305=$R304)),0))</f>
        <v>0</v>
      </c>
      <c r="O305" s="11" t="n">
        <f aca="false">IF(OR($D305=0,$E305=0,$G305=""),0,IF($K305="N",--OR(AND(ABS($I305)=1,ABS($J305)=2),AND(ABS($I305)=2,ABS($J305)=1)),IF($K305="B",--AND(ABS($I305)=ABS($J305),$I305&lt;&gt;0,$L305=0),IF($K305="R",--AND(OR($I305=0,$J305=0),OR($I305&lt;&gt;0,$J305&lt;&gt;0),$L305=0),IF($K305="Q",--AND(OR(AND(ABS($I305)=ABS($J305),$I305&lt;&gt;0),AND(OR($I305=0,$J305=0),OR($I305&lt;&gt;0,$J305&lt;&gt;0))),$L305=0),IF($K305="K",--OR(MAX(ABS($I305),ABS($J305))=1,$M305=1),$N305))))))</f>
        <v>0</v>
      </c>
      <c r="P305" s="11" t="n">
        <f aca="false">IF($Q305="OK",1,0)</f>
        <v>0</v>
      </c>
      <c r="Q305" s="11" t="str">
        <f aca="false">IF($B305="","",IF(OR(COUNTIF($AH304:$CS304,"wK")=0,COUNTIF($AH304:$CS304,"bK")=0),"Game is over",IF(OR($D305=0,$E305=0),"Use the format e2e4",IF($G305="","No piece on that square",IF(LEFT($G305,1)&lt;&gt;$F305,"Not your piece ("&amp;IF($F305="w","White","Black")&amp;" to move)",IF($D305=$E305,"Piece must move",IF(AND($H305&lt;&gt;"",LEFT($H305,1)=$F305),"Cannot capture your own piece",IF($O305=0,"Illegal move for that piece (or path blocked)","OK"))))))))</f>
        <v/>
      </c>
      <c r="R305" s="11" t="n">
        <f aca="false">IF($P305=1,IF(AND($K305="P",ABS($J305)=2),($D305+$E305)/2,0),$R304)</f>
        <v>0</v>
      </c>
      <c r="S305" s="12" t="b">
        <f aca="false">--OR($S304=1,AND($P305=1,OR($D305=5,$E305=5)))</f>
        <v>0</v>
      </c>
      <c r="T305" s="12" t="b">
        <f aca="false">--OR($T304=1,AND($P305=1,OR($D305=1,$E305=1)))</f>
        <v>0</v>
      </c>
      <c r="U305" s="12" t="b">
        <f aca="false">--OR($U304=1,AND($P305=1,OR($D305=8,$E305=8)))</f>
        <v>0</v>
      </c>
      <c r="V305" s="12" t="b">
        <f aca="false">--OR($V304=1,AND($P305=1,OR($D305=61,$E305=61)))</f>
        <v>0</v>
      </c>
      <c r="W305" s="12" t="b">
        <f aca="false">--OR($W304=1,AND($P305=1,OR($D305=57,$E305=57)))</f>
        <v>0</v>
      </c>
      <c r="X305" s="12" t="b">
        <f aca="false">--OR($X304=1,AND($P305=1,OR($D305=64,$E305=64)))</f>
        <v>0</v>
      </c>
      <c r="Y305" s="12" t="b">
        <f aca="false">--AND($P305=1,$K305="K",ABS($I305)=2)</f>
        <v>0</v>
      </c>
      <c r="Z305" s="12" t="b">
        <f aca="false">--AND($P305=1,$K305="P",ABS($I305)=1,$H305="")</f>
        <v>0</v>
      </c>
      <c r="AA305" s="12" t="b">
        <f aca="false">--AND($P305=1,$K305="P",INT(($E305-1)/8)=IF($F305="w",7,0))</f>
        <v>0</v>
      </c>
      <c r="AB305" s="11" t="str">
        <f aca="false">IF(LEN($C305)&gt;=5,IF(ISNUMBER(FIND(MID($C305,5,1),"qrbn")),UPPER(MID($C305,5,1)),"Q"),"Q")</f>
        <v>Q</v>
      </c>
      <c r="AC305" s="11" t="n">
        <f aca="false">IF($Y305=1,IF($I305=2,$D305+3,$D305-4),0)</f>
        <v>0</v>
      </c>
      <c r="AD305" s="11" t="n">
        <f aca="false">IF($Y305=1,IF($I305=2,$D305+1,$D305-1),0)</f>
        <v>0</v>
      </c>
      <c r="AE305" s="11" t="n">
        <f aca="false">IF($Z305=1,$E305-8*IF($F305="w",1,-1),0)</f>
        <v>0</v>
      </c>
      <c r="AF305" s="11" t="str">
        <f aca="false">IF($B305="","",IF($P305=1,LOWER(INDEX($CV$2:$CV$13,MATCH($G305,$CU$2:$CU$13,0)))&amp;" "&amp;MID("abcdefgh",MOD($D305-1,8)+1,1)&amp;(INT(($D305-1)/8)+1)&amp;"→"&amp;MID("abcdefgh",MOD($E305-1,8)+1,1)&amp;(INT(($E305-1)/8)+1)&amp;IF(OR($H305&lt;&gt;"",$Z305=1)," ×","")&amp;IF($Y305=1," castles","")&amp;IF($Z305=1," e.p.","")&amp;IF($AA305=1," =" &amp;LOWER(INDEX($CV$2:$CV$13,MATCH($F305&amp;$AB305,$CU$2:$CU$13,0))),""),"X "&amp;$Q305))</f>
        <v/>
      </c>
      <c r="AG305" s="11"/>
      <c r="AH305" s="11" t="str">
        <f aca="false">IF($P305=0,AH304,IF(AH$3=$E305,IF($AA305=1,$F305&amp;$AB305,$G305),IF(OR(AH$3=$D305,AH$3=$AC305,AH$3=$AE305),"",IF(AH$3=$AD305,$F305&amp;"R",AH304))))</f>
        <v>wR</v>
      </c>
      <c r="AI305" s="11" t="str">
        <f aca="false">IF($P305=0,AI304,IF(AI$3=$E305,IF($AA305=1,$F305&amp;$AB305,$G305),IF(OR(AI$3=$D305,AI$3=$AC305,AI$3=$AE305),"",IF(AI$3=$AD305,$F305&amp;"R",AI304))))</f>
        <v>wN</v>
      </c>
      <c r="AJ305" s="11" t="str">
        <f aca="false">IF($P305=0,AJ304,IF(AJ$3=$E305,IF($AA305=1,$F305&amp;$AB305,$G305),IF(OR(AJ$3=$D305,AJ$3=$AC305,AJ$3=$AE305),"",IF(AJ$3=$AD305,$F305&amp;"R",AJ304))))</f>
        <v>wB</v>
      </c>
      <c r="AK305" s="11" t="str">
        <f aca="false">IF($P305=0,AK304,IF(AK$3=$E305,IF($AA305=1,$F305&amp;$AB305,$G305),IF(OR(AK$3=$D305,AK$3=$AC305,AK$3=$AE305),"",IF(AK$3=$AD305,$F305&amp;"R",AK304))))</f>
        <v>wQ</v>
      </c>
      <c r="AL305" s="11" t="str">
        <f aca="false">IF($P305=0,AL304,IF(AL$3=$E305,IF($AA305=1,$F305&amp;$AB305,$G305),IF(OR(AL$3=$D305,AL$3=$AC305,AL$3=$AE305),"",IF(AL$3=$AD305,$F305&amp;"R",AL304))))</f>
        <v>wK</v>
      </c>
      <c r="AM305" s="11" t="str">
        <f aca="false">IF($P305=0,AM304,IF(AM$3=$E305,IF($AA305=1,$F305&amp;$AB305,$G305),IF(OR(AM$3=$D305,AM$3=$AC305,AM$3=$AE305),"",IF(AM$3=$AD305,$F305&amp;"R",AM304))))</f>
        <v>wB</v>
      </c>
      <c r="AN305" s="11" t="str">
        <f aca="false">IF($P305=0,AN304,IF(AN$3=$E305,IF($AA305=1,$F305&amp;$AB305,$G305),IF(OR(AN$3=$D305,AN$3=$AC305,AN$3=$AE305),"",IF(AN$3=$AD305,$F305&amp;"R",AN304))))</f>
        <v>wN</v>
      </c>
      <c r="AO305" s="11" t="str">
        <f aca="false">IF($P305=0,AO304,IF(AO$3=$E305,IF($AA305=1,$F305&amp;$AB305,$G305),IF(OR(AO$3=$D305,AO$3=$AC305,AO$3=$AE305),"",IF(AO$3=$AD305,$F305&amp;"R",AO304))))</f>
        <v>wR</v>
      </c>
      <c r="AP305" s="11" t="str">
        <f aca="false">IF($P305=0,AP304,IF(AP$3=$E305,IF($AA305=1,$F305&amp;$AB305,$G305),IF(OR(AP$3=$D305,AP$3=$AC305,AP$3=$AE305),"",IF(AP$3=$AD305,$F305&amp;"R",AP304))))</f>
        <v>wP</v>
      </c>
      <c r="AQ305" s="11" t="str">
        <f aca="false">IF($P305=0,AQ304,IF(AQ$3=$E305,IF($AA305=1,$F305&amp;$AB305,$G305),IF(OR(AQ$3=$D305,AQ$3=$AC305,AQ$3=$AE305),"",IF(AQ$3=$AD305,$F305&amp;"R",AQ304))))</f>
        <v>wP</v>
      </c>
      <c r="AR305" s="11" t="str">
        <f aca="false">IF($P305=0,AR304,IF(AR$3=$E305,IF($AA305=1,$F305&amp;$AB305,$G305),IF(OR(AR$3=$D305,AR$3=$AC305,AR$3=$AE305),"",IF(AR$3=$AD305,$F305&amp;"R",AR304))))</f>
        <v>wP</v>
      </c>
      <c r="AS305" s="11" t="str">
        <f aca="false">IF($P305=0,AS304,IF(AS$3=$E305,IF($AA305=1,$F305&amp;$AB305,$G305),IF(OR(AS$3=$D305,AS$3=$AC305,AS$3=$AE305),"",IF(AS$3=$AD305,$F305&amp;"R",AS304))))</f>
        <v>wP</v>
      </c>
      <c r="AT305" s="11" t="str">
        <f aca="false">IF($P305=0,AT304,IF(AT$3=$E305,IF($AA305=1,$F305&amp;$AB305,$G305),IF(OR(AT$3=$D305,AT$3=$AC305,AT$3=$AE305),"",IF(AT$3=$AD305,$F305&amp;"R",AT304))))</f>
        <v>wP</v>
      </c>
      <c r="AU305" s="11" t="str">
        <f aca="false">IF($P305=0,AU304,IF(AU$3=$E305,IF($AA305=1,$F305&amp;$AB305,$G305),IF(OR(AU$3=$D305,AU$3=$AC305,AU$3=$AE305),"",IF(AU$3=$AD305,$F305&amp;"R",AU304))))</f>
        <v>wP</v>
      </c>
      <c r="AV305" s="11" t="str">
        <f aca="false">IF($P305=0,AV304,IF(AV$3=$E305,IF($AA305=1,$F305&amp;$AB305,$G305),IF(OR(AV$3=$D305,AV$3=$AC305,AV$3=$AE305),"",IF(AV$3=$AD305,$F305&amp;"R",AV304))))</f>
        <v>wP</v>
      </c>
      <c r="AW305" s="11" t="str">
        <f aca="false">IF($P305=0,AW304,IF(AW$3=$E305,IF($AA305=1,$F305&amp;$AB305,$G305),IF(OR(AW$3=$D305,AW$3=$AC305,AW$3=$AE305),"",IF(AW$3=$AD305,$F305&amp;"R",AW304))))</f>
        <v>wP</v>
      </c>
      <c r="AX305" s="11" t="str">
        <f aca="false">IF($P305=0,AX304,IF(AX$3=$E305,IF($AA305=1,$F305&amp;$AB305,$G305),IF(OR(AX$3=$D305,AX$3=$AC305,AX$3=$AE305),"",IF(AX$3=$AD305,$F305&amp;"R",AX304))))</f>
        <v/>
      </c>
      <c r="AY305" s="11" t="str">
        <f aca="false">IF($P305=0,AY304,IF(AY$3=$E305,IF($AA305=1,$F305&amp;$AB305,$G305),IF(OR(AY$3=$D305,AY$3=$AC305,AY$3=$AE305),"",IF(AY$3=$AD305,$F305&amp;"R",AY304))))</f>
        <v/>
      </c>
      <c r="AZ305" s="11" t="str">
        <f aca="false">IF($P305=0,AZ304,IF(AZ$3=$E305,IF($AA305=1,$F305&amp;$AB305,$G305),IF(OR(AZ$3=$D305,AZ$3=$AC305,AZ$3=$AE305),"",IF(AZ$3=$AD305,$F305&amp;"R",AZ304))))</f>
        <v/>
      </c>
      <c r="BA305" s="11" t="str">
        <f aca="false">IF($P305=0,BA304,IF(BA$3=$E305,IF($AA305=1,$F305&amp;$AB305,$G305),IF(OR(BA$3=$D305,BA$3=$AC305,BA$3=$AE305),"",IF(BA$3=$AD305,$F305&amp;"R",BA304))))</f>
        <v/>
      </c>
      <c r="BB305" s="11" t="str">
        <f aca="false">IF($P305=0,BB304,IF(BB$3=$E305,IF($AA305=1,$F305&amp;$AB305,$G305),IF(OR(BB$3=$D305,BB$3=$AC305,BB$3=$AE305),"",IF(BB$3=$AD305,$F305&amp;"R",BB304))))</f>
        <v/>
      </c>
      <c r="BC305" s="11" t="str">
        <f aca="false">IF($P305=0,BC304,IF(BC$3=$E305,IF($AA305=1,$F305&amp;$AB305,$G305),IF(OR(BC$3=$D305,BC$3=$AC305,BC$3=$AE305),"",IF(BC$3=$AD305,$F305&amp;"R",BC304))))</f>
        <v/>
      </c>
      <c r="BD305" s="11" t="str">
        <f aca="false">IF($P305=0,BD304,IF(BD$3=$E305,IF($AA305=1,$F305&amp;$AB305,$G305),IF(OR(BD$3=$D305,BD$3=$AC305,BD$3=$AE305),"",IF(BD$3=$AD305,$F305&amp;"R",BD304))))</f>
        <v/>
      </c>
      <c r="BE305" s="11" t="str">
        <f aca="false">IF($P305=0,BE304,IF(BE$3=$E305,IF($AA305=1,$F305&amp;$AB305,$G305),IF(OR(BE$3=$D305,BE$3=$AC305,BE$3=$AE305),"",IF(BE$3=$AD305,$F305&amp;"R",BE304))))</f>
        <v/>
      </c>
      <c r="BF305" s="11" t="str">
        <f aca="false">IF($P305=0,BF304,IF(BF$3=$E305,IF($AA305=1,$F305&amp;$AB305,$G305),IF(OR(BF$3=$D305,BF$3=$AC305,BF$3=$AE305),"",IF(BF$3=$AD305,$F305&amp;"R",BF304))))</f>
        <v/>
      </c>
      <c r="BG305" s="11" t="str">
        <f aca="false">IF($P305=0,BG304,IF(BG$3=$E305,IF($AA305=1,$F305&amp;$AB305,$G305),IF(OR(BG$3=$D305,BG$3=$AC305,BG$3=$AE305),"",IF(BG$3=$AD305,$F305&amp;"R",BG304))))</f>
        <v/>
      </c>
      <c r="BH305" s="11" t="str">
        <f aca="false">IF($P305=0,BH304,IF(BH$3=$E305,IF($AA305=1,$F305&amp;$AB305,$G305),IF(OR(BH$3=$D305,BH$3=$AC305,BH$3=$AE305),"",IF(BH$3=$AD305,$F305&amp;"R",BH304))))</f>
        <v/>
      </c>
      <c r="BI305" s="11" t="str">
        <f aca="false">IF($P305=0,BI304,IF(BI$3=$E305,IF($AA305=1,$F305&amp;$AB305,$G305),IF(OR(BI$3=$D305,BI$3=$AC305,BI$3=$AE305),"",IF(BI$3=$AD305,$F305&amp;"R",BI304))))</f>
        <v/>
      </c>
      <c r="BJ305" s="11" t="str">
        <f aca="false">IF($P305=0,BJ304,IF(BJ$3=$E305,IF($AA305=1,$F305&amp;$AB305,$G305),IF(OR(BJ$3=$D305,BJ$3=$AC305,BJ$3=$AE305),"",IF(BJ$3=$AD305,$F305&amp;"R",BJ304))))</f>
        <v/>
      </c>
      <c r="BK305" s="11" t="str">
        <f aca="false">IF($P305=0,BK304,IF(BK$3=$E305,IF($AA305=1,$F305&amp;$AB305,$G305),IF(OR(BK$3=$D305,BK$3=$AC305,BK$3=$AE305),"",IF(BK$3=$AD305,$F305&amp;"R",BK304))))</f>
        <v/>
      </c>
      <c r="BL305" s="11" t="str">
        <f aca="false">IF($P305=0,BL304,IF(BL$3=$E305,IF($AA305=1,$F305&amp;$AB305,$G305),IF(OR(BL$3=$D305,BL$3=$AC305,BL$3=$AE305),"",IF(BL$3=$AD305,$F305&amp;"R",BL304))))</f>
        <v/>
      </c>
      <c r="BM305" s="11" t="str">
        <f aca="false">IF($P305=0,BM304,IF(BM$3=$E305,IF($AA305=1,$F305&amp;$AB305,$G305),IF(OR(BM$3=$D305,BM$3=$AC305,BM$3=$AE305),"",IF(BM$3=$AD305,$F305&amp;"R",BM304))))</f>
        <v/>
      </c>
      <c r="BN305" s="11" t="str">
        <f aca="false">IF($P305=0,BN304,IF(BN$3=$E305,IF($AA305=1,$F305&amp;$AB305,$G305),IF(OR(BN$3=$D305,BN$3=$AC305,BN$3=$AE305),"",IF(BN$3=$AD305,$F305&amp;"R",BN304))))</f>
        <v/>
      </c>
      <c r="BO305" s="11" t="str">
        <f aca="false">IF($P305=0,BO304,IF(BO$3=$E305,IF($AA305=1,$F305&amp;$AB305,$G305),IF(OR(BO$3=$D305,BO$3=$AC305,BO$3=$AE305),"",IF(BO$3=$AD305,$F305&amp;"R",BO304))))</f>
        <v/>
      </c>
      <c r="BP305" s="11" t="str">
        <f aca="false">IF($P305=0,BP304,IF(BP$3=$E305,IF($AA305=1,$F305&amp;$AB305,$G305),IF(OR(BP$3=$D305,BP$3=$AC305,BP$3=$AE305),"",IF(BP$3=$AD305,$F305&amp;"R",BP304))))</f>
        <v/>
      </c>
      <c r="BQ305" s="11" t="str">
        <f aca="false">IF($P305=0,BQ304,IF(BQ$3=$E305,IF($AA305=1,$F305&amp;$AB305,$G305),IF(OR(BQ$3=$D305,BQ$3=$AC305,BQ$3=$AE305),"",IF(BQ$3=$AD305,$F305&amp;"R",BQ304))))</f>
        <v/>
      </c>
      <c r="BR305" s="11" t="str">
        <f aca="false">IF($P305=0,BR304,IF(BR$3=$E305,IF($AA305=1,$F305&amp;$AB305,$G305),IF(OR(BR$3=$D305,BR$3=$AC305,BR$3=$AE305),"",IF(BR$3=$AD305,$F305&amp;"R",BR304))))</f>
        <v/>
      </c>
      <c r="BS305" s="11" t="str">
        <f aca="false">IF($P305=0,BS304,IF(BS$3=$E305,IF($AA305=1,$F305&amp;$AB305,$G305),IF(OR(BS$3=$D305,BS$3=$AC305,BS$3=$AE305),"",IF(BS$3=$AD305,$F305&amp;"R",BS304))))</f>
        <v/>
      </c>
      <c r="BT305" s="11" t="str">
        <f aca="false">IF($P305=0,BT304,IF(BT$3=$E305,IF($AA305=1,$F305&amp;$AB305,$G305),IF(OR(BT$3=$D305,BT$3=$AC305,BT$3=$AE305),"",IF(BT$3=$AD305,$F305&amp;"R",BT304))))</f>
        <v/>
      </c>
      <c r="BU305" s="11" t="str">
        <f aca="false">IF($P305=0,BU304,IF(BU$3=$E305,IF($AA305=1,$F305&amp;$AB305,$G305),IF(OR(BU$3=$D305,BU$3=$AC305,BU$3=$AE305),"",IF(BU$3=$AD305,$F305&amp;"R",BU304))))</f>
        <v/>
      </c>
      <c r="BV305" s="11" t="str">
        <f aca="false">IF($P305=0,BV304,IF(BV$3=$E305,IF($AA305=1,$F305&amp;$AB305,$G305),IF(OR(BV$3=$D305,BV$3=$AC305,BV$3=$AE305),"",IF(BV$3=$AD305,$F305&amp;"R",BV304))))</f>
        <v/>
      </c>
      <c r="BW305" s="11" t="str">
        <f aca="false">IF($P305=0,BW304,IF(BW$3=$E305,IF($AA305=1,$F305&amp;$AB305,$G305),IF(OR(BW$3=$D305,BW$3=$AC305,BW$3=$AE305),"",IF(BW$3=$AD305,$F305&amp;"R",BW304))))</f>
        <v/>
      </c>
      <c r="BX305" s="11" t="str">
        <f aca="false">IF($P305=0,BX304,IF(BX$3=$E305,IF($AA305=1,$F305&amp;$AB305,$G305),IF(OR(BX$3=$D305,BX$3=$AC305,BX$3=$AE305),"",IF(BX$3=$AD305,$F305&amp;"R",BX304))))</f>
        <v/>
      </c>
      <c r="BY305" s="11" t="str">
        <f aca="false">IF($P305=0,BY304,IF(BY$3=$E305,IF($AA305=1,$F305&amp;$AB305,$G305),IF(OR(BY$3=$D305,BY$3=$AC305,BY$3=$AE305),"",IF(BY$3=$AD305,$F305&amp;"R",BY304))))</f>
        <v/>
      </c>
      <c r="BZ305" s="11" t="str">
        <f aca="false">IF($P305=0,BZ304,IF(BZ$3=$E305,IF($AA305=1,$F305&amp;$AB305,$G305),IF(OR(BZ$3=$D305,BZ$3=$AC305,BZ$3=$AE305),"",IF(BZ$3=$AD305,$F305&amp;"R",BZ304))))</f>
        <v/>
      </c>
      <c r="CA305" s="11" t="str">
        <f aca="false">IF($P305=0,CA304,IF(CA$3=$E305,IF($AA305=1,$F305&amp;$AB305,$G305),IF(OR(CA$3=$D305,CA$3=$AC305,CA$3=$AE305),"",IF(CA$3=$AD305,$F305&amp;"R",CA304))))</f>
        <v/>
      </c>
      <c r="CB305" s="11" t="str">
        <f aca="false">IF($P305=0,CB304,IF(CB$3=$E305,IF($AA305=1,$F305&amp;$AB305,$G305),IF(OR(CB$3=$D305,CB$3=$AC305,CB$3=$AE305),"",IF(CB$3=$AD305,$F305&amp;"R",CB304))))</f>
        <v/>
      </c>
      <c r="CC305" s="11" t="str">
        <f aca="false">IF($P305=0,CC304,IF(CC$3=$E305,IF($AA305=1,$F305&amp;$AB305,$G305),IF(OR(CC$3=$D305,CC$3=$AC305,CC$3=$AE305),"",IF(CC$3=$AD305,$F305&amp;"R",CC304))))</f>
        <v/>
      </c>
      <c r="CD305" s="11" t="str">
        <f aca="false">IF($P305=0,CD304,IF(CD$3=$E305,IF($AA305=1,$F305&amp;$AB305,$G305),IF(OR(CD$3=$D305,CD$3=$AC305,CD$3=$AE305),"",IF(CD$3=$AD305,$F305&amp;"R",CD304))))</f>
        <v>bP</v>
      </c>
      <c r="CE305" s="11" t="str">
        <f aca="false">IF($P305=0,CE304,IF(CE$3=$E305,IF($AA305=1,$F305&amp;$AB305,$G305),IF(OR(CE$3=$D305,CE$3=$AC305,CE$3=$AE305),"",IF(CE$3=$AD305,$F305&amp;"R",CE304))))</f>
        <v>bP</v>
      </c>
      <c r="CF305" s="11" t="str">
        <f aca="false">IF($P305=0,CF304,IF(CF$3=$E305,IF($AA305=1,$F305&amp;$AB305,$G305),IF(OR(CF$3=$D305,CF$3=$AC305,CF$3=$AE305),"",IF(CF$3=$AD305,$F305&amp;"R",CF304))))</f>
        <v>bP</v>
      </c>
      <c r="CG305" s="11" t="str">
        <f aca="false">IF($P305=0,CG304,IF(CG$3=$E305,IF($AA305=1,$F305&amp;$AB305,$G305),IF(OR(CG$3=$D305,CG$3=$AC305,CG$3=$AE305),"",IF(CG$3=$AD305,$F305&amp;"R",CG304))))</f>
        <v>bP</v>
      </c>
      <c r="CH305" s="11" t="str">
        <f aca="false">IF($P305=0,CH304,IF(CH$3=$E305,IF($AA305=1,$F305&amp;$AB305,$G305),IF(OR(CH$3=$D305,CH$3=$AC305,CH$3=$AE305),"",IF(CH$3=$AD305,$F305&amp;"R",CH304))))</f>
        <v>bP</v>
      </c>
      <c r="CI305" s="11" t="str">
        <f aca="false">IF($P305=0,CI304,IF(CI$3=$E305,IF($AA305=1,$F305&amp;$AB305,$G305),IF(OR(CI$3=$D305,CI$3=$AC305,CI$3=$AE305),"",IF(CI$3=$AD305,$F305&amp;"R",CI304))))</f>
        <v>bP</v>
      </c>
      <c r="CJ305" s="11" t="str">
        <f aca="false">IF($P305=0,CJ304,IF(CJ$3=$E305,IF($AA305=1,$F305&amp;$AB305,$G305),IF(OR(CJ$3=$D305,CJ$3=$AC305,CJ$3=$AE305),"",IF(CJ$3=$AD305,$F305&amp;"R",CJ304))))</f>
        <v>bP</v>
      </c>
      <c r="CK305" s="11" t="str">
        <f aca="false">IF($P305=0,CK304,IF(CK$3=$E305,IF($AA305=1,$F305&amp;$AB305,$G305),IF(OR(CK$3=$D305,CK$3=$AC305,CK$3=$AE305),"",IF(CK$3=$AD305,$F305&amp;"R",CK304))))</f>
        <v>bP</v>
      </c>
      <c r="CL305" s="11" t="str">
        <f aca="false">IF($P305=0,CL304,IF(CL$3=$E305,IF($AA305=1,$F305&amp;$AB305,$G305),IF(OR(CL$3=$D305,CL$3=$AC305,CL$3=$AE305),"",IF(CL$3=$AD305,$F305&amp;"R",CL304))))</f>
        <v>bR</v>
      </c>
      <c r="CM305" s="11" t="str">
        <f aca="false">IF($P305=0,CM304,IF(CM$3=$E305,IF($AA305=1,$F305&amp;$AB305,$G305),IF(OR(CM$3=$D305,CM$3=$AC305,CM$3=$AE305),"",IF(CM$3=$AD305,$F305&amp;"R",CM304))))</f>
        <v>bN</v>
      </c>
      <c r="CN305" s="11" t="str">
        <f aca="false">IF($P305=0,CN304,IF(CN$3=$E305,IF($AA305=1,$F305&amp;$AB305,$G305),IF(OR(CN$3=$D305,CN$3=$AC305,CN$3=$AE305),"",IF(CN$3=$AD305,$F305&amp;"R",CN304))))</f>
        <v>bB</v>
      </c>
      <c r="CO305" s="11" t="str">
        <f aca="false">IF($P305=0,CO304,IF(CO$3=$E305,IF($AA305=1,$F305&amp;$AB305,$G305),IF(OR(CO$3=$D305,CO$3=$AC305,CO$3=$AE305),"",IF(CO$3=$AD305,$F305&amp;"R",CO304))))</f>
        <v>bQ</v>
      </c>
      <c r="CP305" s="11" t="str">
        <f aca="false">IF($P305=0,CP304,IF(CP$3=$E305,IF($AA305=1,$F305&amp;$AB305,$G305),IF(OR(CP$3=$D305,CP$3=$AC305,CP$3=$AE305),"",IF(CP$3=$AD305,$F305&amp;"R",CP304))))</f>
        <v>bK</v>
      </c>
      <c r="CQ305" s="11" t="str">
        <f aca="false">IF($P305=0,CQ304,IF(CQ$3=$E305,IF($AA305=1,$F305&amp;$AB305,$G305),IF(OR(CQ$3=$D305,CQ$3=$AC305,CQ$3=$AE305),"",IF(CQ$3=$AD305,$F305&amp;"R",CQ304))))</f>
        <v>bB</v>
      </c>
      <c r="CR305" s="11" t="str">
        <f aca="false">IF($P305=0,CR304,IF(CR$3=$E305,IF($AA305=1,$F305&amp;$AB305,$G305),IF(OR(CR$3=$D305,CR$3=$AC305,CR$3=$AE305),"",IF(CR$3=$AD305,$F305&amp;"R",CR304))))</f>
        <v>bN</v>
      </c>
      <c r="CS305" s="11" t="str">
        <f aca="false">IF($P305=0,CS304,IF(CS$3=$E305,IF($AA305=1,$F305&amp;$AB305,$G305),IF(OR(CS$3=$D305,CS$3=$AC305,CS$3=$AE305),"",IF(CS$3=$AD305,$F305&amp;"R",CS304))))</f>
        <v>bR</v>
      </c>
      <c r="CT305" s="11"/>
      <c r="CU305" s="11"/>
      <c r="CV30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2026-10-10T03:53:07Z</dcterms:created>
  <dc:creator>openpyxl</dc:creator>
  <dc:description/>
  <dc:language>en-US</dc:language>
  <cp:lastModifiedBy/>
  <dcterms:modified xsi:type="dcterms:W3CDTF">2026-10-10T03:53:08Z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